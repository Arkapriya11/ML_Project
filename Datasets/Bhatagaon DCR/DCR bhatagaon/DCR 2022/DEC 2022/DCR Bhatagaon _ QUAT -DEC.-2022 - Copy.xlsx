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15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4" r:id="rId31"/>
    <sheet name="MONTHLY " sheetId="39" r:id="rId32"/>
    <sheet name="CALIBRATION REPORT" sheetId="6" r:id="rId33"/>
    <sheet name="POWER OFF" sheetId="5" r:id="rId34"/>
    <sheet name="MUX SIGNALS" sheetId="43" r:id="rId35"/>
  </sheets>
  <calcPr calcId="144525"/>
</workbook>
</file>

<file path=xl/calcChain.xml><?xml version="1.0" encoding="utf-8"?>
<calcChain xmlns="http://schemas.openxmlformats.org/spreadsheetml/2006/main">
  <c r="I110" i="44" l="1"/>
  <c r="I112" i="44"/>
  <c r="E110" i="44"/>
  <c r="E111" i="44" s="1"/>
  <c r="F110" i="44"/>
  <c r="F111" i="44" s="1"/>
  <c r="F110" i="41"/>
  <c r="F112" i="41" s="1"/>
  <c r="I110" i="41"/>
  <c r="I112" i="41" s="1"/>
  <c r="I110" i="40"/>
  <c r="I112" i="40" s="1"/>
  <c r="Q110" i="44"/>
  <c r="Q111" i="44" s="1"/>
  <c r="P110" i="44"/>
  <c r="P112" i="44" s="1"/>
  <c r="O110" i="44"/>
  <c r="O112" i="44"/>
  <c r="N110" i="44"/>
  <c r="N112" i="44"/>
  <c r="M110" i="44"/>
  <c r="M112" i="44" s="1"/>
  <c r="L110" i="44"/>
  <c r="L111" i="44" s="1"/>
  <c r="K110" i="44"/>
  <c r="K112" i="44" s="1"/>
  <c r="J110" i="44"/>
  <c r="J112" i="44" s="1"/>
  <c r="H110" i="44"/>
  <c r="H112" i="44" s="1"/>
  <c r="G110" i="44"/>
  <c r="G112" i="44" s="1"/>
  <c r="D110" i="44"/>
  <c r="D111" i="44"/>
  <c r="C110" i="44"/>
  <c r="C112" i="44"/>
  <c r="B110" i="44"/>
  <c r="B112" i="44" s="1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Q39" i="39" s="1"/>
  <c r="P108" i="44"/>
  <c r="P39" i="39"/>
  <c r="O108" i="44"/>
  <c r="O39" i="39" s="1"/>
  <c r="N108" i="44"/>
  <c r="N39" i="39" s="1"/>
  <c r="M108" i="44"/>
  <c r="M39" i="39" s="1"/>
  <c r="L108" i="44"/>
  <c r="L39" i="39"/>
  <c r="K108" i="44"/>
  <c r="K39" i="39"/>
  <c r="J108" i="44"/>
  <c r="J39" i="39" s="1"/>
  <c r="I108" i="44"/>
  <c r="I39" i="39" s="1"/>
  <c r="H108" i="44"/>
  <c r="H39" i="39"/>
  <c r="G108" i="44"/>
  <c r="G39" i="39" s="1"/>
  <c r="F108" i="44"/>
  <c r="F39" i="39" s="1"/>
  <c r="E108" i="44"/>
  <c r="E39" i="39" s="1"/>
  <c r="D108" i="44"/>
  <c r="D39" i="39"/>
  <c r="C108" i="44"/>
  <c r="C39" i="39" s="1"/>
  <c r="B108" i="44"/>
  <c r="B39" i="39" s="1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9" i="39" s="1"/>
  <c r="Q110" i="33"/>
  <c r="Q111" i="33"/>
  <c r="K110" i="33"/>
  <c r="K112" i="33"/>
  <c r="L110" i="33"/>
  <c r="L112" i="33"/>
  <c r="M110" i="33"/>
  <c r="M111" i="33" s="1"/>
  <c r="M112" i="33"/>
  <c r="N110" i="33"/>
  <c r="O110" i="33"/>
  <c r="O112" i="33" s="1"/>
  <c r="P110" i="33"/>
  <c r="P111" i="33" s="1"/>
  <c r="J110" i="33"/>
  <c r="J112" i="33" s="1"/>
  <c r="I110" i="33"/>
  <c r="I112" i="33" s="1"/>
  <c r="H110" i="33"/>
  <c r="H112" i="33"/>
  <c r="G110" i="33"/>
  <c r="G112" i="33"/>
  <c r="F110" i="33"/>
  <c r="F112" i="33"/>
  <c r="E110" i="33"/>
  <c r="E112" i="33"/>
  <c r="C110" i="33"/>
  <c r="C112" i="33" s="1"/>
  <c r="D110" i="33"/>
  <c r="D112" i="33"/>
  <c r="B110" i="33"/>
  <c r="B112" i="33" s="1"/>
  <c r="N112" i="33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Q36" i="39" s="1"/>
  <c r="P108" i="33"/>
  <c r="P36" i="39"/>
  <c r="O108" i="33"/>
  <c r="N108" i="33"/>
  <c r="N36" i="39"/>
  <c r="M108" i="33"/>
  <c r="M36" i="39" s="1"/>
  <c r="L108" i="33"/>
  <c r="K108" i="33"/>
  <c r="J108" i="33"/>
  <c r="I108" i="33"/>
  <c r="H108" i="33"/>
  <c r="G108" i="33"/>
  <c r="F108" i="33"/>
  <c r="E108" i="33"/>
  <c r="D108" i="33"/>
  <c r="D36" i="39"/>
  <c r="C108" i="33"/>
  <c r="C36" i="39"/>
  <c r="B108" i="33"/>
  <c r="B36" i="39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A36" i="39" s="1"/>
  <c r="I110" i="32"/>
  <c r="I111" i="32" s="1"/>
  <c r="F110" i="32"/>
  <c r="F112" i="32" s="1"/>
  <c r="Q110" i="31"/>
  <c r="Q112" i="31" s="1"/>
  <c r="K110" i="31"/>
  <c r="L110" i="31"/>
  <c r="L112" i="31" s="1"/>
  <c r="M110" i="31"/>
  <c r="N110" i="31"/>
  <c r="O110" i="31"/>
  <c r="P110" i="31"/>
  <c r="J110" i="31"/>
  <c r="J111" i="31" s="1"/>
  <c r="I110" i="31"/>
  <c r="I111" i="31"/>
  <c r="H110" i="31"/>
  <c r="H112" i="31"/>
  <c r="G110" i="31"/>
  <c r="G112" i="31"/>
  <c r="F110" i="31"/>
  <c r="F111" i="31" s="1"/>
  <c r="E110" i="31"/>
  <c r="E111" i="31" s="1"/>
  <c r="C110" i="31"/>
  <c r="D110" i="31"/>
  <c r="B110" i="31"/>
  <c r="B112" i="31" s="1"/>
  <c r="I110" i="30"/>
  <c r="I112" i="30" s="1"/>
  <c r="F110" i="30"/>
  <c r="F112" i="30" s="1"/>
  <c r="F110" i="29"/>
  <c r="F111" i="29" s="1"/>
  <c r="G110" i="29"/>
  <c r="G112" i="29" s="1"/>
  <c r="J110" i="29"/>
  <c r="J112" i="29" s="1"/>
  <c r="J110" i="28"/>
  <c r="J112" i="28" s="1"/>
  <c r="F110" i="28"/>
  <c r="F112" i="28" s="1"/>
  <c r="I110" i="27"/>
  <c r="I112" i="27" s="1"/>
  <c r="B110" i="26"/>
  <c r="B111" i="26" s="1"/>
  <c r="C110" i="26"/>
  <c r="C111" i="26" s="1"/>
  <c r="Q110" i="26"/>
  <c r="Q112" i="26" s="1"/>
  <c r="I110" i="26"/>
  <c r="I112" i="26" s="1"/>
  <c r="H110" i="26"/>
  <c r="H111" i="26" s="1"/>
  <c r="G110" i="26"/>
  <c r="G112" i="26" s="1"/>
  <c r="F110" i="26"/>
  <c r="F112" i="26" s="1"/>
  <c r="E110" i="26"/>
  <c r="E112" i="26" s="1"/>
  <c r="H110" i="25"/>
  <c r="H112" i="25" s="1"/>
  <c r="I110" i="25"/>
  <c r="J110" i="25"/>
  <c r="K110" i="25"/>
  <c r="L110" i="25"/>
  <c r="L112" i="25"/>
  <c r="M110" i="25"/>
  <c r="M112" i="25"/>
  <c r="N110" i="25"/>
  <c r="N112" i="25"/>
  <c r="O110" i="25"/>
  <c r="P110" i="25"/>
  <c r="Q110" i="25"/>
  <c r="G110" i="25"/>
  <c r="G111" i="25" s="1"/>
  <c r="F110" i="25"/>
  <c r="F112" i="25" s="1"/>
  <c r="E110" i="25"/>
  <c r="E111" i="25" s="1"/>
  <c r="D110" i="25"/>
  <c r="D112" i="25" s="1"/>
  <c r="C110" i="25"/>
  <c r="C111" i="25" s="1"/>
  <c r="B110" i="25"/>
  <c r="B112" i="25" s="1"/>
  <c r="H110" i="24"/>
  <c r="H111" i="24" s="1"/>
  <c r="G110" i="24"/>
  <c r="G112" i="24" s="1"/>
  <c r="G110" i="23"/>
  <c r="G112" i="23" s="1"/>
  <c r="G110" i="22"/>
  <c r="G111" i="22" s="1"/>
  <c r="H110" i="22"/>
  <c r="H112" i="22" s="1"/>
  <c r="J110" i="21"/>
  <c r="J111" i="21" s="1"/>
  <c r="Q110" i="19"/>
  <c r="Q112" i="19" s="1"/>
  <c r="H110" i="18"/>
  <c r="H112" i="18" s="1"/>
  <c r="I110" i="18"/>
  <c r="I112" i="18" s="1"/>
  <c r="J110" i="18"/>
  <c r="J112" i="18" s="1"/>
  <c r="Q110" i="17"/>
  <c r="Q112" i="17" s="1"/>
  <c r="Q110" i="16"/>
  <c r="Q111" i="16" s="1"/>
  <c r="Q110" i="15"/>
  <c r="Q111" i="15" s="1"/>
  <c r="Q110" i="14"/>
  <c r="Q112" i="14" s="1"/>
  <c r="I110" i="14"/>
  <c r="I111" i="14" s="1"/>
  <c r="G110" i="14"/>
  <c r="G111" i="14" s="1"/>
  <c r="K27" i="6"/>
  <c r="K8" i="6"/>
  <c r="J11" i="6"/>
  <c r="J10" i="6"/>
  <c r="J9" i="6"/>
  <c r="J12" i="6"/>
  <c r="H110" i="13"/>
  <c r="H112" i="13" s="1"/>
  <c r="G110" i="13"/>
  <c r="G112" i="13" s="1"/>
  <c r="I110" i="13"/>
  <c r="I112" i="13" s="1"/>
  <c r="I110" i="12"/>
  <c r="I111" i="12" s="1"/>
  <c r="F110" i="12"/>
  <c r="F112" i="12" s="1"/>
  <c r="D110" i="11"/>
  <c r="D111" i="11" s="1"/>
  <c r="I110" i="11"/>
  <c r="I112" i="11" s="1"/>
  <c r="H110" i="11"/>
  <c r="H112" i="11" s="1"/>
  <c r="Q110" i="9"/>
  <c r="Q112" i="9" s="1"/>
  <c r="M110" i="9"/>
  <c r="M111" i="9" s="1"/>
  <c r="I110" i="9"/>
  <c r="I111" i="9" s="1"/>
  <c r="I110" i="8"/>
  <c r="I111" i="8" s="1"/>
  <c r="C110" i="8"/>
  <c r="C112" i="8" s="1"/>
  <c r="D110" i="8"/>
  <c r="D112" i="8" s="1"/>
  <c r="E110" i="8"/>
  <c r="E112" i="8" s="1"/>
  <c r="F110" i="8"/>
  <c r="G110" i="8"/>
  <c r="G111" i="8"/>
  <c r="H110" i="8"/>
  <c r="J110" i="8"/>
  <c r="K110" i="8"/>
  <c r="L110" i="8"/>
  <c r="M110" i="8"/>
  <c r="N110" i="8"/>
  <c r="O110" i="8"/>
  <c r="P110" i="8"/>
  <c r="Q110" i="8"/>
  <c r="B110" i="8"/>
  <c r="B111" i="8" s="1"/>
  <c r="I110" i="3"/>
  <c r="I112" i="3" s="1"/>
  <c r="K110" i="3"/>
  <c r="K112" i="3" s="1"/>
  <c r="Q110" i="3"/>
  <c r="Q112" i="3" s="1"/>
  <c r="N110" i="3"/>
  <c r="N112" i="3" s="1"/>
  <c r="M110" i="3"/>
  <c r="M111" i="3" s="1"/>
  <c r="N110" i="2"/>
  <c r="N111" i="2" s="1"/>
  <c r="K110" i="2"/>
  <c r="K112" i="2" s="1"/>
  <c r="I110" i="2"/>
  <c r="I112" i="2" s="1"/>
  <c r="J110" i="41"/>
  <c r="J112" i="41" s="1"/>
  <c r="H110" i="41"/>
  <c r="H112" i="41" s="1"/>
  <c r="J110" i="40"/>
  <c r="J111" i="40" s="1"/>
  <c r="H110" i="40"/>
  <c r="H111" i="40" s="1"/>
  <c r="J110" i="32"/>
  <c r="J111" i="32" s="1"/>
  <c r="H110" i="32"/>
  <c r="H111" i="32" s="1"/>
  <c r="J110" i="30"/>
  <c r="J112" i="30" s="1"/>
  <c r="H110" i="30"/>
  <c r="H112" i="30" s="1"/>
  <c r="I110" i="29"/>
  <c r="I112" i="29" s="1"/>
  <c r="H110" i="29"/>
  <c r="H112" i="29" s="1"/>
  <c r="I110" i="28"/>
  <c r="I112" i="28" s="1"/>
  <c r="H110" i="28"/>
  <c r="H112" i="28" s="1"/>
  <c r="C110" i="27"/>
  <c r="C111" i="27" s="1"/>
  <c r="D110" i="27"/>
  <c r="D111" i="27" s="1"/>
  <c r="E110" i="27"/>
  <c r="F110" i="27"/>
  <c r="F112" i="27"/>
  <c r="G110" i="27"/>
  <c r="G111" i="27"/>
  <c r="H110" i="27"/>
  <c r="J110" i="27"/>
  <c r="K110" i="27"/>
  <c r="L110" i="27"/>
  <c r="M110" i="27"/>
  <c r="M111" i="27"/>
  <c r="N110" i="27"/>
  <c r="N111" i="27"/>
  <c r="O110" i="27"/>
  <c r="P110" i="27"/>
  <c r="Q110" i="27"/>
  <c r="Q111" i="27"/>
  <c r="J110" i="26"/>
  <c r="J111" i="26"/>
  <c r="Q111" i="25"/>
  <c r="P111" i="25"/>
  <c r="O111" i="25"/>
  <c r="K111" i="25"/>
  <c r="J112" i="25"/>
  <c r="I111" i="25"/>
  <c r="H111" i="25"/>
  <c r="J110" i="24"/>
  <c r="J111" i="24" s="1"/>
  <c r="I110" i="24"/>
  <c r="I112" i="24" s="1"/>
  <c r="J110" i="23"/>
  <c r="J112" i="23" s="1"/>
  <c r="I110" i="23"/>
  <c r="I111" i="23" s="1"/>
  <c r="H110" i="23"/>
  <c r="J110" i="22"/>
  <c r="J112" i="22"/>
  <c r="I110" i="22"/>
  <c r="I112" i="22"/>
  <c r="I110" i="21"/>
  <c r="I111" i="21"/>
  <c r="H110" i="21"/>
  <c r="H111" i="21"/>
  <c r="H110" i="20"/>
  <c r="H112" i="20"/>
  <c r="I110" i="20"/>
  <c r="I111" i="20"/>
  <c r="J110" i="20"/>
  <c r="J111" i="20"/>
  <c r="J110" i="19"/>
  <c r="J111" i="19"/>
  <c r="I110" i="19"/>
  <c r="I111" i="19"/>
  <c r="H110" i="19"/>
  <c r="H112" i="19"/>
  <c r="J110" i="17"/>
  <c r="J112" i="17"/>
  <c r="I110" i="17"/>
  <c r="I111" i="17"/>
  <c r="H110" i="17"/>
  <c r="H112" i="17"/>
  <c r="H110" i="16"/>
  <c r="H111" i="16"/>
  <c r="I110" i="16"/>
  <c r="I111" i="16"/>
  <c r="J110" i="16"/>
  <c r="J112" i="16"/>
  <c r="H110" i="15"/>
  <c r="H111" i="15"/>
  <c r="I110" i="15"/>
  <c r="I112" i="15"/>
  <c r="J110" i="15"/>
  <c r="J112" i="15"/>
  <c r="J110" i="14"/>
  <c r="J111" i="14"/>
  <c r="H110" i="14"/>
  <c r="H111" i="14"/>
  <c r="C110" i="11"/>
  <c r="C112" i="11"/>
  <c r="B110" i="11"/>
  <c r="B111" i="11"/>
  <c r="J110" i="13"/>
  <c r="J112" i="13"/>
  <c r="J110" i="12"/>
  <c r="J111" i="12"/>
  <c r="H110" i="12"/>
  <c r="H111" i="12"/>
  <c r="J110" i="11"/>
  <c r="J111" i="11"/>
  <c r="G110" i="11"/>
  <c r="G112" i="11"/>
  <c r="J110" i="10"/>
  <c r="J112" i="10"/>
  <c r="I110" i="10"/>
  <c r="I112" i="10"/>
  <c r="H110" i="10"/>
  <c r="H112" i="10"/>
  <c r="J110" i="9"/>
  <c r="J112" i="9"/>
  <c r="H110" i="9"/>
  <c r="H111" i="9"/>
  <c r="Q111" i="8"/>
  <c r="J111" i="8"/>
  <c r="H111" i="8"/>
  <c r="P112" i="8"/>
  <c r="O112" i="8"/>
  <c r="L112" i="8"/>
  <c r="K111" i="8"/>
  <c r="F111" i="8"/>
  <c r="B2" i="23"/>
  <c r="C110" i="2"/>
  <c r="C112" i="2" s="1"/>
  <c r="D110" i="2"/>
  <c r="E110" i="2"/>
  <c r="E111" i="2"/>
  <c r="F110" i="2"/>
  <c r="F112" i="2"/>
  <c r="G110" i="2"/>
  <c r="G112" i="2"/>
  <c r="H110" i="2"/>
  <c r="J110" i="2"/>
  <c r="L110" i="2"/>
  <c r="L112" i="2"/>
  <c r="M110" i="2"/>
  <c r="M111" i="2"/>
  <c r="O110" i="2"/>
  <c r="P110" i="2"/>
  <c r="P112" i="2" s="1"/>
  <c r="Q110" i="2"/>
  <c r="C110" i="3"/>
  <c r="C111" i="3"/>
  <c r="D110" i="3"/>
  <c r="D111" i="3"/>
  <c r="E110" i="3"/>
  <c r="E111" i="3"/>
  <c r="F110" i="3"/>
  <c r="F111" i="3"/>
  <c r="G110" i="3"/>
  <c r="G112" i="3"/>
  <c r="H110" i="3"/>
  <c r="H112" i="3"/>
  <c r="J110" i="3"/>
  <c r="J111" i="3"/>
  <c r="L110" i="3"/>
  <c r="L111" i="3"/>
  <c r="O110" i="3"/>
  <c r="P110" i="3"/>
  <c r="Q110" i="41"/>
  <c r="Q111" i="41"/>
  <c r="P110" i="41"/>
  <c r="P112" i="41"/>
  <c r="O110" i="41"/>
  <c r="O112" i="41"/>
  <c r="N110" i="41"/>
  <c r="N112" i="41"/>
  <c r="M110" i="41"/>
  <c r="M112" i="41"/>
  <c r="L110" i="41"/>
  <c r="L112" i="41"/>
  <c r="K110" i="41"/>
  <c r="K112" i="41"/>
  <c r="G110" i="41"/>
  <c r="G112" i="41"/>
  <c r="E110" i="41"/>
  <c r="E112" i="41"/>
  <c r="D110" i="41"/>
  <c r="D112" i="41"/>
  <c r="C110" i="41"/>
  <c r="C112" i="41"/>
  <c r="B110" i="41"/>
  <c r="B112" i="4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P108" i="41"/>
  <c r="O108" i="41"/>
  <c r="N108" i="41"/>
  <c r="N38" i="39" s="1"/>
  <c r="M108" i="41"/>
  <c r="L108" i="41"/>
  <c r="K108" i="41"/>
  <c r="J108" i="41"/>
  <c r="I108" i="41"/>
  <c r="I38" i="39" s="1"/>
  <c r="H108" i="41"/>
  <c r="G108" i="41"/>
  <c r="F108" i="41"/>
  <c r="E108" i="41"/>
  <c r="D108" i="41"/>
  <c r="C108" i="41"/>
  <c r="B108" i="41"/>
  <c r="B38" i="39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/>
  <c r="Q110" i="40"/>
  <c r="Q112" i="40" s="1"/>
  <c r="P110" i="40"/>
  <c r="P112" i="40" s="1"/>
  <c r="O110" i="40"/>
  <c r="O112" i="40" s="1"/>
  <c r="N110" i="40"/>
  <c r="N112" i="40"/>
  <c r="M110" i="40"/>
  <c r="M111" i="40"/>
  <c r="L110" i="40"/>
  <c r="L112" i="40"/>
  <c r="K110" i="40"/>
  <c r="K111" i="40"/>
  <c r="G110" i="40"/>
  <c r="G112" i="40"/>
  <c r="F110" i="40"/>
  <c r="F112" i="40" s="1"/>
  <c r="E110" i="40"/>
  <c r="E112" i="40" s="1"/>
  <c r="D110" i="40"/>
  <c r="D112" i="40" s="1"/>
  <c r="C110" i="40"/>
  <c r="C112" i="40"/>
  <c r="B110" i="40"/>
  <c r="B111" i="40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/>
  <c r="P108" i="40"/>
  <c r="P37" i="39"/>
  <c r="O108" i="40"/>
  <c r="N108" i="40"/>
  <c r="M108" i="40"/>
  <c r="L108" i="40"/>
  <c r="K108" i="40"/>
  <c r="J108" i="40"/>
  <c r="I108" i="40"/>
  <c r="H108" i="40"/>
  <c r="H37" i="39"/>
  <c r="G108" i="40"/>
  <c r="G37" i="39" s="1"/>
  <c r="F108" i="40"/>
  <c r="F37" i="39" s="1"/>
  <c r="E108" i="40"/>
  <c r="D108" i="40"/>
  <c r="D37" i="39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L36" i="39"/>
  <c r="I36" i="39"/>
  <c r="H36" i="39"/>
  <c r="G36" i="39"/>
  <c r="F36" i="39"/>
  <c r="E36" i="39"/>
  <c r="Q110" i="32"/>
  <c r="Q112" i="32" s="1"/>
  <c r="P110" i="32"/>
  <c r="P112" i="32" s="1"/>
  <c r="O110" i="32"/>
  <c r="O112" i="32" s="1"/>
  <c r="N110" i="32"/>
  <c r="N111" i="32" s="1"/>
  <c r="M110" i="32"/>
  <c r="M112" i="32" s="1"/>
  <c r="L110" i="32"/>
  <c r="L112" i="32" s="1"/>
  <c r="K110" i="32"/>
  <c r="K112" i="32" s="1"/>
  <c r="G110" i="32"/>
  <c r="G112" i="32" s="1"/>
  <c r="E110" i="32"/>
  <c r="E111" i="32" s="1"/>
  <c r="D110" i="32"/>
  <c r="D112" i="32" s="1"/>
  <c r="C110" i="32"/>
  <c r="C111" i="32" s="1"/>
  <c r="B110" i="32"/>
  <c r="B111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P108" i="32"/>
  <c r="O108" i="32"/>
  <c r="O35" i="39" s="1"/>
  <c r="N108" i="32"/>
  <c r="M108" i="32"/>
  <c r="L108" i="32"/>
  <c r="K108" i="32"/>
  <c r="J108" i="32"/>
  <c r="J35" i="39" s="1"/>
  <c r="I108" i="32"/>
  <c r="I35" i="39" s="1"/>
  <c r="H108" i="32"/>
  <c r="G108" i="32"/>
  <c r="F108" i="32"/>
  <c r="F35" i="39" s="1"/>
  <c r="E108" i="32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P112" i="31"/>
  <c r="O112" i="31"/>
  <c r="N112" i="31"/>
  <c r="M111" i="31"/>
  <c r="K111" i="31"/>
  <c r="D112" i="31"/>
  <c r="C112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L108" i="31"/>
  <c r="K108" i="31"/>
  <c r="J108" i="31"/>
  <c r="I108" i="31"/>
  <c r="H108" i="31"/>
  <c r="G108" i="31"/>
  <c r="F108" i="31"/>
  <c r="E108" i="31"/>
  <c r="D108" i="31"/>
  <c r="D34" i="39" s="1"/>
  <c r="C108" i="31"/>
  <c r="C34" i="39"/>
  <c r="B108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 s="1"/>
  <c r="P110" i="30"/>
  <c r="P112" i="30" s="1"/>
  <c r="O110" i="30"/>
  <c r="O112" i="30" s="1"/>
  <c r="N110" i="30"/>
  <c r="N112" i="30" s="1"/>
  <c r="M110" i="30"/>
  <c r="M112" i="30" s="1"/>
  <c r="L110" i="30"/>
  <c r="L112" i="30" s="1"/>
  <c r="K110" i="30"/>
  <c r="K112" i="30"/>
  <c r="G110" i="30"/>
  <c r="G111" i="30"/>
  <c r="E110" i="30"/>
  <c r="E112" i="30" s="1"/>
  <c r="D110" i="30"/>
  <c r="D112" i="30" s="1"/>
  <c r="C110" i="30"/>
  <c r="C111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/>
  <c r="N108" i="30"/>
  <c r="N33" i="39" s="1"/>
  <c r="M108" i="30"/>
  <c r="L108" i="30"/>
  <c r="K108" i="30"/>
  <c r="K33" i="39" s="1"/>
  <c r="J108" i="30"/>
  <c r="I108" i="30"/>
  <c r="H108" i="30"/>
  <c r="G108" i="30"/>
  <c r="F108" i="30"/>
  <c r="E108" i="30"/>
  <c r="E33" i="39" s="1"/>
  <c r="D108" i="30"/>
  <c r="D33" i="39" s="1"/>
  <c r="C108" i="30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/>
  <c r="Q110" i="29"/>
  <c r="Q111" i="29" s="1"/>
  <c r="P110" i="29"/>
  <c r="P112" i="29" s="1"/>
  <c r="O110" i="29"/>
  <c r="O112" i="29" s="1"/>
  <c r="N110" i="29"/>
  <c r="N112" i="29" s="1"/>
  <c r="M110" i="29"/>
  <c r="M112" i="29" s="1"/>
  <c r="L110" i="29"/>
  <c r="L112" i="29" s="1"/>
  <c r="K110" i="29"/>
  <c r="K112" i="29" s="1"/>
  <c r="E110" i="29"/>
  <c r="E112" i="29" s="1"/>
  <c r="D110" i="29"/>
  <c r="D112" i="29" s="1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/>
  <c r="O108" i="29"/>
  <c r="N108" i="29"/>
  <c r="M108" i="29"/>
  <c r="M32" i="39"/>
  <c r="L108" i="29"/>
  <c r="L32" i="39"/>
  <c r="K108" i="29"/>
  <c r="J108" i="29"/>
  <c r="I108" i="29"/>
  <c r="H108" i="29"/>
  <c r="G108" i="29"/>
  <c r="F108" i="29"/>
  <c r="E108" i="29"/>
  <c r="D108" i="29"/>
  <c r="C108" i="29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2" i="28" s="1"/>
  <c r="P110" i="28"/>
  <c r="P111" i="28" s="1"/>
  <c r="O110" i="28"/>
  <c r="O111" i="28" s="1"/>
  <c r="N110" i="28"/>
  <c r="N112" i="28" s="1"/>
  <c r="M110" i="28"/>
  <c r="M112" i="28" s="1"/>
  <c r="L110" i="28"/>
  <c r="L112" i="28" s="1"/>
  <c r="K110" i="28"/>
  <c r="K112" i="28" s="1"/>
  <c r="G110" i="28"/>
  <c r="G112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O108" i="28"/>
  <c r="O31" i="39" s="1"/>
  <c r="N108" i="28"/>
  <c r="M108" i="28"/>
  <c r="L108" i="28"/>
  <c r="L31" i="39" s="1"/>
  <c r="K108" i="28"/>
  <c r="K31" i="39" s="1"/>
  <c r="J108" i="28"/>
  <c r="I108" i="28"/>
  <c r="H108" i="28"/>
  <c r="H31" i="39" s="1"/>
  <c r="G108" i="28"/>
  <c r="F108" i="28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P112" i="27"/>
  <c r="O112" i="27"/>
  <c r="L112" i="27"/>
  <c r="K112" i="27"/>
  <c r="J112" i="27"/>
  <c r="H112" i="27"/>
  <c r="E112" i="27"/>
  <c r="B110" i="27"/>
  <c r="B112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/>
  <c r="P108" i="27"/>
  <c r="P30" i="39" s="1"/>
  <c r="O108" i="27"/>
  <c r="O30" i="39"/>
  <c r="N108" i="27"/>
  <c r="N30" i="39" s="1"/>
  <c r="M108" i="27"/>
  <c r="L108" i="27"/>
  <c r="K108" i="27"/>
  <c r="K30" i="39"/>
  <c r="J108" i="27"/>
  <c r="J30" i="39"/>
  <c r="I108" i="27"/>
  <c r="H108" i="27"/>
  <c r="H30" i="39" s="1"/>
  <c r="G108" i="27"/>
  <c r="G30" i="39" s="1"/>
  <c r="F108" i="27"/>
  <c r="F30" i="39" s="1"/>
  <c r="E108" i="27"/>
  <c r="E30" i="39" s="1"/>
  <c r="D108" i="27"/>
  <c r="D30" i="39" s="1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P110" i="26"/>
  <c r="P111" i="26" s="1"/>
  <c r="O110" i="26"/>
  <c r="O111" i="26" s="1"/>
  <c r="N110" i="26"/>
  <c r="N111" i="26" s="1"/>
  <c r="M110" i="26"/>
  <c r="M111" i="26" s="1"/>
  <c r="L110" i="26"/>
  <c r="L112" i="26" s="1"/>
  <c r="K110" i="26"/>
  <c r="K112" i="26" s="1"/>
  <c r="D110" i="26"/>
  <c r="D112" i="26" s="1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/>
  <c r="O108" i="26"/>
  <c r="O29" i="39" s="1"/>
  <c r="N108" i="26"/>
  <c r="M108" i="26"/>
  <c r="M29" i="39" s="1"/>
  <c r="L108" i="26"/>
  <c r="L29" i="39" s="1"/>
  <c r="K108" i="26"/>
  <c r="J108" i="26"/>
  <c r="I108" i="26"/>
  <c r="H108" i="26"/>
  <c r="G108" i="26"/>
  <c r="F108" i="26"/>
  <c r="E108" i="26"/>
  <c r="D108" i="26"/>
  <c r="C108" i="26"/>
  <c r="C29" i="39" s="1"/>
  <c r="B108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N108" i="25"/>
  <c r="M108" i="25"/>
  <c r="M28" i="39" s="1"/>
  <c r="L108" i="25"/>
  <c r="L28" i="39" s="1"/>
  <c r="K108" i="25"/>
  <c r="J108" i="25"/>
  <c r="I108" i="25"/>
  <c r="H108" i="25"/>
  <c r="G108" i="25"/>
  <c r="F108" i="25"/>
  <c r="E108" i="25"/>
  <c r="E28" i="39" s="1"/>
  <c r="D108" i="25"/>
  <c r="D28" i="39"/>
  <c r="C108" i="25"/>
  <c r="C28" i="39" s="1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/>
  <c r="Q110" i="24"/>
  <c r="Q112" i="24" s="1"/>
  <c r="P110" i="24"/>
  <c r="P112" i="24" s="1"/>
  <c r="O110" i="24"/>
  <c r="O112" i="24" s="1"/>
  <c r="N110" i="24"/>
  <c r="N112" i="24" s="1"/>
  <c r="M110" i="24"/>
  <c r="M112" i="24" s="1"/>
  <c r="L110" i="24"/>
  <c r="L112" i="24"/>
  <c r="K110" i="24"/>
  <c r="K112" i="24" s="1"/>
  <c r="F110" i="24"/>
  <c r="F112" i="24" s="1"/>
  <c r="E110" i="24"/>
  <c r="E112" i="24" s="1"/>
  <c r="D110" i="24"/>
  <c r="D112" i="24" s="1"/>
  <c r="C110" i="24"/>
  <c r="C112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O108" i="24"/>
  <c r="N108" i="24"/>
  <c r="N27" i="39"/>
  <c r="M108" i="24"/>
  <c r="L108" i="24"/>
  <c r="K108" i="24"/>
  <c r="K27" i="39" s="1"/>
  <c r="J108" i="24"/>
  <c r="I108" i="24"/>
  <c r="I27" i="39" s="1"/>
  <c r="H108" i="24"/>
  <c r="G108" i="24"/>
  <c r="F108" i="24"/>
  <c r="E108" i="24"/>
  <c r="E27" i="39" s="1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1" i="23" s="1"/>
  <c r="O110" i="23"/>
  <c r="O111" i="23" s="1"/>
  <c r="N110" i="23"/>
  <c r="N111" i="23" s="1"/>
  <c r="M110" i="23"/>
  <c r="M112" i="23" s="1"/>
  <c r="L110" i="23"/>
  <c r="L112" i="23" s="1"/>
  <c r="K110" i="23"/>
  <c r="K112" i="23" s="1"/>
  <c r="H112" i="23"/>
  <c r="F110" i="23"/>
  <c r="F111" i="23"/>
  <c r="E110" i="23"/>
  <c r="E112" i="23"/>
  <c r="D110" i="23"/>
  <c r="D112" i="23"/>
  <c r="C110" i="23"/>
  <c r="C112" i="23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/>
  <c r="O108" i="23"/>
  <c r="N108" i="23"/>
  <c r="N26" i="39" s="1"/>
  <c r="M108" i="23"/>
  <c r="M26" i="39" s="1"/>
  <c r="L108" i="23"/>
  <c r="L26" i="39" s="1"/>
  <c r="K108" i="23"/>
  <c r="J108" i="23"/>
  <c r="J26" i="39" s="1"/>
  <c r="I108" i="23"/>
  <c r="H108" i="23"/>
  <c r="G108" i="23"/>
  <c r="F108" i="23"/>
  <c r="E108" i="23"/>
  <c r="D108" i="23"/>
  <c r="C108" i="23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 s="1"/>
  <c r="O110" i="22"/>
  <c r="O111" i="22" s="1"/>
  <c r="N110" i="22"/>
  <c r="N112" i="22" s="1"/>
  <c r="M110" i="22"/>
  <c r="M112" i="22" s="1"/>
  <c r="L110" i="22"/>
  <c r="L111" i="22" s="1"/>
  <c r="K110" i="22"/>
  <c r="K112" i="22" s="1"/>
  <c r="F110" i="22"/>
  <c r="F111" i="22" s="1"/>
  <c r="E110" i="22"/>
  <c r="E112" i="22" s="1"/>
  <c r="D110" i="22"/>
  <c r="D112" i="22" s="1"/>
  <c r="C110" i="22"/>
  <c r="C112" i="22" s="1"/>
  <c r="B110" i="22"/>
  <c r="B112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N108" i="22"/>
  <c r="M108" i="22"/>
  <c r="M25" i="39" s="1"/>
  <c r="L108" i="22"/>
  <c r="K108" i="22"/>
  <c r="J108" i="22"/>
  <c r="I108" i="22"/>
  <c r="H108" i="22"/>
  <c r="G108" i="22"/>
  <c r="F108" i="22"/>
  <c r="E108" i="22"/>
  <c r="D108" i="22"/>
  <c r="C108" i="22"/>
  <c r="C25" i="39"/>
  <c r="B108" i="22"/>
  <c r="B25" i="39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/>
  <c r="Q110" i="21"/>
  <c r="Q112" i="21"/>
  <c r="P110" i="21"/>
  <c r="P111" i="21"/>
  <c r="O110" i="21"/>
  <c r="O112" i="21"/>
  <c r="N110" i="21"/>
  <c r="N112" i="21"/>
  <c r="M110" i="21"/>
  <c r="M111" i="21"/>
  <c r="L110" i="21"/>
  <c r="L112" i="21"/>
  <c r="K110" i="21"/>
  <c r="K112" i="21"/>
  <c r="G110" i="21"/>
  <c r="G112" i="21" s="1"/>
  <c r="F110" i="21"/>
  <c r="F112" i="21"/>
  <c r="E110" i="21"/>
  <c r="E112" i="21" s="1"/>
  <c r="D110" i="21"/>
  <c r="D111" i="21" s="1"/>
  <c r="C110" i="21"/>
  <c r="C112" i="21"/>
  <c r="B110" i="21"/>
  <c r="B111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O24" i="39"/>
  <c r="N108" i="21"/>
  <c r="N24" i="39" s="1"/>
  <c r="M108" i="21"/>
  <c r="M24" i="39"/>
  <c r="L108" i="21"/>
  <c r="L24" i="39" s="1"/>
  <c r="K108" i="21"/>
  <c r="K24" i="39" s="1"/>
  <c r="J108" i="21"/>
  <c r="J24" i="39" s="1"/>
  <c r="I108" i="21"/>
  <c r="I24" i="39"/>
  <c r="H108" i="21"/>
  <c r="G108" i="21"/>
  <c r="F108" i="21"/>
  <c r="E108" i="2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 s="1"/>
  <c r="P110" i="20"/>
  <c r="P112" i="20" s="1"/>
  <c r="O110" i="20"/>
  <c r="O112" i="20" s="1"/>
  <c r="N110" i="20"/>
  <c r="N111" i="20" s="1"/>
  <c r="M110" i="20"/>
  <c r="M112" i="20" s="1"/>
  <c r="L110" i="20"/>
  <c r="L112" i="20" s="1"/>
  <c r="K110" i="20"/>
  <c r="K112" i="20"/>
  <c r="G110" i="20"/>
  <c r="G112" i="20" s="1"/>
  <c r="F110" i="20"/>
  <c r="F111" i="20" s="1"/>
  <c r="E110" i="20"/>
  <c r="E112" i="20" s="1"/>
  <c r="D110" i="20"/>
  <c r="D112" i="20" s="1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M108" i="20"/>
  <c r="L108" i="20"/>
  <c r="K108" i="20"/>
  <c r="J108" i="20"/>
  <c r="J23" i="39"/>
  <c r="I108" i="20"/>
  <c r="I23" i="39"/>
  <c r="H108" i="20"/>
  <c r="G108" i="20"/>
  <c r="F108" i="20"/>
  <c r="F23" i="39"/>
  <c r="E108" i="20"/>
  <c r="D108" i="20"/>
  <c r="D23" i="39" s="1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P110" i="19"/>
  <c r="P112" i="19" s="1"/>
  <c r="O110" i="19"/>
  <c r="O112" i="19" s="1"/>
  <c r="N110" i="19"/>
  <c r="N112" i="19" s="1"/>
  <c r="M110" i="19"/>
  <c r="M111" i="19" s="1"/>
  <c r="L110" i="19"/>
  <c r="L112" i="19" s="1"/>
  <c r="K110" i="19"/>
  <c r="K111" i="19" s="1"/>
  <c r="G110" i="19"/>
  <c r="G112" i="19"/>
  <c r="F110" i="19"/>
  <c r="F112" i="19" s="1"/>
  <c r="E110" i="19"/>
  <c r="E111" i="19" s="1"/>
  <c r="D110" i="19"/>
  <c r="D112" i="19" s="1"/>
  <c r="C110" i="19"/>
  <c r="C111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/>
  <c r="O108" i="19"/>
  <c r="N108" i="19"/>
  <c r="M108" i="19"/>
  <c r="L108" i="19"/>
  <c r="K108" i="19"/>
  <c r="K22" i="39"/>
  <c r="J108" i="19"/>
  <c r="I108" i="19"/>
  <c r="I22" i="39" s="1"/>
  <c r="H108" i="19"/>
  <c r="G108" i="19"/>
  <c r="F108" i="19"/>
  <c r="F22" i="39" s="1"/>
  <c r="E108" i="19"/>
  <c r="D108" i="19"/>
  <c r="C108" i="19"/>
  <c r="C22" i="39" s="1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2" i="18" s="1"/>
  <c r="O110" i="18"/>
  <c r="O112" i="18" s="1"/>
  <c r="N110" i="18"/>
  <c r="N112" i="18" s="1"/>
  <c r="M110" i="18"/>
  <c r="M111" i="18" s="1"/>
  <c r="L110" i="18"/>
  <c r="L112" i="18" s="1"/>
  <c r="K110" i="18"/>
  <c r="K112" i="18" s="1"/>
  <c r="G110" i="18"/>
  <c r="G111" i="18" s="1"/>
  <c r="F110" i="18"/>
  <c r="F112" i="18" s="1"/>
  <c r="E110" i="18"/>
  <c r="E112" i="18" s="1"/>
  <c r="D110" i="18"/>
  <c r="D112" i="18" s="1"/>
  <c r="C110" i="18"/>
  <c r="C111" i="18" s="1"/>
  <c r="B110" i="18"/>
  <c r="B111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N108" i="18"/>
  <c r="M108" i="18"/>
  <c r="M21" i="39" s="1"/>
  <c r="L108" i="18"/>
  <c r="L21" i="39" s="1"/>
  <c r="K108" i="18"/>
  <c r="J108" i="18"/>
  <c r="I108" i="18"/>
  <c r="I21" i="39" s="1"/>
  <c r="H108" i="18"/>
  <c r="H21" i="39" s="1"/>
  <c r="G108" i="18"/>
  <c r="F108" i="18"/>
  <c r="E108" i="18"/>
  <c r="E21" i="39" s="1"/>
  <c r="D108" i="18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1" i="17" s="1"/>
  <c r="O110" i="17"/>
  <c r="O111" i="17" s="1"/>
  <c r="N110" i="17"/>
  <c r="N112" i="17" s="1"/>
  <c r="M110" i="17"/>
  <c r="M112" i="17" s="1"/>
  <c r="L110" i="17"/>
  <c r="L111" i="17" s="1"/>
  <c r="K110" i="17"/>
  <c r="K111" i="17" s="1"/>
  <c r="G110" i="17"/>
  <c r="G112" i="17" s="1"/>
  <c r="F110" i="17"/>
  <c r="F111" i="17" s="1"/>
  <c r="E110" i="17"/>
  <c r="E111" i="17" s="1"/>
  <c r="D110" i="17"/>
  <c r="D111" i="17" s="1"/>
  <c r="C110" i="17"/>
  <c r="C112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/>
  <c r="N108" i="17"/>
  <c r="N20" i="39" s="1"/>
  <c r="M108" i="17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E108" i="17"/>
  <c r="D108" i="17"/>
  <c r="C108" i="17"/>
  <c r="C20" i="39"/>
  <c r="B108" i="17"/>
  <c r="B20" i="39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A20" i="39"/>
  <c r="P110" i="16"/>
  <c r="P112" i="16"/>
  <c r="O110" i="16"/>
  <c r="O111" i="16"/>
  <c r="N110" i="16"/>
  <c r="N112" i="16"/>
  <c r="M110" i="16"/>
  <c r="M112" i="16"/>
  <c r="L110" i="16"/>
  <c r="L112" i="16" s="1"/>
  <c r="K110" i="16"/>
  <c r="K112" i="16"/>
  <c r="G110" i="16"/>
  <c r="G112" i="16"/>
  <c r="F110" i="16"/>
  <c r="F112" i="16"/>
  <c r="E110" i="16"/>
  <c r="E112" i="16"/>
  <c r="D110" i="16"/>
  <c r="D111" i="16"/>
  <c r="C110" i="16"/>
  <c r="C112" i="16"/>
  <c r="B110" i="16"/>
  <c r="B112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/>
  <c r="O108" i="16"/>
  <c r="O19" i="39"/>
  <c r="N108" i="16"/>
  <c r="M108" i="16"/>
  <c r="M19" i="39" s="1"/>
  <c r="L108" i="16"/>
  <c r="K108" i="16"/>
  <c r="K19" i="39"/>
  <c r="J108" i="16"/>
  <c r="J19" i="39"/>
  <c r="I108" i="16"/>
  <c r="I19" i="39"/>
  <c r="H108" i="16"/>
  <c r="G108" i="16"/>
  <c r="F108" i="16"/>
  <c r="E108" i="16"/>
  <c r="E19" i="39" s="1"/>
  <c r="D108" i="16"/>
  <c r="D19" i="39" s="1"/>
  <c r="C108" i="16"/>
  <c r="C19" i="39" s="1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/>
  <c r="P110" i="15"/>
  <c r="P112" i="15"/>
  <c r="O110" i="15"/>
  <c r="O112" i="15"/>
  <c r="N110" i="15"/>
  <c r="N112" i="15" s="1"/>
  <c r="M110" i="15"/>
  <c r="M112" i="15"/>
  <c r="L110" i="15"/>
  <c r="L111" i="15"/>
  <c r="K110" i="15"/>
  <c r="K112" i="15"/>
  <c r="G110" i="15"/>
  <c r="G111" i="15"/>
  <c r="F110" i="15"/>
  <c r="F112" i="15"/>
  <c r="E110" i="15"/>
  <c r="E112" i="15"/>
  <c r="D110" i="15"/>
  <c r="D112" i="15"/>
  <c r="C110" i="15"/>
  <c r="C112" i="15" s="1"/>
  <c r="B110" i="15"/>
  <c r="B112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/>
  <c r="P108" i="15"/>
  <c r="O108" i="15"/>
  <c r="N108" i="15"/>
  <c r="N18" i="39"/>
  <c r="M108" i="15"/>
  <c r="L108" i="15"/>
  <c r="L18" i="39" s="1"/>
  <c r="K108" i="15"/>
  <c r="K18" i="39" s="1"/>
  <c r="J108" i="15"/>
  <c r="I108" i="15"/>
  <c r="H108" i="15"/>
  <c r="G108" i="15"/>
  <c r="F108" i="15"/>
  <c r="E108" i="15"/>
  <c r="D108" i="15"/>
  <c r="C108" i="15"/>
  <c r="C18" i="39"/>
  <c r="B108" i="15"/>
  <c r="B18" i="39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/>
  <c r="P110" i="14"/>
  <c r="P112" i="14"/>
  <c r="O110" i="14"/>
  <c r="O111" i="14"/>
  <c r="N110" i="14"/>
  <c r="N112" i="14" s="1"/>
  <c r="M110" i="14"/>
  <c r="M111" i="14"/>
  <c r="L110" i="14"/>
  <c r="L112" i="14"/>
  <c r="K110" i="14"/>
  <c r="K112" i="14"/>
  <c r="F110" i="14"/>
  <c r="F111" i="14"/>
  <c r="E110" i="14"/>
  <c r="E112" i="14"/>
  <c r="D110" i="14"/>
  <c r="D112" i="14"/>
  <c r="C110" i="14"/>
  <c r="C112" i="14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N108" i="14"/>
  <c r="M108" i="14"/>
  <c r="L108" i="14"/>
  <c r="K108" i="14"/>
  <c r="K17" i="39"/>
  <c r="J108" i="14"/>
  <c r="I108" i="14"/>
  <c r="H108" i="14"/>
  <c r="G108" i="14"/>
  <c r="G17" i="39" s="1"/>
  <c r="F108" i="14"/>
  <c r="F17" i="39"/>
  <c r="E108" i="14"/>
  <c r="E17" i="39"/>
  <c r="D108" i="14"/>
  <c r="D17" i="39" s="1"/>
  <c r="C108" i="14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 s="1"/>
  <c r="P110" i="13"/>
  <c r="P111" i="13"/>
  <c r="O110" i="13"/>
  <c r="O111" i="13"/>
  <c r="N110" i="13"/>
  <c r="N111" i="13"/>
  <c r="M110" i="13"/>
  <c r="M111" i="13" s="1"/>
  <c r="L110" i="13"/>
  <c r="L112" i="13"/>
  <c r="K110" i="13"/>
  <c r="K112" i="13"/>
  <c r="F110" i="13"/>
  <c r="F112" i="13"/>
  <c r="E110" i="13"/>
  <c r="E112" i="13" s="1"/>
  <c r="D110" i="13"/>
  <c r="D111" i="13"/>
  <c r="C110" i="13"/>
  <c r="C111" i="13"/>
  <c r="B110" i="13"/>
  <c r="B111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O108" i="13"/>
  <c r="O16" i="39"/>
  <c r="N108" i="13"/>
  <c r="M108" i="13"/>
  <c r="L108" i="13"/>
  <c r="K108" i="13"/>
  <c r="J108" i="13"/>
  <c r="I108" i="13"/>
  <c r="H108" i="13"/>
  <c r="H16" i="39"/>
  <c r="G108" i="13"/>
  <c r="G16" i="39"/>
  <c r="F108" i="13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2" i="12" s="1"/>
  <c r="O110" i="12"/>
  <c r="O111" i="12" s="1"/>
  <c r="N110" i="12"/>
  <c r="N112" i="12" s="1"/>
  <c r="M110" i="12"/>
  <c r="M111" i="12" s="1"/>
  <c r="L110" i="12"/>
  <c r="L112" i="12"/>
  <c r="K110" i="12"/>
  <c r="K111" i="12" s="1"/>
  <c r="G110" i="12"/>
  <c r="G112" i="12" s="1"/>
  <c r="E110" i="12"/>
  <c r="E112" i="12" s="1"/>
  <c r="D110" i="12"/>
  <c r="D112" i="12" s="1"/>
  <c r="C110" i="12"/>
  <c r="C111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 s="1"/>
  <c r="N108" i="12"/>
  <c r="M108" i="12"/>
  <c r="L108" i="12"/>
  <c r="L15" i="39"/>
  <c r="K108" i="12"/>
  <c r="J108" i="12"/>
  <c r="I108" i="12"/>
  <c r="I15" i="39" s="1"/>
  <c r="H108" i="12"/>
  <c r="H15" i="39" s="1"/>
  <c r="G108" i="12"/>
  <c r="F108" i="12"/>
  <c r="E108" i="12"/>
  <c r="E15" i="39"/>
  <c r="D108" i="12"/>
  <c r="D15" i="39" s="1"/>
  <c r="C108" i="12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1" i="11" s="1"/>
  <c r="P110" i="11"/>
  <c r="P112" i="11" s="1"/>
  <c r="O110" i="11"/>
  <c r="O112" i="11" s="1"/>
  <c r="N110" i="11"/>
  <c r="N112" i="11" s="1"/>
  <c r="M110" i="11"/>
  <c r="M112" i="11"/>
  <c r="L110" i="11"/>
  <c r="L112" i="11"/>
  <c r="K110" i="11"/>
  <c r="K112" i="11" s="1"/>
  <c r="F110" i="11"/>
  <c r="F112" i="11" s="1"/>
  <c r="E110" i="11"/>
  <c r="E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/>
  <c r="M108" i="11"/>
  <c r="M14" i="39"/>
  <c r="L108" i="11"/>
  <c r="K108" i="11"/>
  <c r="K14" i="39"/>
  <c r="J108" i="11"/>
  <c r="J14" i="39"/>
  <c r="I108" i="11"/>
  <c r="H108" i="11"/>
  <c r="G108" i="11"/>
  <c r="G14" i="39" s="1"/>
  <c r="F108" i="11"/>
  <c r="E108" i="11"/>
  <c r="D108" i="11"/>
  <c r="C108" i="11"/>
  <c r="C14" i="39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2" i="10" s="1"/>
  <c r="P110" i="10"/>
  <c r="P112" i="10" s="1"/>
  <c r="O110" i="10"/>
  <c r="O111" i="10" s="1"/>
  <c r="N110" i="10"/>
  <c r="N112" i="10" s="1"/>
  <c r="M110" i="10"/>
  <c r="M111" i="10" s="1"/>
  <c r="L110" i="10"/>
  <c r="L111" i="10"/>
  <c r="K110" i="10"/>
  <c r="K111" i="10" s="1"/>
  <c r="G110" i="10"/>
  <c r="G112" i="10" s="1"/>
  <c r="F110" i="10"/>
  <c r="F112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P13" i="39" s="1"/>
  <c r="O108" i="10"/>
  <c r="O13" i="39" s="1"/>
  <c r="N108" i="10"/>
  <c r="M108" i="10"/>
  <c r="M13" i="39"/>
  <c r="L108" i="10"/>
  <c r="L13" i="39"/>
  <c r="K108" i="10"/>
  <c r="K13" i="39"/>
  <c r="J108" i="10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/>
  <c r="P110" i="9"/>
  <c r="P112" i="9"/>
  <c r="O110" i="9"/>
  <c r="O111" i="9" s="1"/>
  <c r="N110" i="9"/>
  <c r="N112" i="9"/>
  <c r="L110" i="9"/>
  <c r="L112" i="9"/>
  <c r="K110" i="9"/>
  <c r="K112" i="9"/>
  <c r="G110" i="9"/>
  <c r="G112" i="9" s="1"/>
  <c r="F110" i="9"/>
  <c r="F112" i="9" s="1"/>
  <c r="E110" i="9"/>
  <c r="E112" i="9"/>
  <c r="D110" i="9"/>
  <c r="D112" i="9"/>
  <c r="C110" i="9"/>
  <c r="C112" i="9" s="1"/>
  <c r="B110" i="9"/>
  <c r="B112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 s="1"/>
  <c r="O108" i="9"/>
  <c r="N108" i="9"/>
  <c r="N12" i="39" s="1"/>
  <c r="M108" i="9"/>
  <c r="M12" i="39" s="1"/>
  <c r="L108" i="9"/>
  <c r="K108" i="9"/>
  <c r="J108" i="9"/>
  <c r="J12" i="39"/>
  <c r="I108" i="9"/>
  <c r="H108" i="9"/>
  <c r="H12" i="39" s="1"/>
  <c r="G108" i="9"/>
  <c r="G12" i="39" s="1"/>
  <c r="F108" i="9"/>
  <c r="E108" i="9"/>
  <c r="E12" i="39"/>
  <c r="D108" i="9"/>
  <c r="C108" i="9"/>
  <c r="C12" i="39"/>
  <c r="B108" i="9"/>
  <c r="B12" i="3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N112" i="8"/>
  <c r="M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M108" i="8"/>
  <c r="L108" i="8"/>
  <c r="L11" i="39" s="1"/>
  <c r="K108" i="8"/>
  <c r="K11" i="39" s="1"/>
  <c r="J108" i="8"/>
  <c r="I108" i="8"/>
  <c r="I11" i="39"/>
  <c r="H108" i="8"/>
  <c r="H11" i="39" s="1"/>
  <c r="G108" i="8"/>
  <c r="G11" i="39"/>
  <c r="F108" i="8"/>
  <c r="F11" i="39"/>
  <c r="E108" i="8"/>
  <c r="E11" i="39"/>
  <c r="D108" i="8"/>
  <c r="D11" i="39" s="1"/>
  <c r="C108" i="8"/>
  <c r="C11" i="39" s="1"/>
  <c r="B108" i="8"/>
  <c r="B11" i="39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/>
  <c r="P112" i="3"/>
  <c r="O112" i="3"/>
  <c r="B110" i="3"/>
  <c r="B112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/>
  <c r="P108" i="3"/>
  <c r="O108" i="3"/>
  <c r="N108" i="3"/>
  <c r="N10" i="39" s="1"/>
  <c r="M108" i="3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A34" i="39"/>
  <c r="J27" i="39"/>
  <c r="F27" i="39"/>
  <c r="C27" i="39"/>
  <c r="N109" i="2"/>
  <c r="O109" i="2"/>
  <c r="P109" i="2"/>
  <c r="N108" i="2"/>
  <c r="N9" i="39"/>
  <c r="O108" i="2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J27" i="6"/>
  <c r="J111" i="2"/>
  <c r="H112" i="2"/>
  <c r="N21" i="39"/>
  <c r="N17" i="39"/>
  <c r="Q35" i="39"/>
  <c r="M35" i="39"/>
  <c r="L35" i="39"/>
  <c r="K35" i="39"/>
  <c r="H35" i="39"/>
  <c r="D35" i="39"/>
  <c r="B35" i="39"/>
  <c r="A35" i="39"/>
  <c r="K92" i="6"/>
  <c r="J92" i="6"/>
  <c r="K51" i="6"/>
  <c r="J51" i="6"/>
  <c r="K50" i="6"/>
  <c r="J50" i="6"/>
  <c r="K91" i="6"/>
  <c r="J91" i="6"/>
  <c r="K90" i="6"/>
  <c r="J90" i="6"/>
  <c r="B110" i="2"/>
  <c r="B112" i="2" s="1"/>
  <c r="D112" i="2"/>
  <c r="O112" i="2"/>
  <c r="Q112" i="2"/>
  <c r="T40" i="6"/>
  <c r="T21" i="6"/>
  <c r="K88" i="6"/>
  <c r="J88" i="6"/>
  <c r="K115" i="6"/>
  <c r="J115" i="6"/>
  <c r="I115" i="6"/>
  <c r="L12" i="39"/>
  <c r="I12" i="39"/>
  <c r="F12" i="39"/>
  <c r="D12" i="39"/>
  <c r="K9" i="6"/>
  <c r="K10" i="6"/>
  <c r="K11" i="6"/>
  <c r="K12" i="6"/>
  <c r="J13" i="6"/>
  <c r="K13" i="6"/>
  <c r="J14" i="6"/>
  <c r="K14" i="6"/>
  <c r="Q38" i="39"/>
  <c r="P38" i="39"/>
  <c r="O38" i="39"/>
  <c r="M38" i="39"/>
  <c r="L38" i="39"/>
  <c r="K38" i="39"/>
  <c r="J38" i="39"/>
  <c r="H38" i="39"/>
  <c r="G38" i="39"/>
  <c r="F38" i="39"/>
  <c r="E38" i="39"/>
  <c r="D38" i="39"/>
  <c r="C38" i="39"/>
  <c r="O37" i="39"/>
  <c r="N37" i="39"/>
  <c r="M37" i="39"/>
  <c r="L37" i="39"/>
  <c r="K37" i="39"/>
  <c r="J37" i="39"/>
  <c r="I37" i="39"/>
  <c r="E37" i="39"/>
  <c r="C37" i="39"/>
  <c r="B37" i="39"/>
  <c r="A37" i="39"/>
  <c r="A26" i="39"/>
  <c r="C26" i="39"/>
  <c r="D26" i="39"/>
  <c r="H26" i="39"/>
  <c r="I26" i="39"/>
  <c r="K26" i="39"/>
  <c r="O25" i="39"/>
  <c r="N25" i="39"/>
  <c r="L25" i="39"/>
  <c r="K25" i="39"/>
  <c r="J25" i="39"/>
  <c r="H25" i="39"/>
  <c r="G25" i="39"/>
  <c r="F25" i="39"/>
  <c r="E25" i="39"/>
  <c r="D25" i="39"/>
  <c r="Q24" i="39"/>
  <c r="G24" i="39"/>
  <c r="E24" i="39"/>
  <c r="A24" i="39"/>
  <c r="Q23" i="39"/>
  <c r="M23" i="39"/>
  <c r="L23" i="39"/>
  <c r="K23" i="39"/>
  <c r="H23" i="39"/>
  <c r="E23" i="39"/>
  <c r="B23" i="39"/>
  <c r="Q22" i="39"/>
  <c r="N22" i="39"/>
  <c r="M22" i="39"/>
  <c r="L22" i="39"/>
  <c r="G22" i="39"/>
  <c r="Q21" i="39"/>
  <c r="P21" i="39"/>
  <c r="K21" i="39"/>
  <c r="J21" i="39"/>
  <c r="G21" i="39"/>
  <c r="F21" i="39"/>
  <c r="D21" i="39"/>
  <c r="C21" i="39"/>
  <c r="B21" i="39"/>
  <c r="A21" i="39"/>
  <c r="M20" i="39"/>
  <c r="E20" i="39"/>
  <c r="L19" i="39"/>
  <c r="H19" i="39"/>
  <c r="G19" i="39"/>
  <c r="B19" i="39"/>
  <c r="M18" i="39"/>
  <c r="J18" i="39"/>
  <c r="I18" i="39"/>
  <c r="H18" i="39"/>
  <c r="G18" i="39"/>
  <c r="E18" i="39"/>
  <c r="D18" i="39"/>
  <c r="P17" i="39"/>
  <c r="M17" i="39"/>
  <c r="L17" i="39"/>
  <c r="I17" i="39"/>
  <c r="C17" i="39"/>
  <c r="A17" i="39"/>
  <c r="Q16" i="39"/>
  <c r="P16" i="39"/>
  <c r="L16" i="39"/>
  <c r="J16" i="39"/>
  <c r="I16" i="39"/>
  <c r="F16" i="39"/>
  <c r="E16" i="39"/>
  <c r="D16" i="39"/>
  <c r="C16" i="39"/>
  <c r="B16" i="39"/>
  <c r="N15" i="39"/>
  <c r="M15" i="39"/>
  <c r="G15" i="39"/>
  <c r="F15" i="39"/>
  <c r="C15" i="39"/>
  <c r="L14" i="39"/>
  <c r="I14" i="39"/>
  <c r="H14" i="39"/>
  <c r="F14" i="39"/>
  <c r="E14" i="39"/>
  <c r="D14" i="39"/>
  <c r="D13" i="39"/>
  <c r="K12" i="39"/>
  <c r="O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 s="1"/>
  <c r="E108" i="2"/>
  <c r="E9" i="39" s="1"/>
  <c r="F108" i="2"/>
  <c r="F9" i="39" s="1"/>
  <c r="G108" i="2"/>
  <c r="G9" i="39" s="1"/>
  <c r="H108" i="2"/>
  <c r="H9" i="39" s="1"/>
  <c r="I108" i="2"/>
  <c r="I9" i="39" s="1"/>
  <c r="J108" i="2"/>
  <c r="J9" i="39" s="1"/>
  <c r="K108" i="2"/>
  <c r="K9" i="39" s="1"/>
  <c r="L108" i="2"/>
  <c r="L9" i="39" s="1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K36" i="39"/>
  <c r="P35" i="39"/>
  <c r="G35" i="39"/>
  <c r="E35" i="39"/>
  <c r="C35" i="39"/>
  <c r="M34" i="39"/>
  <c r="L34" i="39"/>
  <c r="K34" i="39"/>
  <c r="J34" i="39"/>
  <c r="I34" i="39"/>
  <c r="H34" i="39"/>
  <c r="F34" i="39"/>
  <c r="M33" i="39"/>
  <c r="L33" i="39"/>
  <c r="J33" i="39"/>
  <c r="I33" i="39"/>
  <c r="H33" i="39"/>
  <c r="F33" i="39"/>
  <c r="C33" i="39"/>
  <c r="B33" i="39"/>
  <c r="Q32" i="39"/>
  <c r="O32" i="39"/>
  <c r="N32" i="39"/>
  <c r="K32" i="39"/>
  <c r="I32" i="39"/>
  <c r="G32" i="39"/>
  <c r="F32" i="39"/>
  <c r="E32" i="39"/>
  <c r="C32" i="39"/>
  <c r="B32" i="39"/>
  <c r="Q31" i="39"/>
  <c r="P31" i="39"/>
  <c r="M31" i="39"/>
  <c r="J31" i="39"/>
  <c r="I31" i="39"/>
  <c r="F31" i="39"/>
  <c r="M30" i="39"/>
  <c r="L30" i="39"/>
  <c r="I30" i="39"/>
  <c r="C30" i="39"/>
  <c r="B30" i="39"/>
  <c r="Q29" i="39"/>
  <c r="K29" i="39"/>
  <c r="J29" i="39"/>
  <c r="I29" i="39"/>
  <c r="H29" i="39"/>
  <c r="G29" i="39"/>
  <c r="F29" i="39"/>
  <c r="E29" i="39"/>
  <c r="D29" i="39"/>
  <c r="P28" i="39"/>
  <c r="N28" i="39"/>
  <c r="K28" i="39"/>
  <c r="I28" i="39"/>
  <c r="H28" i="39"/>
  <c r="G28" i="39"/>
  <c r="F28" i="39"/>
  <c r="B28" i="39"/>
  <c r="P27" i="39"/>
  <c r="O27" i="39"/>
  <c r="M27" i="39"/>
  <c r="L27" i="39"/>
  <c r="H27" i="39"/>
  <c r="G27" i="39"/>
  <c r="B27" i="39"/>
  <c r="O26" i="39"/>
  <c r="G26" i="39"/>
  <c r="I25" i="39"/>
  <c r="P24" i="39"/>
  <c r="H24" i="39"/>
  <c r="N23" i="39"/>
  <c r="C23" i="39"/>
  <c r="O22" i="39"/>
  <c r="D22" i="39"/>
  <c r="O21" i="39"/>
  <c r="P20" i="39"/>
  <c r="F20" i="39"/>
  <c r="D20" i="39"/>
  <c r="F18" i="39"/>
  <c r="M16" i="39"/>
  <c r="K16" i="39"/>
  <c r="K15" i="39"/>
  <c r="J15" i="39"/>
  <c r="Q12" i="39"/>
  <c r="O12" i="39"/>
  <c r="N11" i="39"/>
  <c r="P10" i="39"/>
  <c r="E34" i="39"/>
  <c r="E26" i="39"/>
  <c r="P23" i="39"/>
  <c r="P18" i="39"/>
  <c r="Q17" i="39"/>
  <c r="P15" i="39"/>
  <c r="B2" i="2"/>
  <c r="A9" i="39"/>
  <c r="B2" i="39" s="1"/>
  <c r="D2" i="5" s="1"/>
  <c r="E22" i="39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O36" i="39"/>
  <c r="J36" i="39"/>
  <c r="N35" i="39"/>
  <c r="G34" i="39"/>
  <c r="B34" i="39"/>
  <c r="J32" i="39"/>
  <c r="H32" i="39"/>
  <c r="D32" i="39"/>
  <c r="N29" i="39"/>
  <c r="B29" i="39"/>
  <c r="J28" i="39"/>
  <c r="O23" i="39"/>
  <c r="G23" i="39"/>
  <c r="J11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O28" i="39"/>
  <c r="F26" i="39"/>
  <c r="F24" i="39"/>
  <c r="J22" i="39"/>
  <c r="N19" i="39"/>
  <c r="F19" i="39"/>
  <c r="O18" i="39"/>
  <c r="O17" i="39"/>
  <c r="J17" i="39"/>
  <c r="H17" i="39"/>
  <c r="B17" i="39"/>
  <c r="N16" i="39"/>
  <c r="K28" i="6"/>
  <c r="J28" i="6"/>
  <c r="N13" i="39"/>
  <c r="J13" i="39"/>
  <c r="D9" i="5"/>
  <c r="D10" i="5"/>
  <c r="I119" i="6"/>
  <c r="J101" i="6"/>
  <c r="J81" i="6"/>
  <c r="J61" i="6"/>
  <c r="I21" i="6"/>
  <c r="O9" i="39"/>
  <c r="D8" i="5"/>
  <c r="D24" i="5" s="1"/>
  <c r="D20" i="5"/>
  <c r="D21" i="5"/>
  <c r="D22" i="5"/>
  <c r="D23" i="5"/>
  <c r="D11" i="5"/>
  <c r="D12" i="5"/>
  <c r="D13" i="5"/>
  <c r="D14" i="5"/>
  <c r="D15" i="5"/>
  <c r="D16" i="5"/>
  <c r="D17" i="5"/>
  <c r="D18" i="5"/>
  <c r="D19" i="5"/>
  <c r="H111" i="2"/>
  <c r="H22" i="39"/>
  <c r="O111" i="2"/>
  <c r="P111" i="41"/>
  <c r="N111" i="41"/>
  <c r="M111" i="41"/>
  <c r="L111" i="41"/>
  <c r="K111" i="41"/>
  <c r="G111" i="41"/>
  <c r="E111" i="41"/>
  <c r="C111" i="41"/>
  <c r="B111" i="41"/>
  <c r="Q111" i="40"/>
  <c r="P111" i="40"/>
  <c r="O111" i="40"/>
  <c r="N111" i="40"/>
  <c r="G111" i="40"/>
  <c r="F111" i="40"/>
  <c r="E111" i="40"/>
  <c r="C111" i="40"/>
  <c r="Q111" i="32"/>
  <c r="O111" i="32"/>
  <c r="M111" i="32"/>
  <c r="L111" i="32"/>
  <c r="K111" i="32"/>
  <c r="G111" i="32"/>
  <c r="D111" i="32"/>
  <c r="O111" i="31"/>
  <c r="N111" i="31"/>
  <c r="L111" i="31"/>
  <c r="D111" i="31"/>
  <c r="C111" i="31"/>
  <c r="B111" i="31"/>
  <c r="P111" i="30"/>
  <c r="O111" i="30"/>
  <c r="N111" i="30"/>
  <c r="M111" i="30"/>
  <c r="L111" i="30"/>
  <c r="E111" i="30"/>
  <c r="D111" i="30"/>
  <c r="B111" i="30"/>
  <c r="P111" i="29"/>
  <c r="N111" i="29"/>
  <c r="M111" i="29"/>
  <c r="L111" i="29"/>
  <c r="K111" i="29"/>
  <c r="E111" i="29"/>
  <c r="D111" i="29"/>
  <c r="C111" i="29"/>
  <c r="B111" i="29"/>
  <c r="Q111" i="28"/>
  <c r="N111" i="28"/>
  <c r="M111" i="28"/>
  <c r="L111" i="28"/>
  <c r="K111" i="28"/>
  <c r="G111" i="28"/>
  <c r="E111" i="28"/>
  <c r="D111" i="28"/>
  <c r="C111" i="28"/>
  <c r="P111" i="27"/>
  <c r="L111" i="27"/>
  <c r="E111" i="27"/>
  <c r="B111" i="27"/>
  <c r="L111" i="26"/>
  <c r="K111" i="26"/>
  <c r="D111" i="26"/>
  <c r="P111" i="24"/>
  <c r="O111" i="24"/>
  <c r="N111" i="24"/>
  <c r="M111" i="24"/>
  <c r="L111" i="24"/>
  <c r="K111" i="24"/>
  <c r="Q111" i="24"/>
  <c r="F111" i="24"/>
  <c r="E111" i="24"/>
  <c r="D111" i="24"/>
  <c r="C111" i="24"/>
  <c r="B111" i="24"/>
  <c r="M111" i="23"/>
  <c r="L111" i="23"/>
  <c r="K111" i="23"/>
  <c r="H111" i="23"/>
  <c r="E111" i="23"/>
  <c r="D111" i="23"/>
  <c r="C111" i="23"/>
  <c r="B111" i="23"/>
  <c r="P111" i="22"/>
  <c r="N111" i="22"/>
  <c r="M111" i="22"/>
  <c r="K111" i="22"/>
  <c r="E111" i="22"/>
  <c r="D111" i="22"/>
  <c r="C111" i="22"/>
  <c r="B111" i="22"/>
  <c r="Q111" i="21"/>
  <c r="N111" i="21"/>
  <c r="L111" i="21"/>
  <c r="K111" i="21"/>
  <c r="G111" i="21"/>
  <c r="E111" i="21"/>
  <c r="C111" i="21"/>
  <c r="O111" i="20"/>
  <c r="Q112" i="20"/>
  <c r="M111" i="20"/>
  <c r="L111" i="20"/>
  <c r="K111" i="20"/>
  <c r="G111" i="20"/>
  <c r="D111" i="20"/>
  <c r="B111" i="20"/>
  <c r="P111" i="19"/>
  <c r="O111" i="19"/>
  <c r="N111" i="19"/>
  <c r="L111" i="19"/>
  <c r="H111" i="19"/>
  <c r="G111" i="19"/>
  <c r="F111" i="19"/>
  <c r="D111" i="19"/>
  <c r="B111" i="19"/>
  <c r="Q111" i="18"/>
  <c r="P111" i="18"/>
  <c r="N111" i="18"/>
  <c r="L111" i="18"/>
  <c r="F111" i="18"/>
  <c r="E111" i="18"/>
  <c r="D111" i="18"/>
  <c r="G111" i="17"/>
  <c r="B111" i="17"/>
  <c r="N111" i="16"/>
  <c r="L111" i="16"/>
  <c r="G111" i="16"/>
  <c r="F111" i="16"/>
  <c r="E111" i="16"/>
  <c r="P111" i="15"/>
  <c r="O111" i="15"/>
  <c r="N111" i="15"/>
  <c r="M111" i="15"/>
  <c r="K111" i="15"/>
  <c r="J111" i="15"/>
  <c r="F111" i="15"/>
  <c r="E111" i="15"/>
  <c r="D111" i="15"/>
  <c r="C111" i="15"/>
  <c r="B111" i="15"/>
  <c r="P111" i="14"/>
  <c r="N111" i="14"/>
  <c r="L111" i="14"/>
  <c r="K111" i="14"/>
  <c r="E111" i="14"/>
  <c r="C111" i="14"/>
  <c r="Q111" i="13"/>
  <c r="L111" i="13"/>
  <c r="K111" i="13"/>
  <c r="F111" i="13"/>
  <c r="E111" i="13"/>
  <c r="Q111" i="12"/>
  <c r="P111" i="12"/>
  <c r="N111" i="12"/>
  <c r="L111" i="12"/>
  <c r="E111" i="12"/>
  <c r="D111" i="12"/>
  <c r="B111" i="12"/>
  <c r="O111" i="11"/>
  <c r="N111" i="11"/>
  <c r="M111" i="11"/>
  <c r="L111" i="11"/>
  <c r="K111" i="11"/>
  <c r="E111" i="11"/>
  <c r="Q111" i="10"/>
  <c r="P111" i="10"/>
  <c r="N111" i="10"/>
  <c r="G111" i="10"/>
  <c r="F111" i="10"/>
  <c r="B111" i="10"/>
  <c r="P111" i="9"/>
  <c r="N111" i="9"/>
  <c r="K111" i="9"/>
  <c r="E111" i="9"/>
  <c r="C111" i="9"/>
  <c r="M111" i="8"/>
  <c r="P111" i="3"/>
  <c r="O111" i="3"/>
  <c r="H111" i="3"/>
  <c r="G111" i="3"/>
  <c r="C112" i="30"/>
  <c r="D112" i="3"/>
  <c r="Q111" i="2"/>
  <c r="G111" i="2"/>
  <c r="J112" i="2"/>
  <c r="D111" i="2"/>
  <c r="M112" i="10"/>
  <c r="E111" i="10"/>
  <c r="L111" i="9"/>
  <c r="G111" i="9"/>
  <c r="E112" i="2"/>
  <c r="B111" i="3"/>
  <c r="L111" i="2"/>
  <c r="F112" i="3"/>
  <c r="E112" i="3"/>
  <c r="J111" i="10"/>
  <c r="I111" i="10"/>
  <c r="I112" i="9"/>
  <c r="H112" i="9"/>
  <c r="B111" i="9"/>
  <c r="J112" i="8"/>
  <c r="P111" i="8"/>
  <c r="L111" i="8"/>
  <c r="I112" i="8"/>
  <c r="F112" i="8"/>
  <c r="N111" i="8"/>
  <c r="J111" i="13"/>
  <c r="P112" i="13"/>
  <c r="J112" i="12"/>
  <c r="H112" i="12"/>
  <c r="G111" i="12"/>
  <c r="J112" i="11"/>
  <c r="Q112" i="11"/>
  <c r="P111" i="11"/>
  <c r="G111" i="11"/>
  <c r="C111" i="11"/>
  <c r="C111" i="16"/>
  <c r="I112" i="16"/>
  <c r="P111" i="16"/>
  <c r="I111" i="15"/>
  <c r="H112" i="14"/>
  <c r="J112" i="14"/>
  <c r="B112" i="18"/>
  <c r="J111" i="17"/>
  <c r="I112" i="17"/>
  <c r="H111" i="17"/>
  <c r="L112" i="17"/>
  <c r="M111" i="17"/>
  <c r="K112" i="17"/>
  <c r="F112" i="17"/>
  <c r="D112" i="17"/>
  <c r="E112" i="17"/>
  <c r="I112" i="20"/>
  <c r="J112" i="20"/>
  <c r="J112" i="19"/>
  <c r="I112" i="19"/>
  <c r="E112" i="19"/>
  <c r="M112" i="19"/>
  <c r="C112" i="19"/>
  <c r="P112" i="25"/>
  <c r="O112" i="25"/>
  <c r="J111" i="25"/>
  <c r="B111" i="25"/>
  <c r="Q112" i="25"/>
  <c r="K112" i="25"/>
  <c r="I112" i="25"/>
  <c r="J112" i="24"/>
  <c r="I111" i="24"/>
  <c r="J111" i="23"/>
  <c r="Q111" i="23"/>
  <c r="I112" i="23"/>
  <c r="J111" i="22"/>
  <c r="Q112" i="22"/>
  <c r="O112" i="22"/>
  <c r="J112" i="21"/>
  <c r="H112" i="21"/>
  <c r="P112" i="21"/>
  <c r="D112" i="27"/>
  <c r="C112" i="27"/>
  <c r="H111" i="27"/>
  <c r="J112" i="26"/>
  <c r="I111" i="26"/>
  <c r="P112" i="26"/>
  <c r="O111" i="27"/>
  <c r="K111" i="27"/>
  <c r="J111" i="27"/>
  <c r="B112" i="32"/>
  <c r="J112" i="32"/>
  <c r="H112" i="32"/>
  <c r="P111" i="31"/>
  <c r="J111" i="30"/>
  <c r="H111" i="30"/>
  <c r="G112" i="30"/>
  <c r="I111" i="29"/>
  <c r="H111" i="29"/>
  <c r="O111" i="29"/>
  <c r="I111" i="28"/>
  <c r="B111" i="28"/>
  <c r="J112" i="40"/>
  <c r="H112" i="40"/>
  <c r="D111" i="40"/>
  <c r="J111" i="41"/>
  <c r="H111" i="41"/>
  <c r="Q112" i="41"/>
  <c r="P111" i="2"/>
  <c r="F111" i="2"/>
  <c r="B111" i="2"/>
  <c r="J112" i="3"/>
  <c r="L112" i="3"/>
  <c r="C112" i="3"/>
  <c r="K112" i="8"/>
  <c r="Q112" i="8"/>
  <c r="J111" i="9"/>
  <c r="D111" i="10"/>
  <c r="O112" i="10"/>
  <c r="H111" i="10"/>
  <c r="F111" i="11"/>
  <c r="B112" i="11"/>
  <c r="M112" i="12"/>
  <c r="K112" i="12"/>
  <c r="D112" i="13"/>
  <c r="O112" i="13"/>
  <c r="B112" i="13"/>
  <c r="M112" i="13"/>
  <c r="F112" i="14"/>
  <c r="D111" i="14"/>
  <c r="O112" i="14"/>
  <c r="L112" i="15"/>
  <c r="G112" i="15"/>
  <c r="H112" i="15"/>
  <c r="H112" i="16"/>
  <c r="K111" i="16"/>
  <c r="M112" i="18"/>
  <c r="C112" i="18"/>
  <c r="K111" i="18"/>
  <c r="K112" i="19"/>
  <c r="C111" i="20"/>
  <c r="H111" i="20"/>
  <c r="N112" i="20"/>
  <c r="F111" i="21"/>
  <c r="D112" i="21"/>
  <c r="O111" i="21"/>
  <c r="I112" i="21"/>
  <c r="I111" i="22"/>
  <c r="L112" i="22"/>
  <c r="F112" i="22"/>
  <c r="F112" i="23"/>
  <c r="O112" i="26"/>
  <c r="M112" i="26"/>
  <c r="F111" i="27"/>
  <c r="G112" i="27"/>
  <c r="P112" i="28"/>
  <c r="Q112" i="29"/>
  <c r="K111" i="30"/>
  <c r="Q112" i="30"/>
  <c r="M112" i="31"/>
  <c r="K112" i="31"/>
  <c r="E112" i="32"/>
  <c r="P111" i="32"/>
  <c r="C112" i="32"/>
  <c r="N112" i="32"/>
  <c r="L111" i="40"/>
  <c r="C111" i="10"/>
  <c r="L112" i="10"/>
  <c r="K112" i="10"/>
  <c r="M112" i="9"/>
  <c r="F111" i="9"/>
  <c r="Q111" i="9"/>
  <c r="D111" i="9"/>
  <c r="O112" i="9"/>
  <c r="G112" i="8"/>
  <c r="D111" i="8"/>
  <c r="C111" i="8"/>
  <c r="B112" i="8"/>
  <c r="E111" i="8"/>
  <c r="O111" i="8"/>
  <c r="H112" i="8"/>
  <c r="K111" i="3"/>
  <c r="Q111" i="3"/>
  <c r="N111" i="3"/>
  <c r="M112" i="3"/>
  <c r="I111" i="3"/>
  <c r="N112" i="2"/>
  <c r="K111" i="2"/>
  <c r="I111" i="2"/>
  <c r="M112" i="2"/>
  <c r="C111" i="2"/>
  <c r="I112" i="12"/>
  <c r="F111" i="12"/>
  <c r="O112" i="12"/>
  <c r="C112" i="12"/>
  <c r="D112" i="11"/>
  <c r="I111" i="11"/>
  <c r="H111" i="11"/>
  <c r="H111" i="13"/>
  <c r="G111" i="13"/>
  <c r="C112" i="13"/>
  <c r="N112" i="13"/>
  <c r="I111" i="13"/>
  <c r="Q112" i="16"/>
  <c r="B111" i="16"/>
  <c r="D112" i="16"/>
  <c r="O112" i="16"/>
  <c r="M111" i="16"/>
  <c r="J111" i="16"/>
  <c r="Q112" i="15"/>
  <c r="I112" i="14"/>
  <c r="G112" i="14"/>
  <c r="B112" i="14"/>
  <c r="M112" i="14"/>
  <c r="Q111" i="14"/>
  <c r="H111" i="18"/>
  <c r="I111" i="18"/>
  <c r="J111" i="18"/>
  <c r="O111" i="18"/>
  <c r="G112" i="18"/>
  <c r="Q111" i="17"/>
  <c r="P112" i="17"/>
  <c r="O112" i="17"/>
  <c r="C111" i="17"/>
  <c r="N111" i="17"/>
  <c r="B112" i="21"/>
  <c r="M112" i="21"/>
  <c r="F112" i="20"/>
  <c r="E111" i="20"/>
  <c r="P111" i="20"/>
  <c r="Q111" i="19"/>
  <c r="G111" i="23"/>
  <c r="P112" i="23"/>
  <c r="O112" i="23"/>
  <c r="N112" i="23"/>
  <c r="H111" i="22"/>
  <c r="G112" i="22"/>
  <c r="L111" i="25"/>
  <c r="M111" i="25"/>
  <c r="G112" i="25"/>
  <c r="E112" i="25"/>
  <c r="D111" i="25"/>
  <c r="C112" i="25"/>
  <c r="F111" i="25"/>
  <c r="N111" i="25"/>
  <c r="G111" i="24"/>
  <c r="H112" i="24"/>
  <c r="B112" i="26"/>
  <c r="C112" i="26"/>
  <c r="Q111" i="26"/>
  <c r="H112" i="26"/>
  <c r="G111" i="26"/>
  <c r="F111" i="26"/>
  <c r="E111" i="26"/>
  <c r="N112" i="26"/>
  <c r="J111" i="28"/>
  <c r="F111" i="28"/>
  <c r="O112" i="28"/>
  <c r="H111" i="28"/>
  <c r="Q112" i="27"/>
  <c r="N112" i="27"/>
  <c r="M112" i="27"/>
  <c r="I111" i="30"/>
  <c r="F111" i="30"/>
  <c r="F112" i="29"/>
  <c r="G111" i="29"/>
  <c r="J111" i="29"/>
  <c r="I112" i="32"/>
  <c r="F111" i="32"/>
  <c r="J112" i="31"/>
  <c r="I112" i="31"/>
  <c r="H111" i="31"/>
  <c r="G111" i="31"/>
  <c r="F112" i="31"/>
  <c r="E112" i="31"/>
  <c r="Q112" i="33"/>
  <c r="P112" i="33"/>
  <c r="O111" i="33"/>
  <c r="N111" i="33"/>
  <c r="L111" i="33"/>
  <c r="K111" i="33"/>
  <c r="J111" i="33"/>
  <c r="I111" i="33"/>
  <c r="H111" i="33"/>
  <c r="G111" i="33"/>
  <c r="F111" i="33"/>
  <c r="E111" i="33"/>
  <c r="D111" i="33"/>
  <c r="C111" i="33"/>
  <c r="B111" i="33"/>
  <c r="F111" i="41"/>
  <c r="I111" i="41"/>
  <c r="O111" i="41"/>
  <c r="D111" i="41"/>
  <c r="B112" i="40"/>
  <c r="M112" i="40"/>
  <c r="I111" i="40"/>
  <c r="K112" i="40"/>
  <c r="Q112" i="44"/>
  <c r="P111" i="44"/>
  <c r="O111" i="44"/>
  <c r="N111" i="44"/>
  <c r="M111" i="44"/>
  <c r="K111" i="44"/>
  <c r="J111" i="44"/>
  <c r="G111" i="44"/>
  <c r="C111" i="44"/>
  <c r="B111" i="44"/>
  <c r="I111" i="44"/>
  <c r="E112" i="44"/>
  <c r="F112" i="44"/>
  <c r="H111" i="44"/>
  <c r="D112" i="44"/>
  <c r="L112" i="44"/>
  <c r="M43" i="39" l="1"/>
  <c r="M44" i="39"/>
  <c r="M42" i="39"/>
  <c r="M41" i="39"/>
  <c r="M40" i="39"/>
  <c r="P41" i="39"/>
  <c r="P40" i="39"/>
  <c r="P43" i="39"/>
  <c r="P44" i="39"/>
  <c r="P42" i="39"/>
  <c r="Q41" i="39"/>
  <c r="Q43" i="39"/>
  <c r="Q42" i="39"/>
  <c r="Q40" i="39"/>
  <c r="Q44" i="39"/>
  <c r="D44" i="5"/>
  <c r="L40" i="39"/>
  <c r="L42" i="39"/>
  <c r="L44" i="39"/>
  <c r="L43" i="39"/>
  <c r="L41" i="39"/>
  <c r="J44" i="39"/>
  <c r="J42" i="39"/>
  <c r="J40" i="39"/>
  <c r="J43" i="39"/>
  <c r="J41" i="39"/>
  <c r="K40" i="39"/>
  <c r="K42" i="39"/>
  <c r="K43" i="39"/>
  <c r="K41" i="39"/>
  <c r="K44" i="39"/>
  <c r="I44" i="39"/>
  <c r="I43" i="39"/>
  <c r="I41" i="39"/>
  <c r="I40" i="39"/>
  <c r="I42" i="39"/>
  <c r="O43" i="39"/>
  <c r="O44" i="39"/>
  <c r="O42" i="39"/>
  <c r="O40" i="39"/>
  <c r="H40" i="39"/>
  <c r="H41" i="39"/>
  <c r="H42" i="39"/>
  <c r="H43" i="39"/>
  <c r="H44" i="39"/>
  <c r="G44" i="39"/>
  <c r="G43" i="39"/>
  <c r="G41" i="39"/>
  <c r="G40" i="39"/>
  <c r="G42" i="39"/>
  <c r="O41" i="39"/>
  <c r="F42" i="39"/>
  <c r="F41" i="39"/>
  <c r="F40" i="39"/>
  <c r="F44" i="39"/>
  <c r="F43" i="39"/>
  <c r="E44" i="39"/>
  <c r="E40" i="39"/>
  <c r="E42" i="39"/>
  <c r="E43" i="39"/>
  <c r="E41" i="39"/>
  <c r="N42" i="39"/>
  <c r="N44" i="39"/>
  <c r="N43" i="39"/>
  <c r="N41" i="39"/>
  <c r="N40" i="39"/>
  <c r="B41" i="39"/>
  <c r="B42" i="39"/>
  <c r="B40" i="39"/>
  <c r="B43" i="39"/>
  <c r="B44" i="39"/>
  <c r="D42" i="39"/>
  <c r="D43" i="39"/>
  <c r="D41" i="39"/>
  <c r="D44" i="39"/>
  <c r="D40" i="39"/>
  <c r="C42" i="39"/>
  <c r="C43" i="39"/>
  <c r="C41" i="39"/>
  <c r="C40" i="39"/>
  <c r="C44" i="39"/>
  <c r="N46" i="39" l="1"/>
  <c r="N45" i="39"/>
  <c r="K45" i="39"/>
  <c r="K46" i="39"/>
  <c r="Q45" i="39"/>
  <c r="Q46" i="39"/>
  <c r="G46" i="39"/>
  <c r="G45" i="39"/>
  <c r="C45" i="39"/>
  <c r="C46" i="39"/>
  <c r="I45" i="39"/>
  <c r="I46" i="39"/>
  <c r="H46" i="39"/>
  <c r="H45" i="39"/>
  <c r="D45" i="39"/>
  <c r="D46" i="39"/>
  <c r="M45" i="39"/>
  <c r="M46" i="39"/>
  <c r="E46" i="39"/>
  <c r="E45" i="39"/>
  <c r="P45" i="39"/>
  <c r="P46" i="39"/>
  <c r="L46" i="39"/>
  <c r="L45" i="39"/>
  <c r="B45" i="39"/>
  <c r="B46" i="39"/>
  <c r="F46" i="39"/>
  <c r="F45" i="39"/>
  <c r="O46" i="39"/>
  <c r="O45" i="39"/>
  <c r="J46" i="39"/>
  <c r="J45" i="39"/>
</calcChain>
</file>

<file path=xl/sharedStrings.xml><?xml version="1.0" encoding="utf-8"?>
<sst xmlns="http://schemas.openxmlformats.org/spreadsheetml/2006/main" count="7085" uniqueCount="3224">
  <si>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</si>
  <si>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</si>
  <si>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</si>
  <si>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</si>
  <si>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</si>
  <si>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</si>
  <si>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</si>
  <si>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</si>
  <si>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</si>
  <si>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</si>
  <si>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</si>
  <si>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</si>
  <si>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</si>
  <si>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</si>
  <si>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</si>
  <si>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</si>
  <si>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</si>
  <si>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</si>
  <si>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</si>
  <si>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</si>
  <si>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</si>
  <si>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</si>
  <si>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</si>
  <si>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</si>
  <si>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</si>
  <si>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</si>
  <si>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</si>
  <si>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</si>
  <si>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</si>
  <si>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</si>
  <si>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</si>
  <si>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</si>
  <si>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</si>
  <si>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</si>
  <si>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</si>
  <si>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</si>
  <si>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</si>
  <si>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</si>
  <si>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</si>
  <si>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</si>
  <si>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</si>
  <si>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</si>
  <si>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</si>
  <si>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</si>
  <si>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</si>
  <si>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</si>
  <si>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</si>
  <si>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</si>
  <si>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</si>
  <si>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</si>
  <si>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</si>
  <si>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</si>
  <si>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</si>
  <si>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</si>
  <si>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</si>
  <si>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</si>
  <si>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</si>
  <si>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</si>
  <si>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</si>
  <si>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</si>
  <si>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</si>
  <si>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</si>
  <si>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</si>
  <si>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</si>
  <si>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</si>
  <si>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</si>
  <si>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</si>
  <si>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</si>
  <si>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</si>
  <si>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</si>
  <si>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</si>
  <si>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</si>
  <si>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</si>
  <si>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</si>
  <si>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</si>
  <si>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</si>
  <si>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</si>
  <si>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</si>
  <si>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</si>
  <si>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</si>
  <si>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</si>
  <si>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</si>
  <si>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</si>
  <si>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</si>
  <si>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</si>
  <si>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</si>
  <si>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</si>
  <si>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</si>
  <si>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</si>
  <si>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</si>
  <si>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</si>
  <si>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</si>
  <si>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</si>
  <si>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</si>
  <si>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</si>
  <si>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</si>
  <si>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</si>
  <si>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</si>
  <si>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</si>
  <si>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</si>
  <si>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</si>
  <si>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</si>
  <si>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</si>
  <si>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</si>
  <si>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</si>
  <si>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</si>
  <si>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</si>
  <si>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</si>
  <si>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</si>
  <si>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</si>
  <si>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</si>
  <si>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</si>
  <si>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</si>
  <si>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</si>
  <si>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</si>
  <si>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</si>
  <si>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</si>
  <si>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</si>
  <si>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</si>
  <si>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</si>
  <si>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</si>
  <si>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</si>
  <si>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</si>
  <si>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</si>
  <si>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</si>
  <si>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</si>
  <si>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</si>
  <si>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</si>
  <si>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</si>
  <si>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</si>
  <si>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</si>
  <si>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</si>
  <si>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</si>
  <si>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</si>
  <si>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</si>
  <si>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</si>
  <si>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</si>
  <si>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</si>
  <si>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</si>
  <si>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</si>
  <si>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</si>
  <si>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</si>
  <si>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</si>
  <si>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</si>
  <si>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</si>
  <si>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</si>
  <si>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</si>
  <si>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</si>
  <si>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</si>
  <si>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</si>
  <si>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</si>
  <si>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</si>
  <si>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</si>
  <si>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</si>
  <si>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</si>
  <si>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</si>
  <si>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</si>
  <si>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</si>
  <si>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</si>
  <si>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</si>
  <si>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</si>
  <si>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</si>
  <si>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</si>
  <si>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</si>
  <si>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</si>
  <si>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</si>
  <si>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</si>
  <si>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</si>
  <si>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</si>
  <si>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</si>
  <si>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</si>
  <si>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</si>
  <si>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</si>
  <si>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</si>
  <si>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</si>
  <si>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</si>
  <si>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</si>
  <si>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</si>
  <si>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</si>
  <si>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</si>
  <si>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</si>
  <si>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</si>
  <si>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</si>
  <si>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</si>
  <si>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</si>
  <si>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</si>
  <si>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</si>
  <si>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</si>
  <si>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</si>
  <si>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</si>
  <si>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</si>
  <si>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</si>
  <si>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</si>
  <si>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</si>
  <si>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</si>
  <si>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</si>
  <si>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</si>
  <si>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</si>
  <si>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</si>
  <si>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</si>
  <si>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</si>
  <si>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</si>
  <si>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</si>
  <si>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</si>
  <si>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</si>
  <si>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</si>
  <si>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</si>
  <si>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</si>
  <si>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</si>
  <si>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</si>
  <si>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</si>
  <si>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</si>
  <si>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</si>
  <si>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</si>
  <si>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</si>
  <si>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RK</t>
  </si>
  <si>
    <t>4mv</t>
  </si>
  <si>
    <t>ON</t>
  </si>
  <si>
    <t>OFF</t>
  </si>
  <si>
    <t>MUX signal Report REPORT OF KUNJEMURA, RAIGARH MONTH OF</t>
  </si>
  <si>
    <t>BHATAGAON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</si>
  <si>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</si>
  <si>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</si>
  <si>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</si>
  <si>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</si>
  <si>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</si>
  <si>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</si>
  <si>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</si>
  <si>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</si>
  <si>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</si>
  <si>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</si>
  <si>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</si>
  <si>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</si>
  <si>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</si>
  <si>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</si>
  <si>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</si>
  <si>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</si>
  <si>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RAIPPUR</t>
  </si>
  <si>
    <t>pm 10</t>
  </si>
  <si>
    <t>rahul</t>
  </si>
  <si>
    <t>RAHUL</t>
  </si>
  <si>
    <t>Calibration report Of BHATAGAON, RAIPUR</t>
  </si>
  <si>
    <t>01/09/2022 00:15 - 30/09/2022 00:00</t>
  </si>
  <si>
    <t>POWER OFF REPORT OF BHATAGAON, RAIPUR</t>
  </si>
  <si>
    <t>01-12-2022 00:15</t>
  </si>
  <si>
    <t>01-12-2022 00:30</t>
  </si>
  <si>
    <t>01-12-2022 00:45</t>
  </si>
  <si>
    <t>01-12-2022 01:00</t>
  </si>
  <si>
    <t>01-12-2022 01:15</t>
  </si>
  <si>
    <t>01-12-2022 01:30</t>
  </si>
  <si>
    <t>01-12-2022 01:45</t>
  </si>
  <si>
    <t>01-12-2022 02:00</t>
  </si>
  <si>
    <t>01-12-2022 02:15</t>
  </si>
  <si>
    <t>01-12-2022 02:30</t>
  </si>
  <si>
    <t>01-12-2022 02:45</t>
  </si>
  <si>
    <t>01-12-2022 03:00</t>
  </si>
  <si>
    <t>01-12-2022 03:15</t>
  </si>
  <si>
    <t>01-12-2022 03:30</t>
  </si>
  <si>
    <t>01-12-2022 03:45</t>
  </si>
  <si>
    <t>01-12-2022 04:00</t>
  </si>
  <si>
    <t>01-12-2022 04:15</t>
  </si>
  <si>
    <t>01-12-2022 04:30</t>
  </si>
  <si>
    <t>01-12-2022 04:45</t>
  </si>
  <si>
    <t>01-12-2022 05:00</t>
  </si>
  <si>
    <t>01-12-2022 05:15</t>
  </si>
  <si>
    <t>01-12-2022 05:30</t>
  </si>
  <si>
    <t>01-12-2022 05:45</t>
  </si>
  <si>
    <t>01-12-2022 06:00</t>
  </si>
  <si>
    <t>01-12-2022 06:15</t>
  </si>
  <si>
    <t>01-12-2022 06:30</t>
  </si>
  <si>
    <t>01-12-2022 06:45</t>
  </si>
  <si>
    <t>01-12-2022 07:00</t>
  </si>
  <si>
    <t>01-12-2022 07:15</t>
  </si>
  <si>
    <t>01-12-2022 07:30</t>
  </si>
  <si>
    <t>01-12-2022 07:45</t>
  </si>
  <si>
    <t>01-12-2022 08:00</t>
  </si>
  <si>
    <t>01-12-2022 08:15</t>
  </si>
  <si>
    <t>01-12-2022 08:30</t>
  </si>
  <si>
    <t>01-12-2022 08:45</t>
  </si>
  <si>
    <t>01-12-2022 09:00</t>
  </si>
  <si>
    <t>01-12-2022 09:15</t>
  </si>
  <si>
    <t>01-12-2022 09:30</t>
  </si>
  <si>
    <t>01-12-2022 09:45</t>
  </si>
  <si>
    <t>01-12-2022 10:00</t>
  </si>
  <si>
    <t>01-12-2022 10:15</t>
  </si>
  <si>
    <t>01-12-2022 10:30</t>
  </si>
  <si>
    <t>01-12-2022 10:45</t>
  </si>
  <si>
    <t>01-12-2022 11:00</t>
  </si>
  <si>
    <t>01-12-2022 11:15</t>
  </si>
  <si>
    <t>01-12-2022 11:30</t>
  </si>
  <si>
    <t>01-12-2022 11:45</t>
  </si>
  <si>
    <t>01-12-2022 12:00</t>
  </si>
  <si>
    <t>01-12-2022 12:15</t>
  </si>
  <si>
    <t>01-12-2022 12:30</t>
  </si>
  <si>
    <t>01-12-2022 12:45</t>
  </si>
  <si>
    <t>01-12-2022 13:00</t>
  </si>
  <si>
    <t>01-12-2022 13:15</t>
  </si>
  <si>
    <t>01-12-2022 13:30</t>
  </si>
  <si>
    <t>01-12-2022 13:45</t>
  </si>
  <si>
    <t>01-12-2022 14:00</t>
  </si>
  <si>
    <t>01-12-2022 14:15</t>
  </si>
  <si>
    <t>01-12-2022 14:30</t>
  </si>
  <si>
    <t>01-12-2022 14:45</t>
  </si>
  <si>
    <t>01-12-2022 15:00</t>
  </si>
  <si>
    <t>01-12-2022 15:15</t>
  </si>
  <si>
    <t>01-12-2022 15:30</t>
  </si>
  <si>
    <t>01-12-2022 15:45</t>
  </si>
  <si>
    <t>01-12-2022 16:00</t>
  </si>
  <si>
    <t>01-12-2022 16:15</t>
  </si>
  <si>
    <t>01-12-2022 16:30</t>
  </si>
  <si>
    <t>01-12-2022 16:45</t>
  </si>
  <si>
    <t>01-12-2022 17:00</t>
  </si>
  <si>
    <t>01-12-2022 17:15</t>
  </si>
  <si>
    <t>01-12-2022 17:30</t>
  </si>
  <si>
    <t>01-12-2022 17:45</t>
  </si>
  <si>
    <t>01-12-2022 18:00</t>
  </si>
  <si>
    <t>01-12-2022 18:15</t>
  </si>
  <si>
    <t>01-12-2022 18:30</t>
  </si>
  <si>
    <t>01-12-2022 18:45</t>
  </si>
  <si>
    <t>01-12-2022 19:00</t>
  </si>
  <si>
    <t>01-12-2022 19:15</t>
  </si>
  <si>
    <t>01-12-2022 19:30</t>
  </si>
  <si>
    <t>01-12-2022 19:45</t>
  </si>
  <si>
    <t>01-12-2022 20:00</t>
  </si>
  <si>
    <t>01-12-2022 20:15</t>
  </si>
  <si>
    <t>01-12-2022 20:30</t>
  </si>
  <si>
    <t>01-12-2022 20:45</t>
  </si>
  <si>
    <t>01-12-2022 21:00</t>
  </si>
  <si>
    <t>01-12-2022 21:15</t>
  </si>
  <si>
    <t>01-12-2022 21:30</t>
  </si>
  <si>
    <t>01-12-2022 21:45</t>
  </si>
  <si>
    <t>01-12-2022 22:00</t>
  </si>
  <si>
    <t>01-12-2022 22:15</t>
  </si>
  <si>
    <t>01-12-2022 22:30</t>
  </si>
  <si>
    <t>01-12-2022 22:45</t>
  </si>
  <si>
    <t>01-12-2022 23:00</t>
  </si>
  <si>
    <t>01-12-2022 23:15</t>
  </si>
  <si>
    <t>01-12-2022 23:30</t>
  </si>
  <si>
    <t>01-12-2022 23:45</t>
  </si>
  <si>
    <t>01-12-2022 24:00</t>
  </si>
  <si>
    <t>02-12-2022 00:15</t>
  </si>
  <si>
    <t>02-12-2022 00:30</t>
  </si>
  <si>
    <t>02-12-2022 00:45</t>
  </si>
  <si>
    <t>02-12-2022 01:00</t>
  </si>
  <si>
    <t>02-12-2022 01:15</t>
  </si>
  <si>
    <t>02-12-2022 01:30</t>
  </si>
  <si>
    <t>02-12-2022 01:45</t>
  </si>
  <si>
    <t>02-12-2022 02:00</t>
  </si>
  <si>
    <t>02-12-2022 02:15</t>
  </si>
  <si>
    <t>02-12-2022 02:30</t>
  </si>
  <si>
    <t>02-12-2022 02:45</t>
  </si>
  <si>
    <t>02-12-2022 03:00</t>
  </si>
  <si>
    <t>02-12-2022 03:15</t>
  </si>
  <si>
    <t>02-12-2022 03:30</t>
  </si>
  <si>
    <t>02-12-2022 03:45</t>
  </si>
  <si>
    <t>02-12-2022 04:00</t>
  </si>
  <si>
    <t>02-12-2022 04:15</t>
  </si>
  <si>
    <t>02-12-2022 04:30</t>
  </si>
  <si>
    <t>02-12-2022 04:45</t>
  </si>
  <si>
    <t>02-12-2022 05:00</t>
  </si>
  <si>
    <t>02-12-2022 05:15</t>
  </si>
  <si>
    <t>02-12-2022 05:30</t>
  </si>
  <si>
    <t>02-12-2022 05:45</t>
  </si>
  <si>
    <t>02-12-2022 06:00</t>
  </si>
  <si>
    <t>02-12-2022 06:15</t>
  </si>
  <si>
    <t>02-12-2022 06:30</t>
  </si>
  <si>
    <t>02-12-2022 06:45</t>
  </si>
  <si>
    <t>02-12-2022 07:00</t>
  </si>
  <si>
    <t>02-12-2022 07:15</t>
  </si>
  <si>
    <t>02-12-2022 07:30</t>
  </si>
  <si>
    <t>02-12-2022 07:45</t>
  </si>
  <si>
    <t>02-12-2022 08:00</t>
  </si>
  <si>
    <t>02-12-2022 08:15</t>
  </si>
  <si>
    <t>02-12-2022 08:30</t>
  </si>
  <si>
    <t>02-12-2022 08:45</t>
  </si>
  <si>
    <t>02-12-2022 09:00</t>
  </si>
  <si>
    <t>02-12-2022 09:15</t>
  </si>
  <si>
    <t>02-12-2022 09:30</t>
  </si>
  <si>
    <t>02-12-2022 09:45</t>
  </si>
  <si>
    <t>02-12-2022 10:00</t>
  </si>
  <si>
    <t>02-12-2022 10:15</t>
  </si>
  <si>
    <t>02-12-2022 10:30</t>
  </si>
  <si>
    <t>02-12-2022 10:45</t>
  </si>
  <si>
    <t>02-12-2022 11:00</t>
  </si>
  <si>
    <t>02-12-2022 11:15</t>
  </si>
  <si>
    <t>02-12-2022 11:30</t>
  </si>
  <si>
    <t>02-12-2022 11:45</t>
  </si>
  <si>
    <t>02-12-2022 12:00</t>
  </si>
  <si>
    <t>02-12-2022 12:15</t>
  </si>
  <si>
    <t>02-12-2022 12:30</t>
  </si>
  <si>
    <t>02-12-2022 12:45</t>
  </si>
  <si>
    <t>02-12-2022 13:00</t>
  </si>
  <si>
    <t>02-12-2022 13:15</t>
  </si>
  <si>
    <t>02-12-2022 13:30</t>
  </si>
  <si>
    <t>02-12-2022 13:45</t>
  </si>
  <si>
    <t>02-12-2022 14:00</t>
  </si>
  <si>
    <t>02-12-2022 14:15</t>
  </si>
  <si>
    <t>02-12-2022 14:30</t>
  </si>
  <si>
    <t>02-12-2022 14:45</t>
  </si>
  <si>
    <t>02-12-2022 15:00</t>
  </si>
  <si>
    <t>02-12-2022 15:15</t>
  </si>
  <si>
    <t>02-12-2022 15:30</t>
  </si>
  <si>
    <t>02-12-2022 15:45</t>
  </si>
  <si>
    <t>02-12-2022 16:00</t>
  </si>
  <si>
    <t>02-12-2022 16:15</t>
  </si>
  <si>
    <t>02-12-2022 16:30</t>
  </si>
  <si>
    <t>02-12-2022 16:45</t>
  </si>
  <si>
    <t>02-12-2022 17:00</t>
  </si>
  <si>
    <t>02-12-2022 17:15</t>
  </si>
  <si>
    <t>02-12-2022 17:30</t>
  </si>
  <si>
    <t>02-12-2022 17:45</t>
  </si>
  <si>
    <t>02-12-2022 18:00</t>
  </si>
  <si>
    <t>02-12-2022 18:15</t>
  </si>
  <si>
    <t>02-12-2022 18:30</t>
  </si>
  <si>
    <t>02-12-2022 18:45</t>
  </si>
  <si>
    <t>02-12-2022 19:00</t>
  </si>
  <si>
    <t>02-12-2022 19:15</t>
  </si>
  <si>
    <t>02-12-2022 19:30</t>
  </si>
  <si>
    <t>02-12-2022 19:45</t>
  </si>
  <si>
    <t>02-12-2022 20:00</t>
  </si>
  <si>
    <t>02-12-2022 20:15</t>
  </si>
  <si>
    <t>02-12-2022 20:30</t>
  </si>
  <si>
    <t>02-12-2022 20:45</t>
  </si>
  <si>
    <t>02-12-2022 21:00</t>
  </si>
  <si>
    <t>02-12-2022 21:15</t>
  </si>
  <si>
    <t>02-12-2022 21:30</t>
  </si>
  <si>
    <t>02-12-2022 21:45</t>
  </si>
  <si>
    <t>02-12-2022 22:00</t>
  </si>
  <si>
    <t>02-12-2022 22:15</t>
  </si>
  <si>
    <t>02-12-2022 22:30</t>
  </si>
  <si>
    <t>02-12-2022 22:45</t>
  </si>
  <si>
    <t>02-12-2022 23:00</t>
  </si>
  <si>
    <t>02-12-2022 23:15</t>
  </si>
  <si>
    <t>02-12-2022 23:30</t>
  </si>
  <si>
    <t>02-12-2022 23:45</t>
  </si>
  <si>
    <t>02-12-2022 24:00</t>
  </si>
  <si>
    <t>03-12-2022 00:15</t>
  </si>
  <si>
    <t>03-12-2022 00:30</t>
  </si>
  <si>
    <t>03-12-2022 00:45</t>
  </si>
  <si>
    <t>03-12-2022 01:00</t>
  </si>
  <si>
    <t>03-12-2022 01:15</t>
  </si>
  <si>
    <t>03-12-2022 01:30</t>
  </si>
  <si>
    <t>03-12-2022 01:45</t>
  </si>
  <si>
    <t>03-12-2022 02:00</t>
  </si>
  <si>
    <t>03-12-2022 02:15</t>
  </si>
  <si>
    <t>03-12-2022 02:30</t>
  </si>
  <si>
    <t>03-12-2022 02:45</t>
  </si>
  <si>
    <t>03-12-2022 03:00</t>
  </si>
  <si>
    <t>03-12-2022 03:15</t>
  </si>
  <si>
    <t>03-12-2022 03:30</t>
  </si>
  <si>
    <t>03-12-2022 03:45</t>
  </si>
  <si>
    <t>03-12-2022 04:00</t>
  </si>
  <si>
    <t>03-12-2022 04:15</t>
  </si>
  <si>
    <t>03-12-2022 04:30</t>
  </si>
  <si>
    <t>03-12-2022 04:45</t>
  </si>
  <si>
    <t>03-12-2022 05:00</t>
  </si>
  <si>
    <t>03-12-2022 05:15</t>
  </si>
  <si>
    <t>03-12-2022 05:30</t>
  </si>
  <si>
    <t>03-12-2022 05:45</t>
  </si>
  <si>
    <t>03-12-2022 06:00</t>
  </si>
  <si>
    <t>03-12-2022 06:15</t>
  </si>
  <si>
    <t>03-12-2022 06:30</t>
  </si>
  <si>
    <t>03-12-2022 06:45</t>
  </si>
  <si>
    <t>03-12-2022 07:00</t>
  </si>
  <si>
    <t>03-12-2022 07:15</t>
  </si>
  <si>
    <t>03-12-2022 07:30</t>
  </si>
  <si>
    <t>03-12-2022 07:45</t>
  </si>
  <si>
    <t>03-12-2022 08:00</t>
  </si>
  <si>
    <t>03-12-2022 08:15</t>
  </si>
  <si>
    <t>03-12-2022 08:30</t>
  </si>
  <si>
    <t>03-12-2022 08:45</t>
  </si>
  <si>
    <t>03-12-2022 09:00</t>
  </si>
  <si>
    <t>03-12-2022 09:15</t>
  </si>
  <si>
    <t>03-12-2022 09:30</t>
  </si>
  <si>
    <t>03-12-2022 09:45</t>
  </si>
  <si>
    <t>03-12-2022 10:00</t>
  </si>
  <si>
    <t>03-12-2022 10:15</t>
  </si>
  <si>
    <t>03-12-2022 10:30</t>
  </si>
  <si>
    <t>03-12-2022 10:45</t>
  </si>
  <si>
    <t>03-12-2022 11:00</t>
  </si>
  <si>
    <t>03-12-2022 11:15</t>
  </si>
  <si>
    <t>03-12-2022 11:30</t>
  </si>
  <si>
    <t>03-12-2022 11:45</t>
  </si>
  <si>
    <t>03-12-2022 12:00</t>
  </si>
  <si>
    <t>03-12-2022 12:15</t>
  </si>
  <si>
    <t>03-12-2022 12:30</t>
  </si>
  <si>
    <t>03-12-2022 12:45</t>
  </si>
  <si>
    <t>03-12-2022 13:00</t>
  </si>
  <si>
    <t>03-12-2022 13:15</t>
  </si>
  <si>
    <t>03-12-2022 13:30</t>
  </si>
  <si>
    <t>03-12-2022 13:45</t>
  </si>
  <si>
    <t>03-12-2022 14:00</t>
  </si>
  <si>
    <t>03-12-2022 14:15</t>
  </si>
  <si>
    <t>03-12-2022 14:30</t>
  </si>
  <si>
    <t>03-12-2022 14:45</t>
  </si>
  <si>
    <t>03-12-2022 15:00</t>
  </si>
  <si>
    <t>03-12-2022 15:15</t>
  </si>
  <si>
    <t>03-12-2022 15:30</t>
  </si>
  <si>
    <t>03-12-2022 15:45</t>
  </si>
  <si>
    <t>03-12-2022 16:00</t>
  </si>
  <si>
    <t>03-12-2022 16:15</t>
  </si>
  <si>
    <t>03-12-2022 16:30</t>
  </si>
  <si>
    <t>03-12-2022 16:45</t>
  </si>
  <si>
    <t>03-12-2022 17:00</t>
  </si>
  <si>
    <t>03-12-2022 17:15</t>
  </si>
  <si>
    <t>03-12-2022 17:30</t>
  </si>
  <si>
    <t>03-12-2022 17:45</t>
  </si>
  <si>
    <t>03-12-2022 18:00</t>
  </si>
  <si>
    <t>03-12-2022 18:15</t>
  </si>
  <si>
    <t>03-12-2022 18:30</t>
  </si>
  <si>
    <t>03-12-2022 18:45</t>
  </si>
  <si>
    <t>03-12-2022 19:00</t>
  </si>
  <si>
    <t>03-12-2022 19:15</t>
  </si>
  <si>
    <t>03-12-2022 19:30</t>
  </si>
  <si>
    <t>03-12-2022 19:45</t>
  </si>
  <si>
    <t>03-12-2022 20:00</t>
  </si>
  <si>
    <t>03-12-2022 20:15</t>
  </si>
  <si>
    <t>03-12-2022 20:30</t>
  </si>
  <si>
    <t>03-12-2022 20:45</t>
  </si>
  <si>
    <t>03-12-2022 21:00</t>
  </si>
  <si>
    <t>03-12-2022 21:15</t>
  </si>
  <si>
    <t>03-12-2022 21:30</t>
  </si>
  <si>
    <t>03-12-2022 21:45</t>
  </si>
  <si>
    <t>03-12-2022 22:00</t>
  </si>
  <si>
    <t>03-12-2022 22:15</t>
  </si>
  <si>
    <t>03-12-2022 22:30</t>
  </si>
  <si>
    <t>03-12-2022 22:45</t>
  </si>
  <si>
    <t>03-12-2022 23:00</t>
  </si>
  <si>
    <t>03-12-2022 23:15</t>
  </si>
  <si>
    <t>03-12-2022 23:30</t>
  </si>
  <si>
    <t>03-12-2022 23:45</t>
  </si>
  <si>
    <t>03-12-2022 24:00</t>
  </si>
  <si>
    <t>04-12-2022 00:15</t>
  </si>
  <si>
    <t>04-12-2022 00:30</t>
  </si>
  <si>
    <t>04-12-2022 00:45</t>
  </si>
  <si>
    <t>04-12-2022 01:00</t>
  </si>
  <si>
    <t>04-12-2022 01:15</t>
  </si>
  <si>
    <t>04-12-2022 01:30</t>
  </si>
  <si>
    <t>04-12-2022 01:45</t>
  </si>
  <si>
    <t>04-12-2022 02:00</t>
  </si>
  <si>
    <t>04-12-2022 02:15</t>
  </si>
  <si>
    <t>04-12-2022 02:30</t>
  </si>
  <si>
    <t>04-12-2022 02:45</t>
  </si>
  <si>
    <t>04-12-2022 03:00</t>
  </si>
  <si>
    <t>04-12-2022 03:15</t>
  </si>
  <si>
    <t>04-12-2022 03:30</t>
  </si>
  <si>
    <t>04-12-2022 03:45</t>
  </si>
  <si>
    <t>04-12-2022 04:00</t>
  </si>
  <si>
    <t>04-12-2022 04:15</t>
  </si>
  <si>
    <t>04-12-2022 04:30</t>
  </si>
  <si>
    <t>04-12-2022 04:45</t>
  </si>
  <si>
    <t>04-12-2022 05:00</t>
  </si>
  <si>
    <t>04-12-2022 05:15</t>
  </si>
  <si>
    <t>04-12-2022 05:30</t>
  </si>
  <si>
    <t>04-12-2022 05:45</t>
  </si>
  <si>
    <t>04-12-2022 06:00</t>
  </si>
  <si>
    <t>04-12-2022 06:15</t>
  </si>
  <si>
    <t>04-12-2022 06:30</t>
  </si>
  <si>
    <t>04-12-2022 06:45</t>
  </si>
  <si>
    <t>04-12-2022 07:00</t>
  </si>
  <si>
    <t>04-12-2022 07:15</t>
  </si>
  <si>
    <t>04-12-2022 07:30</t>
  </si>
  <si>
    <t>04-12-2022 07:45</t>
  </si>
  <si>
    <t>04-12-2022 08:00</t>
  </si>
  <si>
    <t>04-12-2022 08:15</t>
  </si>
  <si>
    <t>04-12-2022 08:30</t>
  </si>
  <si>
    <t>04-12-2022 08:45</t>
  </si>
  <si>
    <t>04-12-2022 09:00</t>
  </si>
  <si>
    <t>04-12-2022 09:15</t>
  </si>
  <si>
    <t>04-12-2022 09:30</t>
  </si>
  <si>
    <t>04-12-2022 09:45</t>
  </si>
  <si>
    <t>04-12-2022 10:00</t>
  </si>
  <si>
    <t>04-12-2022 10:15</t>
  </si>
  <si>
    <t>04-12-2022 10:30</t>
  </si>
  <si>
    <t>04-12-2022 10:45</t>
  </si>
  <si>
    <t>04-12-2022 11:00</t>
  </si>
  <si>
    <t>04-12-2022 11:15</t>
  </si>
  <si>
    <t>04-12-2022 11:30</t>
  </si>
  <si>
    <t>04-12-2022 11:45</t>
  </si>
  <si>
    <t>04-12-2022 12:00</t>
  </si>
  <si>
    <t>04-12-2022 12:15</t>
  </si>
  <si>
    <t>04-12-2022 12:30</t>
  </si>
  <si>
    <t>04-12-2022 12:45</t>
  </si>
  <si>
    <t>04-12-2022 13:00</t>
  </si>
  <si>
    <t>04-12-2022 13:15</t>
  </si>
  <si>
    <t>04-12-2022 13:30</t>
  </si>
  <si>
    <t>04-12-2022 13:45</t>
  </si>
  <si>
    <t>04-12-2022 14:00</t>
  </si>
  <si>
    <t>04-12-2022 14:15</t>
  </si>
  <si>
    <t>04-12-2022 14:30</t>
  </si>
  <si>
    <t>04-12-2022 14:45</t>
  </si>
  <si>
    <t>04-12-2022 15:00</t>
  </si>
  <si>
    <t>04-12-2022 15:15</t>
  </si>
  <si>
    <t>04-12-2022 15:30</t>
  </si>
  <si>
    <t>04-12-2022 15:45</t>
  </si>
  <si>
    <t>04-12-2022 16:00</t>
  </si>
  <si>
    <t>04-12-2022 16:15</t>
  </si>
  <si>
    <t>04-12-2022 16:30</t>
  </si>
  <si>
    <t>04-12-2022 16:45</t>
  </si>
  <si>
    <t>04-12-2022 17:00</t>
  </si>
  <si>
    <t>04-12-2022 17:15</t>
  </si>
  <si>
    <t>04-12-2022 17:30</t>
  </si>
  <si>
    <t>04-12-2022 17:45</t>
  </si>
  <si>
    <t>04-12-2022 18:00</t>
  </si>
  <si>
    <t>04-12-2022 18:15</t>
  </si>
  <si>
    <t>04-12-2022 18:30</t>
  </si>
  <si>
    <t>04-12-2022 18:45</t>
  </si>
  <si>
    <t>04-12-2022 19:00</t>
  </si>
  <si>
    <t>04-12-2022 19:15</t>
  </si>
  <si>
    <t>04-12-2022 19:30</t>
  </si>
  <si>
    <t>04-12-2022 19:45</t>
  </si>
  <si>
    <t>04-12-2022 20:00</t>
  </si>
  <si>
    <t>04-12-2022 20:15</t>
  </si>
  <si>
    <t>04-12-2022 20:30</t>
  </si>
  <si>
    <t>04-12-2022 20:45</t>
  </si>
  <si>
    <t>04-12-2022 21:00</t>
  </si>
  <si>
    <t>04-12-2022 21:15</t>
  </si>
  <si>
    <t>04-12-2022 21:30</t>
  </si>
  <si>
    <t>04-12-2022 21:45</t>
  </si>
  <si>
    <t>04-12-2022 22:00</t>
  </si>
  <si>
    <t>04-12-2022 22:15</t>
  </si>
  <si>
    <t>04-12-2022 22:30</t>
  </si>
  <si>
    <t>04-12-2022 22:45</t>
  </si>
  <si>
    <t>04-12-2022 23:00</t>
  </si>
  <si>
    <t>04-12-2022 23:15</t>
  </si>
  <si>
    <t>04-12-2022 23:30</t>
  </si>
  <si>
    <t>04-12-2022 23:45</t>
  </si>
  <si>
    <t>04-12-2022 24:00</t>
  </si>
  <si>
    <t>05-12-2022 00:15</t>
  </si>
  <si>
    <t>05-12-2022 00:30</t>
  </si>
  <si>
    <t>05-12-2022 00:45</t>
  </si>
  <si>
    <t>05-12-2022 01:00</t>
  </si>
  <si>
    <t>05-12-2022 01:15</t>
  </si>
  <si>
    <t>05-12-2022 01:30</t>
  </si>
  <si>
    <t>05-12-2022 01:45</t>
  </si>
  <si>
    <t>05-12-2022 02:00</t>
  </si>
  <si>
    <t>05-12-2022 02:15</t>
  </si>
  <si>
    <t>05-12-2022 02:30</t>
  </si>
  <si>
    <t>05-12-2022 02:45</t>
  </si>
  <si>
    <t>05-12-2022 03:00</t>
  </si>
  <si>
    <t>05-12-2022 03:15</t>
  </si>
  <si>
    <t>05-12-2022 03:30</t>
  </si>
  <si>
    <t>05-12-2022 03:45</t>
  </si>
  <si>
    <t>05-12-2022 04:00</t>
  </si>
  <si>
    <t>05-12-2022 04:15</t>
  </si>
  <si>
    <t>05-12-2022 04:30</t>
  </si>
  <si>
    <t>05-12-2022 04:45</t>
  </si>
  <si>
    <t>05-12-2022 05:00</t>
  </si>
  <si>
    <t>05-12-2022 05:15</t>
  </si>
  <si>
    <t>05-12-2022 05:30</t>
  </si>
  <si>
    <t>05-12-2022 05:45</t>
  </si>
  <si>
    <t>05-12-2022 06:00</t>
  </si>
  <si>
    <t>05-12-2022 06:15</t>
  </si>
  <si>
    <t>05-12-2022 06:30</t>
  </si>
  <si>
    <t>05-12-2022 06:45</t>
  </si>
  <si>
    <t>05-12-2022 07:00</t>
  </si>
  <si>
    <t>05-12-2022 07:15</t>
  </si>
  <si>
    <t>05-12-2022 07:30</t>
  </si>
  <si>
    <t>05-12-2022 07:45</t>
  </si>
  <si>
    <t>05-12-2022 08:00</t>
  </si>
  <si>
    <t>05-12-2022 08:15</t>
  </si>
  <si>
    <t>05-12-2022 08:30</t>
  </si>
  <si>
    <t>05-12-2022 08:45</t>
  </si>
  <si>
    <t>05-12-2022 09:00</t>
  </si>
  <si>
    <t>05-12-2022 09:15</t>
  </si>
  <si>
    <t>05-12-2022 09:30</t>
  </si>
  <si>
    <t>05-12-2022 09:45</t>
  </si>
  <si>
    <t>05-12-2022 10:00</t>
  </si>
  <si>
    <t>05-12-2022 10:15</t>
  </si>
  <si>
    <t>05-12-2022 10:30</t>
  </si>
  <si>
    <t>05-12-2022 10:45</t>
  </si>
  <si>
    <t>05-12-2022 11:00</t>
  </si>
  <si>
    <t>05-12-2022 11:15</t>
  </si>
  <si>
    <t>05-12-2022 11:30</t>
  </si>
  <si>
    <t>05-12-2022 11:45</t>
  </si>
  <si>
    <t>05-12-2022 12:00</t>
  </si>
  <si>
    <t>05-12-2022 12:15</t>
  </si>
  <si>
    <t>05-12-2022 12:30</t>
  </si>
  <si>
    <t>05-12-2022 12:45</t>
  </si>
  <si>
    <t>05-12-2022 13:00</t>
  </si>
  <si>
    <t>05-12-2022 13:15</t>
  </si>
  <si>
    <t>05-12-2022 13:30</t>
  </si>
  <si>
    <t>05-12-2022 13:45</t>
  </si>
  <si>
    <t>05-12-2022 14:00</t>
  </si>
  <si>
    <t>05-12-2022 14:15</t>
  </si>
  <si>
    <t>05-12-2022 14:30</t>
  </si>
  <si>
    <t>05-12-2022 14:45</t>
  </si>
  <si>
    <t>05-12-2022 15:00</t>
  </si>
  <si>
    <t>05-12-2022 15:15</t>
  </si>
  <si>
    <t>05-12-2022 15:30</t>
  </si>
  <si>
    <t>05-12-2022 15:45</t>
  </si>
  <si>
    <t>05-12-2022 16:00</t>
  </si>
  <si>
    <t>05-12-2022 16:15</t>
  </si>
  <si>
    <t>05-12-2022 16:30</t>
  </si>
  <si>
    <t>05-12-2022 16:45</t>
  </si>
  <si>
    <t>05-12-2022 17:00</t>
  </si>
  <si>
    <t>05-12-2022 17:15</t>
  </si>
  <si>
    <t>05-12-2022 17:30</t>
  </si>
  <si>
    <t>05-12-2022 17:45</t>
  </si>
  <si>
    <t>05-12-2022 18:00</t>
  </si>
  <si>
    <t>05-12-2022 18:15</t>
  </si>
  <si>
    <t>05-12-2022 18:30</t>
  </si>
  <si>
    <t>05-12-2022 18:45</t>
  </si>
  <si>
    <t>05-12-2022 19:00</t>
  </si>
  <si>
    <t>05-12-2022 19:15</t>
  </si>
  <si>
    <t>05-12-2022 19:30</t>
  </si>
  <si>
    <t>05-12-2022 19:45</t>
  </si>
  <si>
    <t>05-12-2022 20:00</t>
  </si>
  <si>
    <t>05-12-2022 20:15</t>
  </si>
  <si>
    <t>05-12-2022 20:30</t>
  </si>
  <si>
    <t>05-12-2022 20:45</t>
  </si>
  <si>
    <t>05-12-2022 21:00</t>
  </si>
  <si>
    <t>05-12-2022 21:15</t>
  </si>
  <si>
    <t>05-12-2022 21:30</t>
  </si>
  <si>
    <t>05-12-2022 21:45</t>
  </si>
  <si>
    <t>05-12-2022 22:00</t>
  </si>
  <si>
    <t>05-12-2022 22:15</t>
  </si>
  <si>
    <t>05-12-2022 22:30</t>
  </si>
  <si>
    <t>05-12-2022 22:45</t>
  </si>
  <si>
    <t>05-12-2022 23:00</t>
  </si>
  <si>
    <t>05-12-2022 23:15</t>
  </si>
  <si>
    <t>05-12-2022 23:30</t>
  </si>
  <si>
    <t>05-12-2022 23:45</t>
  </si>
  <si>
    <t>05-12-2022 24:00</t>
  </si>
  <si>
    <t>06-12-2022 00:15</t>
  </si>
  <si>
    <t>06-12-2022 00:30</t>
  </si>
  <si>
    <t>06-12-2022 00:45</t>
  </si>
  <si>
    <t>06-12-2022 01:00</t>
  </si>
  <si>
    <t>06-12-2022 01:15</t>
  </si>
  <si>
    <t>06-12-2022 01:30</t>
  </si>
  <si>
    <t>06-12-2022 01:45</t>
  </si>
  <si>
    <t>06-12-2022 02:00</t>
  </si>
  <si>
    <t>06-12-2022 02:15</t>
  </si>
  <si>
    <t>06-12-2022 02:30</t>
  </si>
  <si>
    <t>06-12-2022 02:45</t>
  </si>
  <si>
    <t>06-12-2022 03:00</t>
  </si>
  <si>
    <t>06-12-2022 03:15</t>
  </si>
  <si>
    <t>06-12-2022 03:30</t>
  </si>
  <si>
    <t>06-12-2022 03:45</t>
  </si>
  <si>
    <t>06-12-2022 04:00</t>
  </si>
  <si>
    <t>06-12-2022 04:15</t>
  </si>
  <si>
    <t>06-12-2022 04:30</t>
  </si>
  <si>
    <t>06-12-2022 04:45</t>
  </si>
  <si>
    <t>06-12-2022 05:00</t>
  </si>
  <si>
    <t>06-12-2022 05:15</t>
  </si>
  <si>
    <t>06-12-2022 05:30</t>
  </si>
  <si>
    <t>06-12-2022 05:45</t>
  </si>
  <si>
    <t>06-12-2022 06:00</t>
  </si>
  <si>
    <t>06-12-2022 06:15</t>
  </si>
  <si>
    <t>06-12-2022 06:30</t>
  </si>
  <si>
    <t>06-12-2022 06:45</t>
  </si>
  <si>
    <t>06-12-2022 07:00</t>
  </si>
  <si>
    <t>06-12-2022 07:15</t>
  </si>
  <si>
    <t>06-12-2022 07:30</t>
  </si>
  <si>
    <t>06-12-2022 07:45</t>
  </si>
  <si>
    <t>06-12-2022 08:00</t>
  </si>
  <si>
    <t>06-12-2022 08:15</t>
  </si>
  <si>
    <t>06-12-2022 08:30</t>
  </si>
  <si>
    <t>06-12-2022 08:45</t>
  </si>
  <si>
    <t>06-12-2022 09:00</t>
  </si>
  <si>
    <t>06-12-2022 09:15</t>
  </si>
  <si>
    <t>06-12-2022 09:30</t>
  </si>
  <si>
    <t>06-12-2022 09:45</t>
  </si>
  <si>
    <t>06-12-2022 10:00</t>
  </si>
  <si>
    <t>06-12-2022 10:15</t>
  </si>
  <si>
    <t>06-12-2022 10:30</t>
  </si>
  <si>
    <t>06-12-2022 10:45</t>
  </si>
  <si>
    <t>06-12-2022 11:00</t>
  </si>
  <si>
    <t>06-12-2022 11:15</t>
  </si>
  <si>
    <t>06-12-2022 11:30</t>
  </si>
  <si>
    <t>06-12-2022 11:45</t>
  </si>
  <si>
    <t>06-12-2022 12:00</t>
  </si>
  <si>
    <t>06-12-2022 12:15</t>
  </si>
  <si>
    <t>06-12-2022 12:30</t>
  </si>
  <si>
    <t>06-12-2022 12:45</t>
  </si>
  <si>
    <t>06-12-2022 13:00</t>
  </si>
  <si>
    <t>06-12-2022 13:15</t>
  </si>
  <si>
    <t>06-12-2022 13:30</t>
  </si>
  <si>
    <t>06-12-2022 13:45</t>
  </si>
  <si>
    <t>06-12-2022 14:00</t>
  </si>
  <si>
    <t>06-12-2022 14:15</t>
  </si>
  <si>
    <t>06-12-2022 14:30</t>
  </si>
  <si>
    <t>06-12-2022 14:45</t>
  </si>
  <si>
    <t>06-12-2022 15:00</t>
  </si>
  <si>
    <t>06-12-2022 15:15</t>
  </si>
  <si>
    <t>06-12-2022 15:30</t>
  </si>
  <si>
    <t>06-12-2022 15:45</t>
  </si>
  <si>
    <t>06-12-2022 16:00</t>
  </si>
  <si>
    <t>06-12-2022 16:15</t>
  </si>
  <si>
    <t>06-12-2022 16:30</t>
  </si>
  <si>
    <t>06-12-2022 16:45</t>
  </si>
  <si>
    <t>06-12-2022 17:00</t>
  </si>
  <si>
    <t>06-12-2022 17:15</t>
  </si>
  <si>
    <t>06-12-2022 17:30</t>
  </si>
  <si>
    <t>06-12-2022 17:45</t>
  </si>
  <si>
    <t>06-12-2022 18:00</t>
  </si>
  <si>
    <t>06-12-2022 18:15</t>
  </si>
  <si>
    <t>06-12-2022 18:30</t>
  </si>
  <si>
    <t>06-12-2022 18:45</t>
  </si>
  <si>
    <t>06-12-2022 19:00</t>
  </si>
  <si>
    <t>06-12-2022 19:15</t>
  </si>
  <si>
    <t>06-12-2022 19:30</t>
  </si>
  <si>
    <t>06-12-2022 19:45</t>
  </si>
  <si>
    <t>06-12-2022 20:00</t>
  </si>
  <si>
    <t>06-12-2022 20:15</t>
  </si>
  <si>
    <t>06-12-2022 20:30</t>
  </si>
  <si>
    <t>06-12-2022 20:45</t>
  </si>
  <si>
    <t>06-12-2022 21:00</t>
  </si>
  <si>
    <t>06-12-2022 21:15</t>
  </si>
  <si>
    <t>06-12-2022 21:30</t>
  </si>
  <si>
    <t>06-12-2022 21:45</t>
  </si>
  <si>
    <t>06-12-2022 22:00</t>
  </si>
  <si>
    <t>06-12-2022 22:15</t>
  </si>
  <si>
    <t>06-12-2022 22:30</t>
  </si>
  <si>
    <t>06-12-2022 22:45</t>
  </si>
  <si>
    <t>06-12-2022 23:00</t>
  </si>
  <si>
    <t>06-12-2022 23:15</t>
  </si>
  <si>
    <t>06-12-2022 23:30</t>
  </si>
  <si>
    <t>06-12-2022 23:45</t>
  </si>
  <si>
    <t>06-12-2022 24:00</t>
  </si>
  <si>
    <t>07-12-2022 00:15</t>
  </si>
  <si>
    <t>07-12-2022 00:30</t>
  </si>
  <si>
    <t>07-12-2022 00:45</t>
  </si>
  <si>
    <t>07-12-2022 01:00</t>
  </si>
  <si>
    <t>07-12-2022 01:15</t>
  </si>
  <si>
    <t>07-12-2022 01:30</t>
  </si>
  <si>
    <t>07-12-2022 01:45</t>
  </si>
  <si>
    <t>07-12-2022 02:00</t>
  </si>
  <si>
    <t>07-12-2022 02:15</t>
  </si>
  <si>
    <t>07-12-2022 02:30</t>
  </si>
  <si>
    <t>07-12-2022 02:45</t>
  </si>
  <si>
    <t>07-12-2022 03:00</t>
  </si>
  <si>
    <t>07-12-2022 03:15</t>
  </si>
  <si>
    <t>07-12-2022 03:30</t>
  </si>
  <si>
    <t>07-12-2022 03:45</t>
  </si>
  <si>
    <t>07-12-2022 04:00</t>
  </si>
  <si>
    <t>07-12-2022 04:15</t>
  </si>
  <si>
    <t>07-12-2022 04:30</t>
  </si>
  <si>
    <t>07-12-2022 04:45</t>
  </si>
  <si>
    <t>07-12-2022 05:00</t>
  </si>
  <si>
    <t>07-12-2022 05:15</t>
  </si>
  <si>
    <t>07-12-2022 05:30</t>
  </si>
  <si>
    <t>07-12-2022 05:45</t>
  </si>
  <si>
    <t>07-12-2022 06:00</t>
  </si>
  <si>
    <t>07-12-2022 06:15</t>
  </si>
  <si>
    <t>07-12-2022 06:30</t>
  </si>
  <si>
    <t>07-12-2022 06:45</t>
  </si>
  <si>
    <t>07-12-2022 07:00</t>
  </si>
  <si>
    <t>07-12-2022 07:15</t>
  </si>
  <si>
    <t>07-12-2022 07:30</t>
  </si>
  <si>
    <t>07-12-2022 07:45</t>
  </si>
  <si>
    <t>07-12-2022 08:00</t>
  </si>
  <si>
    <t>07-12-2022 08:15</t>
  </si>
  <si>
    <t>07-12-2022 08:30</t>
  </si>
  <si>
    <t>07-12-2022 08:45</t>
  </si>
  <si>
    <t>07-12-2022 09:00</t>
  </si>
  <si>
    <t>07-12-2022 09:15</t>
  </si>
  <si>
    <t>07-12-2022 09:30</t>
  </si>
  <si>
    <t>07-12-2022 09:45</t>
  </si>
  <si>
    <t>07-12-2022 10:00</t>
  </si>
  <si>
    <t>07-12-2022 10:15</t>
  </si>
  <si>
    <t>07-12-2022 10:30</t>
  </si>
  <si>
    <t>07-12-2022 10:45</t>
  </si>
  <si>
    <t>07-12-2022 11:00</t>
  </si>
  <si>
    <t>07-12-2022 11:15</t>
  </si>
  <si>
    <t>07-12-2022 11:30</t>
  </si>
  <si>
    <t>07-12-2022 11:45</t>
  </si>
  <si>
    <t>07-12-2022 12:00</t>
  </si>
  <si>
    <t>07-12-2022 12:15</t>
  </si>
  <si>
    <t>07-12-2022 12:30</t>
  </si>
  <si>
    <t>07-12-2022 12:45</t>
  </si>
  <si>
    <t>07-12-2022 13:00</t>
  </si>
  <si>
    <t>07-12-2022 13:15</t>
  </si>
  <si>
    <t>07-12-2022 13:30</t>
  </si>
  <si>
    <t>07-12-2022 13:45</t>
  </si>
  <si>
    <t>07-12-2022 14:00</t>
  </si>
  <si>
    <t>07-12-2022 14:15</t>
  </si>
  <si>
    <t>07-12-2022 14:30</t>
  </si>
  <si>
    <t>07-12-2022 14:45</t>
  </si>
  <si>
    <t>07-12-2022 15:00</t>
  </si>
  <si>
    <t>07-12-2022 15:15</t>
  </si>
  <si>
    <t>07-12-2022 15:30</t>
  </si>
  <si>
    <t>07-12-2022 15:45</t>
  </si>
  <si>
    <t>07-12-2022 16:00</t>
  </si>
  <si>
    <t>07-12-2022 16:15</t>
  </si>
  <si>
    <t>07-12-2022 16:30</t>
  </si>
  <si>
    <t>07-12-2022 16:45</t>
  </si>
  <si>
    <t>07-12-2022 17:00</t>
  </si>
  <si>
    <t>07-12-2022 17:15</t>
  </si>
  <si>
    <t>07-12-2022 17:30</t>
  </si>
  <si>
    <t>07-12-2022 17:45</t>
  </si>
  <si>
    <t>07-12-2022 18:00</t>
  </si>
  <si>
    <t>07-12-2022 18:15</t>
  </si>
  <si>
    <t>07-12-2022 18:30</t>
  </si>
  <si>
    <t>07-12-2022 18:45</t>
  </si>
  <si>
    <t>07-12-2022 19:00</t>
  </si>
  <si>
    <t>07-12-2022 19:15</t>
  </si>
  <si>
    <t>07-12-2022 19:30</t>
  </si>
  <si>
    <t>07-12-2022 19:45</t>
  </si>
  <si>
    <t>07-12-2022 20:00</t>
  </si>
  <si>
    <t>07-12-2022 20:15</t>
  </si>
  <si>
    <t>07-12-2022 20:30</t>
  </si>
  <si>
    <t>07-12-2022 20:45</t>
  </si>
  <si>
    <t>07-12-2022 21:00</t>
  </si>
  <si>
    <t>07-12-2022 21:15</t>
  </si>
  <si>
    <t>07-12-2022 21:30</t>
  </si>
  <si>
    <t>07-12-2022 21:45</t>
  </si>
  <si>
    <t>07-12-2022 22:00</t>
  </si>
  <si>
    <t>07-12-2022 22:15</t>
  </si>
  <si>
    <t>07-12-2022 22:30</t>
  </si>
  <si>
    <t>07-12-2022 22:45</t>
  </si>
  <si>
    <t>07-12-2022 23:00</t>
  </si>
  <si>
    <t>07-12-2022 23:15</t>
  </si>
  <si>
    <t>07-12-2022 23:30</t>
  </si>
  <si>
    <t>07-12-2022 23:45</t>
  </si>
  <si>
    <t>07-12-2022 24:00</t>
  </si>
  <si>
    <t>08-12-2022 00:15</t>
  </si>
  <si>
    <t>08-12-2022 00:30</t>
  </si>
  <si>
    <t>08-12-2022 00:45</t>
  </si>
  <si>
    <t>08-12-2022 01:00</t>
  </si>
  <si>
    <t>08-12-2022 01:15</t>
  </si>
  <si>
    <t>08-12-2022 01:30</t>
  </si>
  <si>
    <t>08-12-2022 01:45</t>
  </si>
  <si>
    <t>08-12-2022 02:00</t>
  </si>
  <si>
    <t>08-12-2022 02:15</t>
  </si>
  <si>
    <t>08-12-2022 02:30</t>
  </si>
  <si>
    <t>08-12-2022 02:45</t>
  </si>
  <si>
    <t>08-12-2022 03:00</t>
  </si>
  <si>
    <t>08-12-2022 03:15</t>
  </si>
  <si>
    <t>08-12-2022 03:30</t>
  </si>
  <si>
    <t>08-12-2022 03:45</t>
  </si>
  <si>
    <t>08-12-2022 04:00</t>
  </si>
  <si>
    <t>08-12-2022 04:15</t>
  </si>
  <si>
    <t>08-12-2022 04:30</t>
  </si>
  <si>
    <t>08-12-2022 04:45</t>
  </si>
  <si>
    <t>08-12-2022 05:00</t>
  </si>
  <si>
    <t>08-12-2022 05:15</t>
  </si>
  <si>
    <t>08-12-2022 05:30</t>
  </si>
  <si>
    <t>08-12-2022 05:45</t>
  </si>
  <si>
    <t>08-12-2022 06:00</t>
  </si>
  <si>
    <t>08-12-2022 06:15</t>
  </si>
  <si>
    <t>08-12-2022 06:30</t>
  </si>
  <si>
    <t>08-12-2022 06:45</t>
  </si>
  <si>
    <t>08-12-2022 07:00</t>
  </si>
  <si>
    <t>08-12-2022 07:15</t>
  </si>
  <si>
    <t>08-12-2022 07:30</t>
  </si>
  <si>
    <t>08-12-2022 07:45</t>
  </si>
  <si>
    <t>08-12-2022 08:00</t>
  </si>
  <si>
    <t>08-12-2022 08:15</t>
  </si>
  <si>
    <t>08-12-2022 08:30</t>
  </si>
  <si>
    <t>08-12-2022 08:45</t>
  </si>
  <si>
    <t>08-12-2022 09:00</t>
  </si>
  <si>
    <t>08-12-2022 09:15</t>
  </si>
  <si>
    <t>08-12-2022 09:30</t>
  </si>
  <si>
    <t>08-12-2022 09:45</t>
  </si>
  <si>
    <t>08-12-2022 10:00</t>
  </si>
  <si>
    <t>08-12-2022 10:15</t>
  </si>
  <si>
    <t>08-12-2022 10:30</t>
  </si>
  <si>
    <t>08-12-2022 10:45</t>
  </si>
  <si>
    <t>08-12-2022 11:00</t>
  </si>
  <si>
    <t>08-12-2022 11:15</t>
  </si>
  <si>
    <t>08-12-2022 11:30</t>
  </si>
  <si>
    <t>08-12-2022 11:45</t>
  </si>
  <si>
    <t>08-12-2022 12:00</t>
  </si>
  <si>
    <t>08-12-2022 12:15</t>
  </si>
  <si>
    <t>08-12-2022 12:30</t>
  </si>
  <si>
    <t>08-12-2022 12:45</t>
  </si>
  <si>
    <t>08-12-2022 13:00</t>
  </si>
  <si>
    <t>08-12-2022 13:15</t>
  </si>
  <si>
    <t>08-12-2022 13:30</t>
  </si>
  <si>
    <t>08-12-2022 13:45</t>
  </si>
  <si>
    <t>08-12-2022 14:00</t>
  </si>
  <si>
    <t>08-12-2022 14:15</t>
  </si>
  <si>
    <t>08-12-2022 14:30</t>
  </si>
  <si>
    <t>08-12-2022 14:45</t>
  </si>
  <si>
    <t>08-12-2022 15:00</t>
  </si>
  <si>
    <t>08-12-2022 15:15</t>
  </si>
  <si>
    <t>08-12-2022 15:30</t>
  </si>
  <si>
    <t>08-12-2022 15:45</t>
  </si>
  <si>
    <t>08-12-2022 16:00</t>
  </si>
  <si>
    <t>08-12-2022 16:15</t>
  </si>
  <si>
    <t>08-12-2022 16:30</t>
  </si>
  <si>
    <t>08-12-2022 16:45</t>
  </si>
  <si>
    <t>08-12-2022 17:00</t>
  </si>
  <si>
    <t>08-12-2022 17:15</t>
  </si>
  <si>
    <t>08-12-2022 17:30</t>
  </si>
  <si>
    <t>08-12-2022 17:45</t>
  </si>
  <si>
    <t>08-12-2022 18:00</t>
  </si>
  <si>
    <t>08-12-2022 18:15</t>
  </si>
  <si>
    <t>08-12-2022 18:30</t>
  </si>
  <si>
    <t>08-12-2022 18:45</t>
  </si>
  <si>
    <t>08-12-2022 19:00</t>
  </si>
  <si>
    <t>08-12-2022 19:15</t>
  </si>
  <si>
    <t>08-12-2022 19:30</t>
  </si>
  <si>
    <t>08-12-2022 19:45</t>
  </si>
  <si>
    <t>08-12-2022 20:00</t>
  </si>
  <si>
    <t>08-12-2022 20:15</t>
  </si>
  <si>
    <t>08-12-2022 20:30</t>
  </si>
  <si>
    <t>08-12-2022 20:45</t>
  </si>
  <si>
    <t>08-12-2022 21:00</t>
  </si>
  <si>
    <t>08-12-2022 21:15</t>
  </si>
  <si>
    <t>08-12-2022 21:30</t>
  </si>
  <si>
    <t>08-12-2022 21:45</t>
  </si>
  <si>
    <t>08-12-2022 22:00</t>
  </si>
  <si>
    <t>08-12-2022 22:15</t>
  </si>
  <si>
    <t>08-12-2022 22:30</t>
  </si>
  <si>
    <t>08-12-2022 22:45</t>
  </si>
  <si>
    <t>08-12-2022 23:00</t>
  </si>
  <si>
    <t>08-12-2022 23:15</t>
  </si>
  <si>
    <t>08-12-2022 23:30</t>
  </si>
  <si>
    <t>08-12-2022 23:45</t>
  </si>
  <si>
    <t>08-12-2022 24:00</t>
  </si>
  <si>
    <t>835 ug/m3</t>
  </si>
  <si>
    <t>835ug/m3</t>
  </si>
  <si>
    <t>847 ug/m3</t>
  </si>
  <si>
    <t>09-12-2022 00:15</t>
  </si>
  <si>
    <t>09-12-2022 00:30</t>
  </si>
  <si>
    <t>09-12-2022 00:45</t>
  </si>
  <si>
    <t>09-12-2022 01:00</t>
  </si>
  <si>
    <t>09-12-2022 01:15</t>
  </si>
  <si>
    <t>09-12-2022 01:30</t>
  </si>
  <si>
    <t>09-12-2022 01:45</t>
  </si>
  <si>
    <t>09-12-2022 02:00</t>
  </si>
  <si>
    <t>09-12-2022 02:15</t>
  </si>
  <si>
    <t>09-12-2022 02:30</t>
  </si>
  <si>
    <t>09-12-2022 02:45</t>
  </si>
  <si>
    <t>09-12-2022 03:00</t>
  </si>
  <si>
    <t>09-12-2022 03:15</t>
  </si>
  <si>
    <t>09-12-2022 03:30</t>
  </si>
  <si>
    <t>09-12-2022 03:45</t>
  </si>
  <si>
    <t>09-12-2022 04:00</t>
  </si>
  <si>
    <t>09-12-2022 04:15</t>
  </si>
  <si>
    <t>09-12-2022 04:30</t>
  </si>
  <si>
    <t>09-12-2022 04:45</t>
  </si>
  <si>
    <t>09-12-2022 05:00</t>
  </si>
  <si>
    <t>09-12-2022 05:15</t>
  </si>
  <si>
    <t>09-12-2022 05:30</t>
  </si>
  <si>
    <t>09-12-2022 05:45</t>
  </si>
  <si>
    <t>09-12-2022 06:00</t>
  </si>
  <si>
    <t>09-12-2022 06:15</t>
  </si>
  <si>
    <t>09-12-2022 06:30</t>
  </si>
  <si>
    <t>09-12-2022 06:45</t>
  </si>
  <si>
    <t>09-12-2022 07:00</t>
  </si>
  <si>
    <t>09-12-2022 07:15</t>
  </si>
  <si>
    <t>09-12-2022 07:30</t>
  </si>
  <si>
    <t>09-12-2022 07:45</t>
  </si>
  <si>
    <t>09-12-2022 08:00</t>
  </si>
  <si>
    <t>09-12-2022 08:15</t>
  </si>
  <si>
    <t>09-12-2022 08:30</t>
  </si>
  <si>
    <t>09-12-2022 08:45</t>
  </si>
  <si>
    <t>09-12-2022 09:00</t>
  </si>
  <si>
    <t>09-12-2022 09:15</t>
  </si>
  <si>
    <t>09-12-2022 09:30</t>
  </si>
  <si>
    <t>09-12-2022 09:45</t>
  </si>
  <si>
    <t>09-12-2022 10:00</t>
  </si>
  <si>
    <t>09-12-2022 10:15</t>
  </si>
  <si>
    <t>09-12-2022 10:30</t>
  </si>
  <si>
    <t>09-12-2022 10:45</t>
  </si>
  <si>
    <t>09-12-2022 11:00</t>
  </si>
  <si>
    <t>09-12-2022 11:15</t>
  </si>
  <si>
    <t>09-12-2022 11:30</t>
  </si>
  <si>
    <t>09-12-2022 11:45</t>
  </si>
  <si>
    <t>09-12-2022 12:00</t>
  </si>
  <si>
    <t>09-12-2022 12:15</t>
  </si>
  <si>
    <t>09-12-2022 12:30</t>
  </si>
  <si>
    <t>09-12-2022 12:45</t>
  </si>
  <si>
    <t>09-12-2022 13:00</t>
  </si>
  <si>
    <t>09-12-2022 13:15</t>
  </si>
  <si>
    <t>09-12-2022 13:30</t>
  </si>
  <si>
    <t>09-12-2022 13:45</t>
  </si>
  <si>
    <t>09-12-2022 14:00</t>
  </si>
  <si>
    <t>09-12-2022 14:15</t>
  </si>
  <si>
    <t>09-12-2022 14:30</t>
  </si>
  <si>
    <t>09-12-2022 14:45</t>
  </si>
  <si>
    <t>09-12-2022 15:00</t>
  </si>
  <si>
    <t>09-12-2022 15:15</t>
  </si>
  <si>
    <t>09-12-2022 15:30</t>
  </si>
  <si>
    <t>09-12-2022 15:45</t>
  </si>
  <si>
    <t>09-12-2022 16:00</t>
  </si>
  <si>
    <t>09-12-2022 16:15</t>
  </si>
  <si>
    <t>09-12-2022 16:30</t>
  </si>
  <si>
    <t>09-12-2022 16:45</t>
  </si>
  <si>
    <t>09-12-2022 17:00</t>
  </si>
  <si>
    <t>09-12-2022 17:15</t>
  </si>
  <si>
    <t>09-12-2022 17:30</t>
  </si>
  <si>
    <t>09-12-2022 17:45</t>
  </si>
  <si>
    <t>09-12-2022 18:00</t>
  </si>
  <si>
    <t>09-12-2022 18:15</t>
  </si>
  <si>
    <t>09-12-2022 18:30</t>
  </si>
  <si>
    <t>09-12-2022 18:45</t>
  </si>
  <si>
    <t>09-12-2022 19:00</t>
  </si>
  <si>
    <t>09-12-2022 19:15</t>
  </si>
  <si>
    <t>09-12-2022 19:30</t>
  </si>
  <si>
    <t>09-12-2022 19:45</t>
  </si>
  <si>
    <t>09-12-2022 20:00</t>
  </si>
  <si>
    <t>09-12-2022 20:15</t>
  </si>
  <si>
    <t>09-12-2022 20:30</t>
  </si>
  <si>
    <t>09-12-2022 20:45</t>
  </si>
  <si>
    <t>09-12-2022 21:00</t>
  </si>
  <si>
    <t>09-12-2022 21:15</t>
  </si>
  <si>
    <t>09-12-2022 21:30</t>
  </si>
  <si>
    <t>09-12-2022 21:45</t>
  </si>
  <si>
    <t>09-12-2022 22:00</t>
  </si>
  <si>
    <t>09-12-2022 22:15</t>
  </si>
  <si>
    <t>09-12-2022 22:30</t>
  </si>
  <si>
    <t>09-12-2022 22:45</t>
  </si>
  <si>
    <t>09-12-2022 23:00</t>
  </si>
  <si>
    <t>09-12-2022 23:15</t>
  </si>
  <si>
    <t>09-12-2022 23:30</t>
  </si>
  <si>
    <t>09-12-2022 23:45</t>
  </si>
  <si>
    <t>09-12-2022 24:00</t>
  </si>
  <si>
    <t>10-12-2022 00:15</t>
  </si>
  <si>
    <t>10-12-2022 00:30</t>
  </si>
  <si>
    <t>10-12-2022 00:45</t>
  </si>
  <si>
    <t>10-12-2022 01:00</t>
  </si>
  <si>
    <t>10-12-2022 01:15</t>
  </si>
  <si>
    <t>10-12-2022 01:30</t>
  </si>
  <si>
    <t>10-12-2022 01:45</t>
  </si>
  <si>
    <t>10-12-2022 02:00</t>
  </si>
  <si>
    <t>10-12-2022 02:15</t>
  </si>
  <si>
    <t>10-12-2022 02:30</t>
  </si>
  <si>
    <t>10-12-2022 02:45</t>
  </si>
  <si>
    <t>10-12-2022 03:00</t>
  </si>
  <si>
    <t>10-12-2022 03:15</t>
  </si>
  <si>
    <t>10-12-2022 03:30</t>
  </si>
  <si>
    <t>10-12-2022 03:45</t>
  </si>
  <si>
    <t>10-12-2022 04:00</t>
  </si>
  <si>
    <t>10-12-2022 04:15</t>
  </si>
  <si>
    <t>10-12-2022 04:30</t>
  </si>
  <si>
    <t>10-12-2022 04:45</t>
  </si>
  <si>
    <t>10-12-2022 05:00</t>
  </si>
  <si>
    <t>10-12-2022 05:15</t>
  </si>
  <si>
    <t>10-12-2022 05:30</t>
  </si>
  <si>
    <t>10-12-2022 05:45</t>
  </si>
  <si>
    <t>10-12-2022 06:00</t>
  </si>
  <si>
    <t>10-12-2022 06:15</t>
  </si>
  <si>
    <t>10-12-2022 06:30</t>
  </si>
  <si>
    <t>10-12-2022 06:45</t>
  </si>
  <si>
    <t>10-12-2022 07:00</t>
  </si>
  <si>
    <t>10-12-2022 07:15</t>
  </si>
  <si>
    <t>10-12-2022 07:30</t>
  </si>
  <si>
    <t>10-12-2022 07:45</t>
  </si>
  <si>
    <t>10-12-2022 08:00</t>
  </si>
  <si>
    <t>10-12-2022 08:15</t>
  </si>
  <si>
    <t>10-12-2022 08:30</t>
  </si>
  <si>
    <t>10-12-2022 08:45</t>
  </si>
  <si>
    <t>10-12-2022 09:00</t>
  </si>
  <si>
    <t>10-12-2022 09:15</t>
  </si>
  <si>
    <t>10-12-2022 09:30</t>
  </si>
  <si>
    <t>10-12-2022 09:45</t>
  </si>
  <si>
    <t>10-12-2022 10:00</t>
  </si>
  <si>
    <t>10-12-2022 10:15</t>
  </si>
  <si>
    <t>10-12-2022 10:30</t>
  </si>
  <si>
    <t>10-12-2022 10:45</t>
  </si>
  <si>
    <t>10-12-2022 11:00</t>
  </si>
  <si>
    <t>10-12-2022 11:15</t>
  </si>
  <si>
    <t>10-12-2022 11:30</t>
  </si>
  <si>
    <t>10-12-2022 11:45</t>
  </si>
  <si>
    <t>10-12-2022 12:00</t>
  </si>
  <si>
    <t>10-12-2022 12:15</t>
  </si>
  <si>
    <t>10-12-2022 12:30</t>
  </si>
  <si>
    <t>10-12-2022 12:45</t>
  </si>
  <si>
    <t>10-12-2022 13:00</t>
  </si>
  <si>
    <t>10-12-2022 13:15</t>
  </si>
  <si>
    <t>10-12-2022 13:30</t>
  </si>
  <si>
    <t>10-12-2022 13:45</t>
  </si>
  <si>
    <t>10-12-2022 14:00</t>
  </si>
  <si>
    <t>10-12-2022 14:15</t>
  </si>
  <si>
    <t>10-12-2022 14:30</t>
  </si>
  <si>
    <t>10-12-2022 14:45</t>
  </si>
  <si>
    <t>10-12-2022 15:00</t>
  </si>
  <si>
    <t>10-12-2022 15:15</t>
  </si>
  <si>
    <t>10-12-2022 15:30</t>
  </si>
  <si>
    <t>10-12-2022 15:45</t>
  </si>
  <si>
    <t>10-12-2022 16:00</t>
  </si>
  <si>
    <t>10-12-2022 16:15</t>
  </si>
  <si>
    <t>10-12-2022 16:30</t>
  </si>
  <si>
    <t>10-12-2022 16:45</t>
  </si>
  <si>
    <t>10-12-2022 17:00</t>
  </si>
  <si>
    <t>10-12-2022 17:15</t>
  </si>
  <si>
    <t>10-12-2022 17:30</t>
  </si>
  <si>
    <t>10-12-2022 17:45</t>
  </si>
  <si>
    <t>10-12-2022 18:00</t>
  </si>
  <si>
    <t>10-12-2022 18:15</t>
  </si>
  <si>
    <t>10-12-2022 18:30</t>
  </si>
  <si>
    <t>10-12-2022 18:45</t>
  </si>
  <si>
    <t>10-12-2022 19:00</t>
  </si>
  <si>
    <t>10-12-2022 19:15</t>
  </si>
  <si>
    <t>10-12-2022 19:30</t>
  </si>
  <si>
    <t>10-12-2022 19:45</t>
  </si>
  <si>
    <t>10-12-2022 20:00</t>
  </si>
  <si>
    <t>10-12-2022 20:15</t>
  </si>
  <si>
    <t>10-12-2022 20:30</t>
  </si>
  <si>
    <t>10-12-2022 20:45</t>
  </si>
  <si>
    <t>10-12-2022 21:00</t>
  </si>
  <si>
    <t>10-12-2022 21:15</t>
  </si>
  <si>
    <t>10-12-2022 21:30</t>
  </si>
  <si>
    <t>10-12-2022 21:45</t>
  </si>
  <si>
    <t>10-12-2022 22:00</t>
  </si>
  <si>
    <t>10-12-2022 22:15</t>
  </si>
  <si>
    <t>10-12-2022 22:30</t>
  </si>
  <si>
    <t>10-12-2022 22:45</t>
  </si>
  <si>
    <t>10-12-2022 23:00</t>
  </si>
  <si>
    <t>10-12-2022 23:15</t>
  </si>
  <si>
    <t>10-12-2022 23:30</t>
  </si>
  <si>
    <t>10-12-2022 23:45</t>
  </si>
  <si>
    <t>10-12-2022 24:00</t>
  </si>
  <si>
    <t>11-12-2022 00:15</t>
  </si>
  <si>
    <t>11-12-2022 00:30</t>
  </si>
  <si>
    <t>11-12-2022 00:45</t>
  </si>
  <si>
    <t>11-12-2022 01:00</t>
  </si>
  <si>
    <t>11-12-2022 01:15</t>
  </si>
  <si>
    <t>11-12-2022 01:30</t>
  </si>
  <si>
    <t>11-12-2022 01:45</t>
  </si>
  <si>
    <t>11-12-2022 02:00</t>
  </si>
  <si>
    <t>11-12-2022 02:15</t>
  </si>
  <si>
    <t>11-12-2022 02:30</t>
  </si>
  <si>
    <t>11-12-2022 02:45</t>
  </si>
  <si>
    <t>11-12-2022 03:00</t>
  </si>
  <si>
    <t>11-12-2022 03:15</t>
  </si>
  <si>
    <t>11-12-2022 03:30</t>
  </si>
  <si>
    <t>11-12-2022 03:45</t>
  </si>
  <si>
    <t>11-12-2022 04:00</t>
  </si>
  <si>
    <t>11-12-2022 04:15</t>
  </si>
  <si>
    <t>11-12-2022 04:30</t>
  </si>
  <si>
    <t>11-12-2022 04:45</t>
  </si>
  <si>
    <t>11-12-2022 05:00</t>
  </si>
  <si>
    <t>11-12-2022 05:15</t>
  </si>
  <si>
    <t>11-12-2022 05:30</t>
  </si>
  <si>
    <t>11-12-2022 05:45</t>
  </si>
  <si>
    <t>11-12-2022 06:00</t>
  </si>
  <si>
    <t>11-12-2022 06:15</t>
  </si>
  <si>
    <t>11-12-2022 06:30</t>
  </si>
  <si>
    <t>11-12-2022 06:45</t>
  </si>
  <si>
    <t>11-12-2022 07:00</t>
  </si>
  <si>
    <t>11-12-2022 07:15</t>
  </si>
  <si>
    <t>11-12-2022 07:30</t>
  </si>
  <si>
    <t>11-12-2022 07:45</t>
  </si>
  <si>
    <t>11-12-2022 08:00</t>
  </si>
  <si>
    <t>11-12-2022 08:15</t>
  </si>
  <si>
    <t>11-12-2022 08:30</t>
  </si>
  <si>
    <t>11-12-2022 08:45</t>
  </si>
  <si>
    <t>11-12-2022 09:00</t>
  </si>
  <si>
    <t>11-12-2022 09:15</t>
  </si>
  <si>
    <t>11-12-2022 09:30</t>
  </si>
  <si>
    <t>11-12-2022 09:45</t>
  </si>
  <si>
    <t>11-12-2022 10:00</t>
  </si>
  <si>
    <t>11-12-2022 10:15</t>
  </si>
  <si>
    <t>11-12-2022 10:30</t>
  </si>
  <si>
    <t>11-12-2022 10:45</t>
  </si>
  <si>
    <t>11-12-2022 11:00</t>
  </si>
  <si>
    <t>11-12-2022 11:15</t>
  </si>
  <si>
    <t>11-12-2022 11:30</t>
  </si>
  <si>
    <t>11-12-2022 11:45</t>
  </si>
  <si>
    <t>11-12-2022 12:00</t>
  </si>
  <si>
    <t>11-12-2022 12:15</t>
  </si>
  <si>
    <t>11-12-2022 12:30</t>
  </si>
  <si>
    <t>11-12-2022 12:45</t>
  </si>
  <si>
    <t>11-12-2022 13:00</t>
  </si>
  <si>
    <t>11-12-2022 13:15</t>
  </si>
  <si>
    <t>11-12-2022 13:30</t>
  </si>
  <si>
    <t>11-12-2022 13:45</t>
  </si>
  <si>
    <t>11-12-2022 14:00</t>
  </si>
  <si>
    <t>11-12-2022 14:15</t>
  </si>
  <si>
    <t>11-12-2022 14:30</t>
  </si>
  <si>
    <t>11-12-2022 14:45</t>
  </si>
  <si>
    <t>11-12-2022 15:00</t>
  </si>
  <si>
    <t>11-12-2022 15:15</t>
  </si>
  <si>
    <t>11-12-2022 15:30</t>
  </si>
  <si>
    <t>11-12-2022 15:45</t>
  </si>
  <si>
    <t>11-12-2022 16:00</t>
  </si>
  <si>
    <t>11-12-2022 16:15</t>
  </si>
  <si>
    <t>11-12-2022 16:30</t>
  </si>
  <si>
    <t>11-12-2022 16:45</t>
  </si>
  <si>
    <t>11-12-2022 17:00</t>
  </si>
  <si>
    <t>11-12-2022 17:15</t>
  </si>
  <si>
    <t>11-12-2022 17:30</t>
  </si>
  <si>
    <t>11-12-2022 17:45</t>
  </si>
  <si>
    <t>11-12-2022 18:00</t>
  </si>
  <si>
    <t>11-12-2022 18:15</t>
  </si>
  <si>
    <t>11-12-2022 18:30</t>
  </si>
  <si>
    <t>11-12-2022 18:45</t>
  </si>
  <si>
    <t>11-12-2022 19:00</t>
  </si>
  <si>
    <t>11-12-2022 19:15</t>
  </si>
  <si>
    <t>11-12-2022 19:30</t>
  </si>
  <si>
    <t>11-12-2022 19:45</t>
  </si>
  <si>
    <t>11-12-2022 20:00</t>
  </si>
  <si>
    <t>11-12-2022 20:15</t>
  </si>
  <si>
    <t>11-12-2022 20:30</t>
  </si>
  <si>
    <t>11-12-2022 20:45</t>
  </si>
  <si>
    <t>11-12-2022 21:00</t>
  </si>
  <si>
    <t>11-12-2022 21:15</t>
  </si>
  <si>
    <t>11-12-2022 21:30</t>
  </si>
  <si>
    <t>11-12-2022 21:45</t>
  </si>
  <si>
    <t>11-12-2022 22:00</t>
  </si>
  <si>
    <t>11-12-2022 22:15</t>
  </si>
  <si>
    <t>11-12-2022 22:30</t>
  </si>
  <si>
    <t>11-12-2022 22:45</t>
  </si>
  <si>
    <t>11-12-2022 23:00</t>
  </si>
  <si>
    <t>11-12-2022 23:15</t>
  </si>
  <si>
    <t>11-12-2022 23:30</t>
  </si>
  <si>
    <t>11-12-2022 23:45</t>
  </si>
  <si>
    <t>11-12-2022 24:00</t>
  </si>
  <si>
    <t>12-12-2022 00:15</t>
  </si>
  <si>
    <t>12-12-2022 00:30</t>
  </si>
  <si>
    <t>12-12-2022 00:45</t>
  </si>
  <si>
    <t>12-12-2022 01:00</t>
  </si>
  <si>
    <t>12-12-2022 01:15</t>
  </si>
  <si>
    <t>12-12-2022 01:30</t>
  </si>
  <si>
    <t>12-12-2022 01:45</t>
  </si>
  <si>
    <t>12-12-2022 02:00</t>
  </si>
  <si>
    <t>12-12-2022 02:15</t>
  </si>
  <si>
    <t>12-12-2022 02:30</t>
  </si>
  <si>
    <t>12-12-2022 02:45</t>
  </si>
  <si>
    <t>12-12-2022 03:00</t>
  </si>
  <si>
    <t>12-12-2022 03:15</t>
  </si>
  <si>
    <t>12-12-2022 03:30</t>
  </si>
  <si>
    <t>12-12-2022 03:45</t>
  </si>
  <si>
    <t>12-12-2022 04:00</t>
  </si>
  <si>
    <t>12-12-2022 04:15</t>
  </si>
  <si>
    <t>12-12-2022 04:30</t>
  </si>
  <si>
    <t>12-12-2022 04:45</t>
  </si>
  <si>
    <t>12-12-2022 05:00</t>
  </si>
  <si>
    <t>12-12-2022 05:15</t>
  </si>
  <si>
    <t>12-12-2022 05:30</t>
  </si>
  <si>
    <t>12-12-2022 05:45</t>
  </si>
  <si>
    <t>12-12-2022 06:00</t>
  </si>
  <si>
    <t>12-12-2022 06:15</t>
  </si>
  <si>
    <t>12-12-2022 06:30</t>
  </si>
  <si>
    <t>12-12-2022 06:45</t>
  </si>
  <si>
    <t>12-12-2022 07:00</t>
  </si>
  <si>
    <t>12-12-2022 07:15</t>
  </si>
  <si>
    <t>12-12-2022 07:30</t>
  </si>
  <si>
    <t>12-12-2022 07:45</t>
  </si>
  <si>
    <t>12-12-2022 08:00</t>
  </si>
  <si>
    <t>12-12-2022 08:15</t>
  </si>
  <si>
    <t>12-12-2022 08:30</t>
  </si>
  <si>
    <t>12-12-2022 08:45</t>
  </si>
  <si>
    <t>12-12-2022 09:00</t>
  </si>
  <si>
    <t>12-12-2022 09:15</t>
  </si>
  <si>
    <t>12-12-2022 09:30</t>
  </si>
  <si>
    <t>12-12-2022 09:45</t>
  </si>
  <si>
    <t>12-12-2022 10:00</t>
  </si>
  <si>
    <t>12-12-2022 10:15</t>
  </si>
  <si>
    <t>12-12-2022 10:30</t>
  </si>
  <si>
    <t>12-12-2022 10:45</t>
  </si>
  <si>
    <t>12-12-2022 11:00</t>
  </si>
  <si>
    <t>12-12-2022 11:15</t>
  </si>
  <si>
    <t>12-12-2022 11:30</t>
  </si>
  <si>
    <t>12-12-2022 11:45</t>
  </si>
  <si>
    <t>12-12-2022 12:00</t>
  </si>
  <si>
    <t>12-12-2022 12:15</t>
  </si>
  <si>
    <t>12-12-2022 12:30</t>
  </si>
  <si>
    <t>12-12-2022 12:45</t>
  </si>
  <si>
    <t>12-12-2022 13:00</t>
  </si>
  <si>
    <t>12-12-2022 13:15</t>
  </si>
  <si>
    <t>12-12-2022 13:30</t>
  </si>
  <si>
    <t>12-12-2022 13:45</t>
  </si>
  <si>
    <t>12-12-2022 14:00</t>
  </si>
  <si>
    <t>12-12-2022 14:15</t>
  </si>
  <si>
    <t>12-12-2022 14:30</t>
  </si>
  <si>
    <t>12-12-2022 14:45</t>
  </si>
  <si>
    <t>12-12-2022 15:00</t>
  </si>
  <si>
    <t>12-12-2022 15:15</t>
  </si>
  <si>
    <t>12-12-2022 15:30</t>
  </si>
  <si>
    <t>12-12-2022 15:45</t>
  </si>
  <si>
    <t>12-12-2022 16:00</t>
  </si>
  <si>
    <t>12-12-2022 16:15</t>
  </si>
  <si>
    <t>12-12-2022 16:30</t>
  </si>
  <si>
    <t>12-12-2022 16:45</t>
  </si>
  <si>
    <t>12-12-2022 17:00</t>
  </si>
  <si>
    <t>12-12-2022 17:15</t>
  </si>
  <si>
    <t>12-12-2022 17:30</t>
  </si>
  <si>
    <t>12-12-2022 17:45</t>
  </si>
  <si>
    <t>12-12-2022 18:00</t>
  </si>
  <si>
    <t>12-12-2022 18:15</t>
  </si>
  <si>
    <t>12-12-2022 18:30</t>
  </si>
  <si>
    <t>12-12-2022 18:45</t>
  </si>
  <si>
    <t>12-12-2022 19:00</t>
  </si>
  <si>
    <t>12-12-2022 19:15</t>
  </si>
  <si>
    <t>12-12-2022 19:30</t>
  </si>
  <si>
    <t>12-12-2022 19:45</t>
  </si>
  <si>
    <t>12-12-2022 20:00</t>
  </si>
  <si>
    <t>12-12-2022 20:15</t>
  </si>
  <si>
    <t>12-12-2022 20:30</t>
  </si>
  <si>
    <t>12-12-2022 20:45</t>
  </si>
  <si>
    <t>12-12-2022 21:00</t>
  </si>
  <si>
    <t>12-12-2022 21:15</t>
  </si>
  <si>
    <t>12-12-2022 21:30</t>
  </si>
  <si>
    <t>12-12-2022 21:45</t>
  </si>
  <si>
    <t>12-12-2022 22:00</t>
  </si>
  <si>
    <t>12-12-2022 22:15</t>
  </si>
  <si>
    <t>12-12-2022 22:30</t>
  </si>
  <si>
    <t>12-12-2022 22:45</t>
  </si>
  <si>
    <t>12-12-2022 23:00</t>
  </si>
  <si>
    <t>12-12-2022 23:15</t>
  </si>
  <si>
    <t>12-12-2022 23:30</t>
  </si>
  <si>
    <t>12-12-2022 23:45</t>
  </si>
  <si>
    <t>12-12-2022 24:00</t>
  </si>
  <si>
    <t>13-12-2022 00:15</t>
  </si>
  <si>
    <t>13-12-2022 00:30</t>
  </si>
  <si>
    <t>13-12-2022 00:45</t>
  </si>
  <si>
    <t>13-12-2022 01:00</t>
  </si>
  <si>
    <t>13-12-2022 01:15</t>
  </si>
  <si>
    <t>13-12-2022 01:30</t>
  </si>
  <si>
    <t>13-12-2022 01:45</t>
  </si>
  <si>
    <t>13-12-2022 02:00</t>
  </si>
  <si>
    <t>13-12-2022 02:15</t>
  </si>
  <si>
    <t>13-12-2022 02:30</t>
  </si>
  <si>
    <t>13-12-2022 02:45</t>
  </si>
  <si>
    <t>13-12-2022 03:00</t>
  </si>
  <si>
    <t>13-12-2022 03:15</t>
  </si>
  <si>
    <t>13-12-2022 03:30</t>
  </si>
  <si>
    <t>13-12-2022 03:45</t>
  </si>
  <si>
    <t>13-12-2022 04:00</t>
  </si>
  <si>
    <t>13-12-2022 04:15</t>
  </si>
  <si>
    <t>13-12-2022 04:30</t>
  </si>
  <si>
    <t>13-12-2022 04:45</t>
  </si>
  <si>
    <t>13-12-2022 05:00</t>
  </si>
  <si>
    <t>13-12-2022 05:15</t>
  </si>
  <si>
    <t>13-12-2022 05:30</t>
  </si>
  <si>
    <t>13-12-2022 05:45</t>
  </si>
  <si>
    <t>13-12-2022 06:00</t>
  </si>
  <si>
    <t>13-12-2022 06:15</t>
  </si>
  <si>
    <t>13-12-2022 06:30</t>
  </si>
  <si>
    <t>13-12-2022 06:45</t>
  </si>
  <si>
    <t>13-12-2022 07:00</t>
  </si>
  <si>
    <t>13-12-2022 07:15</t>
  </si>
  <si>
    <t>13-12-2022 07:30</t>
  </si>
  <si>
    <t>13-12-2022 07:45</t>
  </si>
  <si>
    <t>13-12-2022 08:00</t>
  </si>
  <si>
    <t>13-12-2022 08:15</t>
  </si>
  <si>
    <t>13-12-2022 08:30</t>
  </si>
  <si>
    <t>13-12-2022 08:45</t>
  </si>
  <si>
    <t>13-12-2022 09:00</t>
  </si>
  <si>
    <t>13-12-2022 09:15</t>
  </si>
  <si>
    <t>13-12-2022 09:30</t>
  </si>
  <si>
    <t>13-12-2022 09:45</t>
  </si>
  <si>
    <t>13-12-2022 10:00</t>
  </si>
  <si>
    <t>13-12-2022 10:15</t>
  </si>
  <si>
    <t>13-12-2022 10:30</t>
  </si>
  <si>
    <t>13-12-2022 10:45</t>
  </si>
  <si>
    <t>13-12-2022 11:00</t>
  </si>
  <si>
    <t>13-12-2022 11:15</t>
  </si>
  <si>
    <t>13-12-2022 11:30</t>
  </si>
  <si>
    <t>13-12-2022 11:45</t>
  </si>
  <si>
    <t>13-12-2022 12:00</t>
  </si>
  <si>
    <t>13-12-2022 12:15</t>
  </si>
  <si>
    <t>13-12-2022 12:30</t>
  </si>
  <si>
    <t>13-12-2022 12:45</t>
  </si>
  <si>
    <t>13-12-2022 13:00</t>
  </si>
  <si>
    <t>13-12-2022 13:15</t>
  </si>
  <si>
    <t>13-12-2022 13:30</t>
  </si>
  <si>
    <t>13-12-2022 13:45</t>
  </si>
  <si>
    <t>13-12-2022 14:00</t>
  </si>
  <si>
    <t>13-12-2022 14:15</t>
  </si>
  <si>
    <t>13-12-2022 14:30</t>
  </si>
  <si>
    <t>13-12-2022 14:45</t>
  </si>
  <si>
    <t>13-12-2022 15:00</t>
  </si>
  <si>
    <t>13-12-2022 15:15</t>
  </si>
  <si>
    <t>13-12-2022 15:30</t>
  </si>
  <si>
    <t>13-12-2022 15:45</t>
  </si>
  <si>
    <t>13-12-2022 16:00</t>
  </si>
  <si>
    <t>13-12-2022 16:15</t>
  </si>
  <si>
    <t>13-12-2022 16:30</t>
  </si>
  <si>
    <t>13-12-2022 16:45</t>
  </si>
  <si>
    <t>13-12-2022 17:00</t>
  </si>
  <si>
    <t>13-12-2022 17:15</t>
  </si>
  <si>
    <t>13-12-2022 17:30</t>
  </si>
  <si>
    <t>13-12-2022 17:45</t>
  </si>
  <si>
    <t>13-12-2022 18:00</t>
  </si>
  <si>
    <t>13-12-2022 18:15</t>
  </si>
  <si>
    <t>13-12-2022 18:30</t>
  </si>
  <si>
    <t>13-12-2022 18:45</t>
  </si>
  <si>
    <t>13-12-2022 19:00</t>
  </si>
  <si>
    <t>13-12-2022 19:15</t>
  </si>
  <si>
    <t>13-12-2022 19:30</t>
  </si>
  <si>
    <t>13-12-2022 19:45</t>
  </si>
  <si>
    <t>13-12-2022 20:00</t>
  </si>
  <si>
    <t>13-12-2022 20:15</t>
  </si>
  <si>
    <t>13-12-2022 20:30</t>
  </si>
  <si>
    <t>13-12-2022 20:45</t>
  </si>
  <si>
    <t>13-12-2022 21:00</t>
  </si>
  <si>
    <t>13-12-2022 21:15</t>
  </si>
  <si>
    <t>13-12-2022 21:30</t>
  </si>
  <si>
    <t>13-12-2022 21:45</t>
  </si>
  <si>
    <t>13-12-2022 22:00</t>
  </si>
  <si>
    <t>13-12-2022 22:15</t>
  </si>
  <si>
    <t>13-12-2022 22:30</t>
  </si>
  <si>
    <t>13-12-2022 22:45</t>
  </si>
  <si>
    <t>13-12-2022 23:00</t>
  </si>
  <si>
    <t>13-12-2022 23:15</t>
  </si>
  <si>
    <t>13-12-2022 23:30</t>
  </si>
  <si>
    <t>13-12-2022 23:45</t>
  </si>
  <si>
    <t>13-12-2022 24:00</t>
  </si>
  <si>
    <t>14-12-2022 00:15</t>
  </si>
  <si>
    <t>14-12-2022 00:30</t>
  </si>
  <si>
    <t>14-12-2022 00:45</t>
  </si>
  <si>
    <t>14-12-2022 01:00</t>
  </si>
  <si>
    <t>14-12-2022 01:15</t>
  </si>
  <si>
    <t>14-12-2022 01:30</t>
  </si>
  <si>
    <t>14-12-2022 01:45</t>
  </si>
  <si>
    <t>14-12-2022 02:00</t>
  </si>
  <si>
    <t>14-12-2022 02:15</t>
  </si>
  <si>
    <t>14-12-2022 02:30</t>
  </si>
  <si>
    <t>14-12-2022 02:45</t>
  </si>
  <si>
    <t>14-12-2022 03:00</t>
  </si>
  <si>
    <t>14-12-2022 03:15</t>
  </si>
  <si>
    <t>14-12-2022 03:30</t>
  </si>
  <si>
    <t>14-12-2022 03:45</t>
  </si>
  <si>
    <t>14-12-2022 04:00</t>
  </si>
  <si>
    <t>14-12-2022 04:15</t>
  </si>
  <si>
    <t>14-12-2022 04:30</t>
  </si>
  <si>
    <t>14-12-2022 04:45</t>
  </si>
  <si>
    <t>14-12-2022 05:00</t>
  </si>
  <si>
    <t>14-12-2022 05:15</t>
  </si>
  <si>
    <t>14-12-2022 05:30</t>
  </si>
  <si>
    <t>14-12-2022 05:45</t>
  </si>
  <si>
    <t>14-12-2022 06:00</t>
  </si>
  <si>
    <t>14-12-2022 06:15</t>
  </si>
  <si>
    <t>14-12-2022 06:30</t>
  </si>
  <si>
    <t>14-12-2022 06:45</t>
  </si>
  <si>
    <t>14-12-2022 07:00</t>
  </si>
  <si>
    <t>14-12-2022 07:15</t>
  </si>
  <si>
    <t>14-12-2022 07:30</t>
  </si>
  <si>
    <t>14-12-2022 07:45</t>
  </si>
  <si>
    <t>14-12-2022 08:00</t>
  </si>
  <si>
    <t>14-12-2022 08:15</t>
  </si>
  <si>
    <t>14-12-2022 08:30</t>
  </si>
  <si>
    <t>14-12-2022 08:45</t>
  </si>
  <si>
    <t>14-12-2022 09:00</t>
  </si>
  <si>
    <t>14-12-2022 09:15</t>
  </si>
  <si>
    <t>14-12-2022 09:30</t>
  </si>
  <si>
    <t>14-12-2022 09:45</t>
  </si>
  <si>
    <t>14-12-2022 10:00</t>
  </si>
  <si>
    <t>14-12-2022 10:15</t>
  </si>
  <si>
    <t>14-12-2022 10:30</t>
  </si>
  <si>
    <t>14-12-2022 10:45</t>
  </si>
  <si>
    <t>14-12-2022 11:00</t>
  </si>
  <si>
    <t>14-12-2022 11:15</t>
  </si>
  <si>
    <t>14-12-2022 11:30</t>
  </si>
  <si>
    <t>14-12-2022 11:45</t>
  </si>
  <si>
    <t>14-12-2022 12:00</t>
  </si>
  <si>
    <t>14-12-2022 12:15</t>
  </si>
  <si>
    <t>14-12-2022 12:30</t>
  </si>
  <si>
    <t>14-12-2022 12:45</t>
  </si>
  <si>
    <t>14-12-2022 13:00</t>
  </si>
  <si>
    <t>14-12-2022 13:15</t>
  </si>
  <si>
    <t>14-12-2022 13:30</t>
  </si>
  <si>
    <t>14-12-2022 13:45</t>
  </si>
  <si>
    <t>14-12-2022 14:00</t>
  </si>
  <si>
    <t>14-12-2022 14:15</t>
  </si>
  <si>
    <t>14-12-2022 14:30</t>
  </si>
  <si>
    <t>14-12-2022 14:45</t>
  </si>
  <si>
    <t>14-12-2022 15:00</t>
  </si>
  <si>
    <t>14-12-2022 15:15</t>
  </si>
  <si>
    <t>14-12-2022 15:30</t>
  </si>
  <si>
    <t>14-12-2022 15:45</t>
  </si>
  <si>
    <t>14-12-2022 16:00</t>
  </si>
  <si>
    <t>14-12-2022 16:15</t>
  </si>
  <si>
    <t>14-12-2022 16:30</t>
  </si>
  <si>
    <t>14-12-2022 16:45</t>
  </si>
  <si>
    <t>14-12-2022 17:00</t>
  </si>
  <si>
    <t>14-12-2022 17:15</t>
  </si>
  <si>
    <t>14-12-2022 17:30</t>
  </si>
  <si>
    <t>14-12-2022 17:45</t>
  </si>
  <si>
    <t>14-12-2022 18:00</t>
  </si>
  <si>
    <t>14-12-2022 18:15</t>
  </si>
  <si>
    <t>14-12-2022 18:30</t>
  </si>
  <si>
    <t>14-12-2022 18:45</t>
  </si>
  <si>
    <t>14-12-2022 19:00</t>
  </si>
  <si>
    <t>14-12-2022 19:15</t>
  </si>
  <si>
    <t>14-12-2022 19:30</t>
  </si>
  <si>
    <t>14-12-2022 19:45</t>
  </si>
  <si>
    <t>14-12-2022 20:00</t>
  </si>
  <si>
    <t>14-12-2022 20:15</t>
  </si>
  <si>
    <t>14-12-2022 20:30</t>
  </si>
  <si>
    <t>14-12-2022 20:45</t>
  </si>
  <si>
    <t>14-12-2022 21:00</t>
  </si>
  <si>
    <t>14-12-2022 21:15</t>
  </si>
  <si>
    <t>14-12-2022 21:30</t>
  </si>
  <si>
    <t>14-12-2022 21:45</t>
  </si>
  <si>
    <t>14-12-2022 22:00</t>
  </si>
  <si>
    <t>14-12-2022 22:15</t>
  </si>
  <si>
    <t>14-12-2022 22:30</t>
  </si>
  <si>
    <t>14-12-2022 22:45</t>
  </si>
  <si>
    <t>14-12-2022 23:00</t>
  </si>
  <si>
    <t>14-12-2022 23:15</t>
  </si>
  <si>
    <t>14-12-2022 23:30</t>
  </si>
  <si>
    <t>14-12-2022 23:45</t>
  </si>
  <si>
    <t>14-12-2022 24:00</t>
  </si>
  <si>
    <t>15-12-2022 00:15</t>
  </si>
  <si>
    <t>15-12-2022 00:30</t>
  </si>
  <si>
    <t>15-12-2022 00:45</t>
  </si>
  <si>
    <t>15-12-2022 01:00</t>
  </si>
  <si>
    <t>15-12-2022 01:15</t>
  </si>
  <si>
    <t>15-12-2022 01:30</t>
  </si>
  <si>
    <t>15-12-2022 01:45</t>
  </si>
  <si>
    <t>15-12-2022 02:00</t>
  </si>
  <si>
    <t>15-12-2022 02:15</t>
  </si>
  <si>
    <t>15-12-2022 02:30</t>
  </si>
  <si>
    <t>15-12-2022 02:45</t>
  </si>
  <si>
    <t>15-12-2022 03:00</t>
  </si>
  <si>
    <t>15-12-2022 03:15</t>
  </si>
  <si>
    <t>15-12-2022 03:30</t>
  </si>
  <si>
    <t>15-12-2022 03:45</t>
  </si>
  <si>
    <t>15-12-2022 04:00</t>
  </si>
  <si>
    <t>15-12-2022 04:15</t>
  </si>
  <si>
    <t>15-12-2022 04:30</t>
  </si>
  <si>
    <t>15-12-2022 04:45</t>
  </si>
  <si>
    <t>15-12-2022 05:00</t>
  </si>
  <si>
    <t>15-12-2022 05:15</t>
  </si>
  <si>
    <t>15-12-2022 05:30</t>
  </si>
  <si>
    <t>15-12-2022 05:45</t>
  </si>
  <si>
    <t>15-12-2022 06:00</t>
  </si>
  <si>
    <t>15-12-2022 06:15</t>
  </si>
  <si>
    <t>15-12-2022 06:30</t>
  </si>
  <si>
    <t>15-12-2022 06:45</t>
  </si>
  <si>
    <t>15-12-2022 07:00</t>
  </si>
  <si>
    <t>15-12-2022 07:15</t>
  </si>
  <si>
    <t>15-12-2022 07:30</t>
  </si>
  <si>
    <t>15-12-2022 07:45</t>
  </si>
  <si>
    <t>15-12-2022 08:00</t>
  </si>
  <si>
    <t>15-12-2022 08:15</t>
  </si>
  <si>
    <t>15-12-2022 08:30</t>
  </si>
  <si>
    <t>15-12-2022 08:45</t>
  </si>
  <si>
    <t>15-12-2022 09:00</t>
  </si>
  <si>
    <t>15-12-2022 09:15</t>
  </si>
  <si>
    <t>15-12-2022 09:30</t>
  </si>
  <si>
    <t>15-12-2022 09:45</t>
  </si>
  <si>
    <t>15-12-2022 10:00</t>
  </si>
  <si>
    <t>15-12-2022 10:15</t>
  </si>
  <si>
    <t>15-12-2022 10:30</t>
  </si>
  <si>
    <t>15-12-2022 10:45</t>
  </si>
  <si>
    <t>15-12-2022 11:00</t>
  </si>
  <si>
    <t>15-12-2022 11:15</t>
  </si>
  <si>
    <t>15-12-2022 11:30</t>
  </si>
  <si>
    <t>15-12-2022 11:45</t>
  </si>
  <si>
    <t>15-12-2022 12:00</t>
  </si>
  <si>
    <t>15-12-2022 12:15</t>
  </si>
  <si>
    <t>15-12-2022 12:30</t>
  </si>
  <si>
    <t>15-12-2022 12:45</t>
  </si>
  <si>
    <t>15-12-2022 13:00</t>
  </si>
  <si>
    <t>15-12-2022 13:15</t>
  </si>
  <si>
    <t>15-12-2022 13:30</t>
  </si>
  <si>
    <t>15-12-2022 13:45</t>
  </si>
  <si>
    <t>15-12-2022 14:00</t>
  </si>
  <si>
    <t>15-12-2022 14:15</t>
  </si>
  <si>
    <t>15-12-2022 14:30</t>
  </si>
  <si>
    <t>15-12-2022 14:45</t>
  </si>
  <si>
    <t>15-12-2022 15:00</t>
  </si>
  <si>
    <t>15-12-2022 15:15</t>
  </si>
  <si>
    <t>15-12-2022 15:30</t>
  </si>
  <si>
    <t>15-12-2022 15:45</t>
  </si>
  <si>
    <t>15-12-2022 16:00</t>
  </si>
  <si>
    <t>15-12-2022 16:15</t>
  </si>
  <si>
    <t>15-12-2022 16:30</t>
  </si>
  <si>
    <t>15-12-2022 16:45</t>
  </si>
  <si>
    <t>15-12-2022 17:00</t>
  </si>
  <si>
    <t>15-12-2022 17:15</t>
  </si>
  <si>
    <t>15-12-2022 17:30</t>
  </si>
  <si>
    <t>15-12-2022 17:45</t>
  </si>
  <si>
    <t>15-12-2022 18:00</t>
  </si>
  <si>
    <t>15-12-2022 18:15</t>
  </si>
  <si>
    <t>15-12-2022 18:30</t>
  </si>
  <si>
    <t>15-12-2022 18:45</t>
  </si>
  <si>
    <t>15-12-2022 19:00</t>
  </si>
  <si>
    <t>15-12-2022 19:15</t>
  </si>
  <si>
    <t>15-12-2022 19:30</t>
  </si>
  <si>
    <t>15-12-2022 19:45</t>
  </si>
  <si>
    <t>15-12-2022 20:00</t>
  </si>
  <si>
    <t>15-12-2022 20:15</t>
  </si>
  <si>
    <t>15-12-2022 20:30</t>
  </si>
  <si>
    <t>15-12-2022 20:45</t>
  </si>
  <si>
    <t>15-12-2022 21:00</t>
  </si>
  <si>
    <t>15-12-2022 21:15</t>
  </si>
  <si>
    <t>15-12-2022 21:30</t>
  </si>
  <si>
    <t>15-12-2022 21:45</t>
  </si>
  <si>
    <t>15-12-2022 22:00</t>
  </si>
  <si>
    <t>15-12-2022 22:15</t>
  </si>
  <si>
    <t>15-12-2022 22:30</t>
  </si>
  <si>
    <t>15-12-2022 22:45</t>
  </si>
  <si>
    <t>15-12-2022 23:00</t>
  </si>
  <si>
    <t>15-12-2022 23:15</t>
  </si>
  <si>
    <t>15-12-2022 23:30</t>
  </si>
  <si>
    <t>15-12-2022 23:45</t>
  </si>
  <si>
    <t>15-12-2022 24:00</t>
  </si>
  <si>
    <t>16-12-2022 00:15</t>
  </si>
  <si>
    <t>16-12-2022 00:30</t>
  </si>
  <si>
    <t>16-12-2022 00:45</t>
  </si>
  <si>
    <t>16-12-2022 01:00</t>
  </si>
  <si>
    <t>16-12-2022 01:15</t>
  </si>
  <si>
    <t>16-12-2022 01:30</t>
  </si>
  <si>
    <t>16-12-2022 01:45</t>
  </si>
  <si>
    <t>16-12-2022 02:00</t>
  </si>
  <si>
    <t>16-12-2022 02:15</t>
  </si>
  <si>
    <t>16-12-2022 02:30</t>
  </si>
  <si>
    <t>16-12-2022 02:45</t>
  </si>
  <si>
    <t>16-12-2022 03:00</t>
  </si>
  <si>
    <t>16-12-2022 03:15</t>
  </si>
  <si>
    <t>16-12-2022 03:30</t>
  </si>
  <si>
    <t>16-12-2022 03:45</t>
  </si>
  <si>
    <t>16-12-2022 04:00</t>
  </si>
  <si>
    <t>16-12-2022 04:15</t>
  </si>
  <si>
    <t>16-12-2022 04:30</t>
  </si>
  <si>
    <t>16-12-2022 04:45</t>
  </si>
  <si>
    <t>16-12-2022 05:00</t>
  </si>
  <si>
    <t>16-12-2022 05:15</t>
  </si>
  <si>
    <t>16-12-2022 05:30</t>
  </si>
  <si>
    <t>16-12-2022 05:45</t>
  </si>
  <si>
    <t>16-12-2022 06:00</t>
  </si>
  <si>
    <t>16-12-2022 06:15</t>
  </si>
  <si>
    <t>16-12-2022 06:30</t>
  </si>
  <si>
    <t>16-12-2022 06:45</t>
  </si>
  <si>
    <t>16-12-2022 07:00</t>
  </si>
  <si>
    <t>16-12-2022 07:15</t>
  </si>
  <si>
    <t>16-12-2022 07:30</t>
  </si>
  <si>
    <t>16-12-2022 07:45</t>
  </si>
  <si>
    <t>16-12-2022 08:00</t>
  </si>
  <si>
    <t>16-12-2022 08:15</t>
  </si>
  <si>
    <t>16-12-2022 08:30</t>
  </si>
  <si>
    <t>16-12-2022 08:45</t>
  </si>
  <si>
    <t>16-12-2022 09:00</t>
  </si>
  <si>
    <t>16-12-2022 09:15</t>
  </si>
  <si>
    <t>16-12-2022 09:30</t>
  </si>
  <si>
    <t>16-12-2022 09:45</t>
  </si>
  <si>
    <t>16-12-2022 10:00</t>
  </si>
  <si>
    <t>16-12-2022 10:15</t>
  </si>
  <si>
    <t>16-12-2022 10:30</t>
  </si>
  <si>
    <t>16-12-2022 10:45</t>
  </si>
  <si>
    <t>16-12-2022 11:00</t>
  </si>
  <si>
    <t>16-12-2022 11:15</t>
  </si>
  <si>
    <t>16-12-2022 11:30</t>
  </si>
  <si>
    <t>16-12-2022 11:45</t>
  </si>
  <si>
    <t>16-12-2022 12:00</t>
  </si>
  <si>
    <t>16-12-2022 12:15</t>
  </si>
  <si>
    <t>16-12-2022 12:30</t>
  </si>
  <si>
    <t>16-12-2022 12:45</t>
  </si>
  <si>
    <t>16-12-2022 13:00</t>
  </si>
  <si>
    <t>16-12-2022 13:15</t>
  </si>
  <si>
    <t>16-12-2022 13:30</t>
  </si>
  <si>
    <t>16-12-2022 13:45</t>
  </si>
  <si>
    <t>16-12-2022 14:00</t>
  </si>
  <si>
    <t>16-12-2022 14:15</t>
  </si>
  <si>
    <t>16-12-2022 14:30</t>
  </si>
  <si>
    <t>16-12-2022 14:45</t>
  </si>
  <si>
    <t>16-12-2022 15:00</t>
  </si>
  <si>
    <t>16-12-2022 15:15</t>
  </si>
  <si>
    <t>16-12-2022 15:30</t>
  </si>
  <si>
    <t>16-12-2022 15:45</t>
  </si>
  <si>
    <t>16-12-2022 16:00</t>
  </si>
  <si>
    <t>16-12-2022 16:15</t>
  </si>
  <si>
    <t>16-12-2022 16:30</t>
  </si>
  <si>
    <t>16-12-2022 16:45</t>
  </si>
  <si>
    <t>16-12-2022 17:00</t>
  </si>
  <si>
    <t>16-12-2022 17:15</t>
  </si>
  <si>
    <t>16-12-2022 17:30</t>
  </si>
  <si>
    <t>16-12-2022 17:45</t>
  </si>
  <si>
    <t>16-12-2022 18:00</t>
  </si>
  <si>
    <t>16-12-2022 18:15</t>
  </si>
  <si>
    <t>16-12-2022 18:30</t>
  </si>
  <si>
    <t>16-12-2022 18:45</t>
  </si>
  <si>
    <t>16-12-2022 19:00</t>
  </si>
  <si>
    <t>16-12-2022 19:15</t>
  </si>
  <si>
    <t>16-12-2022 19:30</t>
  </si>
  <si>
    <t>16-12-2022 19:45</t>
  </si>
  <si>
    <t>16-12-2022 20:00</t>
  </si>
  <si>
    <t>16-12-2022 20:15</t>
  </si>
  <si>
    <t>16-12-2022 20:30</t>
  </si>
  <si>
    <t>16-12-2022 20:45</t>
  </si>
  <si>
    <t>16-12-2022 21:00</t>
  </si>
  <si>
    <t>16-12-2022 21:15</t>
  </si>
  <si>
    <t>16-12-2022 21:30</t>
  </si>
  <si>
    <t>16-12-2022 21:45</t>
  </si>
  <si>
    <t>16-12-2022 22:00</t>
  </si>
  <si>
    <t>16-12-2022 22:15</t>
  </si>
  <si>
    <t>16-12-2022 22:30</t>
  </si>
  <si>
    <t>16-12-2022 22:45</t>
  </si>
  <si>
    <t>16-12-2022 23:00</t>
  </si>
  <si>
    <t>16-12-2022 23:15</t>
  </si>
  <si>
    <t>16-12-2022 23:30</t>
  </si>
  <si>
    <t>16-12-2022 23:45</t>
  </si>
  <si>
    <t>16-12-2022 24:00</t>
  </si>
  <si>
    <t>17-12-2022 00:15</t>
  </si>
  <si>
    <t>17-12-2022 00:30</t>
  </si>
  <si>
    <t>17-12-2022 00:45</t>
  </si>
  <si>
    <t>17-12-2022 01:00</t>
  </si>
  <si>
    <t>17-12-2022 01:15</t>
  </si>
  <si>
    <t>17-12-2022 01:30</t>
  </si>
  <si>
    <t>17-12-2022 01:45</t>
  </si>
  <si>
    <t>17-12-2022 02:00</t>
  </si>
  <si>
    <t>17-12-2022 02:15</t>
  </si>
  <si>
    <t>17-12-2022 02:30</t>
  </si>
  <si>
    <t>17-12-2022 02:45</t>
  </si>
  <si>
    <t>17-12-2022 03:00</t>
  </si>
  <si>
    <t>17-12-2022 03:15</t>
  </si>
  <si>
    <t>17-12-2022 03:30</t>
  </si>
  <si>
    <t>17-12-2022 03:45</t>
  </si>
  <si>
    <t>17-12-2022 04:00</t>
  </si>
  <si>
    <t>17-12-2022 04:15</t>
  </si>
  <si>
    <t>17-12-2022 04:30</t>
  </si>
  <si>
    <t>17-12-2022 04:45</t>
  </si>
  <si>
    <t>17-12-2022 05:00</t>
  </si>
  <si>
    <t>17-12-2022 05:15</t>
  </si>
  <si>
    <t>17-12-2022 05:30</t>
  </si>
  <si>
    <t>17-12-2022 05:45</t>
  </si>
  <si>
    <t>17-12-2022 06:00</t>
  </si>
  <si>
    <t>17-12-2022 06:15</t>
  </si>
  <si>
    <t>17-12-2022 06:30</t>
  </si>
  <si>
    <t>17-12-2022 06:45</t>
  </si>
  <si>
    <t>17-12-2022 07:00</t>
  </si>
  <si>
    <t>17-12-2022 07:15</t>
  </si>
  <si>
    <t>17-12-2022 07:30</t>
  </si>
  <si>
    <t>17-12-2022 07:45</t>
  </si>
  <si>
    <t>17-12-2022 08:00</t>
  </si>
  <si>
    <t>17-12-2022 08:15</t>
  </si>
  <si>
    <t>17-12-2022 08:30</t>
  </si>
  <si>
    <t>17-12-2022 08:45</t>
  </si>
  <si>
    <t>17-12-2022 09:00</t>
  </si>
  <si>
    <t>17-12-2022 09:15</t>
  </si>
  <si>
    <t>17-12-2022 09:30</t>
  </si>
  <si>
    <t>17-12-2022 09:45</t>
  </si>
  <si>
    <t>17-12-2022 10:00</t>
  </si>
  <si>
    <t>17-12-2022 10:15</t>
  </si>
  <si>
    <t>17-12-2022 10:30</t>
  </si>
  <si>
    <t>17-12-2022 10:45</t>
  </si>
  <si>
    <t>17-12-2022 11:00</t>
  </si>
  <si>
    <t>17-12-2022 11:15</t>
  </si>
  <si>
    <t>17-12-2022 11:30</t>
  </si>
  <si>
    <t>17-12-2022 11:45</t>
  </si>
  <si>
    <t>17-12-2022 12:00</t>
  </si>
  <si>
    <t>17-12-2022 12:15</t>
  </si>
  <si>
    <t>17-12-2022 12:30</t>
  </si>
  <si>
    <t>17-12-2022 12:45</t>
  </si>
  <si>
    <t>17-12-2022 13:00</t>
  </si>
  <si>
    <t>17-12-2022 13:15</t>
  </si>
  <si>
    <t>17-12-2022 13:30</t>
  </si>
  <si>
    <t>17-12-2022 13:45</t>
  </si>
  <si>
    <t>17-12-2022 14:00</t>
  </si>
  <si>
    <t>17-12-2022 14:15</t>
  </si>
  <si>
    <t>17-12-2022 14:30</t>
  </si>
  <si>
    <t>17-12-2022 14:45</t>
  </si>
  <si>
    <t>17-12-2022 15:00</t>
  </si>
  <si>
    <t>17-12-2022 15:15</t>
  </si>
  <si>
    <t>17-12-2022 15:30</t>
  </si>
  <si>
    <t>17-12-2022 15:45</t>
  </si>
  <si>
    <t>17-12-2022 16:00</t>
  </si>
  <si>
    <t>17-12-2022 16:15</t>
  </si>
  <si>
    <t>17-12-2022 16:30</t>
  </si>
  <si>
    <t>17-12-2022 16:45</t>
  </si>
  <si>
    <t>17-12-2022 17:00</t>
  </si>
  <si>
    <t>17-12-2022 17:15</t>
  </si>
  <si>
    <t>17-12-2022 17:30</t>
  </si>
  <si>
    <t>17-12-2022 17:45</t>
  </si>
  <si>
    <t>17-12-2022 18:00</t>
  </si>
  <si>
    <t>17-12-2022 18:15</t>
  </si>
  <si>
    <t>17-12-2022 18:30</t>
  </si>
  <si>
    <t>17-12-2022 18:45</t>
  </si>
  <si>
    <t>17-12-2022 19:00</t>
  </si>
  <si>
    <t>17-12-2022 19:15</t>
  </si>
  <si>
    <t>17-12-2022 19:30</t>
  </si>
  <si>
    <t>17-12-2022 19:45</t>
  </si>
  <si>
    <t>17-12-2022 20:00</t>
  </si>
  <si>
    <t>17-12-2022 20:15</t>
  </si>
  <si>
    <t>17-12-2022 20:30</t>
  </si>
  <si>
    <t>17-12-2022 20:45</t>
  </si>
  <si>
    <t>17-12-2022 21:00</t>
  </si>
  <si>
    <t>17-12-2022 21:15</t>
  </si>
  <si>
    <t>17-12-2022 21:30</t>
  </si>
  <si>
    <t>17-12-2022 21:45</t>
  </si>
  <si>
    <t>17-12-2022 22:00</t>
  </si>
  <si>
    <t>17-12-2022 22:15</t>
  </si>
  <si>
    <t>17-12-2022 22:30</t>
  </si>
  <si>
    <t>17-12-2022 22:45</t>
  </si>
  <si>
    <t>17-12-2022 23:00</t>
  </si>
  <si>
    <t>17-12-2022 23:15</t>
  </si>
  <si>
    <t>17-12-2022 23:30</t>
  </si>
  <si>
    <t>17-12-2022 23:45</t>
  </si>
  <si>
    <t>17-12-2022 24:00</t>
  </si>
  <si>
    <t>18-12-2022 00:15</t>
  </si>
  <si>
    <t>18-12-2022 00:30</t>
  </si>
  <si>
    <t>18-12-2022 00:45</t>
  </si>
  <si>
    <t>18-12-2022 01:00</t>
  </si>
  <si>
    <t>18-12-2022 01:15</t>
  </si>
  <si>
    <t>18-12-2022 01:30</t>
  </si>
  <si>
    <t>18-12-2022 01:45</t>
  </si>
  <si>
    <t>18-12-2022 02:00</t>
  </si>
  <si>
    <t>18-12-2022 02:15</t>
  </si>
  <si>
    <t>18-12-2022 02:30</t>
  </si>
  <si>
    <t>18-12-2022 02:45</t>
  </si>
  <si>
    <t>18-12-2022 03:00</t>
  </si>
  <si>
    <t>18-12-2022 03:15</t>
  </si>
  <si>
    <t>18-12-2022 03:30</t>
  </si>
  <si>
    <t>18-12-2022 03:45</t>
  </si>
  <si>
    <t>18-12-2022 04:00</t>
  </si>
  <si>
    <t>18-12-2022 04:15</t>
  </si>
  <si>
    <t>18-12-2022 04:30</t>
  </si>
  <si>
    <t>18-12-2022 04:45</t>
  </si>
  <si>
    <t>18-12-2022 05:00</t>
  </si>
  <si>
    <t>18-12-2022 05:15</t>
  </si>
  <si>
    <t>18-12-2022 05:30</t>
  </si>
  <si>
    <t>18-12-2022 05:45</t>
  </si>
  <si>
    <t>18-12-2022 06:00</t>
  </si>
  <si>
    <t>18-12-2022 06:15</t>
  </si>
  <si>
    <t>18-12-2022 06:30</t>
  </si>
  <si>
    <t>18-12-2022 06:45</t>
  </si>
  <si>
    <t>18-12-2022 07:00</t>
  </si>
  <si>
    <t>18-12-2022 07:15</t>
  </si>
  <si>
    <t>18-12-2022 07:30</t>
  </si>
  <si>
    <t>18-12-2022 07:45</t>
  </si>
  <si>
    <t>18-12-2022 08:00</t>
  </si>
  <si>
    <t>18-12-2022 08:15</t>
  </si>
  <si>
    <t>18-12-2022 08:30</t>
  </si>
  <si>
    <t>18-12-2022 08:45</t>
  </si>
  <si>
    <t>18-12-2022 09:00</t>
  </si>
  <si>
    <t>18-12-2022 09:15</t>
  </si>
  <si>
    <t>18-12-2022 09:30</t>
  </si>
  <si>
    <t>18-12-2022 09:45</t>
  </si>
  <si>
    <t>18-12-2022 10:00</t>
  </si>
  <si>
    <t>18-12-2022 10:15</t>
  </si>
  <si>
    <t>18-12-2022 10:30</t>
  </si>
  <si>
    <t>18-12-2022 10:45</t>
  </si>
  <si>
    <t>18-12-2022 11:00</t>
  </si>
  <si>
    <t>18-12-2022 11:15</t>
  </si>
  <si>
    <t>18-12-2022 11:30</t>
  </si>
  <si>
    <t>18-12-2022 11:45</t>
  </si>
  <si>
    <t>18-12-2022 12:00</t>
  </si>
  <si>
    <t>18-12-2022 12:15</t>
  </si>
  <si>
    <t>18-12-2022 12:30</t>
  </si>
  <si>
    <t>18-12-2022 12:45</t>
  </si>
  <si>
    <t>18-12-2022 13:00</t>
  </si>
  <si>
    <t>18-12-2022 13:15</t>
  </si>
  <si>
    <t>18-12-2022 13:30</t>
  </si>
  <si>
    <t>18-12-2022 13:45</t>
  </si>
  <si>
    <t>18-12-2022 14:00</t>
  </si>
  <si>
    <t>18-12-2022 14:15</t>
  </si>
  <si>
    <t>18-12-2022 14:30</t>
  </si>
  <si>
    <t>18-12-2022 14:45</t>
  </si>
  <si>
    <t>18-12-2022 15:00</t>
  </si>
  <si>
    <t>18-12-2022 15:15</t>
  </si>
  <si>
    <t>18-12-2022 15:30</t>
  </si>
  <si>
    <t>18-12-2022 15:45</t>
  </si>
  <si>
    <t>18-12-2022 16:00</t>
  </si>
  <si>
    <t>18-12-2022 16:15</t>
  </si>
  <si>
    <t>18-12-2022 16:30</t>
  </si>
  <si>
    <t>18-12-2022 16:45</t>
  </si>
  <si>
    <t>18-12-2022 17:00</t>
  </si>
  <si>
    <t>18-12-2022 17:15</t>
  </si>
  <si>
    <t>18-12-2022 17:30</t>
  </si>
  <si>
    <t>18-12-2022 17:45</t>
  </si>
  <si>
    <t>18-12-2022 18:00</t>
  </si>
  <si>
    <t>18-12-2022 18:15</t>
  </si>
  <si>
    <t>18-12-2022 18:30</t>
  </si>
  <si>
    <t>18-12-2022 18:45</t>
  </si>
  <si>
    <t>18-12-2022 19:00</t>
  </si>
  <si>
    <t>18-12-2022 19:15</t>
  </si>
  <si>
    <t>18-12-2022 19:30</t>
  </si>
  <si>
    <t>18-12-2022 19:45</t>
  </si>
  <si>
    <t>18-12-2022 20:00</t>
  </si>
  <si>
    <t>18-12-2022 20:15</t>
  </si>
  <si>
    <t>18-12-2022 20:30</t>
  </si>
  <si>
    <t>18-12-2022 20:45</t>
  </si>
  <si>
    <t>18-12-2022 21:00</t>
  </si>
  <si>
    <t>18-12-2022 21:15</t>
  </si>
  <si>
    <t>18-12-2022 21:30</t>
  </si>
  <si>
    <t>18-12-2022 21:45</t>
  </si>
  <si>
    <t>18-12-2022 22:00</t>
  </si>
  <si>
    <t>18-12-2022 22:15</t>
  </si>
  <si>
    <t>18-12-2022 22:30</t>
  </si>
  <si>
    <t>18-12-2022 22:45</t>
  </si>
  <si>
    <t>18-12-2022 23:00</t>
  </si>
  <si>
    <t>18-12-2022 23:15</t>
  </si>
  <si>
    <t>18-12-2022 23:30</t>
  </si>
  <si>
    <t>18-12-2022 23:45</t>
  </si>
  <si>
    <t>18-12-2022 24:00</t>
  </si>
  <si>
    <t>19-12-2022 00:15</t>
  </si>
  <si>
    <t>19-12-2022 00:30</t>
  </si>
  <si>
    <t>19-12-2022 00:45</t>
  </si>
  <si>
    <t>19-12-2022 01:00</t>
  </si>
  <si>
    <t>19-12-2022 01:15</t>
  </si>
  <si>
    <t>19-12-2022 01:30</t>
  </si>
  <si>
    <t>19-12-2022 01:45</t>
  </si>
  <si>
    <t>19-12-2022 02:00</t>
  </si>
  <si>
    <t>19-12-2022 02:15</t>
  </si>
  <si>
    <t>19-12-2022 02:30</t>
  </si>
  <si>
    <t>19-12-2022 02:45</t>
  </si>
  <si>
    <t>19-12-2022 03:00</t>
  </si>
  <si>
    <t>19-12-2022 03:15</t>
  </si>
  <si>
    <t>19-12-2022 03:30</t>
  </si>
  <si>
    <t>19-12-2022 03:45</t>
  </si>
  <si>
    <t>19-12-2022 04:00</t>
  </si>
  <si>
    <t>19-12-2022 04:15</t>
  </si>
  <si>
    <t>19-12-2022 04:30</t>
  </si>
  <si>
    <t>19-12-2022 04:45</t>
  </si>
  <si>
    <t>19-12-2022 05:00</t>
  </si>
  <si>
    <t>19-12-2022 05:15</t>
  </si>
  <si>
    <t>19-12-2022 05:30</t>
  </si>
  <si>
    <t>19-12-2022 05:45</t>
  </si>
  <si>
    <t>19-12-2022 06:00</t>
  </si>
  <si>
    <t>19-12-2022 06:15</t>
  </si>
  <si>
    <t>19-12-2022 06:30</t>
  </si>
  <si>
    <t>19-12-2022 06:45</t>
  </si>
  <si>
    <t>19-12-2022 07:00</t>
  </si>
  <si>
    <t>19-12-2022 07:15</t>
  </si>
  <si>
    <t>19-12-2022 07:30</t>
  </si>
  <si>
    <t>19-12-2022 07:45</t>
  </si>
  <si>
    <t>19-12-2022 08:00</t>
  </si>
  <si>
    <t>19-12-2022 08:15</t>
  </si>
  <si>
    <t>19-12-2022 08:30</t>
  </si>
  <si>
    <t>19-12-2022 08:45</t>
  </si>
  <si>
    <t>19-12-2022 09:00</t>
  </si>
  <si>
    <t>19-12-2022 09:15</t>
  </si>
  <si>
    <t>19-12-2022 09:30</t>
  </si>
  <si>
    <t>19-12-2022 09:45</t>
  </si>
  <si>
    <t>19-12-2022 10:00</t>
  </si>
  <si>
    <t>19-12-2022 10:15</t>
  </si>
  <si>
    <t>19-12-2022 10:30</t>
  </si>
  <si>
    <t>19-12-2022 10:45</t>
  </si>
  <si>
    <t>19-12-2022 11:00</t>
  </si>
  <si>
    <t>19-12-2022 11:15</t>
  </si>
  <si>
    <t>19-12-2022 11:30</t>
  </si>
  <si>
    <t>19-12-2022 11:45</t>
  </si>
  <si>
    <t>19-12-2022 12:00</t>
  </si>
  <si>
    <t>19-12-2022 12:15</t>
  </si>
  <si>
    <t>19-12-2022 12:30</t>
  </si>
  <si>
    <t>19-12-2022 12:45</t>
  </si>
  <si>
    <t>19-12-2022 13:00</t>
  </si>
  <si>
    <t>19-12-2022 13:15</t>
  </si>
  <si>
    <t>19-12-2022 13:30</t>
  </si>
  <si>
    <t>19-12-2022 13:45</t>
  </si>
  <si>
    <t>19-12-2022 14:00</t>
  </si>
  <si>
    <t>19-12-2022 14:15</t>
  </si>
  <si>
    <t>19-12-2022 14:30</t>
  </si>
  <si>
    <t>19-12-2022 14:45</t>
  </si>
  <si>
    <t>19-12-2022 15:00</t>
  </si>
  <si>
    <t>19-12-2022 15:15</t>
  </si>
  <si>
    <t>19-12-2022 15:30</t>
  </si>
  <si>
    <t>19-12-2022 15:45</t>
  </si>
  <si>
    <t>19-12-2022 16:00</t>
  </si>
  <si>
    <t>19-12-2022 16:15</t>
  </si>
  <si>
    <t>19-12-2022 16:30</t>
  </si>
  <si>
    <t>19-12-2022 16:45</t>
  </si>
  <si>
    <t>19-12-2022 17:00</t>
  </si>
  <si>
    <t>19-12-2022 17:15</t>
  </si>
  <si>
    <t>19-12-2022 17:30</t>
  </si>
  <si>
    <t>19-12-2022 17:45</t>
  </si>
  <si>
    <t>19-12-2022 18:00</t>
  </si>
  <si>
    <t>19-12-2022 18:15</t>
  </si>
  <si>
    <t>19-12-2022 18:30</t>
  </si>
  <si>
    <t>19-12-2022 18:45</t>
  </si>
  <si>
    <t>19-12-2022 19:00</t>
  </si>
  <si>
    <t>19-12-2022 19:15</t>
  </si>
  <si>
    <t>19-12-2022 19:30</t>
  </si>
  <si>
    <t>19-12-2022 19:45</t>
  </si>
  <si>
    <t>19-12-2022 20:00</t>
  </si>
  <si>
    <t>19-12-2022 20:15</t>
  </si>
  <si>
    <t>19-12-2022 20:30</t>
  </si>
  <si>
    <t>19-12-2022 20:45</t>
  </si>
  <si>
    <t>19-12-2022 21:00</t>
  </si>
  <si>
    <t>19-12-2022 21:15</t>
  </si>
  <si>
    <t>19-12-2022 21:30</t>
  </si>
  <si>
    <t>19-12-2022 21:45</t>
  </si>
  <si>
    <t>19-12-2022 22:00</t>
  </si>
  <si>
    <t>19-12-2022 22:15</t>
  </si>
  <si>
    <t>19-12-2022 22:30</t>
  </si>
  <si>
    <t>19-12-2022 22:45</t>
  </si>
  <si>
    <t>19-12-2022 23:00</t>
  </si>
  <si>
    <t>19-12-2022 23:15</t>
  </si>
  <si>
    <t>19-12-2022 23:30</t>
  </si>
  <si>
    <t>19-12-2022 23:45</t>
  </si>
  <si>
    <t>19-12-2022 24:00</t>
  </si>
  <si>
    <t>20-12-2022 00:15</t>
  </si>
  <si>
    <t>20-12-2022 00:30</t>
  </si>
  <si>
    <t>20-12-2022 00:45</t>
  </si>
  <si>
    <t>20-12-2022 01:00</t>
  </si>
  <si>
    <t>20-12-2022 01:15</t>
  </si>
  <si>
    <t>20-12-2022 01:30</t>
  </si>
  <si>
    <t>20-12-2022 01:45</t>
  </si>
  <si>
    <t>20-12-2022 02:00</t>
  </si>
  <si>
    <t>20-12-2022 02:15</t>
  </si>
  <si>
    <t>20-12-2022 02:30</t>
  </si>
  <si>
    <t>20-12-2022 02:45</t>
  </si>
  <si>
    <t>20-12-2022 03:00</t>
  </si>
  <si>
    <t>20-12-2022 03:15</t>
  </si>
  <si>
    <t>20-12-2022 03:30</t>
  </si>
  <si>
    <t>20-12-2022 03:45</t>
  </si>
  <si>
    <t>20-12-2022 04:00</t>
  </si>
  <si>
    <t>20-12-2022 04:15</t>
  </si>
  <si>
    <t>20-12-2022 04:30</t>
  </si>
  <si>
    <t>20-12-2022 04:45</t>
  </si>
  <si>
    <t>20-12-2022 05:00</t>
  </si>
  <si>
    <t>20-12-2022 05:15</t>
  </si>
  <si>
    <t>20-12-2022 05:30</t>
  </si>
  <si>
    <t>20-12-2022 05:45</t>
  </si>
  <si>
    <t>20-12-2022 06:00</t>
  </si>
  <si>
    <t>20-12-2022 06:15</t>
  </si>
  <si>
    <t>20-12-2022 06:30</t>
  </si>
  <si>
    <t>20-12-2022 06:45</t>
  </si>
  <si>
    <t>20-12-2022 07:00</t>
  </si>
  <si>
    <t>20-12-2022 07:15</t>
  </si>
  <si>
    <t>20-12-2022 07:30</t>
  </si>
  <si>
    <t>20-12-2022 07:45</t>
  </si>
  <si>
    <t>20-12-2022 08:00</t>
  </si>
  <si>
    <t>20-12-2022 08:15</t>
  </si>
  <si>
    <t>20-12-2022 08:30</t>
  </si>
  <si>
    <t>20-12-2022 08:45</t>
  </si>
  <si>
    <t>20-12-2022 09:00</t>
  </si>
  <si>
    <t>20-12-2022 09:15</t>
  </si>
  <si>
    <t>20-12-2022 09:30</t>
  </si>
  <si>
    <t>20-12-2022 09:45</t>
  </si>
  <si>
    <t>20-12-2022 10:00</t>
  </si>
  <si>
    <t>20-12-2022 10:15</t>
  </si>
  <si>
    <t>20-12-2022 10:30</t>
  </si>
  <si>
    <t>20-12-2022 10:45</t>
  </si>
  <si>
    <t>20-12-2022 11:00</t>
  </si>
  <si>
    <t>20-12-2022 11:15</t>
  </si>
  <si>
    <t>20-12-2022 11:30</t>
  </si>
  <si>
    <t>20-12-2022 11:45</t>
  </si>
  <si>
    <t>20-12-2022 12:00</t>
  </si>
  <si>
    <t>20-12-2022 12:15</t>
  </si>
  <si>
    <t>20-12-2022 12:30</t>
  </si>
  <si>
    <t>20-12-2022 12:45</t>
  </si>
  <si>
    <t>20-12-2022 13:00</t>
  </si>
  <si>
    <t>20-12-2022 13:15</t>
  </si>
  <si>
    <t>20-12-2022 13:30</t>
  </si>
  <si>
    <t>20-12-2022 13:45</t>
  </si>
  <si>
    <t>20-12-2022 14:00</t>
  </si>
  <si>
    <t>20-12-2022 14:15</t>
  </si>
  <si>
    <t>20-12-2022 14:30</t>
  </si>
  <si>
    <t>20-12-2022 14:45</t>
  </si>
  <si>
    <t>20-12-2022 15:00</t>
  </si>
  <si>
    <t>20-12-2022 15:15</t>
  </si>
  <si>
    <t>20-12-2022 15:30</t>
  </si>
  <si>
    <t>20-12-2022 15:45</t>
  </si>
  <si>
    <t>20-12-2022 16:00</t>
  </si>
  <si>
    <t>20-12-2022 16:15</t>
  </si>
  <si>
    <t>20-12-2022 16:30</t>
  </si>
  <si>
    <t>20-12-2022 16:45</t>
  </si>
  <si>
    <t>20-12-2022 17:00</t>
  </si>
  <si>
    <t>20-12-2022 17:15</t>
  </si>
  <si>
    <t>20-12-2022 17:30</t>
  </si>
  <si>
    <t>20-12-2022 17:45</t>
  </si>
  <si>
    <t>20-12-2022 18:00</t>
  </si>
  <si>
    <t>20-12-2022 18:15</t>
  </si>
  <si>
    <t>20-12-2022 18:30</t>
  </si>
  <si>
    <t>20-12-2022 18:45</t>
  </si>
  <si>
    <t>20-12-2022 19:00</t>
  </si>
  <si>
    <t>20-12-2022 19:15</t>
  </si>
  <si>
    <t>20-12-2022 19:30</t>
  </si>
  <si>
    <t>20-12-2022 19:45</t>
  </si>
  <si>
    <t>20-12-2022 20:00</t>
  </si>
  <si>
    <t>20-12-2022 20:15</t>
  </si>
  <si>
    <t>20-12-2022 20:30</t>
  </si>
  <si>
    <t>20-12-2022 20:45</t>
  </si>
  <si>
    <t>20-12-2022 21:00</t>
  </si>
  <si>
    <t>20-12-2022 21:15</t>
  </si>
  <si>
    <t>20-12-2022 21:30</t>
  </si>
  <si>
    <t>20-12-2022 21:45</t>
  </si>
  <si>
    <t>20-12-2022 22:00</t>
  </si>
  <si>
    <t>20-12-2022 22:15</t>
  </si>
  <si>
    <t>20-12-2022 22:30</t>
  </si>
  <si>
    <t>20-12-2022 22:45</t>
  </si>
  <si>
    <t>20-12-2022 23:00</t>
  </si>
  <si>
    <t>20-12-2022 23:15</t>
  </si>
  <si>
    <t>20-12-2022 23:30</t>
  </si>
  <si>
    <t>20-12-2022 23:45</t>
  </si>
  <si>
    <t>20-12-2022 24:00</t>
  </si>
  <si>
    <t>21-12-2022 00:15</t>
  </si>
  <si>
    <t>21-12-2022 00:30</t>
  </si>
  <si>
    <t>21-12-2022 00:45</t>
  </si>
  <si>
    <t>21-12-2022 01:00</t>
  </si>
  <si>
    <t>21-12-2022 01:15</t>
  </si>
  <si>
    <t>21-12-2022 01:30</t>
  </si>
  <si>
    <t>21-12-2022 01:45</t>
  </si>
  <si>
    <t>21-12-2022 02:00</t>
  </si>
  <si>
    <t>21-12-2022 02:15</t>
  </si>
  <si>
    <t>21-12-2022 02:30</t>
  </si>
  <si>
    <t>21-12-2022 02:45</t>
  </si>
  <si>
    <t>21-12-2022 03:00</t>
  </si>
  <si>
    <t>21-12-2022 03:15</t>
  </si>
  <si>
    <t>21-12-2022 03:30</t>
  </si>
  <si>
    <t>21-12-2022 03:45</t>
  </si>
  <si>
    <t>21-12-2022 04:00</t>
  </si>
  <si>
    <t>21-12-2022 04:15</t>
  </si>
  <si>
    <t>21-12-2022 04:30</t>
  </si>
  <si>
    <t>21-12-2022 04:45</t>
  </si>
  <si>
    <t>21-12-2022 05:00</t>
  </si>
  <si>
    <t>21-12-2022 05:15</t>
  </si>
  <si>
    <t>21-12-2022 05:30</t>
  </si>
  <si>
    <t>21-12-2022 05:45</t>
  </si>
  <si>
    <t>21-12-2022 06:00</t>
  </si>
  <si>
    <t>21-12-2022 06:15</t>
  </si>
  <si>
    <t>21-12-2022 06:30</t>
  </si>
  <si>
    <t>21-12-2022 06:45</t>
  </si>
  <si>
    <t>21-12-2022 07:00</t>
  </si>
  <si>
    <t>21-12-2022 07:15</t>
  </si>
  <si>
    <t>21-12-2022 07:30</t>
  </si>
  <si>
    <t>21-12-2022 07:45</t>
  </si>
  <si>
    <t>21-12-2022 08:00</t>
  </si>
  <si>
    <t>21-12-2022 08:15</t>
  </si>
  <si>
    <t>21-12-2022 08:30</t>
  </si>
  <si>
    <t>21-12-2022 08:45</t>
  </si>
  <si>
    <t>21-12-2022 09:00</t>
  </si>
  <si>
    <t>21-12-2022 09:15</t>
  </si>
  <si>
    <t>21-12-2022 09:30</t>
  </si>
  <si>
    <t>21-12-2022 09:45</t>
  </si>
  <si>
    <t>21-12-2022 10:00</t>
  </si>
  <si>
    <t>21-12-2022 10:15</t>
  </si>
  <si>
    <t>21-12-2022 10:30</t>
  </si>
  <si>
    <t>21-12-2022 10:45</t>
  </si>
  <si>
    <t>21-12-2022 11:00</t>
  </si>
  <si>
    <t>21-12-2022 11:15</t>
  </si>
  <si>
    <t>21-12-2022 11:30</t>
  </si>
  <si>
    <t>21-12-2022 11:45</t>
  </si>
  <si>
    <t>21-12-2022 12:00</t>
  </si>
  <si>
    <t>21-12-2022 12:15</t>
  </si>
  <si>
    <t>21-12-2022 12:30</t>
  </si>
  <si>
    <t>21-12-2022 12:45</t>
  </si>
  <si>
    <t>21-12-2022 13:00</t>
  </si>
  <si>
    <t>21-12-2022 13:15</t>
  </si>
  <si>
    <t>21-12-2022 13:30</t>
  </si>
  <si>
    <t>21-12-2022 13:45</t>
  </si>
  <si>
    <t>21-12-2022 14:00</t>
  </si>
  <si>
    <t>21-12-2022 14:15</t>
  </si>
  <si>
    <t>21-12-2022 14:30</t>
  </si>
  <si>
    <t>21-12-2022 14:45</t>
  </si>
  <si>
    <t>21-12-2022 15:00</t>
  </si>
  <si>
    <t>21-12-2022 15:15</t>
  </si>
  <si>
    <t>21-12-2022 15:30</t>
  </si>
  <si>
    <t>21-12-2022 15:45</t>
  </si>
  <si>
    <t>21-12-2022 16:00</t>
  </si>
  <si>
    <t>21-12-2022 16:15</t>
  </si>
  <si>
    <t>21-12-2022 16:30</t>
  </si>
  <si>
    <t>21-12-2022 16:45</t>
  </si>
  <si>
    <t>21-12-2022 17:00</t>
  </si>
  <si>
    <t>21-12-2022 17:15</t>
  </si>
  <si>
    <t>21-12-2022 17:30</t>
  </si>
  <si>
    <t>21-12-2022 17:45</t>
  </si>
  <si>
    <t>21-12-2022 18:00</t>
  </si>
  <si>
    <t>21-12-2022 18:15</t>
  </si>
  <si>
    <t>21-12-2022 18:30</t>
  </si>
  <si>
    <t>21-12-2022 18:45</t>
  </si>
  <si>
    <t>21-12-2022 19:00</t>
  </si>
  <si>
    <t>21-12-2022 19:15</t>
  </si>
  <si>
    <t>21-12-2022 19:30</t>
  </si>
  <si>
    <t>21-12-2022 19:45</t>
  </si>
  <si>
    <t>21-12-2022 20:00</t>
  </si>
  <si>
    <t>21-12-2022 20:15</t>
  </si>
  <si>
    <t>21-12-2022 20:30</t>
  </si>
  <si>
    <t>21-12-2022 20:45</t>
  </si>
  <si>
    <t>21-12-2022 21:00</t>
  </si>
  <si>
    <t>21-12-2022 21:15</t>
  </si>
  <si>
    <t>21-12-2022 21:30</t>
  </si>
  <si>
    <t>21-12-2022 21:45</t>
  </si>
  <si>
    <t>21-12-2022 22:00</t>
  </si>
  <si>
    <t>21-12-2022 22:15</t>
  </si>
  <si>
    <t>21-12-2022 22:30</t>
  </si>
  <si>
    <t>21-12-2022 22:45</t>
  </si>
  <si>
    <t>21-12-2022 23:00</t>
  </si>
  <si>
    <t>21-12-2022 23:15</t>
  </si>
  <si>
    <t>21-12-2022 23:30</t>
  </si>
  <si>
    <t>21-12-2022 23:45</t>
  </si>
  <si>
    <t>21-12-2022 24:00</t>
  </si>
  <si>
    <t>22-12-2022 00:15</t>
  </si>
  <si>
    <t>22-12-2022 00:30</t>
  </si>
  <si>
    <t>22-12-2022 00:45</t>
  </si>
  <si>
    <t>22-12-2022 01:00</t>
  </si>
  <si>
    <t>22-12-2022 01:15</t>
  </si>
  <si>
    <t>22-12-2022 01:30</t>
  </si>
  <si>
    <t>22-12-2022 01:45</t>
  </si>
  <si>
    <t>22-12-2022 02:00</t>
  </si>
  <si>
    <t>22-12-2022 02:15</t>
  </si>
  <si>
    <t>22-12-2022 02:30</t>
  </si>
  <si>
    <t>22-12-2022 02:45</t>
  </si>
  <si>
    <t>22-12-2022 03:00</t>
  </si>
  <si>
    <t>22-12-2022 03:15</t>
  </si>
  <si>
    <t>22-12-2022 03:30</t>
  </si>
  <si>
    <t>22-12-2022 03:45</t>
  </si>
  <si>
    <t>22-12-2022 04:00</t>
  </si>
  <si>
    <t>22-12-2022 04:15</t>
  </si>
  <si>
    <t>22-12-2022 04:30</t>
  </si>
  <si>
    <t>22-12-2022 04:45</t>
  </si>
  <si>
    <t>22-12-2022 05:00</t>
  </si>
  <si>
    <t>22-12-2022 05:15</t>
  </si>
  <si>
    <t>22-12-2022 05:30</t>
  </si>
  <si>
    <t>22-12-2022 05:45</t>
  </si>
  <si>
    <t>22-12-2022 06:00</t>
  </si>
  <si>
    <t>22-12-2022 06:15</t>
  </si>
  <si>
    <t>22-12-2022 06:30</t>
  </si>
  <si>
    <t>22-12-2022 06:45</t>
  </si>
  <si>
    <t>22-12-2022 07:00</t>
  </si>
  <si>
    <t>22-12-2022 07:15</t>
  </si>
  <si>
    <t>22-12-2022 07:30</t>
  </si>
  <si>
    <t>22-12-2022 07:45</t>
  </si>
  <si>
    <t>22-12-2022 08:00</t>
  </si>
  <si>
    <t>22-12-2022 08:15</t>
  </si>
  <si>
    <t>22-12-2022 08:30</t>
  </si>
  <si>
    <t>22-12-2022 08:45</t>
  </si>
  <si>
    <t>22-12-2022 09:00</t>
  </si>
  <si>
    <t>22-12-2022 09:15</t>
  </si>
  <si>
    <t>22-12-2022 09:30</t>
  </si>
  <si>
    <t>22-12-2022 09:45</t>
  </si>
  <si>
    <t>22-12-2022 10:00</t>
  </si>
  <si>
    <t>22-12-2022 10:15</t>
  </si>
  <si>
    <t>22-12-2022 10:30</t>
  </si>
  <si>
    <t>22-12-2022 10:45</t>
  </si>
  <si>
    <t>22-12-2022 11:00</t>
  </si>
  <si>
    <t>22-12-2022 11:15</t>
  </si>
  <si>
    <t>22-12-2022 11:30</t>
  </si>
  <si>
    <t>22-12-2022 11:45</t>
  </si>
  <si>
    <t>22-12-2022 12:00</t>
  </si>
  <si>
    <t>22-12-2022 12:15</t>
  </si>
  <si>
    <t>22-12-2022 12:30</t>
  </si>
  <si>
    <t>22-12-2022 12:45</t>
  </si>
  <si>
    <t>22-12-2022 13:00</t>
  </si>
  <si>
    <t>22-12-2022 13:15</t>
  </si>
  <si>
    <t>22-12-2022 13:30</t>
  </si>
  <si>
    <t>22-12-2022 13:45</t>
  </si>
  <si>
    <t>22-12-2022 14:00</t>
  </si>
  <si>
    <t>22-12-2022 14:15</t>
  </si>
  <si>
    <t>22-12-2022 14:30</t>
  </si>
  <si>
    <t>22-12-2022 14:45</t>
  </si>
  <si>
    <t>22-12-2022 15:00</t>
  </si>
  <si>
    <t>22-12-2022 15:15</t>
  </si>
  <si>
    <t>22-12-2022 15:30</t>
  </si>
  <si>
    <t>22-12-2022 15:45</t>
  </si>
  <si>
    <t>22-12-2022 16:00</t>
  </si>
  <si>
    <t>22-12-2022 16:15</t>
  </si>
  <si>
    <t>22-12-2022 16:30</t>
  </si>
  <si>
    <t>22-12-2022 16:45</t>
  </si>
  <si>
    <t>22-12-2022 17:00</t>
  </si>
  <si>
    <t>22-12-2022 17:15</t>
  </si>
  <si>
    <t>22-12-2022 17:30</t>
  </si>
  <si>
    <t>22-12-2022 17:45</t>
  </si>
  <si>
    <t>22-12-2022 18:00</t>
  </si>
  <si>
    <t>22-12-2022 18:15</t>
  </si>
  <si>
    <t>22-12-2022 18:30</t>
  </si>
  <si>
    <t>22-12-2022 18:45</t>
  </si>
  <si>
    <t>22-12-2022 19:00</t>
  </si>
  <si>
    <t>22-12-2022 19:15</t>
  </si>
  <si>
    <t>22-12-2022 19:30</t>
  </si>
  <si>
    <t>22-12-2022 19:45</t>
  </si>
  <si>
    <t>22-12-2022 20:00</t>
  </si>
  <si>
    <t>22-12-2022 20:15</t>
  </si>
  <si>
    <t>22-12-2022 20:30</t>
  </si>
  <si>
    <t>22-12-2022 20:45</t>
  </si>
  <si>
    <t>22-12-2022 21:00</t>
  </si>
  <si>
    <t>22-12-2022 21:15</t>
  </si>
  <si>
    <t>22-12-2022 21:30</t>
  </si>
  <si>
    <t>22-12-2022 21:45</t>
  </si>
  <si>
    <t>22-12-2022 22:00</t>
  </si>
  <si>
    <t>22-12-2022 22:15</t>
  </si>
  <si>
    <t>22-12-2022 22:30</t>
  </si>
  <si>
    <t>22-12-2022 22:45</t>
  </si>
  <si>
    <t>22-12-2022 23:00</t>
  </si>
  <si>
    <t>22-12-2022 23:15</t>
  </si>
  <si>
    <t>22-12-2022 23:30</t>
  </si>
  <si>
    <t>22-12-2022 23:45</t>
  </si>
  <si>
    <t>22-12-2022 24:00</t>
  </si>
  <si>
    <t>23-12-2022 00:15</t>
  </si>
  <si>
    <t>23-12-2022 00:30</t>
  </si>
  <si>
    <t>23-12-2022 00:45</t>
  </si>
  <si>
    <t>23-12-2022 01:00</t>
  </si>
  <si>
    <t>23-12-2022 01:15</t>
  </si>
  <si>
    <t>23-12-2022 01:30</t>
  </si>
  <si>
    <t>23-12-2022 01:45</t>
  </si>
  <si>
    <t>23-12-2022 02:00</t>
  </si>
  <si>
    <t>23-12-2022 02:15</t>
  </si>
  <si>
    <t>23-12-2022 02:30</t>
  </si>
  <si>
    <t>23-12-2022 02:45</t>
  </si>
  <si>
    <t>23-12-2022 03:00</t>
  </si>
  <si>
    <t>23-12-2022 03:15</t>
  </si>
  <si>
    <t>23-12-2022 03:30</t>
  </si>
  <si>
    <t>23-12-2022 03:45</t>
  </si>
  <si>
    <t>23-12-2022 04:00</t>
  </si>
  <si>
    <t>23-12-2022 04:15</t>
  </si>
  <si>
    <t>23-12-2022 04:30</t>
  </si>
  <si>
    <t>23-12-2022 04:45</t>
  </si>
  <si>
    <t>23-12-2022 05:00</t>
  </si>
  <si>
    <t>23-12-2022 05:15</t>
  </si>
  <si>
    <t>23-12-2022 05:30</t>
  </si>
  <si>
    <t>23-12-2022 05:45</t>
  </si>
  <si>
    <t>23-12-2022 06:00</t>
  </si>
  <si>
    <t>23-12-2022 06:15</t>
  </si>
  <si>
    <t>23-12-2022 06:30</t>
  </si>
  <si>
    <t>23-12-2022 06:45</t>
  </si>
  <si>
    <t>23-12-2022 07:00</t>
  </si>
  <si>
    <t>23-12-2022 07:15</t>
  </si>
  <si>
    <t>23-12-2022 07:30</t>
  </si>
  <si>
    <t>23-12-2022 07:45</t>
  </si>
  <si>
    <t>23-12-2022 08:00</t>
  </si>
  <si>
    <t>23-12-2022 08:15</t>
  </si>
  <si>
    <t>23-12-2022 08:30</t>
  </si>
  <si>
    <t>23-12-2022 08:45</t>
  </si>
  <si>
    <t>23-12-2022 09:00</t>
  </si>
  <si>
    <t>23-12-2022 09:15</t>
  </si>
  <si>
    <t>23-12-2022 09:30</t>
  </si>
  <si>
    <t>23-12-2022 09:45</t>
  </si>
  <si>
    <t>23-12-2022 10:00</t>
  </si>
  <si>
    <t>23-12-2022 10:15</t>
  </si>
  <si>
    <t>23-12-2022 10:30</t>
  </si>
  <si>
    <t>23-12-2022 10:45</t>
  </si>
  <si>
    <t>23-12-2022 11:00</t>
  </si>
  <si>
    <t>23-12-2022 11:15</t>
  </si>
  <si>
    <t>23-12-2022 11:30</t>
  </si>
  <si>
    <t>23-12-2022 11:45</t>
  </si>
  <si>
    <t>23-12-2022 12:00</t>
  </si>
  <si>
    <t>23-12-2022 12:15</t>
  </si>
  <si>
    <t>23-12-2022 12:30</t>
  </si>
  <si>
    <t>23-12-2022 12:45</t>
  </si>
  <si>
    <t>23-12-2022 13:00</t>
  </si>
  <si>
    <t>23-12-2022 13:15</t>
  </si>
  <si>
    <t>23-12-2022 13:30</t>
  </si>
  <si>
    <t>23-12-2022 13:45</t>
  </si>
  <si>
    <t>23-12-2022 14:00</t>
  </si>
  <si>
    <t>23-12-2022 14:15</t>
  </si>
  <si>
    <t>23-12-2022 14:30</t>
  </si>
  <si>
    <t>23-12-2022 14:45</t>
  </si>
  <si>
    <t>23-12-2022 15:00</t>
  </si>
  <si>
    <t>23-12-2022 15:15</t>
  </si>
  <si>
    <t>23-12-2022 15:30</t>
  </si>
  <si>
    <t>23-12-2022 15:45</t>
  </si>
  <si>
    <t>23-12-2022 16:00</t>
  </si>
  <si>
    <t>23-12-2022 16:15</t>
  </si>
  <si>
    <t>23-12-2022 16:30</t>
  </si>
  <si>
    <t>23-12-2022 16:45</t>
  </si>
  <si>
    <t>23-12-2022 17:00</t>
  </si>
  <si>
    <t>23-12-2022 17:15</t>
  </si>
  <si>
    <t>23-12-2022 17:30</t>
  </si>
  <si>
    <t>23-12-2022 17:45</t>
  </si>
  <si>
    <t>23-12-2022 18:00</t>
  </si>
  <si>
    <t>23-12-2022 18:15</t>
  </si>
  <si>
    <t>23-12-2022 18:30</t>
  </si>
  <si>
    <t>23-12-2022 18:45</t>
  </si>
  <si>
    <t>23-12-2022 19:00</t>
  </si>
  <si>
    <t>23-12-2022 19:15</t>
  </si>
  <si>
    <t>23-12-2022 19:30</t>
  </si>
  <si>
    <t>23-12-2022 19:45</t>
  </si>
  <si>
    <t>23-12-2022 20:00</t>
  </si>
  <si>
    <t>23-12-2022 20:15</t>
  </si>
  <si>
    <t>23-12-2022 20:30</t>
  </si>
  <si>
    <t>23-12-2022 20:45</t>
  </si>
  <si>
    <t>23-12-2022 21:00</t>
  </si>
  <si>
    <t>23-12-2022 21:15</t>
  </si>
  <si>
    <t>23-12-2022 21:30</t>
  </si>
  <si>
    <t>23-12-2022 21:45</t>
  </si>
  <si>
    <t>23-12-2022 22:00</t>
  </si>
  <si>
    <t>23-12-2022 22:15</t>
  </si>
  <si>
    <t>23-12-2022 22:30</t>
  </si>
  <si>
    <t>23-12-2022 22:45</t>
  </si>
  <si>
    <t>23-12-2022 23:00</t>
  </si>
  <si>
    <t>23-12-2022 23:15</t>
  </si>
  <si>
    <t>23-12-2022 23:30</t>
  </si>
  <si>
    <t>23-12-2022 23:45</t>
  </si>
  <si>
    <t>23-12-2022 24:00</t>
  </si>
  <si>
    <t>24-12-2022 00:15</t>
  </si>
  <si>
    <t>24-12-2022 00:30</t>
  </si>
  <si>
    <t>24-12-2022 00:45</t>
  </si>
  <si>
    <t>24-12-2022 01:00</t>
  </si>
  <si>
    <t>24-12-2022 01:15</t>
  </si>
  <si>
    <t>24-12-2022 01:30</t>
  </si>
  <si>
    <t>24-12-2022 01:45</t>
  </si>
  <si>
    <t>24-12-2022 02:00</t>
  </si>
  <si>
    <t>24-12-2022 02:15</t>
  </si>
  <si>
    <t>24-12-2022 02:30</t>
  </si>
  <si>
    <t>24-12-2022 02:45</t>
  </si>
  <si>
    <t>24-12-2022 03:00</t>
  </si>
  <si>
    <t>24-12-2022 03:15</t>
  </si>
  <si>
    <t>24-12-2022 03:30</t>
  </si>
  <si>
    <t>24-12-2022 03:45</t>
  </si>
  <si>
    <t>24-12-2022 04:00</t>
  </si>
  <si>
    <t>24-12-2022 04:15</t>
  </si>
  <si>
    <t>24-12-2022 04:30</t>
  </si>
  <si>
    <t>24-12-2022 04:45</t>
  </si>
  <si>
    <t>24-12-2022 05:00</t>
  </si>
  <si>
    <t>24-12-2022 05:15</t>
  </si>
  <si>
    <t>24-12-2022 05:30</t>
  </si>
  <si>
    <t>24-12-2022 05:45</t>
  </si>
  <si>
    <t>24-12-2022 06:00</t>
  </si>
  <si>
    <t>24-12-2022 06:15</t>
  </si>
  <si>
    <t>24-12-2022 06:30</t>
  </si>
  <si>
    <t>24-12-2022 06:45</t>
  </si>
  <si>
    <t>24-12-2022 07:00</t>
  </si>
  <si>
    <t>24-12-2022 07:15</t>
  </si>
  <si>
    <t>24-12-2022 07:30</t>
  </si>
  <si>
    <t>24-12-2022 07:45</t>
  </si>
  <si>
    <t>24-12-2022 08:00</t>
  </si>
  <si>
    <t>24-12-2022 08:15</t>
  </si>
  <si>
    <t>24-12-2022 08:30</t>
  </si>
  <si>
    <t>24-12-2022 08:45</t>
  </si>
  <si>
    <t>24-12-2022 09:00</t>
  </si>
  <si>
    <t>24-12-2022 09:15</t>
  </si>
  <si>
    <t>24-12-2022 09:30</t>
  </si>
  <si>
    <t>24-12-2022 09:45</t>
  </si>
  <si>
    <t>24-12-2022 10:00</t>
  </si>
  <si>
    <t>24-12-2022 10:15</t>
  </si>
  <si>
    <t>24-12-2022 10:30</t>
  </si>
  <si>
    <t>24-12-2022 10:45</t>
  </si>
  <si>
    <t>24-12-2022 11:00</t>
  </si>
  <si>
    <t>24-12-2022 11:15</t>
  </si>
  <si>
    <t>24-12-2022 11:30</t>
  </si>
  <si>
    <t>24-12-2022 11:45</t>
  </si>
  <si>
    <t>24-12-2022 12:00</t>
  </si>
  <si>
    <t>24-12-2022 12:15</t>
  </si>
  <si>
    <t>24-12-2022 12:30</t>
  </si>
  <si>
    <t>24-12-2022 12:45</t>
  </si>
  <si>
    <t>24-12-2022 13:00</t>
  </si>
  <si>
    <t>24-12-2022 13:15</t>
  </si>
  <si>
    <t>24-12-2022 13:30</t>
  </si>
  <si>
    <t>24-12-2022 13:45</t>
  </si>
  <si>
    <t>24-12-2022 14:00</t>
  </si>
  <si>
    <t>24-12-2022 14:15</t>
  </si>
  <si>
    <t>24-12-2022 14:30</t>
  </si>
  <si>
    <t>24-12-2022 14:45</t>
  </si>
  <si>
    <t>24-12-2022 15:00</t>
  </si>
  <si>
    <t>24-12-2022 15:15</t>
  </si>
  <si>
    <t>24-12-2022 15:30</t>
  </si>
  <si>
    <t>24-12-2022 15:45</t>
  </si>
  <si>
    <t>24-12-2022 16:00</t>
  </si>
  <si>
    <t>24-12-2022 16:15</t>
  </si>
  <si>
    <t>24-12-2022 16:30</t>
  </si>
  <si>
    <t>24-12-2022 16:45</t>
  </si>
  <si>
    <t>24-12-2022 17:00</t>
  </si>
  <si>
    <t>24-12-2022 17:15</t>
  </si>
  <si>
    <t>24-12-2022 17:30</t>
  </si>
  <si>
    <t>24-12-2022 17:45</t>
  </si>
  <si>
    <t>24-12-2022 18:00</t>
  </si>
  <si>
    <t>24-12-2022 18:15</t>
  </si>
  <si>
    <t>24-12-2022 18:30</t>
  </si>
  <si>
    <t>24-12-2022 18:45</t>
  </si>
  <si>
    <t>24-12-2022 19:00</t>
  </si>
  <si>
    <t>24-12-2022 19:15</t>
  </si>
  <si>
    <t>24-12-2022 19:30</t>
  </si>
  <si>
    <t>24-12-2022 19:45</t>
  </si>
  <si>
    <t>24-12-2022 20:00</t>
  </si>
  <si>
    <t>24-12-2022 20:15</t>
  </si>
  <si>
    <t>24-12-2022 20:30</t>
  </si>
  <si>
    <t>24-12-2022 20:45</t>
  </si>
  <si>
    <t>24-12-2022 21:00</t>
  </si>
  <si>
    <t>24-12-2022 21:15</t>
  </si>
  <si>
    <t>24-12-2022 21:30</t>
  </si>
  <si>
    <t>24-12-2022 21:45</t>
  </si>
  <si>
    <t>24-12-2022 22:00</t>
  </si>
  <si>
    <t>24-12-2022 22:15</t>
  </si>
  <si>
    <t>24-12-2022 22:30</t>
  </si>
  <si>
    <t>24-12-2022 22:45</t>
  </si>
  <si>
    <t>24-12-2022 23:00</t>
  </si>
  <si>
    <t>24-12-2022 23:15</t>
  </si>
  <si>
    <t>24-12-2022 23:30</t>
  </si>
  <si>
    <t>24-12-2022 23:45</t>
  </si>
  <si>
    <t>24-12-2022 24:00</t>
  </si>
  <si>
    <t>25-12-2022 00:15</t>
  </si>
  <si>
    <t>25-12-2022 00:30</t>
  </si>
  <si>
    <t>25-12-2022 00:45</t>
  </si>
  <si>
    <t>25-12-2022 01:00</t>
  </si>
  <si>
    <t>25-12-2022 01:15</t>
  </si>
  <si>
    <t>25-12-2022 01:30</t>
  </si>
  <si>
    <t>25-12-2022 01:45</t>
  </si>
  <si>
    <t>25-12-2022 02:00</t>
  </si>
  <si>
    <t>25-12-2022 02:15</t>
  </si>
  <si>
    <t>25-12-2022 02:30</t>
  </si>
  <si>
    <t>25-12-2022 02:45</t>
  </si>
  <si>
    <t>25-12-2022 03:00</t>
  </si>
  <si>
    <t>25-12-2022 03:15</t>
  </si>
  <si>
    <t>25-12-2022 03:30</t>
  </si>
  <si>
    <t>25-12-2022 03:45</t>
  </si>
  <si>
    <t>25-12-2022 04:00</t>
  </si>
  <si>
    <t>25-12-2022 04:15</t>
  </si>
  <si>
    <t>25-12-2022 04:30</t>
  </si>
  <si>
    <t>25-12-2022 04:45</t>
  </si>
  <si>
    <t>25-12-2022 05:00</t>
  </si>
  <si>
    <t>25-12-2022 05:15</t>
  </si>
  <si>
    <t>25-12-2022 05:30</t>
  </si>
  <si>
    <t>25-12-2022 05:45</t>
  </si>
  <si>
    <t>25-12-2022 06:00</t>
  </si>
  <si>
    <t>25-12-2022 06:15</t>
  </si>
  <si>
    <t>25-12-2022 06:30</t>
  </si>
  <si>
    <t>25-12-2022 06:45</t>
  </si>
  <si>
    <t>25-12-2022 07:00</t>
  </si>
  <si>
    <t>25-12-2022 07:15</t>
  </si>
  <si>
    <t>25-12-2022 07:30</t>
  </si>
  <si>
    <t>25-12-2022 07:45</t>
  </si>
  <si>
    <t>25-12-2022 08:00</t>
  </si>
  <si>
    <t>25-12-2022 08:15</t>
  </si>
  <si>
    <t>25-12-2022 08:30</t>
  </si>
  <si>
    <t>25-12-2022 08:45</t>
  </si>
  <si>
    <t>25-12-2022 09:00</t>
  </si>
  <si>
    <t>25-12-2022 09:15</t>
  </si>
  <si>
    <t>25-12-2022 09:30</t>
  </si>
  <si>
    <t>25-12-2022 09:45</t>
  </si>
  <si>
    <t>25-12-2022 10:00</t>
  </si>
  <si>
    <t>25-12-2022 10:15</t>
  </si>
  <si>
    <t>25-12-2022 10:30</t>
  </si>
  <si>
    <t>25-12-2022 10:45</t>
  </si>
  <si>
    <t>25-12-2022 11:00</t>
  </si>
  <si>
    <t>25-12-2022 11:15</t>
  </si>
  <si>
    <t>25-12-2022 11:30</t>
  </si>
  <si>
    <t>25-12-2022 11:45</t>
  </si>
  <si>
    <t>25-12-2022 12:00</t>
  </si>
  <si>
    <t>25-12-2022 12:15</t>
  </si>
  <si>
    <t>25-12-2022 12:30</t>
  </si>
  <si>
    <t>25-12-2022 12:45</t>
  </si>
  <si>
    <t>25-12-2022 13:00</t>
  </si>
  <si>
    <t>25-12-2022 13:15</t>
  </si>
  <si>
    <t>25-12-2022 13:30</t>
  </si>
  <si>
    <t>25-12-2022 13:45</t>
  </si>
  <si>
    <t>25-12-2022 14:00</t>
  </si>
  <si>
    <t>25-12-2022 14:15</t>
  </si>
  <si>
    <t>25-12-2022 14:30</t>
  </si>
  <si>
    <t>25-12-2022 14:45</t>
  </si>
  <si>
    <t>25-12-2022 15:00</t>
  </si>
  <si>
    <t>25-12-2022 15:15</t>
  </si>
  <si>
    <t>25-12-2022 15:30</t>
  </si>
  <si>
    <t>25-12-2022 15:45</t>
  </si>
  <si>
    <t>25-12-2022 16:00</t>
  </si>
  <si>
    <t>25-12-2022 16:15</t>
  </si>
  <si>
    <t>25-12-2022 16:30</t>
  </si>
  <si>
    <t>25-12-2022 16:45</t>
  </si>
  <si>
    <t>25-12-2022 17:00</t>
  </si>
  <si>
    <t>25-12-2022 17:15</t>
  </si>
  <si>
    <t>25-12-2022 17:30</t>
  </si>
  <si>
    <t>25-12-2022 17:45</t>
  </si>
  <si>
    <t>25-12-2022 18:00</t>
  </si>
  <si>
    <t>25-12-2022 18:15</t>
  </si>
  <si>
    <t>25-12-2022 18:30</t>
  </si>
  <si>
    <t>25-12-2022 18:45</t>
  </si>
  <si>
    <t>25-12-2022 19:00</t>
  </si>
  <si>
    <t>25-12-2022 19:15</t>
  </si>
  <si>
    <t>25-12-2022 19:30</t>
  </si>
  <si>
    <t>25-12-2022 19:45</t>
  </si>
  <si>
    <t>25-12-2022 20:00</t>
  </si>
  <si>
    <t>25-12-2022 20:15</t>
  </si>
  <si>
    <t>25-12-2022 20:30</t>
  </si>
  <si>
    <t>25-12-2022 20:45</t>
  </si>
  <si>
    <t>25-12-2022 21:00</t>
  </si>
  <si>
    <t>25-12-2022 21:15</t>
  </si>
  <si>
    <t>25-12-2022 21:30</t>
  </si>
  <si>
    <t>25-12-2022 21:45</t>
  </si>
  <si>
    <t>25-12-2022 22:00</t>
  </si>
  <si>
    <t>25-12-2022 22:15</t>
  </si>
  <si>
    <t>25-12-2022 22:30</t>
  </si>
  <si>
    <t>25-12-2022 22:45</t>
  </si>
  <si>
    <t>25-12-2022 23:00</t>
  </si>
  <si>
    <t>25-12-2022 23:15</t>
  </si>
  <si>
    <t>25-12-2022 23:30</t>
  </si>
  <si>
    <t>25-12-2022 23:45</t>
  </si>
  <si>
    <t>25-12-2022 24:00</t>
  </si>
  <si>
    <t>16/12/2022 10;25</t>
  </si>
  <si>
    <t>26-12-2022 00:15</t>
  </si>
  <si>
    <t>26-12-2022 00:30</t>
  </si>
  <si>
    <t>26-12-2022 00:45</t>
  </si>
  <si>
    <t>26-12-2022 01:00</t>
  </si>
  <si>
    <t>26-12-2022 01:15</t>
  </si>
  <si>
    <t>26-12-2022 01:30</t>
  </si>
  <si>
    <t>26-12-2022 01:45</t>
  </si>
  <si>
    <t>26-12-2022 02:00</t>
  </si>
  <si>
    <t>26-12-2022 02:15</t>
  </si>
  <si>
    <t>26-12-2022 02:30</t>
  </si>
  <si>
    <t>26-12-2022 02:45</t>
  </si>
  <si>
    <t>26-12-2022 03:00</t>
  </si>
  <si>
    <t>26-12-2022 03:15</t>
  </si>
  <si>
    <t>26-12-2022 03:30</t>
  </si>
  <si>
    <t>26-12-2022 03:45</t>
  </si>
  <si>
    <t>26-12-2022 04:00</t>
  </si>
  <si>
    <t>26-12-2022 04:15</t>
  </si>
  <si>
    <t>26-12-2022 04:30</t>
  </si>
  <si>
    <t>26-12-2022 04:45</t>
  </si>
  <si>
    <t>26-12-2022 05:00</t>
  </si>
  <si>
    <t>26-12-2022 05:15</t>
  </si>
  <si>
    <t>26-12-2022 05:30</t>
  </si>
  <si>
    <t>26-12-2022 05:45</t>
  </si>
  <si>
    <t>26-12-2022 06:00</t>
  </si>
  <si>
    <t>26-12-2022 06:15</t>
  </si>
  <si>
    <t>26-12-2022 06:30</t>
  </si>
  <si>
    <t>26-12-2022 06:45</t>
  </si>
  <si>
    <t>26-12-2022 07:00</t>
  </si>
  <si>
    <t>26-12-2022 07:15</t>
  </si>
  <si>
    <t>26-12-2022 07:30</t>
  </si>
  <si>
    <t>26-12-2022 07:45</t>
  </si>
  <si>
    <t>26-12-2022 08:00</t>
  </si>
  <si>
    <t>26-12-2022 08:15</t>
  </si>
  <si>
    <t>26-12-2022 08:30</t>
  </si>
  <si>
    <t>26-12-2022 08:45</t>
  </si>
  <si>
    <t>26-12-2022 09:00</t>
  </si>
  <si>
    <t>26-12-2022 09:15</t>
  </si>
  <si>
    <t>26-12-2022 09:30</t>
  </si>
  <si>
    <t>26-12-2022 09:45</t>
  </si>
  <si>
    <t>26-12-2022 10:00</t>
  </si>
  <si>
    <t>26-12-2022 10:15</t>
  </si>
  <si>
    <t>26-12-2022 10:30</t>
  </si>
  <si>
    <t>26-12-2022 10:45</t>
  </si>
  <si>
    <t>26-12-2022 11:00</t>
  </si>
  <si>
    <t>26-12-2022 11:15</t>
  </si>
  <si>
    <t>26-12-2022 11:30</t>
  </si>
  <si>
    <t>26-12-2022 11:45</t>
  </si>
  <si>
    <t>26-12-2022 12:00</t>
  </si>
  <si>
    <t>26-12-2022 12:15</t>
  </si>
  <si>
    <t>26-12-2022 12:30</t>
  </si>
  <si>
    <t>26-12-2022 12:45</t>
  </si>
  <si>
    <t>26-12-2022 13:00</t>
  </si>
  <si>
    <t>26-12-2022 13:15</t>
  </si>
  <si>
    <t>26-12-2022 13:30</t>
  </si>
  <si>
    <t>26-12-2022 13:45</t>
  </si>
  <si>
    <t>26-12-2022 14:00</t>
  </si>
  <si>
    <t>26-12-2022 14:15</t>
  </si>
  <si>
    <t>26-12-2022 14:30</t>
  </si>
  <si>
    <t>26-12-2022 14:45</t>
  </si>
  <si>
    <t>26-12-2022 15:00</t>
  </si>
  <si>
    <t>26-12-2022 15:15</t>
  </si>
  <si>
    <t>26-12-2022 15:30</t>
  </si>
  <si>
    <t>26-12-2022 15:45</t>
  </si>
  <si>
    <t>26-12-2022 16:00</t>
  </si>
  <si>
    <t>26-12-2022 16:15</t>
  </si>
  <si>
    <t>26-12-2022 16:30</t>
  </si>
  <si>
    <t>26-12-2022 16:45</t>
  </si>
  <si>
    <t>26-12-2022 17:00</t>
  </si>
  <si>
    <t>26-12-2022 17:15</t>
  </si>
  <si>
    <t>26-12-2022 17:30</t>
  </si>
  <si>
    <t>26-12-2022 17:45</t>
  </si>
  <si>
    <t>26-12-2022 18:00</t>
  </si>
  <si>
    <t>26-12-2022 18:15</t>
  </si>
  <si>
    <t>26-12-2022 18:30</t>
  </si>
  <si>
    <t>26-12-2022 18:45</t>
  </si>
  <si>
    <t>26-12-2022 19:00</t>
  </si>
  <si>
    <t>26-12-2022 19:15</t>
  </si>
  <si>
    <t>26-12-2022 19:30</t>
  </si>
  <si>
    <t>26-12-2022 19:45</t>
  </si>
  <si>
    <t>26-12-2022 20:00</t>
  </si>
  <si>
    <t>26-12-2022 20:15</t>
  </si>
  <si>
    <t>26-12-2022 20:30</t>
  </si>
  <si>
    <t>26-12-2022 20:45</t>
  </si>
  <si>
    <t>26-12-2022 21:00</t>
  </si>
  <si>
    <t>26-12-2022 21:15</t>
  </si>
  <si>
    <t>26-12-2022 21:30</t>
  </si>
  <si>
    <t>26-12-2022 21:45</t>
  </si>
  <si>
    <t>26-12-2022 22:00</t>
  </si>
  <si>
    <t>26-12-2022 22:15</t>
  </si>
  <si>
    <t>26-12-2022 22:30</t>
  </si>
  <si>
    <t>26-12-2022 22:45</t>
  </si>
  <si>
    <t>26-12-2022 23:00</t>
  </si>
  <si>
    <t>26-12-2022 23:15</t>
  </si>
  <si>
    <t>26-12-2022 23:30</t>
  </si>
  <si>
    <t>26-12-2022 23:45</t>
  </si>
  <si>
    <t>26-12-2022 24:00</t>
  </si>
  <si>
    <t>27-12-2022 00:15</t>
  </si>
  <si>
    <t>27-12-2022 00:30</t>
  </si>
  <si>
    <t>27-12-2022 00:45</t>
  </si>
  <si>
    <t>27-12-2022 01:00</t>
  </si>
  <si>
    <t>27-12-2022 01:15</t>
  </si>
  <si>
    <t>27-12-2022 01:30</t>
  </si>
  <si>
    <t>27-12-2022 01:45</t>
  </si>
  <si>
    <t>27-12-2022 02:00</t>
  </si>
  <si>
    <t>27-12-2022 02:15</t>
  </si>
  <si>
    <t>27-12-2022 02:30</t>
  </si>
  <si>
    <t>27-12-2022 02:45</t>
  </si>
  <si>
    <t>27-12-2022 03:00</t>
  </si>
  <si>
    <t>27-12-2022 03:15</t>
  </si>
  <si>
    <t>27-12-2022 03:30</t>
  </si>
  <si>
    <t>27-12-2022 03:45</t>
  </si>
  <si>
    <t>27-12-2022 04:00</t>
  </si>
  <si>
    <t>27-12-2022 04:15</t>
  </si>
  <si>
    <t>27-12-2022 04:30</t>
  </si>
  <si>
    <t>27-12-2022 04:45</t>
  </si>
  <si>
    <t>27-12-2022 05:00</t>
  </si>
  <si>
    <t>27-12-2022 05:15</t>
  </si>
  <si>
    <t>27-12-2022 05:30</t>
  </si>
  <si>
    <t>27-12-2022 05:45</t>
  </si>
  <si>
    <t>27-12-2022 06:00</t>
  </si>
  <si>
    <t>27-12-2022 06:15</t>
  </si>
  <si>
    <t>27-12-2022 06:30</t>
  </si>
  <si>
    <t>27-12-2022 06:45</t>
  </si>
  <si>
    <t>27-12-2022 07:00</t>
  </si>
  <si>
    <t>27-12-2022 07:15</t>
  </si>
  <si>
    <t>27-12-2022 07:30</t>
  </si>
  <si>
    <t>27-12-2022 07:45</t>
  </si>
  <si>
    <t>27-12-2022 08:00</t>
  </si>
  <si>
    <t>27-12-2022 08:15</t>
  </si>
  <si>
    <t>27-12-2022 08:30</t>
  </si>
  <si>
    <t>27-12-2022 08:45</t>
  </si>
  <si>
    <t>27-12-2022 09:00</t>
  </si>
  <si>
    <t>27-12-2022 09:15</t>
  </si>
  <si>
    <t>27-12-2022 09:30</t>
  </si>
  <si>
    <t>27-12-2022 09:45</t>
  </si>
  <si>
    <t>27-12-2022 10:00</t>
  </si>
  <si>
    <t>27-12-2022 10:15</t>
  </si>
  <si>
    <t>27-12-2022 10:30</t>
  </si>
  <si>
    <t>27-12-2022 10:45</t>
  </si>
  <si>
    <t>27-12-2022 11:00</t>
  </si>
  <si>
    <t>27-12-2022 11:15</t>
  </si>
  <si>
    <t>27-12-2022 11:30</t>
  </si>
  <si>
    <t>27-12-2022 11:45</t>
  </si>
  <si>
    <t>27-12-2022 12:00</t>
  </si>
  <si>
    <t>27-12-2022 12:15</t>
  </si>
  <si>
    <t>27-12-2022 12:30</t>
  </si>
  <si>
    <t>27-12-2022 12:45</t>
  </si>
  <si>
    <t>27-12-2022 13:00</t>
  </si>
  <si>
    <t>27-12-2022 13:15</t>
  </si>
  <si>
    <t>27-12-2022 13:30</t>
  </si>
  <si>
    <t>27-12-2022 13:45</t>
  </si>
  <si>
    <t>27-12-2022 14:00</t>
  </si>
  <si>
    <t>27-12-2022 14:15</t>
  </si>
  <si>
    <t>27-12-2022 14:30</t>
  </si>
  <si>
    <t>27-12-2022 14:45</t>
  </si>
  <si>
    <t>27-12-2022 15:00</t>
  </si>
  <si>
    <t>27-12-2022 15:15</t>
  </si>
  <si>
    <t>27-12-2022 15:30</t>
  </si>
  <si>
    <t>27-12-2022 15:45</t>
  </si>
  <si>
    <t>27-12-2022 16:00</t>
  </si>
  <si>
    <t>27-12-2022 16:15</t>
  </si>
  <si>
    <t>27-12-2022 16:30</t>
  </si>
  <si>
    <t>27-12-2022 16:45</t>
  </si>
  <si>
    <t>27-12-2022 17:00</t>
  </si>
  <si>
    <t>27-12-2022 17:15</t>
  </si>
  <si>
    <t>27-12-2022 17:30</t>
  </si>
  <si>
    <t>27-12-2022 17:45</t>
  </si>
  <si>
    <t>27-12-2022 18:00</t>
  </si>
  <si>
    <t>27-12-2022 18:15</t>
  </si>
  <si>
    <t>27-12-2022 18:30</t>
  </si>
  <si>
    <t>27-12-2022 18:45</t>
  </si>
  <si>
    <t>27-12-2022 19:00</t>
  </si>
  <si>
    <t>27-12-2022 19:15</t>
  </si>
  <si>
    <t>27-12-2022 19:30</t>
  </si>
  <si>
    <t>27-12-2022 19:45</t>
  </si>
  <si>
    <t>27-12-2022 20:00</t>
  </si>
  <si>
    <t>27-12-2022 20:15</t>
  </si>
  <si>
    <t>27-12-2022 20:30</t>
  </si>
  <si>
    <t>27-12-2022 20:45</t>
  </si>
  <si>
    <t>27-12-2022 21:00</t>
  </si>
  <si>
    <t>27-12-2022 21:15</t>
  </si>
  <si>
    <t>27-12-2022 21:30</t>
  </si>
  <si>
    <t>27-12-2022 21:45</t>
  </si>
  <si>
    <t>27-12-2022 22:00</t>
  </si>
  <si>
    <t>27-12-2022 22:15</t>
  </si>
  <si>
    <t>27-12-2022 22:30</t>
  </si>
  <si>
    <t>27-12-2022 22:45</t>
  </si>
  <si>
    <t>27-12-2022 23:00</t>
  </si>
  <si>
    <t>27-12-2022 23:15</t>
  </si>
  <si>
    <t>27-12-2022 23:30</t>
  </si>
  <si>
    <t>27-12-2022 23:45</t>
  </si>
  <si>
    <t>27-12-2022 24:00</t>
  </si>
  <si>
    <t>28-12-2022 00:15</t>
  </si>
  <si>
    <t>28-12-2022 00:30</t>
  </si>
  <si>
    <t>28-12-2022 00:45</t>
  </si>
  <si>
    <t>28-12-2022 01:00</t>
  </si>
  <si>
    <t>28-12-2022 01:15</t>
  </si>
  <si>
    <t>28-12-2022 01:30</t>
  </si>
  <si>
    <t>28-12-2022 01:45</t>
  </si>
  <si>
    <t>28-12-2022 02:00</t>
  </si>
  <si>
    <t>28-12-2022 02:15</t>
  </si>
  <si>
    <t>28-12-2022 02:30</t>
  </si>
  <si>
    <t>28-12-2022 02:45</t>
  </si>
  <si>
    <t>28-12-2022 03:00</t>
  </si>
  <si>
    <t>28-12-2022 03:15</t>
  </si>
  <si>
    <t>28-12-2022 03:30</t>
  </si>
  <si>
    <t>28-12-2022 03:45</t>
  </si>
  <si>
    <t>28-12-2022 04:00</t>
  </si>
  <si>
    <t>28-12-2022 04:15</t>
  </si>
  <si>
    <t>28-12-2022 04:30</t>
  </si>
  <si>
    <t>28-12-2022 04:45</t>
  </si>
  <si>
    <t>28-12-2022 05:00</t>
  </si>
  <si>
    <t>28-12-2022 05:15</t>
  </si>
  <si>
    <t>28-12-2022 05:30</t>
  </si>
  <si>
    <t>28-12-2022 05:45</t>
  </si>
  <si>
    <t>28-12-2022 06:00</t>
  </si>
  <si>
    <t>28-12-2022 06:15</t>
  </si>
  <si>
    <t>28-12-2022 06:30</t>
  </si>
  <si>
    <t>28-12-2022 06:45</t>
  </si>
  <si>
    <t>28-12-2022 07:00</t>
  </si>
  <si>
    <t>28-12-2022 07:15</t>
  </si>
  <si>
    <t>28-12-2022 07:30</t>
  </si>
  <si>
    <t>28-12-2022 07:45</t>
  </si>
  <si>
    <t>28-12-2022 08:00</t>
  </si>
  <si>
    <t>28-12-2022 08:15</t>
  </si>
  <si>
    <t>28-12-2022 08:30</t>
  </si>
  <si>
    <t>28-12-2022 08:45</t>
  </si>
  <si>
    <t>28-12-2022 09:00</t>
  </si>
  <si>
    <t>28-12-2022 09:15</t>
  </si>
  <si>
    <t>28-12-2022 09:30</t>
  </si>
  <si>
    <t>28-12-2022 09:45</t>
  </si>
  <si>
    <t>28-12-2022 10:00</t>
  </si>
  <si>
    <t>28-12-2022 10:15</t>
  </si>
  <si>
    <t>28-12-2022 10:30</t>
  </si>
  <si>
    <t>28-12-2022 10:45</t>
  </si>
  <si>
    <t>28-12-2022 11:00</t>
  </si>
  <si>
    <t>28-12-2022 11:15</t>
  </si>
  <si>
    <t>28-12-2022 11:30</t>
  </si>
  <si>
    <t>28-12-2022 11:45</t>
  </si>
  <si>
    <t>28-12-2022 12:00</t>
  </si>
  <si>
    <t>28-12-2022 12:15</t>
  </si>
  <si>
    <t>28-12-2022 12:30</t>
  </si>
  <si>
    <t>28-12-2022 12:45</t>
  </si>
  <si>
    <t>28-12-2022 13:00</t>
  </si>
  <si>
    <t>28-12-2022 13:15</t>
  </si>
  <si>
    <t>28-12-2022 13:30</t>
  </si>
  <si>
    <t>28-12-2022 13:45</t>
  </si>
  <si>
    <t>28-12-2022 14:00</t>
  </si>
  <si>
    <t>28-12-2022 14:15</t>
  </si>
  <si>
    <t>28-12-2022 14:30</t>
  </si>
  <si>
    <t>28-12-2022 14:45</t>
  </si>
  <si>
    <t>28-12-2022 15:00</t>
  </si>
  <si>
    <t>28-12-2022 15:15</t>
  </si>
  <si>
    <t>28-12-2022 15:30</t>
  </si>
  <si>
    <t>28-12-2022 15:45</t>
  </si>
  <si>
    <t>28-12-2022 16:00</t>
  </si>
  <si>
    <t>28-12-2022 16:15</t>
  </si>
  <si>
    <t>28-12-2022 16:30</t>
  </si>
  <si>
    <t>28-12-2022 16:45</t>
  </si>
  <si>
    <t>28-12-2022 17:00</t>
  </si>
  <si>
    <t>28-12-2022 17:15</t>
  </si>
  <si>
    <t>28-12-2022 17:30</t>
  </si>
  <si>
    <t>28-12-2022 17:45</t>
  </si>
  <si>
    <t>28-12-2022 18:00</t>
  </si>
  <si>
    <t>28-12-2022 18:15</t>
  </si>
  <si>
    <t>28-12-2022 18:30</t>
  </si>
  <si>
    <t>28-12-2022 18:45</t>
  </si>
  <si>
    <t>28-12-2022 19:00</t>
  </si>
  <si>
    <t>28-12-2022 19:15</t>
  </si>
  <si>
    <t>28-12-2022 19:30</t>
  </si>
  <si>
    <t>28-12-2022 19:45</t>
  </si>
  <si>
    <t>28-12-2022 20:00</t>
  </si>
  <si>
    <t>28-12-2022 20:15</t>
  </si>
  <si>
    <t>28-12-2022 20:30</t>
  </si>
  <si>
    <t>28-12-2022 20:45</t>
  </si>
  <si>
    <t>28-12-2022 21:00</t>
  </si>
  <si>
    <t>28-12-2022 21:15</t>
  </si>
  <si>
    <t>28-12-2022 21:30</t>
  </si>
  <si>
    <t>28-12-2022 21:45</t>
  </si>
  <si>
    <t>28-12-2022 22:00</t>
  </si>
  <si>
    <t>28-12-2022 22:15</t>
  </si>
  <si>
    <t>28-12-2022 22:30</t>
  </si>
  <si>
    <t>28-12-2022 22:45</t>
  </si>
  <si>
    <t>28-12-2022 23:00</t>
  </si>
  <si>
    <t>28-12-2022 23:15</t>
  </si>
  <si>
    <t>28-12-2022 23:30</t>
  </si>
  <si>
    <t>28-12-2022 23:45</t>
  </si>
  <si>
    <t>28-12-2022 24:00</t>
  </si>
  <si>
    <t>29-12-2022 00:15</t>
  </si>
  <si>
    <t>29-12-2022 00:30</t>
  </si>
  <si>
    <t>29-12-2022 00:45</t>
  </si>
  <si>
    <t>29-12-2022 01:00</t>
  </si>
  <si>
    <t>29-12-2022 01:15</t>
  </si>
  <si>
    <t>29-12-2022 01:30</t>
  </si>
  <si>
    <t>29-12-2022 01:45</t>
  </si>
  <si>
    <t>29-12-2022 02:00</t>
  </si>
  <si>
    <t>29-12-2022 02:15</t>
  </si>
  <si>
    <t>29-12-2022 02:30</t>
  </si>
  <si>
    <t>29-12-2022 02:45</t>
  </si>
  <si>
    <t>29-12-2022 03:00</t>
  </si>
  <si>
    <t>29-12-2022 03:15</t>
  </si>
  <si>
    <t>29-12-2022 03:30</t>
  </si>
  <si>
    <t>29-12-2022 03:45</t>
  </si>
  <si>
    <t>29-12-2022 04:00</t>
  </si>
  <si>
    <t>29-12-2022 04:15</t>
  </si>
  <si>
    <t>29-12-2022 04:30</t>
  </si>
  <si>
    <t>29-12-2022 04:45</t>
  </si>
  <si>
    <t>29-12-2022 05:00</t>
  </si>
  <si>
    <t>29-12-2022 05:15</t>
  </si>
  <si>
    <t>29-12-2022 05:30</t>
  </si>
  <si>
    <t>29-12-2022 05:45</t>
  </si>
  <si>
    <t>29-12-2022 06:00</t>
  </si>
  <si>
    <t>29-12-2022 06:15</t>
  </si>
  <si>
    <t>29-12-2022 06:30</t>
  </si>
  <si>
    <t>29-12-2022 06:45</t>
  </si>
  <si>
    <t>29-12-2022 07:00</t>
  </si>
  <si>
    <t>29-12-2022 07:15</t>
  </si>
  <si>
    <t>29-12-2022 07:30</t>
  </si>
  <si>
    <t>29-12-2022 07:45</t>
  </si>
  <si>
    <t>29-12-2022 08:00</t>
  </si>
  <si>
    <t>29-12-2022 08:15</t>
  </si>
  <si>
    <t>29-12-2022 08:30</t>
  </si>
  <si>
    <t>29-12-2022 08:45</t>
  </si>
  <si>
    <t>29-12-2022 09:00</t>
  </si>
  <si>
    <t>29-12-2022 09:15</t>
  </si>
  <si>
    <t>29-12-2022 09:30</t>
  </si>
  <si>
    <t>29-12-2022 09:45</t>
  </si>
  <si>
    <t>29-12-2022 10:00</t>
  </si>
  <si>
    <t>29-12-2022 10:15</t>
  </si>
  <si>
    <t>29-12-2022 10:30</t>
  </si>
  <si>
    <t>29-12-2022 10:45</t>
  </si>
  <si>
    <t>29-12-2022 11:00</t>
  </si>
  <si>
    <t>29-12-2022 11:15</t>
  </si>
  <si>
    <t>29-12-2022 11:30</t>
  </si>
  <si>
    <t>29-12-2022 11:45</t>
  </si>
  <si>
    <t>29-12-2022 12:00</t>
  </si>
  <si>
    <t>29-12-2022 12:15</t>
  </si>
  <si>
    <t>29-12-2022 12:30</t>
  </si>
  <si>
    <t>29-12-2022 12:45</t>
  </si>
  <si>
    <t>29-12-2022 13:00</t>
  </si>
  <si>
    <t>29-12-2022 13:15</t>
  </si>
  <si>
    <t>29-12-2022 13:30</t>
  </si>
  <si>
    <t>29-12-2022 13:45</t>
  </si>
  <si>
    <t>29-12-2022 14:00</t>
  </si>
  <si>
    <t>29-12-2022 14:15</t>
  </si>
  <si>
    <t>29-12-2022 14:30</t>
  </si>
  <si>
    <t>29-12-2022 14:45</t>
  </si>
  <si>
    <t>29-12-2022 15:00</t>
  </si>
  <si>
    <t>29-12-2022 15:15</t>
  </si>
  <si>
    <t>29-12-2022 15:30</t>
  </si>
  <si>
    <t>29-12-2022 15:45</t>
  </si>
  <si>
    <t>29-12-2022 16:00</t>
  </si>
  <si>
    <t>29-12-2022 16:15</t>
  </si>
  <si>
    <t>29-12-2022 16:30</t>
  </si>
  <si>
    <t>29-12-2022 16:45</t>
  </si>
  <si>
    <t>29-12-2022 17:00</t>
  </si>
  <si>
    <t>29-12-2022 17:15</t>
  </si>
  <si>
    <t>29-12-2022 17:30</t>
  </si>
  <si>
    <t>29-12-2022 17:45</t>
  </si>
  <si>
    <t>29-12-2022 18:00</t>
  </si>
  <si>
    <t>29-12-2022 18:15</t>
  </si>
  <si>
    <t>29-12-2022 18:30</t>
  </si>
  <si>
    <t>29-12-2022 18:45</t>
  </si>
  <si>
    <t>29-12-2022 19:00</t>
  </si>
  <si>
    <t>29-12-2022 19:15</t>
  </si>
  <si>
    <t>29-12-2022 19:30</t>
  </si>
  <si>
    <t>29-12-2022 19:45</t>
  </si>
  <si>
    <t>29-12-2022 20:00</t>
  </si>
  <si>
    <t>29-12-2022 20:15</t>
  </si>
  <si>
    <t>29-12-2022 20:30</t>
  </si>
  <si>
    <t>29-12-2022 20:45</t>
  </si>
  <si>
    <t>29-12-2022 21:00</t>
  </si>
  <si>
    <t>29-12-2022 21:15</t>
  </si>
  <si>
    <t>29-12-2022 21:30</t>
  </si>
  <si>
    <t>29-12-2022 21:45</t>
  </si>
  <si>
    <t>29-12-2022 22:00</t>
  </si>
  <si>
    <t>29-12-2022 22:15</t>
  </si>
  <si>
    <t>29-12-2022 22:30</t>
  </si>
  <si>
    <t>29-12-2022 22:45</t>
  </si>
  <si>
    <t>29-12-2022 23:00</t>
  </si>
  <si>
    <t>29-12-2022 23:15</t>
  </si>
  <si>
    <t>29-12-2022 23:30</t>
  </si>
  <si>
    <t>29-12-2022 23:45</t>
  </si>
  <si>
    <t>29-12-2022 24:00</t>
  </si>
  <si>
    <t>30-12-2022 00:15</t>
  </si>
  <si>
    <t>30-12-2022 00:30</t>
  </si>
  <si>
    <t>30-12-2022 00:45</t>
  </si>
  <si>
    <t>30-12-2022 01:00</t>
  </si>
  <si>
    <t>30-12-2022 01:15</t>
  </si>
  <si>
    <t>30-12-2022 01:30</t>
  </si>
  <si>
    <t>30-12-2022 01:45</t>
  </si>
  <si>
    <t>30-12-2022 02:00</t>
  </si>
  <si>
    <t>30-12-2022 02:15</t>
  </si>
  <si>
    <t>30-12-2022 02:30</t>
  </si>
  <si>
    <t>30-12-2022 02:45</t>
  </si>
  <si>
    <t>30-12-2022 03:00</t>
  </si>
  <si>
    <t>30-12-2022 03:15</t>
  </si>
  <si>
    <t>30-12-2022 03:30</t>
  </si>
  <si>
    <t>30-12-2022 03:45</t>
  </si>
  <si>
    <t>30-12-2022 04:00</t>
  </si>
  <si>
    <t>30-12-2022 04:15</t>
  </si>
  <si>
    <t>30-12-2022 04:30</t>
  </si>
  <si>
    <t>30-12-2022 04:45</t>
  </si>
  <si>
    <t>30-12-2022 05:00</t>
  </si>
  <si>
    <t>30-12-2022 05:15</t>
  </si>
  <si>
    <t>30-12-2022 05:30</t>
  </si>
  <si>
    <t>30-12-2022 05:45</t>
  </si>
  <si>
    <t>30-12-2022 06:00</t>
  </si>
  <si>
    <t>30-12-2022 06:15</t>
  </si>
  <si>
    <t>30-12-2022 06:30</t>
  </si>
  <si>
    <t>30-12-2022 06:45</t>
  </si>
  <si>
    <t>30-12-2022 07:00</t>
  </si>
  <si>
    <t>30-12-2022 07:15</t>
  </si>
  <si>
    <t>30-12-2022 07:30</t>
  </si>
  <si>
    <t>30-12-2022 07:45</t>
  </si>
  <si>
    <t>30-12-2022 08:00</t>
  </si>
  <si>
    <t>30-12-2022 08:15</t>
  </si>
  <si>
    <t>30-12-2022 08:30</t>
  </si>
  <si>
    <t>30-12-2022 08:45</t>
  </si>
  <si>
    <t>30-12-2022 09:00</t>
  </si>
  <si>
    <t>30-12-2022 09:15</t>
  </si>
  <si>
    <t>30-12-2022 09:30</t>
  </si>
  <si>
    <t>30-12-2022 09:45</t>
  </si>
  <si>
    <t>30-12-2022 10:00</t>
  </si>
  <si>
    <t>30-12-2022 10:15</t>
  </si>
  <si>
    <t>30-12-2022 10:30</t>
  </si>
  <si>
    <t>30-12-2022 10:45</t>
  </si>
  <si>
    <t>30-12-2022 11:00</t>
  </si>
  <si>
    <t>30-12-2022 11:15</t>
  </si>
  <si>
    <t>30-12-2022 11:30</t>
  </si>
  <si>
    <t>30-12-2022 11:45</t>
  </si>
  <si>
    <t>30-12-2022 12:00</t>
  </si>
  <si>
    <t>30-12-2022 12:15</t>
  </si>
  <si>
    <t>30-12-2022 12:30</t>
  </si>
  <si>
    <t>30-12-2022 12:45</t>
  </si>
  <si>
    <t>30-12-2022 13:00</t>
  </si>
  <si>
    <t>30-12-2022 13:15</t>
  </si>
  <si>
    <t>30-12-2022 13:30</t>
  </si>
  <si>
    <t>30-12-2022 13:45</t>
  </si>
  <si>
    <t>30-12-2022 14:00</t>
  </si>
  <si>
    <t>30-12-2022 14:15</t>
  </si>
  <si>
    <t>30-12-2022 14:30</t>
  </si>
  <si>
    <t>30-12-2022 14:45</t>
  </si>
  <si>
    <t>30-12-2022 15:00</t>
  </si>
  <si>
    <t>30-12-2022 15:15</t>
  </si>
  <si>
    <t>30-12-2022 15:30</t>
  </si>
  <si>
    <t>30-12-2022 15:45</t>
  </si>
  <si>
    <t>30-12-2022 16:00</t>
  </si>
  <si>
    <t>30-12-2022 16:15</t>
  </si>
  <si>
    <t>30-12-2022 16:30</t>
  </si>
  <si>
    <t>30-12-2022 16:45</t>
  </si>
  <si>
    <t>30-12-2022 17:00</t>
  </si>
  <si>
    <t>30-12-2022 17:15</t>
  </si>
  <si>
    <t>30-12-2022 17:30</t>
  </si>
  <si>
    <t>30-12-2022 17:45</t>
  </si>
  <si>
    <t>30-12-2022 18:00</t>
  </si>
  <si>
    <t>30-12-2022 18:15</t>
  </si>
  <si>
    <t>30-12-2022 18:30</t>
  </si>
  <si>
    <t>30-12-2022 18:45</t>
  </si>
  <si>
    <t>30-12-2022 19:00</t>
  </si>
  <si>
    <t>30-12-2022 19:15</t>
  </si>
  <si>
    <t>30-12-2022 19:30</t>
  </si>
  <si>
    <t>30-12-2022 19:45</t>
  </si>
  <si>
    <t>30-12-2022 20:00</t>
  </si>
  <si>
    <t>30-12-2022 20:15</t>
  </si>
  <si>
    <t>30-12-2022 20:30</t>
  </si>
  <si>
    <t>30-12-2022 20:45</t>
  </si>
  <si>
    <t>30-12-2022 21:00</t>
  </si>
  <si>
    <t>30-12-2022 21:15</t>
  </si>
  <si>
    <t>30-12-2022 21:30</t>
  </si>
  <si>
    <t>30-12-2022 21:45</t>
  </si>
  <si>
    <t>30-12-2022 22:00</t>
  </si>
  <si>
    <t>30-12-2022 22:15</t>
  </si>
  <si>
    <t>30-12-2022 22:30</t>
  </si>
  <si>
    <t>30-12-2022 22:45</t>
  </si>
  <si>
    <t>30-12-2022 23:00</t>
  </si>
  <si>
    <t>30-12-2022 23:15</t>
  </si>
  <si>
    <t>30-12-2022 23:30</t>
  </si>
  <si>
    <t>30-12-2022 23:45</t>
  </si>
  <si>
    <t>30-12-2022 24:00</t>
  </si>
  <si>
    <t>31-12-2022 00:15</t>
  </si>
  <si>
    <t>31-12-2022 00:30</t>
  </si>
  <si>
    <t>31-12-2022 00:45</t>
  </si>
  <si>
    <t>31-12-2022 01:00</t>
  </si>
  <si>
    <t>31-12-2022 01:15</t>
  </si>
  <si>
    <t>31-12-2022 01:30</t>
  </si>
  <si>
    <t>31-12-2022 01:45</t>
  </si>
  <si>
    <t>31-12-2022 02:00</t>
  </si>
  <si>
    <t>31-12-2022 02:15</t>
  </si>
  <si>
    <t>31-12-2022 02:30</t>
  </si>
  <si>
    <t>31-12-2022 02:45</t>
  </si>
  <si>
    <t>31-12-2022 03:00</t>
  </si>
  <si>
    <t>31-12-2022 03:15</t>
  </si>
  <si>
    <t>31-12-2022 03:30</t>
  </si>
  <si>
    <t>31-12-2022 03:45</t>
  </si>
  <si>
    <t>31-12-2022 04:00</t>
  </si>
  <si>
    <t>31-12-2022 04:15</t>
  </si>
  <si>
    <t>31-12-2022 04:30</t>
  </si>
  <si>
    <t>31-12-2022 04:45</t>
  </si>
  <si>
    <t>31-12-2022 05:00</t>
  </si>
  <si>
    <t>31-12-2022 05:15</t>
  </si>
  <si>
    <t>31-12-2022 05:30</t>
  </si>
  <si>
    <t>31-12-2022 05:45</t>
  </si>
  <si>
    <t>31-12-2022 06:00</t>
  </si>
  <si>
    <t>31-12-2022 06:15</t>
  </si>
  <si>
    <t>31-12-2022 06:30</t>
  </si>
  <si>
    <t>31-12-2022 06:45</t>
  </si>
  <si>
    <t>31-12-2022 07:00</t>
  </si>
  <si>
    <t>31-12-2022 07:15</t>
  </si>
  <si>
    <t>31-12-2022 07:30</t>
  </si>
  <si>
    <t>31-12-2022 07:45</t>
  </si>
  <si>
    <t>31-12-2022 08:00</t>
  </si>
  <si>
    <t>31-12-2022 08:15</t>
  </si>
  <si>
    <t>31-12-2022 08:30</t>
  </si>
  <si>
    <t>31-12-2022 08:45</t>
  </si>
  <si>
    <t>31-12-2022 09:00</t>
  </si>
  <si>
    <t>31-12-2022 09:15</t>
  </si>
  <si>
    <t>31-12-2022 09:30</t>
  </si>
  <si>
    <t>31-12-2022 09:45</t>
  </si>
  <si>
    <t>31-12-2022 10:00</t>
  </si>
  <si>
    <t>31-12-2022 10:15</t>
  </si>
  <si>
    <t>31-12-2022 10:30</t>
  </si>
  <si>
    <t>31-12-2022 10:45</t>
  </si>
  <si>
    <t>31-12-2022 11:00</t>
  </si>
  <si>
    <t>31-12-2022 11:15</t>
  </si>
  <si>
    <t>31-12-2022 11:30</t>
  </si>
  <si>
    <t>31-12-2022 11:45</t>
  </si>
  <si>
    <t>31-12-2022 12:00</t>
  </si>
  <si>
    <t>31-12-2022 12:15</t>
  </si>
  <si>
    <t>31-12-2022 12:30</t>
  </si>
  <si>
    <t>31-12-2022 12:45</t>
  </si>
  <si>
    <t>31-12-2022 13:00</t>
  </si>
  <si>
    <t>31-12-2022 13:15</t>
  </si>
  <si>
    <t>31-12-2022 13:30</t>
  </si>
  <si>
    <t>31-12-2022 13:45</t>
  </si>
  <si>
    <t>31-12-2022 14:00</t>
  </si>
  <si>
    <t>31-12-2022 14:15</t>
  </si>
  <si>
    <t>31-12-2022 14:30</t>
  </si>
  <si>
    <t>31-12-2022 14:45</t>
  </si>
  <si>
    <t>31-12-2022 15:00</t>
  </si>
  <si>
    <t>31-12-2022 15:15</t>
  </si>
  <si>
    <t>31-12-2022 15:30</t>
  </si>
  <si>
    <t>31-12-2022 15:45</t>
  </si>
  <si>
    <t>31-12-2022 16:00</t>
  </si>
  <si>
    <t>31-12-2022 16:15</t>
  </si>
  <si>
    <t>31-12-2022 16:30</t>
  </si>
  <si>
    <t>31-12-2022 16:45</t>
  </si>
  <si>
    <t>31-12-2022 17:00</t>
  </si>
  <si>
    <t>31-12-2022 17:15</t>
  </si>
  <si>
    <t>31-12-2022 17:30</t>
  </si>
  <si>
    <t>31-12-2022 17:45</t>
  </si>
  <si>
    <t>31-12-2022 18:00</t>
  </si>
  <si>
    <t>31-12-2022 18:15</t>
  </si>
  <si>
    <t>31-12-2022 18:30</t>
  </si>
  <si>
    <t>31-12-2022 18:45</t>
  </si>
  <si>
    <t>31-12-2022 19:00</t>
  </si>
  <si>
    <t>31-12-2022 19:15</t>
  </si>
  <si>
    <t>31-12-2022 19:30</t>
  </si>
  <si>
    <t>31-12-2022 19:45</t>
  </si>
  <si>
    <t>31-12-2022 20:00</t>
  </si>
  <si>
    <t>31-12-2022 20:15</t>
  </si>
  <si>
    <t>31-12-2022 20:30</t>
  </si>
  <si>
    <t>31-12-2022 20:45</t>
  </si>
  <si>
    <t>31-12-2022 21:00</t>
  </si>
  <si>
    <t>31-12-2022 21:15</t>
  </si>
  <si>
    <t>31-12-2022 21:30</t>
  </si>
  <si>
    <t>31-12-2022 21:45</t>
  </si>
  <si>
    <t>31-12-2022 22:00</t>
  </si>
  <si>
    <t>31-12-2022 22:15</t>
  </si>
  <si>
    <t>31-12-2022 22:30</t>
  </si>
  <si>
    <t>31-12-2022 22:45</t>
  </si>
  <si>
    <t>31-12-2022 23:00</t>
  </si>
  <si>
    <t>31-12-2022 23:15</t>
  </si>
  <si>
    <t>31-12-2022 23:30</t>
  </si>
  <si>
    <t>31-12-2022 23:45</t>
  </si>
  <si>
    <t>31-12-2022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</si>
</sst>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sz val="16"/>
      <color theme="0"/>
      <name val="Arial Black"/>
      <family val="2"/>
    </font>
    <font>
      <b/>
      <sz val="16"/>
      <color theme="0"/>
      <name val="Arial Black"/>
      <family val="2"/>
    </font>
    <font>
      <b/>
      <sz val="24"/>
      <color theme="1"/>
      <name val="Arial Black"/>
      <family val="2"/>
    </font>
    <font>
      <b/>
      <sz val="22"/>
      <color theme="1"/>
      <name val="Arial Black"/>
      <family val="2"/>
    </font>
    <font>
      <b/>
      <sz val="26"/>
      <color theme="1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2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49" fontId="0" fillId="0" borderId="0" xfId="0" applyNumberFormat="1"/>
    <xf numFmtId="0" fontId="15" fillId="2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14" fillId="0" borderId="0" xfId="0" applyFont="1" applyAlignment="1">
      <alignment horizontal="center" vertical="center"/>
    </xf>
    <xf numFmtId="17" fontId="39" fillId="13" borderId="0" xfId="0" applyNumberFormat="1" applyFont="1" applyFill="1" applyAlignment="1">
      <alignment horizontal="center" vertical="center"/>
    </xf>
    <xf numFmtId="0" fontId="40" fillId="13" borderId="0" xfId="0" applyFont="1" applyFill="1" applyAlignment="1">
      <alignment horizontal="center" vertical="center"/>
    </xf>
    <xf numFmtId="0" fontId="41" fillId="12" borderId="34" xfId="0" applyFont="1" applyFill="1" applyBorder="1" applyAlignment="1">
      <alignment horizontal="center" vertical="center"/>
    </xf>
    <xf numFmtId="0" fontId="41" fillId="12" borderId="21" xfId="0" applyFont="1" applyFill="1" applyBorder="1" applyAlignment="1">
      <alignment horizontal="center" vertical="center"/>
    </xf>
    <xf numFmtId="0" fontId="6" fillId="12" borderId="35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42" fillId="12" borderId="1" xfId="0" applyFont="1" applyFill="1" applyBorder="1" applyAlignment="1">
      <alignment horizontal="center" vertical="center"/>
    </xf>
    <xf numFmtId="0" fontId="42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8" xfId="0" applyFont="1" applyFill="1" applyBorder="1" applyAlignment="1">
      <alignment horizontal="center"/>
    </xf>
    <xf numFmtId="0" fontId="41" fillId="12" borderId="36" xfId="0" applyFont="1" applyFill="1" applyBorder="1" applyAlignment="1">
      <alignment horizontal="center" vertical="center"/>
    </xf>
    <xf numFmtId="0" fontId="41" fillId="12" borderId="32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/>
    </xf>
    <xf numFmtId="0" fontId="43" fillId="12" borderId="37" xfId="0" applyFont="1" applyFill="1" applyBorder="1" applyAlignment="1">
      <alignment horizontal="center" vertical="center"/>
    </xf>
    <xf numFmtId="0" fontId="43" fillId="12" borderId="25" xfId="0" applyFont="1" applyFill="1" applyBorder="1" applyAlignment="1">
      <alignment horizontal="center" vertical="center"/>
    </xf>
    <xf numFmtId="0" fontId="6" fillId="12" borderId="38" xfId="0" applyFont="1" applyFill="1" applyBorder="1" applyAlignment="1">
      <alignment horizontal="center"/>
    </xf>
    <xf numFmtId="0" fontId="6" fillId="12" borderId="39" xfId="0" applyFont="1" applyFill="1" applyBorder="1" applyAlignment="1">
      <alignment horizontal="center"/>
    </xf>
    <xf numFmtId="0" fontId="41" fillId="12" borderId="37" xfId="0" applyFont="1" applyFill="1" applyBorder="1" applyAlignment="1">
      <alignment horizontal="center" vertical="center"/>
    </xf>
    <xf numFmtId="0" fontId="41" fillId="12" borderId="25" xfId="0" applyFont="1" applyFill="1" applyBorder="1" applyAlignment="1">
      <alignment horizontal="center" vertical="center"/>
    </xf>
    <xf numFmtId="0" fontId="42" fillId="1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72" activePane="bottomRight" state="frozen"/>
      <selection activeCell="A9" sqref="A9:U104"/>
      <selection pane="topRight" activeCell="A9" sqref="A9:U104"/>
      <selection pane="bottomLeft" activeCell="A9" sqref="A9:U104"/>
      <selection pane="bottomRight" activeCell="F10" sqref="F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237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01-12-2022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244</v>
      </c>
      <c r="B9" s="59">
        <v>93.75</v>
      </c>
      <c r="C9" s="59">
        <v>135.96</v>
      </c>
      <c r="D9" s="59">
        <v>150.21</v>
      </c>
      <c r="E9" s="59">
        <v>4.45</v>
      </c>
      <c r="F9" s="59">
        <v>0.73</v>
      </c>
      <c r="G9" s="59">
        <v>223.96</v>
      </c>
      <c r="H9" s="59">
        <v>66.47</v>
      </c>
      <c r="I9" s="59">
        <v>1.51</v>
      </c>
      <c r="J9" s="59">
        <v>0.13</v>
      </c>
      <c r="K9" s="59">
        <v>285.14</v>
      </c>
      <c r="L9" s="59">
        <v>18.079999999999998</v>
      </c>
      <c r="M9" s="59">
        <v>91</v>
      </c>
      <c r="N9" s="209" t="s">
        <v>36</v>
      </c>
      <c r="O9" s="59">
        <v>0</v>
      </c>
      <c r="P9" s="59">
        <v>3.84</v>
      </c>
      <c r="Q9" s="59">
        <v>150.04</v>
      </c>
      <c r="R9" s="197"/>
      <c r="S9" s="197"/>
      <c r="T9" s="197"/>
      <c r="U9" s="197"/>
    </row>
    <row r="10" spans="1:21" s="12" customFormat="1" x14ac:dyDescent="0.25">
      <c r="A10" s="200" t="s">
        <v>245</v>
      </c>
      <c r="B10" s="59">
        <v>93.87</v>
      </c>
      <c r="C10" s="59">
        <v>136.52000000000001</v>
      </c>
      <c r="D10" s="59">
        <v>150.61000000000001</v>
      </c>
      <c r="E10" s="59">
        <v>5.15</v>
      </c>
      <c r="F10" s="59">
        <v>0.77</v>
      </c>
      <c r="G10" s="59">
        <v>223.96</v>
      </c>
      <c r="H10" s="59">
        <v>66.47</v>
      </c>
      <c r="I10" s="59">
        <v>1.52</v>
      </c>
      <c r="J10" s="59">
        <v>0.2</v>
      </c>
      <c r="K10" s="59">
        <v>286.32</v>
      </c>
      <c r="L10" s="59">
        <v>17.809999999999999</v>
      </c>
      <c r="M10" s="59">
        <v>70</v>
      </c>
      <c r="N10" s="209" t="s">
        <v>36</v>
      </c>
      <c r="O10" s="59">
        <v>0</v>
      </c>
      <c r="P10" s="59">
        <v>3.81</v>
      </c>
      <c r="Q10" s="59">
        <v>151.77000000000001</v>
      </c>
      <c r="R10" s="197"/>
      <c r="S10" s="197"/>
      <c r="T10" s="197"/>
      <c r="U10" s="197"/>
    </row>
    <row r="11" spans="1:21" s="12" customFormat="1" x14ac:dyDescent="0.25">
      <c r="A11" s="200" t="s">
        <v>246</v>
      </c>
      <c r="B11" s="59">
        <v>92.21</v>
      </c>
      <c r="C11" s="59">
        <v>135.25</v>
      </c>
      <c r="D11" s="59">
        <v>148.58000000000001</v>
      </c>
      <c r="E11" s="59">
        <v>4.9000000000000004</v>
      </c>
      <c r="F11" s="59">
        <v>0.54</v>
      </c>
      <c r="G11" s="59">
        <v>204.59</v>
      </c>
      <c r="H11" s="59">
        <v>65.150000000000006</v>
      </c>
      <c r="I11" s="59">
        <v>1.54</v>
      </c>
      <c r="J11" s="59">
        <v>0.13</v>
      </c>
      <c r="K11" s="59">
        <v>293.2</v>
      </c>
      <c r="L11" s="59">
        <v>17.559999999999999</v>
      </c>
      <c r="M11" s="59">
        <v>89</v>
      </c>
      <c r="N11" s="209" t="s">
        <v>36</v>
      </c>
      <c r="O11" s="59">
        <v>0</v>
      </c>
      <c r="P11" s="59">
        <v>3.79</v>
      </c>
      <c r="Q11" s="59">
        <v>151.69999999999999</v>
      </c>
      <c r="R11" s="197"/>
      <c r="S11" s="197"/>
      <c r="T11" s="197"/>
      <c r="U11" s="197"/>
    </row>
    <row r="12" spans="1:21" s="12" customFormat="1" x14ac:dyDescent="0.25">
      <c r="A12" s="200" t="s">
        <v>247</v>
      </c>
      <c r="B12" s="59">
        <v>90.23</v>
      </c>
      <c r="C12" s="59">
        <v>133.47999999999999</v>
      </c>
      <c r="D12" s="59">
        <v>146.02000000000001</v>
      </c>
      <c r="E12" s="59">
        <v>4.93</v>
      </c>
      <c r="F12" s="59">
        <v>0.56999999999999995</v>
      </c>
      <c r="G12" s="59">
        <v>162.16999999999999</v>
      </c>
      <c r="H12" s="59">
        <v>61.05</v>
      </c>
      <c r="I12" s="59">
        <v>1.53</v>
      </c>
      <c r="J12" s="59">
        <v>0.12</v>
      </c>
      <c r="K12" s="59">
        <v>294.27</v>
      </c>
      <c r="L12" s="59">
        <v>17.48</v>
      </c>
      <c r="M12" s="59">
        <v>83</v>
      </c>
      <c r="N12" s="209" t="s">
        <v>36</v>
      </c>
      <c r="O12" s="59">
        <v>0</v>
      </c>
      <c r="P12" s="59">
        <v>3.76</v>
      </c>
      <c r="Q12" s="59">
        <v>150.71</v>
      </c>
      <c r="R12" s="197"/>
      <c r="S12" s="197"/>
      <c r="T12" s="197"/>
      <c r="U12" s="197"/>
    </row>
    <row r="13" spans="1:21" s="12" customFormat="1" x14ac:dyDescent="0.25">
      <c r="A13" s="200" t="s">
        <v>248</v>
      </c>
      <c r="B13" s="59">
        <v>88.51</v>
      </c>
      <c r="C13" s="59">
        <v>131.68</v>
      </c>
      <c r="D13" s="59">
        <v>143.65</v>
      </c>
      <c r="E13" s="59">
        <v>4.7300000000000004</v>
      </c>
      <c r="F13" s="59">
        <v>0.61</v>
      </c>
      <c r="G13" s="59">
        <v>162.16999999999999</v>
      </c>
      <c r="H13" s="59">
        <v>61.05</v>
      </c>
      <c r="I13" s="59">
        <v>1.53</v>
      </c>
      <c r="J13" s="59">
        <v>0.48</v>
      </c>
      <c r="K13" s="59">
        <v>294.61</v>
      </c>
      <c r="L13" s="59">
        <v>17.5</v>
      </c>
      <c r="M13" s="59">
        <v>79</v>
      </c>
      <c r="N13" s="209" t="s">
        <v>36</v>
      </c>
      <c r="O13" s="59">
        <v>0</v>
      </c>
      <c r="P13" s="59">
        <v>3.4</v>
      </c>
      <c r="Q13" s="59">
        <v>149.59</v>
      </c>
      <c r="R13" s="197"/>
      <c r="S13" s="197"/>
      <c r="T13" s="197"/>
      <c r="U13" s="197"/>
    </row>
    <row r="14" spans="1:21" s="12" customFormat="1" x14ac:dyDescent="0.25">
      <c r="A14" s="200" t="s">
        <v>249</v>
      </c>
      <c r="B14" s="59">
        <v>85.07</v>
      </c>
      <c r="C14" s="59">
        <v>129.13</v>
      </c>
      <c r="D14" s="59">
        <v>139.47999999999999</v>
      </c>
      <c r="E14" s="59">
        <v>4.79</v>
      </c>
      <c r="F14" s="59">
        <v>0.54</v>
      </c>
      <c r="G14" s="59">
        <v>162.16999999999999</v>
      </c>
      <c r="H14" s="59">
        <v>61.05</v>
      </c>
      <c r="I14" s="59">
        <v>1.52</v>
      </c>
      <c r="J14" s="59">
        <v>0.44</v>
      </c>
      <c r="K14" s="59">
        <v>273.83</v>
      </c>
      <c r="L14" s="59">
        <v>17.88</v>
      </c>
      <c r="M14" s="59">
        <v>92</v>
      </c>
      <c r="N14" s="209" t="s">
        <v>36</v>
      </c>
      <c r="O14" s="59">
        <v>0</v>
      </c>
      <c r="P14" s="59">
        <v>3.5</v>
      </c>
      <c r="Q14" s="59">
        <v>147.78</v>
      </c>
      <c r="R14" s="197"/>
      <c r="S14" s="197"/>
      <c r="T14" s="197"/>
      <c r="U14" s="197"/>
    </row>
    <row r="15" spans="1:21" s="12" customFormat="1" x14ac:dyDescent="0.25">
      <c r="A15" s="200" t="s">
        <v>250</v>
      </c>
      <c r="B15" s="59">
        <v>79.78</v>
      </c>
      <c r="C15" s="59">
        <v>125.97</v>
      </c>
      <c r="D15" s="59">
        <v>133.49</v>
      </c>
      <c r="E15" s="59">
        <v>4.8899999999999997</v>
      </c>
      <c r="F15" s="59">
        <v>0.56000000000000005</v>
      </c>
      <c r="G15" s="59">
        <v>169.23</v>
      </c>
      <c r="H15" s="59">
        <v>61.69</v>
      </c>
      <c r="I15" s="59">
        <v>1.52</v>
      </c>
      <c r="J15" s="59">
        <v>0.23</v>
      </c>
      <c r="K15" s="59">
        <v>271.01</v>
      </c>
      <c r="L15" s="59">
        <v>17.850000000000001</v>
      </c>
      <c r="M15" s="59">
        <v>92</v>
      </c>
      <c r="N15" s="209" t="s">
        <v>36</v>
      </c>
      <c r="O15" s="59">
        <v>0</v>
      </c>
      <c r="P15" s="59">
        <v>3.39</v>
      </c>
      <c r="Q15" s="59">
        <v>145.66</v>
      </c>
      <c r="R15" s="197"/>
      <c r="S15" s="197"/>
      <c r="T15" s="197"/>
      <c r="U15" s="197"/>
    </row>
    <row r="16" spans="1:21" s="12" customFormat="1" x14ac:dyDescent="0.25">
      <c r="A16" s="200" t="s">
        <v>251</v>
      </c>
      <c r="B16" s="59">
        <v>74.03</v>
      </c>
      <c r="C16" s="59">
        <v>121.9</v>
      </c>
      <c r="D16" s="59">
        <v>126.64</v>
      </c>
      <c r="E16" s="59">
        <v>5.04</v>
      </c>
      <c r="F16" s="59">
        <v>0.63</v>
      </c>
      <c r="G16" s="59">
        <v>185.45</v>
      </c>
      <c r="H16" s="59">
        <v>63.78</v>
      </c>
      <c r="I16" s="59">
        <v>1.47</v>
      </c>
      <c r="J16" s="59">
        <v>0.13</v>
      </c>
      <c r="K16" s="59">
        <v>273.5</v>
      </c>
      <c r="L16" s="59">
        <v>17.649999999999999</v>
      </c>
      <c r="M16" s="59">
        <v>76</v>
      </c>
      <c r="N16" s="209" t="s">
        <v>36</v>
      </c>
      <c r="O16" s="59">
        <v>0</v>
      </c>
      <c r="P16" s="59">
        <v>3.28</v>
      </c>
      <c r="Q16" s="59">
        <v>143.5</v>
      </c>
      <c r="R16" s="197"/>
      <c r="S16" s="197"/>
      <c r="T16" s="197"/>
      <c r="U16" s="197"/>
    </row>
    <row r="17" spans="1:21" s="12" customFormat="1" x14ac:dyDescent="0.25">
      <c r="A17" s="200" t="s">
        <v>252</v>
      </c>
      <c r="B17" s="59">
        <v>68.64</v>
      </c>
      <c r="C17" s="59">
        <v>116.89</v>
      </c>
      <c r="D17" s="59">
        <v>119.55</v>
      </c>
      <c r="E17" s="59">
        <v>4.6500000000000004</v>
      </c>
      <c r="F17" s="59">
        <v>0.51</v>
      </c>
      <c r="G17" s="59">
        <v>185.45</v>
      </c>
      <c r="H17" s="59">
        <v>63.78</v>
      </c>
      <c r="I17" s="59">
        <v>1.42</v>
      </c>
      <c r="J17" s="59">
        <v>0.16</v>
      </c>
      <c r="K17" s="59">
        <v>273.75</v>
      </c>
      <c r="L17" s="59">
        <v>17.62</v>
      </c>
      <c r="M17" s="59">
        <v>72</v>
      </c>
      <c r="N17" s="209" t="s">
        <v>36</v>
      </c>
      <c r="O17" s="59">
        <v>0</v>
      </c>
      <c r="P17" s="59">
        <v>3.19</v>
      </c>
      <c r="Q17" s="59">
        <v>141.69999999999999</v>
      </c>
      <c r="R17" s="197"/>
      <c r="S17" s="197"/>
      <c r="T17" s="197"/>
      <c r="U17" s="197"/>
    </row>
    <row r="18" spans="1:21" s="12" customFormat="1" x14ac:dyDescent="0.25">
      <c r="A18" s="200" t="s">
        <v>253</v>
      </c>
      <c r="B18" s="59">
        <v>63.92</v>
      </c>
      <c r="C18" s="59">
        <v>113.85</v>
      </c>
      <c r="D18" s="59">
        <v>114.09</v>
      </c>
      <c r="E18" s="59">
        <v>4.22</v>
      </c>
      <c r="F18" s="59">
        <v>0.5</v>
      </c>
      <c r="G18" s="59">
        <v>185.45</v>
      </c>
      <c r="H18" s="59">
        <v>63.78</v>
      </c>
      <c r="I18" s="59">
        <v>1.36</v>
      </c>
      <c r="J18" s="59">
        <v>0.2</v>
      </c>
      <c r="K18" s="59">
        <v>275.7</v>
      </c>
      <c r="L18" s="59">
        <v>17.52</v>
      </c>
      <c r="M18" s="59">
        <v>71</v>
      </c>
      <c r="N18" s="209" t="s">
        <v>36</v>
      </c>
      <c r="O18" s="59">
        <v>0</v>
      </c>
      <c r="P18" s="59">
        <v>3.1</v>
      </c>
      <c r="Q18" s="59">
        <v>138.75</v>
      </c>
      <c r="R18" s="197"/>
      <c r="S18" s="197"/>
      <c r="T18" s="197"/>
      <c r="U18" s="197"/>
    </row>
    <row r="19" spans="1:21" s="12" customFormat="1" x14ac:dyDescent="0.25">
      <c r="A19" s="200" t="s">
        <v>254</v>
      </c>
      <c r="B19" s="59">
        <v>59.53</v>
      </c>
      <c r="C19" s="59">
        <v>110.54</v>
      </c>
      <c r="D19" s="59">
        <v>108.74</v>
      </c>
      <c r="E19" s="59">
        <v>4.29</v>
      </c>
      <c r="F19" s="59">
        <v>0.64</v>
      </c>
      <c r="G19" s="59">
        <v>187.93</v>
      </c>
      <c r="H19" s="59">
        <v>66.13</v>
      </c>
      <c r="I19" s="59">
        <v>1.3</v>
      </c>
      <c r="J19" s="59">
        <v>0.11</v>
      </c>
      <c r="K19" s="59">
        <v>277.5</v>
      </c>
      <c r="L19" s="59">
        <v>17.260000000000002</v>
      </c>
      <c r="M19" s="59">
        <v>86</v>
      </c>
      <c r="N19" s="209" t="s">
        <v>36</v>
      </c>
      <c r="O19" s="59">
        <v>0</v>
      </c>
      <c r="P19" s="59">
        <v>3.02</v>
      </c>
      <c r="Q19" s="59">
        <v>135.4</v>
      </c>
      <c r="R19" s="197"/>
      <c r="S19" s="197"/>
      <c r="T19" s="197"/>
      <c r="U19" s="197"/>
    </row>
    <row r="20" spans="1:21" s="12" customFormat="1" x14ac:dyDescent="0.25">
      <c r="A20" s="200" t="s">
        <v>255</v>
      </c>
      <c r="B20" s="59">
        <v>55.38</v>
      </c>
      <c r="C20" s="59">
        <v>107.61</v>
      </c>
      <c r="D20" s="59">
        <v>103.8</v>
      </c>
      <c r="E20" s="59">
        <v>4.59</v>
      </c>
      <c r="F20" s="59">
        <v>0.66</v>
      </c>
      <c r="G20" s="59">
        <v>193.63</v>
      </c>
      <c r="H20" s="59">
        <v>73.84</v>
      </c>
      <c r="I20" s="59">
        <v>1.25</v>
      </c>
      <c r="J20" s="59">
        <v>0.38</v>
      </c>
      <c r="K20" s="59">
        <v>278.93</v>
      </c>
      <c r="L20" s="59">
        <v>17.14</v>
      </c>
      <c r="M20" s="59">
        <v>89</v>
      </c>
      <c r="N20" s="209" t="s">
        <v>36</v>
      </c>
      <c r="O20" s="59">
        <v>0</v>
      </c>
      <c r="P20" s="59">
        <v>2.94</v>
      </c>
      <c r="Q20" s="59">
        <v>133.69</v>
      </c>
      <c r="R20" s="197"/>
      <c r="S20" s="197"/>
      <c r="T20" s="197"/>
      <c r="U20" s="197"/>
    </row>
    <row r="21" spans="1:21" s="12" customFormat="1" x14ac:dyDescent="0.25">
      <c r="A21" s="200" t="s">
        <v>256</v>
      </c>
      <c r="B21" s="59">
        <v>51.32</v>
      </c>
      <c r="C21" s="59">
        <v>104.72</v>
      </c>
      <c r="D21" s="59">
        <v>98.95</v>
      </c>
      <c r="E21" s="59">
        <v>4.84</v>
      </c>
      <c r="F21" s="59">
        <v>0.74</v>
      </c>
      <c r="G21" s="59">
        <v>193.63</v>
      </c>
      <c r="H21" s="59">
        <v>73.84</v>
      </c>
      <c r="I21" s="59">
        <v>1.2</v>
      </c>
      <c r="J21" s="59">
        <v>0.22</v>
      </c>
      <c r="K21" s="59">
        <v>269.89999999999998</v>
      </c>
      <c r="L21" s="59">
        <v>17.399999999999999</v>
      </c>
      <c r="M21" s="59">
        <v>68</v>
      </c>
      <c r="N21" s="209" t="s">
        <v>36</v>
      </c>
      <c r="O21" s="59">
        <v>0</v>
      </c>
      <c r="P21" s="59">
        <v>2.85</v>
      </c>
      <c r="Q21" s="59">
        <v>132.05000000000001</v>
      </c>
      <c r="R21" s="197"/>
      <c r="S21" s="197"/>
      <c r="T21" s="197"/>
      <c r="U21" s="197"/>
    </row>
    <row r="22" spans="1:21" s="12" customFormat="1" x14ac:dyDescent="0.25">
      <c r="A22" s="200" t="s">
        <v>257</v>
      </c>
      <c r="B22" s="59">
        <v>47.55</v>
      </c>
      <c r="C22" s="59">
        <v>101.78</v>
      </c>
      <c r="D22" s="59">
        <v>94.3</v>
      </c>
      <c r="E22" s="59">
        <v>4.68</v>
      </c>
      <c r="F22" s="59">
        <v>0.71</v>
      </c>
      <c r="G22" s="59">
        <v>193.63</v>
      </c>
      <c r="H22" s="59">
        <v>73.84</v>
      </c>
      <c r="I22" s="59">
        <v>1.1499999999999999</v>
      </c>
      <c r="J22" s="59">
        <v>0.24</v>
      </c>
      <c r="K22" s="59">
        <v>269.5</v>
      </c>
      <c r="L22" s="59">
        <v>17.420000000000002</v>
      </c>
      <c r="M22" s="59">
        <v>51</v>
      </c>
      <c r="N22" s="209" t="s">
        <v>36</v>
      </c>
      <c r="O22" s="59">
        <v>0</v>
      </c>
      <c r="P22" s="59">
        <v>2.77</v>
      </c>
      <c r="Q22" s="59">
        <v>131.22999999999999</v>
      </c>
      <c r="R22" s="197"/>
      <c r="S22" s="197"/>
      <c r="T22" s="197"/>
      <c r="U22" s="197"/>
    </row>
    <row r="23" spans="1:21" s="12" customFormat="1" x14ac:dyDescent="0.25">
      <c r="A23" s="200" t="s">
        <v>258</v>
      </c>
      <c r="B23" s="59">
        <v>44.26</v>
      </c>
      <c r="C23" s="59">
        <v>99.4</v>
      </c>
      <c r="D23" s="59">
        <v>90.35</v>
      </c>
      <c r="E23" s="59">
        <v>4.5199999999999996</v>
      </c>
      <c r="F23" s="59">
        <v>0.71</v>
      </c>
      <c r="G23" s="59">
        <v>188.67</v>
      </c>
      <c r="H23" s="59">
        <v>73.31</v>
      </c>
      <c r="I23" s="59">
        <v>1.0900000000000001</v>
      </c>
      <c r="J23" s="59">
        <v>0.23</v>
      </c>
      <c r="K23" s="59">
        <v>267.72000000000003</v>
      </c>
      <c r="L23" s="59">
        <v>17.54</v>
      </c>
      <c r="M23" s="59">
        <v>34</v>
      </c>
      <c r="N23" s="209" t="s">
        <v>36</v>
      </c>
      <c r="O23" s="59">
        <v>0</v>
      </c>
      <c r="P23" s="59">
        <v>2.7</v>
      </c>
      <c r="Q23" s="59">
        <v>129.25</v>
      </c>
      <c r="R23" s="197"/>
      <c r="S23" s="197"/>
      <c r="T23" s="197"/>
      <c r="U23" s="197"/>
    </row>
    <row r="24" spans="1:21" s="12" customFormat="1" x14ac:dyDescent="0.25">
      <c r="A24" s="200" t="s">
        <v>259</v>
      </c>
      <c r="B24" s="59">
        <v>40.93</v>
      </c>
      <c r="C24" s="59">
        <v>97.86</v>
      </c>
      <c r="D24" s="59">
        <v>86.83</v>
      </c>
      <c r="E24" s="59">
        <v>2.88</v>
      </c>
      <c r="F24" s="59">
        <v>0.71</v>
      </c>
      <c r="G24" s="59">
        <v>165.87</v>
      </c>
      <c r="H24" s="59">
        <v>71.59</v>
      </c>
      <c r="I24" s="59">
        <v>1.04</v>
      </c>
      <c r="J24" s="59">
        <v>0.19</v>
      </c>
      <c r="K24" s="59">
        <v>270.74</v>
      </c>
      <c r="L24" s="59">
        <v>17.420000000000002</v>
      </c>
      <c r="M24" s="59">
        <v>40</v>
      </c>
      <c r="N24" s="209" t="s">
        <v>36</v>
      </c>
      <c r="O24" s="59">
        <v>0</v>
      </c>
      <c r="P24" s="59">
        <v>2.63</v>
      </c>
      <c r="Q24" s="59">
        <v>128.08000000000001</v>
      </c>
      <c r="R24" s="197"/>
      <c r="S24" s="197"/>
      <c r="T24" s="197"/>
      <c r="U24" s="197"/>
    </row>
    <row r="25" spans="1:21" s="12" customFormat="1" x14ac:dyDescent="0.25">
      <c r="A25" s="200" t="s">
        <v>260</v>
      </c>
      <c r="B25" s="59">
        <v>37.72</v>
      </c>
      <c r="C25" s="59">
        <v>95.78</v>
      </c>
      <c r="D25" s="59">
        <v>83.11</v>
      </c>
      <c r="E25" s="59">
        <v>5.63</v>
      </c>
      <c r="F25" s="59">
        <v>0.72</v>
      </c>
      <c r="G25" s="59">
        <v>165.87</v>
      </c>
      <c r="H25" s="59">
        <v>71.59</v>
      </c>
      <c r="I25" s="59">
        <v>1</v>
      </c>
      <c r="J25" s="59">
        <v>0.13</v>
      </c>
      <c r="K25" s="59">
        <v>287.10000000000002</v>
      </c>
      <c r="L25" s="59">
        <v>16.829999999999998</v>
      </c>
      <c r="M25" s="59">
        <v>96</v>
      </c>
      <c r="N25" s="209" t="s">
        <v>36</v>
      </c>
      <c r="O25" s="59">
        <v>0</v>
      </c>
      <c r="P25" s="59">
        <v>2.56</v>
      </c>
      <c r="Q25" s="59">
        <v>128.32</v>
      </c>
      <c r="R25" s="197"/>
      <c r="S25" s="197"/>
      <c r="T25" s="197"/>
      <c r="U25" s="197"/>
    </row>
    <row r="26" spans="1:21" s="12" customFormat="1" x14ac:dyDescent="0.25">
      <c r="A26" s="200" t="s">
        <v>261</v>
      </c>
      <c r="B26" s="59">
        <v>36.5</v>
      </c>
      <c r="C26" s="59">
        <v>94.79</v>
      </c>
      <c r="D26" s="59">
        <v>81.58</v>
      </c>
      <c r="E26" s="59">
        <v>5.59</v>
      </c>
      <c r="F26" s="59">
        <v>0.64</v>
      </c>
      <c r="G26" s="59">
        <v>165.87</v>
      </c>
      <c r="H26" s="59">
        <v>71.59</v>
      </c>
      <c r="I26" s="59">
        <v>0.96</v>
      </c>
      <c r="J26" s="59">
        <v>0.15</v>
      </c>
      <c r="K26" s="59">
        <v>294.54000000000002</v>
      </c>
      <c r="L26" s="59">
        <v>16.45</v>
      </c>
      <c r="M26" s="59">
        <v>73</v>
      </c>
      <c r="N26" s="209" t="s">
        <v>36</v>
      </c>
      <c r="O26" s="59">
        <v>0</v>
      </c>
      <c r="P26" s="59">
        <v>2.52</v>
      </c>
      <c r="Q26" s="59">
        <v>127.77</v>
      </c>
      <c r="R26" s="197"/>
      <c r="S26" s="197"/>
      <c r="T26" s="197"/>
      <c r="U26" s="197"/>
    </row>
    <row r="27" spans="1:21" s="12" customFormat="1" x14ac:dyDescent="0.25">
      <c r="A27" s="200" t="s">
        <v>262</v>
      </c>
      <c r="B27" s="59">
        <v>35.42</v>
      </c>
      <c r="C27" s="59">
        <v>94.01</v>
      </c>
      <c r="D27" s="59">
        <v>80.28</v>
      </c>
      <c r="E27" s="59">
        <v>5.08</v>
      </c>
      <c r="F27" s="59">
        <v>0.52</v>
      </c>
      <c r="G27" s="59">
        <v>161.44999999999999</v>
      </c>
      <c r="H27" s="59">
        <v>70.31</v>
      </c>
      <c r="I27" s="59">
        <v>0.91</v>
      </c>
      <c r="J27" s="59">
        <v>0.24</v>
      </c>
      <c r="K27" s="59">
        <v>285.16000000000003</v>
      </c>
      <c r="L27" s="59">
        <v>16.78</v>
      </c>
      <c r="M27" s="59">
        <v>51</v>
      </c>
      <c r="N27" s="209" t="s">
        <v>36</v>
      </c>
      <c r="O27" s="59">
        <v>0</v>
      </c>
      <c r="P27" s="59">
        <v>2.48</v>
      </c>
      <c r="Q27" s="59">
        <v>126.99</v>
      </c>
      <c r="R27" s="197"/>
      <c r="S27" s="197"/>
      <c r="T27" s="197"/>
      <c r="U27" s="197"/>
    </row>
    <row r="28" spans="1:21" s="12" customFormat="1" x14ac:dyDescent="0.25">
      <c r="A28" s="200" t="s">
        <v>263</v>
      </c>
      <c r="B28" s="59">
        <v>33.450000000000003</v>
      </c>
      <c r="C28" s="59">
        <v>92.4</v>
      </c>
      <c r="D28" s="59">
        <v>77.819999999999993</v>
      </c>
      <c r="E28" s="59">
        <v>5.28</v>
      </c>
      <c r="F28" s="59">
        <v>0.51</v>
      </c>
      <c r="G28" s="59">
        <v>151.27000000000001</v>
      </c>
      <c r="H28" s="59">
        <v>66.09</v>
      </c>
      <c r="I28" s="59">
        <v>0.87</v>
      </c>
      <c r="J28" s="59">
        <v>0.3</v>
      </c>
      <c r="K28" s="59">
        <v>279.22000000000003</v>
      </c>
      <c r="L28" s="59">
        <v>17.12</v>
      </c>
      <c r="M28" s="59">
        <v>26</v>
      </c>
      <c r="N28" s="209" t="s">
        <v>36</v>
      </c>
      <c r="O28" s="59">
        <v>0</v>
      </c>
      <c r="P28" s="59">
        <v>2.4300000000000002</v>
      </c>
      <c r="Q28" s="59">
        <v>125.29</v>
      </c>
      <c r="R28" s="197"/>
      <c r="S28" s="197"/>
      <c r="T28" s="197"/>
      <c r="U28" s="197"/>
    </row>
    <row r="29" spans="1:21" s="12" customFormat="1" x14ac:dyDescent="0.25">
      <c r="A29" s="200" t="s">
        <v>264</v>
      </c>
      <c r="B29" s="59">
        <v>31.34</v>
      </c>
      <c r="C29" s="59">
        <v>90.89</v>
      </c>
      <c r="D29" s="59">
        <v>75.290000000000006</v>
      </c>
      <c r="E29" s="59">
        <v>5.39</v>
      </c>
      <c r="F29" s="59">
        <v>0.54</v>
      </c>
      <c r="G29" s="59">
        <v>151.27000000000001</v>
      </c>
      <c r="H29" s="59">
        <v>66.09</v>
      </c>
      <c r="I29" s="59">
        <v>0.84</v>
      </c>
      <c r="J29" s="59">
        <v>0.19</v>
      </c>
      <c r="K29" s="59">
        <v>278.7</v>
      </c>
      <c r="L29" s="59">
        <v>17.12</v>
      </c>
      <c r="M29" s="59">
        <v>33</v>
      </c>
      <c r="N29" s="209" t="s">
        <v>36</v>
      </c>
      <c r="O29" s="59">
        <v>0</v>
      </c>
      <c r="P29" s="59">
        <v>2.36</v>
      </c>
      <c r="Q29" s="59">
        <v>124.02</v>
      </c>
      <c r="R29" s="197"/>
      <c r="S29" s="197"/>
      <c r="T29" s="197"/>
      <c r="U29" s="197"/>
    </row>
    <row r="30" spans="1:21" s="12" customFormat="1" x14ac:dyDescent="0.25">
      <c r="A30" s="200" t="s">
        <v>265</v>
      </c>
      <c r="B30" s="59">
        <v>29.22</v>
      </c>
      <c r="C30" s="59">
        <v>90</v>
      </c>
      <c r="D30" s="59">
        <v>73.099999999999994</v>
      </c>
      <c r="E30" s="59">
        <v>4.91</v>
      </c>
      <c r="F30" s="59">
        <v>0.57999999999999996</v>
      </c>
      <c r="G30" s="59">
        <v>151.27000000000001</v>
      </c>
      <c r="H30" s="59">
        <v>66.09</v>
      </c>
      <c r="I30" s="59">
        <v>0.81</v>
      </c>
      <c r="J30" s="59">
        <v>0.22</v>
      </c>
      <c r="K30" s="59">
        <v>279.12</v>
      </c>
      <c r="L30" s="59">
        <v>17.02</v>
      </c>
      <c r="M30" s="59">
        <v>29</v>
      </c>
      <c r="N30" s="209" t="s">
        <v>36</v>
      </c>
      <c r="O30" s="59">
        <v>0</v>
      </c>
      <c r="P30" s="59">
        <v>2.2799999999999998</v>
      </c>
      <c r="Q30" s="59">
        <v>123.02</v>
      </c>
      <c r="R30" s="197"/>
      <c r="S30" s="197"/>
      <c r="T30" s="197"/>
      <c r="U30" s="197"/>
    </row>
    <row r="31" spans="1:21" s="12" customFormat="1" x14ac:dyDescent="0.25">
      <c r="A31" s="200" t="s">
        <v>266</v>
      </c>
      <c r="B31" s="59">
        <v>28.38</v>
      </c>
      <c r="C31" s="59">
        <v>88.76</v>
      </c>
      <c r="D31" s="59">
        <v>71.739999999999995</v>
      </c>
      <c r="E31" s="59">
        <v>5.12</v>
      </c>
      <c r="F31" s="59">
        <v>0.81</v>
      </c>
      <c r="G31" s="59">
        <v>140.68</v>
      </c>
      <c r="H31" s="59">
        <v>64.61</v>
      </c>
      <c r="I31" s="59">
        <v>0.78</v>
      </c>
      <c r="J31" s="59">
        <v>0.13</v>
      </c>
      <c r="K31" s="59">
        <v>292.17</v>
      </c>
      <c r="L31" s="59">
        <v>16.420000000000002</v>
      </c>
      <c r="M31" s="59">
        <v>66</v>
      </c>
      <c r="N31" s="209" t="s">
        <v>36</v>
      </c>
      <c r="O31" s="59">
        <v>0</v>
      </c>
      <c r="P31" s="59">
        <v>2.2000000000000002</v>
      </c>
      <c r="Q31" s="59">
        <v>123.24</v>
      </c>
      <c r="R31" s="197"/>
      <c r="S31" s="197"/>
      <c r="T31" s="197"/>
      <c r="U31" s="197"/>
    </row>
    <row r="32" spans="1:21" s="12" customFormat="1" x14ac:dyDescent="0.25">
      <c r="A32" s="200" t="s">
        <v>267</v>
      </c>
      <c r="B32" s="59">
        <v>29.38</v>
      </c>
      <c r="C32" s="59">
        <v>88.65</v>
      </c>
      <c r="D32" s="59">
        <v>72.48</v>
      </c>
      <c r="E32" s="59">
        <v>4.9800000000000004</v>
      </c>
      <c r="F32" s="59">
        <v>0.75</v>
      </c>
      <c r="G32" s="59">
        <v>116.33</v>
      </c>
      <c r="H32" s="59">
        <v>59.78</v>
      </c>
      <c r="I32" s="59">
        <v>0.76</v>
      </c>
      <c r="J32" s="59">
        <v>0.18</v>
      </c>
      <c r="K32" s="59">
        <v>297.26</v>
      </c>
      <c r="L32" s="59">
        <v>16.12</v>
      </c>
      <c r="M32" s="59">
        <v>62</v>
      </c>
      <c r="N32" s="209" t="s">
        <v>36</v>
      </c>
      <c r="O32" s="59">
        <v>0</v>
      </c>
      <c r="P32" s="59">
        <v>2.15</v>
      </c>
      <c r="Q32" s="59">
        <v>121.27</v>
      </c>
      <c r="R32" s="197"/>
      <c r="S32" s="197"/>
      <c r="T32" s="197"/>
      <c r="U32" s="197"/>
    </row>
    <row r="33" spans="1:21" s="12" customFormat="1" x14ac:dyDescent="0.25">
      <c r="A33" s="200" t="s">
        <v>268</v>
      </c>
      <c r="B33" s="59">
        <v>29.79</v>
      </c>
      <c r="C33" s="59">
        <v>88.32</v>
      </c>
      <c r="D33" s="59">
        <v>72.63</v>
      </c>
      <c r="E33" s="59">
        <v>5.03</v>
      </c>
      <c r="F33" s="59">
        <v>0.67</v>
      </c>
      <c r="G33" s="59">
        <v>116.33</v>
      </c>
      <c r="H33" s="59">
        <v>59.78</v>
      </c>
      <c r="I33" s="59">
        <v>0.72</v>
      </c>
      <c r="J33" s="59">
        <v>0.21</v>
      </c>
      <c r="K33" s="59">
        <v>283.37</v>
      </c>
      <c r="L33" s="59">
        <v>16.63</v>
      </c>
      <c r="M33" s="59">
        <v>22</v>
      </c>
      <c r="N33" s="209" t="s">
        <v>36</v>
      </c>
      <c r="O33" s="59">
        <v>0</v>
      </c>
      <c r="P33" s="59">
        <v>2.08</v>
      </c>
      <c r="Q33" s="59">
        <v>120.15</v>
      </c>
      <c r="R33" s="197"/>
      <c r="S33" s="197"/>
      <c r="T33" s="197"/>
      <c r="U33" s="197"/>
    </row>
    <row r="34" spans="1:21" s="12" customFormat="1" x14ac:dyDescent="0.25">
      <c r="A34" s="200" t="s">
        <v>269</v>
      </c>
      <c r="B34" s="59">
        <v>30.92</v>
      </c>
      <c r="C34" s="59">
        <v>89.02</v>
      </c>
      <c r="D34" s="59">
        <v>73.92</v>
      </c>
      <c r="E34" s="59">
        <v>4.97</v>
      </c>
      <c r="F34" s="59">
        <v>0.6</v>
      </c>
      <c r="G34" s="59">
        <v>116.33</v>
      </c>
      <c r="H34" s="59">
        <v>59.78</v>
      </c>
      <c r="I34" s="59">
        <v>0.71</v>
      </c>
      <c r="J34" s="59">
        <v>0.23</v>
      </c>
      <c r="K34" s="59">
        <v>283.89</v>
      </c>
      <c r="L34" s="59">
        <v>16.68</v>
      </c>
      <c r="M34" s="59">
        <v>43</v>
      </c>
      <c r="N34" s="209" t="s">
        <v>36</v>
      </c>
      <c r="O34" s="59">
        <v>0</v>
      </c>
      <c r="P34" s="59">
        <v>2.02</v>
      </c>
      <c r="Q34" s="59">
        <v>119.91</v>
      </c>
      <c r="R34" s="197"/>
      <c r="S34" s="197"/>
      <c r="T34" s="197"/>
      <c r="U34" s="197"/>
    </row>
    <row r="35" spans="1:21" s="12" customFormat="1" x14ac:dyDescent="0.25">
      <c r="A35" s="200" t="s">
        <v>270</v>
      </c>
      <c r="B35" s="59">
        <v>33.1</v>
      </c>
      <c r="C35" s="59">
        <v>90.27</v>
      </c>
      <c r="D35" s="59">
        <v>76.36</v>
      </c>
      <c r="E35" s="59">
        <v>5.12</v>
      </c>
      <c r="F35" s="59">
        <v>0.59</v>
      </c>
      <c r="G35" s="59">
        <v>110.66</v>
      </c>
      <c r="H35" s="59">
        <v>57.16</v>
      </c>
      <c r="I35" s="59">
        <v>0.69</v>
      </c>
      <c r="J35" s="59">
        <v>0.17</v>
      </c>
      <c r="K35" s="59">
        <v>294.12</v>
      </c>
      <c r="L35" s="59">
        <v>16.489999999999998</v>
      </c>
      <c r="M35" s="59">
        <v>86</v>
      </c>
      <c r="N35" s="209" t="s">
        <v>36</v>
      </c>
      <c r="O35" s="59">
        <v>0</v>
      </c>
      <c r="P35" s="59">
        <v>1.99</v>
      </c>
      <c r="Q35" s="59">
        <v>120.2</v>
      </c>
      <c r="R35" s="197"/>
      <c r="S35" s="197"/>
      <c r="T35" s="197"/>
      <c r="U35" s="197"/>
    </row>
    <row r="36" spans="1:21" s="12" customFormat="1" x14ac:dyDescent="0.25">
      <c r="A36" s="200" t="s">
        <v>271</v>
      </c>
      <c r="B36" s="59">
        <v>38.29</v>
      </c>
      <c r="C36" s="59">
        <v>92.64</v>
      </c>
      <c r="D36" s="59">
        <v>81.84</v>
      </c>
      <c r="E36" s="59">
        <v>5.09</v>
      </c>
      <c r="F36" s="59">
        <v>0.72</v>
      </c>
      <c r="G36" s="59">
        <v>97.6</v>
      </c>
      <c r="H36" s="59">
        <v>48.54</v>
      </c>
      <c r="I36" s="59">
        <v>0.66</v>
      </c>
      <c r="J36" s="59">
        <v>0.11</v>
      </c>
      <c r="K36" s="59">
        <v>294.47000000000003</v>
      </c>
      <c r="L36" s="59">
        <v>16.53</v>
      </c>
      <c r="M36" s="59">
        <v>80</v>
      </c>
      <c r="N36" s="209" t="s">
        <v>36</v>
      </c>
      <c r="O36" s="59">
        <v>0</v>
      </c>
      <c r="P36" s="59">
        <v>1.97</v>
      </c>
      <c r="Q36" s="59">
        <v>121.25</v>
      </c>
      <c r="R36" s="197"/>
      <c r="S36" s="197"/>
      <c r="T36" s="197"/>
      <c r="U36" s="197"/>
    </row>
    <row r="37" spans="1:21" s="12" customFormat="1" x14ac:dyDescent="0.25">
      <c r="A37" s="200" t="s">
        <v>272</v>
      </c>
      <c r="B37" s="59">
        <v>41.4</v>
      </c>
      <c r="C37" s="59">
        <v>93.82</v>
      </c>
      <c r="D37" s="59">
        <v>84.98</v>
      </c>
      <c r="E37" s="59">
        <v>4.9000000000000004</v>
      </c>
      <c r="F37" s="59">
        <v>0.6</v>
      </c>
      <c r="G37" s="59">
        <v>97.6</v>
      </c>
      <c r="H37" s="59">
        <v>48.54</v>
      </c>
      <c r="I37" s="59">
        <v>0.65</v>
      </c>
      <c r="J37" s="59">
        <v>0.16</v>
      </c>
      <c r="K37" s="59">
        <v>282.52</v>
      </c>
      <c r="L37" s="59">
        <v>17.2</v>
      </c>
      <c r="M37" s="59">
        <v>52</v>
      </c>
      <c r="N37" s="209" t="s">
        <v>36</v>
      </c>
      <c r="O37" s="59">
        <v>0</v>
      </c>
      <c r="P37" s="59">
        <v>1.94</v>
      </c>
      <c r="Q37" s="59">
        <v>122.04</v>
      </c>
      <c r="R37" s="197"/>
      <c r="S37" s="197"/>
      <c r="T37" s="197"/>
      <c r="U37" s="197"/>
    </row>
    <row r="38" spans="1:21" s="12" customFormat="1" x14ac:dyDescent="0.25">
      <c r="A38" s="200" t="s">
        <v>273</v>
      </c>
      <c r="B38" s="59">
        <v>43.13</v>
      </c>
      <c r="C38" s="59">
        <v>96.08</v>
      </c>
      <c r="D38" s="59">
        <v>87.61</v>
      </c>
      <c r="E38" s="59">
        <v>4.8499999999999996</v>
      </c>
      <c r="F38" s="59">
        <v>0.75</v>
      </c>
      <c r="G38" s="59">
        <v>97.6</v>
      </c>
      <c r="H38" s="59">
        <v>48.54</v>
      </c>
      <c r="I38" s="59">
        <v>0.64</v>
      </c>
      <c r="J38" s="59">
        <v>0.16</v>
      </c>
      <c r="K38" s="59">
        <v>268.64999999999998</v>
      </c>
      <c r="L38" s="59">
        <v>18.079999999999998</v>
      </c>
      <c r="M38" s="59">
        <v>64</v>
      </c>
      <c r="N38" s="59">
        <v>4.3</v>
      </c>
      <c r="O38" s="59">
        <v>0</v>
      </c>
      <c r="P38" s="59">
        <v>2.02</v>
      </c>
      <c r="Q38" s="59">
        <v>122.82</v>
      </c>
      <c r="R38" s="197"/>
      <c r="S38" s="197"/>
      <c r="T38" s="197"/>
      <c r="U38" s="197"/>
    </row>
    <row r="39" spans="1:21" s="12" customFormat="1" x14ac:dyDescent="0.25">
      <c r="A39" s="200" t="s">
        <v>274</v>
      </c>
      <c r="B39" s="59">
        <v>44.94</v>
      </c>
      <c r="C39" s="59">
        <v>98.78</v>
      </c>
      <c r="D39" s="59">
        <v>90.55</v>
      </c>
      <c r="E39" s="59">
        <v>5.0599999999999996</v>
      </c>
      <c r="F39" s="59">
        <v>0.75</v>
      </c>
      <c r="G39" s="59">
        <v>99.18</v>
      </c>
      <c r="H39" s="59">
        <v>48.68</v>
      </c>
      <c r="I39" s="59">
        <v>0.64</v>
      </c>
      <c r="J39" s="59">
        <v>0.86</v>
      </c>
      <c r="K39" s="59">
        <v>243.05</v>
      </c>
      <c r="L39" s="59">
        <v>19.64</v>
      </c>
      <c r="M39" s="59">
        <v>87</v>
      </c>
      <c r="N39" s="59">
        <v>41</v>
      </c>
      <c r="O39" s="59">
        <v>0</v>
      </c>
      <c r="P39" s="59">
        <v>2</v>
      </c>
      <c r="Q39" s="59">
        <v>124.61</v>
      </c>
      <c r="R39" s="197"/>
      <c r="S39" s="197"/>
      <c r="T39" s="197"/>
      <c r="U39" s="197"/>
    </row>
    <row r="40" spans="1:21" s="12" customFormat="1" x14ac:dyDescent="0.25">
      <c r="A40" s="200" t="s">
        <v>275</v>
      </c>
      <c r="B40" s="59">
        <v>44.35</v>
      </c>
      <c r="C40" s="59">
        <v>100.72</v>
      </c>
      <c r="D40" s="59">
        <v>91.15</v>
      </c>
      <c r="E40" s="59">
        <v>2.42</v>
      </c>
      <c r="F40" s="59">
        <v>0.6</v>
      </c>
      <c r="G40" s="59">
        <v>107.39</v>
      </c>
      <c r="H40" s="59">
        <v>49.12</v>
      </c>
      <c r="I40" s="59">
        <v>0.63</v>
      </c>
      <c r="J40" s="59">
        <v>0.66</v>
      </c>
      <c r="K40" s="59">
        <v>221.37</v>
      </c>
      <c r="L40" s="59">
        <v>21.58</v>
      </c>
      <c r="M40" s="59">
        <v>87</v>
      </c>
      <c r="N40" s="59">
        <v>76</v>
      </c>
      <c r="O40" s="59">
        <v>0</v>
      </c>
      <c r="P40" s="59">
        <v>1.94</v>
      </c>
      <c r="Q40" s="59">
        <v>124.51</v>
      </c>
      <c r="R40" s="197"/>
      <c r="S40" s="197"/>
      <c r="T40" s="197"/>
      <c r="U40" s="197"/>
    </row>
    <row r="41" spans="1:21" s="12" customFormat="1" x14ac:dyDescent="0.25">
      <c r="A41" s="200" t="s">
        <v>276</v>
      </c>
      <c r="B41" s="59">
        <v>43.07</v>
      </c>
      <c r="C41" s="59">
        <v>101.81</v>
      </c>
      <c r="D41" s="59">
        <v>90.72</v>
      </c>
      <c r="E41" s="59">
        <v>4.6100000000000003</v>
      </c>
      <c r="F41" s="59">
        <v>0.63</v>
      </c>
      <c r="G41" s="59">
        <v>107.39</v>
      </c>
      <c r="H41" s="59">
        <v>49.12</v>
      </c>
      <c r="I41" s="59">
        <v>0.64</v>
      </c>
      <c r="J41" s="59">
        <v>0.67</v>
      </c>
      <c r="K41" s="59">
        <v>200.89</v>
      </c>
      <c r="L41" s="59">
        <v>23.04</v>
      </c>
      <c r="M41" s="59">
        <v>84</v>
      </c>
      <c r="N41" s="59">
        <v>105.4</v>
      </c>
      <c r="O41" s="59">
        <v>0</v>
      </c>
      <c r="P41" s="59">
        <v>1.9</v>
      </c>
      <c r="Q41" s="59">
        <v>124.87</v>
      </c>
      <c r="R41" s="197"/>
      <c r="S41" s="197"/>
      <c r="T41" s="197"/>
      <c r="U41" s="197"/>
    </row>
    <row r="42" spans="1:21" s="12" customFormat="1" x14ac:dyDescent="0.25">
      <c r="A42" s="200" t="s">
        <v>277</v>
      </c>
      <c r="B42" s="59">
        <v>41.46</v>
      </c>
      <c r="C42" s="59">
        <v>102.66</v>
      </c>
      <c r="D42" s="59">
        <v>89.9</v>
      </c>
      <c r="E42" s="59">
        <v>4.5</v>
      </c>
      <c r="F42" s="59">
        <v>0.54</v>
      </c>
      <c r="G42" s="59">
        <v>107.39</v>
      </c>
      <c r="H42" s="59">
        <v>49.12</v>
      </c>
      <c r="I42" s="59">
        <v>0.63</v>
      </c>
      <c r="J42" s="59">
        <v>0.67</v>
      </c>
      <c r="K42" s="59">
        <v>194.69</v>
      </c>
      <c r="L42" s="59">
        <v>23.78</v>
      </c>
      <c r="M42" s="59">
        <v>85</v>
      </c>
      <c r="N42" s="59">
        <v>136.5</v>
      </c>
      <c r="O42" s="59">
        <v>0</v>
      </c>
      <c r="P42" s="59">
        <v>1.85</v>
      </c>
      <c r="Q42" s="59">
        <v>124.29</v>
      </c>
      <c r="R42" s="197"/>
      <c r="S42" s="197"/>
      <c r="T42" s="197"/>
      <c r="U42" s="197"/>
    </row>
    <row r="43" spans="1:21" s="12" customFormat="1" x14ac:dyDescent="0.25">
      <c r="A43" s="200" t="s">
        <v>278</v>
      </c>
      <c r="B43" s="59">
        <v>39.29</v>
      </c>
      <c r="C43" s="59">
        <v>102.7</v>
      </c>
      <c r="D43" s="59">
        <v>88.18</v>
      </c>
      <c r="E43" s="59">
        <v>5.07</v>
      </c>
      <c r="F43" s="59">
        <v>0.78</v>
      </c>
      <c r="G43" s="59">
        <v>99.37</v>
      </c>
      <c r="H43" s="59">
        <v>48.04</v>
      </c>
      <c r="I43" s="59">
        <v>0.62</v>
      </c>
      <c r="J43" s="59">
        <v>0.69</v>
      </c>
      <c r="K43" s="59">
        <v>190.2</v>
      </c>
      <c r="L43" s="59">
        <v>24.04</v>
      </c>
      <c r="M43" s="59">
        <v>65</v>
      </c>
      <c r="N43" s="59">
        <v>160.69999999999999</v>
      </c>
      <c r="O43" s="59">
        <v>0</v>
      </c>
      <c r="P43" s="59">
        <v>1.8</v>
      </c>
      <c r="Q43" s="59">
        <v>123.11</v>
      </c>
      <c r="R43" s="197"/>
      <c r="S43" s="197"/>
      <c r="T43" s="197"/>
      <c r="U43" s="197"/>
    </row>
    <row r="44" spans="1:21" s="12" customFormat="1" x14ac:dyDescent="0.25">
      <c r="A44" s="200" t="s">
        <v>279</v>
      </c>
      <c r="B44" s="59">
        <v>37.33</v>
      </c>
      <c r="C44" s="59">
        <v>102.12</v>
      </c>
      <c r="D44" s="59">
        <v>86.29</v>
      </c>
      <c r="E44" s="59">
        <v>4.5999999999999996</v>
      </c>
      <c r="F44" s="59">
        <v>0.68</v>
      </c>
      <c r="G44" s="59">
        <v>81.790000000000006</v>
      </c>
      <c r="H44" s="59">
        <v>44.49</v>
      </c>
      <c r="I44" s="59">
        <v>0.62</v>
      </c>
      <c r="J44" s="59">
        <v>0.62</v>
      </c>
      <c r="K44" s="59">
        <v>200.52</v>
      </c>
      <c r="L44" s="59">
        <v>23.46</v>
      </c>
      <c r="M44" s="59">
        <v>68</v>
      </c>
      <c r="N44" s="59">
        <v>182</v>
      </c>
      <c r="O44" s="59">
        <v>0</v>
      </c>
      <c r="P44" s="59">
        <v>1.77</v>
      </c>
      <c r="Q44" s="59">
        <v>122.04</v>
      </c>
      <c r="R44" s="197"/>
      <c r="S44" s="197"/>
      <c r="T44" s="197"/>
      <c r="U44" s="197"/>
    </row>
    <row r="45" spans="1:21" s="12" customFormat="1" x14ac:dyDescent="0.25">
      <c r="A45" s="200" t="s">
        <v>280</v>
      </c>
      <c r="B45" s="59">
        <v>35.119999999999997</v>
      </c>
      <c r="C45" s="59">
        <v>100.65</v>
      </c>
      <c r="D45" s="59">
        <v>83.71</v>
      </c>
      <c r="E45" s="59">
        <v>4.78</v>
      </c>
      <c r="F45" s="59">
        <v>0.75</v>
      </c>
      <c r="G45" s="59">
        <v>81.790000000000006</v>
      </c>
      <c r="H45" s="59">
        <v>44.49</v>
      </c>
      <c r="I45" s="59">
        <v>0.61</v>
      </c>
      <c r="J45" s="59">
        <v>0.75</v>
      </c>
      <c r="K45" s="59">
        <v>180.94</v>
      </c>
      <c r="L45" s="59">
        <v>25.2</v>
      </c>
      <c r="M45" s="59">
        <v>67</v>
      </c>
      <c r="N45" s="59">
        <v>199.6</v>
      </c>
      <c r="O45" s="59">
        <v>0</v>
      </c>
      <c r="P45" s="59">
        <v>1.74</v>
      </c>
      <c r="Q45" s="59">
        <v>123.88</v>
      </c>
      <c r="R45" s="197"/>
      <c r="S45" s="197"/>
      <c r="T45" s="197"/>
      <c r="U45" s="197"/>
    </row>
    <row r="46" spans="1:21" s="12" customFormat="1" x14ac:dyDescent="0.25">
      <c r="A46" s="200" t="s">
        <v>281</v>
      </c>
      <c r="B46" s="59">
        <v>32.4</v>
      </c>
      <c r="C46" s="59">
        <v>98.92</v>
      </c>
      <c r="D46" s="59">
        <v>80.569999999999993</v>
      </c>
      <c r="E46" s="59">
        <v>5.19</v>
      </c>
      <c r="F46" s="59">
        <v>0.84</v>
      </c>
      <c r="G46" s="59">
        <v>81.790000000000006</v>
      </c>
      <c r="H46" s="59">
        <v>44.49</v>
      </c>
      <c r="I46" s="59">
        <v>0.61</v>
      </c>
      <c r="J46" s="59">
        <v>1.52</v>
      </c>
      <c r="K46" s="59">
        <v>202.37</v>
      </c>
      <c r="L46" s="59">
        <v>22.89</v>
      </c>
      <c r="M46" s="59">
        <v>33</v>
      </c>
      <c r="N46" s="59">
        <v>224.8</v>
      </c>
      <c r="O46" s="59">
        <v>0</v>
      </c>
      <c r="P46" s="59">
        <v>1.71</v>
      </c>
      <c r="Q46" s="59">
        <v>122.32</v>
      </c>
      <c r="R46" s="197"/>
      <c r="S46" s="197"/>
      <c r="T46" s="197"/>
      <c r="U46" s="197"/>
    </row>
    <row r="47" spans="1:21" s="12" customFormat="1" x14ac:dyDescent="0.25">
      <c r="A47" s="200" t="s">
        <v>282</v>
      </c>
      <c r="B47" s="59">
        <v>28.63</v>
      </c>
      <c r="C47" s="59">
        <v>96.07</v>
      </c>
      <c r="D47" s="59">
        <v>75.97</v>
      </c>
      <c r="E47" s="59">
        <v>4.88</v>
      </c>
      <c r="F47" s="59">
        <v>0.75</v>
      </c>
      <c r="G47" s="59">
        <v>81.53</v>
      </c>
      <c r="H47" s="59">
        <v>43.97</v>
      </c>
      <c r="I47" s="59">
        <v>0.61</v>
      </c>
      <c r="J47" s="59">
        <v>0.82</v>
      </c>
      <c r="K47" s="59">
        <v>199.21</v>
      </c>
      <c r="L47" s="59">
        <v>23.45</v>
      </c>
      <c r="M47" s="59">
        <v>47</v>
      </c>
      <c r="N47" s="59">
        <v>232</v>
      </c>
      <c r="O47" s="59">
        <v>0</v>
      </c>
      <c r="P47" s="59">
        <v>1.66</v>
      </c>
      <c r="Q47" s="59">
        <v>118.88</v>
      </c>
      <c r="R47" s="197"/>
      <c r="S47" s="197"/>
      <c r="T47" s="197"/>
      <c r="U47" s="197"/>
    </row>
    <row r="48" spans="1:21" s="12" customFormat="1" x14ac:dyDescent="0.25">
      <c r="A48" s="200" t="s">
        <v>283</v>
      </c>
      <c r="B48" s="59">
        <v>25.1</v>
      </c>
      <c r="C48" s="59">
        <v>93.84</v>
      </c>
      <c r="D48" s="59">
        <v>71.91</v>
      </c>
      <c r="E48" s="59">
        <v>4.5</v>
      </c>
      <c r="F48" s="59">
        <v>0.97</v>
      </c>
      <c r="G48" s="59">
        <v>80.959999999999994</v>
      </c>
      <c r="H48" s="59">
        <v>42.27</v>
      </c>
      <c r="I48" s="59">
        <v>0.6</v>
      </c>
      <c r="J48" s="59">
        <v>0.93</v>
      </c>
      <c r="K48" s="59">
        <v>194.19</v>
      </c>
      <c r="L48" s="59">
        <v>24.12</v>
      </c>
      <c r="M48" s="59">
        <v>44</v>
      </c>
      <c r="N48" s="59">
        <v>243.7</v>
      </c>
      <c r="O48" s="59">
        <v>0</v>
      </c>
      <c r="P48" s="59">
        <v>1.61</v>
      </c>
      <c r="Q48" s="59">
        <v>116.83</v>
      </c>
      <c r="R48" s="197"/>
      <c r="S48" s="197"/>
      <c r="T48" s="197"/>
      <c r="U48" s="197"/>
    </row>
    <row r="49" spans="1:21" s="12" customFormat="1" x14ac:dyDescent="0.25">
      <c r="A49" s="200" t="s">
        <v>284</v>
      </c>
      <c r="B49" s="59">
        <v>21.72</v>
      </c>
      <c r="C49" s="59">
        <v>92.21</v>
      </c>
      <c r="D49" s="59">
        <v>68.31</v>
      </c>
      <c r="E49" s="59">
        <v>4.45</v>
      </c>
      <c r="F49" s="59">
        <v>1.0900000000000001</v>
      </c>
      <c r="G49" s="59">
        <v>80.959999999999994</v>
      </c>
      <c r="H49" s="59">
        <v>42.27</v>
      </c>
      <c r="I49" s="59">
        <v>0.57999999999999996</v>
      </c>
      <c r="J49" s="59">
        <v>0.89</v>
      </c>
      <c r="K49" s="59">
        <v>177.79</v>
      </c>
      <c r="L49" s="59">
        <v>25.77</v>
      </c>
      <c r="M49" s="59">
        <v>71</v>
      </c>
      <c r="N49" s="59">
        <v>254.8</v>
      </c>
      <c r="O49" s="59">
        <v>0</v>
      </c>
      <c r="P49" s="59">
        <v>1.58</v>
      </c>
      <c r="Q49" s="59">
        <v>115.79</v>
      </c>
      <c r="R49" s="197"/>
      <c r="S49" s="197"/>
      <c r="T49" s="197"/>
      <c r="U49" s="197"/>
    </row>
    <row r="50" spans="1:21" s="12" customFormat="1" x14ac:dyDescent="0.25">
      <c r="A50" s="200" t="s">
        <v>285</v>
      </c>
      <c r="B50" s="59">
        <v>19.63</v>
      </c>
      <c r="C50" s="59">
        <v>92.8</v>
      </c>
      <c r="D50" s="59">
        <v>66.95</v>
      </c>
      <c r="E50" s="59">
        <v>4.8</v>
      </c>
      <c r="F50" s="59">
        <v>0.81</v>
      </c>
      <c r="G50" s="59">
        <v>80.959999999999994</v>
      </c>
      <c r="H50" s="59">
        <v>42.27</v>
      </c>
      <c r="I50" s="59">
        <v>0.56999999999999995</v>
      </c>
      <c r="J50" s="59">
        <v>0.85</v>
      </c>
      <c r="K50" s="59">
        <v>167.96</v>
      </c>
      <c r="L50" s="59">
        <v>26.84</v>
      </c>
      <c r="M50" s="59">
        <v>56</v>
      </c>
      <c r="N50" s="59">
        <v>268.5</v>
      </c>
      <c r="O50" s="59">
        <v>0</v>
      </c>
      <c r="P50" s="59">
        <v>1.55</v>
      </c>
      <c r="Q50" s="59">
        <v>115.41</v>
      </c>
      <c r="R50" s="197"/>
      <c r="S50" s="197"/>
      <c r="T50" s="197"/>
      <c r="U50" s="197"/>
    </row>
    <row r="51" spans="1:21" s="12" customFormat="1" x14ac:dyDescent="0.25">
      <c r="A51" s="200" t="s">
        <v>286</v>
      </c>
      <c r="B51" s="59">
        <v>17.98</v>
      </c>
      <c r="C51" s="59">
        <v>93.09</v>
      </c>
      <c r="D51" s="59">
        <v>65.790000000000006</v>
      </c>
      <c r="E51" s="59">
        <v>4.4000000000000004</v>
      </c>
      <c r="F51" s="59">
        <v>0.96</v>
      </c>
      <c r="G51" s="59">
        <v>80.84</v>
      </c>
      <c r="H51" s="59">
        <v>41.9</v>
      </c>
      <c r="I51" s="59">
        <v>0.56000000000000005</v>
      </c>
      <c r="J51" s="59">
        <v>1.45</v>
      </c>
      <c r="K51" s="59">
        <v>177.35</v>
      </c>
      <c r="L51" s="59">
        <v>25.48</v>
      </c>
      <c r="M51" s="59">
        <v>35</v>
      </c>
      <c r="N51" s="59">
        <v>285.5</v>
      </c>
      <c r="O51" s="59">
        <v>0</v>
      </c>
      <c r="P51" s="59">
        <v>1.5</v>
      </c>
      <c r="Q51" s="59">
        <v>115.03</v>
      </c>
      <c r="R51" s="197"/>
      <c r="S51" s="197"/>
      <c r="T51" s="197"/>
      <c r="U51" s="197"/>
    </row>
    <row r="52" spans="1:21" s="12" customFormat="1" x14ac:dyDescent="0.25">
      <c r="A52" s="200" t="s">
        <v>287</v>
      </c>
      <c r="B52" s="59">
        <v>15.69</v>
      </c>
      <c r="C52" s="59">
        <v>91.74</v>
      </c>
      <c r="D52" s="59">
        <v>63.21</v>
      </c>
      <c r="E52" s="59">
        <v>5.04</v>
      </c>
      <c r="F52" s="59">
        <v>2</v>
      </c>
      <c r="G52" s="59">
        <v>80.540000000000006</v>
      </c>
      <c r="H52" s="59">
        <v>40.69</v>
      </c>
      <c r="I52" s="59">
        <v>0.55000000000000004</v>
      </c>
      <c r="J52" s="59">
        <v>1.2</v>
      </c>
      <c r="K52" s="59">
        <v>172.73</v>
      </c>
      <c r="L52" s="59">
        <v>25.75</v>
      </c>
      <c r="M52" s="59">
        <v>41</v>
      </c>
      <c r="N52" s="59">
        <v>289.2</v>
      </c>
      <c r="O52" s="59">
        <v>0</v>
      </c>
      <c r="P52" s="59">
        <v>1.45</v>
      </c>
      <c r="Q52" s="59">
        <v>114.21</v>
      </c>
      <c r="R52" s="197"/>
      <c r="S52" s="197"/>
      <c r="T52" s="197"/>
      <c r="U52" s="197"/>
    </row>
    <row r="53" spans="1:21" s="12" customFormat="1" x14ac:dyDescent="0.25">
      <c r="A53" s="200" t="s">
        <v>288</v>
      </c>
      <c r="B53" s="59">
        <v>13.22</v>
      </c>
      <c r="C53" s="59">
        <v>89.58</v>
      </c>
      <c r="D53" s="59">
        <v>60.04</v>
      </c>
      <c r="E53" s="59">
        <v>4.99</v>
      </c>
      <c r="F53" s="59">
        <v>1.41</v>
      </c>
      <c r="G53" s="59">
        <v>80.540000000000006</v>
      </c>
      <c r="H53" s="59">
        <v>40.69</v>
      </c>
      <c r="I53" s="59">
        <v>0.54</v>
      </c>
      <c r="J53" s="59">
        <v>1.0900000000000001</v>
      </c>
      <c r="K53" s="59">
        <v>172.34</v>
      </c>
      <c r="L53" s="59">
        <v>26.2</v>
      </c>
      <c r="M53" s="59">
        <v>44</v>
      </c>
      <c r="N53" s="59">
        <v>287.5</v>
      </c>
      <c r="O53" s="59">
        <v>0</v>
      </c>
      <c r="P53" s="59">
        <v>1.4</v>
      </c>
      <c r="Q53" s="59">
        <v>114.99</v>
      </c>
      <c r="R53" s="197"/>
      <c r="S53" s="197"/>
      <c r="T53" s="197"/>
      <c r="U53" s="197"/>
    </row>
    <row r="54" spans="1:21" s="12" customFormat="1" x14ac:dyDescent="0.25">
      <c r="A54" s="200" t="s">
        <v>289</v>
      </c>
      <c r="B54" s="59">
        <v>11.28</v>
      </c>
      <c r="C54" s="59">
        <v>87.77</v>
      </c>
      <c r="D54" s="59">
        <v>57.48</v>
      </c>
      <c r="E54" s="59">
        <v>4.96</v>
      </c>
      <c r="F54" s="59">
        <v>1.42</v>
      </c>
      <c r="G54" s="59">
        <v>80.540000000000006</v>
      </c>
      <c r="H54" s="59">
        <v>40.69</v>
      </c>
      <c r="I54" s="59">
        <v>0.53</v>
      </c>
      <c r="J54" s="59">
        <v>1.1399999999999999</v>
      </c>
      <c r="K54" s="59">
        <v>160.49</v>
      </c>
      <c r="L54" s="59">
        <v>27.09</v>
      </c>
      <c r="M54" s="59">
        <v>41</v>
      </c>
      <c r="N54" s="59">
        <v>291.8</v>
      </c>
      <c r="O54" s="59">
        <v>0</v>
      </c>
      <c r="P54" s="59">
        <v>1.38</v>
      </c>
      <c r="Q54" s="59">
        <v>115.95</v>
      </c>
      <c r="R54" s="197"/>
      <c r="S54" s="197"/>
      <c r="T54" s="197"/>
      <c r="U54" s="197"/>
    </row>
    <row r="55" spans="1:21" s="12" customFormat="1" x14ac:dyDescent="0.25">
      <c r="A55" s="200" t="s">
        <v>290</v>
      </c>
      <c r="B55" s="59">
        <v>9.5399999999999991</v>
      </c>
      <c r="C55" s="59">
        <v>85.88</v>
      </c>
      <c r="D55" s="59">
        <v>55.04</v>
      </c>
      <c r="E55" s="59">
        <v>5.21</v>
      </c>
      <c r="F55" s="59">
        <v>1.55</v>
      </c>
      <c r="G55" s="59">
        <v>78.59</v>
      </c>
      <c r="H55" s="59">
        <v>40.590000000000003</v>
      </c>
      <c r="I55" s="59">
        <v>0.52</v>
      </c>
      <c r="J55" s="59">
        <v>0.56000000000000005</v>
      </c>
      <c r="K55" s="59">
        <v>174.61</v>
      </c>
      <c r="L55" s="59">
        <v>27.02</v>
      </c>
      <c r="M55" s="59">
        <v>56</v>
      </c>
      <c r="N55" s="59">
        <v>286.7</v>
      </c>
      <c r="O55" s="59">
        <v>0</v>
      </c>
      <c r="P55" s="59">
        <v>1.33</v>
      </c>
      <c r="Q55" s="59">
        <v>116.32</v>
      </c>
      <c r="R55" s="197"/>
      <c r="S55" s="197"/>
      <c r="T55" s="197"/>
      <c r="U55" s="197"/>
    </row>
    <row r="56" spans="1:21" s="12" customFormat="1" x14ac:dyDescent="0.25">
      <c r="A56" s="200" t="s">
        <v>291</v>
      </c>
      <c r="B56" s="59">
        <v>8.19</v>
      </c>
      <c r="C56" s="59">
        <v>84.47</v>
      </c>
      <c r="D56" s="59">
        <v>53.19</v>
      </c>
      <c r="E56" s="59">
        <v>3.24</v>
      </c>
      <c r="F56" s="59">
        <v>2.1</v>
      </c>
      <c r="G56" s="59">
        <v>70.400000000000006</v>
      </c>
      <c r="H56" s="59">
        <v>40.229999999999997</v>
      </c>
      <c r="I56" s="59">
        <v>0.51</v>
      </c>
      <c r="J56" s="59">
        <v>0.81</v>
      </c>
      <c r="K56" s="59">
        <v>175.97</v>
      </c>
      <c r="L56" s="59">
        <v>28.02</v>
      </c>
      <c r="M56" s="59">
        <v>93</v>
      </c>
      <c r="N56" s="59">
        <v>283.89999999999998</v>
      </c>
      <c r="O56" s="59">
        <v>0</v>
      </c>
      <c r="P56" s="59">
        <v>1.31</v>
      </c>
      <c r="Q56" s="59">
        <v>116.06</v>
      </c>
      <c r="R56" s="197"/>
      <c r="S56" s="197"/>
      <c r="T56" s="197"/>
      <c r="U56" s="197"/>
    </row>
    <row r="57" spans="1:21" s="12" customFormat="1" x14ac:dyDescent="0.25">
      <c r="A57" s="200" t="s">
        <v>292</v>
      </c>
      <c r="B57" s="59">
        <v>6.89</v>
      </c>
      <c r="C57" s="59">
        <v>83.61</v>
      </c>
      <c r="D57" s="59">
        <v>51.67</v>
      </c>
      <c r="E57" s="59">
        <v>6.11</v>
      </c>
      <c r="F57" s="59">
        <v>2.52</v>
      </c>
      <c r="G57" s="59">
        <v>70.400000000000006</v>
      </c>
      <c r="H57" s="59">
        <v>40.229999999999997</v>
      </c>
      <c r="I57" s="59">
        <v>0.51</v>
      </c>
      <c r="J57" s="59">
        <v>0.45</v>
      </c>
      <c r="K57" s="59">
        <v>172.6</v>
      </c>
      <c r="L57" s="59">
        <v>27.45</v>
      </c>
      <c r="M57" s="59">
        <v>69</v>
      </c>
      <c r="N57" s="59">
        <v>280.60000000000002</v>
      </c>
      <c r="O57" s="59">
        <v>0</v>
      </c>
      <c r="P57" s="59">
        <v>1.27</v>
      </c>
      <c r="Q57" s="59">
        <v>117.32</v>
      </c>
      <c r="R57" s="197"/>
      <c r="S57" s="197"/>
      <c r="T57" s="197"/>
      <c r="U57" s="197"/>
    </row>
    <row r="58" spans="1:21" s="12" customFormat="1" x14ac:dyDescent="0.25">
      <c r="A58" s="200" t="s">
        <v>293</v>
      </c>
      <c r="B58" s="59">
        <v>5.92</v>
      </c>
      <c r="C58" s="59">
        <v>82.26</v>
      </c>
      <c r="D58" s="59">
        <v>50.15</v>
      </c>
      <c r="E58" s="59">
        <v>5.94</v>
      </c>
      <c r="F58" s="59">
        <v>2.0699999999999998</v>
      </c>
      <c r="G58" s="59">
        <v>70.400000000000006</v>
      </c>
      <c r="H58" s="59">
        <v>40.229999999999997</v>
      </c>
      <c r="I58" s="59">
        <v>0.5</v>
      </c>
      <c r="J58" s="59">
        <v>0.59</v>
      </c>
      <c r="K58" s="59">
        <v>165.17</v>
      </c>
      <c r="L58" s="59">
        <v>28.25</v>
      </c>
      <c r="M58" s="59">
        <v>82</v>
      </c>
      <c r="N58" s="59">
        <v>284.3</v>
      </c>
      <c r="O58" s="59">
        <v>0</v>
      </c>
      <c r="P58" s="59">
        <v>1.26</v>
      </c>
      <c r="Q58" s="59">
        <v>118.36</v>
      </c>
      <c r="R58" s="197"/>
      <c r="S58" s="197"/>
      <c r="T58" s="197"/>
      <c r="U58" s="197"/>
    </row>
    <row r="59" spans="1:21" s="12" customFormat="1" x14ac:dyDescent="0.25">
      <c r="A59" s="200" t="s">
        <v>294</v>
      </c>
      <c r="B59" s="59">
        <v>5.21</v>
      </c>
      <c r="C59" s="59">
        <v>82.39</v>
      </c>
      <c r="D59" s="59">
        <v>49.64</v>
      </c>
      <c r="E59" s="59">
        <v>5.93</v>
      </c>
      <c r="F59" s="59">
        <v>1.44</v>
      </c>
      <c r="G59" s="59">
        <v>70.989999999999995</v>
      </c>
      <c r="H59" s="59">
        <v>40.229999999999997</v>
      </c>
      <c r="I59" s="59">
        <v>0.51</v>
      </c>
      <c r="J59" s="59">
        <v>0.7</v>
      </c>
      <c r="K59" s="59">
        <v>131.41999999999999</v>
      </c>
      <c r="L59" s="59">
        <v>30.98</v>
      </c>
      <c r="M59" s="59">
        <v>76</v>
      </c>
      <c r="N59" s="59">
        <v>275.7</v>
      </c>
      <c r="O59" s="59">
        <v>0</v>
      </c>
      <c r="P59" s="59">
        <v>1.26</v>
      </c>
      <c r="Q59" s="59">
        <v>119.78</v>
      </c>
      <c r="R59" s="197"/>
      <c r="S59" s="197"/>
      <c r="T59" s="197"/>
      <c r="U59" s="197"/>
    </row>
    <row r="60" spans="1:21" s="12" customFormat="1" x14ac:dyDescent="0.25">
      <c r="A60" s="200" t="s">
        <v>295</v>
      </c>
      <c r="B60" s="59">
        <v>4.2699999999999996</v>
      </c>
      <c r="C60" s="59">
        <v>82.02</v>
      </c>
      <c r="D60" s="59">
        <v>48.69</v>
      </c>
      <c r="E60" s="59">
        <v>5.27</v>
      </c>
      <c r="F60" s="59">
        <v>1.88</v>
      </c>
      <c r="G60" s="59">
        <v>72.28</v>
      </c>
      <c r="H60" s="59">
        <v>40.25</v>
      </c>
      <c r="I60" s="59">
        <v>0.5</v>
      </c>
      <c r="J60" s="59">
        <v>0.6</v>
      </c>
      <c r="K60" s="59">
        <v>139.31</v>
      </c>
      <c r="L60" s="59">
        <v>29.22</v>
      </c>
      <c r="M60" s="59">
        <v>50</v>
      </c>
      <c r="N60" s="59">
        <v>280.39999999999998</v>
      </c>
      <c r="O60" s="59">
        <v>0</v>
      </c>
      <c r="P60" s="59">
        <v>1.23</v>
      </c>
      <c r="Q60" s="59">
        <v>119.25</v>
      </c>
      <c r="R60" s="197"/>
      <c r="S60" s="197"/>
      <c r="T60" s="197"/>
      <c r="U60" s="197"/>
    </row>
    <row r="61" spans="1:21" s="12" customFormat="1" x14ac:dyDescent="0.25">
      <c r="A61" s="200" t="s">
        <v>296</v>
      </c>
      <c r="B61" s="59">
        <v>3.47</v>
      </c>
      <c r="C61" s="59">
        <v>80.95</v>
      </c>
      <c r="D61" s="59">
        <v>47.46</v>
      </c>
      <c r="E61" s="59">
        <v>4.9000000000000004</v>
      </c>
      <c r="F61" s="59">
        <v>2.81</v>
      </c>
      <c r="G61" s="59">
        <v>72.28</v>
      </c>
      <c r="H61" s="59">
        <v>40.25</v>
      </c>
      <c r="I61" s="59">
        <v>0.51</v>
      </c>
      <c r="J61" s="59">
        <v>0.63</v>
      </c>
      <c r="K61" s="59">
        <v>127.6</v>
      </c>
      <c r="L61" s="59">
        <v>31.24</v>
      </c>
      <c r="M61" s="59">
        <v>93</v>
      </c>
      <c r="N61" s="59">
        <v>257.5</v>
      </c>
      <c r="O61" s="59">
        <v>0</v>
      </c>
      <c r="P61" s="59">
        <v>1.19</v>
      </c>
      <c r="Q61" s="59">
        <v>116.06</v>
      </c>
      <c r="R61" s="197"/>
      <c r="S61" s="197"/>
      <c r="T61" s="197"/>
      <c r="U61" s="197"/>
    </row>
    <row r="62" spans="1:21" s="12" customFormat="1" x14ac:dyDescent="0.25">
      <c r="A62" s="200" t="s">
        <v>297</v>
      </c>
      <c r="B62" s="59">
        <v>2.93</v>
      </c>
      <c r="C62" s="59">
        <v>80.569999999999993</v>
      </c>
      <c r="D62" s="59">
        <v>46.81</v>
      </c>
      <c r="E62" s="59">
        <v>4.79</v>
      </c>
      <c r="F62" s="59">
        <v>2.92</v>
      </c>
      <c r="G62" s="59">
        <v>72.28</v>
      </c>
      <c r="H62" s="59">
        <v>40.25</v>
      </c>
      <c r="I62" s="59">
        <v>0.49</v>
      </c>
      <c r="J62" s="59">
        <v>0.53</v>
      </c>
      <c r="K62" s="59">
        <v>123.24</v>
      </c>
      <c r="L62" s="59">
        <v>31.66</v>
      </c>
      <c r="M62" s="59">
        <v>75</v>
      </c>
      <c r="N62" s="59">
        <v>244.2</v>
      </c>
      <c r="O62" s="59">
        <v>0</v>
      </c>
      <c r="P62" s="59">
        <v>1.2</v>
      </c>
      <c r="Q62" s="59">
        <v>113.79</v>
      </c>
      <c r="R62" s="197"/>
      <c r="S62" s="197"/>
      <c r="T62" s="197"/>
      <c r="U62" s="197"/>
    </row>
    <row r="63" spans="1:21" s="12" customFormat="1" x14ac:dyDescent="0.25">
      <c r="A63" s="200" t="s">
        <v>298</v>
      </c>
      <c r="B63" s="59">
        <v>2.5299999999999998</v>
      </c>
      <c r="C63" s="59">
        <v>79.25</v>
      </c>
      <c r="D63" s="59">
        <v>45.77</v>
      </c>
      <c r="E63" s="59">
        <v>5.94</v>
      </c>
      <c r="F63" s="59">
        <v>3.4</v>
      </c>
      <c r="G63" s="59">
        <v>70.64</v>
      </c>
      <c r="H63" s="59">
        <v>39.64</v>
      </c>
      <c r="I63" s="59">
        <v>0.48</v>
      </c>
      <c r="J63" s="59">
        <v>1.06</v>
      </c>
      <c r="K63" s="59">
        <v>137.35</v>
      </c>
      <c r="L63" s="59">
        <v>29.01</v>
      </c>
      <c r="M63" s="59">
        <v>42</v>
      </c>
      <c r="N63" s="59">
        <v>230.8</v>
      </c>
      <c r="O63" s="59">
        <v>0</v>
      </c>
      <c r="P63" s="59">
        <v>1.17</v>
      </c>
      <c r="Q63" s="59">
        <v>112.2</v>
      </c>
      <c r="R63" s="197"/>
      <c r="S63" s="197"/>
      <c r="T63" s="197"/>
      <c r="U63" s="197"/>
    </row>
    <row r="64" spans="1:21" s="12" customFormat="1" x14ac:dyDescent="0.25">
      <c r="A64" s="200" t="s">
        <v>299</v>
      </c>
      <c r="B64" s="59">
        <v>2.06</v>
      </c>
      <c r="C64" s="59">
        <v>76.52</v>
      </c>
      <c r="D64" s="59">
        <v>43.88</v>
      </c>
      <c r="E64" s="59">
        <v>5.59</v>
      </c>
      <c r="F64" s="59">
        <v>4.6900000000000004</v>
      </c>
      <c r="G64" s="59">
        <v>67.03</v>
      </c>
      <c r="H64" s="59">
        <v>37.75</v>
      </c>
      <c r="I64" s="59">
        <v>0.47</v>
      </c>
      <c r="J64" s="59">
        <v>0.59</v>
      </c>
      <c r="K64" s="59">
        <v>135.16</v>
      </c>
      <c r="L64" s="59">
        <v>30.07</v>
      </c>
      <c r="M64" s="59">
        <v>79</v>
      </c>
      <c r="N64" s="59">
        <v>208.6</v>
      </c>
      <c r="O64" s="59">
        <v>0</v>
      </c>
      <c r="P64" s="59">
        <v>1.1200000000000001</v>
      </c>
      <c r="Q64" s="59">
        <v>109.05</v>
      </c>
      <c r="R64" s="197"/>
      <c r="S64" s="197"/>
      <c r="T64" s="197"/>
      <c r="U64" s="197"/>
    </row>
    <row r="65" spans="1:21" s="12" customFormat="1" x14ac:dyDescent="0.25">
      <c r="A65" s="200" t="s">
        <v>300</v>
      </c>
      <c r="B65" s="59">
        <v>2</v>
      </c>
      <c r="C65" s="59">
        <v>76.42</v>
      </c>
      <c r="D65" s="59">
        <v>43.78</v>
      </c>
      <c r="E65" s="59">
        <v>5.01</v>
      </c>
      <c r="F65" s="59">
        <v>3.77</v>
      </c>
      <c r="G65" s="59">
        <v>67.03</v>
      </c>
      <c r="H65" s="59">
        <v>37.75</v>
      </c>
      <c r="I65" s="59">
        <v>0.45</v>
      </c>
      <c r="J65" s="59">
        <v>0.42</v>
      </c>
      <c r="K65" s="59">
        <v>134.36000000000001</v>
      </c>
      <c r="L65" s="59">
        <v>29.67</v>
      </c>
      <c r="M65" s="59">
        <v>66</v>
      </c>
      <c r="N65" s="59">
        <v>171.6</v>
      </c>
      <c r="O65" s="59">
        <v>0</v>
      </c>
      <c r="P65" s="59">
        <v>1.1000000000000001</v>
      </c>
      <c r="Q65" s="59">
        <v>107.64</v>
      </c>
      <c r="R65" s="197"/>
      <c r="S65" s="197"/>
      <c r="T65" s="197"/>
      <c r="U65" s="197"/>
    </row>
    <row r="66" spans="1:21" s="12" customFormat="1" x14ac:dyDescent="0.25">
      <c r="A66" s="200" t="s">
        <v>301</v>
      </c>
      <c r="B66" s="59">
        <v>1.88</v>
      </c>
      <c r="C66" s="59">
        <v>75.16</v>
      </c>
      <c r="D66" s="59">
        <v>42.99</v>
      </c>
      <c r="E66" s="59">
        <v>8.08</v>
      </c>
      <c r="F66" s="59">
        <v>11.7</v>
      </c>
      <c r="G66" s="59">
        <v>67.03</v>
      </c>
      <c r="H66" s="59">
        <v>37.75</v>
      </c>
      <c r="I66" s="59">
        <v>0.43</v>
      </c>
      <c r="J66" s="59">
        <v>0.71</v>
      </c>
      <c r="K66" s="59">
        <v>136.19</v>
      </c>
      <c r="L66" s="59">
        <v>29.44</v>
      </c>
      <c r="M66" s="59">
        <v>61</v>
      </c>
      <c r="N66" s="59">
        <v>77.2</v>
      </c>
      <c r="O66" s="59">
        <v>0</v>
      </c>
      <c r="P66" s="59">
        <v>1.05</v>
      </c>
      <c r="Q66" s="59">
        <v>104.26</v>
      </c>
      <c r="R66" s="197"/>
      <c r="S66" s="197"/>
      <c r="T66" s="197"/>
      <c r="U66" s="197"/>
    </row>
    <row r="67" spans="1:21" s="12" customFormat="1" x14ac:dyDescent="0.25">
      <c r="A67" s="200" t="s">
        <v>302</v>
      </c>
      <c r="B67" s="59">
        <v>1.93</v>
      </c>
      <c r="C67" s="59">
        <v>76.7</v>
      </c>
      <c r="D67" s="59">
        <v>43.87</v>
      </c>
      <c r="E67" s="59">
        <v>13.59</v>
      </c>
      <c r="F67" s="59">
        <v>15.76</v>
      </c>
      <c r="G67" s="59">
        <v>65.319999999999993</v>
      </c>
      <c r="H67" s="59">
        <v>37.049999999999997</v>
      </c>
      <c r="I67" s="59">
        <v>0.41</v>
      </c>
      <c r="J67" s="59">
        <v>0.65</v>
      </c>
      <c r="K67" s="59">
        <v>134.05000000000001</v>
      </c>
      <c r="L67" s="59">
        <v>29.57</v>
      </c>
      <c r="M67" s="59">
        <v>54</v>
      </c>
      <c r="N67" s="59">
        <v>75.8</v>
      </c>
      <c r="O67" s="59">
        <v>0</v>
      </c>
      <c r="P67" s="59">
        <v>1.02</v>
      </c>
      <c r="Q67" s="59">
        <v>101.2</v>
      </c>
      <c r="R67" s="197"/>
      <c r="S67" s="197"/>
      <c r="T67" s="197"/>
      <c r="U67" s="197"/>
    </row>
    <row r="68" spans="1:21" s="12" customFormat="1" x14ac:dyDescent="0.25">
      <c r="A68" s="200" t="s">
        <v>303</v>
      </c>
      <c r="B68" s="59">
        <v>1.74</v>
      </c>
      <c r="C68" s="59">
        <v>77.98</v>
      </c>
      <c r="D68" s="59">
        <v>44.43</v>
      </c>
      <c r="E68" s="59">
        <v>18.28</v>
      </c>
      <c r="F68" s="59">
        <v>18.57</v>
      </c>
      <c r="G68" s="59">
        <v>61.47</v>
      </c>
      <c r="H68" s="59">
        <v>34.770000000000003</v>
      </c>
      <c r="I68" s="59">
        <v>0.36</v>
      </c>
      <c r="J68" s="59">
        <v>0.55000000000000004</v>
      </c>
      <c r="K68" s="59">
        <v>141.05000000000001</v>
      </c>
      <c r="L68" s="59">
        <v>28.62</v>
      </c>
      <c r="M68" s="59">
        <v>52</v>
      </c>
      <c r="N68" s="59">
        <v>82.1</v>
      </c>
      <c r="O68" s="59">
        <v>0</v>
      </c>
      <c r="P68" s="59">
        <v>1.01</v>
      </c>
      <c r="Q68" s="59">
        <v>99.56</v>
      </c>
      <c r="R68" s="197"/>
      <c r="S68" s="197"/>
      <c r="T68" s="197"/>
      <c r="U68" s="197"/>
    </row>
    <row r="69" spans="1:21" s="12" customFormat="1" x14ac:dyDescent="0.25">
      <c r="A69" s="200" t="s">
        <v>304</v>
      </c>
      <c r="B69" s="59">
        <v>1.81</v>
      </c>
      <c r="C69" s="59">
        <v>81.25</v>
      </c>
      <c r="D69" s="59">
        <v>46.29</v>
      </c>
      <c r="E69" s="59">
        <v>22.82</v>
      </c>
      <c r="F69" s="59">
        <v>21.21</v>
      </c>
      <c r="G69" s="59">
        <v>61.47</v>
      </c>
      <c r="H69" s="59">
        <v>34.770000000000003</v>
      </c>
      <c r="I69" s="59">
        <v>0.33</v>
      </c>
      <c r="J69" s="59">
        <v>0.41</v>
      </c>
      <c r="K69" s="59">
        <v>135.66999999999999</v>
      </c>
      <c r="L69" s="59">
        <v>29.53</v>
      </c>
      <c r="M69" s="59">
        <v>71</v>
      </c>
      <c r="N69" s="59">
        <v>66.599999999999994</v>
      </c>
      <c r="O69" s="59">
        <v>0</v>
      </c>
      <c r="P69" s="59">
        <v>1.06</v>
      </c>
      <c r="Q69" s="59">
        <v>97.42</v>
      </c>
      <c r="R69" s="197"/>
      <c r="S69" s="197"/>
      <c r="T69" s="197"/>
      <c r="U69" s="197"/>
    </row>
    <row r="70" spans="1:21" s="12" customFormat="1" x14ac:dyDescent="0.25">
      <c r="A70" s="200" t="s">
        <v>305</v>
      </c>
      <c r="B70" s="59">
        <v>1.91</v>
      </c>
      <c r="C70" s="59">
        <v>82.81</v>
      </c>
      <c r="D70" s="59">
        <v>47.23</v>
      </c>
      <c r="E70" s="59">
        <v>19.149999999999999</v>
      </c>
      <c r="F70" s="59">
        <v>15.31</v>
      </c>
      <c r="G70" s="59">
        <v>61.47</v>
      </c>
      <c r="H70" s="59">
        <v>34.770000000000003</v>
      </c>
      <c r="I70" s="59">
        <v>0.28999999999999998</v>
      </c>
      <c r="J70" s="59">
        <v>1.85</v>
      </c>
      <c r="K70" s="59">
        <v>142.35</v>
      </c>
      <c r="L70" s="59">
        <v>28.41</v>
      </c>
      <c r="M70" s="59">
        <v>89</v>
      </c>
      <c r="N70" s="59">
        <v>30.9</v>
      </c>
      <c r="O70" s="59">
        <v>0</v>
      </c>
      <c r="P70" s="59">
        <v>1.0900000000000001</v>
      </c>
      <c r="Q70" s="59">
        <v>97.93</v>
      </c>
      <c r="R70" s="197"/>
      <c r="S70" s="197"/>
      <c r="T70" s="197"/>
      <c r="U70" s="197"/>
    </row>
    <row r="71" spans="1:21" s="12" customFormat="1" x14ac:dyDescent="0.25">
      <c r="A71" s="200" t="s">
        <v>306</v>
      </c>
      <c r="B71" s="59">
        <v>2.36</v>
      </c>
      <c r="C71" s="59">
        <v>84.03</v>
      </c>
      <c r="D71" s="59">
        <v>48.26</v>
      </c>
      <c r="E71" s="59">
        <v>10.35</v>
      </c>
      <c r="F71" s="59">
        <v>5.85</v>
      </c>
      <c r="G71" s="59">
        <v>63.84</v>
      </c>
      <c r="H71" s="59">
        <v>35.07</v>
      </c>
      <c r="I71" s="59">
        <v>0.28000000000000003</v>
      </c>
      <c r="J71" s="59">
        <v>0.97</v>
      </c>
      <c r="K71" s="59">
        <v>124.64</v>
      </c>
      <c r="L71" s="59">
        <v>28.54</v>
      </c>
      <c r="M71" s="59">
        <v>87</v>
      </c>
      <c r="N71" s="59">
        <v>4</v>
      </c>
      <c r="O71" s="59">
        <v>0</v>
      </c>
      <c r="P71" s="59">
        <v>1.1000000000000001</v>
      </c>
      <c r="Q71" s="59">
        <v>98.15</v>
      </c>
      <c r="R71" s="197"/>
      <c r="S71" s="197"/>
      <c r="T71" s="197"/>
      <c r="U71" s="197"/>
    </row>
    <row r="72" spans="1:21" s="12" customFormat="1" x14ac:dyDescent="0.25">
      <c r="A72" s="200" t="s">
        <v>307</v>
      </c>
      <c r="B72" s="59">
        <v>2.29</v>
      </c>
      <c r="C72" s="59">
        <v>85.59</v>
      </c>
      <c r="D72" s="59">
        <v>49.08</v>
      </c>
      <c r="E72" s="59">
        <v>5.5</v>
      </c>
      <c r="F72" s="59">
        <v>11.21</v>
      </c>
      <c r="G72" s="59">
        <v>75.95</v>
      </c>
      <c r="H72" s="59">
        <v>35.99</v>
      </c>
      <c r="I72" s="59">
        <v>0.3</v>
      </c>
      <c r="J72" s="59">
        <v>2.5299999999999998</v>
      </c>
      <c r="K72" s="59">
        <v>146.78</v>
      </c>
      <c r="L72" s="59">
        <v>13.22</v>
      </c>
      <c r="M72" s="59">
        <v>92</v>
      </c>
      <c r="N72" s="209" t="s">
        <v>36</v>
      </c>
      <c r="O72" s="59">
        <v>0</v>
      </c>
      <c r="P72" s="59">
        <v>1.1399999999999999</v>
      </c>
      <c r="Q72" s="59">
        <v>0</v>
      </c>
      <c r="R72" s="197"/>
      <c r="S72" s="197"/>
      <c r="T72" s="197"/>
      <c r="U72" s="197"/>
    </row>
    <row r="73" spans="1:21" s="12" customFormat="1" x14ac:dyDescent="0.25">
      <c r="A73" s="200" t="s">
        <v>308</v>
      </c>
      <c r="B73" s="59">
        <v>2.59</v>
      </c>
      <c r="C73" s="59">
        <v>88.85</v>
      </c>
      <c r="D73" s="59">
        <v>51.11</v>
      </c>
      <c r="E73" s="59">
        <v>7.56</v>
      </c>
      <c r="F73" s="59">
        <v>7.83</v>
      </c>
      <c r="G73" s="59">
        <v>75.95</v>
      </c>
      <c r="H73" s="59">
        <v>35.99</v>
      </c>
      <c r="I73" s="59">
        <v>0.32</v>
      </c>
      <c r="J73" s="59">
        <v>0.71</v>
      </c>
      <c r="K73" s="59">
        <v>148.75</v>
      </c>
      <c r="L73" s="59">
        <v>84.46</v>
      </c>
      <c r="M73" s="59">
        <v>99</v>
      </c>
      <c r="N73" s="209" t="s">
        <v>36</v>
      </c>
      <c r="O73" s="59">
        <v>0</v>
      </c>
      <c r="P73" s="59">
        <v>1.18</v>
      </c>
      <c r="Q73" s="59">
        <v>95.18</v>
      </c>
      <c r="R73" s="197"/>
      <c r="S73" s="197"/>
      <c r="T73" s="197"/>
      <c r="U73" s="197"/>
    </row>
    <row r="74" spans="1:21" s="12" customFormat="1" x14ac:dyDescent="0.25">
      <c r="A74" s="200" t="s">
        <v>309</v>
      </c>
      <c r="B74" s="59">
        <v>2.93</v>
      </c>
      <c r="C74" s="59">
        <v>93.65</v>
      </c>
      <c r="D74" s="59">
        <v>54.03</v>
      </c>
      <c r="E74" s="59">
        <v>5.18</v>
      </c>
      <c r="F74" s="59">
        <v>4.1100000000000003</v>
      </c>
      <c r="G74" s="59">
        <v>75.95</v>
      </c>
      <c r="H74" s="59">
        <v>35.99</v>
      </c>
      <c r="I74" s="59">
        <v>0.31</v>
      </c>
      <c r="J74" s="59">
        <v>0.44</v>
      </c>
      <c r="K74" s="59">
        <v>121.21</v>
      </c>
      <c r="L74" s="59">
        <v>9.69</v>
      </c>
      <c r="M74" s="59">
        <v>87</v>
      </c>
      <c r="N74" s="209" t="s">
        <v>36</v>
      </c>
      <c r="O74" s="59">
        <v>0</v>
      </c>
      <c r="P74" s="59">
        <v>1.27</v>
      </c>
      <c r="Q74" s="59">
        <v>93.12</v>
      </c>
      <c r="R74" s="197"/>
      <c r="S74" s="197"/>
      <c r="T74" s="197"/>
      <c r="U74" s="197"/>
    </row>
    <row r="75" spans="1:21" s="12" customFormat="1" x14ac:dyDescent="0.25">
      <c r="A75" s="200" t="s">
        <v>310</v>
      </c>
      <c r="B75" s="59">
        <v>3.55</v>
      </c>
      <c r="C75" s="59">
        <v>89.41</v>
      </c>
      <c r="D75" s="59">
        <v>52.19</v>
      </c>
      <c r="E75" s="59">
        <v>10.19</v>
      </c>
      <c r="F75" s="59">
        <v>16.850000000000001</v>
      </c>
      <c r="G75" s="59">
        <v>74.38</v>
      </c>
      <c r="H75" s="59">
        <v>35.9</v>
      </c>
      <c r="I75" s="59">
        <v>0.3</v>
      </c>
      <c r="J75" s="59">
        <v>0.61</v>
      </c>
      <c r="K75" s="59">
        <v>201.72</v>
      </c>
      <c r="L75" s="59">
        <v>26.63</v>
      </c>
      <c r="M75" s="59">
        <v>82</v>
      </c>
      <c r="N75" s="209" t="s">
        <v>36</v>
      </c>
      <c r="O75" s="59">
        <v>0</v>
      </c>
      <c r="P75" s="59">
        <v>1.48</v>
      </c>
      <c r="Q75" s="59">
        <v>81.84</v>
      </c>
      <c r="R75" s="197"/>
      <c r="S75" s="197"/>
      <c r="T75" s="197"/>
      <c r="U75" s="197"/>
    </row>
    <row r="76" spans="1:21" s="12" customFormat="1" x14ac:dyDescent="0.25">
      <c r="A76" s="200" t="s">
        <v>311</v>
      </c>
      <c r="B76" s="59">
        <v>4.2</v>
      </c>
      <c r="C76" s="59">
        <v>108.54</v>
      </c>
      <c r="D76" s="59">
        <v>63.27</v>
      </c>
      <c r="E76" s="59">
        <v>10.59</v>
      </c>
      <c r="F76" s="59">
        <v>8.9700000000000006</v>
      </c>
      <c r="G76" s="59">
        <v>70.95</v>
      </c>
      <c r="H76" s="59">
        <v>35.61</v>
      </c>
      <c r="I76" s="59">
        <v>0.3</v>
      </c>
      <c r="J76" s="59">
        <v>0.44</v>
      </c>
      <c r="K76" s="59">
        <v>215.22</v>
      </c>
      <c r="L76" s="59">
        <v>25.87</v>
      </c>
      <c r="M76" s="59">
        <v>79</v>
      </c>
      <c r="N76" s="209" t="s">
        <v>36</v>
      </c>
      <c r="O76" s="59">
        <v>0</v>
      </c>
      <c r="P76" s="59">
        <v>1.6</v>
      </c>
      <c r="Q76" s="59">
        <v>77.930000000000007</v>
      </c>
      <c r="R76" s="197"/>
      <c r="S76" s="197"/>
      <c r="T76" s="197"/>
      <c r="U76" s="197"/>
    </row>
    <row r="77" spans="1:21" s="12" customFormat="1" x14ac:dyDescent="0.25">
      <c r="A77" s="200" t="s">
        <v>312</v>
      </c>
      <c r="B77" s="59">
        <v>4.97</v>
      </c>
      <c r="C77" s="59">
        <v>129.08000000000001</v>
      </c>
      <c r="D77" s="59">
        <v>75.22</v>
      </c>
      <c r="E77" s="59">
        <v>4.58</v>
      </c>
      <c r="F77" s="59">
        <v>2.0499999999999998</v>
      </c>
      <c r="G77" s="59">
        <v>70.95</v>
      </c>
      <c r="H77" s="59">
        <v>35.61</v>
      </c>
      <c r="I77" s="59">
        <v>0.3</v>
      </c>
      <c r="J77" s="59">
        <v>0.22</v>
      </c>
      <c r="K77" s="59">
        <v>222.39</v>
      </c>
      <c r="L77" s="59">
        <v>25.1</v>
      </c>
      <c r="M77" s="59">
        <v>77</v>
      </c>
      <c r="N77" s="209" t="s">
        <v>36</v>
      </c>
      <c r="O77" s="59">
        <v>0</v>
      </c>
      <c r="P77" s="59">
        <v>1.65</v>
      </c>
      <c r="Q77" s="59">
        <v>85.06</v>
      </c>
      <c r="R77" s="197"/>
      <c r="S77" s="197"/>
      <c r="T77" s="197"/>
      <c r="U77" s="197"/>
    </row>
    <row r="78" spans="1:21" s="12" customFormat="1" x14ac:dyDescent="0.25">
      <c r="A78" s="200" t="s">
        <v>313</v>
      </c>
      <c r="B78" s="59">
        <v>7.42</v>
      </c>
      <c r="C78" s="59">
        <v>126.21</v>
      </c>
      <c r="D78" s="59">
        <v>75.599999999999994</v>
      </c>
      <c r="E78" s="59">
        <v>3.67</v>
      </c>
      <c r="F78" s="59">
        <v>0.95</v>
      </c>
      <c r="G78" s="59">
        <v>70.95</v>
      </c>
      <c r="H78" s="59">
        <v>35.61</v>
      </c>
      <c r="I78" s="59">
        <v>0.32</v>
      </c>
      <c r="J78" s="59">
        <v>0.08</v>
      </c>
      <c r="K78" s="59">
        <v>67.62</v>
      </c>
      <c r="L78" s="59">
        <v>24.24</v>
      </c>
      <c r="M78" s="59">
        <v>48</v>
      </c>
      <c r="N78" s="209" t="s">
        <v>36</v>
      </c>
      <c r="O78" s="59">
        <v>0</v>
      </c>
      <c r="P78" s="59">
        <v>1.69</v>
      </c>
      <c r="Q78" s="59">
        <v>88.12</v>
      </c>
      <c r="R78" s="197"/>
      <c r="S78" s="197"/>
      <c r="T78" s="197"/>
      <c r="U78" s="197"/>
    </row>
    <row r="79" spans="1:21" s="12" customFormat="1" x14ac:dyDescent="0.25">
      <c r="A79" s="200" t="s">
        <v>314</v>
      </c>
      <c r="B79" s="59">
        <v>9.9700000000000006</v>
      </c>
      <c r="C79" s="59">
        <v>123.26</v>
      </c>
      <c r="D79" s="59">
        <v>76.02</v>
      </c>
      <c r="E79" s="59">
        <v>3.48</v>
      </c>
      <c r="F79" s="59">
        <v>0.54</v>
      </c>
      <c r="G79" s="59">
        <v>79.989999999999995</v>
      </c>
      <c r="H79" s="59">
        <v>37.1</v>
      </c>
      <c r="I79" s="59">
        <v>0.35</v>
      </c>
      <c r="J79" s="59">
        <v>0.12</v>
      </c>
      <c r="K79" s="209" t="s">
        <v>36</v>
      </c>
      <c r="L79" s="59">
        <v>23.64</v>
      </c>
      <c r="M79" s="59">
        <v>47</v>
      </c>
      <c r="N79" s="209" t="s">
        <v>36</v>
      </c>
      <c r="O79" s="59">
        <v>0</v>
      </c>
      <c r="P79" s="59">
        <v>1.8</v>
      </c>
      <c r="Q79" s="59">
        <v>91.17</v>
      </c>
      <c r="R79" s="197"/>
      <c r="S79" s="197"/>
      <c r="T79" s="197"/>
      <c r="U79" s="197"/>
    </row>
    <row r="80" spans="1:21" s="12" customFormat="1" x14ac:dyDescent="0.25">
      <c r="A80" s="200" t="s">
        <v>315</v>
      </c>
      <c r="B80" s="59">
        <v>12.63</v>
      </c>
      <c r="C80" s="59">
        <v>120.84</v>
      </c>
      <c r="D80" s="59">
        <v>76.819999999999993</v>
      </c>
      <c r="E80" s="59">
        <v>3.51</v>
      </c>
      <c r="F80" s="59">
        <v>0.67</v>
      </c>
      <c r="G80" s="59">
        <v>99.78</v>
      </c>
      <c r="H80" s="59">
        <v>41.7</v>
      </c>
      <c r="I80" s="59">
        <v>0.38</v>
      </c>
      <c r="J80" s="59">
        <v>0.08</v>
      </c>
      <c r="K80" s="209" t="s">
        <v>36</v>
      </c>
      <c r="L80" s="59">
        <v>23.17</v>
      </c>
      <c r="M80" s="59">
        <v>65</v>
      </c>
      <c r="N80" s="209" t="s">
        <v>36</v>
      </c>
      <c r="O80" s="59">
        <v>0</v>
      </c>
      <c r="P80" s="59">
        <v>1.88</v>
      </c>
      <c r="Q80" s="59">
        <v>94.11</v>
      </c>
      <c r="R80" s="197"/>
      <c r="S80" s="197"/>
      <c r="T80" s="197"/>
      <c r="U80" s="197"/>
    </row>
    <row r="81" spans="1:26" s="12" customFormat="1" x14ac:dyDescent="0.25">
      <c r="A81" s="200" t="s">
        <v>316</v>
      </c>
      <c r="B81" s="59">
        <v>14.83</v>
      </c>
      <c r="C81" s="59">
        <v>117.4</v>
      </c>
      <c r="D81" s="59">
        <v>76.680000000000007</v>
      </c>
      <c r="E81" s="59">
        <v>3.37</v>
      </c>
      <c r="F81" s="59">
        <v>0.71</v>
      </c>
      <c r="G81" s="59">
        <v>99.78</v>
      </c>
      <c r="H81" s="59">
        <v>41.7</v>
      </c>
      <c r="I81" s="59">
        <v>0.42</v>
      </c>
      <c r="J81" s="59">
        <v>0.12</v>
      </c>
      <c r="K81" s="209" t="s">
        <v>36</v>
      </c>
      <c r="L81" s="59">
        <v>22.65</v>
      </c>
      <c r="M81" s="59">
        <v>64</v>
      </c>
      <c r="N81" s="209" t="s">
        <v>36</v>
      </c>
      <c r="O81" s="59">
        <v>0</v>
      </c>
      <c r="P81" s="59">
        <v>2.0099999999999998</v>
      </c>
      <c r="Q81" s="59">
        <v>97.35</v>
      </c>
      <c r="R81" s="197"/>
      <c r="S81" s="197"/>
      <c r="T81" s="197"/>
      <c r="U81" s="197"/>
    </row>
    <row r="82" spans="1:26" s="12" customFormat="1" x14ac:dyDescent="0.25">
      <c r="A82" s="200" t="s">
        <v>317</v>
      </c>
      <c r="B82" s="59">
        <v>18.829999999999998</v>
      </c>
      <c r="C82" s="59">
        <v>119.48</v>
      </c>
      <c r="D82" s="59">
        <v>81.040000000000006</v>
      </c>
      <c r="E82" s="59">
        <v>3.47</v>
      </c>
      <c r="F82" s="59">
        <v>0.65</v>
      </c>
      <c r="G82" s="59">
        <v>99.78</v>
      </c>
      <c r="H82" s="59">
        <v>41.7</v>
      </c>
      <c r="I82" s="59">
        <v>0.46</v>
      </c>
      <c r="J82" s="59">
        <v>0.17</v>
      </c>
      <c r="K82" s="209" t="s">
        <v>36</v>
      </c>
      <c r="L82" s="59">
        <v>22.07</v>
      </c>
      <c r="M82" s="59">
        <v>33</v>
      </c>
      <c r="N82" s="209" t="s">
        <v>36</v>
      </c>
      <c r="O82" s="59">
        <v>0</v>
      </c>
      <c r="P82" s="59">
        <v>2.08</v>
      </c>
      <c r="Q82" s="59">
        <v>104.31</v>
      </c>
      <c r="R82" s="197"/>
      <c r="S82" s="197"/>
      <c r="T82" s="197"/>
      <c r="U82" s="197"/>
    </row>
    <row r="83" spans="1:26" s="12" customFormat="1" x14ac:dyDescent="0.25">
      <c r="A83" s="200" t="s">
        <v>318</v>
      </c>
      <c r="B83" s="59">
        <v>22.72</v>
      </c>
      <c r="C83" s="59">
        <v>119.99</v>
      </c>
      <c r="D83" s="59">
        <v>84.44</v>
      </c>
      <c r="E83" s="59">
        <v>4.3</v>
      </c>
      <c r="F83" s="59">
        <v>0.56000000000000005</v>
      </c>
      <c r="G83" s="59">
        <v>119.94</v>
      </c>
      <c r="H83" s="59">
        <v>42.44</v>
      </c>
      <c r="I83" s="59">
        <v>0.5</v>
      </c>
      <c r="J83" s="59">
        <v>0.13</v>
      </c>
      <c r="K83" s="209" t="s">
        <v>36</v>
      </c>
      <c r="L83" s="59">
        <v>22.08</v>
      </c>
      <c r="M83" s="59">
        <v>69</v>
      </c>
      <c r="N83" s="209" t="s">
        <v>36</v>
      </c>
      <c r="O83" s="59">
        <v>0</v>
      </c>
      <c r="P83" s="59">
        <v>2.19</v>
      </c>
      <c r="Q83" s="59">
        <v>109.91</v>
      </c>
      <c r="R83" s="197"/>
      <c r="S83" s="197"/>
      <c r="T83" s="197"/>
      <c r="U83" s="197"/>
    </row>
    <row r="84" spans="1:26" s="12" customFormat="1" x14ac:dyDescent="0.25">
      <c r="A84" s="200" t="s">
        <v>319</v>
      </c>
      <c r="B84" s="59">
        <v>26.69</v>
      </c>
      <c r="C84" s="59">
        <v>118.9</v>
      </c>
      <c r="D84" s="59">
        <v>87.02</v>
      </c>
      <c r="E84" s="59">
        <v>4.22</v>
      </c>
      <c r="F84" s="59">
        <v>0.48</v>
      </c>
      <c r="G84" s="59">
        <v>164.12</v>
      </c>
      <c r="H84" s="59">
        <v>44.86</v>
      </c>
      <c r="I84" s="59">
        <v>0.56000000000000005</v>
      </c>
      <c r="J84" s="59">
        <v>0.2</v>
      </c>
      <c r="K84" s="209" t="s">
        <v>36</v>
      </c>
      <c r="L84" s="59">
        <v>21.76</v>
      </c>
      <c r="M84" s="59">
        <v>51</v>
      </c>
      <c r="N84" s="209" t="s">
        <v>36</v>
      </c>
      <c r="O84" s="59">
        <v>0</v>
      </c>
      <c r="P84" s="59">
        <v>2.29</v>
      </c>
      <c r="Q84" s="59">
        <v>113.96</v>
      </c>
      <c r="R84" s="197"/>
      <c r="S84" s="197"/>
      <c r="T84" s="197"/>
      <c r="U84" s="197"/>
    </row>
    <row r="85" spans="1:26" s="12" customFormat="1" x14ac:dyDescent="0.25">
      <c r="A85" s="200" t="s">
        <v>320</v>
      </c>
      <c r="B85" s="59">
        <v>30.13</v>
      </c>
      <c r="C85" s="59">
        <v>117.24</v>
      </c>
      <c r="D85" s="59">
        <v>88.86</v>
      </c>
      <c r="E85" s="59">
        <v>4.12</v>
      </c>
      <c r="F85" s="59">
        <v>0.82</v>
      </c>
      <c r="G85" s="59">
        <v>164.12</v>
      </c>
      <c r="H85" s="59">
        <v>44.86</v>
      </c>
      <c r="I85" s="59">
        <v>0.63</v>
      </c>
      <c r="J85" s="59">
        <v>0.2</v>
      </c>
      <c r="K85" s="209" t="s">
        <v>36</v>
      </c>
      <c r="L85" s="59">
        <v>22.14</v>
      </c>
      <c r="M85" s="59">
        <v>30</v>
      </c>
      <c r="N85" s="209" t="s">
        <v>36</v>
      </c>
      <c r="O85" s="59">
        <v>0</v>
      </c>
      <c r="P85" s="59">
        <v>2.37</v>
      </c>
      <c r="Q85" s="59">
        <v>118.01</v>
      </c>
      <c r="R85" s="197"/>
      <c r="S85" s="197"/>
      <c r="T85" s="197"/>
      <c r="U85" s="197"/>
    </row>
    <row r="86" spans="1:26" s="12" customFormat="1" x14ac:dyDescent="0.25">
      <c r="A86" s="200" t="s">
        <v>321</v>
      </c>
      <c r="B86" s="59">
        <v>32.229999999999997</v>
      </c>
      <c r="C86" s="59">
        <v>115.76</v>
      </c>
      <c r="D86" s="59">
        <v>89.73</v>
      </c>
      <c r="E86" s="59">
        <v>4.54</v>
      </c>
      <c r="F86" s="59">
        <v>0.63</v>
      </c>
      <c r="G86" s="59">
        <v>164.12</v>
      </c>
      <c r="H86" s="59">
        <v>44.86</v>
      </c>
      <c r="I86" s="59">
        <v>0.7</v>
      </c>
      <c r="J86" s="59">
        <v>0.16</v>
      </c>
      <c r="K86" s="209" t="s">
        <v>36</v>
      </c>
      <c r="L86" s="59">
        <v>22.29</v>
      </c>
      <c r="M86" s="59">
        <v>22</v>
      </c>
      <c r="N86" s="209" t="s">
        <v>36</v>
      </c>
      <c r="O86" s="59">
        <v>0</v>
      </c>
      <c r="P86" s="59">
        <v>2.52</v>
      </c>
      <c r="Q86" s="59">
        <v>120.42</v>
      </c>
      <c r="R86" s="197"/>
      <c r="S86" s="197"/>
      <c r="T86" s="197"/>
      <c r="U86" s="197"/>
    </row>
    <row r="87" spans="1:26" s="12" customFormat="1" x14ac:dyDescent="0.25">
      <c r="A87" s="200" t="s">
        <v>322</v>
      </c>
      <c r="B87" s="59">
        <v>35.31</v>
      </c>
      <c r="C87" s="59">
        <v>115.83</v>
      </c>
      <c r="D87" s="59">
        <v>92.24</v>
      </c>
      <c r="E87" s="59">
        <v>4.0199999999999996</v>
      </c>
      <c r="F87" s="59">
        <v>0.61</v>
      </c>
      <c r="G87" s="59">
        <v>166.92</v>
      </c>
      <c r="H87" s="59">
        <v>45.98</v>
      </c>
      <c r="I87" s="59">
        <v>0.78</v>
      </c>
      <c r="J87" s="59">
        <v>0.21</v>
      </c>
      <c r="K87" s="209" t="s">
        <v>36</v>
      </c>
      <c r="L87" s="59">
        <v>22.38</v>
      </c>
      <c r="M87" s="59">
        <v>39</v>
      </c>
      <c r="N87" s="209" t="s">
        <v>36</v>
      </c>
      <c r="O87" s="59">
        <v>0</v>
      </c>
      <c r="P87" s="59">
        <v>2.7</v>
      </c>
      <c r="Q87" s="59">
        <v>122.76</v>
      </c>
      <c r="R87" s="197"/>
      <c r="S87" s="197"/>
      <c r="T87" s="197"/>
      <c r="U87" s="197"/>
    </row>
    <row r="88" spans="1:26" s="12" customFormat="1" x14ac:dyDescent="0.25">
      <c r="A88" s="200" t="s">
        <v>323</v>
      </c>
      <c r="B88" s="59">
        <v>37.950000000000003</v>
      </c>
      <c r="C88" s="59">
        <v>115.01</v>
      </c>
      <c r="D88" s="59">
        <v>93.9</v>
      </c>
      <c r="E88" s="59">
        <v>2.33</v>
      </c>
      <c r="F88" s="59">
        <v>0.57999999999999996</v>
      </c>
      <c r="G88" s="59">
        <v>179.79</v>
      </c>
      <c r="H88" s="59">
        <v>49.46</v>
      </c>
      <c r="I88" s="59">
        <v>0.86</v>
      </c>
      <c r="J88" s="59">
        <v>0.28000000000000003</v>
      </c>
      <c r="K88" s="209" t="s">
        <v>36</v>
      </c>
      <c r="L88" s="59">
        <v>22.39</v>
      </c>
      <c r="M88" s="59">
        <v>41</v>
      </c>
      <c r="N88" s="209" t="s">
        <v>36</v>
      </c>
      <c r="O88" s="59">
        <v>0</v>
      </c>
      <c r="P88" s="59">
        <v>2.73</v>
      </c>
      <c r="Q88" s="59">
        <v>125.51</v>
      </c>
      <c r="R88" s="197"/>
      <c r="S88" s="197"/>
      <c r="T88" s="197"/>
      <c r="U88" s="197"/>
    </row>
    <row r="89" spans="1:26" s="12" customFormat="1" x14ac:dyDescent="0.25">
      <c r="A89" s="200" t="s">
        <v>324</v>
      </c>
      <c r="B89" s="59">
        <v>37.46</v>
      </c>
      <c r="C89" s="59">
        <v>110.06</v>
      </c>
      <c r="D89" s="59">
        <v>90.78</v>
      </c>
      <c r="E89" s="59">
        <v>3.38</v>
      </c>
      <c r="F89" s="59">
        <v>0.52</v>
      </c>
      <c r="G89" s="59">
        <v>179.79</v>
      </c>
      <c r="H89" s="59">
        <v>49.46</v>
      </c>
      <c r="I89" s="59">
        <v>0.93</v>
      </c>
      <c r="J89" s="59">
        <v>0.28000000000000003</v>
      </c>
      <c r="K89" s="209" t="s">
        <v>36</v>
      </c>
      <c r="L89" s="59">
        <v>22.49</v>
      </c>
      <c r="M89" s="59">
        <v>20</v>
      </c>
      <c r="N89" s="209" t="s">
        <v>36</v>
      </c>
      <c r="O89" s="59">
        <v>0</v>
      </c>
      <c r="P89" s="59">
        <v>2.74</v>
      </c>
      <c r="Q89" s="59">
        <v>123.97</v>
      </c>
      <c r="R89" s="197"/>
      <c r="S89" s="197"/>
      <c r="T89" s="197"/>
      <c r="U89" s="197"/>
    </row>
    <row r="90" spans="1:26" s="12" customFormat="1" x14ac:dyDescent="0.25">
      <c r="A90" s="200" t="s">
        <v>325</v>
      </c>
      <c r="B90" s="59">
        <v>35.82</v>
      </c>
      <c r="C90" s="59">
        <v>112.05</v>
      </c>
      <c r="D90" s="59">
        <v>90.56</v>
      </c>
      <c r="E90" s="59">
        <v>3.99</v>
      </c>
      <c r="F90" s="59">
        <v>0.56000000000000005</v>
      </c>
      <c r="G90" s="59">
        <v>179.79</v>
      </c>
      <c r="H90" s="59">
        <v>49.46</v>
      </c>
      <c r="I90" s="59">
        <v>0.98</v>
      </c>
      <c r="J90" s="59">
        <v>0.23</v>
      </c>
      <c r="K90" s="209" t="s">
        <v>36</v>
      </c>
      <c r="L90" s="59">
        <v>22</v>
      </c>
      <c r="M90" s="59">
        <v>18</v>
      </c>
      <c r="N90" s="209" t="s">
        <v>36</v>
      </c>
      <c r="O90" s="59">
        <v>0</v>
      </c>
      <c r="P90" s="59">
        <v>2.77</v>
      </c>
      <c r="Q90" s="59">
        <v>123.21</v>
      </c>
      <c r="R90" s="197"/>
      <c r="S90" s="197"/>
      <c r="T90" s="197"/>
      <c r="U90" s="197"/>
    </row>
    <row r="91" spans="1:26" s="12" customFormat="1" x14ac:dyDescent="0.25">
      <c r="A91" s="200" t="s">
        <v>326</v>
      </c>
      <c r="B91" s="59">
        <v>34.11</v>
      </c>
      <c r="C91" s="59">
        <v>111.27</v>
      </c>
      <c r="D91" s="59">
        <v>88.76</v>
      </c>
      <c r="E91" s="59">
        <v>3.98</v>
      </c>
      <c r="F91" s="59">
        <v>0.72</v>
      </c>
      <c r="G91" s="59">
        <v>164.09</v>
      </c>
      <c r="H91" s="59">
        <v>49.44</v>
      </c>
      <c r="I91" s="59">
        <v>0.99</v>
      </c>
      <c r="J91" s="59">
        <v>0.31</v>
      </c>
      <c r="K91" s="209" t="s">
        <v>36</v>
      </c>
      <c r="L91" s="59">
        <v>21.72</v>
      </c>
      <c r="M91" s="59">
        <v>20</v>
      </c>
      <c r="N91" s="209" t="s">
        <v>36</v>
      </c>
      <c r="O91" s="59">
        <v>0</v>
      </c>
      <c r="P91" s="59">
        <v>2.8</v>
      </c>
      <c r="Q91" s="59">
        <v>122.73</v>
      </c>
      <c r="R91" s="197"/>
      <c r="S91" s="197"/>
      <c r="T91" s="197"/>
      <c r="U91" s="197"/>
    </row>
    <row r="92" spans="1:26" s="12" customFormat="1" x14ac:dyDescent="0.25">
      <c r="A92" s="200" t="s">
        <v>327</v>
      </c>
      <c r="B92" s="59">
        <v>33.380000000000003</v>
      </c>
      <c r="C92" s="59">
        <v>111.44</v>
      </c>
      <c r="D92" s="59">
        <v>88.27</v>
      </c>
      <c r="E92" s="59">
        <v>4.1500000000000004</v>
      </c>
      <c r="F92" s="59">
        <v>0.69</v>
      </c>
      <c r="G92" s="59">
        <v>129.68</v>
      </c>
      <c r="H92" s="59">
        <v>49.36</v>
      </c>
      <c r="I92" s="59">
        <v>1.03</v>
      </c>
      <c r="J92" s="59">
        <v>0.27</v>
      </c>
      <c r="K92" s="209" t="s">
        <v>36</v>
      </c>
      <c r="L92" s="59">
        <v>21.79</v>
      </c>
      <c r="M92" s="59">
        <v>19</v>
      </c>
      <c r="N92" s="209" t="s">
        <v>36</v>
      </c>
      <c r="O92" s="59">
        <v>0</v>
      </c>
      <c r="P92" s="59">
        <v>2.83</v>
      </c>
      <c r="Q92" s="59">
        <v>123.55</v>
      </c>
      <c r="R92" s="197"/>
      <c r="S92" s="197"/>
      <c r="T92" s="197"/>
      <c r="U92" s="197"/>
    </row>
    <row r="93" spans="1:26" s="12" customFormat="1" x14ac:dyDescent="0.25">
      <c r="A93" s="200" t="s">
        <v>328</v>
      </c>
      <c r="B93" s="59">
        <v>32.71</v>
      </c>
      <c r="C93" s="59">
        <v>110.85</v>
      </c>
      <c r="D93" s="59">
        <v>87.41</v>
      </c>
      <c r="E93" s="59">
        <v>3.98</v>
      </c>
      <c r="F93" s="59">
        <v>0.57999999999999996</v>
      </c>
      <c r="G93" s="59">
        <v>129.68</v>
      </c>
      <c r="H93" s="59">
        <v>49.36</v>
      </c>
      <c r="I93" s="59">
        <v>1.04</v>
      </c>
      <c r="J93" s="59">
        <v>0.24</v>
      </c>
      <c r="K93" s="209" t="s">
        <v>36</v>
      </c>
      <c r="L93" s="59">
        <v>21.55</v>
      </c>
      <c r="M93" s="59">
        <v>18</v>
      </c>
      <c r="N93" s="209" t="s">
        <v>36</v>
      </c>
      <c r="O93" s="59">
        <v>0</v>
      </c>
      <c r="P93" s="59">
        <v>2.84</v>
      </c>
      <c r="Q93" s="59">
        <v>124.62</v>
      </c>
      <c r="R93" s="197"/>
      <c r="S93" s="197"/>
      <c r="T93" s="197"/>
      <c r="U93" s="197"/>
    </row>
    <row r="94" spans="1:26" s="12" customFormat="1" x14ac:dyDescent="0.25">
      <c r="A94" s="200" t="s">
        <v>329</v>
      </c>
      <c r="B94" s="59">
        <v>31.45</v>
      </c>
      <c r="C94" s="59">
        <v>109.5</v>
      </c>
      <c r="D94" s="59">
        <v>85.65</v>
      </c>
      <c r="E94" s="59">
        <v>4.05</v>
      </c>
      <c r="F94" s="59">
        <v>0.6</v>
      </c>
      <c r="G94" s="59">
        <v>129.68</v>
      </c>
      <c r="H94" s="59">
        <v>49.36</v>
      </c>
      <c r="I94" s="59">
        <v>1.07</v>
      </c>
      <c r="J94" s="59">
        <v>0.2</v>
      </c>
      <c r="K94" s="209" t="s">
        <v>36</v>
      </c>
      <c r="L94" s="59">
        <v>21.51</v>
      </c>
      <c r="M94" s="59">
        <v>19</v>
      </c>
      <c r="N94" s="209" t="s">
        <v>36</v>
      </c>
      <c r="O94" s="59">
        <v>0</v>
      </c>
      <c r="P94" s="59">
        <v>2.84</v>
      </c>
      <c r="Q94" s="59">
        <v>124.65</v>
      </c>
      <c r="R94" s="197"/>
      <c r="S94" s="197"/>
      <c r="T94" s="197"/>
      <c r="U94" s="197"/>
    </row>
    <row r="95" spans="1:26" s="12" customFormat="1" x14ac:dyDescent="0.25">
      <c r="A95" s="200" t="s">
        <v>330</v>
      </c>
      <c r="B95" s="59">
        <v>31.11</v>
      </c>
      <c r="C95" s="59">
        <v>110.37</v>
      </c>
      <c r="D95" s="59">
        <v>85.86</v>
      </c>
      <c r="E95" s="59">
        <v>3.72</v>
      </c>
      <c r="F95" s="59">
        <v>0.65</v>
      </c>
      <c r="G95" s="59">
        <v>131.41999999999999</v>
      </c>
      <c r="H95" s="59">
        <v>50.02</v>
      </c>
      <c r="I95" s="59">
        <v>1.07</v>
      </c>
      <c r="J95" s="59">
        <v>0.13</v>
      </c>
      <c r="K95" s="209" t="s">
        <v>36</v>
      </c>
      <c r="L95" s="59">
        <v>21.2</v>
      </c>
      <c r="M95" s="59">
        <v>46</v>
      </c>
      <c r="N95" s="209" t="s">
        <v>36</v>
      </c>
      <c r="O95" s="59">
        <v>0</v>
      </c>
      <c r="P95" s="59">
        <v>2.84</v>
      </c>
      <c r="Q95" s="59">
        <v>125.53</v>
      </c>
      <c r="R95" s="197"/>
      <c r="S95" s="197"/>
      <c r="T95" s="197"/>
      <c r="U95" s="197"/>
    </row>
    <row r="96" spans="1:26" s="12" customFormat="1" x14ac:dyDescent="0.25">
      <c r="A96" s="200" t="s">
        <v>331</v>
      </c>
      <c r="B96" s="59">
        <v>30.33</v>
      </c>
      <c r="C96" s="59">
        <v>109.68</v>
      </c>
      <c r="D96" s="59">
        <v>84.85</v>
      </c>
      <c r="E96" s="59">
        <v>3.92</v>
      </c>
      <c r="F96" s="59">
        <v>0.66</v>
      </c>
      <c r="G96" s="59">
        <v>135.25</v>
      </c>
      <c r="H96" s="59">
        <v>52.09</v>
      </c>
      <c r="I96" s="59">
        <v>1.06</v>
      </c>
      <c r="J96" s="59">
        <v>0.1</v>
      </c>
      <c r="K96" s="209" t="s">
        <v>36</v>
      </c>
      <c r="L96" s="59">
        <v>20.53</v>
      </c>
      <c r="M96" s="59">
        <v>35</v>
      </c>
      <c r="N96" s="209" t="s">
        <v>36</v>
      </c>
      <c r="O96" s="59">
        <v>0</v>
      </c>
      <c r="P96" s="59">
        <v>2.83</v>
      </c>
      <c r="Q96" s="59">
        <v>127.25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332</v>
      </c>
      <c r="B97" s="59">
        <v>29.84</v>
      </c>
      <c r="C97" s="59">
        <v>108.98</v>
      </c>
      <c r="D97" s="59">
        <v>84.07</v>
      </c>
      <c r="E97" s="59">
        <v>4.16</v>
      </c>
      <c r="F97" s="59">
        <v>0.55000000000000004</v>
      </c>
      <c r="G97" s="59">
        <v>135.25</v>
      </c>
      <c r="H97" s="59">
        <v>52.09</v>
      </c>
      <c r="I97" s="59">
        <v>1.0900000000000001</v>
      </c>
      <c r="J97" s="59">
        <v>0.14000000000000001</v>
      </c>
      <c r="K97" s="209" t="s">
        <v>36</v>
      </c>
      <c r="L97" s="59">
        <v>20.309999999999999</v>
      </c>
      <c r="M97" s="59">
        <v>74</v>
      </c>
      <c r="N97" s="209" t="s">
        <v>36</v>
      </c>
      <c r="O97" s="59">
        <v>0</v>
      </c>
      <c r="P97" s="59">
        <v>2.81</v>
      </c>
      <c r="Q97" s="59">
        <v>129.21</v>
      </c>
      <c r="R97" s="197"/>
      <c r="S97" s="197"/>
      <c r="T97" s="197"/>
      <c r="U97" s="197"/>
    </row>
    <row r="98" spans="1:33" s="12" customFormat="1" x14ac:dyDescent="0.25">
      <c r="A98" s="200" t="s">
        <v>333</v>
      </c>
      <c r="B98" s="59">
        <v>29.61</v>
      </c>
      <c r="C98" s="59">
        <v>108.47</v>
      </c>
      <c r="D98" s="59">
        <v>83.6</v>
      </c>
      <c r="E98" s="59">
        <v>3.95</v>
      </c>
      <c r="F98" s="59">
        <v>0.56999999999999995</v>
      </c>
      <c r="G98" s="59">
        <v>135.25</v>
      </c>
      <c r="H98" s="59">
        <v>52.09</v>
      </c>
      <c r="I98" s="59">
        <v>1.0900000000000001</v>
      </c>
      <c r="J98" s="59">
        <v>0.19</v>
      </c>
      <c r="K98" s="209" t="s">
        <v>36</v>
      </c>
      <c r="L98" s="59">
        <v>19.96</v>
      </c>
      <c r="M98" s="59">
        <v>70</v>
      </c>
      <c r="N98" s="209" t="s">
        <v>36</v>
      </c>
      <c r="O98" s="59">
        <v>0</v>
      </c>
      <c r="P98" s="59">
        <v>2.77</v>
      </c>
      <c r="Q98" s="59">
        <v>130.30000000000001</v>
      </c>
      <c r="R98" s="197"/>
      <c r="S98" s="197"/>
      <c r="T98" s="197"/>
      <c r="U98" s="197"/>
    </row>
    <row r="99" spans="1:33" s="12" customFormat="1" x14ac:dyDescent="0.25">
      <c r="A99" s="200" t="s">
        <v>334</v>
      </c>
      <c r="B99" s="59">
        <v>32.200000000000003</v>
      </c>
      <c r="C99" s="59">
        <v>109.65</v>
      </c>
      <c r="D99" s="59">
        <v>86.34</v>
      </c>
      <c r="E99" s="59">
        <v>4.29</v>
      </c>
      <c r="F99" s="59">
        <v>0.6</v>
      </c>
      <c r="G99" s="59">
        <v>134.38999999999999</v>
      </c>
      <c r="H99" s="59">
        <v>52.07</v>
      </c>
      <c r="I99" s="59">
        <v>1.1000000000000001</v>
      </c>
      <c r="J99" s="59">
        <v>0.18</v>
      </c>
      <c r="K99" s="209" t="s">
        <v>36</v>
      </c>
      <c r="L99" s="59">
        <v>19.32</v>
      </c>
      <c r="M99" s="59">
        <v>86</v>
      </c>
      <c r="N99" s="209" t="s">
        <v>36</v>
      </c>
      <c r="O99" s="59">
        <v>0</v>
      </c>
      <c r="P99" s="59">
        <v>2.83</v>
      </c>
      <c r="Q99" s="59">
        <v>131.13</v>
      </c>
      <c r="R99" s="197"/>
      <c r="S99" s="197"/>
      <c r="T99" s="197"/>
      <c r="U99" s="197"/>
    </row>
    <row r="100" spans="1:33" s="12" customFormat="1" x14ac:dyDescent="0.25">
      <c r="A100" s="200" t="s">
        <v>335</v>
      </c>
      <c r="B100" s="59">
        <v>37.49</v>
      </c>
      <c r="C100" s="59">
        <v>111.08</v>
      </c>
      <c r="D100" s="59">
        <v>91.37</v>
      </c>
      <c r="E100" s="59">
        <v>4.42</v>
      </c>
      <c r="F100" s="59">
        <v>0.63</v>
      </c>
      <c r="G100" s="59">
        <v>132.55000000000001</v>
      </c>
      <c r="H100" s="59">
        <v>52.01</v>
      </c>
      <c r="I100" s="59">
        <v>1.1100000000000001</v>
      </c>
      <c r="J100" s="59">
        <v>0.14000000000000001</v>
      </c>
      <c r="K100" s="209" t="s">
        <v>36</v>
      </c>
      <c r="L100" s="59">
        <v>18.989999999999998</v>
      </c>
      <c r="M100" s="59">
        <v>77</v>
      </c>
      <c r="N100" s="209" t="s">
        <v>36</v>
      </c>
      <c r="O100" s="59">
        <v>0</v>
      </c>
      <c r="P100" s="59">
        <v>2.9</v>
      </c>
      <c r="Q100" s="59">
        <v>132.61000000000001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336</v>
      </c>
      <c r="B101" s="59">
        <v>41.9</v>
      </c>
      <c r="C101" s="59">
        <v>112.68</v>
      </c>
      <c r="D101" s="59">
        <v>95.79</v>
      </c>
      <c r="E101" s="59">
        <v>4.5999999999999996</v>
      </c>
      <c r="F101" s="59">
        <v>0.66</v>
      </c>
      <c r="G101" s="59">
        <v>132.55000000000001</v>
      </c>
      <c r="H101" s="59">
        <v>52.01</v>
      </c>
      <c r="I101" s="59">
        <v>1.1399999999999999</v>
      </c>
      <c r="J101" s="59">
        <v>0.13</v>
      </c>
      <c r="K101" s="209" t="s">
        <v>36</v>
      </c>
      <c r="L101" s="59">
        <v>18.920000000000002</v>
      </c>
      <c r="M101" s="59">
        <v>82</v>
      </c>
      <c r="N101" s="209" t="s">
        <v>36</v>
      </c>
      <c r="O101" s="59">
        <v>0</v>
      </c>
      <c r="P101" s="59">
        <v>2.93</v>
      </c>
      <c r="Q101" s="59">
        <v>134.19</v>
      </c>
      <c r="R101" s="197"/>
      <c r="S101" s="197"/>
      <c r="T101" s="197"/>
      <c r="U101" s="197"/>
    </row>
    <row r="102" spans="1:33" s="12" customFormat="1" x14ac:dyDescent="0.25">
      <c r="A102" s="200" t="s">
        <v>337</v>
      </c>
      <c r="B102" s="59">
        <v>50.48</v>
      </c>
      <c r="C102" s="59">
        <v>116.44</v>
      </c>
      <c r="D102" s="59">
        <v>104.74</v>
      </c>
      <c r="E102" s="59">
        <v>4.41</v>
      </c>
      <c r="F102" s="59">
        <v>0.54</v>
      </c>
      <c r="G102" s="59">
        <v>132.55000000000001</v>
      </c>
      <c r="H102" s="59">
        <v>52.01</v>
      </c>
      <c r="I102" s="59">
        <v>1.17</v>
      </c>
      <c r="J102" s="59">
        <v>0.18</v>
      </c>
      <c r="K102" s="209" t="s">
        <v>36</v>
      </c>
      <c r="L102" s="59">
        <v>18.66</v>
      </c>
      <c r="M102" s="59">
        <v>72</v>
      </c>
      <c r="N102" s="209" t="s">
        <v>36</v>
      </c>
      <c r="O102" s="59">
        <v>0</v>
      </c>
      <c r="P102" s="59">
        <v>2.98</v>
      </c>
      <c r="Q102" s="59">
        <v>137.84</v>
      </c>
      <c r="R102" s="197"/>
      <c r="S102" s="197"/>
      <c r="T102" s="197"/>
      <c r="U102" s="197"/>
    </row>
    <row r="103" spans="1:33" s="12" customFormat="1" x14ac:dyDescent="0.25">
      <c r="A103" s="200" t="s">
        <v>338</v>
      </c>
      <c r="B103" s="59">
        <v>58.78</v>
      </c>
      <c r="C103" s="59">
        <v>118.06</v>
      </c>
      <c r="D103" s="59">
        <v>112.3</v>
      </c>
      <c r="E103" s="59">
        <v>4.5199999999999996</v>
      </c>
      <c r="F103" s="59">
        <v>0.4</v>
      </c>
      <c r="G103" s="59">
        <v>139.94</v>
      </c>
      <c r="H103" s="59">
        <v>51.68</v>
      </c>
      <c r="I103" s="59">
        <v>1.18</v>
      </c>
      <c r="J103" s="59">
        <v>0.16</v>
      </c>
      <c r="K103" s="209" t="s">
        <v>36</v>
      </c>
      <c r="L103" s="59">
        <v>18.600000000000001</v>
      </c>
      <c r="M103" s="59">
        <v>66</v>
      </c>
      <c r="N103" s="209" t="s">
        <v>36</v>
      </c>
      <c r="O103" s="59">
        <v>0</v>
      </c>
      <c r="P103" s="59">
        <v>3.01</v>
      </c>
      <c r="Q103" s="59">
        <v>139.78</v>
      </c>
      <c r="R103" s="197"/>
      <c r="S103" s="197"/>
      <c r="T103" s="197"/>
      <c r="U103" s="197"/>
    </row>
    <row r="104" spans="1:33" s="12" customFormat="1" x14ac:dyDescent="0.25">
      <c r="A104" s="200" t="s">
        <v>339</v>
      </c>
      <c r="B104" s="59">
        <v>63.64</v>
      </c>
      <c r="C104" s="59">
        <v>118.63</v>
      </c>
      <c r="D104" s="59">
        <v>116.51</v>
      </c>
      <c r="E104" s="59">
        <v>2.46</v>
      </c>
      <c r="F104" s="59">
        <v>0.44</v>
      </c>
      <c r="G104" s="59">
        <v>173.9</v>
      </c>
      <c r="H104" s="59">
        <v>50.66</v>
      </c>
      <c r="I104" s="59">
        <v>1.21</v>
      </c>
      <c r="J104" s="59">
        <v>0.16</v>
      </c>
      <c r="K104" s="209" t="s">
        <v>36</v>
      </c>
      <c r="L104" s="59">
        <v>18.57</v>
      </c>
      <c r="M104" s="59">
        <v>61</v>
      </c>
      <c r="N104" s="209" t="s">
        <v>36</v>
      </c>
      <c r="O104" s="59">
        <v>0</v>
      </c>
      <c r="P104" s="59">
        <v>3.01</v>
      </c>
      <c r="Q104" s="59">
        <v>138.41999999999999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1.74</v>
      </c>
      <c r="C106" s="66">
        <f>MIN(C9:C104)</f>
        <v>75.16</v>
      </c>
      <c r="D106" s="66">
        <f t="shared" ref="D106:Q106" si="0">MIN(D9:D104)</f>
        <v>42.99</v>
      </c>
      <c r="E106" s="66">
        <f t="shared" si="0"/>
        <v>2.33</v>
      </c>
      <c r="F106" s="66">
        <f t="shared" si="0"/>
        <v>0.4</v>
      </c>
      <c r="G106" s="66">
        <f t="shared" si="0"/>
        <v>61.47</v>
      </c>
      <c r="H106" s="66">
        <f t="shared" si="0"/>
        <v>34.770000000000003</v>
      </c>
      <c r="I106" s="66">
        <f t="shared" si="0"/>
        <v>0.28000000000000003</v>
      </c>
      <c r="J106" s="66">
        <f t="shared" si="0"/>
        <v>0.08</v>
      </c>
      <c r="K106" s="66">
        <f t="shared" si="0"/>
        <v>67.62</v>
      </c>
      <c r="L106" s="66">
        <f t="shared" si="0"/>
        <v>9.69</v>
      </c>
      <c r="M106" s="66">
        <f t="shared" si="0"/>
        <v>18</v>
      </c>
      <c r="N106" s="66">
        <f t="shared" si="0"/>
        <v>4</v>
      </c>
      <c r="O106" s="66">
        <f t="shared" si="0"/>
        <v>0</v>
      </c>
      <c r="P106" s="66">
        <f t="shared" si="0"/>
        <v>1.01</v>
      </c>
      <c r="Q106" s="66">
        <f t="shared" si="0"/>
        <v>0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93.87</v>
      </c>
      <c r="C107" s="65">
        <f t="shared" ref="C107:Q107" si="1">MAX(C9:C104)</f>
        <v>136.52000000000001</v>
      </c>
      <c r="D107" s="65">
        <f t="shared" si="1"/>
        <v>150.61000000000001</v>
      </c>
      <c r="E107" s="65">
        <f t="shared" si="1"/>
        <v>22.82</v>
      </c>
      <c r="F107" s="65">
        <f t="shared" si="1"/>
        <v>21.21</v>
      </c>
      <c r="G107" s="65">
        <f t="shared" si="1"/>
        <v>223.96</v>
      </c>
      <c r="H107" s="65">
        <f t="shared" si="1"/>
        <v>73.84</v>
      </c>
      <c r="I107" s="65">
        <f t="shared" si="1"/>
        <v>1.54</v>
      </c>
      <c r="J107" s="65">
        <f t="shared" si="1"/>
        <v>2.5299999999999998</v>
      </c>
      <c r="K107" s="65">
        <f t="shared" si="1"/>
        <v>297.26</v>
      </c>
      <c r="L107" s="65">
        <f t="shared" si="1"/>
        <v>84.46</v>
      </c>
      <c r="M107" s="65">
        <f t="shared" si="1"/>
        <v>99</v>
      </c>
      <c r="N107" s="65">
        <f t="shared" si="1"/>
        <v>291.8</v>
      </c>
      <c r="O107" s="65">
        <f t="shared" si="1"/>
        <v>0</v>
      </c>
      <c r="P107" s="65">
        <f t="shared" si="1"/>
        <v>3.84</v>
      </c>
      <c r="Q107" s="65">
        <f t="shared" si="1"/>
        <v>151.77000000000001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31.483541666666664</v>
      </c>
      <c r="C108" s="66">
        <f t="shared" ref="C108:Q108" si="2">AVERAGE(C9:C104)</f>
        <v>102.0828125</v>
      </c>
      <c r="D108" s="66">
        <f t="shared" si="2"/>
        <v>81.583541666666648</v>
      </c>
      <c r="E108" s="66">
        <f t="shared" si="2"/>
        <v>5.4015625000000034</v>
      </c>
      <c r="F108" s="66">
        <f t="shared" si="2"/>
        <v>2.2838541666666674</v>
      </c>
      <c r="G108" s="66">
        <f t="shared" si="2"/>
        <v>120.34531250000003</v>
      </c>
      <c r="H108" s="66">
        <f t="shared" si="2"/>
        <v>49.872083333333315</v>
      </c>
      <c r="I108" s="66">
        <f t="shared" si="2"/>
        <v>0.78218750000000004</v>
      </c>
      <c r="J108" s="66">
        <f t="shared" si="2"/>
        <v>0.4458333333333333</v>
      </c>
      <c r="K108" s="66">
        <f t="shared" si="2"/>
        <v>215.23471428571429</v>
      </c>
      <c r="L108" s="66">
        <f t="shared" si="2"/>
        <v>22.515937500000003</v>
      </c>
      <c r="M108" s="66">
        <f t="shared" si="2"/>
        <v>61.708333333333336</v>
      </c>
      <c r="N108" s="66">
        <f t="shared" si="2"/>
        <v>188.94705882352943</v>
      </c>
      <c r="O108" s="66">
        <f t="shared" si="2"/>
        <v>0</v>
      </c>
      <c r="P108" s="66">
        <f t="shared" si="2"/>
        <v>2.1655208333333338</v>
      </c>
      <c r="Q108" s="66">
        <f t="shared" si="2"/>
        <v>119.33343749999999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23.976425789519833</v>
      </c>
      <c r="C109" s="66">
        <f t="shared" ref="C109:Q109" si="3">STDEV(C9:C104)</f>
        <v>15.977903735973941</v>
      </c>
      <c r="D109" s="66">
        <f t="shared" si="3"/>
        <v>26.183492910778195</v>
      </c>
      <c r="E109" s="66">
        <f t="shared" si="3"/>
        <v>3.1132353549000999</v>
      </c>
      <c r="F109" s="66">
        <f t="shared" si="3"/>
        <v>4.1633820689666443</v>
      </c>
      <c r="G109" s="66">
        <f t="shared" si="3"/>
        <v>45.34235447542391</v>
      </c>
      <c r="H109" s="66">
        <f t="shared" si="3"/>
        <v>11.473885582089416</v>
      </c>
      <c r="I109" s="66">
        <f t="shared" si="3"/>
        <v>0.36487980176606455</v>
      </c>
      <c r="J109" s="66">
        <f t="shared" si="3"/>
        <v>0.41591918918201459</v>
      </c>
      <c r="K109" s="66">
        <f t="shared" si="3"/>
        <v>64.312322431893392</v>
      </c>
      <c r="L109" s="66">
        <f t="shared" si="3"/>
        <v>7.9324504182602888</v>
      </c>
      <c r="M109" s="66">
        <f t="shared" si="3"/>
        <v>22.552822984305166</v>
      </c>
      <c r="N109" s="66">
        <f t="shared" si="3"/>
        <v>96.750407517093649</v>
      </c>
      <c r="O109" s="66">
        <f t="shared" si="3"/>
        <v>0</v>
      </c>
      <c r="P109" s="66">
        <f t="shared" si="3"/>
        <v>0.77150416281807099</v>
      </c>
      <c r="Q109" s="66">
        <f t="shared" si="3"/>
        <v>19.822679134244531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 t="shared" si="4"/>
        <v>96</v>
      </c>
      <c r="I110" s="65">
        <f>COUNT(I9:I104)</f>
        <v>96</v>
      </c>
      <c r="J110" s="65">
        <f t="shared" si="4"/>
        <v>96</v>
      </c>
      <c r="K110" s="65">
        <f>COUNT(K9:K104)+26</f>
        <v>96</v>
      </c>
      <c r="L110" s="65">
        <f t="shared" si="4"/>
        <v>96</v>
      </c>
      <c r="M110" s="65">
        <f t="shared" si="4"/>
        <v>96</v>
      </c>
      <c r="N110" s="65">
        <f>COUNT(N9:N104)+62</f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30" activePane="bottomRight" state="frozen"/>
      <selection activeCell="A9" sqref="A9:U104"/>
      <selection pane="topRight" activeCell="A9" sqref="A9:U104"/>
      <selection pane="bottomLeft" activeCell="A9" sqref="A9:U104"/>
      <selection pane="bottomRight" activeCell="Q7" sqref="Q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02-12-2022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340</v>
      </c>
      <c r="B9" s="59">
        <v>64.2</v>
      </c>
      <c r="C9" s="59">
        <v>118.58</v>
      </c>
      <c r="D9" s="59">
        <v>116.92</v>
      </c>
      <c r="E9" s="59">
        <v>4.1900000000000004</v>
      </c>
      <c r="F9" s="59">
        <v>0.65</v>
      </c>
      <c r="G9" s="59">
        <v>173.9</v>
      </c>
      <c r="H9" s="59">
        <v>50.66</v>
      </c>
      <c r="I9" s="59">
        <v>1.21</v>
      </c>
      <c r="J9" s="59">
        <v>0.24</v>
      </c>
      <c r="K9" s="209" t="s">
        <v>36</v>
      </c>
      <c r="L9" s="59">
        <v>18.510000000000002</v>
      </c>
      <c r="M9" s="209" t="s">
        <v>36</v>
      </c>
      <c r="N9" s="209" t="s">
        <v>36</v>
      </c>
      <c r="O9" s="59">
        <v>0</v>
      </c>
      <c r="P9" s="59">
        <v>2.96</v>
      </c>
      <c r="Q9" s="59">
        <v>139.38</v>
      </c>
      <c r="R9" s="197"/>
      <c r="S9" s="197"/>
      <c r="T9" s="197"/>
      <c r="U9" s="197"/>
    </row>
    <row r="10" spans="1:21" s="12" customFormat="1" x14ac:dyDescent="0.25">
      <c r="A10" s="200" t="s">
        <v>341</v>
      </c>
      <c r="B10" s="59">
        <v>62.38</v>
      </c>
      <c r="C10" s="59">
        <v>117.08</v>
      </c>
      <c r="D10" s="59">
        <v>114.64</v>
      </c>
      <c r="E10" s="59">
        <v>4.38</v>
      </c>
      <c r="F10" s="59">
        <v>0.6</v>
      </c>
      <c r="G10" s="59">
        <v>173.9</v>
      </c>
      <c r="H10" s="59">
        <v>50.66</v>
      </c>
      <c r="I10" s="59">
        <v>1.2</v>
      </c>
      <c r="J10" s="59">
        <v>0.16</v>
      </c>
      <c r="K10" s="209" t="s">
        <v>36</v>
      </c>
      <c r="L10" s="59">
        <v>18.54</v>
      </c>
      <c r="M10" s="209" t="s">
        <v>36</v>
      </c>
      <c r="N10" s="209" t="s">
        <v>36</v>
      </c>
      <c r="O10" s="59">
        <v>0</v>
      </c>
      <c r="P10" s="59">
        <v>2.92</v>
      </c>
      <c r="Q10" s="59">
        <v>139.46</v>
      </c>
      <c r="R10" s="197"/>
      <c r="S10" s="197"/>
      <c r="T10" s="197"/>
      <c r="U10" s="197"/>
    </row>
    <row r="11" spans="1:21" s="12" customFormat="1" x14ac:dyDescent="0.25">
      <c r="A11" s="200" t="s">
        <v>342</v>
      </c>
      <c r="B11" s="59">
        <v>60.7</v>
      </c>
      <c r="C11" s="59">
        <v>115.47</v>
      </c>
      <c r="D11" s="59">
        <v>112.41</v>
      </c>
      <c r="E11" s="59">
        <v>3.83</v>
      </c>
      <c r="F11" s="59">
        <v>0.59</v>
      </c>
      <c r="G11" s="59">
        <v>156.29</v>
      </c>
      <c r="H11" s="59">
        <v>50.45</v>
      </c>
      <c r="I11" s="59">
        <v>1.19</v>
      </c>
      <c r="J11" s="59">
        <v>0.11</v>
      </c>
      <c r="K11" s="209" t="s">
        <v>36</v>
      </c>
      <c r="L11" s="59">
        <v>18.510000000000002</v>
      </c>
      <c r="M11" s="209" t="s">
        <v>36</v>
      </c>
      <c r="N11" s="209" t="s">
        <v>36</v>
      </c>
      <c r="O11" s="59">
        <v>0</v>
      </c>
      <c r="P11" s="59">
        <v>2.89</v>
      </c>
      <c r="Q11" s="59">
        <v>138.99</v>
      </c>
      <c r="R11" s="197"/>
      <c r="S11" s="197"/>
      <c r="T11" s="197"/>
      <c r="U11" s="197"/>
    </row>
    <row r="12" spans="1:21" s="12" customFormat="1" x14ac:dyDescent="0.25">
      <c r="A12" s="200" t="s">
        <v>343</v>
      </c>
      <c r="B12" s="59">
        <v>58.76</v>
      </c>
      <c r="C12" s="59">
        <v>113.49</v>
      </c>
      <c r="D12" s="59">
        <v>109.76</v>
      </c>
      <c r="E12" s="59">
        <v>4.1900000000000004</v>
      </c>
      <c r="F12" s="59">
        <v>0.55000000000000004</v>
      </c>
      <c r="G12" s="59">
        <v>117.71</v>
      </c>
      <c r="H12" s="59">
        <v>49.8</v>
      </c>
      <c r="I12" s="59">
        <v>1.18</v>
      </c>
      <c r="J12" s="59">
        <v>0.11</v>
      </c>
      <c r="K12" s="209" t="s">
        <v>36</v>
      </c>
      <c r="L12" s="59">
        <v>18.14</v>
      </c>
      <c r="M12" s="209" t="s">
        <v>36</v>
      </c>
      <c r="N12" s="209" t="s">
        <v>36</v>
      </c>
      <c r="O12" s="59">
        <v>0</v>
      </c>
      <c r="P12" s="59">
        <v>2.85</v>
      </c>
      <c r="Q12" s="59">
        <v>138.07</v>
      </c>
      <c r="R12" s="197"/>
      <c r="S12" s="197"/>
      <c r="T12" s="197"/>
      <c r="U12" s="197"/>
    </row>
    <row r="13" spans="1:21" s="12" customFormat="1" x14ac:dyDescent="0.25">
      <c r="A13" s="200" t="s">
        <v>344</v>
      </c>
      <c r="B13" s="59">
        <v>56.76</v>
      </c>
      <c r="C13" s="59">
        <v>111.99</v>
      </c>
      <c r="D13" s="59">
        <v>107.32</v>
      </c>
      <c r="E13" s="59">
        <v>4.1500000000000004</v>
      </c>
      <c r="F13" s="59">
        <v>0.46</v>
      </c>
      <c r="G13" s="59">
        <v>117.71</v>
      </c>
      <c r="H13" s="59">
        <v>49.8</v>
      </c>
      <c r="I13" s="59">
        <v>1.1599999999999999</v>
      </c>
      <c r="J13" s="59">
        <v>0.13</v>
      </c>
      <c r="K13" s="209" t="s">
        <v>36</v>
      </c>
      <c r="L13" s="59">
        <v>17.89</v>
      </c>
      <c r="M13" s="209" t="s">
        <v>36</v>
      </c>
      <c r="N13" s="209" t="s">
        <v>36</v>
      </c>
      <c r="O13" s="59">
        <v>0</v>
      </c>
      <c r="P13" s="59">
        <v>2.71</v>
      </c>
      <c r="Q13" s="59">
        <v>137.63</v>
      </c>
      <c r="R13" s="197"/>
      <c r="S13" s="197"/>
      <c r="T13" s="197"/>
      <c r="U13" s="197"/>
    </row>
    <row r="14" spans="1:21" s="12" customFormat="1" x14ac:dyDescent="0.25">
      <c r="A14" s="200" t="s">
        <v>345</v>
      </c>
      <c r="B14" s="59">
        <v>55.02</v>
      </c>
      <c r="C14" s="59">
        <v>110.95</v>
      </c>
      <c r="D14" s="59">
        <v>105.35</v>
      </c>
      <c r="E14" s="59">
        <v>4.5</v>
      </c>
      <c r="F14" s="59">
        <v>0.57999999999999996</v>
      </c>
      <c r="G14" s="59">
        <v>117.71</v>
      </c>
      <c r="H14" s="59">
        <v>49.8</v>
      </c>
      <c r="I14" s="59">
        <v>1.1499999999999999</v>
      </c>
      <c r="J14" s="59">
        <v>0.21</v>
      </c>
      <c r="K14" s="209" t="s">
        <v>36</v>
      </c>
      <c r="L14" s="59">
        <v>17.79</v>
      </c>
      <c r="M14" s="209" t="s">
        <v>36</v>
      </c>
      <c r="N14" s="209" t="s">
        <v>36</v>
      </c>
      <c r="O14" s="59">
        <v>0</v>
      </c>
      <c r="P14" s="59">
        <v>2.75</v>
      </c>
      <c r="Q14" s="59">
        <v>137.52000000000001</v>
      </c>
      <c r="R14" s="197"/>
      <c r="S14" s="197"/>
      <c r="T14" s="197"/>
      <c r="U14" s="197"/>
    </row>
    <row r="15" spans="1:21" s="12" customFormat="1" x14ac:dyDescent="0.25">
      <c r="A15" s="200" t="s">
        <v>346</v>
      </c>
      <c r="B15" s="59">
        <v>53.43</v>
      </c>
      <c r="C15" s="59">
        <v>109.97</v>
      </c>
      <c r="D15" s="59">
        <v>103.54</v>
      </c>
      <c r="E15" s="59">
        <v>4.67</v>
      </c>
      <c r="F15" s="59">
        <v>0.5</v>
      </c>
      <c r="G15" s="59">
        <v>118</v>
      </c>
      <c r="H15" s="59">
        <v>49.33</v>
      </c>
      <c r="I15" s="209" t="s">
        <v>36</v>
      </c>
      <c r="J15" s="59">
        <v>0.32</v>
      </c>
      <c r="K15" s="209" t="s">
        <v>36</v>
      </c>
      <c r="L15" s="59">
        <v>18.59</v>
      </c>
      <c r="M15" s="209" t="s">
        <v>36</v>
      </c>
      <c r="N15" s="209" t="s">
        <v>36</v>
      </c>
      <c r="O15" s="59">
        <v>0</v>
      </c>
      <c r="P15" s="59">
        <v>2.73</v>
      </c>
      <c r="Q15" s="59">
        <v>137.74</v>
      </c>
      <c r="R15" s="197"/>
      <c r="S15" s="197"/>
      <c r="T15" s="197"/>
      <c r="U15" s="197"/>
    </row>
    <row r="16" spans="1:21" s="12" customFormat="1" x14ac:dyDescent="0.25">
      <c r="A16" s="200" t="s">
        <v>347</v>
      </c>
      <c r="B16" s="59">
        <v>51.65</v>
      </c>
      <c r="C16" s="59">
        <v>108</v>
      </c>
      <c r="D16" s="59">
        <v>101.02</v>
      </c>
      <c r="E16" s="59">
        <v>4.1900000000000004</v>
      </c>
      <c r="F16" s="59">
        <v>0.39</v>
      </c>
      <c r="G16" s="59">
        <v>118.66</v>
      </c>
      <c r="H16" s="59">
        <v>47.8</v>
      </c>
      <c r="I16" s="209" t="s">
        <v>36</v>
      </c>
      <c r="J16" s="59">
        <v>0.22</v>
      </c>
      <c r="K16" s="209" t="s">
        <v>36</v>
      </c>
      <c r="L16" s="59">
        <v>17.93</v>
      </c>
      <c r="M16" s="209" t="s">
        <v>36</v>
      </c>
      <c r="N16" s="209" t="s">
        <v>36</v>
      </c>
      <c r="O16" s="59">
        <v>0</v>
      </c>
      <c r="P16" s="59">
        <v>2.69</v>
      </c>
      <c r="Q16" s="59">
        <v>137.30000000000001</v>
      </c>
      <c r="R16" s="197"/>
      <c r="S16" s="197"/>
      <c r="T16" s="197"/>
      <c r="U16" s="197"/>
    </row>
    <row r="17" spans="1:21" s="12" customFormat="1" x14ac:dyDescent="0.25">
      <c r="A17" s="200" t="s">
        <v>348</v>
      </c>
      <c r="B17" s="59">
        <v>50.39</v>
      </c>
      <c r="C17" s="59">
        <v>106.25</v>
      </c>
      <c r="D17" s="59">
        <v>99.05</v>
      </c>
      <c r="E17" s="59">
        <v>4.25</v>
      </c>
      <c r="F17" s="59">
        <v>0.48</v>
      </c>
      <c r="G17" s="59">
        <v>118.66</v>
      </c>
      <c r="H17" s="59">
        <v>47.8</v>
      </c>
      <c r="I17" s="209" t="s">
        <v>36</v>
      </c>
      <c r="J17" s="59">
        <v>0.13</v>
      </c>
      <c r="K17" s="209" t="s">
        <v>36</v>
      </c>
      <c r="L17" s="59">
        <v>17.420000000000002</v>
      </c>
      <c r="M17" s="209" t="s">
        <v>36</v>
      </c>
      <c r="N17" s="209" t="s">
        <v>36</v>
      </c>
      <c r="O17" s="59">
        <v>0</v>
      </c>
      <c r="P17" s="59">
        <v>2.66</v>
      </c>
      <c r="Q17" s="59">
        <v>136.31</v>
      </c>
      <c r="R17" s="197"/>
      <c r="S17" s="197"/>
      <c r="T17" s="197"/>
      <c r="U17" s="197"/>
    </row>
    <row r="18" spans="1:21" s="12" customFormat="1" x14ac:dyDescent="0.25">
      <c r="A18" s="200" t="s">
        <v>349</v>
      </c>
      <c r="B18" s="59">
        <v>49.19</v>
      </c>
      <c r="C18" s="59">
        <v>104.16</v>
      </c>
      <c r="D18" s="59">
        <v>96.93</v>
      </c>
      <c r="E18" s="59">
        <v>4.3600000000000003</v>
      </c>
      <c r="F18" s="59">
        <v>0.5</v>
      </c>
      <c r="G18" s="59">
        <v>118.66</v>
      </c>
      <c r="H18" s="59">
        <v>47.8</v>
      </c>
      <c r="I18" s="209" t="s">
        <v>36</v>
      </c>
      <c r="J18" s="59">
        <v>0.13</v>
      </c>
      <c r="K18" s="209" t="s">
        <v>36</v>
      </c>
      <c r="L18" s="59">
        <v>17.41</v>
      </c>
      <c r="M18" s="209" t="s">
        <v>36</v>
      </c>
      <c r="N18" s="209" t="s">
        <v>36</v>
      </c>
      <c r="O18" s="59">
        <v>0</v>
      </c>
      <c r="P18" s="59">
        <v>2.62</v>
      </c>
      <c r="Q18" s="59">
        <v>135.16</v>
      </c>
      <c r="R18" s="197"/>
      <c r="S18" s="197"/>
      <c r="T18" s="197"/>
      <c r="U18" s="197"/>
    </row>
    <row r="19" spans="1:21" s="12" customFormat="1" x14ac:dyDescent="0.25">
      <c r="A19" s="200" t="s">
        <v>350</v>
      </c>
      <c r="B19" s="59">
        <v>47.47</v>
      </c>
      <c r="C19" s="59">
        <v>102.05</v>
      </c>
      <c r="D19" s="59">
        <v>94.39</v>
      </c>
      <c r="E19" s="59">
        <v>4.92</v>
      </c>
      <c r="F19" s="59">
        <v>0.33</v>
      </c>
      <c r="G19" s="59">
        <v>116.15</v>
      </c>
      <c r="H19" s="59">
        <v>48</v>
      </c>
      <c r="I19" s="209" t="s">
        <v>36</v>
      </c>
      <c r="J19" s="59">
        <v>0.14000000000000001</v>
      </c>
      <c r="K19" s="209" t="s">
        <v>36</v>
      </c>
      <c r="L19" s="59">
        <v>17.48</v>
      </c>
      <c r="M19" s="209" t="s">
        <v>36</v>
      </c>
      <c r="N19" s="209" t="s">
        <v>36</v>
      </c>
      <c r="O19" s="59">
        <v>0</v>
      </c>
      <c r="P19" s="59">
        <v>2.58</v>
      </c>
      <c r="Q19" s="59">
        <v>134.59</v>
      </c>
      <c r="R19" s="197"/>
      <c r="S19" s="197"/>
      <c r="T19" s="197"/>
      <c r="U19" s="197"/>
    </row>
    <row r="20" spans="1:21" s="12" customFormat="1" x14ac:dyDescent="0.25">
      <c r="A20" s="200" t="s">
        <v>351</v>
      </c>
      <c r="B20" s="59">
        <v>45.59</v>
      </c>
      <c r="C20" s="59">
        <v>99.55</v>
      </c>
      <c r="D20" s="59">
        <v>91.49</v>
      </c>
      <c r="E20" s="59">
        <v>4.8099999999999996</v>
      </c>
      <c r="F20" s="59">
        <v>0.4</v>
      </c>
      <c r="G20" s="59">
        <v>110.4</v>
      </c>
      <c r="H20" s="59">
        <v>48.65</v>
      </c>
      <c r="I20" s="209" t="s">
        <v>36</v>
      </c>
      <c r="J20" s="59">
        <v>0.13</v>
      </c>
      <c r="K20" s="209" t="s">
        <v>36</v>
      </c>
      <c r="L20" s="59">
        <v>17.16</v>
      </c>
      <c r="M20" s="209" t="s">
        <v>36</v>
      </c>
      <c r="N20" s="209" t="s">
        <v>36</v>
      </c>
      <c r="O20" s="59">
        <v>0</v>
      </c>
      <c r="P20" s="59">
        <v>2.5299999999999998</v>
      </c>
      <c r="Q20" s="59">
        <v>132.74</v>
      </c>
      <c r="R20" s="197"/>
      <c r="S20" s="197"/>
      <c r="T20" s="197"/>
      <c r="U20" s="197"/>
    </row>
    <row r="21" spans="1:21" s="12" customFormat="1" x14ac:dyDescent="0.25">
      <c r="A21" s="200" t="s">
        <v>352</v>
      </c>
      <c r="B21" s="59">
        <v>44.3</v>
      </c>
      <c r="C21" s="59">
        <v>97.21</v>
      </c>
      <c r="D21" s="59">
        <v>89.18</v>
      </c>
      <c r="E21" s="59">
        <v>4.09</v>
      </c>
      <c r="F21" s="59">
        <v>0.44</v>
      </c>
      <c r="G21" s="59">
        <v>110.4</v>
      </c>
      <c r="H21" s="59">
        <v>48.65</v>
      </c>
      <c r="I21" s="209" t="s">
        <v>36</v>
      </c>
      <c r="J21" s="59">
        <v>0.15</v>
      </c>
      <c r="K21" s="209" t="s">
        <v>36</v>
      </c>
      <c r="L21" s="59">
        <v>17.02</v>
      </c>
      <c r="M21" s="209" t="s">
        <v>36</v>
      </c>
      <c r="N21" s="209" t="s">
        <v>36</v>
      </c>
      <c r="O21" s="59">
        <v>0</v>
      </c>
      <c r="P21" s="59">
        <v>2.5</v>
      </c>
      <c r="Q21" s="59">
        <v>133.27000000000001</v>
      </c>
      <c r="R21" s="197"/>
      <c r="S21" s="197"/>
      <c r="T21" s="197"/>
      <c r="U21" s="197"/>
    </row>
    <row r="22" spans="1:21" s="12" customFormat="1" x14ac:dyDescent="0.25">
      <c r="A22" s="200" t="s">
        <v>353</v>
      </c>
      <c r="B22" s="59">
        <v>43.88</v>
      </c>
      <c r="C22" s="59">
        <v>94.7</v>
      </c>
      <c r="D22" s="59">
        <v>87.45</v>
      </c>
      <c r="E22" s="59">
        <v>3.57</v>
      </c>
      <c r="F22" s="59">
        <v>0.51</v>
      </c>
      <c r="G22" s="59">
        <v>110.4</v>
      </c>
      <c r="H22" s="59">
        <v>48.65</v>
      </c>
      <c r="I22" s="209" t="s">
        <v>36</v>
      </c>
      <c r="J22" s="59">
        <v>0.08</v>
      </c>
      <c r="K22" s="209" t="s">
        <v>36</v>
      </c>
      <c r="L22" s="59">
        <v>16.940000000000001</v>
      </c>
      <c r="M22" s="209" t="s">
        <v>36</v>
      </c>
      <c r="N22" s="209" t="s">
        <v>36</v>
      </c>
      <c r="O22" s="59">
        <v>0</v>
      </c>
      <c r="P22" s="59">
        <v>2.48</v>
      </c>
      <c r="Q22" s="59">
        <v>131.34</v>
      </c>
      <c r="R22" s="197"/>
      <c r="S22" s="197"/>
      <c r="T22" s="197"/>
      <c r="U22" s="197"/>
    </row>
    <row r="23" spans="1:21" s="12" customFormat="1" x14ac:dyDescent="0.25">
      <c r="A23" s="200" t="s">
        <v>354</v>
      </c>
      <c r="B23" s="59">
        <v>42.65</v>
      </c>
      <c r="C23" s="59">
        <v>93.28</v>
      </c>
      <c r="D23" s="59">
        <v>85.68</v>
      </c>
      <c r="E23" s="59">
        <v>4.24</v>
      </c>
      <c r="F23" s="59">
        <v>0.5</v>
      </c>
      <c r="G23" s="59">
        <v>116.76</v>
      </c>
      <c r="H23" s="59">
        <v>49.08</v>
      </c>
      <c r="I23" s="209" t="s">
        <v>36</v>
      </c>
      <c r="J23" s="59">
        <v>0.13</v>
      </c>
      <c r="K23" s="209" t="s">
        <v>36</v>
      </c>
      <c r="L23" s="59">
        <v>16.989999999999998</v>
      </c>
      <c r="M23" s="209" t="s">
        <v>36</v>
      </c>
      <c r="N23" s="209" t="s">
        <v>36</v>
      </c>
      <c r="O23" s="59">
        <v>0</v>
      </c>
      <c r="P23" s="59">
        <v>2.4500000000000002</v>
      </c>
      <c r="Q23" s="59">
        <v>130.28</v>
      </c>
      <c r="R23" s="197"/>
      <c r="S23" s="197"/>
      <c r="T23" s="197"/>
      <c r="U23" s="197"/>
    </row>
    <row r="24" spans="1:21" s="12" customFormat="1" x14ac:dyDescent="0.25">
      <c r="A24" s="200" t="s">
        <v>355</v>
      </c>
      <c r="B24" s="59">
        <v>40.96</v>
      </c>
      <c r="C24" s="59">
        <v>91.87</v>
      </c>
      <c r="D24" s="59">
        <v>83.54</v>
      </c>
      <c r="E24" s="59">
        <v>1.94</v>
      </c>
      <c r="F24" s="59">
        <v>0.55000000000000004</v>
      </c>
      <c r="G24" s="59">
        <v>146.05000000000001</v>
      </c>
      <c r="H24" s="59">
        <v>50.47</v>
      </c>
      <c r="I24" s="209" t="s">
        <v>36</v>
      </c>
      <c r="J24" s="59">
        <v>0.11</v>
      </c>
      <c r="K24" s="209" t="s">
        <v>36</v>
      </c>
      <c r="L24" s="59">
        <v>17.04</v>
      </c>
      <c r="M24" s="209" t="s">
        <v>36</v>
      </c>
      <c r="N24" s="209" t="s">
        <v>36</v>
      </c>
      <c r="O24" s="59">
        <v>0</v>
      </c>
      <c r="P24" s="59">
        <v>2.42</v>
      </c>
      <c r="Q24" s="59">
        <v>128.24</v>
      </c>
      <c r="R24" s="197"/>
      <c r="S24" s="197"/>
      <c r="T24" s="197"/>
      <c r="U24" s="197"/>
    </row>
    <row r="25" spans="1:21" s="12" customFormat="1" x14ac:dyDescent="0.25">
      <c r="A25" s="200" t="s">
        <v>356</v>
      </c>
      <c r="B25" s="59">
        <v>39.71</v>
      </c>
      <c r="C25" s="59">
        <v>90.78</v>
      </c>
      <c r="D25" s="59">
        <v>81.94</v>
      </c>
      <c r="E25" s="59">
        <v>3.89</v>
      </c>
      <c r="F25" s="59">
        <v>0.68</v>
      </c>
      <c r="G25" s="59">
        <v>146.05000000000001</v>
      </c>
      <c r="H25" s="59">
        <v>50.47</v>
      </c>
      <c r="I25" s="209" t="s">
        <v>36</v>
      </c>
      <c r="J25" s="59">
        <v>0.12</v>
      </c>
      <c r="K25" s="209" t="s">
        <v>36</v>
      </c>
      <c r="L25" s="59">
        <v>16.87</v>
      </c>
      <c r="M25" s="209" t="s">
        <v>36</v>
      </c>
      <c r="N25" s="209" t="s">
        <v>36</v>
      </c>
      <c r="O25" s="59">
        <v>0</v>
      </c>
      <c r="P25" s="59">
        <v>2.4</v>
      </c>
      <c r="Q25" s="59">
        <v>128.97999999999999</v>
      </c>
      <c r="R25" s="197"/>
      <c r="S25" s="197"/>
      <c r="T25" s="197"/>
      <c r="U25" s="197"/>
    </row>
    <row r="26" spans="1:21" s="12" customFormat="1" x14ac:dyDescent="0.25">
      <c r="A26" s="200" t="s">
        <v>357</v>
      </c>
      <c r="B26" s="59">
        <v>39.14</v>
      </c>
      <c r="C26" s="59">
        <v>90.31</v>
      </c>
      <c r="D26" s="59">
        <v>81.23</v>
      </c>
      <c r="E26" s="59">
        <v>3.92</v>
      </c>
      <c r="F26" s="59">
        <v>0.65</v>
      </c>
      <c r="G26" s="59">
        <v>146.05000000000001</v>
      </c>
      <c r="H26" s="59">
        <v>50.47</v>
      </c>
      <c r="I26" s="209" t="s">
        <v>36</v>
      </c>
      <c r="J26" s="59">
        <v>0.1</v>
      </c>
      <c r="K26" s="209" t="s">
        <v>36</v>
      </c>
      <c r="L26" s="59">
        <v>17.11</v>
      </c>
      <c r="M26" s="209" t="s">
        <v>36</v>
      </c>
      <c r="N26" s="209" t="s">
        <v>36</v>
      </c>
      <c r="O26" s="59">
        <v>0</v>
      </c>
      <c r="P26" s="59">
        <v>2.39</v>
      </c>
      <c r="Q26" s="59">
        <v>129.38999999999999</v>
      </c>
      <c r="R26" s="197"/>
      <c r="S26" s="197"/>
      <c r="T26" s="197"/>
      <c r="U26" s="197"/>
    </row>
    <row r="27" spans="1:21" s="12" customFormat="1" x14ac:dyDescent="0.25">
      <c r="A27" s="200" t="s">
        <v>358</v>
      </c>
      <c r="B27" s="59">
        <v>37.94</v>
      </c>
      <c r="C27" s="59">
        <v>89.41</v>
      </c>
      <c r="D27" s="59">
        <v>79.77</v>
      </c>
      <c r="E27" s="59">
        <v>4.1500000000000004</v>
      </c>
      <c r="F27" s="59">
        <v>0.43</v>
      </c>
      <c r="G27" s="59">
        <v>153.9</v>
      </c>
      <c r="H27" s="59">
        <v>51.24</v>
      </c>
      <c r="I27" s="209" t="s">
        <v>36</v>
      </c>
      <c r="J27" s="59">
        <v>0.21</v>
      </c>
      <c r="K27" s="209" t="s">
        <v>36</v>
      </c>
      <c r="L27" s="59">
        <v>17.37</v>
      </c>
      <c r="M27" s="209" t="s">
        <v>36</v>
      </c>
      <c r="N27" s="209" t="s">
        <v>36</v>
      </c>
      <c r="O27" s="59">
        <v>0</v>
      </c>
      <c r="P27" s="59">
        <v>2.4</v>
      </c>
      <c r="Q27" s="59">
        <v>129.05000000000001</v>
      </c>
      <c r="R27" s="197"/>
      <c r="S27" s="197"/>
      <c r="T27" s="197"/>
      <c r="U27" s="197"/>
    </row>
    <row r="28" spans="1:21" s="12" customFormat="1" x14ac:dyDescent="0.25">
      <c r="A28" s="200" t="s">
        <v>359</v>
      </c>
      <c r="B28" s="59">
        <v>36.22</v>
      </c>
      <c r="C28" s="59">
        <v>88.86</v>
      </c>
      <c r="D28" s="59">
        <v>78.08</v>
      </c>
      <c r="E28" s="59">
        <v>4.4000000000000004</v>
      </c>
      <c r="F28" s="59">
        <v>0.35</v>
      </c>
      <c r="G28" s="59">
        <v>171.95</v>
      </c>
      <c r="H28" s="59">
        <v>53.79</v>
      </c>
      <c r="I28" s="209" t="s">
        <v>36</v>
      </c>
      <c r="J28" s="59">
        <v>0.27</v>
      </c>
      <c r="K28" s="209" t="s">
        <v>36</v>
      </c>
      <c r="L28" s="59">
        <v>17.440000000000001</v>
      </c>
      <c r="M28" s="209" t="s">
        <v>36</v>
      </c>
      <c r="N28" s="209" t="s">
        <v>36</v>
      </c>
      <c r="O28" s="59">
        <v>0</v>
      </c>
      <c r="P28" s="59">
        <v>2.38</v>
      </c>
      <c r="Q28" s="59">
        <v>127.32</v>
      </c>
      <c r="R28" s="197"/>
      <c r="S28" s="197"/>
      <c r="T28" s="197"/>
      <c r="U28" s="197"/>
    </row>
    <row r="29" spans="1:21" s="12" customFormat="1" x14ac:dyDescent="0.25">
      <c r="A29" s="200" t="s">
        <v>360</v>
      </c>
      <c r="B29" s="59">
        <v>34.36</v>
      </c>
      <c r="C29" s="59">
        <v>89.21</v>
      </c>
      <c r="D29" s="59">
        <v>76.78</v>
      </c>
      <c r="E29" s="59">
        <v>3.89</v>
      </c>
      <c r="F29" s="59">
        <v>0.46</v>
      </c>
      <c r="G29" s="59">
        <v>171.95</v>
      </c>
      <c r="H29" s="59">
        <v>53.79</v>
      </c>
      <c r="I29" s="209" t="s">
        <v>36</v>
      </c>
      <c r="J29" s="59">
        <v>0.28000000000000003</v>
      </c>
      <c r="K29" s="209" t="s">
        <v>36</v>
      </c>
      <c r="L29" s="59">
        <v>17.45</v>
      </c>
      <c r="M29" s="209" t="s">
        <v>36</v>
      </c>
      <c r="N29" s="209" t="s">
        <v>36</v>
      </c>
      <c r="O29" s="59">
        <v>0</v>
      </c>
      <c r="P29" s="59">
        <v>2.36</v>
      </c>
      <c r="Q29" s="59">
        <v>127.48</v>
      </c>
      <c r="R29" s="197"/>
      <c r="S29" s="197"/>
      <c r="T29" s="197"/>
      <c r="U29" s="197"/>
    </row>
    <row r="30" spans="1:21" s="12" customFormat="1" x14ac:dyDescent="0.25">
      <c r="A30" s="200" t="s">
        <v>361</v>
      </c>
      <c r="B30" s="59">
        <v>32.409999999999997</v>
      </c>
      <c r="C30" s="59">
        <v>88.02</v>
      </c>
      <c r="D30" s="59">
        <v>74.569999999999993</v>
      </c>
      <c r="E30" s="59">
        <v>4.3600000000000003</v>
      </c>
      <c r="F30" s="59">
        <v>0.47</v>
      </c>
      <c r="G30" s="59">
        <v>171.95</v>
      </c>
      <c r="H30" s="59">
        <v>53.79</v>
      </c>
      <c r="I30" s="209" t="s">
        <v>36</v>
      </c>
      <c r="J30" s="59">
        <v>0.35</v>
      </c>
      <c r="K30" s="209" t="s">
        <v>36</v>
      </c>
      <c r="L30" s="59">
        <v>17.46</v>
      </c>
      <c r="M30" s="209" t="s">
        <v>36</v>
      </c>
      <c r="N30" s="209" t="s">
        <v>36</v>
      </c>
      <c r="O30" s="59">
        <v>0</v>
      </c>
      <c r="P30" s="59">
        <v>2.3199999999999998</v>
      </c>
      <c r="Q30" s="59">
        <v>126.61</v>
      </c>
      <c r="R30" s="197"/>
      <c r="S30" s="197"/>
      <c r="T30" s="197"/>
      <c r="U30" s="197"/>
    </row>
    <row r="31" spans="1:21" s="12" customFormat="1" x14ac:dyDescent="0.25">
      <c r="A31" s="200" t="s">
        <v>362</v>
      </c>
      <c r="B31" s="59">
        <v>31</v>
      </c>
      <c r="C31" s="59">
        <v>87.94</v>
      </c>
      <c r="D31" s="59">
        <v>73.39</v>
      </c>
      <c r="E31" s="59">
        <v>4.26</v>
      </c>
      <c r="F31" s="59">
        <v>0.54</v>
      </c>
      <c r="G31" s="59">
        <v>162.62</v>
      </c>
      <c r="H31" s="59">
        <v>53.56</v>
      </c>
      <c r="I31" s="209" t="s">
        <v>36</v>
      </c>
      <c r="J31" s="59">
        <v>0.53</v>
      </c>
      <c r="K31" s="209" t="s">
        <v>36</v>
      </c>
      <c r="L31" s="59">
        <v>17.37</v>
      </c>
      <c r="M31" s="209" t="s">
        <v>36</v>
      </c>
      <c r="N31" s="209" t="s">
        <v>36</v>
      </c>
      <c r="O31" s="59">
        <v>0</v>
      </c>
      <c r="P31" s="59">
        <v>2.27</v>
      </c>
      <c r="Q31" s="59">
        <v>125.53</v>
      </c>
      <c r="R31" s="197"/>
      <c r="S31" s="197"/>
      <c r="T31" s="197"/>
      <c r="U31" s="197"/>
    </row>
    <row r="32" spans="1:21" s="12" customFormat="1" x14ac:dyDescent="0.25">
      <c r="A32" s="200" t="s">
        <v>363</v>
      </c>
      <c r="B32" s="59">
        <v>29.89</v>
      </c>
      <c r="C32" s="59">
        <v>87.55</v>
      </c>
      <c r="D32" s="59">
        <v>72.290000000000006</v>
      </c>
      <c r="E32" s="59">
        <v>4.26</v>
      </c>
      <c r="F32" s="59">
        <v>0.5</v>
      </c>
      <c r="G32" s="59">
        <v>142.19</v>
      </c>
      <c r="H32" s="59">
        <v>52.78</v>
      </c>
      <c r="I32" s="209" t="s">
        <v>36</v>
      </c>
      <c r="J32" s="59">
        <v>0.45</v>
      </c>
      <c r="K32" s="209" t="s">
        <v>36</v>
      </c>
      <c r="L32" s="59">
        <v>17.25</v>
      </c>
      <c r="M32" s="209" t="s">
        <v>36</v>
      </c>
      <c r="N32" s="209" t="s">
        <v>36</v>
      </c>
      <c r="O32" s="59">
        <v>0</v>
      </c>
      <c r="P32" s="59">
        <v>2.21</v>
      </c>
      <c r="Q32" s="59">
        <v>124.2</v>
      </c>
      <c r="R32" s="197"/>
      <c r="S32" s="197"/>
      <c r="T32" s="197"/>
      <c r="U32" s="197"/>
    </row>
    <row r="33" spans="1:21" s="12" customFormat="1" x14ac:dyDescent="0.25">
      <c r="A33" s="200" t="s">
        <v>364</v>
      </c>
      <c r="B33" s="59">
        <v>28.17</v>
      </c>
      <c r="C33" s="59">
        <v>86.09</v>
      </c>
      <c r="D33" s="59">
        <v>70.099999999999994</v>
      </c>
      <c r="E33" s="59">
        <v>3.94</v>
      </c>
      <c r="F33" s="59">
        <v>0.64</v>
      </c>
      <c r="G33" s="59">
        <v>142.19</v>
      </c>
      <c r="H33" s="59">
        <v>52.78</v>
      </c>
      <c r="I33" s="209" t="s">
        <v>36</v>
      </c>
      <c r="J33" s="59">
        <v>0.4</v>
      </c>
      <c r="K33" s="209" t="s">
        <v>36</v>
      </c>
      <c r="L33" s="59">
        <v>17.22</v>
      </c>
      <c r="M33" s="209" t="s">
        <v>36</v>
      </c>
      <c r="N33" s="209" t="s">
        <v>36</v>
      </c>
      <c r="O33" s="59">
        <v>0</v>
      </c>
      <c r="P33" s="59">
        <v>2.14</v>
      </c>
      <c r="Q33" s="59">
        <v>123.04</v>
      </c>
      <c r="R33" s="197"/>
      <c r="S33" s="197"/>
      <c r="T33" s="197"/>
      <c r="U33" s="197"/>
    </row>
    <row r="34" spans="1:21" s="12" customFormat="1" x14ac:dyDescent="0.25">
      <c r="A34" s="200" t="s">
        <v>365</v>
      </c>
      <c r="B34" s="59">
        <v>26.4</v>
      </c>
      <c r="C34" s="59">
        <v>84.68</v>
      </c>
      <c r="D34" s="59">
        <v>67.900000000000006</v>
      </c>
      <c r="E34" s="59">
        <v>4.07</v>
      </c>
      <c r="F34" s="59">
        <v>0.56999999999999995</v>
      </c>
      <c r="G34" s="59">
        <v>142.19</v>
      </c>
      <c r="H34" s="59">
        <v>52.78</v>
      </c>
      <c r="I34" s="209" t="s">
        <v>36</v>
      </c>
      <c r="J34" s="59">
        <v>0.25</v>
      </c>
      <c r="K34" s="209" t="s">
        <v>36</v>
      </c>
      <c r="L34" s="59">
        <v>17.12</v>
      </c>
      <c r="M34" s="209" t="s">
        <v>36</v>
      </c>
      <c r="N34" s="209" t="s">
        <v>36</v>
      </c>
      <c r="O34" s="59">
        <v>0</v>
      </c>
      <c r="P34" s="59">
        <v>2.0699999999999998</v>
      </c>
      <c r="Q34" s="59">
        <v>121.74</v>
      </c>
      <c r="R34" s="197"/>
      <c r="S34" s="197"/>
      <c r="T34" s="197"/>
      <c r="U34" s="197"/>
    </row>
    <row r="35" spans="1:21" s="12" customFormat="1" x14ac:dyDescent="0.25">
      <c r="A35" s="200" t="s">
        <v>366</v>
      </c>
      <c r="B35" s="59">
        <v>25.05</v>
      </c>
      <c r="C35" s="59">
        <v>84.06</v>
      </c>
      <c r="D35" s="59">
        <v>66.48</v>
      </c>
      <c r="E35" s="59">
        <v>3.91</v>
      </c>
      <c r="F35" s="59">
        <v>0.56999999999999995</v>
      </c>
      <c r="G35" s="59">
        <v>131.5</v>
      </c>
      <c r="H35" s="59">
        <v>52.12</v>
      </c>
      <c r="I35" s="209" t="s">
        <v>36</v>
      </c>
      <c r="J35" s="59">
        <v>0.24</v>
      </c>
      <c r="K35" s="209" t="s">
        <v>36</v>
      </c>
      <c r="L35" s="59">
        <v>17.12</v>
      </c>
      <c r="M35" s="209" t="s">
        <v>36</v>
      </c>
      <c r="N35" s="209" t="s">
        <v>36</v>
      </c>
      <c r="O35" s="59">
        <v>0</v>
      </c>
      <c r="P35" s="59">
        <v>2.0099999999999998</v>
      </c>
      <c r="Q35" s="59">
        <v>121.79</v>
      </c>
      <c r="R35" s="197"/>
      <c r="S35" s="197"/>
      <c r="T35" s="197"/>
      <c r="U35" s="197"/>
    </row>
    <row r="36" spans="1:21" s="12" customFormat="1" x14ac:dyDescent="0.25">
      <c r="A36" s="200" t="s">
        <v>367</v>
      </c>
      <c r="B36" s="59">
        <v>24.63</v>
      </c>
      <c r="C36" s="59">
        <v>82.69</v>
      </c>
      <c r="D36" s="59">
        <v>65.39</v>
      </c>
      <c r="E36" s="59">
        <v>3.82</v>
      </c>
      <c r="F36" s="59">
        <v>0.55000000000000004</v>
      </c>
      <c r="G36" s="59">
        <v>106.91</v>
      </c>
      <c r="H36" s="59">
        <v>49.95</v>
      </c>
      <c r="I36" s="209" t="s">
        <v>36</v>
      </c>
      <c r="J36" s="59">
        <v>0.34</v>
      </c>
      <c r="K36" s="209" t="s">
        <v>36</v>
      </c>
      <c r="L36" s="59">
        <v>17.510000000000002</v>
      </c>
      <c r="M36" s="209" t="s">
        <v>36</v>
      </c>
      <c r="N36" s="209" t="s">
        <v>36</v>
      </c>
      <c r="O36" s="59">
        <v>0</v>
      </c>
      <c r="P36" s="59">
        <v>1.97</v>
      </c>
      <c r="Q36" s="59">
        <v>120.75</v>
      </c>
      <c r="R36" s="197"/>
      <c r="S36" s="197"/>
      <c r="T36" s="197"/>
      <c r="U36" s="197"/>
    </row>
    <row r="37" spans="1:21" s="12" customFormat="1" x14ac:dyDescent="0.25">
      <c r="A37" s="200" t="s">
        <v>368</v>
      </c>
      <c r="B37" s="59">
        <v>24.35</v>
      </c>
      <c r="C37" s="59">
        <v>82.2</v>
      </c>
      <c r="D37" s="59">
        <v>64.900000000000006</v>
      </c>
      <c r="E37" s="59">
        <v>4</v>
      </c>
      <c r="F37" s="59">
        <v>0.53</v>
      </c>
      <c r="G37" s="59">
        <v>106.91</v>
      </c>
      <c r="H37" s="59">
        <v>49.95</v>
      </c>
      <c r="I37" s="209" t="s">
        <v>36</v>
      </c>
      <c r="J37" s="59">
        <v>0.46</v>
      </c>
      <c r="K37" s="209" t="s">
        <v>36</v>
      </c>
      <c r="L37" s="59">
        <v>17.97</v>
      </c>
      <c r="M37" s="209" t="s">
        <v>36</v>
      </c>
      <c r="N37" s="209" t="s">
        <v>36</v>
      </c>
      <c r="O37" s="59">
        <v>0</v>
      </c>
      <c r="P37" s="59">
        <v>1.88</v>
      </c>
      <c r="Q37" s="59">
        <v>119.98</v>
      </c>
      <c r="R37" s="197"/>
      <c r="S37" s="197"/>
      <c r="T37" s="197"/>
      <c r="U37" s="197"/>
    </row>
    <row r="38" spans="1:21" s="12" customFormat="1" x14ac:dyDescent="0.25">
      <c r="A38" s="200" t="s">
        <v>369</v>
      </c>
      <c r="B38" s="59">
        <v>24.28</v>
      </c>
      <c r="C38" s="59">
        <v>82.43</v>
      </c>
      <c r="D38" s="59">
        <v>64.97</v>
      </c>
      <c r="E38" s="59">
        <v>4.53</v>
      </c>
      <c r="F38" s="59">
        <v>0.51</v>
      </c>
      <c r="G38" s="59">
        <v>106.91</v>
      </c>
      <c r="H38" s="59">
        <v>49.95</v>
      </c>
      <c r="I38" s="209" t="s">
        <v>36</v>
      </c>
      <c r="J38" s="59">
        <v>0.45</v>
      </c>
      <c r="K38" s="209" t="s">
        <v>36</v>
      </c>
      <c r="L38" s="59">
        <v>18.46</v>
      </c>
      <c r="M38" s="209" t="s">
        <v>36</v>
      </c>
      <c r="N38" s="59">
        <v>0.2</v>
      </c>
      <c r="O38" s="59">
        <v>0</v>
      </c>
      <c r="P38" s="59">
        <v>1.9</v>
      </c>
      <c r="Q38" s="59">
        <v>119.75</v>
      </c>
      <c r="R38" s="197"/>
      <c r="S38" s="197"/>
      <c r="T38" s="197"/>
      <c r="U38" s="197"/>
    </row>
    <row r="39" spans="1:21" s="12" customFormat="1" x14ac:dyDescent="0.25">
      <c r="A39" s="200" t="s">
        <v>370</v>
      </c>
      <c r="B39" s="59">
        <v>24.44</v>
      </c>
      <c r="C39" s="59">
        <v>82.76</v>
      </c>
      <c r="D39" s="59">
        <v>65.27</v>
      </c>
      <c r="E39" s="59">
        <v>4.26</v>
      </c>
      <c r="F39" s="59">
        <v>0.56999999999999995</v>
      </c>
      <c r="G39" s="59">
        <v>105.75</v>
      </c>
      <c r="H39" s="59">
        <v>49.48</v>
      </c>
      <c r="I39" s="209" t="s">
        <v>36</v>
      </c>
      <c r="J39" s="59">
        <v>0.64</v>
      </c>
      <c r="K39" s="209" t="s">
        <v>36</v>
      </c>
      <c r="L39" s="59">
        <v>19.190000000000001</v>
      </c>
      <c r="M39" s="209" t="s">
        <v>36</v>
      </c>
      <c r="N39" s="59">
        <v>18</v>
      </c>
      <c r="O39" s="59">
        <v>0</v>
      </c>
      <c r="P39" s="59">
        <v>1.86</v>
      </c>
      <c r="Q39" s="59">
        <v>119.67</v>
      </c>
      <c r="R39" s="197"/>
      <c r="S39" s="197"/>
      <c r="T39" s="197"/>
      <c r="U39" s="197"/>
    </row>
    <row r="40" spans="1:21" s="12" customFormat="1" x14ac:dyDescent="0.25">
      <c r="A40" s="200" t="s">
        <v>371</v>
      </c>
      <c r="B40" s="59">
        <v>24.3</v>
      </c>
      <c r="C40" s="59">
        <v>82.78</v>
      </c>
      <c r="D40" s="59">
        <v>65.17</v>
      </c>
      <c r="E40" s="59">
        <v>1.78</v>
      </c>
      <c r="F40" s="59">
        <v>0.81</v>
      </c>
      <c r="G40" s="59">
        <v>100.87</v>
      </c>
      <c r="H40" s="59">
        <v>47.92</v>
      </c>
      <c r="I40" s="209" t="s">
        <v>36</v>
      </c>
      <c r="J40" s="59">
        <v>1.1399999999999999</v>
      </c>
      <c r="K40" s="209" t="s">
        <v>36</v>
      </c>
      <c r="L40" s="59">
        <v>19.829999999999998</v>
      </c>
      <c r="M40" s="209" t="s">
        <v>36</v>
      </c>
      <c r="N40" s="59">
        <v>47.9</v>
      </c>
      <c r="O40" s="59">
        <v>0</v>
      </c>
      <c r="P40" s="59">
        <v>1.83</v>
      </c>
      <c r="Q40" s="59">
        <v>119.41</v>
      </c>
      <c r="R40" s="197"/>
      <c r="S40" s="197"/>
      <c r="T40" s="197"/>
      <c r="U40" s="197"/>
    </row>
    <row r="41" spans="1:21" s="12" customFormat="1" x14ac:dyDescent="0.25">
      <c r="A41" s="200" t="s">
        <v>372</v>
      </c>
      <c r="B41" s="59">
        <v>23.38</v>
      </c>
      <c r="C41" s="59">
        <v>82.28</v>
      </c>
      <c r="D41" s="59">
        <v>64.16</v>
      </c>
      <c r="E41" s="59">
        <v>3.79</v>
      </c>
      <c r="F41" s="59">
        <v>0.82</v>
      </c>
      <c r="G41" s="59">
        <v>100.87</v>
      </c>
      <c r="H41" s="59">
        <v>47.92</v>
      </c>
      <c r="I41" s="209" t="s">
        <v>36</v>
      </c>
      <c r="J41" s="59">
        <v>0.65</v>
      </c>
      <c r="K41" s="209" t="s">
        <v>36</v>
      </c>
      <c r="L41" s="59">
        <v>20.67</v>
      </c>
      <c r="M41" s="209" t="s">
        <v>36</v>
      </c>
      <c r="N41" s="59">
        <v>73.8</v>
      </c>
      <c r="O41" s="59">
        <v>0</v>
      </c>
      <c r="P41" s="59">
        <v>1.79</v>
      </c>
      <c r="Q41" s="59">
        <v>120.08</v>
      </c>
      <c r="R41" s="197"/>
      <c r="S41" s="197"/>
      <c r="T41" s="197"/>
      <c r="U41" s="197"/>
    </row>
    <row r="42" spans="1:21" s="12" customFormat="1" x14ac:dyDescent="0.25">
      <c r="A42" s="200" t="s">
        <v>373</v>
      </c>
      <c r="B42" s="59">
        <v>22.54</v>
      </c>
      <c r="C42" s="59">
        <v>83.06</v>
      </c>
      <c r="D42" s="59">
        <v>63.91</v>
      </c>
      <c r="E42" s="59">
        <v>4.24</v>
      </c>
      <c r="F42" s="59">
        <v>0.84</v>
      </c>
      <c r="G42" s="59">
        <v>100.87</v>
      </c>
      <c r="H42" s="59">
        <v>47.92</v>
      </c>
      <c r="I42" s="209" t="s">
        <v>36</v>
      </c>
      <c r="J42" s="59">
        <v>0.69</v>
      </c>
      <c r="K42" s="209" t="s">
        <v>36</v>
      </c>
      <c r="L42" s="59">
        <v>21.99</v>
      </c>
      <c r="M42" s="209" t="s">
        <v>36</v>
      </c>
      <c r="N42" s="59">
        <v>103.2</v>
      </c>
      <c r="O42" s="59">
        <v>0</v>
      </c>
      <c r="P42" s="59">
        <v>1.76</v>
      </c>
      <c r="Q42" s="59">
        <v>119.81</v>
      </c>
      <c r="R42" s="197"/>
      <c r="S42" s="197"/>
      <c r="T42" s="197"/>
      <c r="U42" s="197"/>
    </row>
    <row r="43" spans="1:21" s="12" customFormat="1" x14ac:dyDescent="0.25">
      <c r="A43" s="200" t="s">
        <v>374</v>
      </c>
      <c r="B43" s="59">
        <v>21.58</v>
      </c>
      <c r="C43" s="59">
        <v>83.85</v>
      </c>
      <c r="D43" s="59">
        <v>63.58</v>
      </c>
      <c r="E43" s="59">
        <v>4.21</v>
      </c>
      <c r="F43" s="59">
        <v>0.8</v>
      </c>
      <c r="G43" s="59">
        <v>98.77</v>
      </c>
      <c r="H43" s="59">
        <v>47.05</v>
      </c>
      <c r="I43" s="209" t="s">
        <v>36</v>
      </c>
      <c r="J43" s="59">
        <v>1.1599999999999999</v>
      </c>
      <c r="K43" s="209" t="s">
        <v>36</v>
      </c>
      <c r="L43" s="59">
        <v>21.86</v>
      </c>
      <c r="M43" s="209" t="s">
        <v>36</v>
      </c>
      <c r="N43" s="59">
        <v>129.80000000000001</v>
      </c>
      <c r="O43" s="59">
        <v>0</v>
      </c>
      <c r="P43" s="59">
        <v>1.72</v>
      </c>
      <c r="Q43" s="59">
        <v>120.53</v>
      </c>
      <c r="R43" s="197"/>
      <c r="S43" s="197"/>
      <c r="T43" s="197"/>
      <c r="U43" s="197"/>
    </row>
    <row r="44" spans="1:21" s="12" customFormat="1" x14ac:dyDescent="0.25">
      <c r="A44" s="200" t="s">
        <v>375</v>
      </c>
      <c r="B44" s="59">
        <v>20.100000000000001</v>
      </c>
      <c r="C44" s="59">
        <v>83.36</v>
      </c>
      <c r="D44" s="59">
        <v>62.12</v>
      </c>
      <c r="E44" s="59">
        <v>4.88</v>
      </c>
      <c r="F44" s="59">
        <v>0.84</v>
      </c>
      <c r="G44" s="59">
        <v>94.18</v>
      </c>
      <c r="H44" s="59">
        <v>44.36</v>
      </c>
      <c r="I44" s="209" t="s">
        <v>36</v>
      </c>
      <c r="J44" s="59">
        <v>0.75</v>
      </c>
      <c r="K44" s="209" t="s">
        <v>36</v>
      </c>
      <c r="L44" s="59">
        <v>23.37</v>
      </c>
      <c r="M44" s="209" t="s">
        <v>36</v>
      </c>
      <c r="N44" s="59">
        <v>150.1</v>
      </c>
      <c r="O44" s="59">
        <v>0</v>
      </c>
      <c r="P44" s="59">
        <v>1.68</v>
      </c>
      <c r="Q44" s="59">
        <v>120.2</v>
      </c>
      <c r="R44" s="197"/>
      <c r="S44" s="197"/>
      <c r="T44" s="197"/>
      <c r="U44" s="197"/>
    </row>
    <row r="45" spans="1:21" s="12" customFormat="1" x14ac:dyDescent="0.25">
      <c r="A45" s="200" t="s">
        <v>376</v>
      </c>
      <c r="B45" s="59">
        <v>18.75</v>
      </c>
      <c r="C45" s="59">
        <v>84.08</v>
      </c>
      <c r="D45" s="59">
        <v>61.44</v>
      </c>
      <c r="E45" s="59">
        <v>4.47</v>
      </c>
      <c r="F45" s="59">
        <v>0.73</v>
      </c>
      <c r="G45" s="59">
        <v>94.18</v>
      </c>
      <c r="H45" s="59">
        <v>44.36</v>
      </c>
      <c r="I45" s="209" t="s">
        <v>36</v>
      </c>
      <c r="J45" s="59">
        <v>0.96</v>
      </c>
      <c r="K45" s="209" t="s">
        <v>36</v>
      </c>
      <c r="L45" s="59">
        <v>23.15</v>
      </c>
      <c r="M45" s="209" t="s">
        <v>36</v>
      </c>
      <c r="N45" s="59">
        <v>170</v>
      </c>
      <c r="O45" s="59">
        <v>0</v>
      </c>
      <c r="P45" s="59">
        <v>1.64</v>
      </c>
      <c r="Q45" s="59">
        <v>119.65</v>
      </c>
      <c r="R45" s="197"/>
      <c r="S45" s="197"/>
      <c r="T45" s="197"/>
      <c r="U45" s="197"/>
    </row>
    <row r="46" spans="1:21" s="12" customFormat="1" x14ac:dyDescent="0.25">
      <c r="A46" s="200" t="s">
        <v>377</v>
      </c>
      <c r="B46" s="59">
        <v>17.07</v>
      </c>
      <c r="C46" s="59">
        <v>83.59</v>
      </c>
      <c r="D46" s="59">
        <v>59.82</v>
      </c>
      <c r="E46" s="59">
        <v>4.91</v>
      </c>
      <c r="F46" s="59">
        <v>1.1200000000000001</v>
      </c>
      <c r="G46" s="59">
        <v>94.18</v>
      </c>
      <c r="H46" s="59">
        <v>44.36</v>
      </c>
      <c r="I46" s="209" t="s">
        <v>36</v>
      </c>
      <c r="J46" s="59">
        <v>0.81</v>
      </c>
      <c r="K46" s="209" t="s">
        <v>36</v>
      </c>
      <c r="L46" s="59">
        <v>24.15</v>
      </c>
      <c r="M46" s="209" t="s">
        <v>36</v>
      </c>
      <c r="N46" s="59">
        <v>185.8</v>
      </c>
      <c r="O46" s="59">
        <v>0</v>
      </c>
      <c r="P46" s="59">
        <v>1.59</v>
      </c>
      <c r="Q46" s="59">
        <v>118.75</v>
      </c>
      <c r="R46" s="197"/>
      <c r="S46" s="197"/>
      <c r="T46" s="197"/>
      <c r="U46" s="197"/>
    </row>
    <row r="47" spans="1:21" s="12" customFormat="1" x14ac:dyDescent="0.25">
      <c r="A47" s="200" t="s">
        <v>378</v>
      </c>
      <c r="B47" s="59">
        <v>15.03</v>
      </c>
      <c r="C47" s="59">
        <v>83.27</v>
      </c>
      <c r="D47" s="59">
        <v>58.01</v>
      </c>
      <c r="E47" s="59">
        <v>4.9800000000000004</v>
      </c>
      <c r="F47" s="59">
        <v>1.1200000000000001</v>
      </c>
      <c r="G47" s="59">
        <v>96.81</v>
      </c>
      <c r="H47" s="59">
        <v>43.92</v>
      </c>
      <c r="I47" s="209" t="s">
        <v>36</v>
      </c>
      <c r="J47" s="59">
        <v>1.32</v>
      </c>
      <c r="K47" s="209" t="s">
        <v>36</v>
      </c>
      <c r="L47" s="59">
        <v>23.9</v>
      </c>
      <c r="M47" s="209" t="s">
        <v>36</v>
      </c>
      <c r="N47" s="59">
        <v>205.3</v>
      </c>
      <c r="O47" s="59">
        <v>0</v>
      </c>
      <c r="P47" s="59">
        <v>1.55</v>
      </c>
      <c r="Q47" s="59">
        <v>117.55</v>
      </c>
      <c r="R47" s="197"/>
      <c r="S47" s="197"/>
      <c r="T47" s="197"/>
      <c r="U47" s="197"/>
    </row>
    <row r="48" spans="1:21" s="12" customFormat="1" x14ac:dyDescent="0.25">
      <c r="A48" s="200" t="s">
        <v>379</v>
      </c>
      <c r="B48" s="59">
        <v>13.03</v>
      </c>
      <c r="C48" s="59">
        <v>81.650000000000006</v>
      </c>
      <c r="D48" s="59">
        <v>55.51</v>
      </c>
      <c r="E48" s="59">
        <v>4.2699999999999996</v>
      </c>
      <c r="F48" s="59">
        <v>1.0900000000000001</v>
      </c>
      <c r="G48" s="59">
        <v>102.58</v>
      </c>
      <c r="H48" s="59">
        <v>42.48</v>
      </c>
      <c r="I48" s="209" t="s">
        <v>36</v>
      </c>
      <c r="J48" s="59">
        <v>1.38</v>
      </c>
      <c r="K48" s="209" t="s">
        <v>36</v>
      </c>
      <c r="L48" s="59">
        <v>23.99</v>
      </c>
      <c r="M48" s="209" t="s">
        <v>36</v>
      </c>
      <c r="N48" s="59">
        <v>219.5</v>
      </c>
      <c r="O48" s="59">
        <v>0</v>
      </c>
      <c r="P48" s="59">
        <v>1.51</v>
      </c>
      <c r="Q48" s="59">
        <v>116.41</v>
      </c>
      <c r="R48" s="197"/>
      <c r="S48" s="197"/>
      <c r="T48" s="197"/>
      <c r="U48" s="197"/>
    </row>
    <row r="49" spans="1:21" s="12" customFormat="1" x14ac:dyDescent="0.25">
      <c r="A49" s="200" t="s">
        <v>380</v>
      </c>
      <c r="B49" s="59">
        <v>11.53</v>
      </c>
      <c r="C49" s="59">
        <v>80.17</v>
      </c>
      <c r="D49" s="59">
        <v>53.49</v>
      </c>
      <c r="E49" s="59">
        <v>4.8600000000000003</v>
      </c>
      <c r="F49" s="59">
        <v>0.9</v>
      </c>
      <c r="G49" s="59">
        <v>102.58</v>
      </c>
      <c r="H49" s="59">
        <v>42.48</v>
      </c>
      <c r="I49" s="209" t="s">
        <v>36</v>
      </c>
      <c r="J49" s="59">
        <v>0.94</v>
      </c>
      <c r="K49" s="209" t="s">
        <v>36</v>
      </c>
      <c r="L49" s="59">
        <v>25.16</v>
      </c>
      <c r="M49" s="209" t="s">
        <v>36</v>
      </c>
      <c r="N49" s="59">
        <v>232.6</v>
      </c>
      <c r="O49" s="59">
        <v>0</v>
      </c>
      <c r="P49" s="59">
        <v>1.45</v>
      </c>
      <c r="Q49" s="59">
        <v>116.61</v>
      </c>
      <c r="R49" s="197"/>
      <c r="S49" s="197"/>
      <c r="T49" s="197"/>
      <c r="U49" s="197"/>
    </row>
    <row r="50" spans="1:21" s="12" customFormat="1" x14ac:dyDescent="0.25">
      <c r="A50" s="200" t="s">
        <v>381</v>
      </c>
      <c r="B50" s="59">
        <v>10.66</v>
      </c>
      <c r="C50" s="59">
        <v>80.5</v>
      </c>
      <c r="D50" s="59">
        <v>52.97</v>
      </c>
      <c r="E50" s="59">
        <v>4.21</v>
      </c>
      <c r="F50" s="59">
        <v>1.08</v>
      </c>
      <c r="G50" s="59">
        <v>102.58</v>
      </c>
      <c r="H50" s="59">
        <v>42.48</v>
      </c>
      <c r="I50" s="209" t="s">
        <v>36</v>
      </c>
      <c r="J50" s="59">
        <v>1.04</v>
      </c>
      <c r="K50" s="209" t="s">
        <v>36</v>
      </c>
      <c r="L50" s="59">
        <v>26.9</v>
      </c>
      <c r="M50" s="209" t="s">
        <v>36</v>
      </c>
      <c r="N50" s="59">
        <v>241.7</v>
      </c>
      <c r="O50" s="59">
        <v>0</v>
      </c>
      <c r="P50" s="59">
        <v>1.43</v>
      </c>
      <c r="Q50" s="59">
        <v>116.47</v>
      </c>
      <c r="R50" s="197"/>
      <c r="S50" s="197"/>
      <c r="T50" s="197"/>
      <c r="U50" s="197"/>
    </row>
    <row r="51" spans="1:21" s="12" customFormat="1" x14ac:dyDescent="0.25">
      <c r="A51" s="200" t="s">
        <v>382</v>
      </c>
      <c r="B51" s="59">
        <v>9.25</v>
      </c>
      <c r="C51" s="59">
        <v>80.239999999999995</v>
      </c>
      <c r="D51" s="59">
        <v>51.7</v>
      </c>
      <c r="E51" s="59">
        <v>4.3899999999999997</v>
      </c>
      <c r="F51" s="59">
        <v>0.77</v>
      </c>
      <c r="G51" s="59">
        <v>99.31</v>
      </c>
      <c r="H51" s="59">
        <v>42.19</v>
      </c>
      <c r="I51" s="209" t="s">
        <v>36</v>
      </c>
      <c r="J51" s="59">
        <v>0.89</v>
      </c>
      <c r="K51" s="209" t="s">
        <v>36</v>
      </c>
      <c r="L51" s="59">
        <v>26.26</v>
      </c>
      <c r="M51" s="209" t="s">
        <v>36</v>
      </c>
      <c r="N51" s="59">
        <v>250.2</v>
      </c>
      <c r="O51" s="59">
        <v>0</v>
      </c>
      <c r="P51" s="59">
        <v>1.4</v>
      </c>
      <c r="Q51" s="59">
        <v>113.35</v>
      </c>
      <c r="R51" s="197"/>
      <c r="S51" s="197"/>
      <c r="T51" s="197"/>
      <c r="U51" s="197"/>
    </row>
    <row r="52" spans="1:21" s="12" customFormat="1" x14ac:dyDescent="0.25">
      <c r="A52" s="200" t="s">
        <v>383</v>
      </c>
      <c r="B52" s="59">
        <v>7.7</v>
      </c>
      <c r="C52" s="59">
        <v>79.31</v>
      </c>
      <c r="D52" s="59">
        <v>49.95</v>
      </c>
      <c r="E52" s="59">
        <v>4.3499999999999996</v>
      </c>
      <c r="F52" s="59">
        <v>1.28</v>
      </c>
      <c r="G52" s="59">
        <v>91.78</v>
      </c>
      <c r="H52" s="59">
        <v>41.23</v>
      </c>
      <c r="I52" s="209" t="s">
        <v>36</v>
      </c>
      <c r="J52" s="59">
        <v>1.07</v>
      </c>
      <c r="K52" s="209" t="s">
        <v>36</v>
      </c>
      <c r="L52" s="59">
        <v>26.62</v>
      </c>
      <c r="M52" s="209" t="s">
        <v>36</v>
      </c>
      <c r="N52" s="59">
        <v>258.5</v>
      </c>
      <c r="O52" s="59">
        <v>0</v>
      </c>
      <c r="P52" s="59">
        <v>1.36</v>
      </c>
      <c r="Q52" s="59">
        <v>111.24</v>
      </c>
      <c r="R52" s="197"/>
      <c r="S52" s="197"/>
      <c r="T52" s="197"/>
      <c r="U52" s="197"/>
    </row>
    <row r="53" spans="1:21" s="12" customFormat="1" x14ac:dyDescent="0.25">
      <c r="A53" s="200" t="s">
        <v>384</v>
      </c>
      <c r="B53" s="59">
        <v>6.2</v>
      </c>
      <c r="C53" s="59">
        <v>77.84</v>
      </c>
      <c r="D53" s="59">
        <v>47.93</v>
      </c>
      <c r="E53" s="59">
        <v>4.1100000000000003</v>
      </c>
      <c r="F53" s="59">
        <v>1.54</v>
      </c>
      <c r="G53" s="59">
        <v>91.78</v>
      </c>
      <c r="H53" s="59">
        <v>41.23</v>
      </c>
      <c r="I53" s="209" t="s">
        <v>36</v>
      </c>
      <c r="J53" s="59">
        <v>0.99</v>
      </c>
      <c r="K53" s="209" t="s">
        <v>36</v>
      </c>
      <c r="L53" s="59">
        <v>26.9</v>
      </c>
      <c r="M53" s="209" t="s">
        <v>36</v>
      </c>
      <c r="N53" s="59">
        <v>261.2</v>
      </c>
      <c r="O53" s="59">
        <v>0</v>
      </c>
      <c r="P53" s="59">
        <v>1.32</v>
      </c>
      <c r="Q53" s="59">
        <v>111.06</v>
      </c>
      <c r="R53" s="197"/>
      <c r="S53" s="197"/>
      <c r="T53" s="197"/>
      <c r="U53" s="197"/>
    </row>
    <row r="54" spans="1:21" s="12" customFormat="1" x14ac:dyDescent="0.25">
      <c r="A54" s="200" t="s">
        <v>385</v>
      </c>
      <c r="B54" s="59">
        <v>3.71</v>
      </c>
      <c r="C54" s="59">
        <v>77.64</v>
      </c>
      <c r="D54" s="59">
        <v>45.83</v>
      </c>
      <c r="E54" s="59">
        <v>6.65</v>
      </c>
      <c r="F54" s="59">
        <v>8.06</v>
      </c>
      <c r="G54" s="59">
        <v>91.78</v>
      </c>
      <c r="H54" s="59">
        <v>41.23</v>
      </c>
      <c r="I54" s="209" t="s">
        <v>36</v>
      </c>
      <c r="J54" s="59">
        <v>0.96</v>
      </c>
      <c r="K54" s="59">
        <v>96.91</v>
      </c>
      <c r="L54" s="59">
        <v>27.12</v>
      </c>
      <c r="M54" s="209" t="s">
        <v>36</v>
      </c>
      <c r="N54" s="59">
        <v>266.7</v>
      </c>
      <c r="O54" s="59">
        <v>0</v>
      </c>
      <c r="P54" s="59">
        <v>1.18</v>
      </c>
      <c r="Q54" s="59">
        <v>96.16</v>
      </c>
      <c r="R54" s="197"/>
      <c r="S54" s="197"/>
      <c r="T54" s="197"/>
      <c r="U54" s="197"/>
    </row>
    <row r="55" spans="1:21" s="12" customFormat="1" x14ac:dyDescent="0.25">
      <c r="A55" s="200" t="s">
        <v>386</v>
      </c>
      <c r="B55" s="59">
        <v>2.0299999999999998</v>
      </c>
      <c r="C55" s="59">
        <v>73.569999999999993</v>
      </c>
      <c r="D55" s="59">
        <v>42.23</v>
      </c>
      <c r="E55" s="59">
        <v>7.17</v>
      </c>
      <c r="F55" s="59">
        <v>6.84</v>
      </c>
      <c r="G55" s="59">
        <v>88.75</v>
      </c>
      <c r="H55" s="59">
        <v>40.69</v>
      </c>
      <c r="I55" s="59">
        <v>0.13</v>
      </c>
      <c r="J55" s="59">
        <v>0.64</v>
      </c>
      <c r="K55" s="59">
        <v>132.97999999999999</v>
      </c>
      <c r="L55" s="59">
        <v>28.38</v>
      </c>
      <c r="M55" s="209" t="s">
        <v>36</v>
      </c>
      <c r="N55" s="59">
        <v>262.10000000000002</v>
      </c>
      <c r="O55" s="59">
        <v>0</v>
      </c>
      <c r="P55" s="59">
        <v>1.08</v>
      </c>
      <c r="Q55" s="59">
        <v>83.34</v>
      </c>
      <c r="R55" s="197"/>
      <c r="S55" s="197"/>
      <c r="T55" s="197"/>
      <c r="U55" s="197"/>
    </row>
    <row r="56" spans="1:21" s="12" customFormat="1" x14ac:dyDescent="0.25">
      <c r="A56" s="200" t="s">
        <v>387</v>
      </c>
      <c r="B56" s="59">
        <v>1.82</v>
      </c>
      <c r="C56" s="59">
        <v>71.13</v>
      </c>
      <c r="D56" s="59">
        <v>40.71</v>
      </c>
      <c r="E56" s="59">
        <v>8.52</v>
      </c>
      <c r="F56" s="59">
        <v>9.7799999999999994</v>
      </c>
      <c r="G56" s="59">
        <v>73.209999999999994</v>
      </c>
      <c r="H56" s="59">
        <v>39.03</v>
      </c>
      <c r="I56" s="59">
        <v>0.42</v>
      </c>
      <c r="J56" s="59">
        <v>0.95</v>
      </c>
      <c r="K56" s="59">
        <v>102.42</v>
      </c>
      <c r="L56" s="59">
        <v>29.5</v>
      </c>
      <c r="M56" s="209" t="s">
        <v>36</v>
      </c>
      <c r="N56" s="59">
        <v>265.8</v>
      </c>
      <c r="O56" s="59">
        <v>0</v>
      </c>
      <c r="P56" s="59">
        <v>1.01</v>
      </c>
      <c r="Q56" s="59">
        <v>75.349999999999994</v>
      </c>
      <c r="R56" s="197"/>
      <c r="S56" s="197"/>
      <c r="T56" s="197"/>
      <c r="U56" s="197"/>
    </row>
    <row r="57" spans="1:21" s="12" customFormat="1" x14ac:dyDescent="0.25">
      <c r="A57" s="200" t="s">
        <v>388</v>
      </c>
      <c r="B57" s="59">
        <v>6.76</v>
      </c>
      <c r="C57" s="59">
        <v>72.040000000000006</v>
      </c>
      <c r="D57" s="59">
        <v>45.17</v>
      </c>
      <c r="E57" s="59">
        <v>16.7</v>
      </c>
      <c r="F57" s="59">
        <v>20.13</v>
      </c>
      <c r="G57" s="59">
        <v>73.209999999999994</v>
      </c>
      <c r="H57" s="59">
        <v>39.03</v>
      </c>
      <c r="I57" s="59">
        <v>0.36</v>
      </c>
      <c r="J57" s="59">
        <v>0.92</v>
      </c>
      <c r="K57" s="59">
        <v>59.16</v>
      </c>
      <c r="L57" s="59">
        <v>30.48</v>
      </c>
      <c r="M57" s="209" t="s">
        <v>36</v>
      </c>
      <c r="N57" s="59">
        <v>260.39999999999998</v>
      </c>
      <c r="O57" s="59">
        <v>0</v>
      </c>
      <c r="P57" s="59">
        <v>1</v>
      </c>
      <c r="Q57" s="214" t="s">
        <v>47</v>
      </c>
      <c r="R57" s="197"/>
      <c r="S57" s="197"/>
      <c r="T57" s="197"/>
      <c r="U57" s="197"/>
    </row>
    <row r="58" spans="1:21" s="12" customFormat="1" x14ac:dyDescent="0.25">
      <c r="A58" s="200" t="s">
        <v>389</v>
      </c>
      <c r="B58" s="59">
        <v>3.68</v>
      </c>
      <c r="C58" s="59">
        <v>80.63</v>
      </c>
      <c r="D58" s="59">
        <v>47.45</v>
      </c>
      <c r="E58" s="59">
        <v>18.600000000000001</v>
      </c>
      <c r="F58" s="59">
        <v>17.21</v>
      </c>
      <c r="G58" s="59">
        <v>73.209999999999994</v>
      </c>
      <c r="H58" s="59">
        <v>39.03</v>
      </c>
      <c r="I58" s="59">
        <v>0.28999999999999998</v>
      </c>
      <c r="J58" s="59">
        <v>0.64</v>
      </c>
      <c r="K58" s="59">
        <v>48.45</v>
      </c>
      <c r="L58" s="59">
        <v>31.82</v>
      </c>
      <c r="M58" s="209" t="s">
        <v>36</v>
      </c>
      <c r="N58" s="59">
        <v>250.5</v>
      </c>
      <c r="O58" s="59">
        <v>0</v>
      </c>
      <c r="P58" s="59">
        <v>1.01</v>
      </c>
      <c r="Q58" s="59">
        <v>71.89</v>
      </c>
      <c r="R58" s="197"/>
      <c r="S58" s="197"/>
      <c r="T58" s="197"/>
      <c r="U58" s="197"/>
    </row>
    <row r="59" spans="1:21" s="12" customFormat="1" x14ac:dyDescent="0.25">
      <c r="A59" s="200" t="s">
        <v>390</v>
      </c>
      <c r="B59" s="59">
        <v>2</v>
      </c>
      <c r="C59" s="59">
        <v>74.36</v>
      </c>
      <c r="D59" s="59">
        <v>42.64</v>
      </c>
      <c r="E59" s="59">
        <v>12.87</v>
      </c>
      <c r="F59" s="59">
        <v>17.489999999999998</v>
      </c>
      <c r="G59" s="59">
        <v>69.099999999999994</v>
      </c>
      <c r="H59" s="59">
        <v>38.68</v>
      </c>
      <c r="I59" s="59">
        <v>0.26</v>
      </c>
      <c r="J59" s="59">
        <v>0.76</v>
      </c>
      <c r="K59" s="59">
        <v>81.3</v>
      </c>
      <c r="L59" s="59">
        <v>29.11</v>
      </c>
      <c r="M59" s="209" t="s">
        <v>36</v>
      </c>
      <c r="N59" s="59">
        <v>241.5</v>
      </c>
      <c r="O59" s="59">
        <v>0</v>
      </c>
      <c r="P59" s="59">
        <v>0.93</v>
      </c>
      <c r="Q59" s="59">
        <v>68.58</v>
      </c>
      <c r="R59" s="197"/>
      <c r="S59" s="197"/>
      <c r="T59" s="197"/>
      <c r="U59" s="197"/>
    </row>
    <row r="60" spans="1:21" s="12" customFormat="1" x14ac:dyDescent="0.25">
      <c r="A60" s="200" t="s">
        <v>391</v>
      </c>
      <c r="B60" s="59">
        <v>2.27</v>
      </c>
      <c r="C60" s="59">
        <v>69.92</v>
      </c>
      <c r="D60" s="59">
        <v>40.409999999999997</v>
      </c>
      <c r="E60" s="59">
        <v>11.9</v>
      </c>
      <c r="F60" s="59">
        <v>12.81</v>
      </c>
      <c r="G60" s="59">
        <v>60.09</v>
      </c>
      <c r="H60" s="59">
        <v>37.590000000000003</v>
      </c>
      <c r="I60" s="59">
        <v>0.26</v>
      </c>
      <c r="J60" s="59">
        <v>0.69</v>
      </c>
      <c r="K60" s="209" t="s">
        <v>36</v>
      </c>
      <c r="L60" s="59">
        <v>29.92</v>
      </c>
      <c r="M60" s="209" t="s">
        <v>36</v>
      </c>
      <c r="N60" s="59">
        <v>234.9</v>
      </c>
      <c r="O60" s="59">
        <v>0</v>
      </c>
      <c r="P60" s="59">
        <v>0.9</v>
      </c>
      <c r="Q60" s="59">
        <v>68.540000000000006</v>
      </c>
      <c r="R60" s="197"/>
      <c r="S60" s="197"/>
      <c r="T60" s="197"/>
      <c r="U60" s="197"/>
    </row>
    <row r="61" spans="1:21" s="12" customFormat="1" x14ac:dyDescent="0.25">
      <c r="A61" s="200" t="s">
        <v>392</v>
      </c>
      <c r="B61" s="59">
        <v>2.68</v>
      </c>
      <c r="C61" s="59">
        <v>70.94</v>
      </c>
      <c r="D61" s="59">
        <v>41.3</v>
      </c>
      <c r="E61" s="59">
        <v>10.029999999999999</v>
      </c>
      <c r="F61" s="59">
        <v>14.15</v>
      </c>
      <c r="G61" s="59">
        <v>60.09</v>
      </c>
      <c r="H61" s="59">
        <v>37.590000000000003</v>
      </c>
      <c r="I61" s="59">
        <v>0.23</v>
      </c>
      <c r="J61" s="59">
        <v>0.54</v>
      </c>
      <c r="K61" s="209" t="s">
        <v>36</v>
      </c>
      <c r="L61" s="59">
        <v>29.8</v>
      </c>
      <c r="M61" s="209" t="s">
        <v>36</v>
      </c>
      <c r="N61" s="59">
        <v>223.4</v>
      </c>
      <c r="O61" s="59">
        <v>0</v>
      </c>
      <c r="P61" s="59">
        <v>0.86</v>
      </c>
      <c r="Q61" s="59">
        <v>67.989999999999995</v>
      </c>
      <c r="R61" s="197"/>
      <c r="S61" s="197"/>
      <c r="T61" s="197"/>
      <c r="U61" s="197"/>
    </row>
    <row r="62" spans="1:21" s="12" customFormat="1" x14ac:dyDescent="0.25">
      <c r="A62" s="200" t="s">
        <v>393</v>
      </c>
      <c r="B62" s="59">
        <v>2.96</v>
      </c>
      <c r="C62" s="59">
        <v>74.62</v>
      </c>
      <c r="D62" s="59">
        <v>43.55</v>
      </c>
      <c r="E62" s="59">
        <v>8.98</v>
      </c>
      <c r="F62" s="59">
        <v>18.66</v>
      </c>
      <c r="G62" s="59">
        <v>60.09</v>
      </c>
      <c r="H62" s="59">
        <v>37.590000000000003</v>
      </c>
      <c r="I62" s="59">
        <v>0.24</v>
      </c>
      <c r="J62" s="59">
        <v>1.1000000000000001</v>
      </c>
      <c r="K62" s="209" t="s">
        <v>36</v>
      </c>
      <c r="L62" s="59">
        <v>32.520000000000003</v>
      </c>
      <c r="M62" s="209" t="s">
        <v>36</v>
      </c>
      <c r="N62" s="59">
        <v>221.8</v>
      </c>
      <c r="O62" s="59">
        <v>0</v>
      </c>
      <c r="P62" s="59">
        <v>0.9</v>
      </c>
      <c r="Q62" s="59">
        <v>67.7</v>
      </c>
      <c r="R62" s="197"/>
      <c r="S62" s="197"/>
      <c r="T62" s="197"/>
      <c r="U62" s="197"/>
    </row>
    <row r="63" spans="1:21" s="12" customFormat="1" x14ac:dyDescent="0.25">
      <c r="A63" s="200" t="s">
        <v>394</v>
      </c>
      <c r="B63" s="59">
        <v>3.18</v>
      </c>
      <c r="C63" s="59">
        <v>72.290000000000006</v>
      </c>
      <c r="D63" s="59">
        <v>42.45</v>
      </c>
      <c r="E63" s="59">
        <v>15.75</v>
      </c>
      <c r="F63" s="59">
        <v>20.440000000000001</v>
      </c>
      <c r="G63" s="59">
        <v>63.75</v>
      </c>
      <c r="H63" s="59">
        <v>38.08</v>
      </c>
      <c r="I63" s="59">
        <v>0.23</v>
      </c>
      <c r="J63" s="59">
        <v>0.8</v>
      </c>
      <c r="K63" s="209" t="s">
        <v>36</v>
      </c>
      <c r="L63" s="59">
        <v>34.11</v>
      </c>
      <c r="M63" s="209" t="s">
        <v>36</v>
      </c>
      <c r="N63" s="59">
        <v>199.4</v>
      </c>
      <c r="O63" s="59">
        <v>0</v>
      </c>
      <c r="P63" s="59">
        <v>0.96</v>
      </c>
      <c r="Q63" s="59">
        <v>69.27</v>
      </c>
      <c r="R63" s="197"/>
      <c r="S63" s="197"/>
      <c r="T63" s="197"/>
      <c r="U63" s="197"/>
    </row>
    <row r="64" spans="1:21" s="12" customFormat="1" x14ac:dyDescent="0.25">
      <c r="A64" s="200" t="s">
        <v>395</v>
      </c>
      <c r="B64" s="59">
        <v>2.34</v>
      </c>
      <c r="C64" s="59">
        <v>71</v>
      </c>
      <c r="D64" s="59">
        <v>41.06</v>
      </c>
      <c r="E64" s="59">
        <v>10.64</v>
      </c>
      <c r="F64" s="59">
        <v>20.059999999999999</v>
      </c>
      <c r="G64" s="59">
        <v>72.150000000000006</v>
      </c>
      <c r="H64" s="59">
        <v>39.700000000000003</v>
      </c>
      <c r="I64" s="59">
        <v>0.23</v>
      </c>
      <c r="J64" s="59">
        <v>0.68</v>
      </c>
      <c r="K64" s="209" t="s">
        <v>36</v>
      </c>
      <c r="L64" s="59">
        <v>33.76</v>
      </c>
      <c r="M64" s="209" t="s">
        <v>36</v>
      </c>
      <c r="N64" s="59">
        <v>184.3</v>
      </c>
      <c r="O64" s="59">
        <v>0</v>
      </c>
      <c r="P64" s="59">
        <v>0.99</v>
      </c>
      <c r="Q64" s="59">
        <v>70.709999999999994</v>
      </c>
      <c r="R64" s="197"/>
      <c r="S64" s="197"/>
      <c r="T64" s="197"/>
      <c r="U64" s="197"/>
    </row>
    <row r="65" spans="1:21" s="12" customFormat="1" x14ac:dyDescent="0.25">
      <c r="A65" s="200" t="s">
        <v>396</v>
      </c>
      <c r="B65" s="59">
        <v>1.76</v>
      </c>
      <c r="C65" s="59">
        <v>76.260000000000005</v>
      </c>
      <c r="D65" s="59">
        <v>43.49</v>
      </c>
      <c r="E65" s="59">
        <v>7.98</v>
      </c>
      <c r="F65" s="59">
        <v>13.84</v>
      </c>
      <c r="G65" s="59">
        <v>72.150000000000006</v>
      </c>
      <c r="H65" s="59">
        <v>39.700000000000003</v>
      </c>
      <c r="I65" s="59">
        <v>0.24</v>
      </c>
      <c r="J65" s="59">
        <v>0.93</v>
      </c>
      <c r="K65" s="209" t="s">
        <v>36</v>
      </c>
      <c r="L65" s="59">
        <v>30.31</v>
      </c>
      <c r="M65" s="209" t="s">
        <v>36</v>
      </c>
      <c r="N65" s="59">
        <v>298.5</v>
      </c>
      <c r="O65" s="59">
        <v>0</v>
      </c>
      <c r="P65" s="59">
        <v>1.01</v>
      </c>
      <c r="Q65" s="59">
        <v>68.13</v>
      </c>
      <c r="R65" s="197"/>
      <c r="S65" s="197"/>
      <c r="T65" s="197"/>
      <c r="U65" s="197"/>
    </row>
    <row r="66" spans="1:21" s="12" customFormat="1" x14ac:dyDescent="0.25">
      <c r="A66" s="200" t="s">
        <v>397</v>
      </c>
      <c r="B66" s="59">
        <v>1.51</v>
      </c>
      <c r="C66" s="59">
        <v>82.2</v>
      </c>
      <c r="D66" s="59">
        <v>46.58</v>
      </c>
      <c r="E66" s="59">
        <v>5.09</v>
      </c>
      <c r="F66" s="59">
        <v>6.84</v>
      </c>
      <c r="G66" s="59">
        <v>72.150000000000006</v>
      </c>
      <c r="H66" s="59">
        <v>39.700000000000003</v>
      </c>
      <c r="I66" s="59">
        <v>0.25</v>
      </c>
      <c r="J66" s="59">
        <v>0.67</v>
      </c>
      <c r="K66" s="209" t="s">
        <v>36</v>
      </c>
      <c r="L66" s="59">
        <v>31.54</v>
      </c>
      <c r="M66" s="209" t="s">
        <v>36</v>
      </c>
      <c r="N66" s="59">
        <v>216</v>
      </c>
      <c r="O66" s="59">
        <v>0</v>
      </c>
      <c r="P66" s="59">
        <v>1.01</v>
      </c>
      <c r="Q66" s="59">
        <v>69.95</v>
      </c>
      <c r="R66" s="197"/>
      <c r="S66" s="197"/>
      <c r="T66" s="197"/>
      <c r="U66" s="197"/>
    </row>
    <row r="67" spans="1:21" s="12" customFormat="1" x14ac:dyDescent="0.25">
      <c r="A67" s="200" t="s">
        <v>398</v>
      </c>
      <c r="B67" s="59">
        <v>1.94</v>
      </c>
      <c r="C67" s="59">
        <v>84.01</v>
      </c>
      <c r="D67" s="59">
        <v>47.92</v>
      </c>
      <c r="E67" s="59">
        <v>4.68</v>
      </c>
      <c r="F67" s="59">
        <v>9.09</v>
      </c>
      <c r="G67" s="59">
        <v>72.58</v>
      </c>
      <c r="H67" s="59">
        <v>39.21</v>
      </c>
      <c r="I67" s="59">
        <v>0.24</v>
      </c>
      <c r="J67" s="59">
        <v>0.93</v>
      </c>
      <c r="K67" s="209" t="s">
        <v>36</v>
      </c>
      <c r="L67" s="59">
        <v>32.68</v>
      </c>
      <c r="M67" s="209" t="s">
        <v>36</v>
      </c>
      <c r="N67" s="59">
        <v>193</v>
      </c>
      <c r="O67" s="59">
        <v>0</v>
      </c>
      <c r="P67" s="59">
        <v>1.04</v>
      </c>
      <c r="Q67" s="59">
        <v>73.12</v>
      </c>
      <c r="R67" s="197"/>
      <c r="S67" s="197"/>
      <c r="T67" s="197"/>
      <c r="U67" s="197"/>
    </row>
    <row r="68" spans="1:21" s="12" customFormat="1" x14ac:dyDescent="0.25">
      <c r="A68" s="200" t="s">
        <v>399</v>
      </c>
      <c r="B68" s="59">
        <v>2.84</v>
      </c>
      <c r="C68" s="59">
        <v>88.97</v>
      </c>
      <c r="D68" s="59">
        <v>51.38</v>
      </c>
      <c r="E68" s="59">
        <v>13.05</v>
      </c>
      <c r="F68" s="59">
        <v>22.38</v>
      </c>
      <c r="G68" s="59">
        <v>73.58</v>
      </c>
      <c r="H68" s="59">
        <v>37.590000000000003</v>
      </c>
      <c r="I68" s="59">
        <v>0.25</v>
      </c>
      <c r="J68" s="59">
        <v>0.61</v>
      </c>
      <c r="K68" s="59">
        <v>3.85</v>
      </c>
      <c r="L68" s="59">
        <v>-54.98</v>
      </c>
      <c r="M68" s="209" t="s">
        <v>36</v>
      </c>
      <c r="N68" s="59">
        <v>222.1</v>
      </c>
      <c r="O68" s="59">
        <v>0</v>
      </c>
      <c r="P68" s="59">
        <v>1.1200000000000001</v>
      </c>
      <c r="Q68" s="59">
        <v>70.78</v>
      </c>
      <c r="R68" s="197"/>
      <c r="S68" s="197"/>
      <c r="T68" s="197"/>
      <c r="U68" s="197"/>
    </row>
    <row r="69" spans="1:21" s="12" customFormat="1" x14ac:dyDescent="0.25">
      <c r="A69" s="200" t="s">
        <v>400</v>
      </c>
      <c r="B69" s="59">
        <v>3.79</v>
      </c>
      <c r="C69" s="59">
        <v>100.35</v>
      </c>
      <c r="D69" s="59">
        <v>58.42</v>
      </c>
      <c r="E69" s="59">
        <v>9.11</v>
      </c>
      <c r="F69" s="59">
        <v>18.11</v>
      </c>
      <c r="G69" s="59">
        <v>73.58</v>
      </c>
      <c r="H69" s="59">
        <v>37.590000000000003</v>
      </c>
      <c r="I69" s="59">
        <v>0.25</v>
      </c>
      <c r="J69" s="59">
        <v>0.28000000000000003</v>
      </c>
      <c r="K69" s="59">
        <v>111.61</v>
      </c>
      <c r="L69" s="59">
        <v>-52.07</v>
      </c>
      <c r="M69" s="209" t="s">
        <v>36</v>
      </c>
      <c r="N69" s="59">
        <v>213.5</v>
      </c>
      <c r="O69" s="59">
        <v>0</v>
      </c>
      <c r="P69" s="59">
        <v>1.2</v>
      </c>
      <c r="Q69" s="59">
        <v>67.59</v>
      </c>
      <c r="R69" s="197"/>
      <c r="S69" s="197"/>
      <c r="T69" s="197"/>
      <c r="U69" s="197"/>
    </row>
    <row r="70" spans="1:21" s="12" customFormat="1" x14ac:dyDescent="0.25">
      <c r="A70" s="200" t="s">
        <v>401</v>
      </c>
      <c r="B70" s="59">
        <v>5.0599999999999996</v>
      </c>
      <c r="C70" s="59">
        <v>113.32</v>
      </c>
      <c r="D70" s="59">
        <v>66.599999999999994</v>
      </c>
      <c r="E70" s="59">
        <v>10.82</v>
      </c>
      <c r="F70" s="59">
        <v>21.75</v>
      </c>
      <c r="G70" s="59">
        <v>73.58</v>
      </c>
      <c r="H70" s="59">
        <v>37.590000000000003</v>
      </c>
      <c r="I70" s="59">
        <v>0.23</v>
      </c>
      <c r="J70" s="59">
        <v>0.45</v>
      </c>
      <c r="K70" s="59">
        <v>135.81</v>
      </c>
      <c r="L70" s="59">
        <v>30.18</v>
      </c>
      <c r="M70" s="209" t="s">
        <v>36</v>
      </c>
      <c r="N70" s="59">
        <v>153.4</v>
      </c>
      <c r="O70" s="59">
        <v>0</v>
      </c>
      <c r="P70" s="59">
        <v>1.28</v>
      </c>
      <c r="Q70" s="59">
        <v>69.62</v>
      </c>
      <c r="R70" s="197"/>
      <c r="S70" s="197"/>
      <c r="T70" s="197"/>
      <c r="U70" s="197"/>
    </row>
    <row r="71" spans="1:21" s="12" customFormat="1" x14ac:dyDescent="0.25">
      <c r="A71" s="200" t="s">
        <v>402</v>
      </c>
      <c r="B71" s="59">
        <v>5.03</v>
      </c>
      <c r="C71" s="59">
        <v>98.34</v>
      </c>
      <c r="D71" s="59">
        <v>58.3</v>
      </c>
      <c r="E71" s="59">
        <v>16.21</v>
      </c>
      <c r="F71" s="59">
        <v>35.71</v>
      </c>
      <c r="G71" s="59">
        <v>73.489999999999995</v>
      </c>
      <c r="H71" s="59">
        <v>37.01</v>
      </c>
      <c r="I71" s="59">
        <v>0.23</v>
      </c>
      <c r="J71" s="59">
        <v>0.32</v>
      </c>
      <c r="K71" s="59">
        <v>142.22999999999999</v>
      </c>
      <c r="L71" s="59">
        <v>29.66</v>
      </c>
      <c r="M71" s="209" t="s">
        <v>36</v>
      </c>
      <c r="N71" s="59">
        <v>133.19999999999999</v>
      </c>
      <c r="O71" s="59">
        <v>0</v>
      </c>
      <c r="P71" s="59">
        <v>1.39</v>
      </c>
      <c r="Q71" s="214" t="s">
        <v>47</v>
      </c>
      <c r="R71" s="197"/>
      <c r="S71" s="197"/>
      <c r="T71" s="197"/>
      <c r="U71" s="197"/>
    </row>
    <row r="72" spans="1:21" s="12" customFormat="1" x14ac:dyDescent="0.25">
      <c r="A72" s="200" t="s">
        <v>403</v>
      </c>
      <c r="B72" s="59">
        <v>3.81</v>
      </c>
      <c r="C72" s="59">
        <v>97.9</v>
      </c>
      <c r="D72" s="59">
        <v>57.09</v>
      </c>
      <c r="E72" s="59">
        <v>13.38</v>
      </c>
      <c r="F72" s="59">
        <v>37.729999999999997</v>
      </c>
      <c r="G72" s="59">
        <v>73.03</v>
      </c>
      <c r="H72" s="59">
        <v>35.65</v>
      </c>
      <c r="I72" s="59">
        <v>0.24</v>
      </c>
      <c r="J72" s="59">
        <v>0.42</v>
      </c>
      <c r="K72" s="59">
        <v>145.1</v>
      </c>
      <c r="L72" s="59">
        <v>28.87</v>
      </c>
      <c r="M72" s="209" t="s">
        <v>36</v>
      </c>
      <c r="N72" s="59">
        <v>93.5</v>
      </c>
      <c r="O72" s="59">
        <v>0</v>
      </c>
      <c r="P72" s="59">
        <v>1.31</v>
      </c>
      <c r="Q72" s="59">
        <v>74.02</v>
      </c>
      <c r="R72" s="197"/>
      <c r="S72" s="197"/>
      <c r="T72" s="197"/>
      <c r="U72" s="197"/>
    </row>
    <row r="73" spans="1:21" s="12" customFormat="1" x14ac:dyDescent="0.25">
      <c r="A73" s="200" t="s">
        <v>404</v>
      </c>
      <c r="B73" s="59">
        <v>6.87</v>
      </c>
      <c r="C73" s="59">
        <v>65.47</v>
      </c>
      <c r="D73" s="59">
        <v>41.64</v>
      </c>
      <c r="E73" s="59">
        <v>17.66</v>
      </c>
      <c r="F73" s="59">
        <v>32.270000000000003</v>
      </c>
      <c r="G73" s="59">
        <v>73.03</v>
      </c>
      <c r="H73" s="59">
        <v>35.65</v>
      </c>
      <c r="I73" s="59">
        <v>0.24</v>
      </c>
      <c r="J73" s="59">
        <v>0.28000000000000003</v>
      </c>
      <c r="K73" s="59">
        <v>151.88</v>
      </c>
      <c r="L73" s="59">
        <v>28.22</v>
      </c>
      <c r="M73" s="209" t="s">
        <v>36</v>
      </c>
      <c r="N73" s="59">
        <v>76.8</v>
      </c>
      <c r="O73" s="59">
        <v>0</v>
      </c>
      <c r="P73" s="59">
        <v>1.42</v>
      </c>
      <c r="Q73" s="59">
        <v>55.22</v>
      </c>
      <c r="R73" s="197"/>
      <c r="S73" s="197"/>
      <c r="T73" s="197"/>
      <c r="U73" s="197"/>
    </row>
    <row r="74" spans="1:21" s="12" customFormat="1" x14ac:dyDescent="0.25">
      <c r="A74" s="200" t="s">
        <v>405</v>
      </c>
      <c r="B74" s="59">
        <v>9.33</v>
      </c>
      <c r="C74" s="59">
        <v>45.8</v>
      </c>
      <c r="D74" s="59">
        <v>32.75</v>
      </c>
      <c r="E74" s="59">
        <v>15.72</v>
      </c>
      <c r="F74" s="59">
        <v>22.55</v>
      </c>
      <c r="G74" s="59">
        <v>73.03</v>
      </c>
      <c r="H74" s="59">
        <v>35.65</v>
      </c>
      <c r="I74" s="59">
        <v>0.24</v>
      </c>
      <c r="J74" s="59">
        <v>0.37</v>
      </c>
      <c r="K74" s="59">
        <v>185.1</v>
      </c>
      <c r="L74" s="59">
        <v>27.55</v>
      </c>
      <c r="M74" s="209" t="s">
        <v>36</v>
      </c>
      <c r="N74" s="59">
        <v>65.7</v>
      </c>
      <c r="O74" s="59">
        <v>0</v>
      </c>
      <c r="P74" s="59">
        <v>1.52</v>
      </c>
      <c r="Q74" s="59">
        <v>35.57</v>
      </c>
      <c r="R74" s="197"/>
      <c r="S74" s="197"/>
      <c r="T74" s="197"/>
      <c r="U74" s="197"/>
    </row>
    <row r="75" spans="1:21" s="12" customFormat="1" x14ac:dyDescent="0.25">
      <c r="A75" s="200" t="s">
        <v>406</v>
      </c>
      <c r="B75" s="59">
        <v>7.02</v>
      </c>
      <c r="C75" s="59">
        <v>54.7</v>
      </c>
      <c r="D75" s="59">
        <v>35.82</v>
      </c>
      <c r="E75" s="59">
        <v>14.18</v>
      </c>
      <c r="F75" s="59">
        <v>19.98</v>
      </c>
      <c r="G75" s="59">
        <v>72.44</v>
      </c>
      <c r="H75" s="59">
        <v>35.450000000000003</v>
      </c>
      <c r="I75" s="59">
        <v>0.27</v>
      </c>
      <c r="J75" s="59">
        <v>0.19</v>
      </c>
      <c r="K75" s="59">
        <v>195.78</v>
      </c>
      <c r="L75" s="59">
        <v>26.8</v>
      </c>
      <c r="M75" s="209" t="s">
        <v>36</v>
      </c>
      <c r="N75" s="59">
        <v>55.1</v>
      </c>
      <c r="O75" s="59">
        <v>0</v>
      </c>
      <c r="P75" s="59">
        <v>1.73</v>
      </c>
      <c r="Q75" s="59">
        <v>35.64</v>
      </c>
      <c r="R75" s="197"/>
      <c r="S75" s="197"/>
      <c r="T75" s="197"/>
      <c r="U75" s="197"/>
    </row>
    <row r="76" spans="1:21" s="12" customFormat="1" x14ac:dyDescent="0.25">
      <c r="A76" s="200" t="s">
        <v>407</v>
      </c>
      <c r="B76" s="59">
        <v>7.98</v>
      </c>
      <c r="C76" s="59">
        <v>60.66</v>
      </c>
      <c r="D76" s="59">
        <v>39.880000000000003</v>
      </c>
      <c r="E76" s="59">
        <v>13.63</v>
      </c>
      <c r="F76" s="59">
        <v>13.47</v>
      </c>
      <c r="G76" s="59">
        <v>71.099999999999994</v>
      </c>
      <c r="H76" s="59">
        <v>34.85</v>
      </c>
      <c r="I76" s="59">
        <v>0.28999999999999998</v>
      </c>
      <c r="J76" s="59">
        <v>0.18</v>
      </c>
      <c r="K76" s="59">
        <v>213.11</v>
      </c>
      <c r="L76" s="59">
        <v>26.11</v>
      </c>
      <c r="M76" s="209" t="s">
        <v>36</v>
      </c>
      <c r="N76" s="59">
        <v>46</v>
      </c>
      <c r="O76" s="59">
        <v>0</v>
      </c>
      <c r="P76" s="59">
        <v>1.9</v>
      </c>
      <c r="Q76" s="59">
        <v>34.15</v>
      </c>
      <c r="R76" s="197"/>
      <c r="S76" s="197"/>
      <c r="T76" s="197"/>
      <c r="U76" s="197"/>
    </row>
    <row r="77" spans="1:21" s="12" customFormat="1" x14ac:dyDescent="0.25">
      <c r="A77" s="200" t="s">
        <v>408</v>
      </c>
      <c r="B77" s="59">
        <v>5.67</v>
      </c>
      <c r="C77" s="59">
        <v>67.209999999999994</v>
      </c>
      <c r="D77" s="59">
        <v>41.64</v>
      </c>
      <c r="E77" s="59">
        <v>8.83</v>
      </c>
      <c r="F77" s="59">
        <v>5.37</v>
      </c>
      <c r="G77" s="59">
        <v>71.099999999999994</v>
      </c>
      <c r="H77" s="59">
        <v>34.85</v>
      </c>
      <c r="I77" s="59">
        <v>0.36</v>
      </c>
      <c r="J77" s="59">
        <v>0.1</v>
      </c>
      <c r="K77" s="59">
        <v>215.61</v>
      </c>
      <c r="L77" s="59">
        <v>25.54</v>
      </c>
      <c r="M77" s="209" t="s">
        <v>36</v>
      </c>
      <c r="N77" s="59">
        <v>39</v>
      </c>
      <c r="O77" s="59">
        <v>0</v>
      </c>
      <c r="P77" s="59">
        <v>2.02</v>
      </c>
      <c r="Q77" s="59">
        <v>34.86</v>
      </c>
      <c r="R77" s="197"/>
      <c r="S77" s="197"/>
      <c r="T77" s="197"/>
      <c r="U77" s="197"/>
    </row>
    <row r="78" spans="1:21" s="12" customFormat="1" x14ac:dyDescent="0.25">
      <c r="A78" s="200" t="s">
        <v>409</v>
      </c>
      <c r="B78" s="59">
        <v>5.13</v>
      </c>
      <c r="C78" s="59">
        <v>62.05</v>
      </c>
      <c r="D78" s="59">
        <v>38.36</v>
      </c>
      <c r="E78" s="59">
        <v>5.03</v>
      </c>
      <c r="F78" s="59">
        <v>2.41</v>
      </c>
      <c r="G78" s="59">
        <v>71.099999999999994</v>
      </c>
      <c r="H78" s="59">
        <v>34.85</v>
      </c>
      <c r="I78" s="59">
        <v>0.41</v>
      </c>
      <c r="J78" s="59">
        <v>7.0000000000000007E-2</v>
      </c>
      <c r="K78" s="59">
        <v>217.48</v>
      </c>
      <c r="L78" s="59">
        <v>25.07</v>
      </c>
      <c r="M78" s="209" t="s">
        <v>36</v>
      </c>
      <c r="N78" s="59">
        <v>35.700000000000003</v>
      </c>
      <c r="O78" s="59">
        <v>0</v>
      </c>
      <c r="P78" s="59">
        <v>1.97</v>
      </c>
      <c r="Q78" s="59">
        <v>39.630000000000003</v>
      </c>
      <c r="R78" s="197"/>
      <c r="S78" s="197"/>
      <c r="T78" s="197"/>
      <c r="U78" s="197"/>
    </row>
    <row r="79" spans="1:21" s="12" customFormat="1" x14ac:dyDescent="0.25">
      <c r="A79" s="200" t="s">
        <v>410</v>
      </c>
      <c r="B79" s="59">
        <v>6.51</v>
      </c>
      <c r="C79" s="59">
        <v>57.22</v>
      </c>
      <c r="D79" s="59">
        <v>36.799999999999997</v>
      </c>
      <c r="E79" s="59">
        <v>3.83</v>
      </c>
      <c r="F79" s="59">
        <v>1.08</v>
      </c>
      <c r="G79" s="59">
        <v>80.12</v>
      </c>
      <c r="H79" s="59">
        <v>35.49</v>
      </c>
      <c r="I79" s="59">
        <v>0.46</v>
      </c>
      <c r="J79" s="59">
        <v>0.1</v>
      </c>
      <c r="K79" s="59">
        <v>218.94</v>
      </c>
      <c r="L79" s="59">
        <v>24.61</v>
      </c>
      <c r="M79" s="209" t="s">
        <v>36</v>
      </c>
      <c r="N79" s="59">
        <v>34.9</v>
      </c>
      <c r="O79" s="59">
        <v>0</v>
      </c>
      <c r="P79" s="59">
        <v>2.04</v>
      </c>
      <c r="Q79" s="59">
        <v>39.42</v>
      </c>
      <c r="R79" s="197"/>
      <c r="S79" s="197"/>
      <c r="T79" s="197"/>
      <c r="U79" s="197"/>
    </row>
    <row r="80" spans="1:21" s="12" customFormat="1" x14ac:dyDescent="0.25">
      <c r="A80" s="200" t="s">
        <v>411</v>
      </c>
      <c r="B80" s="59">
        <v>8.9700000000000006</v>
      </c>
      <c r="C80" s="59">
        <v>55.7</v>
      </c>
      <c r="D80" s="59">
        <v>37.93</v>
      </c>
      <c r="E80" s="59">
        <v>3.61</v>
      </c>
      <c r="F80" s="59">
        <v>0.85</v>
      </c>
      <c r="G80" s="59">
        <v>99.9</v>
      </c>
      <c r="H80" s="59">
        <v>37.590000000000003</v>
      </c>
      <c r="I80" s="59">
        <v>0.48</v>
      </c>
      <c r="J80" s="59">
        <v>0.21</v>
      </c>
      <c r="K80" s="59">
        <v>212.17</v>
      </c>
      <c r="L80" s="59">
        <v>24.47</v>
      </c>
      <c r="M80" s="209" t="s">
        <v>36</v>
      </c>
      <c r="N80" s="59">
        <v>34.4</v>
      </c>
      <c r="O80" s="59">
        <v>0</v>
      </c>
      <c r="P80" s="59">
        <v>2.14</v>
      </c>
      <c r="Q80" s="59">
        <v>40.4</v>
      </c>
      <c r="R80" s="197"/>
      <c r="S80" s="197"/>
      <c r="T80" s="197"/>
      <c r="U80" s="197"/>
    </row>
    <row r="81" spans="1:26" s="12" customFormat="1" x14ac:dyDescent="0.25">
      <c r="A81" s="200" t="s">
        <v>412</v>
      </c>
      <c r="B81" s="59">
        <v>10.88</v>
      </c>
      <c r="C81" s="59">
        <v>55.32</v>
      </c>
      <c r="D81" s="59">
        <v>39.25</v>
      </c>
      <c r="E81" s="59">
        <v>3.46</v>
      </c>
      <c r="F81" s="59">
        <v>0.86</v>
      </c>
      <c r="G81" s="59">
        <v>99.9</v>
      </c>
      <c r="H81" s="59">
        <v>37.590000000000003</v>
      </c>
      <c r="I81" s="59">
        <v>0.51</v>
      </c>
      <c r="J81" s="59">
        <v>0.12</v>
      </c>
      <c r="K81" s="59">
        <v>207.4</v>
      </c>
      <c r="L81" s="59">
        <v>24.34</v>
      </c>
      <c r="M81" s="209" t="s">
        <v>36</v>
      </c>
      <c r="N81" s="59">
        <v>34.6</v>
      </c>
      <c r="O81" s="59">
        <v>0</v>
      </c>
      <c r="P81" s="59">
        <v>2.2400000000000002</v>
      </c>
      <c r="Q81" s="59">
        <v>41.01</v>
      </c>
      <c r="R81" s="197"/>
      <c r="S81" s="197"/>
      <c r="T81" s="197"/>
      <c r="U81" s="197"/>
    </row>
    <row r="82" spans="1:26" s="12" customFormat="1" x14ac:dyDescent="0.25">
      <c r="A82" s="200" t="s">
        <v>413</v>
      </c>
      <c r="B82" s="59">
        <v>15.14</v>
      </c>
      <c r="C82" s="59">
        <v>53.75</v>
      </c>
      <c r="D82" s="59">
        <v>41.8</v>
      </c>
      <c r="E82" s="59">
        <v>3.53</v>
      </c>
      <c r="F82" s="59">
        <v>0.84</v>
      </c>
      <c r="G82" s="59">
        <v>99.9</v>
      </c>
      <c r="H82" s="59">
        <v>37.590000000000003</v>
      </c>
      <c r="I82" s="59">
        <v>0.56999999999999995</v>
      </c>
      <c r="J82" s="59">
        <v>0.08</v>
      </c>
      <c r="K82" s="59">
        <v>224.53</v>
      </c>
      <c r="L82" s="59">
        <v>23.93</v>
      </c>
      <c r="M82" s="209" t="s">
        <v>36</v>
      </c>
      <c r="N82" s="59">
        <v>34.6</v>
      </c>
      <c r="O82" s="59">
        <v>0</v>
      </c>
      <c r="P82" s="59">
        <v>2.39</v>
      </c>
      <c r="Q82" s="59">
        <v>42.14</v>
      </c>
      <c r="R82" s="197"/>
      <c r="S82" s="197"/>
      <c r="T82" s="197"/>
      <c r="U82" s="197"/>
    </row>
    <row r="83" spans="1:26" s="12" customFormat="1" x14ac:dyDescent="0.25">
      <c r="A83" s="200" t="s">
        <v>414</v>
      </c>
      <c r="B83" s="59">
        <v>22.46</v>
      </c>
      <c r="C83" s="59">
        <v>50.8</v>
      </c>
      <c r="D83" s="59">
        <v>46.04</v>
      </c>
      <c r="E83" s="59">
        <v>3.73</v>
      </c>
      <c r="F83" s="59">
        <v>0.82</v>
      </c>
      <c r="G83" s="59">
        <v>121.23</v>
      </c>
      <c r="H83" s="59">
        <v>38.39</v>
      </c>
      <c r="I83" s="59">
        <v>0.62</v>
      </c>
      <c r="J83" s="59">
        <v>0.06</v>
      </c>
      <c r="K83" s="59">
        <v>231.49</v>
      </c>
      <c r="L83" s="59">
        <v>23.37</v>
      </c>
      <c r="M83" s="209" t="s">
        <v>36</v>
      </c>
      <c r="N83" s="59">
        <v>34.700000000000003</v>
      </c>
      <c r="O83" s="59">
        <v>0</v>
      </c>
      <c r="P83" s="59">
        <v>2.61</v>
      </c>
      <c r="Q83" s="59">
        <v>42.79</v>
      </c>
      <c r="R83" s="197"/>
      <c r="S83" s="197"/>
      <c r="T83" s="197"/>
      <c r="U83" s="197"/>
    </row>
    <row r="84" spans="1:26" s="12" customFormat="1" x14ac:dyDescent="0.25">
      <c r="A84" s="200" t="s">
        <v>415</v>
      </c>
      <c r="B84" s="59">
        <v>28.34</v>
      </c>
      <c r="C84" s="59">
        <v>46.49</v>
      </c>
      <c r="D84" s="59">
        <v>48.39</v>
      </c>
      <c r="E84" s="59">
        <v>3.48</v>
      </c>
      <c r="F84" s="59">
        <v>0.75</v>
      </c>
      <c r="G84" s="59">
        <v>167.96</v>
      </c>
      <c r="H84" s="59">
        <v>40.86</v>
      </c>
      <c r="I84" s="59">
        <v>0.68</v>
      </c>
      <c r="J84" s="59">
        <v>0.15</v>
      </c>
      <c r="K84" s="59">
        <v>220.44</v>
      </c>
      <c r="L84" s="59">
        <v>23.24</v>
      </c>
      <c r="M84" s="209" t="s">
        <v>36</v>
      </c>
      <c r="N84" s="59">
        <v>34.299999999999997</v>
      </c>
      <c r="O84" s="59">
        <v>0</v>
      </c>
      <c r="P84" s="59">
        <v>2.79</v>
      </c>
      <c r="Q84" s="59">
        <v>43.31</v>
      </c>
      <c r="R84" s="197"/>
      <c r="S84" s="197"/>
      <c r="T84" s="197"/>
      <c r="U84" s="197"/>
    </row>
    <row r="85" spans="1:26" s="12" customFormat="1" x14ac:dyDescent="0.25">
      <c r="A85" s="200" t="s">
        <v>416</v>
      </c>
      <c r="B85" s="59">
        <v>35.409999999999997</v>
      </c>
      <c r="C85" s="59">
        <v>43.01</v>
      </c>
      <c r="D85" s="59">
        <v>52.13</v>
      </c>
      <c r="E85" s="59">
        <v>3.98</v>
      </c>
      <c r="F85" s="59">
        <v>0.84</v>
      </c>
      <c r="G85" s="59">
        <v>167.96</v>
      </c>
      <c r="H85" s="59">
        <v>40.86</v>
      </c>
      <c r="I85" s="59">
        <v>0.76</v>
      </c>
      <c r="J85" s="59">
        <v>0.21</v>
      </c>
      <c r="K85" s="59">
        <v>200.9</v>
      </c>
      <c r="L85" s="59">
        <v>24.05</v>
      </c>
      <c r="M85" s="209" t="s">
        <v>36</v>
      </c>
      <c r="N85" s="59">
        <v>33.9</v>
      </c>
      <c r="O85" s="59">
        <v>0</v>
      </c>
      <c r="P85" s="59">
        <v>2.75</v>
      </c>
      <c r="Q85" s="59">
        <v>44.14</v>
      </c>
      <c r="R85" s="197"/>
      <c r="S85" s="197"/>
      <c r="T85" s="197"/>
      <c r="U85" s="197"/>
    </row>
    <row r="86" spans="1:26" s="12" customFormat="1" x14ac:dyDescent="0.25">
      <c r="A86" s="200" t="s">
        <v>417</v>
      </c>
      <c r="B86" s="59">
        <v>34.78</v>
      </c>
      <c r="C86" s="59">
        <v>42.1</v>
      </c>
      <c r="D86" s="59">
        <v>51.13</v>
      </c>
      <c r="E86" s="59">
        <v>4.72</v>
      </c>
      <c r="F86" s="59">
        <v>1</v>
      </c>
      <c r="G86" s="59">
        <v>167.96</v>
      </c>
      <c r="H86" s="59">
        <v>40.86</v>
      </c>
      <c r="I86" s="59">
        <v>0.84</v>
      </c>
      <c r="J86" s="59">
        <v>0.26</v>
      </c>
      <c r="K86" s="59">
        <v>204.29</v>
      </c>
      <c r="L86" s="59">
        <v>23.88</v>
      </c>
      <c r="M86" s="209" t="s">
        <v>36</v>
      </c>
      <c r="N86" s="59">
        <v>34.1</v>
      </c>
      <c r="O86" s="59">
        <v>0</v>
      </c>
      <c r="P86" s="59">
        <v>2.94</v>
      </c>
      <c r="Q86" s="59">
        <v>45.39</v>
      </c>
      <c r="R86" s="197"/>
      <c r="S86" s="197"/>
      <c r="T86" s="197"/>
      <c r="U86" s="197"/>
    </row>
    <row r="87" spans="1:26" s="12" customFormat="1" x14ac:dyDescent="0.25">
      <c r="A87" s="200" t="s">
        <v>418</v>
      </c>
      <c r="B87" s="59">
        <v>34.36</v>
      </c>
      <c r="C87" s="59">
        <v>42.89</v>
      </c>
      <c r="D87" s="59">
        <v>51.22</v>
      </c>
      <c r="E87" s="59">
        <v>4.67</v>
      </c>
      <c r="F87" s="59">
        <v>0.98</v>
      </c>
      <c r="G87" s="59">
        <v>170.74</v>
      </c>
      <c r="H87" s="59">
        <v>43</v>
      </c>
      <c r="I87" s="59">
        <v>0.91</v>
      </c>
      <c r="J87" s="59">
        <v>0.22</v>
      </c>
      <c r="K87" s="59">
        <v>201.09</v>
      </c>
      <c r="L87" s="59">
        <v>23.99</v>
      </c>
      <c r="M87" s="209" t="s">
        <v>36</v>
      </c>
      <c r="N87" s="59">
        <v>34.299999999999997</v>
      </c>
      <c r="O87" s="59">
        <v>0</v>
      </c>
      <c r="P87" s="59">
        <v>2.99</v>
      </c>
      <c r="Q87" s="59">
        <v>46.91</v>
      </c>
      <c r="R87" s="197"/>
      <c r="S87" s="197"/>
      <c r="T87" s="197"/>
      <c r="U87" s="197"/>
    </row>
    <row r="88" spans="1:26" s="12" customFormat="1" x14ac:dyDescent="0.25">
      <c r="A88" s="200" t="s">
        <v>419</v>
      </c>
      <c r="B88" s="59">
        <v>34.89</v>
      </c>
      <c r="C88" s="59">
        <v>40.06</v>
      </c>
      <c r="D88" s="59">
        <v>50.08</v>
      </c>
      <c r="E88" s="59">
        <v>2.95</v>
      </c>
      <c r="F88" s="59">
        <v>0.85</v>
      </c>
      <c r="G88" s="59">
        <v>183.51</v>
      </c>
      <c r="H88" s="59">
        <v>50.01</v>
      </c>
      <c r="I88" s="59">
        <v>0.95</v>
      </c>
      <c r="J88" s="59">
        <v>0.23</v>
      </c>
      <c r="K88" s="59">
        <v>204.6</v>
      </c>
      <c r="L88" s="59">
        <v>23.79</v>
      </c>
      <c r="M88" s="209" t="s">
        <v>36</v>
      </c>
      <c r="N88" s="59">
        <v>34.4</v>
      </c>
      <c r="O88" s="59">
        <v>0</v>
      </c>
      <c r="P88" s="59">
        <v>3.05</v>
      </c>
      <c r="Q88" s="59">
        <v>47.33</v>
      </c>
      <c r="R88" s="197"/>
      <c r="S88" s="197"/>
      <c r="T88" s="197"/>
      <c r="U88" s="197"/>
    </row>
    <row r="89" spans="1:26" s="12" customFormat="1" x14ac:dyDescent="0.25">
      <c r="A89" s="200" t="s">
        <v>420</v>
      </c>
      <c r="B89" s="59">
        <v>36.020000000000003</v>
      </c>
      <c r="C89" s="59">
        <v>37.65</v>
      </c>
      <c r="D89" s="59">
        <v>49.66</v>
      </c>
      <c r="E89" s="59">
        <v>4.6500000000000004</v>
      </c>
      <c r="F89" s="59">
        <v>0.68</v>
      </c>
      <c r="G89" s="59">
        <v>183.51</v>
      </c>
      <c r="H89" s="59">
        <v>50.01</v>
      </c>
      <c r="I89" s="59">
        <v>1</v>
      </c>
      <c r="J89" s="59">
        <v>0.24</v>
      </c>
      <c r="K89" s="59">
        <v>206.06</v>
      </c>
      <c r="L89" s="59">
        <v>23.63</v>
      </c>
      <c r="M89" s="209" t="s">
        <v>36</v>
      </c>
      <c r="N89" s="59">
        <v>34.4</v>
      </c>
      <c r="O89" s="59">
        <v>0</v>
      </c>
      <c r="P89" s="59">
        <v>3.08</v>
      </c>
      <c r="Q89" s="59">
        <v>48.57</v>
      </c>
      <c r="R89" s="197"/>
      <c r="S89" s="197"/>
      <c r="T89" s="197"/>
      <c r="U89" s="197"/>
    </row>
    <row r="90" spans="1:26" s="12" customFormat="1" x14ac:dyDescent="0.25">
      <c r="A90" s="200" t="s">
        <v>421</v>
      </c>
      <c r="B90" s="59">
        <v>40.11</v>
      </c>
      <c r="C90" s="59">
        <v>33.53</v>
      </c>
      <c r="D90" s="59">
        <v>50.67</v>
      </c>
      <c r="E90" s="59">
        <v>4.51</v>
      </c>
      <c r="F90" s="59">
        <v>0.63</v>
      </c>
      <c r="G90" s="59">
        <v>183.51</v>
      </c>
      <c r="H90" s="59">
        <v>50.01</v>
      </c>
      <c r="I90" s="59">
        <v>1.05</v>
      </c>
      <c r="J90" s="59">
        <v>0.15</v>
      </c>
      <c r="K90" s="59">
        <v>212.12</v>
      </c>
      <c r="L90" s="59">
        <v>23.32</v>
      </c>
      <c r="M90" s="209" t="s">
        <v>36</v>
      </c>
      <c r="N90" s="59">
        <v>34.5</v>
      </c>
      <c r="O90" s="59">
        <v>0</v>
      </c>
      <c r="P90" s="59">
        <v>3.19</v>
      </c>
      <c r="Q90" s="59">
        <v>49.73</v>
      </c>
      <c r="R90" s="197"/>
      <c r="S90" s="197"/>
      <c r="T90" s="197"/>
      <c r="U90" s="197"/>
    </row>
    <row r="91" spans="1:26" s="12" customFormat="1" x14ac:dyDescent="0.25">
      <c r="A91" s="200" t="s">
        <v>422</v>
      </c>
      <c r="B91" s="59">
        <v>41.74</v>
      </c>
      <c r="C91" s="59">
        <v>33.700000000000003</v>
      </c>
      <c r="D91" s="59">
        <v>52.07</v>
      </c>
      <c r="E91" s="59">
        <v>5.19</v>
      </c>
      <c r="F91" s="59">
        <v>0.68</v>
      </c>
      <c r="G91" s="59">
        <v>189.19</v>
      </c>
      <c r="H91" s="59">
        <v>52.73</v>
      </c>
      <c r="I91" s="59">
        <v>1.08</v>
      </c>
      <c r="J91" s="59">
        <v>0.19</v>
      </c>
      <c r="K91" s="59">
        <v>210.37</v>
      </c>
      <c r="L91" s="59">
        <v>23.28</v>
      </c>
      <c r="M91" s="209" t="s">
        <v>36</v>
      </c>
      <c r="N91" s="59">
        <v>34.299999999999997</v>
      </c>
      <c r="O91" s="59">
        <v>0</v>
      </c>
      <c r="P91" s="59">
        <v>3.29</v>
      </c>
      <c r="Q91" s="59">
        <v>50.54</v>
      </c>
      <c r="R91" s="197"/>
      <c r="S91" s="197"/>
      <c r="T91" s="197"/>
      <c r="U91" s="197"/>
    </row>
    <row r="92" spans="1:26" s="12" customFormat="1" x14ac:dyDescent="0.25">
      <c r="A92" s="200" t="s">
        <v>423</v>
      </c>
      <c r="B92" s="59">
        <v>42.92</v>
      </c>
      <c r="C92" s="59">
        <v>31.94</v>
      </c>
      <c r="D92" s="59">
        <v>52.05</v>
      </c>
      <c r="E92" s="59">
        <v>5.53</v>
      </c>
      <c r="F92" s="59">
        <v>0.57999999999999996</v>
      </c>
      <c r="G92" s="59">
        <v>201.65</v>
      </c>
      <c r="H92" s="59">
        <v>61.14</v>
      </c>
      <c r="I92" s="59">
        <v>1.1399999999999999</v>
      </c>
      <c r="J92" s="59">
        <v>0.12</v>
      </c>
      <c r="K92" s="59">
        <v>210.38</v>
      </c>
      <c r="L92" s="59">
        <v>23.05</v>
      </c>
      <c r="M92" s="209" t="s">
        <v>36</v>
      </c>
      <c r="N92" s="59">
        <v>34.6</v>
      </c>
      <c r="O92" s="59">
        <v>0</v>
      </c>
      <c r="P92" s="59">
        <v>3.31</v>
      </c>
      <c r="Q92" s="59">
        <v>51.9</v>
      </c>
      <c r="R92" s="197"/>
      <c r="S92" s="197"/>
      <c r="T92" s="197"/>
      <c r="U92" s="197"/>
    </row>
    <row r="93" spans="1:26" s="12" customFormat="1" x14ac:dyDescent="0.25">
      <c r="A93" s="200" t="s">
        <v>424</v>
      </c>
      <c r="B93" s="59">
        <v>41.84</v>
      </c>
      <c r="C93" s="59">
        <v>30.98</v>
      </c>
      <c r="D93" s="59">
        <v>50.64</v>
      </c>
      <c r="E93" s="59">
        <v>5.19</v>
      </c>
      <c r="F93" s="59">
        <v>0.67</v>
      </c>
      <c r="G93" s="59">
        <v>201.65</v>
      </c>
      <c r="H93" s="59">
        <v>61.14</v>
      </c>
      <c r="I93" s="59">
        <v>1.2</v>
      </c>
      <c r="J93" s="59">
        <v>0.11</v>
      </c>
      <c r="K93" s="59">
        <v>215.66</v>
      </c>
      <c r="L93" s="59">
        <v>22.57</v>
      </c>
      <c r="M93" s="209" t="s">
        <v>36</v>
      </c>
      <c r="N93" s="59">
        <v>34.700000000000003</v>
      </c>
      <c r="O93" s="59">
        <v>0</v>
      </c>
      <c r="P93" s="59">
        <v>3.32</v>
      </c>
      <c r="Q93" s="59">
        <v>52.15</v>
      </c>
      <c r="R93" s="197"/>
      <c r="S93" s="197"/>
      <c r="T93" s="197"/>
      <c r="U93" s="197"/>
    </row>
    <row r="94" spans="1:26" s="12" customFormat="1" x14ac:dyDescent="0.25">
      <c r="A94" s="200" t="s">
        <v>425</v>
      </c>
      <c r="B94" s="59">
        <v>39.93</v>
      </c>
      <c r="C94" s="59">
        <v>32.46</v>
      </c>
      <c r="D94" s="59">
        <v>49.93</v>
      </c>
      <c r="E94" s="59">
        <v>5.22</v>
      </c>
      <c r="F94" s="59">
        <v>0.83</v>
      </c>
      <c r="G94" s="59">
        <v>201.65</v>
      </c>
      <c r="H94" s="59">
        <v>61.14</v>
      </c>
      <c r="I94" s="59">
        <v>1.24</v>
      </c>
      <c r="J94" s="59">
        <v>7.0000000000000007E-2</v>
      </c>
      <c r="K94" s="59">
        <v>226.72</v>
      </c>
      <c r="L94" s="59">
        <v>22.16</v>
      </c>
      <c r="M94" s="209" t="s">
        <v>36</v>
      </c>
      <c r="N94" s="59">
        <v>34.799999999999997</v>
      </c>
      <c r="O94" s="59">
        <v>0</v>
      </c>
      <c r="P94" s="59">
        <v>3.3</v>
      </c>
      <c r="Q94" s="59">
        <v>51.5</v>
      </c>
      <c r="R94" s="197"/>
      <c r="S94" s="197"/>
      <c r="T94" s="197"/>
      <c r="U94" s="197"/>
    </row>
    <row r="95" spans="1:26" s="12" customFormat="1" x14ac:dyDescent="0.25">
      <c r="A95" s="200" t="s">
        <v>426</v>
      </c>
      <c r="B95" s="59">
        <v>38.47</v>
      </c>
      <c r="C95" s="59">
        <v>33.75</v>
      </c>
      <c r="D95" s="59">
        <v>49.47</v>
      </c>
      <c r="E95" s="59">
        <v>5.18</v>
      </c>
      <c r="F95" s="59">
        <v>0.72</v>
      </c>
      <c r="G95" s="59">
        <v>188.84</v>
      </c>
      <c r="H95" s="59">
        <v>60.8</v>
      </c>
      <c r="I95" s="59">
        <v>1.27</v>
      </c>
      <c r="J95" s="59">
        <v>0.15</v>
      </c>
      <c r="K95" s="59">
        <v>234.36</v>
      </c>
      <c r="L95" s="59">
        <v>21.79</v>
      </c>
      <c r="M95" s="209" t="s">
        <v>36</v>
      </c>
      <c r="N95" s="59">
        <v>34.5</v>
      </c>
      <c r="O95" s="59">
        <v>0</v>
      </c>
      <c r="P95" s="59">
        <v>3.28</v>
      </c>
      <c r="Q95" s="59">
        <v>50.86</v>
      </c>
      <c r="R95" s="197"/>
      <c r="S95" s="197"/>
      <c r="T95" s="197"/>
      <c r="U95" s="197"/>
    </row>
    <row r="96" spans="1:26" s="12" customFormat="1" x14ac:dyDescent="0.25">
      <c r="A96" s="200" t="s">
        <v>427</v>
      </c>
      <c r="B96" s="59">
        <v>39.950000000000003</v>
      </c>
      <c r="C96" s="59">
        <v>33.08</v>
      </c>
      <c r="D96" s="59">
        <v>50.29</v>
      </c>
      <c r="E96" s="59">
        <v>4.68</v>
      </c>
      <c r="F96" s="59">
        <v>0.53</v>
      </c>
      <c r="G96" s="59">
        <v>160.80000000000001</v>
      </c>
      <c r="H96" s="59">
        <v>59.74</v>
      </c>
      <c r="I96" s="59">
        <v>1.27</v>
      </c>
      <c r="J96" s="59">
        <v>0.12</v>
      </c>
      <c r="K96" s="59">
        <v>243.48</v>
      </c>
      <c r="L96" s="59">
        <v>21.55</v>
      </c>
      <c r="M96" s="209" t="s">
        <v>36</v>
      </c>
      <c r="N96" s="59">
        <v>34.700000000000003</v>
      </c>
      <c r="O96" s="59">
        <v>0</v>
      </c>
      <c r="P96" s="59">
        <v>3.29</v>
      </c>
      <c r="Q96" s="59">
        <v>50.93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428</v>
      </c>
      <c r="B97" s="59">
        <v>46.38</v>
      </c>
      <c r="C97" s="59">
        <v>29.73</v>
      </c>
      <c r="D97" s="59">
        <v>53.6</v>
      </c>
      <c r="E97" s="59">
        <v>4.8899999999999997</v>
      </c>
      <c r="F97" s="59">
        <v>0.65</v>
      </c>
      <c r="G97" s="59">
        <v>160.80000000000001</v>
      </c>
      <c r="H97" s="59">
        <v>59.74</v>
      </c>
      <c r="I97" s="59">
        <v>1.27</v>
      </c>
      <c r="J97" s="59">
        <v>0.17</v>
      </c>
      <c r="K97" s="59">
        <v>258.74</v>
      </c>
      <c r="L97" s="59">
        <v>21.19</v>
      </c>
      <c r="M97" s="209" t="s">
        <v>36</v>
      </c>
      <c r="N97" s="59">
        <v>34.700000000000003</v>
      </c>
      <c r="O97" s="59">
        <v>0</v>
      </c>
      <c r="P97" s="59">
        <v>3.37</v>
      </c>
      <c r="Q97" s="59">
        <v>51.33</v>
      </c>
      <c r="R97" s="197"/>
      <c r="S97" s="197"/>
      <c r="T97" s="197"/>
      <c r="U97" s="197"/>
    </row>
    <row r="98" spans="1:33" s="12" customFormat="1" x14ac:dyDescent="0.25">
      <c r="A98" s="200" t="s">
        <v>429</v>
      </c>
      <c r="B98" s="59">
        <v>52.97</v>
      </c>
      <c r="C98" s="59">
        <v>25.62</v>
      </c>
      <c r="D98" s="59">
        <v>56.61</v>
      </c>
      <c r="E98" s="59">
        <v>5.45</v>
      </c>
      <c r="F98" s="59">
        <v>0.59</v>
      </c>
      <c r="G98" s="59">
        <v>160.80000000000001</v>
      </c>
      <c r="H98" s="59">
        <v>59.74</v>
      </c>
      <c r="I98" s="59">
        <v>1.28</v>
      </c>
      <c r="J98" s="59">
        <v>0.15</v>
      </c>
      <c r="K98" s="59">
        <v>259.55</v>
      </c>
      <c r="L98" s="59">
        <v>20.84</v>
      </c>
      <c r="M98" s="209" t="s">
        <v>36</v>
      </c>
      <c r="N98" s="59">
        <v>34.6</v>
      </c>
      <c r="O98" s="59">
        <v>0</v>
      </c>
      <c r="P98" s="59">
        <v>3.47</v>
      </c>
      <c r="Q98" s="59">
        <v>51.8</v>
      </c>
      <c r="R98" s="197"/>
      <c r="S98" s="197"/>
      <c r="T98" s="197"/>
      <c r="U98" s="197"/>
    </row>
    <row r="99" spans="1:33" s="12" customFormat="1" x14ac:dyDescent="0.25">
      <c r="A99" s="200" t="s">
        <v>430</v>
      </c>
      <c r="B99" s="59">
        <v>61.59</v>
      </c>
      <c r="C99" s="59">
        <v>19.5</v>
      </c>
      <c r="D99" s="59">
        <v>60.15</v>
      </c>
      <c r="E99" s="59">
        <v>4.87</v>
      </c>
      <c r="F99" s="59">
        <v>0.65</v>
      </c>
      <c r="G99" s="59">
        <v>169.25</v>
      </c>
      <c r="H99" s="59">
        <v>59.9</v>
      </c>
      <c r="I99" s="59">
        <v>1.31</v>
      </c>
      <c r="J99" s="59">
        <v>0.14000000000000001</v>
      </c>
      <c r="K99" s="59">
        <v>262.94</v>
      </c>
      <c r="L99" s="59">
        <v>20.69</v>
      </c>
      <c r="M99" s="209" t="s">
        <v>36</v>
      </c>
      <c r="N99" s="59">
        <v>34.6</v>
      </c>
      <c r="O99" s="59">
        <v>0</v>
      </c>
      <c r="P99" s="59">
        <v>3.55</v>
      </c>
      <c r="Q99" s="59">
        <v>51.5</v>
      </c>
      <c r="R99" s="197"/>
      <c r="S99" s="197"/>
      <c r="T99" s="197"/>
      <c r="U99" s="197"/>
    </row>
    <row r="100" spans="1:33" s="12" customFormat="1" x14ac:dyDescent="0.25">
      <c r="A100" s="200" t="s">
        <v>431</v>
      </c>
      <c r="B100" s="59">
        <v>64.8</v>
      </c>
      <c r="C100" s="59">
        <v>17.21</v>
      </c>
      <c r="D100" s="59">
        <v>61.46</v>
      </c>
      <c r="E100" s="59">
        <v>4.7300000000000004</v>
      </c>
      <c r="F100" s="59">
        <v>0.53</v>
      </c>
      <c r="G100" s="59">
        <v>187.77</v>
      </c>
      <c r="H100" s="59">
        <v>60.38</v>
      </c>
      <c r="I100" s="59">
        <v>1.34</v>
      </c>
      <c r="J100" s="59">
        <v>0.14000000000000001</v>
      </c>
      <c r="K100" s="59">
        <v>259.86</v>
      </c>
      <c r="L100" s="59">
        <v>20.51</v>
      </c>
      <c r="M100" s="209" t="s">
        <v>36</v>
      </c>
      <c r="N100" s="59">
        <v>34.6</v>
      </c>
      <c r="O100" s="59">
        <v>0</v>
      </c>
      <c r="P100" s="59">
        <v>3.57</v>
      </c>
      <c r="Q100" s="59">
        <v>52.29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432</v>
      </c>
      <c r="B101" s="59">
        <v>67.959999999999994</v>
      </c>
      <c r="C101" s="59">
        <v>14.8</v>
      </c>
      <c r="D101" s="59">
        <v>62.67</v>
      </c>
      <c r="E101" s="59">
        <v>5.08</v>
      </c>
      <c r="F101" s="59">
        <v>0.67</v>
      </c>
      <c r="G101" s="59">
        <v>187.77</v>
      </c>
      <c r="H101" s="59">
        <v>60.38</v>
      </c>
      <c r="I101" s="59">
        <v>1.37</v>
      </c>
      <c r="J101" s="59">
        <v>7.0000000000000007E-2</v>
      </c>
      <c r="K101" s="59">
        <v>274.42</v>
      </c>
      <c r="L101" s="59">
        <v>20.239999999999998</v>
      </c>
      <c r="M101" s="209" t="s">
        <v>36</v>
      </c>
      <c r="N101" s="59">
        <v>34.700000000000003</v>
      </c>
      <c r="O101" s="59">
        <v>0</v>
      </c>
      <c r="P101" s="59">
        <v>3.6</v>
      </c>
      <c r="Q101" s="59">
        <v>53.3</v>
      </c>
      <c r="R101" s="197"/>
      <c r="S101" s="197"/>
      <c r="T101" s="197"/>
      <c r="U101" s="197"/>
    </row>
    <row r="102" spans="1:33" s="12" customFormat="1" x14ac:dyDescent="0.25">
      <c r="A102" s="200" t="s">
        <v>433</v>
      </c>
      <c r="B102" s="59">
        <v>72.3</v>
      </c>
      <c r="C102" s="59">
        <v>11.42</v>
      </c>
      <c r="D102" s="59">
        <v>64.28</v>
      </c>
      <c r="E102" s="59">
        <v>5.1100000000000003</v>
      </c>
      <c r="F102" s="59">
        <v>0.8</v>
      </c>
      <c r="G102" s="59">
        <v>187.77</v>
      </c>
      <c r="H102" s="59">
        <v>60.38</v>
      </c>
      <c r="I102" s="59">
        <v>1.41</v>
      </c>
      <c r="J102" s="59">
        <v>0.08</v>
      </c>
      <c r="K102" s="59">
        <v>267.08999999999997</v>
      </c>
      <c r="L102" s="59">
        <v>20</v>
      </c>
      <c r="M102" s="209" t="s">
        <v>36</v>
      </c>
      <c r="N102" s="59">
        <v>34.5</v>
      </c>
      <c r="O102" s="59">
        <v>0</v>
      </c>
      <c r="P102" s="59">
        <v>3.61</v>
      </c>
      <c r="Q102" s="59">
        <v>54.17</v>
      </c>
      <c r="R102" s="197"/>
      <c r="S102" s="197"/>
      <c r="T102" s="197"/>
      <c r="U102" s="197"/>
    </row>
    <row r="103" spans="1:33" s="12" customFormat="1" x14ac:dyDescent="0.25">
      <c r="A103" s="200" t="s">
        <v>434</v>
      </c>
      <c r="B103" s="59">
        <v>75.95</v>
      </c>
      <c r="C103" s="59">
        <v>8.67</v>
      </c>
      <c r="D103" s="59">
        <v>65.69</v>
      </c>
      <c r="E103" s="59">
        <v>5.05</v>
      </c>
      <c r="F103" s="59">
        <v>0.5</v>
      </c>
      <c r="G103" s="59">
        <v>182.73</v>
      </c>
      <c r="H103" s="59">
        <v>59.69</v>
      </c>
      <c r="I103" s="59">
        <v>1.43</v>
      </c>
      <c r="J103" s="59">
        <v>0.15</v>
      </c>
      <c r="K103" s="59">
        <v>266.3</v>
      </c>
      <c r="L103" s="59">
        <v>20</v>
      </c>
      <c r="M103" s="209" t="s">
        <v>36</v>
      </c>
      <c r="N103" s="59">
        <v>34.4</v>
      </c>
      <c r="O103" s="59">
        <v>0</v>
      </c>
      <c r="P103" s="59">
        <v>3.61</v>
      </c>
      <c r="Q103" s="59">
        <v>54.49</v>
      </c>
      <c r="R103" s="197"/>
      <c r="S103" s="197"/>
      <c r="T103" s="197"/>
      <c r="U103" s="197"/>
    </row>
    <row r="104" spans="1:33" s="12" customFormat="1" x14ac:dyDescent="0.25">
      <c r="A104" s="200" t="s">
        <v>435</v>
      </c>
      <c r="B104" s="59">
        <v>78.8</v>
      </c>
      <c r="C104" s="59">
        <v>6.13</v>
      </c>
      <c r="D104" s="59">
        <v>66.569999999999993</v>
      </c>
      <c r="E104" s="59">
        <v>2.52</v>
      </c>
      <c r="F104" s="59">
        <v>0.66</v>
      </c>
      <c r="G104" s="59">
        <v>159.52000000000001</v>
      </c>
      <c r="H104" s="59">
        <v>57.55</v>
      </c>
      <c r="I104" s="59">
        <v>1.46</v>
      </c>
      <c r="J104" s="59">
        <v>0.09</v>
      </c>
      <c r="K104" s="59">
        <v>272.99</v>
      </c>
      <c r="L104" s="59">
        <v>19.829999999999998</v>
      </c>
      <c r="M104" s="209" t="s">
        <v>36</v>
      </c>
      <c r="N104" s="59">
        <v>34.6</v>
      </c>
      <c r="O104" s="59">
        <v>0</v>
      </c>
      <c r="P104" s="59">
        <v>3.59</v>
      </c>
      <c r="Q104" s="59">
        <v>54.74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1.51</v>
      </c>
      <c r="C106" s="66">
        <f>MIN(C9:C104)</f>
        <v>6.13</v>
      </c>
      <c r="D106" s="66">
        <f t="shared" ref="D106:Q106" si="0">MIN(D9:D104)</f>
        <v>32.75</v>
      </c>
      <c r="E106" s="66">
        <f t="shared" si="0"/>
        <v>1.78</v>
      </c>
      <c r="F106" s="66">
        <f t="shared" si="0"/>
        <v>0.33</v>
      </c>
      <c r="G106" s="66">
        <f t="shared" si="0"/>
        <v>60.09</v>
      </c>
      <c r="H106" s="66">
        <f t="shared" si="0"/>
        <v>34.85</v>
      </c>
      <c r="I106" s="66">
        <f t="shared" si="0"/>
        <v>0.13</v>
      </c>
      <c r="J106" s="66">
        <f t="shared" si="0"/>
        <v>0.06</v>
      </c>
      <c r="K106" s="66">
        <f t="shared" si="0"/>
        <v>3.85</v>
      </c>
      <c r="L106" s="66">
        <f t="shared" si="0"/>
        <v>-54.98</v>
      </c>
      <c r="M106" s="66">
        <f t="shared" si="0"/>
        <v>0</v>
      </c>
      <c r="N106" s="66">
        <f t="shared" si="0"/>
        <v>0.2</v>
      </c>
      <c r="O106" s="66">
        <f t="shared" si="0"/>
        <v>0</v>
      </c>
      <c r="P106" s="66">
        <f t="shared" si="0"/>
        <v>0.86</v>
      </c>
      <c r="Q106" s="66">
        <f t="shared" si="0"/>
        <v>34.15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78.8</v>
      </c>
      <c r="C107" s="65">
        <f t="shared" ref="C107:Q107" si="1">MAX(C9:C104)</f>
        <v>118.58</v>
      </c>
      <c r="D107" s="65">
        <f t="shared" si="1"/>
        <v>116.92</v>
      </c>
      <c r="E107" s="65">
        <f t="shared" si="1"/>
        <v>18.600000000000001</v>
      </c>
      <c r="F107" s="65">
        <f t="shared" si="1"/>
        <v>37.729999999999997</v>
      </c>
      <c r="G107" s="65">
        <f t="shared" si="1"/>
        <v>201.65</v>
      </c>
      <c r="H107" s="65">
        <f t="shared" si="1"/>
        <v>61.14</v>
      </c>
      <c r="I107" s="65">
        <f t="shared" si="1"/>
        <v>1.46</v>
      </c>
      <c r="J107" s="65">
        <f t="shared" si="1"/>
        <v>1.38</v>
      </c>
      <c r="K107" s="65">
        <f t="shared" si="1"/>
        <v>274.42</v>
      </c>
      <c r="L107" s="65">
        <f t="shared" si="1"/>
        <v>34.11</v>
      </c>
      <c r="M107" s="65">
        <f t="shared" si="1"/>
        <v>0</v>
      </c>
      <c r="N107" s="65">
        <f t="shared" si="1"/>
        <v>298.5</v>
      </c>
      <c r="O107" s="65">
        <f t="shared" si="1"/>
        <v>0</v>
      </c>
      <c r="P107" s="65">
        <f t="shared" si="1"/>
        <v>3.61</v>
      </c>
      <c r="Q107" s="65">
        <f t="shared" si="1"/>
        <v>139.46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27.927916666666672</v>
      </c>
      <c r="C108" s="66">
        <f t="shared" ref="C108:Q108" si="2">AVERAGE(C9:C104)</f>
        <v>72.192291666666662</v>
      </c>
      <c r="D108" s="66">
        <f t="shared" si="2"/>
        <v>62.236874999999998</v>
      </c>
      <c r="E108" s="66">
        <f t="shared" si="2"/>
        <v>6.1081250000000002</v>
      </c>
      <c r="F108" s="66">
        <f t="shared" si="2"/>
        <v>4.96</v>
      </c>
      <c r="G108" s="66">
        <f t="shared" si="2"/>
        <v>120.72374999999998</v>
      </c>
      <c r="H108" s="66">
        <f t="shared" si="2"/>
        <v>46.505104166666676</v>
      </c>
      <c r="I108" s="66">
        <f t="shared" si="2"/>
        <v>0.72107142857142847</v>
      </c>
      <c r="J108" s="66">
        <f t="shared" si="2"/>
        <v>0.41291666666666665</v>
      </c>
      <c r="K108" s="66">
        <f t="shared" si="2"/>
        <v>191.75976744186048</v>
      </c>
      <c r="L108" s="66">
        <f t="shared" si="2"/>
        <v>21.22229166666666</v>
      </c>
      <c r="M108" s="66" t="e">
        <f t="shared" si="2"/>
        <v>#DIV/0!</v>
      </c>
      <c r="N108" s="66">
        <f t="shared" si="2"/>
        <v>117.8731343283582</v>
      </c>
      <c r="O108" s="66">
        <f t="shared" si="2"/>
        <v>0</v>
      </c>
      <c r="P108" s="66">
        <f t="shared" si="2"/>
        <v>2.1712500000000015</v>
      </c>
      <c r="Q108" s="66">
        <f t="shared" si="2"/>
        <v>89.413510638297865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21.026559090659177</v>
      </c>
      <c r="C109" s="66">
        <f t="shared" ref="C109:Q109" si="3">STDEV(C9:C104)</f>
        <v>27.680378210040331</v>
      </c>
      <c r="D109" s="66">
        <f t="shared" si="3"/>
        <v>20.562029201137282</v>
      </c>
      <c r="E109" s="66">
        <f t="shared" si="3"/>
        <v>3.7874577815955197</v>
      </c>
      <c r="F109" s="66">
        <f t="shared" si="3"/>
        <v>8.5285504414043842</v>
      </c>
      <c r="G109" s="66">
        <f t="shared" si="3"/>
        <v>42.191198115496256</v>
      </c>
      <c r="H109" s="66">
        <f t="shared" si="3"/>
        <v>7.7993592172408395</v>
      </c>
      <c r="I109" s="66">
        <f t="shared" si="3"/>
        <v>0.45770843665701982</v>
      </c>
      <c r="J109" s="66">
        <f t="shared" si="3"/>
        <v>0.34830693260147083</v>
      </c>
      <c r="K109" s="66">
        <f t="shared" si="3"/>
        <v>65.464914794050131</v>
      </c>
      <c r="L109" s="66">
        <f t="shared" si="3"/>
        <v>11.959664621170507</v>
      </c>
      <c r="M109" s="66" t="e">
        <f t="shared" si="3"/>
        <v>#DIV/0!</v>
      </c>
      <c r="N109" s="66">
        <f t="shared" si="3"/>
        <v>94.190668298789546</v>
      </c>
      <c r="O109" s="66">
        <f t="shared" si="3"/>
        <v>0</v>
      </c>
      <c r="P109" s="66">
        <f t="shared" si="3"/>
        <v>0.81547822585407015</v>
      </c>
      <c r="Q109" s="66">
        <f t="shared" si="3"/>
        <v>37.204992401368862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P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 t="shared" si="4"/>
        <v>96</v>
      </c>
      <c r="I110" s="65">
        <f>COUNT(I9:I104)+40</f>
        <v>96</v>
      </c>
      <c r="J110" s="65">
        <f t="shared" si="4"/>
        <v>96</v>
      </c>
      <c r="K110" s="65">
        <f>COUNT(K9:K104)+53</f>
        <v>96</v>
      </c>
      <c r="L110" s="65">
        <f t="shared" si="4"/>
        <v>96</v>
      </c>
      <c r="M110" s="65">
        <f>COUNT(M9:M104)+96</f>
        <v>96</v>
      </c>
      <c r="N110" s="65">
        <f>COUNT(N9:N104)+29</f>
        <v>96</v>
      </c>
      <c r="O110" s="65">
        <f t="shared" si="4"/>
        <v>96</v>
      </c>
      <c r="P110" s="65">
        <f t="shared" si="4"/>
        <v>96</v>
      </c>
      <c r="Q110" s="65">
        <f>COUNT(Q9:Q104)+2</f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11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03-12-2022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436</v>
      </c>
      <c r="B9" s="59">
        <v>79.900000000000006</v>
      </c>
      <c r="C9" s="59">
        <v>4.79</v>
      </c>
      <c r="D9" s="59">
        <v>66.72</v>
      </c>
      <c r="E9" s="59">
        <v>4.99</v>
      </c>
      <c r="F9" s="59">
        <v>0.45</v>
      </c>
      <c r="G9" s="59">
        <v>159.52000000000001</v>
      </c>
      <c r="H9" s="59">
        <v>57.55</v>
      </c>
      <c r="I9" s="59">
        <v>1.47</v>
      </c>
      <c r="J9" s="59">
        <v>0.16</v>
      </c>
      <c r="K9" s="59">
        <v>271.43</v>
      </c>
      <c r="L9" s="59">
        <v>19.739999999999998</v>
      </c>
      <c r="M9" s="210" t="s">
        <v>43</v>
      </c>
      <c r="N9" s="59">
        <v>34.4</v>
      </c>
      <c r="O9" s="59">
        <v>0</v>
      </c>
      <c r="P9" s="59">
        <v>3.56</v>
      </c>
      <c r="Q9" s="59">
        <v>55.25</v>
      </c>
      <c r="R9" s="197"/>
      <c r="S9" s="197"/>
      <c r="T9" s="197"/>
      <c r="U9" s="197"/>
    </row>
    <row r="10" spans="1:21" s="12" customFormat="1" x14ac:dyDescent="0.25">
      <c r="A10" s="200" t="s">
        <v>437</v>
      </c>
      <c r="B10" s="59">
        <v>80.2</v>
      </c>
      <c r="C10" s="59">
        <v>3.44</v>
      </c>
      <c r="D10" s="59">
        <v>66.209999999999994</v>
      </c>
      <c r="E10" s="59">
        <v>5.23</v>
      </c>
      <c r="F10" s="59">
        <v>0.45</v>
      </c>
      <c r="G10" s="59">
        <v>159.52000000000001</v>
      </c>
      <c r="H10" s="59">
        <v>57.55</v>
      </c>
      <c r="I10" s="59">
        <v>1.48</v>
      </c>
      <c r="J10" s="59">
        <v>0.21</v>
      </c>
      <c r="K10" s="59">
        <v>275.14</v>
      </c>
      <c r="L10" s="59">
        <v>20.07</v>
      </c>
      <c r="M10" s="210" t="s">
        <v>43</v>
      </c>
      <c r="N10" s="59">
        <v>34.1</v>
      </c>
      <c r="O10" s="59">
        <v>0</v>
      </c>
      <c r="P10" s="59">
        <v>3.52</v>
      </c>
      <c r="Q10" s="59">
        <v>56.23</v>
      </c>
      <c r="R10" s="197"/>
      <c r="S10" s="197"/>
      <c r="T10" s="197"/>
      <c r="U10" s="197"/>
    </row>
    <row r="11" spans="1:21" s="12" customFormat="1" x14ac:dyDescent="0.25">
      <c r="A11" s="200" t="s">
        <v>438</v>
      </c>
      <c r="B11" s="59">
        <v>79.36</v>
      </c>
      <c r="C11" s="59">
        <v>0.23</v>
      </c>
      <c r="D11" s="59">
        <v>63.77</v>
      </c>
      <c r="E11" s="59">
        <v>5.27</v>
      </c>
      <c r="F11" s="59">
        <v>0.54</v>
      </c>
      <c r="G11" s="59">
        <v>154.88999999999999</v>
      </c>
      <c r="H11" s="59">
        <v>57.23</v>
      </c>
      <c r="I11" s="59">
        <v>1.48</v>
      </c>
      <c r="J11" s="59">
        <v>0.16</v>
      </c>
      <c r="K11" s="59">
        <v>283.62</v>
      </c>
      <c r="L11" s="59">
        <v>19.690000000000001</v>
      </c>
      <c r="M11" s="210" t="s">
        <v>43</v>
      </c>
      <c r="N11" s="59">
        <v>34.6</v>
      </c>
      <c r="O11" s="59">
        <v>0</v>
      </c>
      <c r="P11" s="59">
        <v>3.45</v>
      </c>
      <c r="Q11" s="59">
        <v>56.32</v>
      </c>
      <c r="R11" s="197"/>
      <c r="S11" s="197"/>
      <c r="T11" s="197"/>
      <c r="U11" s="197"/>
    </row>
    <row r="12" spans="1:21" s="12" customFormat="1" x14ac:dyDescent="0.25">
      <c r="A12" s="200" t="s">
        <v>439</v>
      </c>
      <c r="B12" s="59">
        <v>77.67</v>
      </c>
      <c r="C12" s="59">
        <v>1.56</v>
      </c>
      <c r="D12" s="59">
        <v>63.15</v>
      </c>
      <c r="E12" s="59">
        <v>5.75</v>
      </c>
      <c r="F12" s="59">
        <v>0.56000000000000005</v>
      </c>
      <c r="G12" s="59">
        <v>144.97999999999999</v>
      </c>
      <c r="H12" s="59">
        <v>56.24</v>
      </c>
      <c r="I12" s="59">
        <v>1.47</v>
      </c>
      <c r="J12" s="59">
        <v>0.16</v>
      </c>
      <c r="K12" s="59">
        <v>285.13</v>
      </c>
      <c r="L12" s="59">
        <v>19.62</v>
      </c>
      <c r="M12" s="210" t="s">
        <v>43</v>
      </c>
      <c r="N12" s="59">
        <v>34.6</v>
      </c>
      <c r="O12" s="59">
        <v>0</v>
      </c>
      <c r="P12" s="59">
        <v>3.39</v>
      </c>
      <c r="Q12" s="59">
        <v>55.24</v>
      </c>
      <c r="R12" s="197"/>
      <c r="S12" s="197"/>
      <c r="T12" s="197"/>
      <c r="U12" s="197"/>
    </row>
    <row r="13" spans="1:21" s="12" customFormat="1" x14ac:dyDescent="0.25">
      <c r="A13" s="200" t="s">
        <v>440</v>
      </c>
      <c r="B13" s="59">
        <v>76.05</v>
      </c>
      <c r="C13" s="59">
        <v>3.47</v>
      </c>
      <c r="D13" s="59">
        <v>62.9</v>
      </c>
      <c r="E13" s="59">
        <v>5.32</v>
      </c>
      <c r="F13" s="59">
        <v>0.61</v>
      </c>
      <c r="G13" s="59">
        <v>144.97999999999999</v>
      </c>
      <c r="H13" s="59">
        <v>56.24</v>
      </c>
      <c r="I13" s="59">
        <v>1.44</v>
      </c>
      <c r="J13" s="59">
        <v>0.11</v>
      </c>
      <c r="K13" s="59">
        <v>293.54000000000002</v>
      </c>
      <c r="L13" s="59">
        <v>19.239999999999998</v>
      </c>
      <c r="M13" s="210" t="s">
        <v>43</v>
      </c>
      <c r="N13" s="59">
        <v>34.6</v>
      </c>
      <c r="O13" s="59">
        <v>0</v>
      </c>
      <c r="P13" s="59">
        <v>3.22</v>
      </c>
      <c r="Q13" s="59">
        <v>54.75</v>
      </c>
      <c r="R13" s="197"/>
      <c r="S13" s="197"/>
      <c r="T13" s="197"/>
      <c r="U13" s="197"/>
    </row>
    <row r="14" spans="1:21" s="12" customFormat="1" x14ac:dyDescent="0.25">
      <c r="A14" s="200" t="s">
        <v>441</v>
      </c>
      <c r="B14" s="59">
        <v>75.47</v>
      </c>
      <c r="C14" s="59">
        <v>3.24</v>
      </c>
      <c r="D14" s="59">
        <v>62.31</v>
      </c>
      <c r="E14" s="59">
        <v>5.53</v>
      </c>
      <c r="F14" s="59">
        <v>0.66</v>
      </c>
      <c r="G14" s="59">
        <v>144.97999999999999</v>
      </c>
      <c r="H14" s="59">
        <v>56.24</v>
      </c>
      <c r="I14" s="59">
        <v>1.41</v>
      </c>
      <c r="J14" s="59">
        <v>0.14000000000000001</v>
      </c>
      <c r="K14" s="59">
        <v>302.17</v>
      </c>
      <c r="L14" s="59">
        <v>18.98</v>
      </c>
      <c r="M14" s="210" t="s">
        <v>43</v>
      </c>
      <c r="N14" s="59">
        <v>34.6</v>
      </c>
      <c r="O14" s="59">
        <v>0</v>
      </c>
      <c r="P14" s="59">
        <v>3.26</v>
      </c>
      <c r="Q14" s="59">
        <v>54.06</v>
      </c>
      <c r="R14" s="197"/>
      <c r="S14" s="197"/>
      <c r="T14" s="197"/>
      <c r="U14" s="197"/>
    </row>
    <row r="15" spans="1:21" s="12" customFormat="1" x14ac:dyDescent="0.25">
      <c r="A15" s="200" t="s">
        <v>442</v>
      </c>
      <c r="B15" s="59">
        <v>73.819999999999993</v>
      </c>
      <c r="C15" s="59">
        <v>3.35</v>
      </c>
      <c r="D15" s="59">
        <v>61.05</v>
      </c>
      <c r="E15" s="59">
        <v>5.55</v>
      </c>
      <c r="F15" s="59">
        <v>0.74</v>
      </c>
      <c r="G15" s="59">
        <v>146.06</v>
      </c>
      <c r="H15" s="59">
        <v>56.53</v>
      </c>
      <c r="I15" s="59">
        <v>1.38</v>
      </c>
      <c r="J15" s="59">
        <v>0.13</v>
      </c>
      <c r="K15" s="59">
        <v>300.33999999999997</v>
      </c>
      <c r="L15" s="59">
        <v>18.940000000000001</v>
      </c>
      <c r="M15" s="210" t="s">
        <v>43</v>
      </c>
      <c r="N15" s="59">
        <v>34.5</v>
      </c>
      <c r="O15" s="59">
        <v>0</v>
      </c>
      <c r="P15" s="59">
        <v>3.19</v>
      </c>
      <c r="Q15" s="59">
        <v>53.59</v>
      </c>
      <c r="R15" s="197"/>
      <c r="S15" s="197"/>
      <c r="T15" s="197"/>
      <c r="U15" s="197"/>
    </row>
    <row r="16" spans="1:21" s="12" customFormat="1" x14ac:dyDescent="0.25">
      <c r="A16" s="200" t="s">
        <v>443</v>
      </c>
      <c r="B16" s="59">
        <v>71.08</v>
      </c>
      <c r="C16" s="59">
        <v>4.0599999999999996</v>
      </c>
      <c r="D16" s="59">
        <v>59.24</v>
      </c>
      <c r="E16" s="59">
        <v>5.08</v>
      </c>
      <c r="F16" s="59">
        <v>0.71</v>
      </c>
      <c r="G16" s="59">
        <v>148.53</v>
      </c>
      <c r="H16" s="59">
        <v>57.5</v>
      </c>
      <c r="I16" s="59">
        <v>1.34</v>
      </c>
      <c r="J16" s="59">
        <v>0.26</v>
      </c>
      <c r="K16" s="59">
        <v>299.76</v>
      </c>
      <c r="L16" s="59">
        <v>19.02</v>
      </c>
      <c r="M16" s="210" t="s">
        <v>43</v>
      </c>
      <c r="N16" s="59">
        <v>34.200000000000003</v>
      </c>
      <c r="O16" s="59">
        <v>0</v>
      </c>
      <c r="P16" s="59">
        <v>3.11</v>
      </c>
      <c r="Q16" s="59">
        <v>53.13</v>
      </c>
      <c r="R16" s="197"/>
      <c r="S16" s="197"/>
      <c r="T16" s="197"/>
      <c r="U16" s="197"/>
    </row>
    <row r="17" spans="1:21" s="12" customFormat="1" x14ac:dyDescent="0.25">
      <c r="A17" s="200" t="s">
        <v>444</v>
      </c>
      <c r="B17" s="59">
        <v>69.02</v>
      </c>
      <c r="C17" s="59">
        <v>4.71</v>
      </c>
      <c r="D17" s="59">
        <v>57.95</v>
      </c>
      <c r="E17" s="59">
        <v>5.09</v>
      </c>
      <c r="F17" s="59">
        <v>0.75</v>
      </c>
      <c r="G17" s="59">
        <v>148.53</v>
      </c>
      <c r="H17" s="59">
        <v>57.5</v>
      </c>
      <c r="I17" s="59">
        <v>1.32</v>
      </c>
      <c r="J17" s="59">
        <v>0.12</v>
      </c>
      <c r="K17" s="59">
        <v>298.31</v>
      </c>
      <c r="L17" s="59">
        <v>19.03</v>
      </c>
      <c r="M17" s="210" t="s">
        <v>43</v>
      </c>
      <c r="N17" s="59">
        <v>34.5</v>
      </c>
      <c r="O17" s="59">
        <v>0</v>
      </c>
      <c r="P17" s="59">
        <v>3.04</v>
      </c>
      <c r="Q17" s="59">
        <v>52.6</v>
      </c>
      <c r="R17" s="197"/>
      <c r="S17" s="197"/>
      <c r="T17" s="197"/>
      <c r="U17" s="197"/>
    </row>
    <row r="18" spans="1:21" s="12" customFormat="1" x14ac:dyDescent="0.25">
      <c r="A18" s="200" t="s">
        <v>445</v>
      </c>
      <c r="B18" s="59">
        <v>68.45</v>
      </c>
      <c r="C18" s="59">
        <v>4.54</v>
      </c>
      <c r="D18" s="59">
        <v>57.39</v>
      </c>
      <c r="E18" s="59">
        <v>5.0999999999999996</v>
      </c>
      <c r="F18" s="59">
        <v>0.65</v>
      </c>
      <c r="G18" s="59">
        <v>148.53</v>
      </c>
      <c r="H18" s="59">
        <v>57.5</v>
      </c>
      <c r="I18" s="59">
        <v>1.28</v>
      </c>
      <c r="J18" s="59">
        <v>0.14000000000000001</v>
      </c>
      <c r="K18" s="59">
        <v>295.14999999999998</v>
      </c>
      <c r="L18" s="59">
        <v>18.920000000000002</v>
      </c>
      <c r="M18" s="210" t="s">
        <v>43</v>
      </c>
      <c r="N18" s="59">
        <v>34.5</v>
      </c>
      <c r="O18" s="59">
        <v>0</v>
      </c>
      <c r="P18" s="59">
        <v>3</v>
      </c>
      <c r="Q18" s="59">
        <v>52.61</v>
      </c>
      <c r="R18" s="197"/>
      <c r="S18" s="197"/>
      <c r="T18" s="197"/>
      <c r="U18" s="197"/>
    </row>
    <row r="19" spans="1:21" s="12" customFormat="1" x14ac:dyDescent="0.25">
      <c r="A19" s="200" t="s">
        <v>446</v>
      </c>
      <c r="B19" s="59">
        <v>67.64</v>
      </c>
      <c r="C19" s="59">
        <v>4.66</v>
      </c>
      <c r="D19" s="59">
        <v>56.82</v>
      </c>
      <c r="E19" s="59">
        <v>5.43</v>
      </c>
      <c r="F19" s="59">
        <v>0.54</v>
      </c>
      <c r="G19" s="59">
        <v>153.87</v>
      </c>
      <c r="H19" s="59">
        <v>58.44</v>
      </c>
      <c r="I19" s="59">
        <v>1.27</v>
      </c>
      <c r="J19" s="59">
        <v>0.09</v>
      </c>
      <c r="K19" s="59">
        <v>286.44</v>
      </c>
      <c r="L19" s="59">
        <v>18.91</v>
      </c>
      <c r="M19" s="210" t="s">
        <v>43</v>
      </c>
      <c r="N19" s="59">
        <v>34.6</v>
      </c>
      <c r="O19" s="59">
        <v>0</v>
      </c>
      <c r="P19" s="59">
        <v>2.96</v>
      </c>
      <c r="Q19" s="59">
        <v>53.16</v>
      </c>
      <c r="R19" s="197"/>
      <c r="S19" s="197"/>
      <c r="T19" s="197"/>
      <c r="U19" s="197"/>
    </row>
    <row r="20" spans="1:21" s="12" customFormat="1" x14ac:dyDescent="0.25">
      <c r="A20" s="200" t="s">
        <v>447</v>
      </c>
      <c r="B20" s="59">
        <v>65.569999999999993</v>
      </c>
      <c r="C20" s="59">
        <v>5.47</v>
      </c>
      <c r="D20" s="59">
        <v>55.6</v>
      </c>
      <c r="E20" s="59">
        <v>5.33</v>
      </c>
      <c r="F20" s="59">
        <v>0.59</v>
      </c>
      <c r="G20" s="59">
        <v>166.15</v>
      </c>
      <c r="H20" s="59">
        <v>61.54</v>
      </c>
      <c r="I20" s="59">
        <v>1.26</v>
      </c>
      <c r="J20" s="59">
        <v>0.1</v>
      </c>
      <c r="K20" s="59">
        <v>285.44</v>
      </c>
      <c r="L20" s="59">
        <v>18.82</v>
      </c>
      <c r="M20" s="210" t="s">
        <v>43</v>
      </c>
      <c r="N20" s="59">
        <v>34.6</v>
      </c>
      <c r="O20" s="59">
        <v>0</v>
      </c>
      <c r="P20" s="59">
        <v>2.91</v>
      </c>
      <c r="Q20" s="59">
        <v>53.24</v>
      </c>
      <c r="R20" s="197"/>
      <c r="S20" s="197"/>
      <c r="T20" s="197"/>
      <c r="U20" s="197"/>
    </row>
    <row r="21" spans="1:21" s="12" customFormat="1" x14ac:dyDescent="0.25">
      <c r="A21" s="200" t="s">
        <v>448</v>
      </c>
      <c r="B21" s="59">
        <v>62.89</v>
      </c>
      <c r="C21" s="59">
        <v>6.49</v>
      </c>
      <c r="D21" s="59">
        <v>54.02</v>
      </c>
      <c r="E21" s="59">
        <v>5.21</v>
      </c>
      <c r="F21" s="59">
        <v>0.76</v>
      </c>
      <c r="G21" s="59">
        <v>166.15</v>
      </c>
      <c r="H21" s="59">
        <v>61.54</v>
      </c>
      <c r="I21" s="59">
        <v>1.25</v>
      </c>
      <c r="J21" s="59">
        <v>0.11</v>
      </c>
      <c r="K21" s="59">
        <v>291.41000000000003</v>
      </c>
      <c r="L21" s="59">
        <v>18.68</v>
      </c>
      <c r="M21" s="210" t="s">
        <v>43</v>
      </c>
      <c r="N21" s="59">
        <v>34.6</v>
      </c>
      <c r="O21" s="59">
        <v>0</v>
      </c>
      <c r="P21" s="59">
        <v>2.87</v>
      </c>
      <c r="Q21" s="59">
        <v>53.23</v>
      </c>
      <c r="R21" s="197"/>
      <c r="S21" s="197"/>
      <c r="T21" s="197"/>
      <c r="U21" s="197"/>
    </row>
    <row r="22" spans="1:21" s="12" customFormat="1" x14ac:dyDescent="0.25">
      <c r="A22" s="200" t="s">
        <v>449</v>
      </c>
      <c r="B22" s="59">
        <v>60.56</v>
      </c>
      <c r="C22" s="59">
        <v>7.39</v>
      </c>
      <c r="D22" s="59">
        <v>52.64</v>
      </c>
      <c r="E22" s="59">
        <v>5.13</v>
      </c>
      <c r="F22" s="59">
        <v>1.04</v>
      </c>
      <c r="G22" s="59">
        <v>166.15</v>
      </c>
      <c r="H22" s="59">
        <v>61.54</v>
      </c>
      <c r="I22" s="59">
        <v>1.23</v>
      </c>
      <c r="J22" s="59">
        <v>0.15</v>
      </c>
      <c r="K22" s="59">
        <v>300.64999999999998</v>
      </c>
      <c r="L22" s="59">
        <v>18.48</v>
      </c>
      <c r="M22" s="210" t="s">
        <v>43</v>
      </c>
      <c r="N22" s="59">
        <v>34.5</v>
      </c>
      <c r="O22" s="59">
        <v>0</v>
      </c>
      <c r="P22" s="59">
        <v>2.82</v>
      </c>
      <c r="Q22" s="59">
        <v>53.03</v>
      </c>
      <c r="R22" s="197"/>
      <c r="S22" s="197"/>
      <c r="T22" s="197"/>
      <c r="U22" s="197"/>
    </row>
    <row r="23" spans="1:21" s="12" customFormat="1" x14ac:dyDescent="0.25">
      <c r="A23" s="200" t="s">
        <v>450</v>
      </c>
      <c r="B23" s="59">
        <v>58.95</v>
      </c>
      <c r="C23" s="59">
        <v>8.0399999999999991</v>
      </c>
      <c r="D23" s="59">
        <v>51.71</v>
      </c>
      <c r="E23" s="59">
        <v>5.48</v>
      </c>
      <c r="F23" s="59">
        <v>0.53</v>
      </c>
      <c r="G23" s="59">
        <v>170.46</v>
      </c>
      <c r="H23" s="59">
        <v>63.31</v>
      </c>
      <c r="I23" s="59">
        <v>1.2</v>
      </c>
      <c r="J23" s="59">
        <v>0.13</v>
      </c>
      <c r="K23" s="59">
        <v>296.3</v>
      </c>
      <c r="L23" s="59">
        <v>18.57</v>
      </c>
      <c r="M23" s="210" t="s">
        <v>43</v>
      </c>
      <c r="N23" s="59">
        <v>34.4</v>
      </c>
      <c r="O23" s="59">
        <v>0</v>
      </c>
      <c r="P23" s="59">
        <v>2.79</v>
      </c>
      <c r="Q23" s="59">
        <v>53.38</v>
      </c>
      <c r="R23" s="197"/>
      <c r="S23" s="197"/>
      <c r="T23" s="197"/>
      <c r="U23" s="197"/>
    </row>
    <row r="24" spans="1:21" s="12" customFormat="1" x14ac:dyDescent="0.25">
      <c r="A24" s="200" t="s">
        <v>451</v>
      </c>
      <c r="B24" s="59">
        <v>56.93</v>
      </c>
      <c r="C24" s="59">
        <v>8.82</v>
      </c>
      <c r="D24" s="59">
        <v>50.52</v>
      </c>
      <c r="E24" s="59">
        <v>2.58</v>
      </c>
      <c r="F24" s="59">
        <v>0.31</v>
      </c>
      <c r="G24" s="59">
        <v>190.32</v>
      </c>
      <c r="H24" s="59">
        <v>69.099999999999994</v>
      </c>
      <c r="I24" s="59">
        <v>1.2</v>
      </c>
      <c r="J24" s="59">
        <v>0.19</v>
      </c>
      <c r="K24" s="59">
        <v>289.2</v>
      </c>
      <c r="L24" s="59">
        <v>18.47</v>
      </c>
      <c r="M24" s="210" t="s">
        <v>43</v>
      </c>
      <c r="N24" s="59">
        <v>34.200000000000003</v>
      </c>
      <c r="O24" s="59">
        <v>0</v>
      </c>
      <c r="P24" s="59">
        <v>2.74</v>
      </c>
      <c r="Q24" s="59">
        <v>52.81</v>
      </c>
      <c r="R24" s="197"/>
      <c r="S24" s="197"/>
      <c r="T24" s="197"/>
      <c r="U24" s="197"/>
    </row>
    <row r="25" spans="1:21" s="12" customFormat="1" x14ac:dyDescent="0.25">
      <c r="A25" s="200" t="s">
        <v>452</v>
      </c>
      <c r="B25" s="59">
        <v>54.45</v>
      </c>
      <c r="C25" s="59">
        <v>8.1199999999999992</v>
      </c>
      <c r="D25" s="59">
        <v>48.15</v>
      </c>
      <c r="E25" s="59">
        <v>5.43</v>
      </c>
      <c r="F25" s="59">
        <v>0.21</v>
      </c>
      <c r="G25" s="59">
        <v>190.32</v>
      </c>
      <c r="H25" s="59">
        <v>69.099999999999994</v>
      </c>
      <c r="I25" s="59">
        <v>1.17</v>
      </c>
      <c r="J25" s="59">
        <v>0.09</v>
      </c>
      <c r="K25" s="59">
        <v>275.49</v>
      </c>
      <c r="L25" s="59">
        <v>18.82</v>
      </c>
      <c r="M25" s="210" t="s">
        <v>43</v>
      </c>
      <c r="N25" s="59">
        <v>34.5</v>
      </c>
      <c r="O25" s="59">
        <v>0</v>
      </c>
      <c r="P25" s="59">
        <v>2.69</v>
      </c>
      <c r="Q25" s="59">
        <v>54.05</v>
      </c>
      <c r="R25" s="197"/>
      <c r="S25" s="197"/>
      <c r="T25" s="197"/>
      <c r="U25" s="197"/>
    </row>
    <row r="26" spans="1:21" s="12" customFormat="1" x14ac:dyDescent="0.25">
      <c r="A26" s="200" t="s">
        <v>453</v>
      </c>
      <c r="B26" s="59">
        <v>51.64</v>
      </c>
      <c r="C26" s="59">
        <v>10.029999999999999</v>
      </c>
      <c r="D26" s="59">
        <v>46.95</v>
      </c>
      <c r="E26" s="59">
        <v>5.9</v>
      </c>
      <c r="F26" s="59">
        <v>0.16</v>
      </c>
      <c r="G26" s="59">
        <v>190.32</v>
      </c>
      <c r="H26" s="59">
        <v>69.099999999999994</v>
      </c>
      <c r="I26" s="59">
        <v>1.1599999999999999</v>
      </c>
      <c r="J26" s="59">
        <v>0.14000000000000001</v>
      </c>
      <c r="K26" s="59">
        <v>282.20999999999998</v>
      </c>
      <c r="L26" s="59">
        <v>18.72</v>
      </c>
      <c r="M26" s="210" t="s">
        <v>43</v>
      </c>
      <c r="N26" s="59">
        <v>34.4</v>
      </c>
      <c r="O26" s="59">
        <v>0</v>
      </c>
      <c r="P26" s="59">
        <v>2.62</v>
      </c>
      <c r="Q26" s="59">
        <v>53.18</v>
      </c>
      <c r="R26" s="197"/>
      <c r="S26" s="197"/>
      <c r="T26" s="197"/>
      <c r="U26" s="197"/>
    </row>
    <row r="27" spans="1:21" s="12" customFormat="1" x14ac:dyDescent="0.25">
      <c r="A27" s="200" t="s">
        <v>454</v>
      </c>
      <c r="B27" s="59">
        <v>50.57</v>
      </c>
      <c r="C27" s="59">
        <v>13.25</v>
      </c>
      <c r="D27" s="59">
        <v>47.86</v>
      </c>
      <c r="E27" s="59">
        <v>5.38</v>
      </c>
      <c r="F27" s="59">
        <v>0.46</v>
      </c>
      <c r="G27" s="59">
        <v>192.29</v>
      </c>
      <c r="H27" s="59">
        <v>69.47</v>
      </c>
      <c r="I27" s="59">
        <v>1.1100000000000001</v>
      </c>
      <c r="J27" s="59">
        <v>0.1</v>
      </c>
      <c r="K27" s="59">
        <v>289.83</v>
      </c>
      <c r="L27" s="59">
        <v>18.36</v>
      </c>
      <c r="M27" s="210" t="s">
        <v>43</v>
      </c>
      <c r="N27" s="59">
        <v>34.6</v>
      </c>
      <c r="O27" s="59">
        <v>0</v>
      </c>
      <c r="P27" s="59">
        <v>2.58</v>
      </c>
      <c r="Q27" s="59">
        <v>52.36</v>
      </c>
      <c r="R27" s="197"/>
      <c r="S27" s="197"/>
      <c r="T27" s="197"/>
      <c r="U27" s="197"/>
    </row>
    <row r="28" spans="1:21" s="12" customFormat="1" x14ac:dyDescent="0.25">
      <c r="A28" s="200" t="s">
        <v>455</v>
      </c>
      <c r="B28" s="59">
        <v>51.55</v>
      </c>
      <c r="C28" s="59">
        <v>13.61</v>
      </c>
      <c r="D28" s="59">
        <v>48.85</v>
      </c>
      <c r="E28" s="59">
        <v>5.25</v>
      </c>
      <c r="F28" s="59">
        <v>0.47</v>
      </c>
      <c r="G28" s="59">
        <v>196.8</v>
      </c>
      <c r="H28" s="59">
        <v>70.7</v>
      </c>
      <c r="I28" s="59">
        <v>1.07</v>
      </c>
      <c r="J28" s="59">
        <v>0.09</v>
      </c>
      <c r="K28" s="59">
        <v>296.62</v>
      </c>
      <c r="L28" s="59">
        <v>18.07</v>
      </c>
      <c r="M28" s="210" t="s">
        <v>43</v>
      </c>
      <c r="N28" s="59">
        <v>34.6</v>
      </c>
      <c r="O28" s="59">
        <v>0</v>
      </c>
      <c r="P28" s="59">
        <v>2.5499999999999998</v>
      </c>
      <c r="Q28" s="59">
        <v>52.33</v>
      </c>
      <c r="R28" s="197"/>
      <c r="S28" s="197"/>
      <c r="T28" s="197"/>
      <c r="U28" s="197"/>
    </row>
    <row r="29" spans="1:21" s="12" customFormat="1" x14ac:dyDescent="0.25">
      <c r="A29" s="200" t="s">
        <v>456</v>
      </c>
      <c r="B29" s="59">
        <v>52.86</v>
      </c>
      <c r="C29" s="59">
        <v>13.02</v>
      </c>
      <c r="D29" s="59">
        <v>49.58</v>
      </c>
      <c r="E29" s="59">
        <v>5.15</v>
      </c>
      <c r="F29" s="59">
        <v>0.61</v>
      </c>
      <c r="G29" s="59">
        <v>196.8</v>
      </c>
      <c r="H29" s="59">
        <v>70.7</v>
      </c>
      <c r="I29" s="59">
        <v>1.02</v>
      </c>
      <c r="J29" s="59">
        <v>0.12</v>
      </c>
      <c r="K29" s="59">
        <v>303.08</v>
      </c>
      <c r="L29" s="59">
        <v>17.82</v>
      </c>
      <c r="M29" s="210" t="s">
        <v>43</v>
      </c>
      <c r="N29" s="59">
        <v>34.6</v>
      </c>
      <c r="O29" s="59">
        <v>0</v>
      </c>
      <c r="P29" s="59">
        <v>2.52</v>
      </c>
      <c r="Q29" s="59">
        <v>52.32</v>
      </c>
      <c r="R29" s="197"/>
      <c r="S29" s="197"/>
      <c r="T29" s="197"/>
      <c r="U29" s="197"/>
    </row>
    <row r="30" spans="1:21" s="12" customFormat="1" x14ac:dyDescent="0.25">
      <c r="A30" s="200" t="s">
        <v>457</v>
      </c>
      <c r="B30" s="59">
        <v>55.36</v>
      </c>
      <c r="C30" s="59">
        <v>11.58</v>
      </c>
      <c r="D30" s="59">
        <v>50.79</v>
      </c>
      <c r="E30" s="59">
        <v>5.24</v>
      </c>
      <c r="F30" s="59">
        <v>0.56000000000000005</v>
      </c>
      <c r="G30" s="59">
        <v>196.8</v>
      </c>
      <c r="H30" s="59">
        <v>70.7</v>
      </c>
      <c r="I30" s="59">
        <v>0.99</v>
      </c>
      <c r="J30" s="59">
        <v>0.13</v>
      </c>
      <c r="K30" s="59">
        <v>305.36</v>
      </c>
      <c r="L30" s="59">
        <v>17.71</v>
      </c>
      <c r="M30" s="210" t="s">
        <v>43</v>
      </c>
      <c r="N30" s="59">
        <v>34.5</v>
      </c>
      <c r="O30" s="59">
        <v>0</v>
      </c>
      <c r="P30" s="59">
        <v>2.5299999999999998</v>
      </c>
      <c r="Q30" s="59">
        <v>51.96</v>
      </c>
      <c r="R30" s="197"/>
      <c r="S30" s="197"/>
      <c r="T30" s="197"/>
      <c r="U30" s="197"/>
    </row>
    <row r="31" spans="1:21" s="12" customFormat="1" x14ac:dyDescent="0.25">
      <c r="A31" s="200" t="s">
        <v>458</v>
      </c>
      <c r="B31" s="59">
        <v>60.37</v>
      </c>
      <c r="C31" s="59">
        <v>8.8699999999999992</v>
      </c>
      <c r="D31" s="59">
        <v>53.31</v>
      </c>
      <c r="E31" s="59">
        <v>5.35</v>
      </c>
      <c r="F31" s="59">
        <v>0.54</v>
      </c>
      <c r="G31" s="59">
        <v>203.02</v>
      </c>
      <c r="H31" s="59">
        <v>71.13</v>
      </c>
      <c r="I31" s="59">
        <v>0.96</v>
      </c>
      <c r="J31" s="59">
        <v>0.16</v>
      </c>
      <c r="K31" s="59">
        <v>289.32</v>
      </c>
      <c r="L31" s="59">
        <v>17.899999999999999</v>
      </c>
      <c r="M31" s="210" t="s">
        <v>43</v>
      </c>
      <c r="N31" s="59">
        <v>34.1</v>
      </c>
      <c r="O31" s="59">
        <v>0</v>
      </c>
      <c r="P31" s="59">
        <v>2.5299999999999998</v>
      </c>
      <c r="Q31" s="59">
        <v>51.64</v>
      </c>
      <c r="R31" s="197"/>
      <c r="S31" s="197"/>
      <c r="T31" s="197"/>
      <c r="U31" s="197"/>
    </row>
    <row r="32" spans="1:21" s="12" customFormat="1" x14ac:dyDescent="0.25">
      <c r="A32" s="200" t="s">
        <v>459</v>
      </c>
      <c r="B32" s="59">
        <v>61.1</v>
      </c>
      <c r="C32" s="59">
        <v>8.1300000000000008</v>
      </c>
      <c r="D32" s="59">
        <v>53.48</v>
      </c>
      <c r="E32" s="59">
        <v>5.22</v>
      </c>
      <c r="F32" s="59">
        <v>0.74</v>
      </c>
      <c r="G32" s="59">
        <v>216.64</v>
      </c>
      <c r="H32" s="59">
        <v>72.510000000000005</v>
      </c>
      <c r="I32" s="59">
        <v>0.93</v>
      </c>
      <c r="J32" s="59">
        <v>0.17</v>
      </c>
      <c r="K32" s="59">
        <v>271.52</v>
      </c>
      <c r="L32" s="59">
        <v>18.309999999999999</v>
      </c>
      <c r="M32" s="210" t="s">
        <v>43</v>
      </c>
      <c r="N32" s="59">
        <v>34.1</v>
      </c>
      <c r="O32" s="59">
        <v>0</v>
      </c>
      <c r="P32" s="59">
        <v>2.4900000000000002</v>
      </c>
      <c r="Q32" s="59">
        <v>51.12</v>
      </c>
      <c r="R32" s="197"/>
      <c r="S32" s="197"/>
      <c r="T32" s="197"/>
      <c r="U32" s="197"/>
    </row>
    <row r="33" spans="1:21" s="12" customFormat="1" x14ac:dyDescent="0.25">
      <c r="A33" s="200" t="s">
        <v>460</v>
      </c>
      <c r="B33" s="59">
        <v>58.31</v>
      </c>
      <c r="C33" s="59">
        <v>9.3800000000000008</v>
      </c>
      <c r="D33" s="59">
        <v>51.93</v>
      </c>
      <c r="E33" s="59">
        <v>5.19</v>
      </c>
      <c r="F33" s="59">
        <v>0.46</v>
      </c>
      <c r="G33" s="59">
        <v>216.64</v>
      </c>
      <c r="H33" s="59">
        <v>72.510000000000005</v>
      </c>
      <c r="I33" s="59">
        <v>0.92</v>
      </c>
      <c r="J33" s="59">
        <v>0.17</v>
      </c>
      <c r="K33" s="59">
        <v>270.56</v>
      </c>
      <c r="L33" s="59">
        <v>18.52</v>
      </c>
      <c r="M33" s="210" t="s">
        <v>43</v>
      </c>
      <c r="N33" s="59">
        <v>34.700000000000003</v>
      </c>
      <c r="O33" s="59">
        <v>0</v>
      </c>
      <c r="P33" s="59">
        <v>2.44</v>
      </c>
      <c r="Q33" s="59">
        <v>51.57</v>
      </c>
      <c r="R33" s="197"/>
      <c r="S33" s="197"/>
      <c r="T33" s="197"/>
      <c r="U33" s="197"/>
    </row>
    <row r="34" spans="1:21" s="12" customFormat="1" x14ac:dyDescent="0.25">
      <c r="A34" s="200" t="s">
        <v>461</v>
      </c>
      <c r="B34" s="59">
        <v>56.2</v>
      </c>
      <c r="C34" s="59">
        <v>10.199999999999999</v>
      </c>
      <c r="D34" s="59">
        <v>50.7</v>
      </c>
      <c r="E34" s="59">
        <v>5.78</v>
      </c>
      <c r="F34" s="59">
        <v>0.46</v>
      </c>
      <c r="G34" s="59">
        <v>216.64</v>
      </c>
      <c r="H34" s="59">
        <v>72.510000000000005</v>
      </c>
      <c r="I34" s="209" t="s">
        <v>36</v>
      </c>
      <c r="J34" s="59">
        <v>0.22</v>
      </c>
      <c r="K34" s="59">
        <v>287.66000000000003</v>
      </c>
      <c r="L34" s="59">
        <v>18.100000000000001</v>
      </c>
      <c r="M34" s="210" t="s">
        <v>43</v>
      </c>
      <c r="N34" s="59">
        <v>37.200000000000003</v>
      </c>
      <c r="O34" s="59">
        <v>0</v>
      </c>
      <c r="P34" s="59">
        <v>2.4</v>
      </c>
      <c r="Q34" s="59">
        <v>51.85</v>
      </c>
      <c r="R34" s="197"/>
      <c r="S34" s="197"/>
      <c r="T34" s="197"/>
      <c r="U34" s="197"/>
    </row>
    <row r="35" spans="1:21" s="12" customFormat="1" x14ac:dyDescent="0.25">
      <c r="A35" s="200" t="s">
        <v>462</v>
      </c>
      <c r="B35" s="59">
        <v>56.46</v>
      </c>
      <c r="C35" s="59">
        <v>9.99</v>
      </c>
      <c r="D35" s="59">
        <v>50.79</v>
      </c>
      <c r="E35" s="59">
        <v>5.16</v>
      </c>
      <c r="F35" s="59">
        <v>0.48</v>
      </c>
      <c r="G35" s="59">
        <v>202.34</v>
      </c>
      <c r="H35" s="59">
        <v>71.64</v>
      </c>
      <c r="I35" s="209" t="s">
        <v>36</v>
      </c>
      <c r="J35" s="59">
        <v>0.19</v>
      </c>
      <c r="K35" s="59">
        <v>288.62</v>
      </c>
      <c r="L35" s="59">
        <v>18.13</v>
      </c>
      <c r="M35" s="210" t="s">
        <v>43</v>
      </c>
      <c r="N35" s="59">
        <v>44.4</v>
      </c>
      <c r="O35" s="59">
        <v>0</v>
      </c>
      <c r="P35" s="59">
        <v>2.37</v>
      </c>
      <c r="Q35" s="59">
        <v>52.02</v>
      </c>
      <c r="R35" s="197"/>
      <c r="S35" s="197"/>
      <c r="T35" s="197"/>
      <c r="U35" s="197"/>
    </row>
    <row r="36" spans="1:21" s="12" customFormat="1" x14ac:dyDescent="0.25">
      <c r="A36" s="200" t="s">
        <v>463</v>
      </c>
      <c r="B36" s="59">
        <v>59.14</v>
      </c>
      <c r="C36" s="59">
        <v>8.5299999999999994</v>
      </c>
      <c r="D36" s="59">
        <v>52.14</v>
      </c>
      <c r="E36" s="59">
        <v>5.71</v>
      </c>
      <c r="F36" s="59">
        <v>0.67</v>
      </c>
      <c r="G36" s="59">
        <v>169.44</v>
      </c>
      <c r="H36" s="59">
        <v>68.790000000000006</v>
      </c>
      <c r="I36" s="209" t="s">
        <v>36</v>
      </c>
      <c r="J36" s="59">
        <v>0.15</v>
      </c>
      <c r="K36" s="59">
        <v>288.58999999999997</v>
      </c>
      <c r="L36" s="59">
        <v>18.21</v>
      </c>
      <c r="M36" s="210" t="s">
        <v>43</v>
      </c>
      <c r="N36" s="59">
        <v>55.8</v>
      </c>
      <c r="O36" s="59">
        <v>0</v>
      </c>
      <c r="P36" s="59">
        <v>2.36</v>
      </c>
      <c r="Q36" s="59">
        <v>51.82</v>
      </c>
      <c r="R36" s="197"/>
      <c r="S36" s="197"/>
      <c r="T36" s="197"/>
      <c r="U36" s="197"/>
    </row>
    <row r="37" spans="1:21" s="12" customFormat="1" x14ac:dyDescent="0.25">
      <c r="A37" s="200" t="s">
        <v>464</v>
      </c>
      <c r="B37" s="59">
        <v>60.78</v>
      </c>
      <c r="C37" s="59">
        <v>7.46</v>
      </c>
      <c r="D37" s="59">
        <v>52.86</v>
      </c>
      <c r="E37" s="59">
        <v>5.64</v>
      </c>
      <c r="F37" s="59">
        <v>0.5</v>
      </c>
      <c r="G37" s="59">
        <v>169.44</v>
      </c>
      <c r="H37" s="59">
        <v>68.790000000000006</v>
      </c>
      <c r="I37" s="209" t="s">
        <v>36</v>
      </c>
      <c r="J37" s="59">
        <v>0.31</v>
      </c>
      <c r="K37" s="59">
        <v>274.64</v>
      </c>
      <c r="L37" s="59">
        <v>18.87</v>
      </c>
      <c r="M37" s="210" t="s">
        <v>43</v>
      </c>
      <c r="N37" s="59">
        <v>68.900000000000006</v>
      </c>
      <c r="O37" s="59">
        <v>0</v>
      </c>
      <c r="P37" s="59">
        <v>2.33</v>
      </c>
      <c r="Q37" s="59">
        <v>52.61</v>
      </c>
      <c r="R37" s="197"/>
      <c r="S37" s="197"/>
      <c r="T37" s="197"/>
      <c r="U37" s="197"/>
    </row>
    <row r="38" spans="1:21" s="12" customFormat="1" x14ac:dyDescent="0.25">
      <c r="A38" s="200" t="s">
        <v>465</v>
      </c>
      <c r="B38" s="59">
        <v>60.43</v>
      </c>
      <c r="C38" s="59">
        <v>7.64</v>
      </c>
      <c r="D38" s="59">
        <v>52.67</v>
      </c>
      <c r="E38" s="59">
        <v>5.61</v>
      </c>
      <c r="F38" s="59">
        <v>0.53</v>
      </c>
      <c r="G38" s="59">
        <v>169.44</v>
      </c>
      <c r="H38" s="59">
        <v>68.790000000000006</v>
      </c>
      <c r="I38" s="209" t="s">
        <v>36</v>
      </c>
      <c r="J38" s="59">
        <v>0.48</v>
      </c>
      <c r="K38" s="59">
        <v>266.11</v>
      </c>
      <c r="L38" s="59">
        <v>19.43</v>
      </c>
      <c r="M38" s="210" t="s">
        <v>43</v>
      </c>
      <c r="N38" s="59">
        <v>88.7</v>
      </c>
      <c r="O38" s="59">
        <v>0</v>
      </c>
      <c r="P38" s="59">
        <v>2.36</v>
      </c>
      <c r="Q38" s="59">
        <v>52.85</v>
      </c>
      <c r="R38" s="197"/>
      <c r="S38" s="197"/>
      <c r="T38" s="197"/>
      <c r="U38" s="197"/>
    </row>
    <row r="39" spans="1:21" s="12" customFormat="1" x14ac:dyDescent="0.25">
      <c r="A39" s="200" t="s">
        <v>466</v>
      </c>
      <c r="B39" s="59">
        <v>58.64</v>
      </c>
      <c r="C39" s="59">
        <v>7.64</v>
      </c>
      <c r="D39" s="59">
        <v>51.24</v>
      </c>
      <c r="E39" s="59">
        <v>5.78</v>
      </c>
      <c r="F39" s="59">
        <v>0.6</v>
      </c>
      <c r="G39" s="59">
        <v>168.08</v>
      </c>
      <c r="H39" s="59">
        <v>69.510000000000005</v>
      </c>
      <c r="I39" s="209" t="s">
        <v>36</v>
      </c>
      <c r="J39" s="59">
        <v>0.78</v>
      </c>
      <c r="K39" s="59">
        <v>258.2</v>
      </c>
      <c r="L39" s="59">
        <v>19.86</v>
      </c>
      <c r="M39" s="210" t="s">
        <v>43</v>
      </c>
      <c r="N39" s="59">
        <v>122.2</v>
      </c>
      <c r="O39" s="59">
        <v>0</v>
      </c>
      <c r="P39" s="59">
        <v>2.33</v>
      </c>
      <c r="Q39" s="59">
        <v>53.17</v>
      </c>
      <c r="R39" s="197"/>
      <c r="S39" s="197"/>
      <c r="T39" s="197"/>
      <c r="U39" s="197"/>
    </row>
    <row r="40" spans="1:21" s="12" customFormat="1" x14ac:dyDescent="0.25">
      <c r="A40" s="200" t="s">
        <v>467</v>
      </c>
      <c r="B40" s="59">
        <v>55.77</v>
      </c>
      <c r="C40" s="59">
        <v>7.94</v>
      </c>
      <c r="D40" s="59">
        <v>49.1</v>
      </c>
      <c r="E40" s="59">
        <v>2.2999999999999998</v>
      </c>
      <c r="F40" s="59">
        <v>0.61</v>
      </c>
      <c r="G40" s="59">
        <v>161.84</v>
      </c>
      <c r="H40" s="59">
        <v>71.89</v>
      </c>
      <c r="I40" s="209" t="s">
        <v>36</v>
      </c>
      <c r="J40" s="59">
        <v>0.49</v>
      </c>
      <c r="K40" s="59">
        <v>252.75</v>
      </c>
      <c r="L40" s="59">
        <v>20.58</v>
      </c>
      <c r="M40" s="210" t="s">
        <v>43</v>
      </c>
      <c r="N40" s="59">
        <v>157.4</v>
      </c>
      <c r="O40" s="59">
        <v>0</v>
      </c>
      <c r="P40" s="59">
        <v>2.27</v>
      </c>
      <c r="Q40" s="59">
        <v>52.58</v>
      </c>
      <c r="R40" s="197"/>
      <c r="S40" s="197"/>
      <c r="T40" s="197"/>
      <c r="U40" s="197"/>
    </row>
    <row r="41" spans="1:21" s="12" customFormat="1" x14ac:dyDescent="0.25">
      <c r="A41" s="200" t="s">
        <v>468</v>
      </c>
      <c r="B41" s="59">
        <v>53.39</v>
      </c>
      <c r="C41" s="59">
        <v>11.43</v>
      </c>
      <c r="D41" s="59">
        <v>49.12</v>
      </c>
      <c r="E41" s="59">
        <v>4.51</v>
      </c>
      <c r="F41" s="59">
        <v>0.78</v>
      </c>
      <c r="G41" s="59">
        <v>161.84</v>
      </c>
      <c r="H41" s="59">
        <v>71.89</v>
      </c>
      <c r="I41" s="209" t="s">
        <v>36</v>
      </c>
      <c r="J41" s="59">
        <v>0.59</v>
      </c>
      <c r="K41" s="59">
        <v>235.45</v>
      </c>
      <c r="L41" s="59">
        <v>21.9</v>
      </c>
      <c r="M41" s="210" t="s">
        <v>43</v>
      </c>
      <c r="N41" s="59">
        <v>189.6</v>
      </c>
      <c r="O41" s="59">
        <v>0</v>
      </c>
      <c r="P41" s="59">
        <v>2.2599999999999998</v>
      </c>
      <c r="Q41" s="59">
        <v>52.22</v>
      </c>
      <c r="R41" s="197"/>
      <c r="S41" s="197"/>
      <c r="T41" s="197"/>
      <c r="U41" s="197"/>
    </row>
    <row r="42" spans="1:21" s="12" customFormat="1" x14ac:dyDescent="0.25">
      <c r="A42" s="200" t="s">
        <v>469</v>
      </c>
      <c r="B42" s="59">
        <v>51.04</v>
      </c>
      <c r="C42" s="59">
        <v>13.79</v>
      </c>
      <c r="D42" s="59">
        <v>48.54</v>
      </c>
      <c r="E42" s="59">
        <v>4.92</v>
      </c>
      <c r="F42" s="59">
        <v>0.88</v>
      </c>
      <c r="G42" s="59">
        <v>161.84</v>
      </c>
      <c r="H42" s="59">
        <v>71.89</v>
      </c>
      <c r="I42" s="209" t="s">
        <v>36</v>
      </c>
      <c r="J42" s="59">
        <v>1.03</v>
      </c>
      <c r="K42" s="59">
        <v>235.23</v>
      </c>
      <c r="L42" s="59">
        <v>21.6</v>
      </c>
      <c r="M42" s="210" t="s">
        <v>43</v>
      </c>
      <c r="N42" s="59">
        <v>224.5</v>
      </c>
      <c r="O42" s="59">
        <v>0</v>
      </c>
      <c r="P42" s="59">
        <v>2.21</v>
      </c>
      <c r="Q42" s="59">
        <v>52.16</v>
      </c>
      <c r="R42" s="197"/>
      <c r="S42" s="197"/>
      <c r="T42" s="197"/>
      <c r="U42" s="197"/>
    </row>
    <row r="43" spans="1:21" s="12" customFormat="1" x14ac:dyDescent="0.25">
      <c r="A43" s="200" t="s">
        <v>470</v>
      </c>
      <c r="B43" s="59">
        <v>46.53</v>
      </c>
      <c r="C43" s="59">
        <v>16.760000000000002</v>
      </c>
      <c r="D43" s="59">
        <v>46.57</v>
      </c>
      <c r="E43" s="59">
        <v>4.95</v>
      </c>
      <c r="F43" s="59">
        <v>0.91</v>
      </c>
      <c r="G43" s="59">
        <v>150.80000000000001</v>
      </c>
      <c r="H43" s="59">
        <v>69.790000000000006</v>
      </c>
      <c r="I43" s="209" t="s">
        <v>36</v>
      </c>
      <c r="J43" s="59">
        <v>0.56000000000000005</v>
      </c>
      <c r="K43" s="59">
        <v>219.01</v>
      </c>
      <c r="L43" s="59">
        <v>22.96</v>
      </c>
      <c r="M43" s="210" t="s">
        <v>43</v>
      </c>
      <c r="N43" s="59">
        <v>255.8</v>
      </c>
      <c r="O43" s="59">
        <v>0</v>
      </c>
      <c r="P43" s="59">
        <v>2.14</v>
      </c>
      <c r="Q43" s="59">
        <v>51.54</v>
      </c>
      <c r="R43" s="197"/>
      <c r="S43" s="197"/>
      <c r="T43" s="197"/>
      <c r="U43" s="197"/>
    </row>
    <row r="44" spans="1:21" s="12" customFormat="1" x14ac:dyDescent="0.25">
      <c r="A44" s="200" t="s">
        <v>471</v>
      </c>
      <c r="B44" s="59">
        <v>42.29</v>
      </c>
      <c r="C44" s="59">
        <v>19.920000000000002</v>
      </c>
      <c r="D44" s="59">
        <v>44.9</v>
      </c>
      <c r="E44" s="59">
        <v>4.74</v>
      </c>
      <c r="F44" s="59">
        <v>0.92</v>
      </c>
      <c r="G44" s="59">
        <v>126.63</v>
      </c>
      <c r="H44" s="59">
        <v>62.9</v>
      </c>
      <c r="I44" s="209" t="s">
        <v>36</v>
      </c>
      <c r="J44" s="59">
        <v>0.75</v>
      </c>
      <c r="K44" s="59">
        <v>214.92</v>
      </c>
      <c r="L44" s="59">
        <v>23.35</v>
      </c>
      <c r="M44" s="210" t="s">
        <v>43</v>
      </c>
      <c r="N44" s="59">
        <v>285.39999999999998</v>
      </c>
      <c r="O44" s="59">
        <v>0</v>
      </c>
      <c r="P44" s="59">
        <v>2.09</v>
      </c>
      <c r="Q44" s="59">
        <v>50.96</v>
      </c>
      <c r="R44" s="197"/>
      <c r="S44" s="197"/>
      <c r="T44" s="197"/>
      <c r="U44" s="197"/>
    </row>
    <row r="45" spans="1:21" s="12" customFormat="1" x14ac:dyDescent="0.25">
      <c r="A45" s="200" t="s">
        <v>472</v>
      </c>
      <c r="B45" s="59">
        <v>37.94</v>
      </c>
      <c r="C45" s="59">
        <v>23.22</v>
      </c>
      <c r="D45" s="59">
        <v>43.24</v>
      </c>
      <c r="E45" s="59">
        <v>5.04</v>
      </c>
      <c r="F45" s="59">
        <v>0.92</v>
      </c>
      <c r="G45" s="59">
        <v>126.63</v>
      </c>
      <c r="H45" s="59">
        <v>62.9</v>
      </c>
      <c r="I45" s="209" t="s">
        <v>36</v>
      </c>
      <c r="J45" s="59">
        <v>0.61</v>
      </c>
      <c r="K45" s="59">
        <v>191.58</v>
      </c>
      <c r="L45" s="59">
        <v>25.22</v>
      </c>
      <c r="M45" s="210" t="s">
        <v>43</v>
      </c>
      <c r="N45" s="59">
        <v>308.10000000000002</v>
      </c>
      <c r="O45" s="59">
        <v>0</v>
      </c>
      <c r="P45" s="59">
        <v>2.0299999999999998</v>
      </c>
      <c r="Q45" s="59">
        <v>50.66</v>
      </c>
      <c r="R45" s="197"/>
      <c r="S45" s="197"/>
      <c r="T45" s="197"/>
      <c r="U45" s="197"/>
    </row>
    <row r="46" spans="1:21" s="12" customFormat="1" x14ac:dyDescent="0.25">
      <c r="A46" s="200" t="s">
        <v>473</v>
      </c>
      <c r="B46" s="59">
        <v>34.6</v>
      </c>
      <c r="C46" s="59">
        <v>26.61</v>
      </c>
      <c r="D46" s="59">
        <v>42.43</v>
      </c>
      <c r="E46" s="59">
        <v>4.75</v>
      </c>
      <c r="F46" s="59">
        <v>0.89</v>
      </c>
      <c r="G46" s="59">
        <v>126.63</v>
      </c>
      <c r="H46" s="59">
        <v>62.9</v>
      </c>
      <c r="I46" s="209" t="s">
        <v>36</v>
      </c>
      <c r="J46" s="59">
        <v>0.9</v>
      </c>
      <c r="K46" s="59">
        <v>167.88</v>
      </c>
      <c r="L46" s="59">
        <v>27.93</v>
      </c>
      <c r="M46" s="210" t="s">
        <v>43</v>
      </c>
      <c r="N46" s="59">
        <v>325.8</v>
      </c>
      <c r="O46" s="59">
        <v>0</v>
      </c>
      <c r="P46" s="59">
        <v>2</v>
      </c>
      <c r="Q46" s="59">
        <v>49.88</v>
      </c>
      <c r="R46" s="197"/>
      <c r="S46" s="197"/>
      <c r="T46" s="197"/>
      <c r="U46" s="197"/>
    </row>
    <row r="47" spans="1:21" s="12" customFormat="1" x14ac:dyDescent="0.25">
      <c r="A47" s="200" t="s">
        <v>474</v>
      </c>
      <c r="B47" s="59">
        <v>31.29</v>
      </c>
      <c r="C47" s="59">
        <v>29.98</v>
      </c>
      <c r="D47" s="59">
        <v>41.63</v>
      </c>
      <c r="E47" s="59">
        <v>4.3899999999999997</v>
      </c>
      <c r="F47" s="59">
        <v>0.78</v>
      </c>
      <c r="G47" s="59">
        <v>122.62</v>
      </c>
      <c r="H47" s="59">
        <v>63.15</v>
      </c>
      <c r="I47" s="209" t="s">
        <v>36</v>
      </c>
      <c r="J47" s="59">
        <v>0.86</v>
      </c>
      <c r="K47" s="59">
        <v>162.85</v>
      </c>
      <c r="L47" s="59">
        <v>28.68</v>
      </c>
      <c r="M47" s="210" t="s">
        <v>43</v>
      </c>
      <c r="N47" s="59">
        <v>348.2</v>
      </c>
      <c r="O47" s="59">
        <v>0</v>
      </c>
      <c r="P47" s="59">
        <v>2</v>
      </c>
      <c r="Q47" s="59">
        <v>49.83</v>
      </c>
      <c r="R47" s="197"/>
      <c r="S47" s="197"/>
      <c r="T47" s="197"/>
      <c r="U47" s="197"/>
    </row>
    <row r="48" spans="1:21" s="12" customFormat="1" x14ac:dyDescent="0.25">
      <c r="A48" s="200" t="s">
        <v>475</v>
      </c>
      <c r="B48" s="59">
        <v>28.41</v>
      </c>
      <c r="C48" s="59">
        <v>32.61</v>
      </c>
      <c r="D48" s="59">
        <v>40.78</v>
      </c>
      <c r="E48" s="59">
        <v>5.22</v>
      </c>
      <c r="F48" s="59">
        <v>0.86</v>
      </c>
      <c r="G48" s="59">
        <v>113.82</v>
      </c>
      <c r="H48" s="59">
        <v>63.98</v>
      </c>
      <c r="I48" s="209" t="s">
        <v>36</v>
      </c>
      <c r="J48" s="59">
        <v>0.94</v>
      </c>
      <c r="K48" s="59">
        <v>176.95</v>
      </c>
      <c r="L48" s="59">
        <v>27.1</v>
      </c>
      <c r="M48" s="210" t="s">
        <v>43</v>
      </c>
      <c r="N48" s="59">
        <v>367.3</v>
      </c>
      <c r="O48" s="59">
        <v>0</v>
      </c>
      <c r="P48" s="59">
        <v>1.99</v>
      </c>
      <c r="Q48" s="59">
        <v>50.21</v>
      </c>
      <c r="R48" s="197"/>
      <c r="S48" s="197"/>
      <c r="T48" s="197"/>
      <c r="U48" s="197"/>
    </row>
    <row r="49" spans="1:21" s="12" customFormat="1" x14ac:dyDescent="0.25">
      <c r="A49" s="200" t="s">
        <v>476</v>
      </c>
      <c r="B49" s="59">
        <v>25.64</v>
      </c>
      <c r="C49" s="59">
        <v>33.549999999999997</v>
      </c>
      <c r="D49" s="59">
        <v>39.08</v>
      </c>
      <c r="E49" s="59">
        <v>4.84</v>
      </c>
      <c r="F49" s="59">
        <v>0.73</v>
      </c>
      <c r="G49" s="59">
        <v>113.82</v>
      </c>
      <c r="H49" s="59">
        <v>63.98</v>
      </c>
      <c r="I49" s="209" t="s">
        <v>36</v>
      </c>
      <c r="J49" s="59">
        <v>0.89</v>
      </c>
      <c r="K49" s="59">
        <v>186.98</v>
      </c>
      <c r="L49" s="59">
        <v>25.7</v>
      </c>
      <c r="M49" s="210" t="s">
        <v>43</v>
      </c>
      <c r="N49" s="59">
        <v>376.5</v>
      </c>
      <c r="O49" s="59">
        <v>0</v>
      </c>
      <c r="P49" s="59">
        <v>1.95</v>
      </c>
      <c r="Q49" s="59">
        <v>50.86</v>
      </c>
      <c r="R49" s="197"/>
      <c r="S49" s="197"/>
      <c r="T49" s="197"/>
      <c r="U49" s="197"/>
    </row>
    <row r="50" spans="1:21" s="12" customFormat="1" x14ac:dyDescent="0.25">
      <c r="A50" s="200" t="s">
        <v>477</v>
      </c>
      <c r="B50" s="59">
        <v>22.86</v>
      </c>
      <c r="C50" s="59">
        <v>34.35</v>
      </c>
      <c r="D50" s="59">
        <v>37.29</v>
      </c>
      <c r="E50" s="59">
        <v>4.7</v>
      </c>
      <c r="F50" s="59">
        <v>0.97</v>
      </c>
      <c r="G50" s="59">
        <v>113.82</v>
      </c>
      <c r="H50" s="59">
        <v>63.98</v>
      </c>
      <c r="I50" s="209" t="s">
        <v>36</v>
      </c>
      <c r="J50" s="59">
        <v>0.67</v>
      </c>
      <c r="K50" s="59">
        <v>172.61</v>
      </c>
      <c r="L50" s="59">
        <v>27.72</v>
      </c>
      <c r="M50" s="210" t="s">
        <v>43</v>
      </c>
      <c r="N50" s="59">
        <v>382.4</v>
      </c>
      <c r="O50" s="59">
        <v>0</v>
      </c>
      <c r="P50" s="59">
        <v>1.91</v>
      </c>
      <c r="Q50" s="59">
        <v>51.09</v>
      </c>
      <c r="R50" s="197"/>
      <c r="S50" s="197"/>
      <c r="T50" s="197"/>
      <c r="U50" s="197"/>
    </row>
    <row r="51" spans="1:21" s="12" customFormat="1" x14ac:dyDescent="0.25">
      <c r="A51" s="200" t="s">
        <v>478</v>
      </c>
      <c r="B51" s="59">
        <v>20.13</v>
      </c>
      <c r="C51" s="59">
        <v>36.17</v>
      </c>
      <c r="D51" s="59">
        <v>36.11</v>
      </c>
      <c r="E51" s="59">
        <v>5.0599999999999996</v>
      </c>
      <c r="F51" s="59">
        <v>1.33</v>
      </c>
      <c r="G51" s="59">
        <v>111.12</v>
      </c>
      <c r="H51" s="59">
        <v>63.79</v>
      </c>
      <c r="I51" s="209" t="s">
        <v>36</v>
      </c>
      <c r="J51" s="59">
        <v>1</v>
      </c>
      <c r="K51" s="59">
        <v>149.28</v>
      </c>
      <c r="L51" s="59">
        <v>30.66</v>
      </c>
      <c r="M51" s="210" t="s">
        <v>43</v>
      </c>
      <c r="N51" s="59">
        <v>392.6</v>
      </c>
      <c r="O51" s="59">
        <v>0</v>
      </c>
      <c r="P51" s="59">
        <v>1.91</v>
      </c>
      <c r="Q51" s="59">
        <v>51.37</v>
      </c>
      <c r="R51" s="197"/>
      <c r="S51" s="197"/>
      <c r="T51" s="197"/>
      <c r="U51" s="197"/>
    </row>
    <row r="52" spans="1:21" s="12" customFormat="1" x14ac:dyDescent="0.25">
      <c r="A52" s="200" t="s">
        <v>479</v>
      </c>
      <c r="B52" s="59">
        <v>17.13</v>
      </c>
      <c r="C52" s="59">
        <v>39.159999999999997</v>
      </c>
      <c r="D52" s="59">
        <v>35.35</v>
      </c>
      <c r="E52" s="59">
        <v>5</v>
      </c>
      <c r="F52" s="59">
        <v>1.1499999999999999</v>
      </c>
      <c r="G52" s="59">
        <v>105.19</v>
      </c>
      <c r="H52" s="59">
        <v>63.16</v>
      </c>
      <c r="I52" s="209" t="s">
        <v>36</v>
      </c>
      <c r="J52" s="59">
        <v>0.74</v>
      </c>
      <c r="K52" s="59">
        <v>145.26</v>
      </c>
      <c r="L52" s="59">
        <v>31.2</v>
      </c>
      <c r="M52" s="210" t="s">
        <v>43</v>
      </c>
      <c r="N52" s="59">
        <v>393.2</v>
      </c>
      <c r="O52" s="59">
        <v>0</v>
      </c>
      <c r="P52" s="59">
        <v>1.91</v>
      </c>
      <c r="Q52" s="59">
        <v>50.98</v>
      </c>
      <c r="R52" s="197"/>
      <c r="S52" s="197"/>
      <c r="T52" s="197"/>
      <c r="U52" s="197"/>
    </row>
    <row r="53" spans="1:21" s="12" customFormat="1" x14ac:dyDescent="0.25">
      <c r="A53" s="200" t="s">
        <v>480</v>
      </c>
      <c r="B53" s="59">
        <v>14.53</v>
      </c>
      <c r="C53" s="59">
        <v>41.62</v>
      </c>
      <c r="D53" s="59">
        <v>34.619999999999997</v>
      </c>
      <c r="E53" s="59">
        <v>4.92</v>
      </c>
      <c r="F53" s="59">
        <v>1.03</v>
      </c>
      <c r="G53" s="59">
        <v>105.19</v>
      </c>
      <c r="H53" s="59">
        <v>63.16</v>
      </c>
      <c r="I53" s="209" t="s">
        <v>36</v>
      </c>
      <c r="J53" s="59">
        <v>0.88</v>
      </c>
      <c r="K53" s="59">
        <v>142.13999999999999</v>
      </c>
      <c r="L53" s="59">
        <v>31.59</v>
      </c>
      <c r="M53" s="210" t="s">
        <v>43</v>
      </c>
      <c r="N53" s="59">
        <v>399.5</v>
      </c>
      <c r="O53" s="59">
        <v>0</v>
      </c>
      <c r="P53" s="59">
        <v>1.9</v>
      </c>
      <c r="Q53" s="59">
        <v>51.46</v>
      </c>
      <c r="R53" s="197"/>
      <c r="S53" s="197"/>
      <c r="T53" s="197"/>
      <c r="U53" s="197"/>
    </row>
    <row r="54" spans="1:21" s="12" customFormat="1" x14ac:dyDescent="0.25">
      <c r="A54" s="200" t="s">
        <v>481</v>
      </c>
      <c r="B54" s="59">
        <v>11.86</v>
      </c>
      <c r="C54" s="59">
        <v>43.99</v>
      </c>
      <c r="D54" s="59">
        <v>33.79</v>
      </c>
      <c r="E54" s="59">
        <v>4.82</v>
      </c>
      <c r="F54" s="59">
        <v>1.1399999999999999</v>
      </c>
      <c r="G54" s="59">
        <v>105.19</v>
      </c>
      <c r="H54" s="59">
        <v>63.16</v>
      </c>
      <c r="I54" s="209" t="s">
        <v>36</v>
      </c>
      <c r="J54" s="59">
        <v>0.87</v>
      </c>
      <c r="K54" s="59">
        <v>137.71</v>
      </c>
      <c r="L54" s="59">
        <v>31.69</v>
      </c>
      <c r="M54" s="210" t="s">
        <v>43</v>
      </c>
      <c r="N54" s="59">
        <v>405.7</v>
      </c>
      <c r="O54" s="59">
        <v>0</v>
      </c>
      <c r="P54" s="59">
        <v>1.88</v>
      </c>
      <c r="Q54" s="59">
        <v>52.6</v>
      </c>
      <c r="R54" s="197"/>
      <c r="S54" s="197"/>
      <c r="T54" s="197"/>
      <c r="U54" s="197"/>
    </row>
    <row r="55" spans="1:21" s="12" customFormat="1" x14ac:dyDescent="0.25">
      <c r="A55" s="200" t="s">
        <v>482</v>
      </c>
      <c r="B55" s="59">
        <v>9.02</v>
      </c>
      <c r="C55" s="59">
        <v>46.39</v>
      </c>
      <c r="D55" s="59">
        <v>32.840000000000003</v>
      </c>
      <c r="E55" s="59">
        <v>5.34</v>
      </c>
      <c r="F55" s="59">
        <v>1.49</v>
      </c>
      <c r="G55" s="59">
        <v>103.01</v>
      </c>
      <c r="H55" s="59">
        <v>62.55</v>
      </c>
      <c r="I55" s="209" t="s">
        <v>36</v>
      </c>
      <c r="J55" s="59">
        <v>0.9</v>
      </c>
      <c r="K55" s="59">
        <v>132.38999999999999</v>
      </c>
      <c r="L55" s="59">
        <v>32.43</v>
      </c>
      <c r="M55" s="210" t="s">
        <v>43</v>
      </c>
      <c r="N55" s="59">
        <v>407.5</v>
      </c>
      <c r="O55" s="59">
        <v>0</v>
      </c>
      <c r="P55" s="59">
        <v>1.85</v>
      </c>
      <c r="Q55" s="59">
        <v>50.82</v>
      </c>
      <c r="R55" s="197"/>
      <c r="S55" s="197"/>
      <c r="T55" s="197"/>
      <c r="U55" s="197"/>
    </row>
    <row r="56" spans="1:21" s="12" customFormat="1" x14ac:dyDescent="0.25">
      <c r="A56" s="200" t="s">
        <v>483</v>
      </c>
      <c r="B56" s="59">
        <v>6.47</v>
      </c>
      <c r="C56" s="59">
        <v>48.33</v>
      </c>
      <c r="D56" s="59">
        <v>31.86</v>
      </c>
      <c r="E56" s="59">
        <v>2.79</v>
      </c>
      <c r="F56" s="59">
        <v>1.58</v>
      </c>
      <c r="G56" s="59">
        <v>93.01</v>
      </c>
      <c r="H56" s="59">
        <v>60.54</v>
      </c>
      <c r="I56" s="209" t="s">
        <v>36</v>
      </c>
      <c r="J56" s="59">
        <v>0.56000000000000005</v>
      </c>
      <c r="K56" s="59">
        <v>131.78</v>
      </c>
      <c r="L56" s="59">
        <v>32.46</v>
      </c>
      <c r="M56" s="210" t="s">
        <v>43</v>
      </c>
      <c r="N56" s="59">
        <v>411.3</v>
      </c>
      <c r="O56" s="59">
        <v>0</v>
      </c>
      <c r="P56" s="59">
        <v>1.81</v>
      </c>
      <c r="Q56" s="59">
        <v>49.9</v>
      </c>
      <c r="R56" s="197"/>
      <c r="S56" s="197"/>
      <c r="T56" s="197"/>
      <c r="U56" s="197"/>
    </row>
    <row r="57" spans="1:21" s="12" customFormat="1" x14ac:dyDescent="0.25">
      <c r="A57" s="200" t="s">
        <v>484</v>
      </c>
      <c r="B57" s="59">
        <v>4.97</v>
      </c>
      <c r="C57" s="59">
        <v>48.83</v>
      </c>
      <c r="D57" s="59">
        <v>30.93</v>
      </c>
      <c r="E57" s="59">
        <v>4.34</v>
      </c>
      <c r="F57" s="59">
        <v>2.1800000000000002</v>
      </c>
      <c r="G57" s="59">
        <v>93.01</v>
      </c>
      <c r="H57" s="59">
        <v>60.54</v>
      </c>
      <c r="I57" s="59">
        <v>0.5</v>
      </c>
      <c r="J57" s="59">
        <v>0.64</v>
      </c>
      <c r="K57" s="59">
        <v>132.43</v>
      </c>
      <c r="L57" s="59">
        <v>32.18</v>
      </c>
      <c r="M57" s="210" t="s">
        <v>43</v>
      </c>
      <c r="N57" s="59">
        <v>410.1</v>
      </c>
      <c r="O57" s="59">
        <v>0</v>
      </c>
      <c r="P57" s="59">
        <v>1.76</v>
      </c>
      <c r="Q57" s="59">
        <v>50.08</v>
      </c>
      <c r="R57" s="197"/>
      <c r="S57" s="197"/>
      <c r="T57" s="197"/>
      <c r="U57" s="197"/>
    </row>
    <row r="58" spans="1:21" s="12" customFormat="1" x14ac:dyDescent="0.25">
      <c r="A58" s="200" t="s">
        <v>485</v>
      </c>
      <c r="B58" s="59">
        <v>4.09</v>
      </c>
      <c r="C58" s="59">
        <v>48.75</v>
      </c>
      <c r="D58" s="59">
        <v>30.19</v>
      </c>
      <c r="E58" s="59">
        <v>5.08</v>
      </c>
      <c r="F58" s="59">
        <v>2.91</v>
      </c>
      <c r="G58" s="59">
        <v>93.01</v>
      </c>
      <c r="H58" s="59">
        <v>60.54</v>
      </c>
      <c r="I58" s="59">
        <v>0.68</v>
      </c>
      <c r="J58" s="59">
        <v>0.55000000000000004</v>
      </c>
      <c r="K58" s="59">
        <v>135.33000000000001</v>
      </c>
      <c r="L58" s="59">
        <v>31.36</v>
      </c>
      <c r="M58" s="210" t="s">
        <v>43</v>
      </c>
      <c r="N58" s="59">
        <v>404.5</v>
      </c>
      <c r="O58" s="59">
        <v>0</v>
      </c>
      <c r="P58" s="59">
        <v>1.73</v>
      </c>
      <c r="Q58" s="59">
        <v>49.24</v>
      </c>
      <c r="R58" s="197"/>
      <c r="S58" s="197"/>
      <c r="T58" s="197"/>
      <c r="U58" s="197"/>
    </row>
    <row r="59" spans="1:21" s="12" customFormat="1" x14ac:dyDescent="0.25">
      <c r="A59" s="200" t="s">
        <v>486</v>
      </c>
      <c r="B59" s="59">
        <v>3.62</v>
      </c>
      <c r="C59" s="59">
        <v>48.42</v>
      </c>
      <c r="D59" s="59">
        <v>29.62</v>
      </c>
      <c r="E59" s="59">
        <v>4.1100000000000003</v>
      </c>
      <c r="F59" s="59">
        <v>2.78</v>
      </c>
      <c r="G59" s="59">
        <v>89.95</v>
      </c>
      <c r="H59" s="59">
        <v>58.96</v>
      </c>
      <c r="I59" s="59">
        <v>0.64</v>
      </c>
      <c r="J59" s="59">
        <v>0.59</v>
      </c>
      <c r="K59" s="59">
        <v>134.29</v>
      </c>
      <c r="L59" s="59">
        <v>31.41</v>
      </c>
      <c r="M59" s="210" t="s">
        <v>43</v>
      </c>
      <c r="N59" s="59">
        <v>398.1</v>
      </c>
      <c r="O59" s="59">
        <v>0</v>
      </c>
      <c r="P59" s="59">
        <v>1.68</v>
      </c>
      <c r="Q59" s="59">
        <v>48.86</v>
      </c>
      <c r="R59" s="197"/>
      <c r="S59" s="197"/>
      <c r="T59" s="197"/>
      <c r="U59" s="197"/>
    </row>
    <row r="60" spans="1:21" s="12" customFormat="1" x14ac:dyDescent="0.25">
      <c r="A60" s="200" t="s">
        <v>487</v>
      </c>
      <c r="B60" s="59">
        <v>3.11</v>
      </c>
      <c r="C60" s="59">
        <v>47.76</v>
      </c>
      <c r="D60" s="59">
        <v>28.85</v>
      </c>
      <c r="E60" s="59">
        <v>4.2300000000000004</v>
      </c>
      <c r="F60" s="59">
        <v>2.81</v>
      </c>
      <c r="G60" s="59">
        <v>83.25</v>
      </c>
      <c r="H60" s="59">
        <v>54.07</v>
      </c>
      <c r="I60" s="59">
        <v>0.61</v>
      </c>
      <c r="J60" s="59">
        <v>0.24</v>
      </c>
      <c r="K60" s="59">
        <v>133.32</v>
      </c>
      <c r="L60" s="59">
        <v>31.16</v>
      </c>
      <c r="M60" s="210" t="s">
        <v>43</v>
      </c>
      <c r="N60" s="59">
        <v>365.9</v>
      </c>
      <c r="O60" s="59">
        <v>0</v>
      </c>
      <c r="P60" s="59">
        <v>1.66</v>
      </c>
      <c r="Q60" s="59">
        <v>48.47</v>
      </c>
      <c r="R60" s="197"/>
      <c r="S60" s="197"/>
      <c r="T60" s="197"/>
      <c r="U60" s="197"/>
    </row>
    <row r="61" spans="1:21" s="12" customFormat="1" x14ac:dyDescent="0.25">
      <c r="A61" s="200" t="s">
        <v>488</v>
      </c>
      <c r="B61" s="59">
        <v>2.92</v>
      </c>
      <c r="C61" s="59">
        <v>46.16</v>
      </c>
      <c r="D61" s="59">
        <v>27.81</v>
      </c>
      <c r="E61" s="59">
        <v>9.11</v>
      </c>
      <c r="F61" s="59">
        <v>5.44</v>
      </c>
      <c r="G61" s="59">
        <v>83.25</v>
      </c>
      <c r="H61" s="59">
        <v>54.07</v>
      </c>
      <c r="I61" s="59">
        <v>0.59</v>
      </c>
      <c r="J61" s="59">
        <v>0.36</v>
      </c>
      <c r="K61" s="59">
        <v>139.22</v>
      </c>
      <c r="L61" s="59">
        <v>30.21</v>
      </c>
      <c r="M61" s="210" t="s">
        <v>43</v>
      </c>
      <c r="N61" s="59">
        <v>327.9</v>
      </c>
      <c r="O61" s="59">
        <v>0</v>
      </c>
      <c r="P61" s="59">
        <v>1.52</v>
      </c>
      <c r="Q61" s="59">
        <v>48.83</v>
      </c>
      <c r="R61" s="197"/>
      <c r="S61" s="197"/>
      <c r="T61" s="197"/>
      <c r="U61" s="197"/>
    </row>
    <row r="62" spans="1:21" s="12" customFormat="1" x14ac:dyDescent="0.25">
      <c r="A62" s="200" t="s">
        <v>489</v>
      </c>
      <c r="B62" s="59">
        <v>3.26</v>
      </c>
      <c r="C62" s="59">
        <v>44.52</v>
      </c>
      <c r="D62" s="59">
        <v>27.18</v>
      </c>
      <c r="E62" s="59">
        <v>8.2799999999999994</v>
      </c>
      <c r="F62" s="59">
        <v>3.95</v>
      </c>
      <c r="G62" s="59">
        <v>83.25</v>
      </c>
      <c r="H62" s="59">
        <v>54.07</v>
      </c>
      <c r="I62" s="59">
        <v>0.59</v>
      </c>
      <c r="J62" s="59">
        <v>0.77</v>
      </c>
      <c r="K62" s="59">
        <v>147.5</v>
      </c>
      <c r="L62" s="59">
        <v>29.51</v>
      </c>
      <c r="M62" s="210" t="s">
        <v>43</v>
      </c>
      <c r="N62" s="59">
        <v>302.8</v>
      </c>
      <c r="O62" s="59">
        <v>0</v>
      </c>
      <c r="P62" s="59">
        <v>1.63</v>
      </c>
      <c r="Q62" s="59">
        <v>49.52</v>
      </c>
      <c r="R62" s="197"/>
      <c r="S62" s="197"/>
      <c r="T62" s="197"/>
      <c r="U62" s="197"/>
    </row>
    <row r="63" spans="1:21" s="12" customFormat="1" x14ac:dyDescent="0.25">
      <c r="A63" s="200" t="s">
        <v>490</v>
      </c>
      <c r="B63" s="59">
        <v>3.94</v>
      </c>
      <c r="C63" s="59">
        <v>43.73</v>
      </c>
      <c r="D63" s="59">
        <v>27.3</v>
      </c>
      <c r="E63" s="59">
        <v>7.14</v>
      </c>
      <c r="F63" s="59">
        <v>5.62</v>
      </c>
      <c r="G63" s="59">
        <v>88.44</v>
      </c>
      <c r="H63" s="59">
        <v>54.28</v>
      </c>
      <c r="I63" s="59">
        <v>0.56999999999999995</v>
      </c>
      <c r="J63" s="59">
        <v>0.69</v>
      </c>
      <c r="K63" s="59">
        <v>137.29</v>
      </c>
      <c r="L63" s="59">
        <v>31.29</v>
      </c>
      <c r="M63" s="210" t="s">
        <v>43</v>
      </c>
      <c r="N63" s="59">
        <v>291.10000000000002</v>
      </c>
      <c r="O63" s="59">
        <v>0</v>
      </c>
      <c r="P63" s="59">
        <v>1.62</v>
      </c>
      <c r="Q63" s="59">
        <v>50.22</v>
      </c>
      <c r="R63" s="197"/>
      <c r="S63" s="197"/>
      <c r="T63" s="197"/>
      <c r="U63" s="197"/>
    </row>
    <row r="64" spans="1:21" s="12" customFormat="1" x14ac:dyDescent="0.25">
      <c r="A64" s="200" t="s">
        <v>491</v>
      </c>
      <c r="B64" s="59">
        <v>4.07</v>
      </c>
      <c r="C64" s="59">
        <v>43.8</v>
      </c>
      <c r="D64" s="59">
        <v>27.44</v>
      </c>
      <c r="E64" s="59">
        <v>6.13</v>
      </c>
      <c r="F64" s="59">
        <v>3.84</v>
      </c>
      <c r="G64" s="59">
        <v>99.81</v>
      </c>
      <c r="H64" s="59">
        <v>54.97</v>
      </c>
      <c r="I64" s="59">
        <v>0.55000000000000004</v>
      </c>
      <c r="J64" s="59">
        <v>0.6</v>
      </c>
      <c r="K64" s="59">
        <v>133.36000000000001</v>
      </c>
      <c r="L64" s="59">
        <v>32</v>
      </c>
      <c r="M64" s="210" t="s">
        <v>43</v>
      </c>
      <c r="N64" s="59">
        <v>317.7</v>
      </c>
      <c r="O64" s="59">
        <v>0</v>
      </c>
      <c r="P64" s="59">
        <v>1.61</v>
      </c>
      <c r="Q64" s="59">
        <v>50.56</v>
      </c>
      <c r="R64" s="197"/>
      <c r="S64" s="197"/>
      <c r="T64" s="197"/>
      <c r="U64" s="197"/>
    </row>
    <row r="65" spans="1:21" s="12" customFormat="1" x14ac:dyDescent="0.25">
      <c r="A65" s="200" t="s">
        <v>492</v>
      </c>
      <c r="B65" s="59">
        <v>4.16</v>
      </c>
      <c r="C65" s="59">
        <v>43.39</v>
      </c>
      <c r="D65" s="59">
        <v>27.28</v>
      </c>
      <c r="E65" s="59">
        <v>5.73</v>
      </c>
      <c r="F65" s="59">
        <v>3.58</v>
      </c>
      <c r="G65" s="59">
        <v>99.81</v>
      </c>
      <c r="H65" s="59">
        <v>54.97</v>
      </c>
      <c r="I65" s="59">
        <v>0.56000000000000005</v>
      </c>
      <c r="J65" s="59">
        <v>0.45</v>
      </c>
      <c r="K65" s="59">
        <v>125.64</v>
      </c>
      <c r="L65" s="59">
        <v>32.18</v>
      </c>
      <c r="M65" s="210" t="s">
        <v>43</v>
      </c>
      <c r="N65" s="59">
        <v>338.6</v>
      </c>
      <c r="O65" s="59">
        <v>0</v>
      </c>
      <c r="P65" s="59">
        <v>1.58</v>
      </c>
      <c r="Q65" s="59">
        <v>50.9</v>
      </c>
      <c r="R65" s="197"/>
      <c r="S65" s="197"/>
      <c r="T65" s="197"/>
      <c r="U65" s="197"/>
    </row>
    <row r="66" spans="1:21" s="12" customFormat="1" x14ac:dyDescent="0.25">
      <c r="A66" s="200" t="s">
        <v>493</v>
      </c>
      <c r="B66" s="59">
        <v>3.51</v>
      </c>
      <c r="C66" s="59">
        <v>42.85</v>
      </c>
      <c r="D66" s="59">
        <v>26.46</v>
      </c>
      <c r="E66" s="59">
        <v>4.79</v>
      </c>
      <c r="F66" s="59">
        <v>2.36</v>
      </c>
      <c r="G66" s="59">
        <v>99.81</v>
      </c>
      <c r="H66" s="59">
        <v>54.97</v>
      </c>
      <c r="I66" s="59">
        <v>0.56999999999999995</v>
      </c>
      <c r="J66" s="59">
        <v>0.54</v>
      </c>
      <c r="K66" s="59">
        <v>123.22</v>
      </c>
      <c r="L66" s="59">
        <v>32.21</v>
      </c>
      <c r="M66" s="210" t="s">
        <v>43</v>
      </c>
      <c r="N66" s="59">
        <v>223.1</v>
      </c>
      <c r="O66" s="59">
        <v>0</v>
      </c>
      <c r="P66" s="59">
        <v>1.56</v>
      </c>
      <c r="Q66" s="59">
        <v>50.96</v>
      </c>
      <c r="R66" s="197"/>
      <c r="S66" s="197"/>
      <c r="T66" s="197"/>
      <c r="U66" s="197"/>
    </row>
    <row r="67" spans="1:21" s="12" customFormat="1" x14ac:dyDescent="0.25">
      <c r="A67" s="200" t="s">
        <v>494</v>
      </c>
      <c r="B67" s="59">
        <v>3.69</v>
      </c>
      <c r="C67" s="59">
        <v>42.01</v>
      </c>
      <c r="D67" s="59">
        <v>26.14</v>
      </c>
      <c r="E67" s="59">
        <v>4.97</v>
      </c>
      <c r="F67" s="59">
        <v>4.0199999999999996</v>
      </c>
      <c r="G67" s="59">
        <v>93.86</v>
      </c>
      <c r="H67" s="59">
        <v>54.96</v>
      </c>
      <c r="I67" s="59">
        <v>0.56999999999999995</v>
      </c>
      <c r="J67" s="59">
        <v>0.93</v>
      </c>
      <c r="K67" s="59">
        <v>123.64</v>
      </c>
      <c r="L67" s="59">
        <v>32</v>
      </c>
      <c r="M67" s="210" t="s">
        <v>43</v>
      </c>
      <c r="N67" s="59">
        <v>214.7</v>
      </c>
      <c r="O67" s="59">
        <v>0</v>
      </c>
      <c r="P67" s="59">
        <v>1.55</v>
      </c>
      <c r="Q67" s="59">
        <v>50.99</v>
      </c>
      <c r="R67" s="197"/>
      <c r="S67" s="197"/>
      <c r="T67" s="197"/>
      <c r="U67" s="197"/>
    </row>
    <row r="68" spans="1:21" s="12" customFormat="1" x14ac:dyDescent="0.25">
      <c r="A68" s="200" t="s">
        <v>495</v>
      </c>
      <c r="B68" s="59">
        <v>2.88</v>
      </c>
      <c r="C68" s="59">
        <v>42.25</v>
      </c>
      <c r="D68" s="59">
        <v>25.63</v>
      </c>
      <c r="E68" s="59">
        <v>4.8899999999999997</v>
      </c>
      <c r="F68" s="59">
        <v>2.99</v>
      </c>
      <c r="G68" s="59">
        <v>80.84</v>
      </c>
      <c r="H68" s="59">
        <v>54.93</v>
      </c>
      <c r="I68" s="59">
        <v>0.56999999999999995</v>
      </c>
      <c r="J68" s="59">
        <v>0.4</v>
      </c>
      <c r="K68" s="59">
        <v>126.61</v>
      </c>
      <c r="L68" s="59">
        <v>31.76</v>
      </c>
      <c r="M68" s="210" t="s">
        <v>43</v>
      </c>
      <c r="N68" s="59">
        <v>222.7</v>
      </c>
      <c r="O68" s="59">
        <v>0</v>
      </c>
      <c r="P68" s="59">
        <v>1.5</v>
      </c>
      <c r="Q68" s="59">
        <v>51.82</v>
      </c>
      <c r="R68" s="197"/>
      <c r="S68" s="197"/>
      <c r="T68" s="197"/>
      <c r="U68" s="197"/>
    </row>
    <row r="69" spans="1:21" s="12" customFormat="1" x14ac:dyDescent="0.25">
      <c r="A69" s="200" t="s">
        <v>496</v>
      </c>
      <c r="B69" s="59">
        <v>2.6</v>
      </c>
      <c r="C69" s="59">
        <v>44.02</v>
      </c>
      <c r="D69" s="59">
        <v>26.38</v>
      </c>
      <c r="E69" s="59">
        <v>4.7</v>
      </c>
      <c r="F69" s="59">
        <v>3.27</v>
      </c>
      <c r="G69" s="59">
        <v>80.84</v>
      </c>
      <c r="H69" s="59">
        <v>54.93</v>
      </c>
      <c r="I69" s="59">
        <v>0.56000000000000005</v>
      </c>
      <c r="J69" s="59">
        <v>0.4</v>
      </c>
      <c r="K69" s="59">
        <v>127.23</v>
      </c>
      <c r="L69" s="59">
        <v>31.33</v>
      </c>
      <c r="M69" s="210" t="s">
        <v>43</v>
      </c>
      <c r="N69" s="59">
        <v>201.6</v>
      </c>
      <c r="O69" s="59">
        <v>0</v>
      </c>
      <c r="P69" s="59">
        <v>1.49</v>
      </c>
      <c r="Q69" s="59">
        <v>51.69</v>
      </c>
      <c r="R69" s="197"/>
      <c r="S69" s="197"/>
      <c r="T69" s="197"/>
      <c r="U69" s="197"/>
    </row>
    <row r="70" spans="1:21" s="12" customFormat="1" x14ac:dyDescent="0.25">
      <c r="A70" s="200" t="s">
        <v>497</v>
      </c>
      <c r="B70" s="59">
        <v>2.4</v>
      </c>
      <c r="C70" s="59">
        <v>43.54</v>
      </c>
      <c r="D70" s="59">
        <v>25.95</v>
      </c>
      <c r="E70" s="59">
        <v>4.28</v>
      </c>
      <c r="F70" s="59">
        <v>3.49</v>
      </c>
      <c r="G70" s="59">
        <v>80.84</v>
      </c>
      <c r="H70" s="59">
        <v>54.93</v>
      </c>
      <c r="I70" s="59">
        <v>0.55000000000000004</v>
      </c>
      <c r="J70" s="59">
        <v>0.99</v>
      </c>
      <c r="K70" s="59">
        <v>135.04</v>
      </c>
      <c r="L70" s="59">
        <v>30.02</v>
      </c>
      <c r="M70" s="210" t="s">
        <v>43</v>
      </c>
      <c r="N70" s="59">
        <v>151.1</v>
      </c>
      <c r="O70" s="59">
        <v>0</v>
      </c>
      <c r="P70" s="59">
        <v>1.47</v>
      </c>
      <c r="Q70" s="59">
        <v>50.82</v>
      </c>
      <c r="R70" s="197"/>
      <c r="S70" s="197"/>
      <c r="T70" s="197"/>
      <c r="U70" s="197"/>
    </row>
    <row r="71" spans="1:21" s="12" customFormat="1" x14ac:dyDescent="0.25">
      <c r="A71" s="200" t="s">
        <v>498</v>
      </c>
      <c r="B71" s="59">
        <v>2.41</v>
      </c>
      <c r="C71" s="59">
        <v>44.17</v>
      </c>
      <c r="D71" s="59">
        <v>26.31</v>
      </c>
      <c r="E71" s="59">
        <v>4.2300000000000004</v>
      </c>
      <c r="F71" s="59">
        <v>3.62</v>
      </c>
      <c r="G71" s="59">
        <v>80.81</v>
      </c>
      <c r="H71" s="59">
        <v>53.57</v>
      </c>
      <c r="I71" s="59">
        <v>0.53</v>
      </c>
      <c r="J71" s="59">
        <v>0.67</v>
      </c>
      <c r="K71" s="59">
        <v>139.44999999999999</v>
      </c>
      <c r="L71" s="59">
        <v>29.5</v>
      </c>
      <c r="M71" s="210" t="s">
        <v>43</v>
      </c>
      <c r="N71" s="59">
        <v>130.80000000000001</v>
      </c>
      <c r="O71" s="59">
        <v>0</v>
      </c>
      <c r="P71" s="59">
        <v>1.46</v>
      </c>
      <c r="Q71" s="59">
        <v>50.3</v>
      </c>
      <c r="R71" s="197"/>
      <c r="S71" s="197"/>
      <c r="T71" s="197"/>
      <c r="U71" s="197"/>
    </row>
    <row r="72" spans="1:21" s="12" customFormat="1" x14ac:dyDescent="0.25">
      <c r="A72" s="200" t="s">
        <v>499</v>
      </c>
      <c r="B72" s="59">
        <v>2.42</v>
      </c>
      <c r="C72" s="59">
        <v>44.3</v>
      </c>
      <c r="D72" s="59">
        <v>26.39</v>
      </c>
      <c r="E72" s="59">
        <v>2.36</v>
      </c>
      <c r="F72" s="59">
        <v>3.77</v>
      </c>
      <c r="G72" s="59">
        <v>80.69</v>
      </c>
      <c r="H72" s="59">
        <v>49.09</v>
      </c>
      <c r="I72" s="59">
        <v>0.52</v>
      </c>
      <c r="J72" s="59">
        <v>0.57999999999999996</v>
      </c>
      <c r="K72" s="59">
        <v>143.58000000000001</v>
      </c>
      <c r="L72" s="59">
        <v>29.06</v>
      </c>
      <c r="M72" s="210" t="s">
        <v>43</v>
      </c>
      <c r="N72" s="59">
        <v>93.7</v>
      </c>
      <c r="O72" s="59">
        <v>0</v>
      </c>
      <c r="P72" s="59">
        <v>1.46</v>
      </c>
      <c r="Q72" s="59">
        <v>49.55</v>
      </c>
      <c r="R72" s="197"/>
      <c r="S72" s="197"/>
      <c r="T72" s="197"/>
      <c r="U72" s="197"/>
    </row>
    <row r="73" spans="1:21" s="12" customFormat="1" x14ac:dyDescent="0.25">
      <c r="A73" s="200" t="s">
        <v>500</v>
      </c>
      <c r="B73" s="59">
        <v>2.38</v>
      </c>
      <c r="C73" s="59">
        <v>44.33</v>
      </c>
      <c r="D73" s="59">
        <v>26.37</v>
      </c>
      <c r="E73" s="59">
        <v>4.5199999999999996</v>
      </c>
      <c r="F73" s="59">
        <v>3.97</v>
      </c>
      <c r="G73" s="59">
        <v>80.69</v>
      </c>
      <c r="H73" s="59">
        <v>49.09</v>
      </c>
      <c r="I73" s="59">
        <v>0.5</v>
      </c>
      <c r="J73" s="59">
        <v>0.83</v>
      </c>
      <c r="K73" s="59">
        <v>147.43</v>
      </c>
      <c r="L73" s="59">
        <v>28.5</v>
      </c>
      <c r="M73" s="210" t="s">
        <v>43</v>
      </c>
      <c r="N73" s="59">
        <v>78</v>
      </c>
      <c r="O73" s="59">
        <v>0</v>
      </c>
      <c r="P73" s="59">
        <v>1.46</v>
      </c>
      <c r="Q73" s="59">
        <v>49.63</v>
      </c>
      <c r="R73" s="197"/>
      <c r="S73" s="197"/>
      <c r="T73" s="197"/>
      <c r="U73" s="197"/>
    </row>
    <row r="74" spans="1:21" s="12" customFormat="1" x14ac:dyDescent="0.25">
      <c r="A74" s="200" t="s">
        <v>501</v>
      </c>
      <c r="B74" s="59">
        <v>2.5</v>
      </c>
      <c r="C74" s="59">
        <v>44.63</v>
      </c>
      <c r="D74" s="59">
        <v>26.64</v>
      </c>
      <c r="E74" s="59">
        <v>4.3600000000000003</v>
      </c>
      <c r="F74" s="59">
        <v>4.21</v>
      </c>
      <c r="G74" s="59">
        <v>80.69</v>
      </c>
      <c r="H74" s="59">
        <v>49.09</v>
      </c>
      <c r="I74" s="59">
        <v>0.49</v>
      </c>
      <c r="J74" s="59">
        <v>0.62</v>
      </c>
      <c r="K74" s="59">
        <v>151.78</v>
      </c>
      <c r="L74" s="59">
        <v>27.91</v>
      </c>
      <c r="M74" s="210" t="s">
        <v>43</v>
      </c>
      <c r="N74" s="59">
        <v>66.099999999999994</v>
      </c>
      <c r="O74" s="59">
        <v>0</v>
      </c>
      <c r="P74" s="59">
        <v>1.46</v>
      </c>
      <c r="Q74" s="59">
        <v>49.41</v>
      </c>
      <c r="R74" s="197"/>
      <c r="S74" s="197"/>
      <c r="T74" s="197"/>
      <c r="U74" s="197"/>
    </row>
    <row r="75" spans="1:21" s="12" customFormat="1" x14ac:dyDescent="0.25">
      <c r="A75" s="200" t="s">
        <v>502</v>
      </c>
      <c r="B75" s="59">
        <v>5.28</v>
      </c>
      <c r="C75" s="59">
        <v>42.87</v>
      </c>
      <c r="D75" s="59">
        <v>27.89</v>
      </c>
      <c r="E75" s="59">
        <v>6.42</v>
      </c>
      <c r="F75" s="59">
        <v>6.76</v>
      </c>
      <c r="G75" s="59">
        <v>79.930000000000007</v>
      </c>
      <c r="H75" s="59">
        <v>47.36</v>
      </c>
      <c r="I75" s="59">
        <v>0.49</v>
      </c>
      <c r="J75" s="59">
        <v>0.61</v>
      </c>
      <c r="K75" s="59">
        <v>157.47999999999999</v>
      </c>
      <c r="L75" s="59">
        <v>27.37</v>
      </c>
      <c r="M75" s="210" t="s">
        <v>43</v>
      </c>
      <c r="N75" s="59">
        <v>55.8</v>
      </c>
      <c r="O75" s="59">
        <v>0</v>
      </c>
      <c r="P75" s="59">
        <v>1.49</v>
      </c>
      <c r="Q75" s="59">
        <v>48.65</v>
      </c>
      <c r="R75" s="197"/>
      <c r="S75" s="197"/>
      <c r="T75" s="197"/>
      <c r="U75" s="197"/>
    </row>
    <row r="76" spans="1:21" s="12" customFormat="1" x14ac:dyDescent="0.25">
      <c r="A76" s="200" t="s">
        <v>503</v>
      </c>
      <c r="B76" s="59">
        <v>5.16</v>
      </c>
      <c r="C76" s="59">
        <v>43.94</v>
      </c>
      <c r="D76" s="59">
        <v>28.39</v>
      </c>
      <c r="E76" s="59">
        <v>7</v>
      </c>
      <c r="F76" s="59">
        <v>7.46</v>
      </c>
      <c r="G76" s="59">
        <v>78.27</v>
      </c>
      <c r="H76" s="59">
        <v>42</v>
      </c>
      <c r="I76" s="59">
        <v>0.48</v>
      </c>
      <c r="J76" s="59">
        <v>0.56999999999999995</v>
      </c>
      <c r="K76" s="59">
        <v>165.74</v>
      </c>
      <c r="L76" s="59">
        <v>26.67</v>
      </c>
      <c r="M76" s="210" t="s">
        <v>43</v>
      </c>
      <c r="N76" s="59">
        <v>46.3</v>
      </c>
      <c r="O76" s="59">
        <v>0</v>
      </c>
      <c r="P76" s="59">
        <v>1.55</v>
      </c>
      <c r="Q76" s="59">
        <v>48.77</v>
      </c>
      <c r="R76" s="197"/>
      <c r="S76" s="197"/>
      <c r="T76" s="197"/>
      <c r="U76" s="197"/>
    </row>
    <row r="77" spans="1:21" s="12" customFormat="1" x14ac:dyDescent="0.25">
      <c r="A77" s="200" t="s">
        <v>504</v>
      </c>
      <c r="B77" s="59">
        <v>11.52</v>
      </c>
      <c r="C77" s="59">
        <v>44.71</v>
      </c>
      <c r="D77" s="59">
        <v>33.909999999999997</v>
      </c>
      <c r="E77" s="59">
        <v>6.65</v>
      </c>
      <c r="F77" s="59">
        <v>4.4400000000000004</v>
      </c>
      <c r="G77" s="59">
        <v>78.27</v>
      </c>
      <c r="H77" s="59">
        <v>42</v>
      </c>
      <c r="I77" s="59">
        <v>0.47</v>
      </c>
      <c r="J77" s="59">
        <v>0.45</v>
      </c>
      <c r="K77" s="59">
        <v>173.27</v>
      </c>
      <c r="L77" s="59">
        <v>25.93</v>
      </c>
      <c r="M77" s="210" t="s">
        <v>43</v>
      </c>
      <c r="N77" s="59">
        <v>38.700000000000003</v>
      </c>
      <c r="O77" s="59">
        <v>0</v>
      </c>
      <c r="P77" s="59">
        <v>1.63</v>
      </c>
      <c r="Q77" s="59">
        <v>48.96</v>
      </c>
      <c r="R77" s="197"/>
      <c r="S77" s="197"/>
      <c r="T77" s="197"/>
      <c r="U77" s="197"/>
    </row>
    <row r="78" spans="1:21" s="12" customFormat="1" x14ac:dyDescent="0.25">
      <c r="A78" s="200" t="s">
        <v>505</v>
      </c>
      <c r="B78" s="59">
        <v>9.1300000000000008</v>
      </c>
      <c r="C78" s="59">
        <v>47.77</v>
      </c>
      <c r="D78" s="59">
        <v>33.69</v>
      </c>
      <c r="E78" s="59">
        <v>6.28</v>
      </c>
      <c r="F78" s="59">
        <v>4.21</v>
      </c>
      <c r="G78" s="59">
        <v>78.27</v>
      </c>
      <c r="H78" s="59">
        <v>42</v>
      </c>
      <c r="I78" s="59">
        <v>0.48</v>
      </c>
      <c r="J78" s="59">
        <v>0.22</v>
      </c>
      <c r="K78" s="59">
        <v>182</v>
      </c>
      <c r="L78" s="59">
        <v>25.26</v>
      </c>
      <c r="M78" s="210" t="s">
        <v>43</v>
      </c>
      <c r="N78" s="59">
        <v>35.6</v>
      </c>
      <c r="O78" s="59">
        <v>0</v>
      </c>
      <c r="P78" s="59">
        <v>1.73</v>
      </c>
      <c r="Q78" s="59">
        <v>49.51</v>
      </c>
      <c r="R78" s="197"/>
      <c r="S78" s="197"/>
      <c r="T78" s="197"/>
      <c r="U78" s="197"/>
    </row>
    <row r="79" spans="1:21" s="12" customFormat="1" x14ac:dyDescent="0.25">
      <c r="A79" s="200" t="s">
        <v>506</v>
      </c>
      <c r="B79" s="59">
        <v>13.91</v>
      </c>
      <c r="C79" s="59">
        <v>47.92</v>
      </c>
      <c r="D79" s="59">
        <v>37.6</v>
      </c>
      <c r="E79" s="59">
        <v>6.18</v>
      </c>
      <c r="F79" s="59">
        <v>2.13</v>
      </c>
      <c r="G79" s="59">
        <v>84.92</v>
      </c>
      <c r="H79" s="59">
        <v>42.44</v>
      </c>
      <c r="I79" s="59">
        <v>0.51</v>
      </c>
      <c r="J79" s="59">
        <v>0.14000000000000001</v>
      </c>
      <c r="K79" s="59">
        <v>193.43</v>
      </c>
      <c r="L79" s="59">
        <v>24.67</v>
      </c>
      <c r="M79" s="210" t="s">
        <v>43</v>
      </c>
      <c r="N79" s="59">
        <v>34.700000000000003</v>
      </c>
      <c r="O79" s="59">
        <v>0</v>
      </c>
      <c r="P79" s="59">
        <v>1.91</v>
      </c>
      <c r="Q79" s="59">
        <v>50.39</v>
      </c>
      <c r="R79" s="197"/>
      <c r="S79" s="197"/>
      <c r="T79" s="197"/>
      <c r="U79" s="197"/>
    </row>
    <row r="80" spans="1:21" s="12" customFormat="1" x14ac:dyDescent="0.25">
      <c r="A80" s="200" t="s">
        <v>507</v>
      </c>
      <c r="B80" s="59">
        <v>15.6</v>
      </c>
      <c r="C80" s="59">
        <v>45.66</v>
      </c>
      <c r="D80" s="59">
        <v>37.71</v>
      </c>
      <c r="E80" s="59">
        <v>5.97</v>
      </c>
      <c r="F80" s="59">
        <v>2.4900000000000002</v>
      </c>
      <c r="G80" s="59">
        <v>99.48</v>
      </c>
      <c r="H80" s="59">
        <v>43.88</v>
      </c>
      <c r="I80" s="59">
        <v>0.55000000000000004</v>
      </c>
      <c r="J80" s="59">
        <v>0.14000000000000001</v>
      </c>
      <c r="K80" s="59">
        <v>204.44</v>
      </c>
      <c r="L80" s="59">
        <v>24.17</v>
      </c>
      <c r="M80" s="210" t="s">
        <v>43</v>
      </c>
      <c r="N80" s="59">
        <v>34.6</v>
      </c>
      <c r="O80" s="59">
        <v>0</v>
      </c>
      <c r="P80" s="59">
        <v>1.98</v>
      </c>
      <c r="Q80" s="59">
        <v>51.08</v>
      </c>
      <c r="R80" s="197"/>
      <c r="S80" s="197"/>
      <c r="T80" s="197"/>
      <c r="U80" s="197"/>
    </row>
    <row r="81" spans="1:26" s="12" customFormat="1" x14ac:dyDescent="0.25">
      <c r="A81" s="200" t="s">
        <v>508</v>
      </c>
      <c r="B81" s="59">
        <v>19.59</v>
      </c>
      <c r="C81" s="59">
        <v>42.19</v>
      </c>
      <c r="D81" s="59">
        <v>38.99</v>
      </c>
      <c r="E81" s="59">
        <v>5.35</v>
      </c>
      <c r="F81" s="59">
        <v>1.1100000000000001</v>
      </c>
      <c r="G81" s="59">
        <v>99.48</v>
      </c>
      <c r="H81" s="59">
        <v>43.88</v>
      </c>
      <c r="I81" s="59">
        <v>0.6</v>
      </c>
      <c r="J81" s="59">
        <v>0.05</v>
      </c>
      <c r="K81" s="59">
        <v>213.21</v>
      </c>
      <c r="L81" s="59">
        <v>23.52</v>
      </c>
      <c r="M81" s="210" t="s">
        <v>43</v>
      </c>
      <c r="N81" s="59">
        <v>34.6</v>
      </c>
      <c r="O81" s="59">
        <v>0</v>
      </c>
      <c r="P81" s="59">
        <v>2</v>
      </c>
      <c r="Q81" s="59">
        <v>52.04</v>
      </c>
      <c r="R81" s="197"/>
      <c r="S81" s="197"/>
      <c r="T81" s="197"/>
      <c r="U81" s="197"/>
    </row>
    <row r="82" spans="1:26" s="12" customFormat="1" x14ac:dyDescent="0.25">
      <c r="A82" s="200" t="s">
        <v>509</v>
      </c>
      <c r="B82" s="59">
        <v>18.13</v>
      </c>
      <c r="C82" s="59">
        <v>39.020000000000003</v>
      </c>
      <c r="D82" s="59">
        <v>36.08</v>
      </c>
      <c r="E82" s="59">
        <v>4.66</v>
      </c>
      <c r="F82" s="59">
        <v>0.79</v>
      </c>
      <c r="G82" s="59">
        <v>99.48</v>
      </c>
      <c r="H82" s="59">
        <v>43.88</v>
      </c>
      <c r="I82" s="59">
        <v>0.66</v>
      </c>
      <c r="J82" s="59">
        <v>0.1</v>
      </c>
      <c r="K82" s="59">
        <v>214.92</v>
      </c>
      <c r="L82" s="59">
        <v>23.18</v>
      </c>
      <c r="M82" s="210" t="s">
        <v>43</v>
      </c>
      <c r="N82" s="59">
        <v>34.5</v>
      </c>
      <c r="O82" s="59">
        <v>0</v>
      </c>
      <c r="P82" s="59">
        <v>1.98</v>
      </c>
      <c r="Q82" s="59">
        <v>53.64</v>
      </c>
      <c r="R82" s="197"/>
      <c r="S82" s="197"/>
      <c r="T82" s="197"/>
      <c r="U82" s="197"/>
    </row>
    <row r="83" spans="1:26" s="12" customFormat="1" x14ac:dyDescent="0.25">
      <c r="A83" s="200" t="s">
        <v>510</v>
      </c>
      <c r="B83" s="59">
        <v>19.41</v>
      </c>
      <c r="C83" s="59">
        <v>39.15</v>
      </c>
      <c r="D83" s="59">
        <v>37.17</v>
      </c>
      <c r="E83" s="59">
        <v>4.54</v>
      </c>
      <c r="F83" s="59">
        <v>0.65</v>
      </c>
      <c r="G83" s="59">
        <v>111.83</v>
      </c>
      <c r="H83" s="59">
        <v>45.03</v>
      </c>
      <c r="I83" s="59">
        <v>0.72</v>
      </c>
      <c r="J83" s="59">
        <v>7.0000000000000007E-2</v>
      </c>
      <c r="K83" s="59">
        <v>222.63</v>
      </c>
      <c r="L83" s="59">
        <v>22.79</v>
      </c>
      <c r="M83" s="210" t="s">
        <v>43</v>
      </c>
      <c r="N83" s="59">
        <v>34.6</v>
      </c>
      <c r="O83" s="59">
        <v>0</v>
      </c>
      <c r="P83" s="59">
        <v>2.0699999999999998</v>
      </c>
      <c r="Q83" s="59">
        <v>54.69</v>
      </c>
      <c r="R83" s="197"/>
      <c r="S83" s="197"/>
      <c r="T83" s="197"/>
      <c r="U83" s="197"/>
    </row>
    <row r="84" spans="1:26" s="12" customFormat="1" x14ac:dyDescent="0.25">
      <c r="A84" s="200" t="s">
        <v>511</v>
      </c>
      <c r="B84" s="59">
        <v>22.8</v>
      </c>
      <c r="C84" s="59">
        <v>39.17</v>
      </c>
      <c r="D84" s="59">
        <v>39.9</v>
      </c>
      <c r="E84" s="59">
        <v>4.66</v>
      </c>
      <c r="F84" s="59">
        <v>0.5</v>
      </c>
      <c r="G84" s="59">
        <v>138.87</v>
      </c>
      <c r="H84" s="59">
        <v>48.81</v>
      </c>
      <c r="I84" s="59">
        <v>0.74</v>
      </c>
      <c r="J84" s="59">
        <v>7.0000000000000007E-2</v>
      </c>
      <c r="K84" s="59">
        <v>235.08</v>
      </c>
      <c r="L84" s="59">
        <v>22.2</v>
      </c>
      <c r="M84" s="210" t="s">
        <v>43</v>
      </c>
      <c r="N84" s="59">
        <v>34.6</v>
      </c>
      <c r="O84" s="59">
        <v>0</v>
      </c>
      <c r="P84" s="59">
        <v>2.1800000000000002</v>
      </c>
      <c r="Q84" s="59">
        <v>54.41</v>
      </c>
      <c r="R84" s="197"/>
      <c r="S84" s="197"/>
      <c r="T84" s="197"/>
      <c r="U84" s="197"/>
    </row>
    <row r="85" spans="1:26" s="12" customFormat="1" x14ac:dyDescent="0.25">
      <c r="A85" s="200" t="s">
        <v>512</v>
      </c>
      <c r="B85" s="59">
        <v>27.96</v>
      </c>
      <c r="C85" s="59">
        <v>37.53</v>
      </c>
      <c r="D85" s="59">
        <v>43.14</v>
      </c>
      <c r="E85" s="59">
        <v>4.25</v>
      </c>
      <c r="F85" s="59">
        <v>0.57999999999999996</v>
      </c>
      <c r="G85" s="59">
        <v>138.87</v>
      </c>
      <c r="H85" s="59">
        <v>48.81</v>
      </c>
      <c r="I85" s="59">
        <v>0.77</v>
      </c>
      <c r="J85" s="59">
        <v>0.06</v>
      </c>
      <c r="K85" s="59">
        <v>245.39</v>
      </c>
      <c r="L85" s="59">
        <v>21.82</v>
      </c>
      <c r="M85" s="210" t="s">
        <v>43</v>
      </c>
      <c r="N85" s="59">
        <v>34.6</v>
      </c>
      <c r="O85" s="59">
        <v>0</v>
      </c>
      <c r="P85" s="59">
        <v>2.14</v>
      </c>
      <c r="Q85" s="59">
        <v>54.46</v>
      </c>
      <c r="R85" s="197"/>
      <c r="S85" s="197"/>
      <c r="T85" s="197"/>
      <c r="U85" s="197"/>
    </row>
    <row r="86" spans="1:26" s="12" customFormat="1" x14ac:dyDescent="0.25">
      <c r="A86" s="200" t="s">
        <v>513</v>
      </c>
      <c r="B86" s="59">
        <v>34.590000000000003</v>
      </c>
      <c r="C86" s="59">
        <v>34.75</v>
      </c>
      <c r="D86" s="59">
        <v>46.92</v>
      </c>
      <c r="E86" s="59">
        <v>4.42</v>
      </c>
      <c r="F86" s="59">
        <v>0.56000000000000005</v>
      </c>
      <c r="G86" s="59">
        <v>138.87</v>
      </c>
      <c r="H86" s="59">
        <v>48.81</v>
      </c>
      <c r="I86" s="59">
        <v>0.84</v>
      </c>
      <c r="J86" s="59">
        <v>0.04</v>
      </c>
      <c r="K86" s="59">
        <v>252.08</v>
      </c>
      <c r="L86" s="59">
        <v>21.59</v>
      </c>
      <c r="M86" s="210" t="s">
        <v>43</v>
      </c>
      <c r="N86" s="59">
        <v>34.6</v>
      </c>
      <c r="O86" s="59">
        <v>0</v>
      </c>
      <c r="P86" s="59">
        <v>2.4500000000000002</v>
      </c>
      <c r="Q86" s="59">
        <v>54.52</v>
      </c>
      <c r="R86" s="197"/>
      <c r="S86" s="197"/>
      <c r="T86" s="197"/>
      <c r="U86" s="197"/>
    </row>
    <row r="87" spans="1:26" s="12" customFormat="1" x14ac:dyDescent="0.25">
      <c r="A87" s="200" t="s">
        <v>514</v>
      </c>
      <c r="B87" s="59">
        <v>41.84</v>
      </c>
      <c r="C87" s="59">
        <v>31.5</v>
      </c>
      <c r="D87" s="59">
        <v>50.94</v>
      </c>
      <c r="E87" s="59">
        <v>4.1900000000000004</v>
      </c>
      <c r="F87" s="59">
        <v>0.78</v>
      </c>
      <c r="G87" s="59">
        <v>156.19999999999999</v>
      </c>
      <c r="H87" s="59">
        <v>49.99</v>
      </c>
      <c r="I87" s="59">
        <v>0.91</v>
      </c>
      <c r="J87" s="59">
        <v>0.08</v>
      </c>
      <c r="K87" s="59">
        <v>256.17</v>
      </c>
      <c r="L87" s="59">
        <v>21.28</v>
      </c>
      <c r="M87" s="210" t="s">
        <v>43</v>
      </c>
      <c r="N87" s="59">
        <v>34.4</v>
      </c>
      <c r="O87" s="59">
        <v>0</v>
      </c>
      <c r="P87" s="59">
        <v>2.65</v>
      </c>
      <c r="Q87" s="59">
        <v>54.92</v>
      </c>
      <c r="R87" s="197"/>
      <c r="S87" s="197"/>
      <c r="T87" s="197"/>
      <c r="U87" s="197"/>
    </row>
    <row r="88" spans="1:26" s="12" customFormat="1" x14ac:dyDescent="0.25">
      <c r="A88" s="200" t="s">
        <v>515</v>
      </c>
      <c r="B88" s="59">
        <v>47.69</v>
      </c>
      <c r="C88" s="59">
        <v>28.64</v>
      </c>
      <c r="D88" s="59">
        <v>54.05</v>
      </c>
      <c r="E88" s="59">
        <v>2.5</v>
      </c>
      <c r="F88" s="59">
        <v>0.9</v>
      </c>
      <c r="G88" s="59">
        <v>244.77</v>
      </c>
      <c r="H88" s="59">
        <v>53.87</v>
      </c>
      <c r="I88" s="59">
        <v>1</v>
      </c>
      <c r="J88" s="59">
        <v>0.09</v>
      </c>
      <c r="K88" s="59">
        <v>258.98</v>
      </c>
      <c r="L88" s="59">
        <v>21.12</v>
      </c>
      <c r="M88" s="210" t="s">
        <v>43</v>
      </c>
      <c r="N88" s="59">
        <v>34.4</v>
      </c>
      <c r="O88" s="59">
        <v>0</v>
      </c>
      <c r="P88" s="59">
        <v>2.82</v>
      </c>
      <c r="Q88" s="59">
        <v>54.7</v>
      </c>
      <c r="R88" s="197"/>
      <c r="S88" s="197"/>
      <c r="T88" s="197"/>
      <c r="U88" s="197"/>
    </row>
    <row r="89" spans="1:26" s="12" customFormat="1" x14ac:dyDescent="0.25">
      <c r="A89" s="200" t="s">
        <v>516</v>
      </c>
      <c r="B89" s="59">
        <v>56.08</v>
      </c>
      <c r="C89" s="59">
        <v>25.24</v>
      </c>
      <c r="D89" s="59">
        <v>58.9</v>
      </c>
      <c r="E89" s="59">
        <v>4.05</v>
      </c>
      <c r="F89" s="59">
        <v>0.73</v>
      </c>
      <c r="G89" s="59">
        <v>244.77</v>
      </c>
      <c r="H89" s="59">
        <v>53.87</v>
      </c>
      <c r="I89" s="59">
        <v>1.0900000000000001</v>
      </c>
      <c r="J89" s="59">
        <v>0.18</v>
      </c>
      <c r="K89" s="59">
        <v>260.64</v>
      </c>
      <c r="L89" s="59">
        <v>21.17</v>
      </c>
      <c r="M89" s="210" t="s">
        <v>43</v>
      </c>
      <c r="N89" s="59">
        <v>34</v>
      </c>
      <c r="O89" s="59">
        <v>0</v>
      </c>
      <c r="P89" s="59">
        <v>3.01</v>
      </c>
      <c r="Q89" s="59">
        <v>54.82</v>
      </c>
      <c r="R89" s="197"/>
      <c r="S89" s="197"/>
      <c r="T89" s="197"/>
      <c r="U89" s="197"/>
    </row>
    <row r="90" spans="1:26" s="12" customFormat="1" x14ac:dyDescent="0.25">
      <c r="A90" s="200" t="s">
        <v>517</v>
      </c>
      <c r="B90" s="59">
        <v>63.2</v>
      </c>
      <c r="C90" s="59">
        <v>19.96</v>
      </c>
      <c r="D90" s="59">
        <v>61.7</v>
      </c>
      <c r="E90" s="59">
        <v>4.68</v>
      </c>
      <c r="F90" s="59">
        <v>0.57999999999999996</v>
      </c>
      <c r="G90" s="59">
        <v>244.77</v>
      </c>
      <c r="H90" s="59">
        <v>53.87</v>
      </c>
      <c r="I90" s="59">
        <v>1.17</v>
      </c>
      <c r="J90" s="59">
        <v>0.17</v>
      </c>
      <c r="K90" s="59">
        <v>258.5</v>
      </c>
      <c r="L90" s="59">
        <v>21.17</v>
      </c>
      <c r="M90" s="210" t="s">
        <v>43</v>
      </c>
      <c r="N90" s="59">
        <v>34.1</v>
      </c>
      <c r="O90" s="59">
        <v>0</v>
      </c>
      <c r="P90" s="59">
        <v>3.16</v>
      </c>
      <c r="Q90" s="59">
        <v>55.24</v>
      </c>
      <c r="R90" s="197"/>
      <c r="S90" s="197"/>
      <c r="T90" s="197"/>
      <c r="U90" s="197"/>
    </row>
    <row r="91" spans="1:26" s="12" customFormat="1" x14ac:dyDescent="0.25">
      <c r="A91" s="200" t="s">
        <v>518</v>
      </c>
      <c r="B91" s="59">
        <v>74.05</v>
      </c>
      <c r="C91" s="59">
        <v>13.06</v>
      </c>
      <c r="D91" s="59">
        <v>66.59</v>
      </c>
      <c r="E91" s="59">
        <v>4.76</v>
      </c>
      <c r="F91" s="59">
        <v>0.53</v>
      </c>
      <c r="G91" s="59">
        <v>240.67</v>
      </c>
      <c r="H91" s="59">
        <v>56.08</v>
      </c>
      <c r="I91" s="59">
        <v>1.26</v>
      </c>
      <c r="J91" s="59">
        <v>0.14000000000000001</v>
      </c>
      <c r="K91" s="59">
        <v>272.02</v>
      </c>
      <c r="L91" s="59">
        <v>20.91</v>
      </c>
      <c r="M91" s="210" t="s">
        <v>43</v>
      </c>
      <c r="N91" s="59">
        <v>34.5</v>
      </c>
      <c r="O91" s="59">
        <v>0</v>
      </c>
      <c r="P91" s="59">
        <v>3.41</v>
      </c>
      <c r="Q91" s="59">
        <v>56.15</v>
      </c>
      <c r="R91" s="197"/>
      <c r="S91" s="197"/>
      <c r="T91" s="197"/>
      <c r="U91" s="197"/>
    </row>
    <row r="92" spans="1:26" s="12" customFormat="1" x14ac:dyDescent="0.25">
      <c r="A92" s="200" t="s">
        <v>519</v>
      </c>
      <c r="B92" s="59">
        <v>83.72</v>
      </c>
      <c r="C92" s="59">
        <v>5.46</v>
      </c>
      <c r="D92" s="59">
        <v>70.150000000000006</v>
      </c>
      <c r="E92" s="59">
        <v>4.7</v>
      </c>
      <c r="F92" s="59">
        <v>0.64</v>
      </c>
      <c r="G92" s="59">
        <v>231.68</v>
      </c>
      <c r="H92" s="59">
        <v>62.91</v>
      </c>
      <c r="I92" s="59">
        <v>1.35</v>
      </c>
      <c r="J92" s="59">
        <v>0.16</v>
      </c>
      <c r="K92" s="59">
        <v>274.73</v>
      </c>
      <c r="L92" s="59">
        <v>20.52</v>
      </c>
      <c r="M92" s="210" t="s">
        <v>43</v>
      </c>
      <c r="N92" s="59">
        <v>34.200000000000003</v>
      </c>
      <c r="O92" s="59">
        <v>0</v>
      </c>
      <c r="P92" s="59">
        <v>3.66</v>
      </c>
      <c r="Q92" s="59">
        <v>56.95</v>
      </c>
      <c r="R92" s="197"/>
      <c r="S92" s="197"/>
      <c r="T92" s="197"/>
      <c r="U92" s="197"/>
    </row>
    <row r="93" spans="1:26" s="12" customFormat="1" x14ac:dyDescent="0.25">
      <c r="A93" s="200" t="s">
        <v>520</v>
      </c>
      <c r="B93" s="59">
        <v>97.2</v>
      </c>
      <c r="C93" s="210" t="s">
        <v>43</v>
      </c>
      <c r="D93" s="59">
        <v>76.62</v>
      </c>
      <c r="E93" s="59">
        <v>4.8899999999999997</v>
      </c>
      <c r="F93" s="59">
        <v>0.59</v>
      </c>
      <c r="G93" s="59">
        <v>231.68</v>
      </c>
      <c r="H93" s="59">
        <v>62.91</v>
      </c>
      <c r="I93" s="59">
        <v>1.44</v>
      </c>
      <c r="J93" s="59">
        <v>0.16</v>
      </c>
      <c r="K93" s="59">
        <v>266.39</v>
      </c>
      <c r="L93" s="59">
        <v>20.47</v>
      </c>
      <c r="M93" s="210" t="s">
        <v>43</v>
      </c>
      <c r="N93" s="59">
        <v>34.200000000000003</v>
      </c>
      <c r="O93" s="59">
        <v>0</v>
      </c>
      <c r="P93" s="59">
        <v>3.91</v>
      </c>
      <c r="Q93" s="59">
        <v>58.31</v>
      </c>
      <c r="R93" s="197"/>
      <c r="S93" s="197"/>
      <c r="T93" s="197"/>
      <c r="U93" s="197"/>
    </row>
    <row r="94" spans="1:26" s="12" customFormat="1" x14ac:dyDescent="0.25">
      <c r="A94" s="200" t="s">
        <v>521</v>
      </c>
      <c r="B94" s="59">
        <v>109.06</v>
      </c>
      <c r="C94" s="210" t="s">
        <v>43</v>
      </c>
      <c r="D94" s="59">
        <v>82.29</v>
      </c>
      <c r="E94" s="59">
        <v>5.44</v>
      </c>
      <c r="F94" s="59">
        <v>0.59</v>
      </c>
      <c r="G94" s="59">
        <v>231.68</v>
      </c>
      <c r="H94" s="59">
        <v>62.91</v>
      </c>
      <c r="I94" s="59">
        <v>1.54</v>
      </c>
      <c r="J94" s="59">
        <v>0.17</v>
      </c>
      <c r="K94" s="59">
        <v>272.92</v>
      </c>
      <c r="L94" s="59">
        <v>20.29</v>
      </c>
      <c r="M94" s="210" t="s">
        <v>43</v>
      </c>
      <c r="N94" s="59">
        <v>34.4</v>
      </c>
      <c r="O94" s="59">
        <v>0</v>
      </c>
      <c r="P94" s="59">
        <v>4.0999999999999996</v>
      </c>
      <c r="Q94" s="59">
        <v>59.48</v>
      </c>
      <c r="R94" s="197"/>
      <c r="S94" s="197"/>
      <c r="T94" s="197"/>
      <c r="U94" s="197"/>
    </row>
    <row r="95" spans="1:26" s="12" customFormat="1" x14ac:dyDescent="0.25">
      <c r="A95" s="200" t="s">
        <v>522</v>
      </c>
      <c r="B95" s="59">
        <v>117.04</v>
      </c>
      <c r="C95" s="210" t="s">
        <v>43</v>
      </c>
      <c r="D95" s="59">
        <v>86.32</v>
      </c>
      <c r="E95" s="59">
        <v>5.56</v>
      </c>
      <c r="F95" s="59">
        <v>0.64</v>
      </c>
      <c r="G95" s="59">
        <v>231.68</v>
      </c>
      <c r="H95" s="59">
        <v>63.72</v>
      </c>
      <c r="I95" s="59">
        <v>1.64</v>
      </c>
      <c r="J95" s="59">
        <v>0.15</v>
      </c>
      <c r="K95" s="59">
        <v>267.02</v>
      </c>
      <c r="L95" s="59">
        <v>20.170000000000002</v>
      </c>
      <c r="M95" s="210" t="s">
        <v>43</v>
      </c>
      <c r="N95" s="59">
        <v>34.299999999999997</v>
      </c>
      <c r="O95" s="59">
        <v>0</v>
      </c>
      <c r="P95" s="59">
        <v>4.26</v>
      </c>
      <c r="Q95" s="59">
        <v>60.48</v>
      </c>
      <c r="R95" s="197"/>
      <c r="S95" s="197"/>
      <c r="T95" s="197"/>
      <c r="U95" s="197"/>
    </row>
    <row r="96" spans="1:26" s="12" customFormat="1" x14ac:dyDescent="0.25">
      <c r="A96" s="200" t="s">
        <v>523</v>
      </c>
      <c r="B96" s="59">
        <v>121.69</v>
      </c>
      <c r="C96" s="210" t="s">
        <v>43</v>
      </c>
      <c r="D96" s="59">
        <v>88.43</v>
      </c>
      <c r="E96" s="59">
        <v>5.53</v>
      </c>
      <c r="F96" s="59">
        <v>0.55000000000000004</v>
      </c>
      <c r="G96" s="59">
        <v>252.55</v>
      </c>
      <c r="H96" s="59">
        <v>66.39</v>
      </c>
      <c r="I96" s="59">
        <v>1.71</v>
      </c>
      <c r="J96" s="59">
        <v>0.17</v>
      </c>
      <c r="K96" s="59">
        <v>273.89999999999998</v>
      </c>
      <c r="L96" s="59">
        <v>20.079999999999998</v>
      </c>
      <c r="M96" s="210" t="s">
        <v>43</v>
      </c>
      <c r="N96" s="59">
        <v>34.299999999999997</v>
      </c>
      <c r="O96" s="59">
        <v>0</v>
      </c>
      <c r="P96" s="59">
        <v>4.34</v>
      </c>
      <c r="Q96" s="59">
        <v>61.27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524</v>
      </c>
      <c r="B97" s="59">
        <v>125.4</v>
      </c>
      <c r="C97" s="210" t="s">
        <v>43</v>
      </c>
      <c r="D97" s="59">
        <v>90.08</v>
      </c>
      <c r="E97" s="59">
        <v>5.8</v>
      </c>
      <c r="F97" s="59">
        <v>0.59</v>
      </c>
      <c r="G97" s="59">
        <v>252.55</v>
      </c>
      <c r="H97" s="59">
        <v>66.39</v>
      </c>
      <c r="I97" s="59">
        <v>1.77</v>
      </c>
      <c r="J97" s="59">
        <v>0.2</v>
      </c>
      <c r="K97" s="59">
        <v>272.93</v>
      </c>
      <c r="L97" s="59">
        <v>20.18</v>
      </c>
      <c r="M97" s="210" t="s">
        <v>43</v>
      </c>
      <c r="N97" s="59">
        <v>34.1</v>
      </c>
      <c r="O97" s="59">
        <v>0</v>
      </c>
      <c r="P97" s="59">
        <v>4.42</v>
      </c>
      <c r="Q97" s="59">
        <v>62.46</v>
      </c>
      <c r="R97" s="197"/>
      <c r="S97" s="197"/>
      <c r="T97" s="197"/>
      <c r="U97" s="197"/>
    </row>
    <row r="98" spans="1:33" s="12" customFormat="1" x14ac:dyDescent="0.25">
      <c r="A98" s="200" t="s">
        <v>525</v>
      </c>
      <c r="B98" s="59">
        <v>125.21</v>
      </c>
      <c r="C98" s="210" t="s">
        <v>43</v>
      </c>
      <c r="D98" s="59">
        <v>89.72</v>
      </c>
      <c r="E98" s="59">
        <v>5.55</v>
      </c>
      <c r="F98" s="59">
        <v>0.59</v>
      </c>
      <c r="G98" s="59">
        <v>252.55</v>
      </c>
      <c r="H98" s="59">
        <v>66.39</v>
      </c>
      <c r="I98" s="59">
        <v>1.81</v>
      </c>
      <c r="J98" s="59">
        <v>0.15</v>
      </c>
      <c r="K98" s="59">
        <v>270.76</v>
      </c>
      <c r="L98" s="59">
        <v>20.04</v>
      </c>
      <c r="M98" s="210" t="s">
        <v>43</v>
      </c>
      <c r="N98" s="59">
        <v>34.4</v>
      </c>
      <c r="O98" s="59">
        <v>0</v>
      </c>
      <c r="P98" s="59">
        <v>4.41</v>
      </c>
      <c r="Q98" s="59">
        <v>61.52</v>
      </c>
      <c r="R98" s="197"/>
      <c r="S98" s="197"/>
      <c r="T98" s="197"/>
      <c r="U98" s="197"/>
    </row>
    <row r="99" spans="1:33" s="12" customFormat="1" x14ac:dyDescent="0.25">
      <c r="A99" s="200" t="s">
        <v>526</v>
      </c>
      <c r="B99" s="59">
        <v>120.9</v>
      </c>
      <c r="C99" s="210" t="s">
        <v>43</v>
      </c>
      <c r="D99" s="59">
        <v>86.96</v>
      </c>
      <c r="E99" s="59">
        <v>5.59</v>
      </c>
      <c r="F99" s="59">
        <v>0.53</v>
      </c>
      <c r="G99" s="59">
        <v>186.41</v>
      </c>
      <c r="H99" s="59">
        <v>66.099999999999994</v>
      </c>
      <c r="I99" s="59">
        <v>1.84</v>
      </c>
      <c r="J99" s="59">
        <v>0.2</v>
      </c>
      <c r="K99" s="59">
        <v>273.92</v>
      </c>
      <c r="L99" s="59">
        <v>19.79</v>
      </c>
      <c r="M99" s="210" t="s">
        <v>43</v>
      </c>
      <c r="N99" s="59">
        <v>34.5</v>
      </c>
      <c r="O99" s="59">
        <v>0</v>
      </c>
      <c r="P99" s="59">
        <v>4.29</v>
      </c>
      <c r="Q99" s="59">
        <v>60.56</v>
      </c>
      <c r="R99" s="197"/>
      <c r="S99" s="197"/>
      <c r="T99" s="197"/>
      <c r="U99" s="197"/>
    </row>
    <row r="100" spans="1:33" s="12" customFormat="1" x14ac:dyDescent="0.25">
      <c r="A100" s="200" t="s">
        <v>527</v>
      </c>
      <c r="B100" s="59">
        <v>118.68</v>
      </c>
      <c r="C100" s="210" t="s">
        <v>43</v>
      </c>
      <c r="D100" s="59">
        <v>85.46</v>
      </c>
      <c r="E100" s="59">
        <v>5.83</v>
      </c>
      <c r="F100" s="59">
        <v>0.65</v>
      </c>
      <c r="G100" s="59">
        <v>186.41</v>
      </c>
      <c r="H100" s="59">
        <v>65.16</v>
      </c>
      <c r="I100" s="59">
        <v>1.83</v>
      </c>
      <c r="J100" s="59">
        <v>0.13</v>
      </c>
      <c r="K100" s="59">
        <v>290.23</v>
      </c>
      <c r="L100" s="59">
        <v>19.28</v>
      </c>
      <c r="M100" s="210" t="s">
        <v>43</v>
      </c>
      <c r="N100" s="59">
        <v>34.6</v>
      </c>
      <c r="O100" s="59">
        <v>0</v>
      </c>
      <c r="P100" s="59">
        <v>4.2699999999999996</v>
      </c>
      <c r="Q100" s="59">
        <v>59.6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528</v>
      </c>
      <c r="B101" s="59">
        <v>121.94</v>
      </c>
      <c r="C101" s="210" t="s">
        <v>43</v>
      </c>
      <c r="D101" s="59">
        <v>86.8</v>
      </c>
      <c r="E101" s="59">
        <v>5.75</v>
      </c>
      <c r="F101" s="59">
        <v>0.62</v>
      </c>
      <c r="G101" s="59">
        <v>186.41</v>
      </c>
      <c r="H101" s="59">
        <v>65.16</v>
      </c>
      <c r="I101" s="59">
        <v>1.79</v>
      </c>
      <c r="J101" s="59">
        <v>0.17</v>
      </c>
      <c r="K101" s="59">
        <v>296.94</v>
      </c>
      <c r="L101" s="59">
        <v>19.12</v>
      </c>
      <c r="M101" s="210" t="s">
        <v>43</v>
      </c>
      <c r="N101" s="59">
        <v>34.299999999999997</v>
      </c>
      <c r="O101" s="59">
        <v>0</v>
      </c>
      <c r="P101" s="59">
        <v>4.28</v>
      </c>
      <c r="Q101" s="59">
        <v>59.09</v>
      </c>
      <c r="R101" s="197"/>
      <c r="S101" s="197"/>
      <c r="T101" s="197"/>
      <c r="U101" s="197"/>
    </row>
    <row r="102" spans="1:33" s="12" customFormat="1" x14ac:dyDescent="0.25">
      <c r="A102" s="200" t="s">
        <v>529</v>
      </c>
      <c r="B102" s="59">
        <v>130.88999999999999</v>
      </c>
      <c r="C102" s="210" t="s">
        <v>43</v>
      </c>
      <c r="D102" s="59">
        <v>90.97</v>
      </c>
      <c r="E102" s="59">
        <v>5.32</v>
      </c>
      <c r="F102" s="59">
        <v>0.51</v>
      </c>
      <c r="G102" s="59">
        <v>186.41</v>
      </c>
      <c r="H102" s="59">
        <v>65.16</v>
      </c>
      <c r="I102" s="59">
        <v>1.76</v>
      </c>
      <c r="J102" s="59">
        <v>0.13</v>
      </c>
      <c r="K102" s="59">
        <v>296.97000000000003</v>
      </c>
      <c r="L102" s="59">
        <v>19.100000000000001</v>
      </c>
      <c r="M102" s="210" t="s">
        <v>43</v>
      </c>
      <c r="N102" s="59">
        <v>34.4</v>
      </c>
      <c r="O102" s="59">
        <v>0</v>
      </c>
      <c r="P102" s="59">
        <v>4.3099999999999996</v>
      </c>
      <c r="Q102" s="59">
        <v>59.45</v>
      </c>
      <c r="R102" s="197"/>
      <c r="S102" s="197"/>
      <c r="T102" s="197"/>
      <c r="U102" s="197"/>
    </row>
    <row r="103" spans="1:33" s="12" customFormat="1" x14ac:dyDescent="0.25">
      <c r="A103" s="200" t="s">
        <v>530</v>
      </c>
      <c r="B103" s="59">
        <v>139.88999999999999</v>
      </c>
      <c r="C103" s="210" t="s">
        <v>43</v>
      </c>
      <c r="D103" s="59">
        <v>95.01</v>
      </c>
      <c r="E103" s="59">
        <v>5.69</v>
      </c>
      <c r="F103" s="59">
        <v>0.6</v>
      </c>
      <c r="G103" s="59">
        <v>190.61</v>
      </c>
      <c r="H103" s="59">
        <v>66.010000000000005</v>
      </c>
      <c r="I103" s="59">
        <v>1.74</v>
      </c>
      <c r="J103" s="59">
        <v>0.17</v>
      </c>
      <c r="K103" s="59">
        <v>299.26</v>
      </c>
      <c r="L103" s="59">
        <v>19.03</v>
      </c>
      <c r="M103" s="210" t="s">
        <v>43</v>
      </c>
      <c r="N103" s="59">
        <v>34.299999999999997</v>
      </c>
      <c r="O103" s="59">
        <v>0</v>
      </c>
      <c r="P103" s="59">
        <v>4.33</v>
      </c>
      <c r="Q103" s="59">
        <v>59.5</v>
      </c>
      <c r="R103" s="197"/>
      <c r="S103" s="197"/>
      <c r="T103" s="197"/>
      <c r="U103" s="197"/>
    </row>
    <row r="104" spans="1:33" s="12" customFormat="1" x14ac:dyDescent="0.25">
      <c r="A104" s="200" t="s">
        <v>531</v>
      </c>
      <c r="B104" s="59">
        <v>145.16999999999999</v>
      </c>
      <c r="C104" s="210" t="s">
        <v>43</v>
      </c>
      <c r="D104" s="59">
        <v>97.24</v>
      </c>
      <c r="E104" s="59">
        <v>2.16</v>
      </c>
      <c r="F104" s="59">
        <v>0.61</v>
      </c>
      <c r="G104" s="59">
        <v>209.5</v>
      </c>
      <c r="H104" s="59">
        <v>68.62</v>
      </c>
      <c r="I104" s="59">
        <v>1.74</v>
      </c>
      <c r="J104" s="59">
        <v>0.27</v>
      </c>
      <c r="K104" s="59">
        <v>297.89999999999998</v>
      </c>
      <c r="L104" s="59">
        <v>19.07</v>
      </c>
      <c r="M104" s="210" t="s">
        <v>43</v>
      </c>
      <c r="N104" s="59">
        <v>34</v>
      </c>
      <c r="O104" s="59">
        <v>0</v>
      </c>
      <c r="P104" s="59">
        <v>4.32</v>
      </c>
      <c r="Q104" s="59">
        <v>59.18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2.38</v>
      </c>
      <c r="C106" s="66">
        <f>MIN(C9:C104)</f>
        <v>0.23</v>
      </c>
      <c r="D106" s="66">
        <f t="shared" ref="D106:Q106" si="0">MIN(D9:D104)</f>
        <v>25.63</v>
      </c>
      <c r="E106" s="66">
        <f t="shared" si="0"/>
        <v>2.16</v>
      </c>
      <c r="F106" s="66">
        <f t="shared" si="0"/>
        <v>0.16</v>
      </c>
      <c r="G106" s="66">
        <f t="shared" si="0"/>
        <v>78.27</v>
      </c>
      <c r="H106" s="66">
        <f t="shared" si="0"/>
        <v>42</v>
      </c>
      <c r="I106" s="66">
        <f t="shared" si="0"/>
        <v>0.47</v>
      </c>
      <c r="J106" s="66">
        <f t="shared" si="0"/>
        <v>0.04</v>
      </c>
      <c r="K106" s="66">
        <f t="shared" si="0"/>
        <v>123.22</v>
      </c>
      <c r="L106" s="66">
        <f t="shared" si="0"/>
        <v>17.71</v>
      </c>
      <c r="M106" s="66">
        <f t="shared" si="0"/>
        <v>0</v>
      </c>
      <c r="N106" s="66">
        <f t="shared" si="0"/>
        <v>34</v>
      </c>
      <c r="O106" s="66">
        <f t="shared" si="0"/>
        <v>0</v>
      </c>
      <c r="P106" s="66">
        <f t="shared" si="0"/>
        <v>1.46</v>
      </c>
      <c r="Q106" s="66">
        <f t="shared" si="0"/>
        <v>48.47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145.16999999999999</v>
      </c>
      <c r="C107" s="65">
        <f t="shared" ref="C107:Q107" si="1">MAX(C9:C104)</f>
        <v>48.83</v>
      </c>
      <c r="D107" s="65">
        <f t="shared" si="1"/>
        <v>97.24</v>
      </c>
      <c r="E107" s="65">
        <f t="shared" si="1"/>
        <v>9.11</v>
      </c>
      <c r="F107" s="65">
        <f t="shared" si="1"/>
        <v>7.46</v>
      </c>
      <c r="G107" s="65">
        <f t="shared" si="1"/>
        <v>252.55</v>
      </c>
      <c r="H107" s="65">
        <f t="shared" si="1"/>
        <v>72.510000000000005</v>
      </c>
      <c r="I107" s="65">
        <f t="shared" si="1"/>
        <v>1.84</v>
      </c>
      <c r="J107" s="65">
        <f t="shared" si="1"/>
        <v>1.03</v>
      </c>
      <c r="K107" s="65">
        <f t="shared" si="1"/>
        <v>305.36</v>
      </c>
      <c r="L107" s="65">
        <f t="shared" si="1"/>
        <v>32.46</v>
      </c>
      <c r="M107" s="65">
        <f t="shared" si="1"/>
        <v>0</v>
      </c>
      <c r="N107" s="65">
        <f t="shared" si="1"/>
        <v>411.3</v>
      </c>
      <c r="O107" s="65">
        <f t="shared" si="1"/>
        <v>0</v>
      </c>
      <c r="P107" s="65">
        <f t="shared" si="1"/>
        <v>4.42</v>
      </c>
      <c r="Q107" s="65">
        <f t="shared" si="1"/>
        <v>62.46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47.728958333333345</v>
      </c>
      <c r="C108" s="66">
        <f t="shared" ref="C108:Q108" si="2">AVERAGE(C9:C104)</f>
        <v>25.75630952380952</v>
      </c>
      <c r="D108" s="66">
        <f t="shared" si="2"/>
        <v>49.406666666666666</v>
      </c>
      <c r="E108" s="66">
        <f t="shared" si="2"/>
        <v>5.101770833333334</v>
      </c>
      <c r="F108" s="66">
        <f t="shared" si="2"/>
        <v>1.4794791666666667</v>
      </c>
      <c r="G108" s="66">
        <f t="shared" si="2"/>
        <v>148.67000000000004</v>
      </c>
      <c r="H108" s="66">
        <f t="shared" si="2"/>
        <v>59.828645833333347</v>
      </c>
      <c r="I108" s="66">
        <f t="shared" si="2"/>
        <v>1.0364383561643837</v>
      </c>
      <c r="J108" s="66">
        <f t="shared" si="2"/>
        <v>0.36625000000000013</v>
      </c>
      <c r="K108" s="66">
        <f t="shared" si="2"/>
        <v>227.21687499999996</v>
      </c>
      <c r="L108" s="66">
        <f t="shared" si="2"/>
        <v>23.440937500000004</v>
      </c>
      <c r="M108" s="66" t="e">
        <f t="shared" si="2"/>
        <v>#DIV/0!</v>
      </c>
      <c r="N108" s="66">
        <f t="shared" si="2"/>
        <v>130.40312500000005</v>
      </c>
      <c r="O108" s="66">
        <f t="shared" si="2"/>
        <v>0</v>
      </c>
      <c r="P108" s="66">
        <f t="shared" si="2"/>
        <v>2.5239583333333333</v>
      </c>
      <c r="Q108" s="66">
        <f t="shared" si="2"/>
        <v>53.0546875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38.286580787231344</v>
      </c>
      <c r="C109" s="66">
        <f t="shared" ref="C109:Q109" si="3">STDEV(C9:C104)</f>
        <v>17.198361912733262</v>
      </c>
      <c r="D109" s="66">
        <f t="shared" si="3"/>
        <v>18.926494026637673</v>
      </c>
      <c r="E109" s="66">
        <f t="shared" si="3"/>
        <v>1.0415908832082028</v>
      </c>
      <c r="F109" s="66">
        <f t="shared" si="3"/>
        <v>1.5419634576813301</v>
      </c>
      <c r="G109" s="66">
        <f t="shared" si="3"/>
        <v>52.731677306709344</v>
      </c>
      <c r="H109" s="66">
        <f t="shared" si="3"/>
        <v>8.3670442017023667</v>
      </c>
      <c r="I109" s="66">
        <f t="shared" si="3"/>
        <v>0.44239678602601668</v>
      </c>
      <c r="J109" s="66">
        <f t="shared" si="3"/>
        <v>0.29340918078414147</v>
      </c>
      <c r="K109" s="66">
        <f t="shared" si="3"/>
        <v>64.421567054135991</v>
      </c>
      <c r="L109" s="66">
        <f t="shared" si="3"/>
        <v>5.0704581082611684</v>
      </c>
      <c r="M109" s="66" t="e">
        <f t="shared" si="3"/>
        <v>#DIV/0!</v>
      </c>
      <c r="N109" s="66">
        <f t="shared" si="3"/>
        <v>138.04507612647092</v>
      </c>
      <c r="O109" s="66">
        <f t="shared" si="3"/>
        <v>0</v>
      </c>
      <c r="P109" s="66">
        <f t="shared" si="3"/>
        <v>0.8776649392644299</v>
      </c>
      <c r="Q109" s="66">
        <f t="shared" si="3"/>
        <v>3.3002366591774823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>COUNT(B9:B104)</f>
        <v>96</v>
      </c>
      <c r="C110" s="65">
        <f t="shared" ref="C110:Q110" si="4">COUNT(C9:C104)</f>
        <v>84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 t="shared" si="4"/>
        <v>96</v>
      </c>
      <c r="I110" s="65">
        <f>COUNT(I9:I104)+23</f>
        <v>96</v>
      </c>
      <c r="J110" s="65">
        <f t="shared" si="4"/>
        <v>96</v>
      </c>
      <c r="K110" s="65">
        <f t="shared" si="4"/>
        <v>96</v>
      </c>
      <c r="L110" s="65">
        <f t="shared" si="4"/>
        <v>96</v>
      </c>
      <c r="M110" s="65">
        <f t="shared" si="4"/>
        <v>0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&lt;90%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&lt;90%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LESS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LESS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P110" sqref="P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04-12-2022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532</v>
      </c>
      <c r="B9" s="59">
        <v>147.09</v>
      </c>
      <c r="C9" s="210" t="s">
        <v>43</v>
      </c>
      <c r="D9" s="59">
        <v>97.89</v>
      </c>
      <c r="E9" s="59">
        <v>4.6399999999999997</v>
      </c>
      <c r="F9" s="59">
        <v>0.51</v>
      </c>
      <c r="G9" s="59">
        <v>209.5</v>
      </c>
      <c r="H9" s="59">
        <v>68.62</v>
      </c>
      <c r="I9" s="59">
        <v>1.75</v>
      </c>
      <c r="J9" s="59">
        <v>0.46</v>
      </c>
      <c r="K9" s="59">
        <v>297.77</v>
      </c>
      <c r="L9" s="59">
        <v>19.09</v>
      </c>
      <c r="M9" s="59">
        <v>25</v>
      </c>
      <c r="N9" s="59">
        <v>33.5</v>
      </c>
      <c r="O9" s="59">
        <v>0</v>
      </c>
      <c r="P9" s="59">
        <v>4.29</v>
      </c>
      <c r="Q9" s="59">
        <v>60.26</v>
      </c>
      <c r="R9" s="197"/>
      <c r="S9" s="197"/>
      <c r="T9" s="197"/>
      <c r="U9" s="197"/>
    </row>
    <row r="10" spans="1:21" s="12" customFormat="1" x14ac:dyDescent="0.25">
      <c r="A10" s="200" t="s">
        <v>533</v>
      </c>
      <c r="B10" s="59">
        <v>144.31</v>
      </c>
      <c r="C10" s="210" t="s">
        <v>43</v>
      </c>
      <c r="D10" s="59">
        <v>96.1</v>
      </c>
      <c r="E10" s="59">
        <v>5.0199999999999996</v>
      </c>
      <c r="F10" s="59">
        <v>0.5</v>
      </c>
      <c r="G10" s="59">
        <v>209.5</v>
      </c>
      <c r="H10" s="59">
        <v>68.62</v>
      </c>
      <c r="I10" s="59">
        <v>1.75</v>
      </c>
      <c r="J10" s="59">
        <v>0.35</v>
      </c>
      <c r="K10" s="59">
        <v>283.01</v>
      </c>
      <c r="L10" s="59">
        <v>19.2</v>
      </c>
      <c r="M10" s="59">
        <v>40</v>
      </c>
      <c r="N10" s="59">
        <v>33.9</v>
      </c>
      <c r="O10" s="59">
        <v>0</v>
      </c>
      <c r="P10" s="59">
        <v>4.2300000000000004</v>
      </c>
      <c r="Q10" s="59">
        <v>60.26</v>
      </c>
      <c r="R10" s="197"/>
      <c r="S10" s="197"/>
      <c r="T10" s="197"/>
      <c r="U10" s="197"/>
    </row>
    <row r="11" spans="1:21" s="12" customFormat="1" x14ac:dyDescent="0.25">
      <c r="A11" s="200" t="s">
        <v>534</v>
      </c>
      <c r="B11" s="59">
        <v>139.05000000000001</v>
      </c>
      <c r="C11" s="210" t="s">
        <v>43</v>
      </c>
      <c r="D11" s="59">
        <v>93.3</v>
      </c>
      <c r="E11" s="59">
        <v>4.6100000000000003</v>
      </c>
      <c r="F11" s="59">
        <v>0.64</v>
      </c>
      <c r="G11" s="59">
        <v>197.96</v>
      </c>
      <c r="H11" s="59">
        <v>68.69</v>
      </c>
      <c r="I11" s="59">
        <v>1.75</v>
      </c>
      <c r="J11" s="59">
        <v>0.13</v>
      </c>
      <c r="K11" s="59">
        <v>276.58999999999997</v>
      </c>
      <c r="L11" s="59">
        <v>19.22</v>
      </c>
      <c r="M11" s="209" t="s">
        <v>36</v>
      </c>
      <c r="N11" s="59">
        <v>34.4</v>
      </c>
      <c r="O11" s="59">
        <v>0</v>
      </c>
      <c r="P11" s="59">
        <v>4.1399999999999997</v>
      </c>
      <c r="Q11" s="59">
        <v>60.08</v>
      </c>
      <c r="R11" s="197"/>
      <c r="S11" s="197"/>
      <c r="T11" s="197"/>
      <c r="U11" s="197"/>
    </row>
    <row r="12" spans="1:21" s="12" customFormat="1" x14ac:dyDescent="0.25">
      <c r="A12" s="200" t="s">
        <v>535</v>
      </c>
      <c r="B12" s="59">
        <v>133.85</v>
      </c>
      <c r="C12" s="210" t="s">
        <v>43</v>
      </c>
      <c r="D12" s="59">
        <v>90.45</v>
      </c>
      <c r="E12" s="59">
        <v>5.08</v>
      </c>
      <c r="F12" s="59">
        <v>0.56999999999999995</v>
      </c>
      <c r="G12" s="59">
        <v>172.7</v>
      </c>
      <c r="H12" s="59">
        <v>68.92</v>
      </c>
      <c r="I12" s="59">
        <v>1.74</v>
      </c>
      <c r="J12" s="59">
        <v>0.13</v>
      </c>
      <c r="K12" s="59">
        <v>272.52999999999997</v>
      </c>
      <c r="L12" s="59">
        <v>19.170000000000002</v>
      </c>
      <c r="M12" s="209" t="s">
        <v>36</v>
      </c>
      <c r="N12" s="59">
        <v>34.5</v>
      </c>
      <c r="O12" s="59">
        <v>0</v>
      </c>
      <c r="P12" s="59">
        <v>4.04</v>
      </c>
      <c r="Q12" s="59">
        <v>59.38</v>
      </c>
      <c r="R12" s="197"/>
      <c r="S12" s="197"/>
      <c r="T12" s="197"/>
      <c r="U12" s="197"/>
    </row>
    <row r="13" spans="1:21" s="12" customFormat="1" x14ac:dyDescent="0.25">
      <c r="A13" s="200" t="s">
        <v>536</v>
      </c>
      <c r="B13" s="59">
        <v>128.15</v>
      </c>
      <c r="C13" s="210" t="s">
        <v>43</v>
      </c>
      <c r="D13" s="59">
        <v>87.42</v>
      </c>
      <c r="E13" s="59">
        <v>5.14</v>
      </c>
      <c r="F13" s="59">
        <v>0.63</v>
      </c>
      <c r="G13" s="59">
        <v>172.7</v>
      </c>
      <c r="H13" s="59">
        <v>68.92</v>
      </c>
      <c r="I13" s="59">
        <v>1.71</v>
      </c>
      <c r="J13" s="59">
        <v>0.19</v>
      </c>
      <c r="K13" s="59">
        <v>277.43</v>
      </c>
      <c r="L13" s="59">
        <v>18.89</v>
      </c>
      <c r="M13" s="209" t="s">
        <v>36</v>
      </c>
      <c r="N13" s="59">
        <v>34.200000000000003</v>
      </c>
      <c r="O13" s="59">
        <v>0</v>
      </c>
      <c r="P13" s="59">
        <v>3.65</v>
      </c>
      <c r="Q13" s="59">
        <v>59.47</v>
      </c>
      <c r="R13" s="197"/>
      <c r="S13" s="197"/>
      <c r="T13" s="197"/>
      <c r="U13" s="197"/>
    </row>
    <row r="14" spans="1:21" s="12" customFormat="1" x14ac:dyDescent="0.25">
      <c r="A14" s="200" t="s">
        <v>537</v>
      </c>
      <c r="B14" s="59">
        <v>120.96</v>
      </c>
      <c r="C14" s="210" t="s">
        <v>43</v>
      </c>
      <c r="D14" s="59">
        <v>83.82</v>
      </c>
      <c r="E14" s="59">
        <v>4.68</v>
      </c>
      <c r="F14" s="59">
        <v>0.56999999999999995</v>
      </c>
      <c r="G14" s="59">
        <v>172.7</v>
      </c>
      <c r="H14" s="59">
        <v>68.92</v>
      </c>
      <c r="I14" s="59">
        <v>1.68</v>
      </c>
      <c r="J14" s="59">
        <v>0.34</v>
      </c>
      <c r="K14" s="59">
        <v>260.55</v>
      </c>
      <c r="L14" s="59">
        <v>19.36</v>
      </c>
      <c r="M14" s="209" t="s">
        <v>36</v>
      </c>
      <c r="N14" s="59">
        <v>33.6</v>
      </c>
      <c r="O14" s="59">
        <v>0</v>
      </c>
      <c r="P14" s="59">
        <v>3.75</v>
      </c>
      <c r="Q14" s="59">
        <v>59.06</v>
      </c>
      <c r="R14" s="197"/>
      <c r="S14" s="197"/>
      <c r="T14" s="197"/>
      <c r="U14" s="197"/>
    </row>
    <row r="15" spans="1:21" s="12" customFormat="1" x14ac:dyDescent="0.25">
      <c r="A15" s="200" t="s">
        <v>538</v>
      </c>
      <c r="B15" s="59">
        <v>112.8</v>
      </c>
      <c r="C15" s="210" t="s">
        <v>43</v>
      </c>
      <c r="D15" s="59">
        <v>78.930000000000007</v>
      </c>
      <c r="E15" s="59">
        <v>4.76</v>
      </c>
      <c r="F15" s="59">
        <v>0.65</v>
      </c>
      <c r="G15" s="59">
        <v>171.23</v>
      </c>
      <c r="H15" s="59">
        <v>68.959999999999994</v>
      </c>
      <c r="I15" s="59">
        <v>1.65</v>
      </c>
      <c r="J15" s="59">
        <v>0.32</v>
      </c>
      <c r="K15" s="59">
        <v>259.3</v>
      </c>
      <c r="L15" s="59">
        <v>19.46</v>
      </c>
      <c r="M15" s="209" t="s">
        <v>36</v>
      </c>
      <c r="N15" s="59">
        <v>34.1</v>
      </c>
      <c r="O15" s="59">
        <v>0</v>
      </c>
      <c r="P15" s="59">
        <v>3.64</v>
      </c>
      <c r="Q15" s="59">
        <v>59.24</v>
      </c>
      <c r="R15" s="197"/>
      <c r="S15" s="197"/>
      <c r="T15" s="197"/>
      <c r="U15" s="197"/>
    </row>
    <row r="16" spans="1:21" s="12" customFormat="1" x14ac:dyDescent="0.25">
      <c r="A16" s="200" t="s">
        <v>539</v>
      </c>
      <c r="B16" s="59">
        <v>104.11</v>
      </c>
      <c r="C16" s="210" t="s">
        <v>43</v>
      </c>
      <c r="D16" s="59">
        <v>75.52</v>
      </c>
      <c r="E16" s="59">
        <v>4.6500000000000004</v>
      </c>
      <c r="F16" s="59">
        <v>0.66</v>
      </c>
      <c r="G16" s="59">
        <v>167.84</v>
      </c>
      <c r="H16" s="59">
        <v>69.08</v>
      </c>
      <c r="I16" s="59">
        <v>1.6</v>
      </c>
      <c r="J16" s="59">
        <v>0.21</v>
      </c>
      <c r="K16" s="59">
        <v>263.19</v>
      </c>
      <c r="L16" s="59">
        <v>19.27</v>
      </c>
      <c r="M16" s="209" t="s">
        <v>36</v>
      </c>
      <c r="N16" s="59">
        <v>34.299999999999997</v>
      </c>
      <c r="O16" s="59">
        <v>0</v>
      </c>
      <c r="P16" s="59">
        <v>3.55</v>
      </c>
      <c r="Q16" s="59">
        <v>58.01</v>
      </c>
      <c r="R16" s="197"/>
      <c r="S16" s="197"/>
      <c r="T16" s="197"/>
      <c r="U16" s="197"/>
    </row>
    <row r="17" spans="1:21" s="12" customFormat="1" x14ac:dyDescent="0.25">
      <c r="A17" s="200" t="s">
        <v>540</v>
      </c>
      <c r="B17" s="59">
        <v>95.65</v>
      </c>
      <c r="C17" s="210" t="s">
        <v>43</v>
      </c>
      <c r="D17" s="59">
        <v>71.94</v>
      </c>
      <c r="E17" s="59">
        <v>4.71</v>
      </c>
      <c r="F17" s="59">
        <v>0.56999999999999995</v>
      </c>
      <c r="G17" s="59">
        <v>167.84</v>
      </c>
      <c r="H17" s="59">
        <v>69.08</v>
      </c>
      <c r="I17" s="59">
        <v>1.53</v>
      </c>
      <c r="J17" s="59">
        <v>0.1</v>
      </c>
      <c r="K17" s="59">
        <v>276.20999999999998</v>
      </c>
      <c r="L17" s="59">
        <v>18.77</v>
      </c>
      <c r="M17" s="209" t="s">
        <v>36</v>
      </c>
      <c r="N17" s="59">
        <v>34.799999999999997</v>
      </c>
      <c r="O17" s="59">
        <v>0</v>
      </c>
      <c r="P17" s="59">
        <v>3.5</v>
      </c>
      <c r="Q17" s="59">
        <v>57.16</v>
      </c>
      <c r="R17" s="197"/>
      <c r="S17" s="197"/>
      <c r="T17" s="197"/>
      <c r="U17" s="197"/>
    </row>
    <row r="18" spans="1:21" s="12" customFormat="1" x14ac:dyDescent="0.25">
      <c r="A18" s="200" t="s">
        <v>541</v>
      </c>
      <c r="B18" s="59">
        <v>87.99</v>
      </c>
      <c r="C18" s="210" t="s">
        <v>43</v>
      </c>
      <c r="D18" s="59">
        <v>68.34</v>
      </c>
      <c r="E18" s="59">
        <v>4.66</v>
      </c>
      <c r="F18" s="59">
        <v>0.57999999999999996</v>
      </c>
      <c r="G18" s="59">
        <v>167.84</v>
      </c>
      <c r="H18" s="59">
        <v>69.08</v>
      </c>
      <c r="I18" s="59">
        <v>1.45</v>
      </c>
      <c r="J18" s="59">
        <v>0.1</v>
      </c>
      <c r="K18" s="59">
        <v>287.95</v>
      </c>
      <c r="L18" s="59">
        <v>18.29</v>
      </c>
      <c r="M18" s="209" t="s">
        <v>36</v>
      </c>
      <c r="N18" s="59">
        <v>34.6</v>
      </c>
      <c r="O18" s="59">
        <v>0</v>
      </c>
      <c r="P18" s="59">
        <v>3.47</v>
      </c>
      <c r="Q18" s="59">
        <v>56.03</v>
      </c>
      <c r="R18" s="197"/>
      <c r="S18" s="197"/>
      <c r="T18" s="197"/>
      <c r="U18" s="197"/>
    </row>
    <row r="19" spans="1:21" s="12" customFormat="1" x14ac:dyDescent="0.25">
      <c r="A19" s="200" t="s">
        <v>542</v>
      </c>
      <c r="B19" s="59">
        <v>81.45</v>
      </c>
      <c r="C19" s="210" t="s">
        <v>43</v>
      </c>
      <c r="D19" s="59">
        <v>64.95</v>
      </c>
      <c r="E19" s="59">
        <v>4.25</v>
      </c>
      <c r="F19" s="59">
        <v>0.53</v>
      </c>
      <c r="G19" s="59">
        <v>183.32</v>
      </c>
      <c r="H19" s="59">
        <v>70.67</v>
      </c>
      <c r="I19" s="59">
        <v>1.37</v>
      </c>
      <c r="J19" s="59">
        <v>0.14000000000000001</v>
      </c>
      <c r="K19" s="59">
        <v>298.17</v>
      </c>
      <c r="L19" s="59">
        <v>17.86</v>
      </c>
      <c r="M19" s="209" t="s">
        <v>36</v>
      </c>
      <c r="N19" s="59">
        <v>34.6</v>
      </c>
      <c r="O19" s="59">
        <v>0</v>
      </c>
      <c r="P19" s="59">
        <v>3.43</v>
      </c>
      <c r="Q19" s="59">
        <v>55.15</v>
      </c>
      <c r="R19" s="197"/>
      <c r="S19" s="197"/>
      <c r="T19" s="197"/>
      <c r="U19" s="197"/>
    </row>
    <row r="20" spans="1:21" s="12" customFormat="1" x14ac:dyDescent="0.25">
      <c r="A20" s="200" t="s">
        <v>543</v>
      </c>
      <c r="B20" s="59">
        <v>75.790000000000006</v>
      </c>
      <c r="C20" s="59">
        <v>2.15</v>
      </c>
      <c r="D20" s="59">
        <v>61.96</v>
      </c>
      <c r="E20" s="59">
        <v>4</v>
      </c>
      <c r="F20" s="59">
        <v>0.61</v>
      </c>
      <c r="G20" s="59">
        <v>218.92</v>
      </c>
      <c r="H20" s="59">
        <v>75.89</v>
      </c>
      <c r="I20" s="59">
        <v>1.31</v>
      </c>
      <c r="J20" s="59">
        <v>0.23</v>
      </c>
      <c r="K20" s="59">
        <v>298.98</v>
      </c>
      <c r="L20" s="59">
        <v>18.059999999999999</v>
      </c>
      <c r="M20" s="59">
        <v>12</v>
      </c>
      <c r="N20" s="59">
        <v>33.9</v>
      </c>
      <c r="O20" s="59">
        <v>0</v>
      </c>
      <c r="P20" s="59">
        <v>3.42</v>
      </c>
      <c r="Q20" s="59">
        <v>54.46</v>
      </c>
      <c r="R20" s="197"/>
      <c r="S20" s="197"/>
      <c r="T20" s="197"/>
      <c r="U20" s="197"/>
    </row>
    <row r="21" spans="1:21" s="12" customFormat="1" x14ac:dyDescent="0.25">
      <c r="A21" s="200" t="s">
        <v>544</v>
      </c>
      <c r="B21" s="59">
        <v>70.3</v>
      </c>
      <c r="C21" s="59">
        <v>4.91</v>
      </c>
      <c r="D21" s="59">
        <v>59.09</v>
      </c>
      <c r="E21" s="59">
        <v>3.84</v>
      </c>
      <c r="F21" s="59">
        <v>0.54</v>
      </c>
      <c r="G21" s="59">
        <v>218.92</v>
      </c>
      <c r="H21" s="59">
        <v>75.89</v>
      </c>
      <c r="I21" s="59">
        <v>1.25</v>
      </c>
      <c r="J21" s="59">
        <v>0.17</v>
      </c>
      <c r="K21" s="59">
        <v>300.27999999999997</v>
      </c>
      <c r="L21" s="59">
        <v>18.010000000000002</v>
      </c>
      <c r="M21" s="59">
        <v>28</v>
      </c>
      <c r="N21" s="59">
        <v>34.6</v>
      </c>
      <c r="O21" s="59">
        <v>0</v>
      </c>
      <c r="P21" s="59">
        <v>3.44</v>
      </c>
      <c r="Q21" s="59">
        <v>53.57</v>
      </c>
      <c r="R21" s="197"/>
      <c r="S21" s="197"/>
      <c r="T21" s="197"/>
      <c r="U21" s="197"/>
    </row>
    <row r="22" spans="1:21" s="12" customFormat="1" x14ac:dyDescent="0.25">
      <c r="A22" s="200" t="s">
        <v>545</v>
      </c>
      <c r="B22" s="59">
        <v>66.11</v>
      </c>
      <c r="C22" s="59">
        <v>6.36</v>
      </c>
      <c r="D22" s="59">
        <v>56.52</v>
      </c>
      <c r="E22" s="59">
        <v>4.09</v>
      </c>
      <c r="F22" s="59">
        <v>0.6</v>
      </c>
      <c r="G22" s="59">
        <v>218.92</v>
      </c>
      <c r="H22" s="59">
        <v>75.89</v>
      </c>
      <c r="I22" s="59">
        <v>1.2</v>
      </c>
      <c r="J22" s="59">
        <v>0.15</v>
      </c>
      <c r="K22" s="59">
        <v>308.14999999999998</v>
      </c>
      <c r="L22" s="59">
        <v>17.57</v>
      </c>
      <c r="M22" s="59">
        <v>29</v>
      </c>
      <c r="N22" s="59">
        <v>34.4</v>
      </c>
      <c r="O22" s="59">
        <v>0</v>
      </c>
      <c r="P22" s="59">
        <v>3.45</v>
      </c>
      <c r="Q22" s="59">
        <v>52.83</v>
      </c>
      <c r="R22" s="197"/>
      <c r="S22" s="197"/>
      <c r="T22" s="197"/>
      <c r="U22" s="197"/>
    </row>
    <row r="23" spans="1:21" s="12" customFormat="1" x14ac:dyDescent="0.25">
      <c r="A23" s="200" t="s">
        <v>546</v>
      </c>
      <c r="B23" s="59">
        <v>63.41</v>
      </c>
      <c r="C23" s="59">
        <v>6.92</v>
      </c>
      <c r="D23" s="59">
        <v>54.67</v>
      </c>
      <c r="E23" s="59">
        <v>4.01</v>
      </c>
      <c r="F23" s="59">
        <v>0.43</v>
      </c>
      <c r="G23" s="59">
        <v>210.81</v>
      </c>
      <c r="H23" s="59">
        <v>75.72</v>
      </c>
      <c r="I23" s="59">
        <v>1.1499999999999999</v>
      </c>
      <c r="J23" s="59">
        <v>0.15</v>
      </c>
      <c r="K23" s="59">
        <v>306.2</v>
      </c>
      <c r="L23" s="59">
        <v>17.66</v>
      </c>
      <c r="M23" s="59">
        <v>21</v>
      </c>
      <c r="N23" s="59">
        <v>34.4</v>
      </c>
      <c r="O23" s="59">
        <v>0</v>
      </c>
      <c r="P23" s="59">
        <v>3.39</v>
      </c>
      <c r="Q23" s="59">
        <v>52.82</v>
      </c>
      <c r="R23" s="197"/>
      <c r="S23" s="197"/>
      <c r="T23" s="197"/>
      <c r="U23" s="197"/>
    </row>
    <row r="24" spans="1:21" s="12" customFormat="1" x14ac:dyDescent="0.25">
      <c r="A24" s="200" t="s">
        <v>547</v>
      </c>
      <c r="B24" s="59">
        <v>60.95</v>
      </c>
      <c r="C24" s="59">
        <v>7.16</v>
      </c>
      <c r="D24" s="59">
        <v>52.82</v>
      </c>
      <c r="E24" s="59">
        <v>1.48</v>
      </c>
      <c r="F24" s="59">
        <v>0.35</v>
      </c>
      <c r="G24" s="59">
        <v>173.51</v>
      </c>
      <c r="H24" s="59">
        <v>75.19</v>
      </c>
      <c r="I24" s="59">
        <v>1.1200000000000001</v>
      </c>
      <c r="J24" s="59">
        <v>0.11</v>
      </c>
      <c r="K24" s="59">
        <v>311.29000000000002</v>
      </c>
      <c r="L24" s="59">
        <v>17.399999999999999</v>
      </c>
      <c r="M24" s="59">
        <v>29</v>
      </c>
      <c r="N24" s="59">
        <v>34.5</v>
      </c>
      <c r="O24" s="59">
        <v>0</v>
      </c>
      <c r="P24" s="59">
        <v>3.29</v>
      </c>
      <c r="Q24" s="59">
        <v>52.39</v>
      </c>
      <c r="R24" s="197"/>
      <c r="S24" s="197"/>
      <c r="T24" s="197"/>
      <c r="U24" s="197"/>
    </row>
    <row r="25" spans="1:21" s="12" customFormat="1" x14ac:dyDescent="0.25">
      <c r="A25" s="200" t="s">
        <v>548</v>
      </c>
      <c r="B25" s="59">
        <v>59.18</v>
      </c>
      <c r="C25" s="59">
        <v>6.68</v>
      </c>
      <c r="D25" s="59">
        <v>51.15</v>
      </c>
      <c r="E25" s="59">
        <v>3.67</v>
      </c>
      <c r="F25" s="59">
        <v>0.55000000000000004</v>
      </c>
      <c r="G25" s="59">
        <v>173.51</v>
      </c>
      <c r="H25" s="59">
        <v>75.19</v>
      </c>
      <c r="I25" s="209" t="s">
        <v>36</v>
      </c>
      <c r="J25" s="59">
        <v>0.08</v>
      </c>
      <c r="K25" s="59">
        <v>315.61</v>
      </c>
      <c r="L25" s="59">
        <v>17</v>
      </c>
      <c r="M25" s="59">
        <v>37</v>
      </c>
      <c r="N25" s="59">
        <v>34.6</v>
      </c>
      <c r="O25" s="59">
        <v>0</v>
      </c>
      <c r="P25" s="59">
        <v>3.18</v>
      </c>
      <c r="Q25" s="59">
        <v>52.51</v>
      </c>
      <c r="R25" s="197"/>
      <c r="S25" s="197"/>
      <c r="T25" s="197"/>
      <c r="U25" s="197"/>
    </row>
    <row r="26" spans="1:21" s="12" customFormat="1" x14ac:dyDescent="0.25">
      <c r="A26" s="200" t="s">
        <v>549</v>
      </c>
      <c r="B26" s="59">
        <v>57.76</v>
      </c>
      <c r="C26" s="59">
        <v>6.41</v>
      </c>
      <c r="D26" s="59">
        <v>49.85</v>
      </c>
      <c r="E26" s="59">
        <v>3.83</v>
      </c>
      <c r="F26" s="59">
        <v>0.48</v>
      </c>
      <c r="G26" s="59">
        <v>173.51</v>
      </c>
      <c r="H26" s="59">
        <v>75.19</v>
      </c>
      <c r="I26" s="209" t="s">
        <v>36</v>
      </c>
      <c r="J26" s="59">
        <v>0.13</v>
      </c>
      <c r="K26" s="59">
        <v>319.04000000000002</v>
      </c>
      <c r="L26" s="59">
        <v>16.73</v>
      </c>
      <c r="M26" s="59">
        <v>2</v>
      </c>
      <c r="N26" s="59">
        <v>34.4</v>
      </c>
      <c r="O26" s="59">
        <v>0</v>
      </c>
      <c r="P26" s="59">
        <v>3.07</v>
      </c>
      <c r="Q26" s="59">
        <v>52.3</v>
      </c>
      <c r="R26" s="197"/>
      <c r="S26" s="197"/>
      <c r="T26" s="197"/>
      <c r="U26" s="197"/>
    </row>
    <row r="27" spans="1:21" s="12" customFormat="1" x14ac:dyDescent="0.25">
      <c r="A27" s="200" t="s">
        <v>550</v>
      </c>
      <c r="B27" s="59">
        <v>55.86</v>
      </c>
      <c r="C27" s="59">
        <v>6.58</v>
      </c>
      <c r="D27" s="59">
        <v>48.43</v>
      </c>
      <c r="E27" s="59">
        <v>4.1100000000000003</v>
      </c>
      <c r="F27" s="59">
        <v>0.24</v>
      </c>
      <c r="G27" s="59">
        <v>161.16999999999999</v>
      </c>
      <c r="H27" s="59">
        <v>73.08</v>
      </c>
      <c r="I27" s="209" t="s">
        <v>36</v>
      </c>
      <c r="J27" s="59">
        <v>0.14000000000000001</v>
      </c>
      <c r="K27" s="59">
        <v>318.91000000000003</v>
      </c>
      <c r="L27" s="59">
        <v>16.75</v>
      </c>
      <c r="M27" s="59">
        <v>27</v>
      </c>
      <c r="N27" s="59">
        <v>34.299999999999997</v>
      </c>
      <c r="O27" s="59">
        <v>0</v>
      </c>
      <c r="P27" s="59">
        <v>2.96</v>
      </c>
      <c r="Q27" s="59">
        <v>52.28</v>
      </c>
      <c r="R27" s="197"/>
      <c r="S27" s="197"/>
      <c r="T27" s="197"/>
      <c r="U27" s="197"/>
    </row>
    <row r="28" spans="1:21" s="12" customFormat="1" x14ac:dyDescent="0.25">
      <c r="A28" s="200" t="s">
        <v>551</v>
      </c>
      <c r="B28" s="59">
        <v>54.51</v>
      </c>
      <c r="C28" s="59">
        <v>6.91</v>
      </c>
      <c r="D28" s="59">
        <v>47.52</v>
      </c>
      <c r="E28" s="59">
        <v>3.87</v>
      </c>
      <c r="F28" s="59">
        <v>0.43</v>
      </c>
      <c r="G28" s="59">
        <v>134.13</v>
      </c>
      <c r="H28" s="59">
        <v>66.14</v>
      </c>
      <c r="I28" s="209" t="s">
        <v>36</v>
      </c>
      <c r="J28" s="59">
        <v>0.19</v>
      </c>
      <c r="K28" s="59">
        <v>317.45999999999998</v>
      </c>
      <c r="L28" s="59">
        <v>16.77</v>
      </c>
      <c r="M28" s="59">
        <v>28</v>
      </c>
      <c r="N28" s="59">
        <v>34.299999999999997</v>
      </c>
      <c r="O28" s="59">
        <v>0</v>
      </c>
      <c r="P28" s="59">
        <v>2.86</v>
      </c>
      <c r="Q28" s="59">
        <v>51.97</v>
      </c>
      <c r="R28" s="197"/>
      <c r="S28" s="197"/>
      <c r="T28" s="197"/>
      <c r="U28" s="197"/>
    </row>
    <row r="29" spans="1:21" s="12" customFormat="1" x14ac:dyDescent="0.25">
      <c r="A29" s="200" t="s">
        <v>552</v>
      </c>
      <c r="B29" s="59">
        <v>55.49</v>
      </c>
      <c r="C29" s="59">
        <v>6.02</v>
      </c>
      <c r="D29" s="59">
        <v>47.82</v>
      </c>
      <c r="E29" s="59">
        <v>3.7</v>
      </c>
      <c r="F29" s="59">
        <v>0.38</v>
      </c>
      <c r="G29" s="59">
        <v>134.13</v>
      </c>
      <c r="H29" s="59">
        <v>66.14</v>
      </c>
      <c r="I29" s="209" t="s">
        <v>36</v>
      </c>
      <c r="J29" s="59">
        <v>0.15</v>
      </c>
      <c r="K29" s="59">
        <v>324.67</v>
      </c>
      <c r="L29" s="59">
        <v>16.53</v>
      </c>
      <c r="M29" s="59">
        <v>31</v>
      </c>
      <c r="N29" s="59">
        <v>34.5</v>
      </c>
      <c r="O29" s="59">
        <v>0</v>
      </c>
      <c r="P29" s="59">
        <v>2.79</v>
      </c>
      <c r="Q29" s="59">
        <v>52.42</v>
      </c>
      <c r="R29" s="197"/>
      <c r="S29" s="197"/>
      <c r="T29" s="197"/>
      <c r="U29" s="197"/>
    </row>
    <row r="30" spans="1:21" s="12" customFormat="1" x14ac:dyDescent="0.25">
      <c r="A30" s="200" t="s">
        <v>553</v>
      </c>
      <c r="B30" s="59">
        <v>56.68</v>
      </c>
      <c r="C30" s="59">
        <v>5.45</v>
      </c>
      <c r="D30" s="59">
        <v>48.46</v>
      </c>
      <c r="E30" s="59">
        <v>3.61</v>
      </c>
      <c r="F30" s="59">
        <v>0.59</v>
      </c>
      <c r="G30" s="59">
        <v>134.13</v>
      </c>
      <c r="H30" s="59">
        <v>66.14</v>
      </c>
      <c r="I30" s="209" t="s">
        <v>36</v>
      </c>
      <c r="J30" s="59">
        <v>0.06</v>
      </c>
      <c r="K30" s="59">
        <v>323.92</v>
      </c>
      <c r="L30" s="59">
        <v>16.52</v>
      </c>
      <c r="M30" s="59">
        <v>21</v>
      </c>
      <c r="N30" s="59">
        <v>34.5</v>
      </c>
      <c r="O30" s="59">
        <v>0</v>
      </c>
      <c r="P30" s="59">
        <v>2.72</v>
      </c>
      <c r="Q30" s="59">
        <v>52.44</v>
      </c>
      <c r="R30" s="197"/>
      <c r="S30" s="197"/>
      <c r="T30" s="197"/>
      <c r="U30" s="197"/>
    </row>
    <row r="31" spans="1:21" s="12" customFormat="1" x14ac:dyDescent="0.25">
      <c r="A31" s="200" t="s">
        <v>554</v>
      </c>
      <c r="B31" s="59">
        <v>56.12</v>
      </c>
      <c r="C31" s="59">
        <v>6.3</v>
      </c>
      <c r="D31" s="59">
        <v>48.48</v>
      </c>
      <c r="E31" s="59">
        <v>3.55</v>
      </c>
      <c r="F31" s="59">
        <v>0.59</v>
      </c>
      <c r="G31" s="59">
        <v>139.16</v>
      </c>
      <c r="H31" s="59">
        <v>65.81</v>
      </c>
      <c r="I31" s="209" t="s">
        <v>36</v>
      </c>
      <c r="J31" s="59">
        <v>0.13</v>
      </c>
      <c r="K31" s="59">
        <v>318.97000000000003</v>
      </c>
      <c r="L31" s="59">
        <v>16.7</v>
      </c>
      <c r="M31" s="59">
        <v>24</v>
      </c>
      <c r="N31" s="59">
        <v>34.200000000000003</v>
      </c>
      <c r="O31" s="59">
        <v>0</v>
      </c>
      <c r="P31" s="59">
        <v>2.66</v>
      </c>
      <c r="Q31" s="59">
        <v>51.83</v>
      </c>
      <c r="R31" s="197"/>
      <c r="S31" s="197"/>
      <c r="T31" s="197"/>
      <c r="U31" s="197"/>
    </row>
    <row r="32" spans="1:21" s="12" customFormat="1" x14ac:dyDescent="0.25">
      <c r="A32" s="200" t="s">
        <v>555</v>
      </c>
      <c r="B32" s="59">
        <v>56.17</v>
      </c>
      <c r="C32" s="59">
        <v>6.79</v>
      </c>
      <c r="D32" s="59">
        <v>48.79</v>
      </c>
      <c r="E32" s="59">
        <v>3.38</v>
      </c>
      <c r="F32" s="59">
        <v>0.36</v>
      </c>
      <c r="G32" s="59">
        <v>151.13</v>
      </c>
      <c r="H32" s="59">
        <v>64.81</v>
      </c>
      <c r="I32" s="209" t="s">
        <v>36</v>
      </c>
      <c r="J32" s="59">
        <v>0.23</v>
      </c>
      <c r="K32" s="59">
        <v>319.51</v>
      </c>
      <c r="L32" s="59">
        <v>16.760000000000002</v>
      </c>
      <c r="M32" s="59">
        <v>32</v>
      </c>
      <c r="N32" s="59">
        <v>34.200000000000003</v>
      </c>
      <c r="O32" s="59">
        <v>0</v>
      </c>
      <c r="P32" s="59">
        <v>2.61</v>
      </c>
      <c r="Q32" s="59">
        <v>51.46</v>
      </c>
      <c r="R32" s="197"/>
      <c r="S32" s="197"/>
      <c r="T32" s="197"/>
      <c r="U32" s="197"/>
    </row>
    <row r="33" spans="1:21" s="12" customFormat="1" x14ac:dyDescent="0.25">
      <c r="A33" s="200" t="s">
        <v>556</v>
      </c>
      <c r="B33" s="59">
        <v>59.38</v>
      </c>
      <c r="C33" s="59">
        <v>5.49</v>
      </c>
      <c r="D33" s="59">
        <v>50.65</v>
      </c>
      <c r="E33" s="59">
        <v>3.64</v>
      </c>
      <c r="F33" s="59">
        <v>0.72</v>
      </c>
      <c r="G33" s="59">
        <v>151.13</v>
      </c>
      <c r="H33" s="59">
        <v>64.81</v>
      </c>
      <c r="I33" s="209" t="s">
        <v>36</v>
      </c>
      <c r="J33" s="59">
        <v>7.0000000000000007E-2</v>
      </c>
      <c r="K33" s="59">
        <v>321.62</v>
      </c>
      <c r="L33" s="59">
        <v>16.57</v>
      </c>
      <c r="M33" s="209" t="s">
        <v>36</v>
      </c>
      <c r="N33" s="59">
        <v>34.9</v>
      </c>
      <c r="O33" s="59">
        <v>0</v>
      </c>
      <c r="P33" s="59">
        <v>2.59</v>
      </c>
      <c r="Q33" s="59">
        <v>51.3</v>
      </c>
      <c r="R33" s="197"/>
      <c r="S33" s="197"/>
      <c r="T33" s="197"/>
      <c r="U33" s="197"/>
    </row>
    <row r="34" spans="1:21" s="12" customFormat="1" x14ac:dyDescent="0.25">
      <c r="A34" s="200" t="s">
        <v>557</v>
      </c>
      <c r="B34" s="59">
        <v>62.79</v>
      </c>
      <c r="C34" s="59">
        <v>4.21</v>
      </c>
      <c r="D34" s="59">
        <v>52.68</v>
      </c>
      <c r="E34" s="59">
        <v>3.45</v>
      </c>
      <c r="F34" s="59">
        <v>0.67</v>
      </c>
      <c r="G34" s="59">
        <v>151.13</v>
      </c>
      <c r="H34" s="59">
        <v>64.81</v>
      </c>
      <c r="I34" s="209" t="s">
        <v>36</v>
      </c>
      <c r="J34" s="59">
        <v>0.16</v>
      </c>
      <c r="K34" s="59">
        <v>319.8</v>
      </c>
      <c r="L34" s="59">
        <v>16.72</v>
      </c>
      <c r="M34" s="209" t="s">
        <v>36</v>
      </c>
      <c r="N34" s="59">
        <v>36.700000000000003</v>
      </c>
      <c r="O34" s="59">
        <v>0</v>
      </c>
      <c r="P34" s="59">
        <v>2.57</v>
      </c>
      <c r="Q34" s="59">
        <v>51.21</v>
      </c>
      <c r="R34" s="197"/>
      <c r="S34" s="197"/>
      <c r="T34" s="197"/>
      <c r="U34" s="197"/>
    </row>
    <row r="35" spans="1:21" s="12" customFormat="1" x14ac:dyDescent="0.25">
      <c r="A35" s="200" t="s">
        <v>558</v>
      </c>
      <c r="B35" s="59">
        <v>65.59</v>
      </c>
      <c r="C35" s="59">
        <v>3.07</v>
      </c>
      <c r="D35" s="59">
        <v>54.29</v>
      </c>
      <c r="E35" s="59">
        <v>3.97</v>
      </c>
      <c r="F35" s="59">
        <v>0.64</v>
      </c>
      <c r="G35" s="59">
        <v>156.11000000000001</v>
      </c>
      <c r="H35" s="59">
        <v>64.86</v>
      </c>
      <c r="I35" s="209" t="s">
        <v>36</v>
      </c>
      <c r="J35" s="59">
        <v>0.15</v>
      </c>
      <c r="K35" s="59">
        <v>307.12</v>
      </c>
      <c r="L35" s="59">
        <v>17.12</v>
      </c>
      <c r="M35" s="209" t="s">
        <v>36</v>
      </c>
      <c r="N35" s="59">
        <v>43.5</v>
      </c>
      <c r="O35" s="59">
        <v>0</v>
      </c>
      <c r="P35" s="59">
        <v>2.56</v>
      </c>
      <c r="Q35" s="59">
        <v>51</v>
      </c>
      <c r="R35" s="197"/>
      <c r="S35" s="197"/>
      <c r="T35" s="197"/>
      <c r="U35" s="197"/>
    </row>
    <row r="36" spans="1:21" s="12" customFormat="1" x14ac:dyDescent="0.25">
      <c r="A36" s="200" t="s">
        <v>559</v>
      </c>
      <c r="B36" s="59">
        <v>68.12</v>
      </c>
      <c r="C36" s="59">
        <v>1.95</v>
      </c>
      <c r="D36" s="59">
        <v>55.71</v>
      </c>
      <c r="E36" s="59">
        <v>3.52</v>
      </c>
      <c r="F36" s="59">
        <v>0.66</v>
      </c>
      <c r="G36" s="59">
        <v>167.01</v>
      </c>
      <c r="H36" s="59">
        <v>65</v>
      </c>
      <c r="I36" s="209" t="s">
        <v>36</v>
      </c>
      <c r="J36" s="59">
        <v>0.09</v>
      </c>
      <c r="K36" s="59">
        <v>301.89</v>
      </c>
      <c r="L36" s="59">
        <v>17.399999999999999</v>
      </c>
      <c r="M36" s="209" t="s">
        <v>36</v>
      </c>
      <c r="N36" s="59">
        <v>54.1</v>
      </c>
      <c r="O36" s="59">
        <v>0</v>
      </c>
      <c r="P36" s="59">
        <v>2.54</v>
      </c>
      <c r="Q36" s="59">
        <v>50.54</v>
      </c>
      <c r="R36" s="197"/>
      <c r="S36" s="197"/>
      <c r="T36" s="197"/>
      <c r="U36" s="197"/>
    </row>
    <row r="37" spans="1:21" s="12" customFormat="1" x14ac:dyDescent="0.25">
      <c r="A37" s="200" t="s">
        <v>560</v>
      </c>
      <c r="B37" s="59">
        <v>67.56</v>
      </c>
      <c r="C37" s="59">
        <v>2.52</v>
      </c>
      <c r="D37" s="59">
        <v>55.57</v>
      </c>
      <c r="E37" s="59">
        <v>3.09</v>
      </c>
      <c r="F37" s="59">
        <v>0.62</v>
      </c>
      <c r="G37" s="59">
        <v>167.01</v>
      </c>
      <c r="H37" s="59">
        <v>65</v>
      </c>
      <c r="I37" s="209" t="s">
        <v>36</v>
      </c>
      <c r="J37" s="59">
        <v>0.1</v>
      </c>
      <c r="K37" s="59">
        <v>292.69</v>
      </c>
      <c r="L37" s="59">
        <v>17.86</v>
      </c>
      <c r="M37" s="209" t="s">
        <v>36</v>
      </c>
      <c r="N37" s="59">
        <v>67.7</v>
      </c>
      <c r="O37" s="59">
        <v>0</v>
      </c>
      <c r="P37" s="59">
        <v>2.48</v>
      </c>
      <c r="Q37" s="59">
        <v>50.61</v>
      </c>
      <c r="R37" s="197"/>
      <c r="S37" s="197"/>
      <c r="T37" s="197"/>
      <c r="U37" s="197"/>
    </row>
    <row r="38" spans="1:21" s="12" customFormat="1" x14ac:dyDescent="0.25">
      <c r="A38" s="200" t="s">
        <v>561</v>
      </c>
      <c r="B38" s="59">
        <v>65.91</v>
      </c>
      <c r="C38" s="59">
        <v>3.72</v>
      </c>
      <c r="D38" s="59">
        <v>54.9</v>
      </c>
      <c r="E38" s="59">
        <v>3.85</v>
      </c>
      <c r="F38" s="59">
        <v>0.76</v>
      </c>
      <c r="G38" s="59">
        <v>167.01</v>
      </c>
      <c r="H38" s="59">
        <v>65</v>
      </c>
      <c r="I38" s="209" t="s">
        <v>36</v>
      </c>
      <c r="J38" s="59">
        <v>0.43</v>
      </c>
      <c r="K38" s="59">
        <v>277.38</v>
      </c>
      <c r="L38" s="59">
        <v>18.670000000000002</v>
      </c>
      <c r="M38" s="209" t="s">
        <v>36</v>
      </c>
      <c r="N38" s="59">
        <v>88.2</v>
      </c>
      <c r="O38" s="59">
        <v>0</v>
      </c>
      <c r="P38" s="59">
        <v>2.52</v>
      </c>
      <c r="Q38" s="59">
        <v>51.32</v>
      </c>
      <c r="R38" s="197"/>
      <c r="S38" s="197"/>
      <c r="T38" s="197"/>
      <c r="U38" s="197"/>
    </row>
    <row r="39" spans="1:21" s="12" customFormat="1" x14ac:dyDescent="0.25">
      <c r="A39" s="200" t="s">
        <v>562</v>
      </c>
      <c r="B39" s="59">
        <v>62.9</v>
      </c>
      <c r="C39" s="59">
        <v>6.92</v>
      </c>
      <c r="D39" s="59">
        <v>54.25</v>
      </c>
      <c r="E39" s="59">
        <v>3.82</v>
      </c>
      <c r="F39" s="59">
        <v>0.45</v>
      </c>
      <c r="G39" s="59">
        <v>157.49</v>
      </c>
      <c r="H39" s="59">
        <v>64.959999999999994</v>
      </c>
      <c r="I39" s="209" t="s">
        <v>36</v>
      </c>
      <c r="J39" s="59">
        <v>0.48</v>
      </c>
      <c r="K39" s="59">
        <v>270.33</v>
      </c>
      <c r="L39" s="59">
        <v>19.36</v>
      </c>
      <c r="M39" s="209" t="s">
        <v>36</v>
      </c>
      <c r="N39" s="59">
        <v>127.7</v>
      </c>
      <c r="O39" s="59">
        <v>0</v>
      </c>
      <c r="P39" s="59">
        <v>2.46</v>
      </c>
      <c r="Q39" s="59">
        <v>51.07</v>
      </c>
      <c r="R39" s="197"/>
      <c r="S39" s="197"/>
      <c r="T39" s="197"/>
      <c r="U39" s="197"/>
    </row>
    <row r="40" spans="1:21" s="12" customFormat="1" x14ac:dyDescent="0.25">
      <c r="A40" s="200" t="s">
        <v>563</v>
      </c>
      <c r="B40" s="59">
        <v>60.29</v>
      </c>
      <c r="C40" s="59">
        <v>11.51</v>
      </c>
      <c r="D40" s="59">
        <v>54.7</v>
      </c>
      <c r="E40" s="59">
        <v>2.36</v>
      </c>
      <c r="F40" s="59">
        <v>0.59</v>
      </c>
      <c r="G40" s="59">
        <v>113.71</v>
      </c>
      <c r="H40" s="59">
        <v>64.83</v>
      </c>
      <c r="I40" s="209" t="s">
        <v>36</v>
      </c>
      <c r="J40" s="59">
        <v>0.53</v>
      </c>
      <c r="K40" s="59">
        <v>251.99</v>
      </c>
      <c r="L40" s="59">
        <v>20.91</v>
      </c>
      <c r="M40" s="209" t="s">
        <v>36</v>
      </c>
      <c r="N40" s="59">
        <v>169.7</v>
      </c>
      <c r="O40" s="59">
        <v>0</v>
      </c>
      <c r="P40" s="59">
        <v>2.41</v>
      </c>
      <c r="Q40" s="59">
        <v>50.53</v>
      </c>
      <c r="R40" s="197"/>
      <c r="S40" s="197"/>
      <c r="T40" s="197"/>
      <c r="U40" s="197"/>
    </row>
    <row r="41" spans="1:21" s="12" customFormat="1" x14ac:dyDescent="0.25">
      <c r="A41" s="200" t="s">
        <v>564</v>
      </c>
      <c r="B41" s="59">
        <v>58.34</v>
      </c>
      <c r="C41" s="59">
        <v>11.78</v>
      </c>
      <c r="D41" s="59">
        <v>53.28</v>
      </c>
      <c r="E41" s="59">
        <v>3.93</v>
      </c>
      <c r="F41" s="59">
        <v>0.62</v>
      </c>
      <c r="G41" s="59">
        <v>113.71</v>
      </c>
      <c r="H41" s="59">
        <v>64.83</v>
      </c>
      <c r="I41" s="209" t="s">
        <v>36</v>
      </c>
      <c r="J41" s="59">
        <v>0.71</v>
      </c>
      <c r="K41" s="59">
        <v>248.29</v>
      </c>
      <c r="L41" s="59">
        <v>21.2</v>
      </c>
      <c r="M41" s="209" t="s">
        <v>36</v>
      </c>
      <c r="N41" s="59">
        <v>204.8</v>
      </c>
      <c r="O41" s="59">
        <v>0</v>
      </c>
      <c r="P41" s="59">
        <v>2.36</v>
      </c>
      <c r="Q41" s="59">
        <v>51.17</v>
      </c>
      <c r="R41" s="197"/>
      <c r="S41" s="197"/>
      <c r="T41" s="197"/>
      <c r="U41" s="197"/>
    </row>
    <row r="42" spans="1:21" s="12" customFormat="1" x14ac:dyDescent="0.25">
      <c r="A42" s="200" t="s">
        <v>565</v>
      </c>
      <c r="B42" s="59">
        <v>55.48</v>
      </c>
      <c r="C42" s="59">
        <v>11.39</v>
      </c>
      <c r="D42" s="59">
        <v>50.78</v>
      </c>
      <c r="E42" s="59">
        <v>4.51</v>
      </c>
      <c r="F42" s="59">
        <v>0.63</v>
      </c>
      <c r="G42" s="59">
        <v>113.71</v>
      </c>
      <c r="H42" s="59">
        <v>64.83</v>
      </c>
      <c r="I42" s="209" t="s">
        <v>36</v>
      </c>
      <c r="J42" s="59">
        <v>0.83</v>
      </c>
      <c r="K42" s="59">
        <v>244.11</v>
      </c>
      <c r="L42" s="59">
        <v>21.35</v>
      </c>
      <c r="M42" s="209" t="s">
        <v>36</v>
      </c>
      <c r="N42" s="59">
        <v>241.8</v>
      </c>
      <c r="O42" s="59">
        <v>0</v>
      </c>
      <c r="P42" s="59">
        <v>2.2999999999999998</v>
      </c>
      <c r="Q42" s="59">
        <v>51.65</v>
      </c>
      <c r="R42" s="197"/>
      <c r="S42" s="197"/>
      <c r="T42" s="197"/>
      <c r="U42" s="197"/>
    </row>
    <row r="43" spans="1:21" s="12" customFormat="1" x14ac:dyDescent="0.25">
      <c r="A43" s="200" t="s">
        <v>566</v>
      </c>
      <c r="B43" s="59">
        <v>52</v>
      </c>
      <c r="C43" s="59">
        <v>12.25</v>
      </c>
      <c r="D43" s="59">
        <v>48.46</v>
      </c>
      <c r="E43" s="59">
        <v>4.5</v>
      </c>
      <c r="F43" s="59">
        <v>0.65</v>
      </c>
      <c r="G43" s="59">
        <v>109.31</v>
      </c>
      <c r="H43" s="59">
        <v>63.07</v>
      </c>
      <c r="I43" s="209" t="s">
        <v>36</v>
      </c>
      <c r="J43" s="59">
        <v>0.51</v>
      </c>
      <c r="K43" s="59">
        <v>222.32</v>
      </c>
      <c r="L43" s="59">
        <v>23.22</v>
      </c>
      <c r="M43" s="209" t="s">
        <v>36</v>
      </c>
      <c r="N43" s="59">
        <v>275.2</v>
      </c>
      <c r="O43" s="59">
        <v>0</v>
      </c>
      <c r="P43" s="59">
        <v>2.25</v>
      </c>
      <c r="Q43" s="59">
        <v>51.89</v>
      </c>
      <c r="R43" s="197"/>
      <c r="S43" s="197"/>
      <c r="T43" s="197"/>
      <c r="U43" s="197"/>
    </row>
    <row r="44" spans="1:21" s="12" customFormat="1" x14ac:dyDescent="0.25">
      <c r="A44" s="200" t="s">
        <v>567</v>
      </c>
      <c r="B44" s="59">
        <v>48.24</v>
      </c>
      <c r="C44" s="59">
        <v>14.56</v>
      </c>
      <c r="D44" s="59">
        <v>46.72</v>
      </c>
      <c r="E44" s="59">
        <v>4.76</v>
      </c>
      <c r="F44" s="59">
        <v>0.68</v>
      </c>
      <c r="G44" s="59">
        <v>99.66</v>
      </c>
      <c r="H44" s="59">
        <v>57.27</v>
      </c>
      <c r="I44" s="209" t="s">
        <v>36</v>
      </c>
      <c r="J44" s="59">
        <v>1.24</v>
      </c>
      <c r="K44" s="59">
        <v>222.34</v>
      </c>
      <c r="L44" s="59">
        <v>22.87</v>
      </c>
      <c r="M44" s="209" t="s">
        <v>36</v>
      </c>
      <c r="N44" s="59">
        <v>312.2</v>
      </c>
      <c r="O44" s="59">
        <v>0</v>
      </c>
      <c r="P44" s="59">
        <v>2.1800000000000002</v>
      </c>
      <c r="Q44" s="59">
        <v>52.32</v>
      </c>
      <c r="R44" s="197"/>
      <c r="S44" s="197"/>
      <c r="T44" s="197"/>
      <c r="U44" s="197"/>
    </row>
    <row r="45" spans="1:21" s="12" customFormat="1" x14ac:dyDescent="0.25">
      <c r="A45" s="200" t="s">
        <v>568</v>
      </c>
      <c r="B45" s="59">
        <v>42.26</v>
      </c>
      <c r="C45" s="59">
        <v>18.170000000000002</v>
      </c>
      <c r="D45" s="59">
        <v>43.92</v>
      </c>
      <c r="E45" s="59">
        <v>4.5199999999999996</v>
      </c>
      <c r="F45" s="59">
        <v>0.8</v>
      </c>
      <c r="G45" s="59">
        <v>99.66</v>
      </c>
      <c r="H45" s="59">
        <v>57.27</v>
      </c>
      <c r="I45" s="209" t="s">
        <v>36</v>
      </c>
      <c r="J45" s="59">
        <v>0.88</v>
      </c>
      <c r="K45" s="59">
        <v>217.43</v>
      </c>
      <c r="L45" s="59">
        <v>22.99</v>
      </c>
      <c r="M45" s="209" t="s">
        <v>36</v>
      </c>
      <c r="N45" s="59">
        <v>334.4</v>
      </c>
      <c r="O45" s="59">
        <v>0</v>
      </c>
      <c r="P45" s="59">
        <v>2.08</v>
      </c>
      <c r="Q45" s="59">
        <v>50.91</v>
      </c>
      <c r="R45" s="197"/>
      <c r="S45" s="197"/>
      <c r="T45" s="197"/>
      <c r="U45" s="197"/>
    </row>
    <row r="46" spans="1:21" s="12" customFormat="1" x14ac:dyDescent="0.25">
      <c r="A46" s="200" t="s">
        <v>569</v>
      </c>
      <c r="B46" s="59">
        <v>31.46</v>
      </c>
      <c r="C46" s="59">
        <v>24.28</v>
      </c>
      <c r="D46" s="59">
        <v>38.630000000000003</v>
      </c>
      <c r="E46" s="59">
        <v>4.92</v>
      </c>
      <c r="F46" s="59">
        <v>1.06</v>
      </c>
      <c r="G46" s="59">
        <v>99.66</v>
      </c>
      <c r="H46" s="59">
        <v>57.27</v>
      </c>
      <c r="I46" s="209" t="s">
        <v>36</v>
      </c>
      <c r="J46" s="59">
        <v>0.8</v>
      </c>
      <c r="K46" s="59">
        <v>205.45</v>
      </c>
      <c r="L46" s="59">
        <v>24.3</v>
      </c>
      <c r="M46" s="209" t="s">
        <v>36</v>
      </c>
      <c r="N46" s="59">
        <v>347.5</v>
      </c>
      <c r="O46" s="59">
        <v>0</v>
      </c>
      <c r="P46" s="59">
        <v>1.93</v>
      </c>
      <c r="Q46" s="59">
        <v>47.34</v>
      </c>
      <c r="R46" s="197"/>
      <c r="S46" s="197"/>
      <c r="T46" s="197"/>
      <c r="U46" s="197"/>
    </row>
    <row r="47" spans="1:21" s="12" customFormat="1" x14ac:dyDescent="0.25">
      <c r="A47" s="200" t="s">
        <v>570</v>
      </c>
      <c r="B47" s="59">
        <v>21.12</v>
      </c>
      <c r="C47" s="59">
        <v>29.3</v>
      </c>
      <c r="D47" s="59">
        <v>33.1</v>
      </c>
      <c r="E47" s="59">
        <v>4.29</v>
      </c>
      <c r="F47" s="59">
        <v>1.52</v>
      </c>
      <c r="G47" s="59">
        <v>92.52</v>
      </c>
      <c r="H47" s="59">
        <v>56.24</v>
      </c>
      <c r="I47" s="59">
        <v>0.61</v>
      </c>
      <c r="J47" s="59">
        <v>0.66</v>
      </c>
      <c r="K47" s="59">
        <v>197.66</v>
      </c>
      <c r="L47" s="59">
        <v>24.53</v>
      </c>
      <c r="M47" s="209" t="s">
        <v>36</v>
      </c>
      <c r="N47" s="59">
        <v>349</v>
      </c>
      <c r="O47" s="59">
        <v>0</v>
      </c>
      <c r="P47" s="59">
        <v>1.81</v>
      </c>
      <c r="Q47" s="214" t="s">
        <v>47</v>
      </c>
      <c r="R47" s="197"/>
      <c r="S47" s="197"/>
      <c r="T47" s="197"/>
      <c r="U47" s="197"/>
    </row>
    <row r="48" spans="1:21" s="12" customFormat="1" x14ac:dyDescent="0.25">
      <c r="A48" s="200" t="s">
        <v>571</v>
      </c>
      <c r="B48" s="59">
        <v>15.96</v>
      </c>
      <c r="C48" s="59">
        <v>33.159999999999997</v>
      </c>
      <c r="D48" s="59">
        <v>31.1</v>
      </c>
      <c r="E48" s="59">
        <v>4.16</v>
      </c>
      <c r="F48" s="59">
        <v>1.37</v>
      </c>
      <c r="G48" s="59">
        <v>91.09</v>
      </c>
      <c r="H48" s="59">
        <v>54.92</v>
      </c>
      <c r="I48" s="214" t="s">
        <v>47</v>
      </c>
      <c r="J48" s="59">
        <v>21.17</v>
      </c>
      <c r="K48" s="59">
        <v>42.08</v>
      </c>
      <c r="L48" s="59">
        <v>11.98</v>
      </c>
      <c r="M48" s="59">
        <v>37</v>
      </c>
      <c r="N48" s="59">
        <v>385</v>
      </c>
      <c r="O48" s="59">
        <v>0</v>
      </c>
      <c r="P48" s="59">
        <v>1.72</v>
      </c>
      <c r="Q48" s="59">
        <v>42.39</v>
      </c>
      <c r="R48" s="197"/>
      <c r="S48" s="197"/>
      <c r="T48" s="197"/>
      <c r="U48" s="197"/>
    </row>
    <row r="49" spans="1:21" s="12" customFormat="1" x14ac:dyDescent="0.25">
      <c r="A49" s="200" t="s">
        <v>572</v>
      </c>
      <c r="B49" s="59">
        <v>10.79</v>
      </c>
      <c r="C49" s="59">
        <v>34.630000000000003</v>
      </c>
      <c r="D49" s="59">
        <v>27.76</v>
      </c>
      <c r="E49" s="59">
        <v>4.16</v>
      </c>
      <c r="F49" s="59">
        <v>1.76</v>
      </c>
      <c r="G49" s="59">
        <v>91.09</v>
      </c>
      <c r="H49" s="59">
        <v>54.92</v>
      </c>
      <c r="I49" s="59">
        <v>0.18</v>
      </c>
      <c r="J49" s="59">
        <v>7.08</v>
      </c>
      <c r="K49" s="59">
        <v>112.9</v>
      </c>
      <c r="L49" s="59">
        <v>14.75</v>
      </c>
      <c r="M49" s="59">
        <v>42</v>
      </c>
      <c r="N49" s="59">
        <v>342.1</v>
      </c>
      <c r="O49" s="59">
        <v>0</v>
      </c>
      <c r="P49" s="59">
        <v>1.63</v>
      </c>
      <c r="Q49" s="59">
        <v>41.91</v>
      </c>
      <c r="R49" s="197"/>
      <c r="S49" s="197"/>
      <c r="T49" s="197"/>
      <c r="U49" s="197"/>
    </row>
    <row r="50" spans="1:21" s="12" customFormat="1" x14ac:dyDescent="0.25">
      <c r="A50" s="200" t="s">
        <v>573</v>
      </c>
      <c r="B50" s="59">
        <v>6.29</v>
      </c>
      <c r="C50" s="59">
        <v>31.9</v>
      </c>
      <c r="D50" s="59">
        <v>22.65</v>
      </c>
      <c r="E50" s="59">
        <v>4.6500000000000004</v>
      </c>
      <c r="F50" s="59">
        <v>5.1100000000000003</v>
      </c>
      <c r="G50" s="59">
        <v>91.09</v>
      </c>
      <c r="H50" s="59">
        <v>54.92</v>
      </c>
      <c r="I50" s="59">
        <v>0.51</v>
      </c>
      <c r="J50" s="59">
        <v>0.51</v>
      </c>
      <c r="K50" s="59">
        <v>74.319999999999993</v>
      </c>
      <c r="L50" s="59">
        <v>25.62</v>
      </c>
      <c r="M50" s="59">
        <v>50</v>
      </c>
      <c r="N50" s="59">
        <v>406.9</v>
      </c>
      <c r="O50" s="59">
        <v>0</v>
      </c>
      <c r="P50" s="59">
        <v>1.47</v>
      </c>
      <c r="Q50" s="59">
        <v>39.909999999999997</v>
      </c>
      <c r="R50" s="197"/>
      <c r="S50" s="197"/>
      <c r="T50" s="197"/>
      <c r="U50" s="197"/>
    </row>
    <row r="51" spans="1:21" s="12" customFormat="1" x14ac:dyDescent="0.25">
      <c r="A51" s="200" t="s">
        <v>574</v>
      </c>
      <c r="B51" s="59">
        <v>8.6300000000000008</v>
      </c>
      <c r="C51" s="59">
        <v>39.28</v>
      </c>
      <c r="D51" s="59">
        <v>28.6</v>
      </c>
      <c r="E51" s="59">
        <v>6.16</v>
      </c>
      <c r="F51" s="59">
        <v>3.62</v>
      </c>
      <c r="G51" s="59">
        <v>89.04</v>
      </c>
      <c r="H51" s="59">
        <v>53.19</v>
      </c>
      <c r="I51" s="59">
        <v>0.46</v>
      </c>
      <c r="J51" s="59">
        <v>0.46</v>
      </c>
      <c r="K51" s="59">
        <v>359.52</v>
      </c>
      <c r="L51" s="59">
        <v>28.73</v>
      </c>
      <c r="M51" s="59">
        <v>42</v>
      </c>
      <c r="N51" s="59">
        <v>412.7</v>
      </c>
      <c r="O51" s="59">
        <v>0</v>
      </c>
      <c r="P51" s="59">
        <v>1.44</v>
      </c>
      <c r="Q51" s="59">
        <v>36.9</v>
      </c>
      <c r="R51" s="197"/>
      <c r="S51" s="197"/>
      <c r="T51" s="197"/>
      <c r="U51" s="197"/>
    </row>
    <row r="52" spans="1:21" s="12" customFormat="1" x14ac:dyDescent="0.25">
      <c r="A52" s="200" t="s">
        <v>575</v>
      </c>
      <c r="B52" s="59">
        <v>7.14</v>
      </c>
      <c r="C52" s="59">
        <v>43.04</v>
      </c>
      <c r="D52" s="59">
        <v>29.47</v>
      </c>
      <c r="E52" s="59">
        <v>4.0599999999999996</v>
      </c>
      <c r="F52" s="59">
        <v>2.37</v>
      </c>
      <c r="G52" s="59">
        <v>84.34</v>
      </c>
      <c r="H52" s="59">
        <v>47.5</v>
      </c>
      <c r="I52" s="59">
        <v>0.39</v>
      </c>
      <c r="J52" s="59">
        <v>0.25</v>
      </c>
      <c r="K52" s="59">
        <v>70.64</v>
      </c>
      <c r="L52" s="59">
        <v>29.73</v>
      </c>
      <c r="M52" s="59">
        <v>41</v>
      </c>
      <c r="N52" s="59">
        <v>428.9</v>
      </c>
      <c r="O52" s="59">
        <v>0</v>
      </c>
      <c r="P52" s="59">
        <v>1.45</v>
      </c>
      <c r="Q52" s="59">
        <v>38.450000000000003</v>
      </c>
      <c r="R52" s="197"/>
      <c r="S52" s="197"/>
      <c r="T52" s="197"/>
      <c r="U52" s="197"/>
    </row>
    <row r="53" spans="1:21" s="12" customFormat="1" x14ac:dyDescent="0.25">
      <c r="A53" s="200" t="s">
        <v>576</v>
      </c>
      <c r="B53" s="59">
        <v>6.21</v>
      </c>
      <c r="C53" s="59">
        <v>43.54</v>
      </c>
      <c r="D53" s="59">
        <v>29.01</v>
      </c>
      <c r="E53" s="59">
        <v>3.75</v>
      </c>
      <c r="F53" s="59">
        <v>1.19</v>
      </c>
      <c r="G53" s="59">
        <v>84.34</v>
      </c>
      <c r="H53" s="59">
        <v>47.5</v>
      </c>
      <c r="I53" s="59">
        <v>0.36</v>
      </c>
      <c r="J53" s="59">
        <v>0.47</v>
      </c>
      <c r="K53" s="59">
        <v>109.57</v>
      </c>
      <c r="L53" s="59">
        <v>28.09</v>
      </c>
      <c r="M53" s="59">
        <v>44</v>
      </c>
      <c r="N53" s="59">
        <v>440.8</v>
      </c>
      <c r="O53" s="59">
        <v>0</v>
      </c>
      <c r="P53" s="59">
        <v>1.43</v>
      </c>
      <c r="Q53" s="59">
        <v>40.049999999999997</v>
      </c>
      <c r="R53" s="197"/>
      <c r="S53" s="197"/>
      <c r="T53" s="197"/>
      <c r="U53" s="197"/>
    </row>
    <row r="54" spans="1:21" s="12" customFormat="1" x14ac:dyDescent="0.25">
      <c r="A54" s="200" t="s">
        <v>577</v>
      </c>
      <c r="B54" s="59">
        <v>5.47</v>
      </c>
      <c r="C54" s="59">
        <v>42.69</v>
      </c>
      <c r="D54" s="59">
        <v>27.94</v>
      </c>
      <c r="E54" s="59">
        <v>4.1399999999999997</v>
      </c>
      <c r="F54" s="59">
        <v>1.19</v>
      </c>
      <c r="G54" s="59">
        <v>84.34</v>
      </c>
      <c r="H54" s="59">
        <v>47.5</v>
      </c>
      <c r="I54" s="59">
        <v>0.38</v>
      </c>
      <c r="J54" s="59">
        <v>0.27</v>
      </c>
      <c r="K54" s="59">
        <v>43.86</v>
      </c>
      <c r="L54" s="59">
        <v>28.45</v>
      </c>
      <c r="M54" s="59">
        <v>42</v>
      </c>
      <c r="N54" s="59">
        <v>435.8</v>
      </c>
      <c r="O54" s="59">
        <v>0</v>
      </c>
      <c r="P54" s="59">
        <v>1.41</v>
      </c>
      <c r="Q54" s="59">
        <v>41.33</v>
      </c>
      <c r="R54" s="197"/>
      <c r="S54" s="197"/>
      <c r="T54" s="197"/>
      <c r="U54" s="197"/>
    </row>
    <row r="55" spans="1:21" s="12" customFormat="1" x14ac:dyDescent="0.25">
      <c r="A55" s="200" t="s">
        <v>578</v>
      </c>
      <c r="B55" s="59">
        <v>4.87</v>
      </c>
      <c r="C55" s="59">
        <v>42.87</v>
      </c>
      <c r="D55" s="59">
        <v>27.57</v>
      </c>
      <c r="E55" s="59">
        <v>3.51</v>
      </c>
      <c r="F55" s="59">
        <v>1.4</v>
      </c>
      <c r="G55" s="59">
        <v>87.78</v>
      </c>
      <c r="H55" s="59">
        <v>47.98</v>
      </c>
      <c r="I55" s="59">
        <v>0.4</v>
      </c>
      <c r="J55" s="59">
        <v>0.85</v>
      </c>
      <c r="K55" s="59">
        <v>329.19</v>
      </c>
      <c r="L55" s="59">
        <v>32.29</v>
      </c>
      <c r="M55" s="59">
        <v>34</v>
      </c>
      <c r="N55" s="59">
        <v>433.3</v>
      </c>
      <c r="O55" s="59">
        <v>0</v>
      </c>
      <c r="P55" s="59">
        <v>1.41</v>
      </c>
      <c r="Q55" s="59">
        <v>41.87</v>
      </c>
      <c r="R55" s="197"/>
      <c r="S55" s="197"/>
      <c r="T55" s="197"/>
      <c r="U55" s="197"/>
    </row>
    <row r="56" spans="1:21" s="12" customFormat="1" x14ac:dyDescent="0.25">
      <c r="A56" s="200" t="s">
        <v>579</v>
      </c>
      <c r="B56" s="59">
        <v>4.3</v>
      </c>
      <c r="C56" s="59">
        <v>45.53</v>
      </c>
      <c r="D56" s="59">
        <v>28.58</v>
      </c>
      <c r="E56" s="59">
        <v>3.09</v>
      </c>
      <c r="F56" s="59">
        <v>3.44</v>
      </c>
      <c r="G56" s="59">
        <v>103.59</v>
      </c>
      <c r="H56" s="59">
        <v>49.52</v>
      </c>
      <c r="I56" s="59">
        <v>0.41</v>
      </c>
      <c r="J56" s="59">
        <v>0.53</v>
      </c>
      <c r="K56" s="59">
        <v>321.45</v>
      </c>
      <c r="L56" s="59">
        <v>32.5</v>
      </c>
      <c r="M56" s="59">
        <v>33</v>
      </c>
      <c r="N56" s="59">
        <v>427.5</v>
      </c>
      <c r="O56" s="59">
        <v>0</v>
      </c>
      <c r="P56" s="59">
        <v>1.4</v>
      </c>
      <c r="Q56" s="59">
        <v>42.51</v>
      </c>
      <c r="R56" s="197"/>
      <c r="S56" s="197"/>
      <c r="T56" s="197"/>
      <c r="U56" s="197"/>
    </row>
    <row r="57" spans="1:21" s="12" customFormat="1" x14ac:dyDescent="0.25">
      <c r="A57" s="200" t="s">
        <v>580</v>
      </c>
      <c r="B57" s="59">
        <v>3.86</v>
      </c>
      <c r="C57" s="59">
        <v>45.79</v>
      </c>
      <c r="D57" s="59">
        <v>28.37</v>
      </c>
      <c r="E57" s="59">
        <v>5.3</v>
      </c>
      <c r="F57" s="59">
        <v>2.61</v>
      </c>
      <c r="G57" s="59">
        <v>103.59</v>
      </c>
      <c r="H57" s="59">
        <v>49.52</v>
      </c>
      <c r="I57" s="59">
        <v>0.42</v>
      </c>
      <c r="J57" s="59">
        <v>0.4</v>
      </c>
      <c r="K57" s="59">
        <v>29.56</v>
      </c>
      <c r="L57" s="59">
        <v>30.53</v>
      </c>
      <c r="M57" s="59">
        <v>35</v>
      </c>
      <c r="N57" s="59">
        <v>400.5</v>
      </c>
      <c r="O57" s="59">
        <v>0</v>
      </c>
      <c r="P57" s="59">
        <v>1.39</v>
      </c>
      <c r="Q57" s="59">
        <v>43.74</v>
      </c>
      <c r="R57" s="197"/>
      <c r="S57" s="197"/>
      <c r="T57" s="197"/>
      <c r="U57" s="197"/>
    </row>
    <row r="58" spans="1:21" s="12" customFormat="1" x14ac:dyDescent="0.25">
      <c r="A58" s="200" t="s">
        <v>581</v>
      </c>
      <c r="B58" s="59">
        <v>3.72</v>
      </c>
      <c r="C58" s="59">
        <v>45.56</v>
      </c>
      <c r="D58" s="59">
        <v>28.13</v>
      </c>
      <c r="E58" s="59">
        <v>5.15</v>
      </c>
      <c r="F58" s="59">
        <v>2.29</v>
      </c>
      <c r="G58" s="59">
        <v>103.59</v>
      </c>
      <c r="H58" s="59">
        <v>49.52</v>
      </c>
      <c r="I58" s="59">
        <v>0.43</v>
      </c>
      <c r="J58" s="59">
        <v>0.54</v>
      </c>
      <c r="K58" s="59">
        <v>350.99</v>
      </c>
      <c r="L58" s="59">
        <v>31.52</v>
      </c>
      <c r="M58" s="59">
        <v>33</v>
      </c>
      <c r="N58" s="59">
        <v>396.3</v>
      </c>
      <c r="O58" s="59">
        <v>0</v>
      </c>
      <c r="P58" s="59">
        <v>1.39</v>
      </c>
      <c r="Q58" s="59">
        <v>47.53</v>
      </c>
      <c r="R58" s="197"/>
      <c r="S58" s="197"/>
      <c r="T58" s="197"/>
      <c r="U58" s="197"/>
    </row>
    <row r="59" spans="1:21" s="12" customFormat="1" x14ac:dyDescent="0.25">
      <c r="A59" s="200" t="s">
        <v>582</v>
      </c>
      <c r="B59" s="59">
        <v>3.41</v>
      </c>
      <c r="C59" s="59">
        <v>44.81</v>
      </c>
      <c r="D59" s="59">
        <v>27.47</v>
      </c>
      <c r="E59" s="59">
        <v>4.9800000000000004</v>
      </c>
      <c r="F59" s="59">
        <v>3.49</v>
      </c>
      <c r="G59" s="59">
        <v>98.17</v>
      </c>
      <c r="H59" s="59">
        <v>49.04</v>
      </c>
      <c r="I59" s="59">
        <v>0.44</v>
      </c>
      <c r="J59" s="59">
        <v>0.75</v>
      </c>
      <c r="K59" s="59">
        <v>337.65</v>
      </c>
      <c r="L59" s="59">
        <v>32.15</v>
      </c>
      <c r="M59" s="59">
        <v>32</v>
      </c>
      <c r="N59" s="59">
        <v>372.2</v>
      </c>
      <c r="O59" s="59">
        <v>0</v>
      </c>
      <c r="P59" s="59">
        <v>1.39</v>
      </c>
      <c r="Q59" s="59">
        <v>45.64</v>
      </c>
      <c r="R59" s="197"/>
      <c r="S59" s="197"/>
      <c r="T59" s="197"/>
      <c r="U59" s="197"/>
    </row>
    <row r="60" spans="1:21" s="12" customFormat="1" x14ac:dyDescent="0.25">
      <c r="A60" s="200" t="s">
        <v>583</v>
      </c>
      <c r="B60" s="59">
        <v>3.22</v>
      </c>
      <c r="C60" s="59">
        <v>48.69</v>
      </c>
      <c r="D60" s="59">
        <v>29.45</v>
      </c>
      <c r="E60" s="59">
        <v>4.75</v>
      </c>
      <c r="F60" s="59">
        <v>3.12</v>
      </c>
      <c r="G60" s="59">
        <v>85.69</v>
      </c>
      <c r="H60" s="59">
        <v>47.45</v>
      </c>
      <c r="I60" s="59">
        <v>0.44</v>
      </c>
      <c r="J60" s="59">
        <v>0.8</v>
      </c>
      <c r="K60" s="59">
        <v>325.32</v>
      </c>
      <c r="L60" s="59">
        <v>32.58</v>
      </c>
      <c r="M60" s="59">
        <v>30</v>
      </c>
      <c r="N60" s="59">
        <v>367.1</v>
      </c>
      <c r="O60" s="59">
        <v>0</v>
      </c>
      <c r="P60" s="59">
        <v>1.37</v>
      </c>
      <c r="Q60" s="59">
        <v>45.72</v>
      </c>
      <c r="R60" s="197"/>
      <c r="S60" s="197"/>
      <c r="T60" s="197"/>
      <c r="U60" s="197"/>
    </row>
    <row r="61" spans="1:21" s="12" customFormat="1" x14ac:dyDescent="0.25">
      <c r="A61" s="200" t="s">
        <v>584</v>
      </c>
      <c r="B61" s="59">
        <v>3.2</v>
      </c>
      <c r="C61" s="59">
        <v>47.97</v>
      </c>
      <c r="D61" s="59">
        <v>29.04</v>
      </c>
      <c r="E61" s="59">
        <v>5.15</v>
      </c>
      <c r="F61" s="59">
        <v>2.82</v>
      </c>
      <c r="G61" s="59">
        <v>85.69</v>
      </c>
      <c r="H61" s="59">
        <v>47.45</v>
      </c>
      <c r="I61" s="59">
        <v>0.44</v>
      </c>
      <c r="J61" s="59">
        <v>1.27</v>
      </c>
      <c r="K61" s="59">
        <v>331.96</v>
      </c>
      <c r="L61" s="59">
        <v>32.79</v>
      </c>
      <c r="M61" s="59">
        <v>29</v>
      </c>
      <c r="N61" s="59">
        <v>381.2</v>
      </c>
      <c r="O61" s="59">
        <v>0</v>
      </c>
      <c r="P61" s="59">
        <v>1.32</v>
      </c>
      <c r="Q61" s="59">
        <v>45.65</v>
      </c>
      <c r="R61" s="197"/>
      <c r="S61" s="197"/>
      <c r="T61" s="197"/>
      <c r="U61" s="197"/>
    </row>
    <row r="62" spans="1:21" s="12" customFormat="1" x14ac:dyDescent="0.25">
      <c r="A62" s="200" t="s">
        <v>585</v>
      </c>
      <c r="B62" s="59">
        <v>2.99</v>
      </c>
      <c r="C62" s="59">
        <v>47.98</v>
      </c>
      <c r="D62" s="59">
        <v>28.88</v>
      </c>
      <c r="E62" s="59">
        <v>4.95</v>
      </c>
      <c r="F62" s="59">
        <v>3.08</v>
      </c>
      <c r="G62" s="59">
        <v>85.69</v>
      </c>
      <c r="H62" s="59">
        <v>47.45</v>
      </c>
      <c r="I62" s="59">
        <v>0.42</v>
      </c>
      <c r="J62" s="59">
        <v>1.34</v>
      </c>
      <c r="K62" s="59">
        <v>328.59</v>
      </c>
      <c r="L62" s="59">
        <v>32.44</v>
      </c>
      <c r="M62" s="59">
        <v>29</v>
      </c>
      <c r="N62" s="59">
        <v>378.3</v>
      </c>
      <c r="O62" s="59">
        <v>0</v>
      </c>
      <c r="P62" s="59">
        <v>1.32</v>
      </c>
      <c r="Q62" s="59">
        <v>45.29</v>
      </c>
      <c r="R62" s="197"/>
      <c r="S62" s="197"/>
      <c r="T62" s="197"/>
      <c r="U62" s="197"/>
    </row>
    <row r="63" spans="1:21" s="12" customFormat="1" x14ac:dyDescent="0.25">
      <c r="A63" s="200" t="s">
        <v>586</v>
      </c>
      <c r="B63" s="59">
        <v>2.65</v>
      </c>
      <c r="C63" s="59">
        <v>46.79</v>
      </c>
      <c r="D63" s="59">
        <v>27.95</v>
      </c>
      <c r="E63" s="59">
        <v>6.49</v>
      </c>
      <c r="F63" s="59">
        <v>3.21</v>
      </c>
      <c r="G63" s="59">
        <v>86.46</v>
      </c>
      <c r="H63" s="59">
        <v>47.29</v>
      </c>
      <c r="I63" s="59">
        <v>0.41</v>
      </c>
      <c r="J63" s="59">
        <v>0.83</v>
      </c>
      <c r="K63" s="59">
        <v>340.39</v>
      </c>
      <c r="L63" s="59">
        <v>32.700000000000003</v>
      </c>
      <c r="M63" s="59">
        <v>29</v>
      </c>
      <c r="N63" s="59">
        <v>363</v>
      </c>
      <c r="O63" s="59">
        <v>0</v>
      </c>
      <c r="P63" s="59">
        <v>1.29</v>
      </c>
      <c r="Q63" s="59">
        <v>44.84</v>
      </c>
      <c r="R63" s="197"/>
      <c r="S63" s="197"/>
      <c r="T63" s="197"/>
      <c r="U63" s="197"/>
    </row>
    <row r="64" spans="1:21" s="12" customFormat="1" x14ac:dyDescent="0.25">
      <c r="A64" s="200" t="s">
        <v>587</v>
      </c>
      <c r="B64" s="59">
        <v>2.59</v>
      </c>
      <c r="C64" s="59">
        <v>45.62</v>
      </c>
      <c r="D64" s="59">
        <v>27.25</v>
      </c>
      <c r="E64" s="59">
        <v>4.78</v>
      </c>
      <c r="F64" s="59">
        <v>4.95</v>
      </c>
      <c r="G64" s="59">
        <v>88.21</v>
      </c>
      <c r="H64" s="59">
        <v>46.8</v>
      </c>
      <c r="I64" s="59">
        <v>0.39</v>
      </c>
      <c r="J64" s="59">
        <v>0.94</v>
      </c>
      <c r="K64" s="59">
        <v>340.6</v>
      </c>
      <c r="L64" s="59">
        <v>31.77</v>
      </c>
      <c r="M64" s="59">
        <v>30</v>
      </c>
      <c r="N64" s="59">
        <v>342.8</v>
      </c>
      <c r="O64" s="59">
        <v>0</v>
      </c>
      <c r="P64" s="59">
        <v>1.26</v>
      </c>
      <c r="Q64" s="59">
        <v>44.69</v>
      </c>
      <c r="R64" s="197"/>
      <c r="S64" s="197"/>
      <c r="T64" s="197"/>
      <c r="U64" s="197"/>
    </row>
    <row r="65" spans="1:21" s="12" customFormat="1" x14ac:dyDescent="0.25">
      <c r="A65" s="200" t="s">
        <v>588</v>
      </c>
      <c r="B65" s="59">
        <v>4.04</v>
      </c>
      <c r="C65" s="59">
        <v>42</v>
      </c>
      <c r="D65" s="59">
        <v>26.42</v>
      </c>
      <c r="E65" s="59">
        <v>6.18</v>
      </c>
      <c r="F65" s="59">
        <v>5.92</v>
      </c>
      <c r="G65" s="59">
        <v>88.21</v>
      </c>
      <c r="H65" s="59">
        <v>46.8</v>
      </c>
      <c r="I65" s="59">
        <v>0.38</v>
      </c>
      <c r="J65" s="59">
        <v>1.07</v>
      </c>
      <c r="K65" s="59">
        <v>335.63</v>
      </c>
      <c r="L65" s="59">
        <v>31.63</v>
      </c>
      <c r="M65" s="59">
        <v>30</v>
      </c>
      <c r="N65" s="59">
        <v>317.39999999999998</v>
      </c>
      <c r="O65" s="59">
        <v>0</v>
      </c>
      <c r="P65" s="59">
        <v>1.23</v>
      </c>
      <c r="Q65" s="59">
        <v>43.49</v>
      </c>
      <c r="R65" s="197"/>
      <c r="S65" s="197"/>
      <c r="T65" s="197"/>
      <c r="U65" s="197"/>
    </row>
    <row r="66" spans="1:21" s="12" customFormat="1" x14ac:dyDescent="0.25">
      <c r="A66" s="200" t="s">
        <v>589</v>
      </c>
      <c r="B66" s="59">
        <v>3.06</v>
      </c>
      <c r="C66" s="59">
        <v>42.71</v>
      </c>
      <c r="D66" s="59">
        <v>26.03</v>
      </c>
      <c r="E66" s="59">
        <v>6.82</v>
      </c>
      <c r="F66" s="59">
        <v>7.53</v>
      </c>
      <c r="G66" s="59">
        <v>88.21</v>
      </c>
      <c r="H66" s="59">
        <v>46.8</v>
      </c>
      <c r="I66" s="59">
        <v>0.37</v>
      </c>
      <c r="J66" s="59">
        <v>0.48</v>
      </c>
      <c r="K66" s="59">
        <v>347.6</v>
      </c>
      <c r="L66" s="59">
        <v>31.92</v>
      </c>
      <c r="M66" s="59">
        <v>29</v>
      </c>
      <c r="N66" s="59">
        <v>191</v>
      </c>
      <c r="O66" s="59">
        <v>0</v>
      </c>
      <c r="P66" s="59">
        <v>1.22</v>
      </c>
      <c r="Q66" s="59">
        <v>43.16</v>
      </c>
      <c r="R66" s="197"/>
      <c r="S66" s="197"/>
      <c r="T66" s="197"/>
      <c r="U66" s="197"/>
    </row>
    <row r="67" spans="1:21" s="12" customFormat="1" x14ac:dyDescent="0.25">
      <c r="A67" s="200" t="s">
        <v>590</v>
      </c>
      <c r="B67" s="59">
        <v>3.84</v>
      </c>
      <c r="C67" s="59">
        <v>42.2</v>
      </c>
      <c r="D67" s="59">
        <v>26.37</v>
      </c>
      <c r="E67" s="59">
        <v>5.74</v>
      </c>
      <c r="F67" s="59">
        <v>3.92</v>
      </c>
      <c r="G67" s="59">
        <v>85.59</v>
      </c>
      <c r="H67" s="59">
        <v>46.46</v>
      </c>
      <c r="I67" s="59">
        <v>0.37</v>
      </c>
      <c r="J67" s="59">
        <v>0.96</v>
      </c>
      <c r="K67" s="59">
        <v>334.76</v>
      </c>
      <c r="L67" s="59">
        <v>31.7</v>
      </c>
      <c r="M67" s="59">
        <v>29</v>
      </c>
      <c r="N67" s="59">
        <v>211.2</v>
      </c>
      <c r="O67" s="59">
        <v>0</v>
      </c>
      <c r="P67" s="59">
        <v>1.23</v>
      </c>
      <c r="Q67" s="59">
        <v>43.67</v>
      </c>
      <c r="R67" s="197"/>
      <c r="S67" s="197"/>
      <c r="T67" s="197"/>
      <c r="U67" s="197"/>
    </row>
    <row r="68" spans="1:21" s="12" customFormat="1" x14ac:dyDescent="0.25">
      <c r="A68" s="200" t="s">
        <v>591</v>
      </c>
      <c r="B68" s="59">
        <v>4.51</v>
      </c>
      <c r="C68" s="59">
        <v>40.44</v>
      </c>
      <c r="D68" s="59">
        <v>25.93</v>
      </c>
      <c r="E68" s="59">
        <v>6.69</v>
      </c>
      <c r="F68" s="59">
        <v>8.9600000000000009</v>
      </c>
      <c r="G68" s="59">
        <v>79.56</v>
      </c>
      <c r="H68" s="59">
        <v>45.38</v>
      </c>
      <c r="I68" s="59">
        <v>0.36</v>
      </c>
      <c r="J68" s="59">
        <v>0.65</v>
      </c>
      <c r="K68" s="59">
        <v>350.61</v>
      </c>
      <c r="L68" s="59">
        <v>30.92</v>
      </c>
      <c r="M68" s="59">
        <v>30</v>
      </c>
      <c r="N68" s="59">
        <v>218.9</v>
      </c>
      <c r="O68" s="59">
        <v>0</v>
      </c>
      <c r="P68" s="59">
        <v>1.22</v>
      </c>
      <c r="Q68" s="59">
        <v>44.19</v>
      </c>
      <c r="R68" s="197"/>
      <c r="S68" s="197"/>
      <c r="T68" s="197"/>
      <c r="U68" s="197"/>
    </row>
    <row r="69" spans="1:21" s="12" customFormat="1" x14ac:dyDescent="0.25">
      <c r="A69" s="200" t="s">
        <v>592</v>
      </c>
      <c r="B69" s="59">
        <v>5.66</v>
      </c>
      <c r="C69" s="59">
        <v>40.28</v>
      </c>
      <c r="D69" s="59">
        <v>26.77</v>
      </c>
      <c r="E69" s="59">
        <v>7.51</v>
      </c>
      <c r="F69" s="59">
        <v>6.08</v>
      </c>
      <c r="G69" s="59">
        <v>79.56</v>
      </c>
      <c r="H69" s="59">
        <v>45.38</v>
      </c>
      <c r="I69" s="59">
        <v>0.38</v>
      </c>
      <c r="J69" s="59">
        <v>0.83</v>
      </c>
      <c r="K69" s="59">
        <v>342.86</v>
      </c>
      <c r="L69" s="59">
        <v>30.65</v>
      </c>
      <c r="M69" s="59">
        <v>31</v>
      </c>
      <c r="N69" s="59">
        <v>201.4</v>
      </c>
      <c r="O69" s="59">
        <v>0</v>
      </c>
      <c r="P69" s="59">
        <v>1.23</v>
      </c>
      <c r="Q69" s="59">
        <v>44.58</v>
      </c>
      <c r="R69" s="197"/>
      <c r="S69" s="197"/>
      <c r="T69" s="197"/>
      <c r="U69" s="197"/>
    </row>
    <row r="70" spans="1:21" s="12" customFormat="1" x14ac:dyDescent="0.25">
      <c r="A70" s="200" t="s">
        <v>593</v>
      </c>
      <c r="B70" s="59">
        <v>4.87</v>
      </c>
      <c r="C70" s="59">
        <v>41.18</v>
      </c>
      <c r="D70" s="59">
        <v>26.63</v>
      </c>
      <c r="E70" s="59">
        <v>7.65</v>
      </c>
      <c r="F70" s="59">
        <v>8.7200000000000006</v>
      </c>
      <c r="G70" s="59">
        <v>79.56</v>
      </c>
      <c r="H70" s="59">
        <v>45.38</v>
      </c>
      <c r="I70" s="59">
        <v>0.37</v>
      </c>
      <c r="J70" s="59">
        <v>0.38</v>
      </c>
      <c r="K70" s="59">
        <v>10.48</v>
      </c>
      <c r="L70" s="59">
        <v>29.83</v>
      </c>
      <c r="M70" s="59">
        <v>31</v>
      </c>
      <c r="N70" s="59">
        <v>142</v>
      </c>
      <c r="O70" s="59">
        <v>0</v>
      </c>
      <c r="P70" s="59">
        <v>1.23</v>
      </c>
      <c r="Q70" s="59">
        <v>45.13</v>
      </c>
      <c r="R70" s="197"/>
      <c r="S70" s="197"/>
      <c r="T70" s="197"/>
      <c r="U70" s="197"/>
    </row>
    <row r="71" spans="1:21" s="12" customFormat="1" x14ac:dyDescent="0.25">
      <c r="A71" s="200" t="s">
        <v>594</v>
      </c>
      <c r="B71" s="59">
        <v>4</v>
      </c>
      <c r="C71" s="59">
        <v>40.880000000000003</v>
      </c>
      <c r="D71" s="59">
        <v>25.76</v>
      </c>
      <c r="E71" s="59">
        <v>8.31</v>
      </c>
      <c r="F71" s="59">
        <v>12.26</v>
      </c>
      <c r="G71" s="59">
        <v>79.349999999999994</v>
      </c>
      <c r="H71" s="59">
        <v>44.75</v>
      </c>
      <c r="I71" s="59">
        <v>0.38</v>
      </c>
      <c r="J71" s="59">
        <v>0.75</v>
      </c>
      <c r="K71" s="59">
        <v>350.53</v>
      </c>
      <c r="L71" s="59">
        <v>28.8</v>
      </c>
      <c r="M71" s="59">
        <v>34</v>
      </c>
      <c r="N71" s="59">
        <v>128.30000000000001</v>
      </c>
      <c r="O71" s="59">
        <v>0</v>
      </c>
      <c r="P71" s="59">
        <v>1.23</v>
      </c>
      <c r="Q71" s="59">
        <v>45.94</v>
      </c>
      <c r="R71" s="197"/>
      <c r="S71" s="197"/>
      <c r="T71" s="197"/>
      <c r="U71" s="197"/>
    </row>
    <row r="72" spans="1:21" s="12" customFormat="1" x14ac:dyDescent="0.25">
      <c r="A72" s="200" t="s">
        <v>595</v>
      </c>
      <c r="B72" s="59">
        <v>3.86</v>
      </c>
      <c r="C72" s="59">
        <v>40.159999999999997</v>
      </c>
      <c r="D72" s="59">
        <v>25.26</v>
      </c>
      <c r="E72" s="59">
        <v>2.89</v>
      </c>
      <c r="F72" s="59">
        <v>3.81</v>
      </c>
      <c r="G72" s="59">
        <v>78.349999999999994</v>
      </c>
      <c r="H72" s="59">
        <v>42.67</v>
      </c>
      <c r="I72" s="59">
        <v>0.38</v>
      </c>
      <c r="J72" s="59">
        <v>0.64</v>
      </c>
      <c r="K72" s="59">
        <v>342.87</v>
      </c>
      <c r="L72" s="59">
        <v>28.69</v>
      </c>
      <c r="M72" s="59">
        <v>35</v>
      </c>
      <c r="N72" s="59">
        <v>81.5</v>
      </c>
      <c r="O72" s="59">
        <v>0</v>
      </c>
      <c r="P72" s="59">
        <v>1.25</v>
      </c>
      <c r="Q72" s="59">
        <v>47.46</v>
      </c>
      <c r="R72" s="197"/>
      <c r="S72" s="197"/>
      <c r="T72" s="197"/>
      <c r="U72" s="197"/>
    </row>
    <row r="73" spans="1:21" s="12" customFormat="1" x14ac:dyDescent="0.25">
      <c r="A73" s="200" t="s">
        <v>596</v>
      </c>
      <c r="B73" s="59">
        <v>4.92</v>
      </c>
      <c r="C73" s="59">
        <v>42.39</v>
      </c>
      <c r="D73" s="59">
        <v>27.34</v>
      </c>
      <c r="E73" s="59">
        <v>5.18</v>
      </c>
      <c r="F73" s="59">
        <v>3.52</v>
      </c>
      <c r="G73" s="59">
        <v>78.349999999999994</v>
      </c>
      <c r="H73" s="59">
        <v>42.67</v>
      </c>
      <c r="I73" s="59">
        <v>0.38</v>
      </c>
      <c r="J73" s="59">
        <v>0.46</v>
      </c>
      <c r="K73" s="59">
        <v>348.21</v>
      </c>
      <c r="L73" s="59">
        <v>28.37</v>
      </c>
      <c r="M73" s="59">
        <v>36</v>
      </c>
      <c r="N73" s="59">
        <v>66</v>
      </c>
      <c r="O73" s="59">
        <v>0</v>
      </c>
      <c r="P73" s="59">
        <v>1.28</v>
      </c>
      <c r="Q73" s="59">
        <v>48.48</v>
      </c>
      <c r="R73" s="197"/>
      <c r="S73" s="197"/>
      <c r="T73" s="197"/>
      <c r="U73" s="197"/>
    </row>
    <row r="74" spans="1:21" s="12" customFormat="1" x14ac:dyDescent="0.25">
      <c r="A74" s="200" t="s">
        <v>597</v>
      </c>
      <c r="B74" s="59">
        <v>4.63</v>
      </c>
      <c r="C74" s="59">
        <v>42.92</v>
      </c>
      <c r="D74" s="59">
        <v>27.4</v>
      </c>
      <c r="E74" s="59">
        <v>4.53</v>
      </c>
      <c r="F74" s="59">
        <v>2.52</v>
      </c>
      <c r="G74" s="59">
        <v>78.349999999999994</v>
      </c>
      <c r="H74" s="59">
        <v>42.67</v>
      </c>
      <c r="I74" s="59">
        <v>0.43</v>
      </c>
      <c r="J74" s="59">
        <v>0.78</v>
      </c>
      <c r="K74" s="59">
        <v>337.28</v>
      </c>
      <c r="L74" s="59">
        <v>27.85</v>
      </c>
      <c r="M74" s="59">
        <v>38</v>
      </c>
      <c r="N74" s="59">
        <v>55.3</v>
      </c>
      <c r="O74" s="59">
        <v>0</v>
      </c>
      <c r="P74" s="59">
        <v>1.32</v>
      </c>
      <c r="Q74" s="59">
        <v>48.78</v>
      </c>
      <c r="R74" s="197"/>
      <c r="S74" s="197"/>
      <c r="T74" s="197"/>
      <c r="U74" s="197"/>
    </row>
    <row r="75" spans="1:21" s="12" customFormat="1" x14ac:dyDescent="0.25">
      <c r="A75" s="200" t="s">
        <v>598</v>
      </c>
      <c r="B75" s="59">
        <v>4.45</v>
      </c>
      <c r="C75" s="59">
        <v>43.87</v>
      </c>
      <c r="D75" s="59">
        <v>27.78</v>
      </c>
      <c r="E75" s="59">
        <v>4.8899999999999997</v>
      </c>
      <c r="F75" s="59">
        <v>2.4300000000000002</v>
      </c>
      <c r="G75" s="59">
        <v>84.44</v>
      </c>
      <c r="H75" s="59">
        <v>42.4</v>
      </c>
      <c r="I75" s="59">
        <v>0.42</v>
      </c>
      <c r="J75" s="59">
        <v>0.51</v>
      </c>
      <c r="K75" s="59">
        <v>343.1</v>
      </c>
      <c r="L75" s="59">
        <v>27.27</v>
      </c>
      <c r="M75" s="59">
        <v>39</v>
      </c>
      <c r="N75" s="59">
        <v>44.6</v>
      </c>
      <c r="O75" s="59">
        <v>0</v>
      </c>
      <c r="P75" s="59">
        <v>1.36</v>
      </c>
      <c r="Q75" s="59">
        <v>48.41</v>
      </c>
      <c r="R75" s="197"/>
      <c r="S75" s="197"/>
      <c r="T75" s="197"/>
      <c r="U75" s="197"/>
    </row>
    <row r="76" spans="1:21" s="12" customFormat="1" x14ac:dyDescent="0.25">
      <c r="A76" s="200" t="s">
        <v>599</v>
      </c>
      <c r="B76" s="59">
        <v>4.9000000000000004</v>
      </c>
      <c r="C76" s="59">
        <v>45.96</v>
      </c>
      <c r="D76" s="59">
        <v>29.29</v>
      </c>
      <c r="E76" s="59">
        <v>4.63</v>
      </c>
      <c r="F76" s="59">
        <v>1.97</v>
      </c>
      <c r="G76" s="59">
        <v>98.44</v>
      </c>
      <c r="H76" s="59">
        <v>41.52</v>
      </c>
      <c r="I76" s="59">
        <v>0.43</v>
      </c>
      <c r="J76" s="59">
        <v>0.18</v>
      </c>
      <c r="K76" s="59">
        <v>19.420000000000002</v>
      </c>
      <c r="L76" s="59">
        <v>26.53</v>
      </c>
      <c r="M76" s="59">
        <v>41</v>
      </c>
      <c r="N76" s="59">
        <v>35.5</v>
      </c>
      <c r="O76" s="59">
        <v>0</v>
      </c>
      <c r="P76" s="59">
        <v>1.43</v>
      </c>
      <c r="Q76" s="59">
        <v>48.37</v>
      </c>
      <c r="R76" s="197"/>
      <c r="S76" s="197"/>
      <c r="T76" s="197"/>
      <c r="U76" s="197"/>
    </row>
    <row r="77" spans="1:21" s="12" customFormat="1" x14ac:dyDescent="0.25">
      <c r="A77" s="200" t="s">
        <v>600</v>
      </c>
      <c r="B77" s="59">
        <v>5.43</v>
      </c>
      <c r="C77" s="59">
        <v>46.84</v>
      </c>
      <c r="D77" s="59">
        <v>30.2</v>
      </c>
      <c r="E77" s="59">
        <v>4.09</v>
      </c>
      <c r="F77" s="59">
        <v>1.5</v>
      </c>
      <c r="G77" s="59">
        <v>98.44</v>
      </c>
      <c r="H77" s="59">
        <v>41.52</v>
      </c>
      <c r="I77" s="59">
        <v>0.42</v>
      </c>
      <c r="J77" s="59">
        <v>0.13</v>
      </c>
      <c r="K77" s="59">
        <v>92.28</v>
      </c>
      <c r="L77" s="59">
        <v>25.76</v>
      </c>
      <c r="M77" s="59">
        <v>42</v>
      </c>
      <c r="N77" s="59">
        <v>28.5</v>
      </c>
      <c r="O77" s="59">
        <v>0</v>
      </c>
      <c r="P77" s="59">
        <v>1.47</v>
      </c>
      <c r="Q77" s="59">
        <v>48.79</v>
      </c>
      <c r="R77" s="197"/>
      <c r="S77" s="197"/>
      <c r="T77" s="197"/>
      <c r="U77" s="197"/>
    </row>
    <row r="78" spans="1:21" s="12" customFormat="1" x14ac:dyDescent="0.25">
      <c r="A78" s="200" t="s">
        <v>601</v>
      </c>
      <c r="B78" s="59">
        <v>5.67</v>
      </c>
      <c r="C78" s="59">
        <v>47.23</v>
      </c>
      <c r="D78" s="59">
        <v>30.61</v>
      </c>
      <c r="E78" s="59">
        <v>4.74</v>
      </c>
      <c r="F78" s="59">
        <v>1.1000000000000001</v>
      </c>
      <c r="G78" s="59">
        <v>98.44</v>
      </c>
      <c r="H78" s="59">
        <v>41.52</v>
      </c>
      <c r="I78" s="59">
        <v>0.43</v>
      </c>
      <c r="J78" s="59">
        <v>0.05</v>
      </c>
      <c r="K78" s="59">
        <v>104.77</v>
      </c>
      <c r="L78" s="59">
        <v>24.78</v>
      </c>
      <c r="M78" s="59">
        <v>48</v>
      </c>
      <c r="N78" s="59">
        <v>25.8</v>
      </c>
      <c r="O78" s="59">
        <v>0</v>
      </c>
      <c r="P78" s="59">
        <v>1.53</v>
      </c>
      <c r="Q78" s="59">
        <v>48.67</v>
      </c>
      <c r="R78" s="197"/>
      <c r="S78" s="197"/>
      <c r="T78" s="197"/>
      <c r="U78" s="197"/>
    </row>
    <row r="79" spans="1:21" s="12" customFormat="1" x14ac:dyDescent="0.25">
      <c r="A79" s="200" t="s">
        <v>602</v>
      </c>
      <c r="B79" s="59">
        <v>7.31</v>
      </c>
      <c r="C79" s="59">
        <v>48.68</v>
      </c>
      <c r="D79" s="59">
        <v>32.729999999999997</v>
      </c>
      <c r="E79" s="59">
        <v>4.6100000000000003</v>
      </c>
      <c r="F79" s="59">
        <v>3.16</v>
      </c>
      <c r="G79" s="59">
        <v>103.76</v>
      </c>
      <c r="H79" s="59">
        <v>42.14</v>
      </c>
      <c r="I79" s="59">
        <v>0.45</v>
      </c>
      <c r="J79" s="59">
        <v>0.04</v>
      </c>
      <c r="K79" s="59">
        <v>121.59</v>
      </c>
      <c r="L79" s="59">
        <v>23.81</v>
      </c>
      <c r="M79" s="59">
        <v>52</v>
      </c>
      <c r="N79" s="59">
        <v>25</v>
      </c>
      <c r="O79" s="59">
        <v>0</v>
      </c>
      <c r="P79" s="59">
        <v>1.64</v>
      </c>
      <c r="Q79" s="59">
        <v>47.62</v>
      </c>
      <c r="R79" s="197"/>
      <c r="S79" s="197"/>
      <c r="T79" s="197"/>
      <c r="U79" s="197"/>
    </row>
    <row r="80" spans="1:21" s="12" customFormat="1" x14ac:dyDescent="0.25">
      <c r="A80" s="200" t="s">
        <v>603</v>
      </c>
      <c r="B80" s="59">
        <v>8.1199999999999992</v>
      </c>
      <c r="C80" s="59">
        <v>48.76</v>
      </c>
      <c r="D80" s="59">
        <v>33.42</v>
      </c>
      <c r="E80" s="59">
        <v>4.55</v>
      </c>
      <c r="F80" s="59">
        <v>1.56</v>
      </c>
      <c r="G80" s="59">
        <v>116</v>
      </c>
      <c r="H80" s="59">
        <v>44.2</v>
      </c>
      <c r="I80" s="59">
        <v>0.47</v>
      </c>
      <c r="J80" s="59">
        <v>0.1</v>
      </c>
      <c r="K80" s="59">
        <v>135.52000000000001</v>
      </c>
      <c r="L80" s="59">
        <v>23.04</v>
      </c>
      <c r="M80" s="59">
        <v>56</v>
      </c>
      <c r="N80" s="59">
        <v>24.6</v>
      </c>
      <c r="O80" s="59">
        <v>0</v>
      </c>
      <c r="P80" s="59">
        <v>1.66</v>
      </c>
      <c r="Q80" s="59">
        <v>46.83</v>
      </c>
      <c r="R80" s="197"/>
      <c r="S80" s="197"/>
      <c r="T80" s="197"/>
      <c r="U80" s="197"/>
    </row>
    <row r="81" spans="1:26" s="12" customFormat="1" x14ac:dyDescent="0.25">
      <c r="A81" s="200" t="s">
        <v>604</v>
      </c>
      <c r="B81" s="59">
        <v>15.22</v>
      </c>
      <c r="C81" s="59">
        <v>41.8</v>
      </c>
      <c r="D81" s="59">
        <v>35.28</v>
      </c>
      <c r="E81" s="59">
        <v>4.51</v>
      </c>
      <c r="F81" s="59">
        <v>0.85</v>
      </c>
      <c r="G81" s="59">
        <v>116</v>
      </c>
      <c r="H81" s="59">
        <v>44.2</v>
      </c>
      <c r="I81" s="59">
        <v>0.52</v>
      </c>
      <c r="J81" s="59">
        <v>0.06</v>
      </c>
      <c r="K81" s="59">
        <v>322.26</v>
      </c>
      <c r="L81" s="59">
        <v>22.66</v>
      </c>
      <c r="M81" s="59">
        <v>59</v>
      </c>
      <c r="N81" s="59">
        <v>24.4</v>
      </c>
      <c r="O81" s="59">
        <v>0</v>
      </c>
      <c r="P81" s="59">
        <v>1.74</v>
      </c>
      <c r="Q81" s="59">
        <v>47.29</v>
      </c>
      <c r="R81" s="197"/>
      <c r="S81" s="197"/>
      <c r="T81" s="197"/>
      <c r="U81" s="197"/>
    </row>
    <row r="82" spans="1:26" s="12" customFormat="1" x14ac:dyDescent="0.25">
      <c r="A82" s="200" t="s">
        <v>605</v>
      </c>
      <c r="B82" s="59">
        <v>15.6</v>
      </c>
      <c r="C82" s="59">
        <v>44.01</v>
      </c>
      <c r="D82" s="59">
        <v>36.799999999999997</v>
      </c>
      <c r="E82" s="59">
        <v>4.58</v>
      </c>
      <c r="F82" s="59">
        <v>0.62</v>
      </c>
      <c r="G82" s="59">
        <v>116</v>
      </c>
      <c r="H82" s="59">
        <v>44.2</v>
      </c>
      <c r="I82" s="59">
        <v>0.55000000000000004</v>
      </c>
      <c r="J82" s="59">
        <v>0.06</v>
      </c>
      <c r="K82" s="59">
        <v>164.66</v>
      </c>
      <c r="L82" s="59">
        <v>22.51</v>
      </c>
      <c r="M82" s="59">
        <v>59</v>
      </c>
      <c r="N82" s="59">
        <v>24.2</v>
      </c>
      <c r="O82" s="59">
        <v>0</v>
      </c>
      <c r="P82" s="59">
        <v>1.78</v>
      </c>
      <c r="Q82" s="59">
        <v>48.32</v>
      </c>
      <c r="R82" s="197"/>
      <c r="S82" s="197"/>
      <c r="T82" s="197"/>
      <c r="U82" s="197"/>
    </row>
    <row r="83" spans="1:26" s="12" customFormat="1" x14ac:dyDescent="0.25">
      <c r="A83" s="200" t="s">
        <v>606</v>
      </c>
      <c r="B83" s="59">
        <v>17.75</v>
      </c>
      <c r="C83" s="59">
        <v>43.01</v>
      </c>
      <c r="D83" s="59">
        <v>37.97</v>
      </c>
      <c r="E83" s="59">
        <v>4.3099999999999996</v>
      </c>
      <c r="F83" s="59">
        <v>0.86</v>
      </c>
      <c r="G83" s="59">
        <v>123.27</v>
      </c>
      <c r="H83" s="59">
        <v>44.27</v>
      </c>
      <c r="I83" s="59">
        <v>0.61</v>
      </c>
      <c r="J83" s="59">
        <v>0.11</v>
      </c>
      <c r="K83" s="59">
        <v>333.42</v>
      </c>
      <c r="L83" s="59">
        <v>22.62</v>
      </c>
      <c r="M83" s="59">
        <v>59</v>
      </c>
      <c r="N83" s="59">
        <v>24.1</v>
      </c>
      <c r="O83" s="59">
        <v>0</v>
      </c>
      <c r="P83" s="59">
        <v>1.91</v>
      </c>
      <c r="Q83" s="59">
        <v>49.15</v>
      </c>
      <c r="R83" s="197"/>
      <c r="S83" s="197"/>
      <c r="T83" s="197"/>
      <c r="U83" s="197"/>
    </row>
    <row r="84" spans="1:26" s="12" customFormat="1" x14ac:dyDescent="0.25">
      <c r="A84" s="200" t="s">
        <v>607</v>
      </c>
      <c r="B84" s="59">
        <v>19.3</v>
      </c>
      <c r="C84" s="59">
        <v>40.68</v>
      </c>
      <c r="D84" s="59">
        <v>37.93</v>
      </c>
      <c r="E84" s="59">
        <v>4.3499999999999996</v>
      </c>
      <c r="F84" s="59">
        <v>0.62</v>
      </c>
      <c r="G84" s="59">
        <v>139.97999999999999</v>
      </c>
      <c r="H84" s="59">
        <v>44.47</v>
      </c>
      <c r="I84" s="59">
        <v>0.65</v>
      </c>
      <c r="J84" s="59">
        <v>0.06</v>
      </c>
      <c r="K84" s="59">
        <v>296.05</v>
      </c>
      <c r="L84" s="59">
        <v>22.18</v>
      </c>
      <c r="M84" s="59">
        <v>64</v>
      </c>
      <c r="N84" s="59">
        <v>24.5</v>
      </c>
      <c r="O84" s="59">
        <v>0</v>
      </c>
      <c r="P84" s="59">
        <v>1.94</v>
      </c>
      <c r="Q84" s="59">
        <v>49.73</v>
      </c>
      <c r="R84" s="197"/>
      <c r="S84" s="197"/>
      <c r="T84" s="197"/>
      <c r="U84" s="197"/>
    </row>
    <row r="85" spans="1:26" s="12" customFormat="1" x14ac:dyDescent="0.25">
      <c r="A85" s="200" t="s">
        <v>608</v>
      </c>
      <c r="B85" s="59">
        <v>24.57</v>
      </c>
      <c r="C85" s="59">
        <v>34.53</v>
      </c>
      <c r="D85" s="59">
        <v>38.76</v>
      </c>
      <c r="E85" s="59">
        <v>4.87</v>
      </c>
      <c r="F85" s="59">
        <v>0.6</v>
      </c>
      <c r="G85" s="59">
        <v>139.97999999999999</v>
      </c>
      <c r="H85" s="59">
        <v>44.47</v>
      </c>
      <c r="I85" s="59">
        <v>0.71</v>
      </c>
      <c r="J85" s="59">
        <v>0.11</v>
      </c>
      <c r="K85" s="59">
        <v>307.70999999999998</v>
      </c>
      <c r="L85" s="59">
        <v>21.89</v>
      </c>
      <c r="M85" s="59">
        <v>64</v>
      </c>
      <c r="N85" s="59">
        <v>24.3</v>
      </c>
      <c r="O85" s="59">
        <v>0</v>
      </c>
      <c r="P85" s="59">
        <v>1.91</v>
      </c>
      <c r="Q85" s="59">
        <v>50.48</v>
      </c>
      <c r="R85" s="197"/>
      <c r="S85" s="197"/>
      <c r="T85" s="197"/>
      <c r="U85" s="197"/>
    </row>
    <row r="86" spans="1:26" s="12" customFormat="1" x14ac:dyDescent="0.25">
      <c r="A86" s="200" t="s">
        <v>609</v>
      </c>
      <c r="B86" s="59">
        <v>29.95</v>
      </c>
      <c r="C86" s="59">
        <v>31.63</v>
      </c>
      <c r="D86" s="59">
        <v>41.47</v>
      </c>
      <c r="E86" s="59">
        <v>5.1100000000000003</v>
      </c>
      <c r="F86" s="59">
        <v>0.73</v>
      </c>
      <c r="G86" s="59">
        <v>139.97999999999999</v>
      </c>
      <c r="H86" s="59">
        <v>44.47</v>
      </c>
      <c r="I86" s="59">
        <v>0.75</v>
      </c>
      <c r="J86" s="59">
        <v>0.12</v>
      </c>
      <c r="K86" s="59">
        <v>331.29</v>
      </c>
      <c r="L86" s="59">
        <v>21.62</v>
      </c>
      <c r="M86" s="59">
        <v>68</v>
      </c>
      <c r="N86" s="59">
        <v>24.4</v>
      </c>
      <c r="O86" s="59">
        <v>0</v>
      </c>
      <c r="P86" s="59">
        <v>2.21</v>
      </c>
      <c r="Q86" s="59">
        <v>52.1</v>
      </c>
      <c r="R86" s="197"/>
      <c r="S86" s="197"/>
      <c r="T86" s="197"/>
      <c r="U86" s="197"/>
    </row>
    <row r="87" spans="1:26" s="12" customFormat="1" x14ac:dyDescent="0.25">
      <c r="A87" s="200" t="s">
        <v>610</v>
      </c>
      <c r="B87" s="59">
        <v>37.14</v>
      </c>
      <c r="C87" s="59">
        <v>28.75</v>
      </c>
      <c r="D87" s="59">
        <v>45.65</v>
      </c>
      <c r="E87" s="59">
        <v>5.49</v>
      </c>
      <c r="F87" s="59">
        <v>0.71</v>
      </c>
      <c r="G87" s="59">
        <v>145.30000000000001</v>
      </c>
      <c r="H87" s="59">
        <v>45.31</v>
      </c>
      <c r="I87" s="59">
        <v>0.82</v>
      </c>
      <c r="J87" s="59">
        <v>0.09</v>
      </c>
      <c r="K87" s="59">
        <v>281.63</v>
      </c>
      <c r="L87" s="59">
        <v>21.25</v>
      </c>
      <c r="M87" s="59">
        <v>66</v>
      </c>
      <c r="N87" s="59">
        <v>24.3</v>
      </c>
      <c r="O87" s="59">
        <v>0</v>
      </c>
      <c r="P87" s="59">
        <v>2.48</v>
      </c>
      <c r="Q87" s="59">
        <v>54.54</v>
      </c>
      <c r="R87" s="197"/>
      <c r="S87" s="197"/>
      <c r="T87" s="197"/>
      <c r="U87" s="197"/>
    </row>
    <row r="88" spans="1:26" s="12" customFormat="1" x14ac:dyDescent="0.25">
      <c r="A88" s="200" t="s">
        <v>611</v>
      </c>
      <c r="B88" s="59">
        <v>45.89</v>
      </c>
      <c r="C88" s="59">
        <v>25.16</v>
      </c>
      <c r="D88" s="59">
        <v>50.68</v>
      </c>
      <c r="E88" s="59">
        <v>2.68</v>
      </c>
      <c r="F88" s="59">
        <v>0.6</v>
      </c>
      <c r="G88" s="59">
        <v>167.55</v>
      </c>
      <c r="H88" s="59">
        <v>47.91</v>
      </c>
      <c r="I88" s="59">
        <v>0.89</v>
      </c>
      <c r="J88" s="59">
        <v>0.1</v>
      </c>
      <c r="K88" s="59">
        <v>313.75</v>
      </c>
      <c r="L88" s="59">
        <v>21.03</v>
      </c>
      <c r="M88" s="59">
        <v>69</v>
      </c>
      <c r="N88" s="59">
        <v>24.3</v>
      </c>
      <c r="O88" s="59">
        <v>0</v>
      </c>
      <c r="P88" s="59">
        <v>2.73</v>
      </c>
      <c r="Q88" s="59">
        <v>54.65</v>
      </c>
      <c r="R88" s="197"/>
      <c r="S88" s="197"/>
      <c r="T88" s="197"/>
      <c r="U88" s="197"/>
    </row>
    <row r="89" spans="1:26" s="12" customFormat="1" x14ac:dyDescent="0.25">
      <c r="A89" s="200" t="s">
        <v>612</v>
      </c>
      <c r="B89" s="59">
        <v>57.91</v>
      </c>
      <c r="C89" s="59">
        <v>19.32</v>
      </c>
      <c r="D89" s="59">
        <v>57.1</v>
      </c>
      <c r="E89" s="59">
        <v>4.8899999999999997</v>
      </c>
      <c r="F89" s="59">
        <v>0.71</v>
      </c>
      <c r="G89" s="59">
        <v>167.55</v>
      </c>
      <c r="H89" s="59">
        <v>47.91</v>
      </c>
      <c r="I89" s="59">
        <v>0.97</v>
      </c>
      <c r="J89" s="59">
        <v>0.08</v>
      </c>
      <c r="K89" s="59">
        <v>269.31</v>
      </c>
      <c r="L89" s="59">
        <v>20.79</v>
      </c>
      <c r="M89" s="59">
        <v>67</v>
      </c>
      <c r="N89" s="59">
        <v>24.4</v>
      </c>
      <c r="O89" s="59">
        <v>0</v>
      </c>
      <c r="P89" s="59">
        <v>3.04</v>
      </c>
      <c r="Q89" s="59">
        <v>55.4</v>
      </c>
      <c r="R89" s="197"/>
      <c r="S89" s="197"/>
      <c r="T89" s="197"/>
      <c r="U89" s="197"/>
    </row>
    <row r="90" spans="1:26" s="12" customFormat="1" x14ac:dyDescent="0.25">
      <c r="A90" s="200" t="s">
        <v>613</v>
      </c>
      <c r="B90" s="59">
        <v>63.5</v>
      </c>
      <c r="C90" s="59">
        <v>17.170000000000002</v>
      </c>
      <c r="D90" s="59">
        <v>60.39</v>
      </c>
      <c r="E90" s="59">
        <v>5.03</v>
      </c>
      <c r="F90" s="59">
        <v>0.71</v>
      </c>
      <c r="G90" s="59">
        <v>167.55</v>
      </c>
      <c r="H90" s="59">
        <v>47.91</v>
      </c>
      <c r="I90" s="59">
        <v>1.06</v>
      </c>
      <c r="J90" s="59">
        <v>0.11</v>
      </c>
      <c r="K90" s="59">
        <v>298.39</v>
      </c>
      <c r="L90" s="59">
        <v>20.77</v>
      </c>
      <c r="M90" s="59">
        <v>66</v>
      </c>
      <c r="N90" s="59">
        <v>24.3</v>
      </c>
      <c r="O90" s="59">
        <v>0</v>
      </c>
      <c r="P90" s="59">
        <v>3.15</v>
      </c>
      <c r="Q90" s="59">
        <v>55.83</v>
      </c>
      <c r="R90" s="197"/>
      <c r="S90" s="197"/>
      <c r="T90" s="197"/>
      <c r="U90" s="197"/>
    </row>
    <row r="91" spans="1:26" s="12" customFormat="1" x14ac:dyDescent="0.25">
      <c r="A91" s="200" t="s">
        <v>614</v>
      </c>
      <c r="B91" s="59">
        <v>69.06</v>
      </c>
      <c r="C91" s="59">
        <v>14.8</v>
      </c>
      <c r="D91" s="59">
        <v>63.55</v>
      </c>
      <c r="E91" s="59">
        <v>5.05</v>
      </c>
      <c r="F91" s="59">
        <v>0.75</v>
      </c>
      <c r="G91" s="59">
        <v>173.67</v>
      </c>
      <c r="H91" s="59">
        <v>48.98</v>
      </c>
      <c r="I91" s="59">
        <v>1.1499999999999999</v>
      </c>
      <c r="J91" s="59">
        <v>0.1</v>
      </c>
      <c r="K91" s="59">
        <v>321.66000000000003</v>
      </c>
      <c r="L91" s="59">
        <v>20.420000000000002</v>
      </c>
      <c r="M91" s="59">
        <v>70</v>
      </c>
      <c r="N91" s="59">
        <v>24.3</v>
      </c>
      <c r="O91" s="59">
        <v>0</v>
      </c>
      <c r="P91" s="59">
        <v>3.31</v>
      </c>
      <c r="Q91" s="59">
        <v>55.54</v>
      </c>
      <c r="R91" s="197"/>
      <c r="S91" s="197"/>
      <c r="T91" s="197"/>
      <c r="U91" s="197"/>
    </row>
    <row r="92" spans="1:26" s="12" customFormat="1" x14ac:dyDescent="0.25">
      <c r="A92" s="200" t="s">
        <v>615</v>
      </c>
      <c r="B92" s="59">
        <v>83.1</v>
      </c>
      <c r="C92" s="59">
        <v>7.74</v>
      </c>
      <c r="D92" s="59">
        <v>70.91</v>
      </c>
      <c r="E92" s="59">
        <v>5.25</v>
      </c>
      <c r="F92" s="59">
        <v>0.67</v>
      </c>
      <c r="G92" s="59">
        <v>187.75</v>
      </c>
      <c r="H92" s="59">
        <v>52.5</v>
      </c>
      <c r="I92" s="59">
        <v>1.18</v>
      </c>
      <c r="J92" s="59">
        <v>7.0000000000000007E-2</v>
      </c>
      <c r="K92" s="59">
        <v>301.55</v>
      </c>
      <c r="L92" s="59">
        <v>20.22</v>
      </c>
      <c r="M92" s="59">
        <v>71</v>
      </c>
      <c r="N92" s="59">
        <v>24.5</v>
      </c>
      <c r="O92" s="59">
        <v>0</v>
      </c>
      <c r="P92" s="59">
        <v>3.58</v>
      </c>
      <c r="Q92" s="59">
        <v>55.8</v>
      </c>
      <c r="R92" s="197"/>
      <c r="S92" s="197"/>
      <c r="T92" s="197"/>
      <c r="U92" s="197"/>
    </row>
    <row r="93" spans="1:26" s="12" customFormat="1" x14ac:dyDescent="0.25">
      <c r="A93" s="200" t="s">
        <v>616</v>
      </c>
      <c r="B93" s="59">
        <v>101.06</v>
      </c>
      <c r="C93" s="210" t="s">
        <v>43</v>
      </c>
      <c r="D93" s="59">
        <v>79.84</v>
      </c>
      <c r="E93" s="59">
        <v>5.53</v>
      </c>
      <c r="F93" s="59">
        <v>0.82</v>
      </c>
      <c r="G93" s="59">
        <v>187.75</v>
      </c>
      <c r="H93" s="59">
        <v>52.5</v>
      </c>
      <c r="I93" s="59">
        <v>1.24</v>
      </c>
      <c r="J93" s="59">
        <v>7.0000000000000007E-2</v>
      </c>
      <c r="K93" s="59">
        <v>303.95999999999998</v>
      </c>
      <c r="L93" s="59">
        <v>19.96</v>
      </c>
      <c r="M93" s="59">
        <v>70</v>
      </c>
      <c r="N93" s="59">
        <v>24.5</v>
      </c>
      <c r="O93" s="59">
        <v>0</v>
      </c>
      <c r="P93" s="59">
        <v>3.84</v>
      </c>
      <c r="Q93" s="59">
        <v>56.22</v>
      </c>
      <c r="R93" s="197"/>
      <c r="S93" s="197"/>
      <c r="T93" s="197"/>
      <c r="U93" s="197"/>
    </row>
    <row r="94" spans="1:26" s="12" customFormat="1" x14ac:dyDescent="0.25">
      <c r="A94" s="200" t="s">
        <v>617</v>
      </c>
      <c r="B94" s="59">
        <v>112.82</v>
      </c>
      <c r="C94" s="210" t="s">
        <v>43</v>
      </c>
      <c r="D94" s="59">
        <v>85.83</v>
      </c>
      <c r="E94" s="59">
        <v>5.66</v>
      </c>
      <c r="F94" s="59">
        <v>0.79</v>
      </c>
      <c r="G94" s="59">
        <v>187.75</v>
      </c>
      <c r="H94" s="59">
        <v>52.5</v>
      </c>
      <c r="I94" s="59">
        <v>1.31</v>
      </c>
      <c r="J94" s="59">
        <v>0.03</v>
      </c>
      <c r="K94" s="59">
        <v>306.52</v>
      </c>
      <c r="L94" s="59">
        <v>19.829999999999998</v>
      </c>
      <c r="M94" s="59">
        <v>69</v>
      </c>
      <c r="N94" s="59">
        <v>24.5</v>
      </c>
      <c r="O94" s="59">
        <v>0</v>
      </c>
      <c r="P94" s="59">
        <v>3.95</v>
      </c>
      <c r="Q94" s="59">
        <v>55.65</v>
      </c>
      <c r="R94" s="197"/>
      <c r="S94" s="197"/>
      <c r="T94" s="197"/>
      <c r="U94" s="197"/>
    </row>
    <row r="95" spans="1:26" s="12" customFormat="1" x14ac:dyDescent="0.25">
      <c r="A95" s="200" t="s">
        <v>618</v>
      </c>
      <c r="B95" s="59">
        <v>119.18</v>
      </c>
      <c r="C95" s="210" t="s">
        <v>43</v>
      </c>
      <c r="D95" s="59">
        <v>88.71</v>
      </c>
      <c r="E95" s="59">
        <v>5.46</v>
      </c>
      <c r="F95" s="59">
        <v>0.86</v>
      </c>
      <c r="G95" s="59">
        <v>188.84</v>
      </c>
      <c r="H95" s="59">
        <v>53.18</v>
      </c>
      <c r="I95" s="59">
        <v>1.39</v>
      </c>
      <c r="J95" s="59">
        <v>0.06</v>
      </c>
      <c r="K95" s="59">
        <v>121.32</v>
      </c>
      <c r="L95" s="59">
        <v>19.57</v>
      </c>
      <c r="M95" s="59">
        <v>73</v>
      </c>
      <c r="N95" s="59">
        <v>24.5</v>
      </c>
      <c r="O95" s="59">
        <v>0</v>
      </c>
      <c r="P95" s="59">
        <v>3.99</v>
      </c>
      <c r="Q95" s="59">
        <v>56.4</v>
      </c>
      <c r="R95" s="197"/>
      <c r="S95" s="197"/>
      <c r="T95" s="197"/>
      <c r="U95" s="197"/>
    </row>
    <row r="96" spans="1:26" s="12" customFormat="1" x14ac:dyDescent="0.25">
      <c r="A96" s="200" t="s">
        <v>619</v>
      </c>
      <c r="B96" s="59">
        <v>129.44</v>
      </c>
      <c r="C96" s="210" t="s">
        <v>43</v>
      </c>
      <c r="D96" s="59">
        <v>92.89</v>
      </c>
      <c r="E96" s="59">
        <v>5.44</v>
      </c>
      <c r="F96" s="59">
        <v>0.81</v>
      </c>
      <c r="G96" s="59">
        <v>191.23</v>
      </c>
      <c r="H96" s="59">
        <v>55.43</v>
      </c>
      <c r="I96" s="59">
        <v>1.44</v>
      </c>
      <c r="J96" s="59">
        <v>0.06</v>
      </c>
      <c r="K96" s="59">
        <v>120.86</v>
      </c>
      <c r="L96" s="59">
        <v>19.510000000000002</v>
      </c>
      <c r="M96" s="59">
        <v>74</v>
      </c>
      <c r="N96" s="59">
        <v>24.4</v>
      </c>
      <c r="O96" s="59">
        <v>0</v>
      </c>
      <c r="P96" s="59">
        <v>4.03</v>
      </c>
      <c r="Q96" s="59">
        <v>57.47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620</v>
      </c>
      <c r="B97" s="59">
        <v>139.94</v>
      </c>
      <c r="C97" s="210" t="s">
        <v>43</v>
      </c>
      <c r="D97" s="59">
        <v>97.75</v>
      </c>
      <c r="E97" s="59">
        <v>5.58</v>
      </c>
      <c r="F97" s="59">
        <v>0.66</v>
      </c>
      <c r="G97" s="59">
        <v>191.23</v>
      </c>
      <c r="H97" s="59">
        <v>55.43</v>
      </c>
      <c r="I97" s="59">
        <v>1.49</v>
      </c>
      <c r="J97" s="59">
        <v>0.09</v>
      </c>
      <c r="K97" s="59">
        <v>267.07</v>
      </c>
      <c r="L97" s="59">
        <v>19.53</v>
      </c>
      <c r="M97" s="59">
        <v>74</v>
      </c>
      <c r="N97" s="59">
        <v>24.2</v>
      </c>
      <c r="O97" s="59">
        <v>0</v>
      </c>
      <c r="P97" s="59">
        <v>4.07</v>
      </c>
      <c r="Q97" s="59">
        <v>58.96</v>
      </c>
      <c r="R97" s="197"/>
      <c r="S97" s="197"/>
      <c r="T97" s="197"/>
      <c r="U97" s="197"/>
    </row>
    <row r="98" spans="1:33" s="12" customFormat="1" x14ac:dyDescent="0.25">
      <c r="A98" s="200" t="s">
        <v>621</v>
      </c>
      <c r="B98" s="59">
        <v>148.66</v>
      </c>
      <c r="C98" s="210" t="s">
        <v>43</v>
      </c>
      <c r="D98" s="59">
        <v>101.08</v>
      </c>
      <c r="E98" s="59">
        <v>5.73</v>
      </c>
      <c r="F98" s="59">
        <v>0.79</v>
      </c>
      <c r="G98" s="59">
        <v>191.23</v>
      </c>
      <c r="H98" s="59">
        <v>55.43</v>
      </c>
      <c r="I98" s="59">
        <v>1.54</v>
      </c>
      <c r="J98" s="59">
        <v>0.09</v>
      </c>
      <c r="K98" s="59">
        <v>288.69</v>
      </c>
      <c r="L98" s="59">
        <v>19.5</v>
      </c>
      <c r="M98" s="59">
        <v>75</v>
      </c>
      <c r="N98" s="59">
        <v>24.3</v>
      </c>
      <c r="O98" s="59">
        <v>0</v>
      </c>
      <c r="P98" s="59">
        <v>4.0999999999999996</v>
      </c>
      <c r="Q98" s="59">
        <v>59.66</v>
      </c>
      <c r="R98" s="197"/>
      <c r="S98" s="197"/>
      <c r="T98" s="197"/>
      <c r="U98" s="197"/>
    </row>
    <row r="99" spans="1:33" s="12" customFormat="1" x14ac:dyDescent="0.25">
      <c r="A99" s="200" t="s">
        <v>622</v>
      </c>
      <c r="B99" s="59">
        <v>157.16999999999999</v>
      </c>
      <c r="C99" s="210" t="s">
        <v>43</v>
      </c>
      <c r="D99" s="59">
        <v>105.7</v>
      </c>
      <c r="E99" s="59">
        <v>5.68</v>
      </c>
      <c r="F99" s="59">
        <v>0.6</v>
      </c>
      <c r="G99" s="59">
        <v>192.57</v>
      </c>
      <c r="H99" s="59">
        <v>56.11</v>
      </c>
      <c r="I99" s="59">
        <v>1.57</v>
      </c>
      <c r="J99" s="59">
        <v>0.16</v>
      </c>
      <c r="K99" s="59">
        <v>329.85</v>
      </c>
      <c r="L99" s="59">
        <v>19.239999999999998</v>
      </c>
      <c r="M99" s="59">
        <v>77</v>
      </c>
      <c r="N99" s="59">
        <v>24.2</v>
      </c>
      <c r="O99" s="59">
        <v>0</v>
      </c>
      <c r="P99" s="59">
        <v>4.16</v>
      </c>
      <c r="Q99" s="59">
        <v>60.21</v>
      </c>
      <c r="R99" s="197"/>
      <c r="S99" s="197"/>
      <c r="T99" s="197"/>
      <c r="U99" s="197"/>
    </row>
    <row r="100" spans="1:33" s="12" customFormat="1" x14ac:dyDescent="0.25">
      <c r="A100" s="200" t="s">
        <v>623</v>
      </c>
      <c r="B100" s="59">
        <v>166.91</v>
      </c>
      <c r="C100" s="210" t="s">
        <v>43</v>
      </c>
      <c r="D100" s="59">
        <v>110.16</v>
      </c>
      <c r="E100" s="59">
        <v>6.29</v>
      </c>
      <c r="F100" s="59">
        <v>0.69</v>
      </c>
      <c r="G100" s="59">
        <v>195.5</v>
      </c>
      <c r="H100" s="59">
        <v>58.32</v>
      </c>
      <c r="I100" s="59">
        <v>1.61</v>
      </c>
      <c r="J100" s="59">
        <v>0.01</v>
      </c>
      <c r="K100" s="59">
        <v>291.60000000000002</v>
      </c>
      <c r="L100" s="59">
        <v>19.149999999999999</v>
      </c>
      <c r="M100" s="59">
        <v>78</v>
      </c>
      <c r="N100" s="59">
        <v>24.1</v>
      </c>
      <c r="O100" s="59">
        <v>0</v>
      </c>
      <c r="P100" s="59">
        <v>4.29</v>
      </c>
      <c r="Q100" s="59">
        <v>60.53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624</v>
      </c>
      <c r="B101" s="59">
        <v>177.25</v>
      </c>
      <c r="C101" s="210" t="s">
        <v>43</v>
      </c>
      <c r="D101" s="59">
        <v>113.78</v>
      </c>
      <c r="E101" s="59">
        <v>6.31</v>
      </c>
      <c r="F101" s="59">
        <v>0.72</v>
      </c>
      <c r="G101" s="59">
        <v>195.5</v>
      </c>
      <c r="H101" s="59">
        <v>58.32</v>
      </c>
      <c r="I101" s="59">
        <v>1.64</v>
      </c>
      <c r="J101" s="59">
        <v>0.13</v>
      </c>
      <c r="K101" s="59">
        <v>313.58999999999997</v>
      </c>
      <c r="L101" s="59">
        <v>19.29</v>
      </c>
      <c r="M101" s="59">
        <v>74</v>
      </c>
      <c r="N101" s="59">
        <v>24</v>
      </c>
      <c r="O101" s="59">
        <v>0</v>
      </c>
      <c r="P101" s="59">
        <v>4.3899999999999997</v>
      </c>
      <c r="Q101" s="59">
        <v>63.02</v>
      </c>
      <c r="R101" s="197"/>
      <c r="S101" s="197"/>
      <c r="T101" s="197"/>
      <c r="U101" s="197"/>
    </row>
    <row r="102" spans="1:33" s="12" customFormat="1" x14ac:dyDescent="0.25">
      <c r="A102" s="200" t="s">
        <v>625</v>
      </c>
      <c r="B102" s="59">
        <v>179.87</v>
      </c>
      <c r="C102" s="210" t="s">
        <v>43</v>
      </c>
      <c r="D102" s="59">
        <v>115.88</v>
      </c>
      <c r="E102" s="59">
        <v>6.07</v>
      </c>
      <c r="F102" s="59">
        <v>0.82</v>
      </c>
      <c r="G102" s="59">
        <v>195.5</v>
      </c>
      <c r="H102" s="59">
        <v>58.32</v>
      </c>
      <c r="I102" s="59">
        <v>1.7</v>
      </c>
      <c r="J102" s="59">
        <v>0.1</v>
      </c>
      <c r="K102" s="59">
        <v>8.6300000000000008</v>
      </c>
      <c r="L102" s="59">
        <v>19.899999999999999</v>
      </c>
      <c r="M102" s="59">
        <v>64</v>
      </c>
      <c r="N102" s="59">
        <v>23.3</v>
      </c>
      <c r="O102" s="59">
        <v>0</v>
      </c>
      <c r="P102" s="59">
        <v>4.34</v>
      </c>
      <c r="Q102" s="59">
        <v>63.46</v>
      </c>
      <c r="R102" s="197"/>
      <c r="S102" s="197"/>
      <c r="T102" s="197"/>
      <c r="U102" s="197"/>
    </row>
    <row r="103" spans="1:33" s="12" customFormat="1" x14ac:dyDescent="0.25">
      <c r="A103" s="200" t="s">
        <v>626</v>
      </c>
      <c r="B103" s="59">
        <v>170.68</v>
      </c>
      <c r="C103" s="210" t="s">
        <v>43</v>
      </c>
      <c r="D103" s="59">
        <v>111.99</v>
      </c>
      <c r="E103" s="59">
        <v>5.72</v>
      </c>
      <c r="F103" s="59">
        <v>0.67</v>
      </c>
      <c r="G103" s="59">
        <v>191.45</v>
      </c>
      <c r="H103" s="59">
        <v>58.09</v>
      </c>
      <c r="I103" s="59">
        <v>1.73</v>
      </c>
      <c r="J103" s="59">
        <v>0.15</v>
      </c>
      <c r="K103" s="59">
        <v>42.5</v>
      </c>
      <c r="L103" s="59">
        <v>20.47</v>
      </c>
      <c r="M103" s="59">
        <v>60</v>
      </c>
      <c r="N103" s="59">
        <v>23.6</v>
      </c>
      <c r="O103" s="59">
        <v>0</v>
      </c>
      <c r="P103" s="59">
        <v>4.1399999999999997</v>
      </c>
      <c r="Q103" s="59">
        <v>62.38</v>
      </c>
      <c r="R103" s="197"/>
      <c r="S103" s="197"/>
      <c r="T103" s="197"/>
      <c r="U103" s="197"/>
    </row>
    <row r="104" spans="1:33" s="12" customFormat="1" x14ac:dyDescent="0.25">
      <c r="A104" s="200" t="s">
        <v>627</v>
      </c>
      <c r="B104" s="59">
        <v>156.68</v>
      </c>
      <c r="C104" s="210" t="s">
        <v>43</v>
      </c>
      <c r="D104" s="59">
        <v>104.84</v>
      </c>
      <c r="E104" s="59">
        <v>2.2400000000000002</v>
      </c>
      <c r="F104" s="59">
        <v>0.77</v>
      </c>
      <c r="G104" s="59">
        <v>172.84</v>
      </c>
      <c r="H104" s="59">
        <v>57.31</v>
      </c>
      <c r="I104" s="59">
        <v>1.69</v>
      </c>
      <c r="J104" s="59">
        <v>0.08</v>
      </c>
      <c r="K104" s="59">
        <v>358.89</v>
      </c>
      <c r="L104" s="59">
        <v>20.53</v>
      </c>
      <c r="M104" s="59">
        <v>59</v>
      </c>
      <c r="N104" s="59">
        <v>24.2</v>
      </c>
      <c r="O104" s="59">
        <v>0</v>
      </c>
      <c r="P104" s="59">
        <v>3.92</v>
      </c>
      <c r="Q104" s="59">
        <v>60.79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2.59</v>
      </c>
      <c r="C106" s="66">
        <f>MIN(C9:C104)</f>
        <v>1.95</v>
      </c>
      <c r="D106" s="66">
        <f t="shared" ref="D106:Q106" si="0">MIN(D9:D104)</f>
        <v>22.65</v>
      </c>
      <c r="E106" s="66">
        <f t="shared" si="0"/>
        <v>1.48</v>
      </c>
      <c r="F106" s="66">
        <f t="shared" si="0"/>
        <v>0.24</v>
      </c>
      <c r="G106" s="66">
        <f t="shared" si="0"/>
        <v>78.349999999999994</v>
      </c>
      <c r="H106" s="66">
        <f t="shared" si="0"/>
        <v>41.52</v>
      </c>
      <c r="I106" s="66">
        <f t="shared" si="0"/>
        <v>0.18</v>
      </c>
      <c r="J106" s="66">
        <f t="shared" si="0"/>
        <v>0.01</v>
      </c>
      <c r="K106" s="66">
        <f t="shared" si="0"/>
        <v>8.6300000000000008</v>
      </c>
      <c r="L106" s="66">
        <f t="shared" si="0"/>
        <v>11.98</v>
      </c>
      <c r="M106" s="66">
        <f t="shared" si="0"/>
        <v>2</v>
      </c>
      <c r="N106" s="66">
        <f t="shared" si="0"/>
        <v>23.3</v>
      </c>
      <c r="O106" s="66">
        <f t="shared" si="0"/>
        <v>0</v>
      </c>
      <c r="P106" s="66">
        <f t="shared" si="0"/>
        <v>1.22</v>
      </c>
      <c r="Q106" s="66">
        <f t="shared" si="0"/>
        <v>36.9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179.87</v>
      </c>
      <c r="C107" s="65">
        <f t="shared" ref="C107:Q107" si="1">MAX(C9:C104)</f>
        <v>48.76</v>
      </c>
      <c r="D107" s="65">
        <f t="shared" si="1"/>
        <v>115.88</v>
      </c>
      <c r="E107" s="65">
        <f t="shared" si="1"/>
        <v>8.31</v>
      </c>
      <c r="F107" s="65">
        <f t="shared" si="1"/>
        <v>12.26</v>
      </c>
      <c r="G107" s="65">
        <f t="shared" si="1"/>
        <v>218.92</v>
      </c>
      <c r="H107" s="65">
        <f t="shared" si="1"/>
        <v>75.89</v>
      </c>
      <c r="I107" s="65">
        <f t="shared" si="1"/>
        <v>1.75</v>
      </c>
      <c r="J107" s="65">
        <f t="shared" si="1"/>
        <v>21.17</v>
      </c>
      <c r="K107" s="65">
        <f t="shared" si="1"/>
        <v>359.52</v>
      </c>
      <c r="L107" s="65">
        <f t="shared" si="1"/>
        <v>32.79</v>
      </c>
      <c r="M107" s="65">
        <f t="shared" si="1"/>
        <v>78</v>
      </c>
      <c r="N107" s="65">
        <f t="shared" si="1"/>
        <v>440.8</v>
      </c>
      <c r="O107" s="65">
        <f t="shared" si="1"/>
        <v>0</v>
      </c>
      <c r="P107" s="65">
        <f t="shared" si="1"/>
        <v>4.3899999999999997</v>
      </c>
      <c r="Q107" s="65">
        <f t="shared" si="1"/>
        <v>63.46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55.399999999999984</v>
      </c>
      <c r="C108" s="66">
        <f t="shared" ref="C108:Q108" si="2">AVERAGE(C9:C104)</f>
        <v>27.598767123287679</v>
      </c>
      <c r="D108" s="66">
        <f t="shared" si="2"/>
        <v>52.541250000000012</v>
      </c>
      <c r="E108" s="66">
        <f t="shared" si="2"/>
        <v>4.6722916666666654</v>
      </c>
      <c r="F108" s="66">
        <f t="shared" si="2"/>
        <v>1.6983333333333333</v>
      </c>
      <c r="G108" s="66">
        <f t="shared" si="2"/>
        <v>137.69041666666669</v>
      </c>
      <c r="H108" s="66">
        <f t="shared" si="2"/>
        <v>56.280833333333341</v>
      </c>
      <c r="I108" s="66">
        <f t="shared" si="2"/>
        <v>0.90041095890410983</v>
      </c>
      <c r="J108" s="66">
        <f t="shared" si="2"/>
        <v>0.6312500000000002</v>
      </c>
      <c r="K108" s="66">
        <f t="shared" si="2"/>
        <v>261.43093749999986</v>
      </c>
      <c r="L108" s="66">
        <f t="shared" si="2"/>
        <v>22.611666666666668</v>
      </c>
      <c r="M108" s="66">
        <f t="shared" si="2"/>
        <v>44.833333333333336</v>
      </c>
      <c r="N108" s="66">
        <f t="shared" si="2"/>
        <v>131.29062499999995</v>
      </c>
      <c r="O108" s="66">
        <f t="shared" si="2"/>
        <v>0</v>
      </c>
      <c r="P108" s="66">
        <f t="shared" si="2"/>
        <v>2.5123958333333314</v>
      </c>
      <c r="Q108" s="66">
        <f t="shared" si="2"/>
        <v>51.113789473684207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51.414833759590387</v>
      </c>
      <c r="C109" s="66">
        <f t="shared" ref="C109:Q109" si="3">STDEV(C9:C104)</f>
        <v>17.309270953997569</v>
      </c>
      <c r="D109" s="66">
        <f t="shared" si="3"/>
        <v>25.826968697570017</v>
      </c>
      <c r="E109" s="66">
        <f t="shared" si="3"/>
        <v>1.1213980739910754</v>
      </c>
      <c r="F109" s="66">
        <f t="shared" si="3"/>
        <v>2.0878594763495122</v>
      </c>
      <c r="G109" s="66">
        <f t="shared" si="3"/>
        <v>44.239911152396409</v>
      </c>
      <c r="H109" s="66">
        <f t="shared" si="3"/>
        <v>10.594197087548601</v>
      </c>
      <c r="I109" s="66">
        <f t="shared" si="3"/>
        <v>0.53167564871243589</v>
      </c>
      <c r="J109" s="66">
        <f t="shared" si="3"/>
        <v>2.2501823317935354</v>
      </c>
      <c r="K109" s="66">
        <f t="shared" si="3"/>
        <v>96.097473093216223</v>
      </c>
      <c r="L109" s="66">
        <f t="shared" si="3"/>
        <v>5.3651845834076575</v>
      </c>
      <c r="M109" s="66">
        <f t="shared" si="3"/>
        <v>18.445198619496512</v>
      </c>
      <c r="N109" s="66">
        <f t="shared" si="3"/>
        <v>147.81416859523321</v>
      </c>
      <c r="O109" s="66">
        <f t="shared" si="3"/>
        <v>0</v>
      </c>
      <c r="P109" s="66">
        <f t="shared" si="3"/>
        <v>1.0443872490016333</v>
      </c>
      <c r="Q109" s="66">
        <f t="shared" si="3"/>
        <v>6.0781849507590131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P110" si="4">COUNT(B9:B104)</f>
        <v>96</v>
      </c>
      <c r="C110" s="65">
        <f t="shared" si="4"/>
        <v>73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>COUNT(H9:H104)</f>
        <v>96</v>
      </c>
      <c r="I110" s="65">
        <f>COUNT(I9:I104)+23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>COUNT(M9:M104)+24</f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>COUNT(Q9:Q104)+1</f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&lt;90%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LESS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7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C21" sqref="C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05-12-2022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628</v>
      </c>
      <c r="B9" s="59">
        <v>142.91</v>
      </c>
      <c r="C9" s="210" t="s">
        <v>43</v>
      </c>
      <c r="D9" s="59">
        <v>97.61</v>
      </c>
      <c r="E9" s="59">
        <v>4.6399999999999997</v>
      </c>
      <c r="F9" s="59">
        <v>0.66</v>
      </c>
      <c r="G9" s="59">
        <v>172.84</v>
      </c>
      <c r="H9" s="59">
        <v>57.31</v>
      </c>
      <c r="I9" s="59">
        <v>1.6</v>
      </c>
      <c r="J9" s="59">
        <v>0.13</v>
      </c>
      <c r="K9" s="59">
        <v>246.73</v>
      </c>
      <c r="L9" s="59">
        <v>19.899999999999999</v>
      </c>
      <c r="M9" s="59">
        <v>63</v>
      </c>
      <c r="N9" s="59">
        <v>24.5</v>
      </c>
      <c r="O9" s="59">
        <v>0</v>
      </c>
      <c r="P9" s="59">
        <v>3.71</v>
      </c>
      <c r="Q9" s="59">
        <v>59.86</v>
      </c>
      <c r="R9" s="197"/>
      <c r="S9" s="197"/>
      <c r="T9" s="197"/>
      <c r="U9" s="197"/>
    </row>
    <row r="10" spans="1:21" s="12" customFormat="1" x14ac:dyDescent="0.25">
      <c r="A10" s="200" t="s">
        <v>629</v>
      </c>
      <c r="B10" s="59">
        <v>130.62</v>
      </c>
      <c r="C10" s="210" t="s">
        <v>43</v>
      </c>
      <c r="D10" s="59">
        <v>91.09</v>
      </c>
      <c r="E10" s="59">
        <v>4.8499999999999996</v>
      </c>
      <c r="F10" s="59">
        <v>0.68</v>
      </c>
      <c r="G10" s="59">
        <v>172.84</v>
      </c>
      <c r="H10" s="59">
        <v>57.31</v>
      </c>
      <c r="I10" s="59">
        <v>1.51</v>
      </c>
      <c r="J10" s="59">
        <v>0.12</v>
      </c>
      <c r="K10" s="59">
        <v>283.63</v>
      </c>
      <c r="L10" s="59">
        <v>19.489999999999998</v>
      </c>
      <c r="M10" s="59">
        <v>66</v>
      </c>
      <c r="N10" s="59">
        <v>24.6</v>
      </c>
      <c r="O10" s="59">
        <v>0</v>
      </c>
      <c r="P10" s="59">
        <v>3.53</v>
      </c>
      <c r="Q10" s="59">
        <v>58.75</v>
      </c>
      <c r="R10" s="197"/>
      <c r="S10" s="197"/>
      <c r="T10" s="197"/>
      <c r="U10" s="197"/>
    </row>
    <row r="11" spans="1:21" s="12" customFormat="1" x14ac:dyDescent="0.25">
      <c r="A11" s="200" t="s">
        <v>630</v>
      </c>
      <c r="B11" s="59">
        <v>120.4</v>
      </c>
      <c r="C11" s="210" t="s">
        <v>43</v>
      </c>
      <c r="D11" s="59">
        <v>85.64</v>
      </c>
      <c r="E11" s="59">
        <v>4.58</v>
      </c>
      <c r="F11" s="59">
        <v>0.63</v>
      </c>
      <c r="G11" s="59">
        <v>172.84</v>
      </c>
      <c r="H11" s="59">
        <v>55.85</v>
      </c>
      <c r="I11" s="59">
        <v>1.42</v>
      </c>
      <c r="J11" s="59">
        <v>0.17</v>
      </c>
      <c r="K11" s="59">
        <v>243.07</v>
      </c>
      <c r="L11" s="59">
        <v>18.71</v>
      </c>
      <c r="M11" s="59">
        <v>71</v>
      </c>
      <c r="N11" s="59">
        <v>24.6</v>
      </c>
      <c r="O11" s="59">
        <v>0</v>
      </c>
      <c r="P11" s="59">
        <v>3.36</v>
      </c>
      <c r="Q11" s="59">
        <v>57.14</v>
      </c>
      <c r="R11" s="197"/>
      <c r="S11" s="197"/>
      <c r="T11" s="197"/>
      <c r="U11" s="197"/>
    </row>
    <row r="12" spans="1:21" s="12" customFormat="1" x14ac:dyDescent="0.25">
      <c r="A12" s="200" t="s">
        <v>631</v>
      </c>
      <c r="B12" s="59">
        <v>111.18</v>
      </c>
      <c r="C12" s="210" t="s">
        <v>43</v>
      </c>
      <c r="D12" s="59">
        <v>80.33</v>
      </c>
      <c r="E12" s="59">
        <v>3.93</v>
      </c>
      <c r="F12" s="59">
        <v>0.71</v>
      </c>
      <c r="G12" s="59">
        <v>557.25</v>
      </c>
      <c r="H12" s="59">
        <v>51.06</v>
      </c>
      <c r="I12" s="59">
        <v>1.34</v>
      </c>
      <c r="J12" s="59">
        <v>0.09</v>
      </c>
      <c r="K12" s="59">
        <v>258.58999999999997</v>
      </c>
      <c r="L12" s="59">
        <v>18.32</v>
      </c>
      <c r="M12" s="59">
        <v>75</v>
      </c>
      <c r="N12" s="59">
        <v>24.6</v>
      </c>
      <c r="O12" s="59">
        <v>0</v>
      </c>
      <c r="P12" s="59">
        <v>3.24</v>
      </c>
      <c r="Q12" s="59">
        <v>55.1</v>
      </c>
      <c r="R12" s="197"/>
      <c r="S12" s="197"/>
      <c r="T12" s="197"/>
      <c r="U12" s="197"/>
    </row>
    <row r="13" spans="1:21" s="12" customFormat="1" x14ac:dyDescent="0.25">
      <c r="A13" s="200" t="s">
        <v>632</v>
      </c>
      <c r="B13" s="59">
        <v>104.92</v>
      </c>
      <c r="C13" s="210" t="s">
        <v>43</v>
      </c>
      <c r="D13" s="59">
        <v>76.52</v>
      </c>
      <c r="E13" s="59">
        <v>4.26</v>
      </c>
      <c r="F13" s="59">
        <v>0.71</v>
      </c>
      <c r="G13" s="59">
        <v>557.25</v>
      </c>
      <c r="H13" s="59">
        <v>51.06</v>
      </c>
      <c r="I13" s="59">
        <v>1.27</v>
      </c>
      <c r="J13" s="59">
        <v>0.11</v>
      </c>
      <c r="K13" s="59">
        <v>254.45</v>
      </c>
      <c r="L13" s="59">
        <v>18.02</v>
      </c>
      <c r="M13" s="59">
        <v>78</v>
      </c>
      <c r="N13" s="59">
        <v>24.4</v>
      </c>
      <c r="O13" s="59">
        <v>0</v>
      </c>
      <c r="P13" s="59">
        <v>3.02</v>
      </c>
      <c r="Q13" s="59">
        <v>53.98</v>
      </c>
      <c r="R13" s="197"/>
      <c r="S13" s="197"/>
      <c r="T13" s="197"/>
      <c r="U13" s="197"/>
    </row>
    <row r="14" spans="1:21" s="12" customFormat="1" x14ac:dyDescent="0.25">
      <c r="A14" s="200" t="s">
        <v>633</v>
      </c>
      <c r="B14" s="59">
        <v>98.48</v>
      </c>
      <c r="C14" s="210" t="s">
        <v>43</v>
      </c>
      <c r="D14" s="59">
        <v>72.400000000000006</v>
      </c>
      <c r="E14" s="59">
        <v>4.2</v>
      </c>
      <c r="F14" s="59">
        <v>0.72</v>
      </c>
      <c r="G14" s="59">
        <v>557.25</v>
      </c>
      <c r="H14" s="59">
        <v>51.06</v>
      </c>
      <c r="I14" s="59">
        <v>1.23</v>
      </c>
      <c r="J14" s="59">
        <v>0.18</v>
      </c>
      <c r="K14" s="59">
        <v>218.77</v>
      </c>
      <c r="L14" s="59">
        <v>18.03</v>
      </c>
      <c r="M14" s="59">
        <v>79</v>
      </c>
      <c r="N14" s="59">
        <v>24.1</v>
      </c>
      <c r="O14" s="59">
        <v>0</v>
      </c>
      <c r="P14" s="59">
        <v>3.03</v>
      </c>
      <c r="Q14" s="59">
        <v>53.45</v>
      </c>
      <c r="R14" s="197"/>
      <c r="S14" s="197"/>
      <c r="T14" s="197"/>
      <c r="U14" s="197"/>
    </row>
    <row r="15" spans="1:21" s="12" customFormat="1" x14ac:dyDescent="0.25">
      <c r="A15" s="200" t="s">
        <v>634</v>
      </c>
      <c r="B15" s="59">
        <v>92.16</v>
      </c>
      <c r="C15" s="210" t="s">
        <v>43</v>
      </c>
      <c r="D15" s="59">
        <v>68.3</v>
      </c>
      <c r="E15" s="59">
        <v>3.83</v>
      </c>
      <c r="F15" s="59">
        <v>0.73</v>
      </c>
      <c r="G15" s="59">
        <v>155.41999999999999</v>
      </c>
      <c r="H15" s="59">
        <v>50.61</v>
      </c>
      <c r="I15" s="59">
        <v>1.19</v>
      </c>
      <c r="J15" s="59">
        <v>0.16</v>
      </c>
      <c r="K15" s="59">
        <v>236.11</v>
      </c>
      <c r="L15" s="59">
        <v>18.02</v>
      </c>
      <c r="M15" s="59">
        <v>80</v>
      </c>
      <c r="N15" s="59">
        <v>24.1</v>
      </c>
      <c r="O15" s="59">
        <v>0</v>
      </c>
      <c r="P15" s="59">
        <v>2.92</v>
      </c>
      <c r="Q15" s="59">
        <v>53.19</v>
      </c>
      <c r="R15" s="197"/>
      <c r="S15" s="197"/>
      <c r="T15" s="197"/>
      <c r="U15" s="197"/>
    </row>
    <row r="16" spans="1:21" s="12" customFormat="1" x14ac:dyDescent="0.25">
      <c r="A16" s="200" t="s">
        <v>635</v>
      </c>
      <c r="B16" s="59">
        <v>86.68</v>
      </c>
      <c r="C16" s="210" t="s">
        <v>43</v>
      </c>
      <c r="D16" s="59">
        <v>64.819999999999993</v>
      </c>
      <c r="E16" s="59">
        <v>4.08</v>
      </c>
      <c r="F16" s="59">
        <v>0.67</v>
      </c>
      <c r="G16" s="59">
        <v>155.41999999999999</v>
      </c>
      <c r="H16" s="59">
        <v>49.14</v>
      </c>
      <c r="I16" s="59">
        <v>1.1599999999999999</v>
      </c>
      <c r="J16" s="59">
        <v>0.1</v>
      </c>
      <c r="K16" s="59">
        <v>262.04000000000002</v>
      </c>
      <c r="L16" s="59">
        <v>17.600000000000001</v>
      </c>
      <c r="M16" s="59">
        <v>82</v>
      </c>
      <c r="N16" s="59">
        <v>24.3</v>
      </c>
      <c r="O16" s="59">
        <v>0</v>
      </c>
      <c r="P16" s="59">
        <v>2.82</v>
      </c>
      <c r="Q16" s="59">
        <v>52.92</v>
      </c>
      <c r="R16" s="197"/>
      <c r="S16" s="197"/>
      <c r="T16" s="197"/>
      <c r="U16" s="197"/>
    </row>
    <row r="17" spans="1:21" s="12" customFormat="1" x14ac:dyDescent="0.25">
      <c r="A17" s="200" t="s">
        <v>636</v>
      </c>
      <c r="B17" s="59">
        <v>81.77</v>
      </c>
      <c r="C17" s="210" t="s">
        <v>43</v>
      </c>
      <c r="D17" s="59">
        <v>61.87</v>
      </c>
      <c r="E17" s="59">
        <v>4.07</v>
      </c>
      <c r="F17" s="59">
        <v>0.65</v>
      </c>
      <c r="G17" s="59">
        <v>155.41999999999999</v>
      </c>
      <c r="H17" s="59">
        <v>49.14</v>
      </c>
      <c r="I17" s="59">
        <v>1.1200000000000001</v>
      </c>
      <c r="J17" s="59">
        <v>0.13</v>
      </c>
      <c r="K17" s="59">
        <v>298.44</v>
      </c>
      <c r="L17" s="59">
        <v>17.43</v>
      </c>
      <c r="M17" s="59">
        <v>82</v>
      </c>
      <c r="N17" s="59">
        <v>24.2</v>
      </c>
      <c r="O17" s="59">
        <v>0</v>
      </c>
      <c r="P17" s="59">
        <v>2.74</v>
      </c>
      <c r="Q17" s="59">
        <v>52.74</v>
      </c>
      <c r="R17" s="197"/>
      <c r="S17" s="197"/>
      <c r="T17" s="197"/>
      <c r="U17" s="197"/>
    </row>
    <row r="18" spans="1:21" s="12" customFormat="1" x14ac:dyDescent="0.25">
      <c r="A18" s="200" t="s">
        <v>637</v>
      </c>
      <c r="B18" s="59">
        <v>78.44</v>
      </c>
      <c r="C18" s="210" t="s">
        <v>43</v>
      </c>
      <c r="D18" s="59">
        <v>59.83</v>
      </c>
      <c r="E18" s="59">
        <v>4.41</v>
      </c>
      <c r="F18" s="59">
        <v>0.52</v>
      </c>
      <c r="G18" s="59">
        <v>155.41999999999999</v>
      </c>
      <c r="H18" s="59">
        <v>49.14</v>
      </c>
      <c r="I18" s="59">
        <v>1.0900000000000001</v>
      </c>
      <c r="J18" s="59">
        <v>0.04</v>
      </c>
      <c r="K18" s="59">
        <v>288.66000000000003</v>
      </c>
      <c r="L18" s="59">
        <v>16.93</v>
      </c>
      <c r="M18" s="59">
        <v>85</v>
      </c>
      <c r="N18" s="59">
        <v>24.6</v>
      </c>
      <c r="O18" s="59">
        <v>0</v>
      </c>
      <c r="P18" s="59">
        <v>2.66</v>
      </c>
      <c r="Q18" s="59">
        <v>52.38</v>
      </c>
      <c r="R18" s="197"/>
      <c r="S18" s="197"/>
      <c r="T18" s="197"/>
      <c r="U18" s="197"/>
    </row>
    <row r="19" spans="1:21" s="12" customFormat="1" x14ac:dyDescent="0.25">
      <c r="A19" s="200" t="s">
        <v>638</v>
      </c>
      <c r="B19" s="59">
        <v>75.540000000000006</v>
      </c>
      <c r="C19" s="210" t="s">
        <v>43</v>
      </c>
      <c r="D19" s="59">
        <v>57.88</v>
      </c>
      <c r="E19" s="59">
        <v>4.32</v>
      </c>
      <c r="F19" s="59">
        <v>0.55000000000000004</v>
      </c>
      <c r="G19" s="59">
        <v>142.38</v>
      </c>
      <c r="H19" s="59">
        <v>49.17</v>
      </c>
      <c r="I19" s="59">
        <v>1.06</v>
      </c>
      <c r="J19" s="59">
        <v>0.08</v>
      </c>
      <c r="K19" s="59">
        <v>274.8</v>
      </c>
      <c r="L19" s="59">
        <v>16.739999999999998</v>
      </c>
      <c r="M19" s="59">
        <v>87</v>
      </c>
      <c r="N19" s="59">
        <v>24.4</v>
      </c>
      <c r="O19" s="59">
        <v>0</v>
      </c>
      <c r="P19" s="59">
        <v>2.59</v>
      </c>
      <c r="Q19" s="59">
        <v>53.32</v>
      </c>
      <c r="R19" s="197"/>
      <c r="S19" s="197"/>
      <c r="T19" s="197"/>
      <c r="U19" s="197"/>
    </row>
    <row r="20" spans="1:21" s="12" customFormat="1" x14ac:dyDescent="0.25">
      <c r="A20" s="200" t="s">
        <v>639</v>
      </c>
      <c r="B20" s="59">
        <v>71.92</v>
      </c>
      <c r="C20" s="210" t="s">
        <v>43</v>
      </c>
      <c r="D20" s="59">
        <v>55.49</v>
      </c>
      <c r="E20" s="59">
        <v>4.2300000000000004</v>
      </c>
      <c r="F20" s="59">
        <v>0.75</v>
      </c>
      <c r="G20" s="59">
        <v>112.38</v>
      </c>
      <c r="H20" s="59">
        <v>49.26</v>
      </c>
      <c r="I20" s="59">
        <v>1.04</v>
      </c>
      <c r="J20" s="59">
        <v>0.09</v>
      </c>
      <c r="K20" s="59">
        <v>258.54000000000002</v>
      </c>
      <c r="L20" s="59">
        <v>16.739999999999998</v>
      </c>
      <c r="M20" s="59">
        <v>87</v>
      </c>
      <c r="N20" s="59">
        <v>24.2</v>
      </c>
      <c r="O20" s="59">
        <v>0</v>
      </c>
      <c r="P20" s="59">
        <v>2.52</v>
      </c>
      <c r="Q20" s="59">
        <v>53.77</v>
      </c>
      <c r="R20" s="197"/>
      <c r="S20" s="197"/>
      <c r="T20" s="197"/>
      <c r="U20" s="197"/>
    </row>
    <row r="21" spans="1:21" s="12" customFormat="1" x14ac:dyDescent="0.25">
      <c r="A21" s="200" t="s">
        <v>640</v>
      </c>
      <c r="B21" s="59">
        <v>68.290000000000006</v>
      </c>
      <c r="C21" s="210" t="s">
        <v>43</v>
      </c>
      <c r="D21" s="59">
        <v>53.32</v>
      </c>
      <c r="E21" s="59">
        <v>3.81</v>
      </c>
      <c r="F21" s="59">
        <v>0.7</v>
      </c>
      <c r="G21" s="59">
        <v>112.38</v>
      </c>
      <c r="H21" s="59">
        <v>49.26</v>
      </c>
      <c r="I21" s="59">
        <v>1.01</v>
      </c>
      <c r="J21" s="59">
        <v>0.08</v>
      </c>
      <c r="K21" s="59">
        <v>113.97</v>
      </c>
      <c r="L21" s="59">
        <v>16.670000000000002</v>
      </c>
      <c r="M21" s="59">
        <v>87</v>
      </c>
      <c r="N21" s="59">
        <v>24.3</v>
      </c>
      <c r="O21" s="59">
        <v>0</v>
      </c>
      <c r="P21" s="59">
        <v>2.4500000000000002</v>
      </c>
      <c r="Q21" s="59">
        <v>53.32</v>
      </c>
      <c r="R21" s="197"/>
      <c r="S21" s="197"/>
      <c r="T21" s="197"/>
      <c r="U21" s="197"/>
    </row>
    <row r="22" spans="1:21" s="12" customFormat="1" x14ac:dyDescent="0.25">
      <c r="A22" s="200" t="s">
        <v>641</v>
      </c>
      <c r="B22" s="59">
        <v>65.42</v>
      </c>
      <c r="C22" s="210" t="s">
        <v>43</v>
      </c>
      <c r="D22" s="59">
        <v>51.62</v>
      </c>
      <c r="E22" s="59">
        <v>3.84</v>
      </c>
      <c r="F22" s="59">
        <v>1.35</v>
      </c>
      <c r="G22" s="59">
        <v>112.38</v>
      </c>
      <c r="H22" s="59">
        <v>49.26</v>
      </c>
      <c r="I22" s="59">
        <v>0.97</v>
      </c>
      <c r="J22" s="59">
        <v>0.02</v>
      </c>
      <c r="K22" s="59">
        <v>138.91999999999999</v>
      </c>
      <c r="L22" s="59">
        <v>16.55</v>
      </c>
      <c r="M22" s="59">
        <v>88</v>
      </c>
      <c r="N22" s="59">
        <v>24.4</v>
      </c>
      <c r="O22" s="59">
        <v>0</v>
      </c>
      <c r="P22" s="59">
        <v>2.39</v>
      </c>
      <c r="Q22" s="59">
        <v>52.66</v>
      </c>
      <c r="R22" s="197"/>
      <c r="S22" s="197"/>
      <c r="T22" s="197"/>
      <c r="U22" s="197"/>
    </row>
    <row r="23" spans="1:21" s="12" customFormat="1" x14ac:dyDescent="0.25">
      <c r="A23" s="200" t="s">
        <v>642</v>
      </c>
      <c r="B23" s="59">
        <v>64.180000000000007</v>
      </c>
      <c r="C23" s="210" t="s">
        <v>43</v>
      </c>
      <c r="D23" s="59">
        <v>50.77</v>
      </c>
      <c r="E23" s="59">
        <v>4.0599999999999996</v>
      </c>
      <c r="F23" s="59">
        <v>0.73</v>
      </c>
      <c r="G23" s="59">
        <v>111.48</v>
      </c>
      <c r="H23" s="59">
        <v>49.64</v>
      </c>
      <c r="I23" s="59">
        <v>0.93</v>
      </c>
      <c r="J23" s="59">
        <v>0.06</v>
      </c>
      <c r="K23" s="59">
        <v>145.88</v>
      </c>
      <c r="L23" s="59">
        <v>16.53</v>
      </c>
      <c r="M23" s="59">
        <v>89</v>
      </c>
      <c r="N23" s="59">
        <v>24.4</v>
      </c>
      <c r="O23" s="59">
        <v>0</v>
      </c>
      <c r="P23" s="59">
        <v>2.35</v>
      </c>
      <c r="Q23" s="59">
        <v>51.93</v>
      </c>
      <c r="R23" s="197"/>
      <c r="S23" s="197"/>
      <c r="T23" s="197"/>
      <c r="U23" s="197"/>
    </row>
    <row r="24" spans="1:21" s="12" customFormat="1" x14ac:dyDescent="0.25">
      <c r="A24" s="200" t="s">
        <v>643</v>
      </c>
      <c r="B24" s="59">
        <v>62.46</v>
      </c>
      <c r="C24" s="210" t="s">
        <v>43</v>
      </c>
      <c r="D24" s="59">
        <v>49.64</v>
      </c>
      <c r="E24" s="59">
        <v>3.12</v>
      </c>
      <c r="F24" s="59">
        <v>0.68</v>
      </c>
      <c r="G24" s="59">
        <v>107.72</v>
      </c>
      <c r="H24" s="59">
        <v>50.89</v>
      </c>
      <c r="I24" s="59">
        <v>0.91</v>
      </c>
      <c r="J24" s="59">
        <v>0.01</v>
      </c>
      <c r="K24" s="59">
        <v>88.27</v>
      </c>
      <c r="L24" s="59">
        <v>16.489999999999998</v>
      </c>
      <c r="M24" s="59">
        <v>87</v>
      </c>
      <c r="N24" s="59">
        <v>24.4</v>
      </c>
      <c r="O24" s="59">
        <v>0</v>
      </c>
      <c r="P24" s="59">
        <v>2.29</v>
      </c>
      <c r="Q24" s="59">
        <v>51.24</v>
      </c>
      <c r="R24" s="197"/>
      <c r="S24" s="197"/>
      <c r="T24" s="197"/>
      <c r="U24" s="197"/>
    </row>
    <row r="25" spans="1:21" s="12" customFormat="1" x14ac:dyDescent="0.25">
      <c r="A25" s="200" t="s">
        <v>644</v>
      </c>
      <c r="B25" s="59">
        <v>59.46</v>
      </c>
      <c r="C25" s="59">
        <v>0.65</v>
      </c>
      <c r="D25" s="59">
        <v>48.04</v>
      </c>
      <c r="E25" s="59">
        <v>4.84</v>
      </c>
      <c r="F25" s="59">
        <v>1.03</v>
      </c>
      <c r="G25" s="59">
        <v>107.72</v>
      </c>
      <c r="H25" s="59">
        <v>50.89</v>
      </c>
      <c r="I25" s="59">
        <v>0.88</v>
      </c>
      <c r="J25" s="59">
        <v>0.04</v>
      </c>
      <c r="K25" s="59">
        <v>275.74</v>
      </c>
      <c r="L25" s="59">
        <v>16.489999999999998</v>
      </c>
      <c r="M25" s="59">
        <v>84</v>
      </c>
      <c r="N25" s="59">
        <v>24.2</v>
      </c>
      <c r="O25" s="59">
        <v>0</v>
      </c>
      <c r="P25" s="59">
        <v>2.2200000000000002</v>
      </c>
      <c r="Q25" s="59">
        <v>51.01</v>
      </c>
      <c r="R25" s="197"/>
      <c r="S25" s="197"/>
      <c r="T25" s="197"/>
      <c r="U25" s="197"/>
    </row>
    <row r="26" spans="1:21" s="12" customFormat="1" x14ac:dyDescent="0.25">
      <c r="A26" s="200" t="s">
        <v>645</v>
      </c>
      <c r="B26" s="59">
        <v>56.89</v>
      </c>
      <c r="C26" s="59">
        <v>2.12</v>
      </c>
      <c r="D26" s="59">
        <v>46.79</v>
      </c>
      <c r="E26" s="59">
        <v>4.72</v>
      </c>
      <c r="F26" s="59">
        <v>0.73</v>
      </c>
      <c r="G26" s="59">
        <v>107.72</v>
      </c>
      <c r="H26" s="59">
        <v>50.89</v>
      </c>
      <c r="I26" s="59">
        <v>0.87</v>
      </c>
      <c r="J26" s="59">
        <v>0.13</v>
      </c>
      <c r="K26" s="59">
        <v>333.52</v>
      </c>
      <c r="L26" s="59">
        <v>16.420000000000002</v>
      </c>
      <c r="M26" s="59">
        <v>86</v>
      </c>
      <c r="N26" s="59">
        <v>24.1</v>
      </c>
      <c r="O26" s="59">
        <v>0</v>
      </c>
      <c r="P26" s="59">
        <v>2.16</v>
      </c>
      <c r="Q26" s="59">
        <v>49.59</v>
      </c>
      <c r="R26" s="197"/>
      <c r="S26" s="197"/>
      <c r="T26" s="197"/>
      <c r="U26" s="197"/>
    </row>
    <row r="27" spans="1:21" s="12" customFormat="1" x14ac:dyDescent="0.25">
      <c r="A27" s="200" t="s">
        <v>646</v>
      </c>
      <c r="B27" s="59">
        <v>55.63</v>
      </c>
      <c r="C27" s="59">
        <v>3.04</v>
      </c>
      <c r="D27" s="59">
        <v>46.29</v>
      </c>
      <c r="E27" s="59">
        <v>4.97</v>
      </c>
      <c r="F27" s="59">
        <v>0.88</v>
      </c>
      <c r="G27" s="59">
        <v>104.82</v>
      </c>
      <c r="H27" s="59">
        <v>50.64</v>
      </c>
      <c r="I27" s="59">
        <v>0.84</v>
      </c>
      <c r="J27" s="59">
        <v>0.02</v>
      </c>
      <c r="K27" s="59">
        <v>316.81</v>
      </c>
      <c r="L27" s="59">
        <v>16.649999999999999</v>
      </c>
      <c r="M27" s="59">
        <v>80</v>
      </c>
      <c r="N27" s="59">
        <v>23.8</v>
      </c>
      <c r="O27" s="59">
        <v>0</v>
      </c>
      <c r="P27" s="59">
        <v>2.13</v>
      </c>
      <c r="Q27" s="59">
        <v>48.7</v>
      </c>
      <c r="R27" s="197"/>
      <c r="S27" s="197"/>
      <c r="T27" s="197"/>
      <c r="U27" s="197"/>
    </row>
    <row r="28" spans="1:21" s="12" customFormat="1" x14ac:dyDescent="0.25">
      <c r="A28" s="200" t="s">
        <v>647</v>
      </c>
      <c r="B28" s="59">
        <v>53.39</v>
      </c>
      <c r="C28" s="59">
        <v>4.21</v>
      </c>
      <c r="D28" s="59">
        <v>45.14</v>
      </c>
      <c r="E28" s="59">
        <v>5.29</v>
      </c>
      <c r="F28" s="59">
        <v>0.97</v>
      </c>
      <c r="G28" s="59">
        <v>98.14</v>
      </c>
      <c r="H28" s="59">
        <v>49.82</v>
      </c>
      <c r="I28" s="59">
        <v>0.83</v>
      </c>
      <c r="J28" s="59">
        <v>7.0000000000000007E-2</v>
      </c>
      <c r="K28" s="59">
        <v>228.96</v>
      </c>
      <c r="L28" s="59">
        <v>16.489999999999998</v>
      </c>
      <c r="M28" s="59">
        <v>81</v>
      </c>
      <c r="N28" s="59">
        <v>23.9</v>
      </c>
      <c r="O28" s="59">
        <v>0</v>
      </c>
      <c r="P28" s="59">
        <v>2.0699999999999998</v>
      </c>
      <c r="Q28" s="59">
        <v>48.66</v>
      </c>
      <c r="R28" s="197"/>
      <c r="S28" s="197"/>
      <c r="T28" s="197"/>
      <c r="U28" s="197"/>
    </row>
    <row r="29" spans="1:21" s="12" customFormat="1" x14ac:dyDescent="0.25">
      <c r="A29" s="200" t="s">
        <v>648</v>
      </c>
      <c r="B29" s="59">
        <v>50.76</v>
      </c>
      <c r="C29" s="59">
        <v>5.59</v>
      </c>
      <c r="D29" s="59">
        <v>43.79</v>
      </c>
      <c r="E29" s="59">
        <v>4.87</v>
      </c>
      <c r="F29" s="59">
        <v>1.06</v>
      </c>
      <c r="G29" s="59">
        <v>98.14</v>
      </c>
      <c r="H29" s="59">
        <v>49.82</v>
      </c>
      <c r="I29" s="59">
        <v>0.81</v>
      </c>
      <c r="J29" s="59">
        <v>0.08</v>
      </c>
      <c r="K29" s="59">
        <v>270.33999999999997</v>
      </c>
      <c r="L29" s="59">
        <v>16.440000000000001</v>
      </c>
      <c r="M29" s="59">
        <v>82</v>
      </c>
      <c r="N29" s="59">
        <v>23.9</v>
      </c>
      <c r="O29" s="59">
        <v>0</v>
      </c>
      <c r="P29" s="59">
        <v>2.0099999999999998</v>
      </c>
      <c r="Q29" s="59">
        <v>48.26</v>
      </c>
      <c r="R29" s="197"/>
      <c r="S29" s="197"/>
      <c r="T29" s="197"/>
      <c r="U29" s="197"/>
    </row>
    <row r="30" spans="1:21" s="12" customFormat="1" x14ac:dyDescent="0.25">
      <c r="A30" s="200" t="s">
        <v>649</v>
      </c>
      <c r="B30" s="59">
        <v>48.74</v>
      </c>
      <c r="C30" s="59">
        <v>6.52</v>
      </c>
      <c r="D30" s="59">
        <v>42.68</v>
      </c>
      <c r="E30" s="59">
        <v>4.97</v>
      </c>
      <c r="F30" s="59">
        <v>0.67</v>
      </c>
      <c r="G30" s="59">
        <v>98.14</v>
      </c>
      <c r="H30" s="59">
        <v>49.82</v>
      </c>
      <c r="I30" s="59">
        <v>0.79</v>
      </c>
      <c r="J30" s="59">
        <v>0.11</v>
      </c>
      <c r="K30" s="59">
        <v>306.37</v>
      </c>
      <c r="L30" s="59">
        <v>16.32</v>
      </c>
      <c r="M30" s="59">
        <v>83</v>
      </c>
      <c r="N30" s="59">
        <v>24.1</v>
      </c>
      <c r="O30" s="59">
        <v>0</v>
      </c>
      <c r="P30" s="59">
        <v>1.97</v>
      </c>
      <c r="Q30" s="59">
        <v>48.26</v>
      </c>
      <c r="R30" s="197"/>
      <c r="S30" s="197"/>
      <c r="T30" s="197"/>
      <c r="U30" s="197"/>
    </row>
    <row r="31" spans="1:21" s="12" customFormat="1" x14ac:dyDescent="0.25">
      <c r="A31" s="200" t="s">
        <v>650</v>
      </c>
      <c r="B31" s="59">
        <v>49.81</v>
      </c>
      <c r="C31" s="59">
        <v>5.86</v>
      </c>
      <c r="D31" s="59">
        <v>43.18</v>
      </c>
      <c r="E31" s="59">
        <v>5.0999999999999996</v>
      </c>
      <c r="F31" s="59">
        <v>0.5</v>
      </c>
      <c r="G31" s="59">
        <v>102.99</v>
      </c>
      <c r="H31" s="59">
        <v>48.94</v>
      </c>
      <c r="I31" s="59">
        <v>0.78</v>
      </c>
      <c r="J31" s="59">
        <v>0.1</v>
      </c>
      <c r="K31" s="59">
        <v>319.20999999999998</v>
      </c>
      <c r="L31" s="59">
        <v>16.02</v>
      </c>
      <c r="M31" s="59">
        <v>85</v>
      </c>
      <c r="N31" s="59">
        <v>24.2</v>
      </c>
      <c r="O31" s="59">
        <v>0</v>
      </c>
      <c r="P31" s="59">
        <v>1.95</v>
      </c>
      <c r="Q31" s="59">
        <v>48.43</v>
      </c>
      <c r="R31" s="197"/>
      <c r="S31" s="197"/>
      <c r="T31" s="197"/>
      <c r="U31" s="197"/>
    </row>
    <row r="32" spans="1:21" s="12" customFormat="1" x14ac:dyDescent="0.25">
      <c r="A32" s="200" t="s">
        <v>651</v>
      </c>
      <c r="B32" s="59">
        <v>52.7</v>
      </c>
      <c r="C32" s="59">
        <v>4.3899999999999997</v>
      </c>
      <c r="D32" s="59">
        <v>44.68</v>
      </c>
      <c r="E32" s="59">
        <v>5.44</v>
      </c>
      <c r="F32" s="59">
        <v>0.64</v>
      </c>
      <c r="G32" s="59">
        <v>113.63</v>
      </c>
      <c r="H32" s="59">
        <v>46.04</v>
      </c>
      <c r="I32" s="59">
        <v>0.77</v>
      </c>
      <c r="J32" s="59">
        <v>0.06</v>
      </c>
      <c r="K32" s="59">
        <v>307.08999999999997</v>
      </c>
      <c r="L32" s="59">
        <v>15.95</v>
      </c>
      <c r="M32" s="59">
        <v>85</v>
      </c>
      <c r="N32" s="59">
        <v>24.2</v>
      </c>
      <c r="O32" s="59">
        <v>0</v>
      </c>
      <c r="P32" s="59">
        <v>1.94</v>
      </c>
      <c r="Q32" s="59">
        <v>48.31</v>
      </c>
      <c r="R32" s="197"/>
      <c r="S32" s="197"/>
      <c r="T32" s="197"/>
      <c r="U32" s="197"/>
    </row>
    <row r="33" spans="1:21" s="12" customFormat="1" x14ac:dyDescent="0.25">
      <c r="A33" s="200" t="s">
        <v>652</v>
      </c>
      <c r="B33" s="59">
        <v>53.78</v>
      </c>
      <c r="C33" s="59">
        <v>4.21</v>
      </c>
      <c r="D33" s="59">
        <v>45.45</v>
      </c>
      <c r="E33" s="59">
        <v>5.0999999999999996</v>
      </c>
      <c r="F33" s="59">
        <v>0.66</v>
      </c>
      <c r="G33" s="59">
        <v>113.63</v>
      </c>
      <c r="H33" s="59">
        <v>46.04</v>
      </c>
      <c r="I33" s="59">
        <v>0.76</v>
      </c>
      <c r="J33" s="59">
        <v>0.08</v>
      </c>
      <c r="K33" s="59">
        <v>39.979999999999997</v>
      </c>
      <c r="L33" s="59">
        <v>16.13</v>
      </c>
      <c r="M33" s="59">
        <v>81</v>
      </c>
      <c r="N33" s="59">
        <v>24.2</v>
      </c>
      <c r="O33" s="59">
        <v>0</v>
      </c>
      <c r="P33" s="59">
        <v>1.92</v>
      </c>
      <c r="Q33" s="59">
        <v>48.88</v>
      </c>
      <c r="R33" s="197"/>
      <c r="S33" s="197"/>
      <c r="T33" s="197"/>
      <c r="U33" s="197"/>
    </row>
    <row r="34" spans="1:21" s="12" customFormat="1" x14ac:dyDescent="0.25">
      <c r="A34" s="200" t="s">
        <v>653</v>
      </c>
      <c r="B34" s="59">
        <v>54.24</v>
      </c>
      <c r="C34" s="59">
        <v>4.4400000000000004</v>
      </c>
      <c r="D34" s="59">
        <v>45.95</v>
      </c>
      <c r="E34" s="59">
        <v>5.05</v>
      </c>
      <c r="F34" s="59">
        <v>0.64</v>
      </c>
      <c r="G34" s="59">
        <v>113.63</v>
      </c>
      <c r="H34" s="59">
        <v>46.04</v>
      </c>
      <c r="I34" s="59">
        <v>0.76</v>
      </c>
      <c r="J34" s="59">
        <v>0.12</v>
      </c>
      <c r="K34" s="59">
        <v>63.64</v>
      </c>
      <c r="L34" s="59">
        <v>16.89</v>
      </c>
      <c r="M34" s="59">
        <v>76</v>
      </c>
      <c r="N34" s="59">
        <v>26.3</v>
      </c>
      <c r="O34" s="59">
        <v>0</v>
      </c>
      <c r="P34" s="59">
        <v>1.91</v>
      </c>
      <c r="Q34" s="59">
        <v>50.17</v>
      </c>
      <c r="R34" s="197"/>
      <c r="S34" s="197"/>
      <c r="T34" s="197"/>
      <c r="U34" s="197"/>
    </row>
    <row r="35" spans="1:21" s="12" customFormat="1" x14ac:dyDescent="0.25">
      <c r="A35" s="200" t="s">
        <v>654</v>
      </c>
      <c r="B35" s="59">
        <v>53.43</v>
      </c>
      <c r="C35" s="59">
        <v>5.13</v>
      </c>
      <c r="D35" s="59">
        <v>45.68</v>
      </c>
      <c r="E35" s="59">
        <v>5.0199999999999996</v>
      </c>
      <c r="F35" s="59">
        <v>0.72</v>
      </c>
      <c r="G35" s="59">
        <v>112.79</v>
      </c>
      <c r="H35" s="59">
        <v>46.51</v>
      </c>
      <c r="I35" s="59">
        <v>0.74</v>
      </c>
      <c r="J35" s="59">
        <v>0.16</v>
      </c>
      <c r="K35" s="59">
        <v>70.67</v>
      </c>
      <c r="L35" s="59">
        <v>17.32</v>
      </c>
      <c r="M35" s="59">
        <v>73</v>
      </c>
      <c r="N35" s="59">
        <v>33.799999999999997</v>
      </c>
      <c r="O35" s="59">
        <v>0</v>
      </c>
      <c r="P35" s="59">
        <v>1.91</v>
      </c>
      <c r="Q35" s="59">
        <v>50.08</v>
      </c>
      <c r="R35" s="197"/>
      <c r="S35" s="197"/>
      <c r="T35" s="197"/>
      <c r="U35" s="197"/>
    </row>
    <row r="36" spans="1:21" s="12" customFormat="1" x14ac:dyDescent="0.25">
      <c r="A36" s="200" t="s">
        <v>655</v>
      </c>
      <c r="B36" s="59">
        <v>52.27</v>
      </c>
      <c r="C36" s="59">
        <v>6.41</v>
      </c>
      <c r="D36" s="59">
        <v>45.45</v>
      </c>
      <c r="E36" s="59">
        <v>4.9800000000000004</v>
      </c>
      <c r="F36" s="59">
        <v>0.72</v>
      </c>
      <c r="G36" s="59">
        <v>110.95</v>
      </c>
      <c r="H36" s="59">
        <v>48.04</v>
      </c>
      <c r="I36" s="59">
        <v>0.72</v>
      </c>
      <c r="J36" s="59">
        <v>0.17</v>
      </c>
      <c r="K36" s="59">
        <v>92.01</v>
      </c>
      <c r="L36" s="59">
        <v>17.5</v>
      </c>
      <c r="M36" s="59">
        <v>71</v>
      </c>
      <c r="N36" s="59">
        <v>45.8</v>
      </c>
      <c r="O36" s="59">
        <v>0</v>
      </c>
      <c r="P36" s="59">
        <v>1.87</v>
      </c>
      <c r="Q36" s="59">
        <v>49.53</v>
      </c>
      <c r="R36" s="197"/>
      <c r="S36" s="197"/>
      <c r="T36" s="197"/>
      <c r="U36" s="197"/>
    </row>
    <row r="37" spans="1:21" s="12" customFormat="1" x14ac:dyDescent="0.25">
      <c r="A37" s="200" t="s">
        <v>656</v>
      </c>
      <c r="B37" s="59">
        <v>49.92</v>
      </c>
      <c r="C37" s="59">
        <v>9.0399999999999991</v>
      </c>
      <c r="D37" s="59">
        <v>45.02</v>
      </c>
      <c r="E37" s="59">
        <v>5.0999999999999996</v>
      </c>
      <c r="F37" s="59">
        <v>0.7</v>
      </c>
      <c r="G37" s="59">
        <v>110.95</v>
      </c>
      <c r="H37" s="59">
        <v>48.04</v>
      </c>
      <c r="I37" s="59">
        <v>0.69</v>
      </c>
      <c r="J37" s="59">
        <v>0.21</v>
      </c>
      <c r="K37" s="59">
        <v>356.46</v>
      </c>
      <c r="L37" s="59">
        <v>17.809999999999999</v>
      </c>
      <c r="M37" s="59">
        <v>71</v>
      </c>
      <c r="N37" s="59">
        <v>58.9</v>
      </c>
      <c r="O37" s="59">
        <v>0</v>
      </c>
      <c r="P37" s="59">
        <v>1.78</v>
      </c>
      <c r="Q37" s="59">
        <v>49.17</v>
      </c>
      <c r="R37" s="197"/>
      <c r="S37" s="197"/>
      <c r="T37" s="197"/>
      <c r="U37" s="197"/>
    </row>
    <row r="38" spans="1:21" s="12" customFormat="1" x14ac:dyDescent="0.25">
      <c r="A38" s="200" t="s">
        <v>657</v>
      </c>
      <c r="B38" s="59">
        <v>48.14</v>
      </c>
      <c r="C38" s="59">
        <v>10.85</v>
      </c>
      <c r="D38" s="59">
        <v>44.59</v>
      </c>
      <c r="E38" s="59">
        <v>4.95</v>
      </c>
      <c r="F38" s="59">
        <v>0.75</v>
      </c>
      <c r="G38" s="59">
        <v>110.95</v>
      </c>
      <c r="H38" s="59">
        <v>48.04</v>
      </c>
      <c r="I38" s="59">
        <v>0.66</v>
      </c>
      <c r="J38" s="59">
        <v>0.44</v>
      </c>
      <c r="K38" s="59">
        <v>347.53</v>
      </c>
      <c r="L38" s="59">
        <v>18.29</v>
      </c>
      <c r="M38" s="59">
        <v>71</v>
      </c>
      <c r="N38" s="59">
        <v>81.7</v>
      </c>
      <c r="O38" s="59">
        <v>0</v>
      </c>
      <c r="P38" s="59">
        <v>1.81</v>
      </c>
      <c r="Q38" s="59">
        <v>48.9</v>
      </c>
      <c r="R38" s="197"/>
      <c r="S38" s="197"/>
      <c r="T38" s="197"/>
      <c r="U38" s="197"/>
    </row>
    <row r="39" spans="1:21" s="12" customFormat="1" x14ac:dyDescent="0.25">
      <c r="A39" s="200" t="s">
        <v>658</v>
      </c>
      <c r="B39" s="59">
        <v>46.92</v>
      </c>
      <c r="C39" s="59">
        <v>13.3</v>
      </c>
      <c r="D39" s="59">
        <v>44.97</v>
      </c>
      <c r="E39" s="59">
        <v>5.09</v>
      </c>
      <c r="F39" s="59">
        <v>0.6</v>
      </c>
      <c r="G39" s="59">
        <v>110.11</v>
      </c>
      <c r="H39" s="59">
        <v>47.71</v>
      </c>
      <c r="I39" s="59">
        <v>0.64</v>
      </c>
      <c r="J39" s="59">
        <v>0.62</v>
      </c>
      <c r="K39" s="59">
        <v>351.46</v>
      </c>
      <c r="L39" s="59">
        <v>19.600000000000001</v>
      </c>
      <c r="M39" s="59">
        <v>66</v>
      </c>
      <c r="N39" s="59">
        <v>136.6</v>
      </c>
      <c r="O39" s="59">
        <v>0</v>
      </c>
      <c r="P39" s="59">
        <v>1.81</v>
      </c>
      <c r="Q39" s="59">
        <v>48.27</v>
      </c>
      <c r="R39" s="197"/>
      <c r="S39" s="197"/>
      <c r="T39" s="197"/>
      <c r="U39" s="197"/>
    </row>
    <row r="40" spans="1:21" s="12" customFormat="1" x14ac:dyDescent="0.25">
      <c r="A40" s="200" t="s">
        <v>659</v>
      </c>
      <c r="B40" s="59">
        <v>46.51</v>
      </c>
      <c r="C40" s="59">
        <v>17.149999999999999</v>
      </c>
      <c r="D40" s="59">
        <v>46.76</v>
      </c>
      <c r="E40" s="59">
        <v>2.74</v>
      </c>
      <c r="F40" s="59">
        <v>0.8</v>
      </c>
      <c r="G40" s="59">
        <v>106.28</v>
      </c>
      <c r="H40" s="59">
        <v>46.65</v>
      </c>
      <c r="I40" s="59">
        <v>0.61</v>
      </c>
      <c r="J40" s="59">
        <v>0.88</v>
      </c>
      <c r="K40" s="59">
        <v>353.81</v>
      </c>
      <c r="L40" s="59">
        <v>21.74</v>
      </c>
      <c r="M40" s="59">
        <v>58</v>
      </c>
      <c r="N40" s="59">
        <v>180.5</v>
      </c>
      <c r="O40" s="59">
        <v>0</v>
      </c>
      <c r="P40" s="59">
        <v>1.82</v>
      </c>
      <c r="Q40" s="59">
        <v>46.55</v>
      </c>
      <c r="R40" s="197"/>
      <c r="S40" s="197"/>
      <c r="T40" s="197"/>
      <c r="U40" s="197"/>
    </row>
    <row r="41" spans="1:21" s="12" customFormat="1" x14ac:dyDescent="0.25">
      <c r="A41" s="200" t="s">
        <v>660</v>
      </c>
      <c r="B41" s="59">
        <v>45.73</v>
      </c>
      <c r="C41" s="59">
        <v>20.29</v>
      </c>
      <c r="D41" s="59">
        <v>47.87</v>
      </c>
      <c r="E41" s="59">
        <v>3.92</v>
      </c>
      <c r="F41" s="59">
        <v>0.82</v>
      </c>
      <c r="G41" s="59">
        <v>106.28</v>
      </c>
      <c r="H41" s="59">
        <v>46.65</v>
      </c>
      <c r="I41" s="59">
        <v>0.6</v>
      </c>
      <c r="J41" s="59">
        <v>0.86</v>
      </c>
      <c r="K41" s="59">
        <v>351.12</v>
      </c>
      <c r="L41" s="59">
        <v>23.12</v>
      </c>
      <c r="M41" s="59">
        <v>53</v>
      </c>
      <c r="N41" s="59">
        <v>214.8</v>
      </c>
      <c r="O41" s="59">
        <v>0</v>
      </c>
      <c r="P41" s="59">
        <v>1.82</v>
      </c>
      <c r="Q41" s="59">
        <v>45.73</v>
      </c>
      <c r="R41" s="197"/>
      <c r="S41" s="197"/>
      <c r="T41" s="197"/>
      <c r="U41" s="197"/>
    </row>
    <row r="42" spans="1:21" s="12" customFormat="1" x14ac:dyDescent="0.25">
      <c r="A42" s="200" t="s">
        <v>661</v>
      </c>
      <c r="B42" s="59">
        <v>43.58</v>
      </c>
      <c r="C42" s="59">
        <v>20.65</v>
      </c>
      <c r="D42" s="59">
        <v>46.34</v>
      </c>
      <c r="E42" s="59">
        <v>3.83</v>
      </c>
      <c r="F42" s="59">
        <v>0.88</v>
      </c>
      <c r="G42" s="59">
        <v>106.28</v>
      </c>
      <c r="H42" s="59">
        <v>46.65</v>
      </c>
      <c r="I42" s="59">
        <v>0.59</v>
      </c>
      <c r="J42" s="59">
        <v>0.65</v>
      </c>
      <c r="K42" s="59">
        <v>351.44</v>
      </c>
      <c r="L42" s="59">
        <v>23.69</v>
      </c>
      <c r="M42" s="59">
        <v>51</v>
      </c>
      <c r="N42" s="59">
        <v>247.3</v>
      </c>
      <c r="O42" s="59">
        <v>0</v>
      </c>
      <c r="P42" s="59">
        <v>1.81</v>
      </c>
      <c r="Q42" s="59">
        <v>45.65</v>
      </c>
      <c r="R42" s="197"/>
      <c r="S42" s="197"/>
      <c r="T42" s="197"/>
      <c r="U42" s="197"/>
    </row>
    <row r="43" spans="1:21" s="12" customFormat="1" x14ac:dyDescent="0.25">
      <c r="A43" s="200" t="s">
        <v>662</v>
      </c>
      <c r="B43" s="59">
        <v>40.43</v>
      </c>
      <c r="C43" s="59">
        <v>24.41</v>
      </c>
      <c r="D43" s="59">
        <v>45.9</v>
      </c>
      <c r="E43" s="59">
        <v>3.95</v>
      </c>
      <c r="F43" s="59">
        <v>0.81</v>
      </c>
      <c r="G43" s="59">
        <v>104.6</v>
      </c>
      <c r="H43" s="59">
        <v>46.16</v>
      </c>
      <c r="I43" s="59">
        <v>0.59</v>
      </c>
      <c r="J43" s="59">
        <v>0.77</v>
      </c>
      <c r="K43" s="59">
        <v>351.17</v>
      </c>
      <c r="L43" s="59">
        <v>25.04</v>
      </c>
      <c r="M43" s="59">
        <v>47</v>
      </c>
      <c r="N43" s="59">
        <v>279.39999999999998</v>
      </c>
      <c r="O43" s="59">
        <v>0</v>
      </c>
      <c r="P43" s="59">
        <v>1.77</v>
      </c>
      <c r="Q43" s="59">
        <v>45.16</v>
      </c>
      <c r="R43" s="197"/>
      <c r="S43" s="197"/>
      <c r="T43" s="197"/>
      <c r="U43" s="197"/>
    </row>
    <row r="44" spans="1:21" s="12" customFormat="1" x14ac:dyDescent="0.25">
      <c r="A44" s="200" t="s">
        <v>663</v>
      </c>
      <c r="B44" s="59">
        <v>37.35</v>
      </c>
      <c r="C44" s="59">
        <v>24.8</v>
      </c>
      <c r="D44" s="59">
        <v>43.64</v>
      </c>
      <c r="E44" s="59">
        <v>3.94</v>
      </c>
      <c r="F44" s="59">
        <v>1</v>
      </c>
      <c r="G44" s="59">
        <v>100.72</v>
      </c>
      <c r="H44" s="59">
        <v>44.63</v>
      </c>
      <c r="I44" s="59">
        <v>0.6</v>
      </c>
      <c r="J44" s="59">
        <v>0.64</v>
      </c>
      <c r="K44" s="59">
        <v>348.33</v>
      </c>
      <c r="L44" s="59">
        <v>25.97</v>
      </c>
      <c r="M44" s="59">
        <v>45</v>
      </c>
      <c r="N44" s="59">
        <v>307</v>
      </c>
      <c r="O44" s="59">
        <v>0</v>
      </c>
      <c r="P44" s="59">
        <v>1.75</v>
      </c>
      <c r="Q44" s="59">
        <v>45.15</v>
      </c>
      <c r="R44" s="197"/>
      <c r="S44" s="197"/>
      <c r="T44" s="197"/>
      <c r="U44" s="197"/>
    </row>
    <row r="45" spans="1:21" s="12" customFormat="1" x14ac:dyDescent="0.25">
      <c r="A45" s="200" t="s">
        <v>664</v>
      </c>
      <c r="B45" s="59">
        <v>35.119999999999997</v>
      </c>
      <c r="C45" s="59">
        <v>24.88</v>
      </c>
      <c r="D45" s="59">
        <v>41.89</v>
      </c>
      <c r="E45" s="59">
        <v>4.0999999999999996</v>
      </c>
      <c r="F45" s="59">
        <v>1.03</v>
      </c>
      <c r="G45" s="59">
        <v>100.72</v>
      </c>
      <c r="H45" s="59">
        <v>44.63</v>
      </c>
      <c r="I45" s="59">
        <v>0.59</v>
      </c>
      <c r="J45" s="59">
        <v>0.67</v>
      </c>
      <c r="K45" s="59">
        <v>357.3</v>
      </c>
      <c r="L45" s="59">
        <v>26.01</v>
      </c>
      <c r="M45" s="59">
        <v>44</v>
      </c>
      <c r="N45" s="59">
        <v>336</v>
      </c>
      <c r="O45" s="59">
        <v>0</v>
      </c>
      <c r="P45" s="59">
        <v>1.73</v>
      </c>
      <c r="Q45" s="59">
        <v>45.43</v>
      </c>
      <c r="R45" s="197"/>
      <c r="S45" s="197"/>
      <c r="T45" s="197"/>
      <c r="U45" s="197"/>
    </row>
    <row r="46" spans="1:21" s="12" customFormat="1" x14ac:dyDescent="0.25">
      <c r="A46" s="200" t="s">
        <v>665</v>
      </c>
      <c r="B46" s="59">
        <v>33.5</v>
      </c>
      <c r="C46" s="59">
        <v>26.94</v>
      </c>
      <c r="D46" s="59">
        <v>41.73</v>
      </c>
      <c r="E46" s="59">
        <v>4.53</v>
      </c>
      <c r="F46" s="59">
        <v>0.84</v>
      </c>
      <c r="G46" s="59">
        <v>100.72</v>
      </c>
      <c r="H46" s="59">
        <v>44.63</v>
      </c>
      <c r="I46" s="59">
        <v>0.59</v>
      </c>
      <c r="J46" s="59">
        <v>0.78</v>
      </c>
      <c r="K46" s="59">
        <v>10.68</v>
      </c>
      <c r="L46" s="59">
        <v>25.42</v>
      </c>
      <c r="M46" s="59">
        <v>45</v>
      </c>
      <c r="N46" s="59">
        <v>358.8</v>
      </c>
      <c r="O46" s="59">
        <v>0</v>
      </c>
      <c r="P46" s="59">
        <v>1.69</v>
      </c>
      <c r="Q46" s="59">
        <v>45.5</v>
      </c>
      <c r="R46" s="197"/>
      <c r="S46" s="197"/>
      <c r="T46" s="197"/>
      <c r="U46" s="197"/>
    </row>
    <row r="47" spans="1:21" s="12" customFormat="1" x14ac:dyDescent="0.25">
      <c r="A47" s="200" t="s">
        <v>666</v>
      </c>
      <c r="B47" s="59">
        <v>33.64</v>
      </c>
      <c r="C47" s="59">
        <v>28.09</v>
      </c>
      <c r="D47" s="59">
        <v>42.47</v>
      </c>
      <c r="E47" s="59">
        <v>4.6399999999999997</v>
      </c>
      <c r="F47" s="59">
        <v>0.78</v>
      </c>
      <c r="G47" s="59">
        <v>96.83</v>
      </c>
      <c r="H47" s="59">
        <v>43.94</v>
      </c>
      <c r="I47" s="59">
        <v>0.57999999999999996</v>
      </c>
      <c r="J47" s="59">
        <v>0.62</v>
      </c>
      <c r="K47" s="59">
        <v>23.15</v>
      </c>
      <c r="L47" s="59">
        <v>25.3</v>
      </c>
      <c r="M47" s="59">
        <v>45</v>
      </c>
      <c r="N47" s="59">
        <v>379.1</v>
      </c>
      <c r="O47" s="59">
        <v>0</v>
      </c>
      <c r="P47" s="59">
        <v>1.65</v>
      </c>
      <c r="Q47" s="59">
        <v>45.73</v>
      </c>
      <c r="R47" s="197"/>
      <c r="S47" s="197"/>
      <c r="T47" s="197"/>
      <c r="U47" s="197"/>
    </row>
    <row r="48" spans="1:21" s="12" customFormat="1" x14ac:dyDescent="0.25">
      <c r="A48" s="200" t="s">
        <v>667</v>
      </c>
      <c r="B48" s="59">
        <v>33.5</v>
      </c>
      <c r="C48" s="59">
        <v>28.98</v>
      </c>
      <c r="D48" s="59">
        <v>42.86</v>
      </c>
      <c r="E48" s="59">
        <v>3.92</v>
      </c>
      <c r="F48" s="59">
        <v>0.98</v>
      </c>
      <c r="G48" s="59">
        <v>87.9</v>
      </c>
      <c r="H48" s="59">
        <v>41.65</v>
      </c>
      <c r="I48" s="59">
        <v>0.57999999999999996</v>
      </c>
      <c r="J48" s="59">
        <v>1.1200000000000001</v>
      </c>
      <c r="K48" s="59">
        <v>0.16</v>
      </c>
      <c r="L48" s="59">
        <v>26.51</v>
      </c>
      <c r="M48" s="59">
        <v>42</v>
      </c>
      <c r="N48" s="59">
        <v>398</v>
      </c>
      <c r="O48" s="59">
        <v>0</v>
      </c>
      <c r="P48" s="59">
        <v>1.61</v>
      </c>
      <c r="Q48" s="59">
        <v>47.47</v>
      </c>
      <c r="R48" s="197"/>
      <c r="S48" s="197"/>
      <c r="T48" s="197"/>
      <c r="U48" s="197"/>
    </row>
    <row r="49" spans="1:21" s="12" customFormat="1" x14ac:dyDescent="0.25">
      <c r="A49" s="200" t="s">
        <v>668</v>
      </c>
      <c r="B49" s="59">
        <v>32.81</v>
      </c>
      <c r="C49" s="59">
        <v>31.5</v>
      </c>
      <c r="D49" s="59">
        <v>43.7</v>
      </c>
      <c r="E49" s="59">
        <v>4.1500000000000004</v>
      </c>
      <c r="F49" s="59">
        <v>0.94</v>
      </c>
      <c r="G49" s="59">
        <v>87.9</v>
      </c>
      <c r="H49" s="59">
        <v>41.65</v>
      </c>
      <c r="I49" s="59">
        <v>0.56999999999999995</v>
      </c>
      <c r="J49" s="59">
        <v>0.48</v>
      </c>
      <c r="K49" s="59">
        <v>24.89</v>
      </c>
      <c r="L49" s="59">
        <v>26.41</v>
      </c>
      <c r="M49" s="59">
        <v>42</v>
      </c>
      <c r="N49" s="59">
        <v>410.4</v>
      </c>
      <c r="O49" s="59">
        <v>0</v>
      </c>
      <c r="P49" s="59">
        <v>1.56</v>
      </c>
      <c r="Q49" s="59">
        <v>47.98</v>
      </c>
      <c r="R49" s="197"/>
      <c r="S49" s="197"/>
      <c r="T49" s="197"/>
      <c r="U49" s="197"/>
    </row>
    <row r="50" spans="1:21" s="12" customFormat="1" x14ac:dyDescent="0.25">
      <c r="A50" s="200" t="s">
        <v>669</v>
      </c>
      <c r="B50" s="59">
        <v>32.47</v>
      </c>
      <c r="C50" s="59">
        <v>31.57</v>
      </c>
      <c r="D50" s="59">
        <v>43.46</v>
      </c>
      <c r="E50" s="59">
        <v>4.0599999999999996</v>
      </c>
      <c r="F50" s="59">
        <v>1.1200000000000001</v>
      </c>
      <c r="G50" s="59">
        <v>87.9</v>
      </c>
      <c r="H50" s="59">
        <v>41.65</v>
      </c>
      <c r="I50" s="59">
        <v>0.55000000000000004</v>
      </c>
      <c r="J50" s="59">
        <v>0.82</v>
      </c>
      <c r="K50" s="59">
        <v>45.53</v>
      </c>
      <c r="L50" s="59">
        <v>25.78</v>
      </c>
      <c r="M50" s="59">
        <v>44</v>
      </c>
      <c r="N50" s="59">
        <v>425.7</v>
      </c>
      <c r="O50" s="59">
        <v>0</v>
      </c>
      <c r="P50" s="59">
        <v>1.53</v>
      </c>
      <c r="Q50" s="59">
        <v>47.69</v>
      </c>
      <c r="R50" s="197"/>
      <c r="S50" s="197"/>
      <c r="T50" s="197"/>
      <c r="U50" s="197"/>
    </row>
    <row r="51" spans="1:21" s="12" customFormat="1" x14ac:dyDescent="0.25">
      <c r="A51" s="200" t="s">
        <v>670</v>
      </c>
      <c r="B51" s="59">
        <v>31.02</v>
      </c>
      <c r="C51" s="59">
        <v>32.35</v>
      </c>
      <c r="D51" s="59">
        <v>42.73</v>
      </c>
      <c r="E51" s="59">
        <v>5.18</v>
      </c>
      <c r="F51" s="59">
        <v>1.31</v>
      </c>
      <c r="G51" s="59">
        <v>83.54</v>
      </c>
      <c r="H51" s="59">
        <v>40.71</v>
      </c>
      <c r="I51" s="59">
        <v>0.53</v>
      </c>
      <c r="J51" s="59">
        <v>1.27</v>
      </c>
      <c r="K51" s="59">
        <v>350.69</v>
      </c>
      <c r="L51" s="59">
        <v>28.33</v>
      </c>
      <c r="M51" s="59">
        <v>37</v>
      </c>
      <c r="N51" s="59">
        <v>428.2</v>
      </c>
      <c r="O51" s="59">
        <v>0</v>
      </c>
      <c r="P51" s="59">
        <v>1.48</v>
      </c>
      <c r="Q51" s="59">
        <v>47.19</v>
      </c>
      <c r="R51" s="197"/>
      <c r="S51" s="197"/>
      <c r="T51" s="197"/>
      <c r="U51" s="197"/>
    </row>
    <row r="52" spans="1:21" s="12" customFormat="1" x14ac:dyDescent="0.25">
      <c r="A52" s="200" t="s">
        <v>671</v>
      </c>
      <c r="B52" s="59">
        <v>29.57</v>
      </c>
      <c r="C52" s="59">
        <v>35.15</v>
      </c>
      <c r="D52" s="59">
        <v>43.11</v>
      </c>
      <c r="E52" s="59">
        <v>5.64</v>
      </c>
      <c r="F52" s="59">
        <v>2.16</v>
      </c>
      <c r="G52" s="59">
        <v>73.53</v>
      </c>
      <c r="H52" s="59">
        <v>37.619999999999997</v>
      </c>
      <c r="I52" s="59">
        <v>0.52</v>
      </c>
      <c r="J52" s="59">
        <v>0.54</v>
      </c>
      <c r="K52" s="59">
        <v>72.540000000000006</v>
      </c>
      <c r="L52" s="59">
        <v>28.02</v>
      </c>
      <c r="M52" s="59">
        <v>39</v>
      </c>
      <c r="N52" s="59">
        <v>457</v>
      </c>
      <c r="O52" s="59">
        <v>0</v>
      </c>
      <c r="P52" s="59">
        <v>1.44</v>
      </c>
      <c r="Q52" s="59">
        <v>45.63</v>
      </c>
      <c r="R52" s="197"/>
      <c r="S52" s="197"/>
      <c r="T52" s="197"/>
      <c r="U52" s="197"/>
    </row>
    <row r="53" spans="1:21" s="12" customFormat="1" x14ac:dyDescent="0.25">
      <c r="A53" s="200" t="s">
        <v>672</v>
      </c>
      <c r="B53" s="59">
        <v>25.83</v>
      </c>
      <c r="C53" s="59">
        <v>41.24</v>
      </c>
      <c r="D53" s="59">
        <v>43.47</v>
      </c>
      <c r="E53" s="59">
        <v>6.27</v>
      </c>
      <c r="F53" s="59">
        <v>1.81</v>
      </c>
      <c r="G53" s="59">
        <v>73.53</v>
      </c>
      <c r="H53" s="59">
        <v>37.619999999999997</v>
      </c>
      <c r="I53" s="59">
        <v>0.48</v>
      </c>
      <c r="J53" s="59">
        <v>0.81</v>
      </c>
      <c r="K53" s="59">
        <v>354.34</v>
      </c>
      <c r="L53" s="59">
        <v>28.52</v>
      </c>
      <c r="M53" s="59">
        <v>38</v>
      </c>
      <c r="N53" s="59">
        <v>442.2</v>
      </c>
      <c r="O53" s="59">
        <v>0</v>
      </c>
      <c r="P53" s="59">
        <v>1.38</v>
      </c>
      <c r="Q53" s="59">
        <v>43.85</v>
      </c>
      <c r="R53" s="197"/>
      <c r="S53" s="197"/>
      <c r="T53" s="197"/>
      <c r="U53" s="197"/>
    </row>
    <row r="54" spans="1:21" s="12" customFormat="1" x14ac:dyDescent="0.25">
      <c r="A54" s="200" t="s">
        <v>673</v>
      </c>
      <c r="B54" s="59">
        <v>22.38</v>
      </c>
      <c r="C54" s="59">
        <v>44.5</v>
      </c>
      <c r="D54" s="59">
        <v>42.5</v>
      </c>
      <c r="E54" s="59">
        <v>7.37</v>
      </c>
      <c r="F54" s="59">
        <v>2.42</v>
      </c>
      <c r="G54" s="59">
        <v>73.53</v>
      </c>
      <c r="H54" s="59">
        <v>37.619999999999997</v>
      </c>
      <c r="I54" s="59">
        <v>0.46</v>
      </c>
      <c r="J54" s="59">
        <v>0.79</v>
      </c>
      <c r="K54" s="59">
        <v>84.69</v>
      </c>
      <c r="L54" s="59">
        <v>28.48</v>
      </c>
      <c r="M54" s="59">
        <v>38</v>
      </c>
      <c r="N54" s="59">
        <v>449.5</v>
      </c>
      <c r="O54" s="59">
        <v>0</v>
      </c>
      <c r="P54" s="59">
        <v>1.33</v>
      </c>
      <c r="Q54" s="59">
        <v>40.96</v>
      </c>
      <c r="R54" s="197"/>
      <c r="S54" s="197"/>
      <c r="T54" s="197"/>
      <c r="U54" s="197"/>
    </row>
    <row r="55" spans="1:21" s="12" customFormat="1" x14ac:dyDescent="0.25">
      <c r="A55" s="200" t="s">
        <v>674</v>
      </c>
      <c r="B55" s="59">
        <v>13.7</v>
      </c>
      <c r="C55" s="59">
        <v>49.7</v>
      </c>
      <c r="D55" s="59">
        <v>38.409999999999997</v>
      </c>
      <c r="E55" s="59">
        <v>7.3</v>
      </c>
      <c r="F55" s="59">
        <v>4.43</v>
      </c>
      <c r="G55" s="59">
        <v>74.19</v>
      </c>
      <c r="H55" s="59">
        <v>37.49</v>
      </c>
      <c r="I55" s="59">
        <v>0.41</v>
      </c>
      <c r="J55" s="59">
        <v>0.59</v>
      </c>
      <c r="K55" s="59">
        <v>74.84</v>
      </c>
      <c r="L55" s="59">
        <v>27.42</v>
      </c>
      <c r="M55" s="59">
        <v>40</v>
      </c>
      <c r="N55" s="59">
        <v>451.1</v>
      </c>
      <c r="O55" s="59">
        <v>0</v>
      </c>
      <c r="P55" s="59">
        <v>1.21</v>
      </c>
      <c r="Q55" s="59">
        <v>38.21</v>
      </c>
      <c r="R55" s="197"/>
      <c r="S55" s="197"/>
      <c r="T55" s="197"/>
      <c r="U55" s="197"/>
    </row>
    <row r="56" spans="1:21" s="12" customFormat="1" x14ac:dyDescent="0.25">
      <c r="A56" s="200" t="s">
        <v>675</v>
      </c>
      <c r="B56" s="59">
        <v>9.08</v>
      </c>
      <c r="C56" s="59">
        <v>50.61</v>
      </c>
      <c r="D56" s="59">
        <v>35.22</v>
      </c>
      <c r="E56" s="59">
        <v>3.95</v>
      </c>
      <c r="F56" s="59">
        <v>5.89</v>
      </c>
      <c r="G56" s="59">
        <v>77.59</v>
      </c>
      <c r="H56" s="59">
        <v>37.03</v>
      </c>
      <c r="I56" s="59">
        <v>0.36</v>
      </c>
      <c r="J56" s="59">
        <v>0.55000000000000004</v>
      </c>
      <c r="K56" s="59">
        <v>9.81</v>
      </c>
      <c r="L56" s="59">
        <v>29.91</v>
      </c>
      <c r="M56" s="59">
        <v>35</v>
      </c>
      <c r="N56" s="59">
        <v>441.2</v>
      </c>
      <c r="O56" s="59">
        <v>0</v>
      </c>
      <c r="P56" s="59">
        <v>1.18</v>
      </c>
      <c r="Q56" s="59">
        <v>36.39</v>
      </c>
      <c r="R56" s="197"/>
      <c r="S56" s="197"/>
      <c r="T56" s="197"/>
      <c r="U56" s="197"/>
    </row>
    <row r="57" spans="1:21" s="12" customFormat="1" x14ac:dyDescent="0.25">
      <c r="A57" s="200" t="s">
        <v>676</v>
      </c>
      <c r="B57" s="59">
        <v>6.22</v>
      </c>
      <c r="C57" s="59">
        <v>48.42</v>
      </c>
      <c r="D57" s="59">
        <v>31.72</v>
      </c>
      <c r="E57" s="59">
        <v>11.95</v>
      </c>
      <c r="F57" s="59">
        <v>8.39</v>
      </c>
      <c r="G57" s="59">
        <v>77.59</v>
      </c>
      <c r="H57" s="59">
        <v>37.03</v>
      </c>
      <c r="I57" s="59">
        <v>0.31</v>
      </c>
      <c r="J57" s="59">
        <v>0.37</v>
      </c>
      <c r="K57" s="59">
        <v>31.77</v>
      </c>
      <c r="L57" s="59">
        <v>28.93</v>
      </c>
      <c r="M57" s="59">
        <v>37</v>
      </c>
      <c r="N57" s="59">
        <v>436.8</v>
      </c>
      <c r="O57" s="59">
        <v>0</v>
      </c>
      <c r="P57" s="59">
        <v>1.1299999999999999</v>
      </c>
      <c r="Q57" s="59">
        <v>36.270000000000003</v>
      </c>
      <c r="R57" s="197"/>
      <c r="S57" s="197"/>
      <c r="T57" s="197"/>
      <c r="U57" s="197"/>
    </row>
    <row r="58" spans="1:21" s="12" customFormat="1" x14ac:dyDescent="0.25">
      <c r="A58" s="200" t="s">
        <v>677</v>
      </c>
      <c r="B58" s="59">
        <v>4.8899999999999997</v>
      </c>
      <c r="C58" s="59">
        <v>48.86</v>
      </c>
      <c r="D58" s="59">
        <v>30.88</v>
      </c>
      <c r="E58" s="59">
        <v>7.2</v>
      </c>
      <c r="F58" s="59">
        <v>4.21</v>
      </c>
      <c r="G58" s="59">
        <v>77.59</v>
      </c>
      <c r="H58" s="59">
        <v>37.03</v>
      </c>
      <c r="I58" s="59">
        <v>0.31</v>
      </c>
      <c r="J58" s="59">
        <v>0.39</v>
      </c>
      <c r="K58" s="59">
        <v>61.45</v>
      </c>
      <c r="L58" s="59">
        <v>29.27</v>
      </c>
      <c r="M58" s="59">
        <v>36</v>
      </c>
      <c r="N58" s="59">
        <v>423.9</v>
      </c>
      <c r="O58" s="59">
        <v>0</v>
      </c>
      <c r="P58" s="59">
        <v>1.1399999999999999</v>
      </c>
      <c r="Q58" s="59">
        <v>36.03</v>
      </c>
      <c r="R58" s="197"/>
      <c r="S58" s="197"/>
      <c r="T58" s="197"/>
      <c r="U58" s="197"/>
    </row>
    <row r="59" spans="1:21" s="12" customFormat="1" x14ac:dyDescent="0.25">
      <c r="A59" s="200" t="s">
        <v>678</v>
      </c>
      <c r="B59" s="59">
        <v>4.4800000000000004</v>
      </c>
      <c r="C59" s="59">
        <v>48.15</v>
      </c>
      <c r="D59" s="59">
        <v>30.16</v>
      </c>
      <c r="E59" s="59">
        <v>4.9000000000000004</v>
      </c>
      <c r="F59" s="59">
        <v>2.91</v>
      </c>
      <c r="G59" s="59">
        <v>76.290000000000006</v>
      </c>
      <c r="H59" s="59">
        <v>37.1</v>
      </c>
      <c r="I59" s="59">
        <v>0.3</v>
      </c>
      <c r="J59" s="59">
        <v>0.75</v>
      </c>
      <c r="K59" s="59">
        <v>356.65</v>
      </c>
      <c r="L59" s="59">
        <v>30.26</v>
      </c>
      <c r="M59" s="59">
        <v>33</v>
      </c>
      <c r="N59" s="59">
        <v>409.6</v>
      </c>
      <c r="O59" s="59">
        <v>0</v>
      </c>
      <c r="P59" s="59">
        <v>1.1399999999999999</v>
      </c>
      <c r="Q59" s="59">
        <v>36.700000000000003</v>
      </c>
      <c r="R59" s="197"/>
      <c r="S59" s="197"/>
      <c r="T59" s="197"/>
      <c r="U59" s="197"/>
    </row>
    <row r="60" spans="1:21" s="12" customFormat="1" x14ac:dyDescent="0.25">
      <c r="A60" s="200" t="s">
        <v>679</v>
      </c>
      <c r="B60" s="59">
        <v>4.75</v>
      </c>
      <c r="C60" s="59">
        <v>47</v>
      </c>
      <c r="D60" s="59">
        <v>29.75</v>
      </c>
      <c r="E60" s="59">
        <v>5.63</v>
      </c>
      <c r="F60" s="59">
        <v>4.47</v>
      </c>
      <c r="G60" s="59">
        <v>73.45</v>
      </c>
      <c r="H60" s="59">
        <v>37.31</v>
      </c>
      <c r="I60" s="59">
        <v>0.32</v>
      </c>
      <c r="J60" s="59">
        <v>1.1399999999999999</v>
      </c>
      <c r="K60" s="59">
        <v>342.93</v>
      </c>
      <c r="L60" s="59">
        <v>31.62</v>
      </c>
      <c r="M60" s="59">
        <v>31</v>
      </c>
      <c r="N60" s="59">
        <v>379.8</v>
      </c>
      <c r="O60" s="59">
        <v>0</v>
      </c>
      <c r="P60" s="59">
        <v>1.1599999999999999</v>
      </c>
      <c r="Q60" s="59">
        <v>37.06</v>
      </c>
      <c r="R60" s="197"/>
      <c r="S60" s="197"/>
      <c r="T60" s="197"/>
      <c r="U60" s="197"/>
    </row>
    <row r="61" spans="1:21" s="12" customFormat="1" x14ac:dyDescent="0.25">
      <c r="A61" s="200" t="s">
        <v>680</v>
      </c>
      <c r="B61" s="59">
        <v>4.71</v>
      </c>
      <c r="C61" s="59">
        <v>43.92</v>
      </c>
      <c r="D61" s="59">
        <v>28.01</v>
      </c>
      <c r="E61" s="59">
        <v>14.45</v>
      </c>
      <c r="F61" s="59">
        <v>12.22</v>
      </c>
      <c r="G61" s="59">
        <v>73.45</v>
      </c>
      <c r="H61" s="59">
        <v>37.31</v>
      </c>
      <c r="I61" s="59">
        <v>0.33</v>
      </c>
      <c r="J61" s="59">
        <v>0.7</v>
      </c>
      <c r="K61" s="59">
        <v>358.13</v>
      </c>
      <c r="L61" s="59">
        <v>30.72</v>
      </c>
      <c r="M61" s="59">
        <v>31</v>
      </c>
      <c r="N61" s="59">
        <v>365.6</v>
      </c>
      <c r="O61" s="59">
        <v>0</v>
      </c>
      <c r="P61" s="59">
        <v>1.1399999999999999</v>
      </c>
      <c r="Q61" s="59">
        <v>37.840000000000003</v>
      </c>
      <c r="R61" s="197"/>
      <c r="S61" s="197"/>
      <c r="T61" s="197"/>
      <c r="U61" s="197"/>
    </row>
    <row r="62" spans="1:21" s="12" customFormat="1" x14ac:dyDescent="0.25">
      <c r="A62" s="200" t="s">
        <v>681</v>
      </c>
      <c r="B62" s="59">
        <v>3.57</v>
      </c>
      <c r="C62" s="59">
        <v>44.89</v>
      </c>
      <c r="D62" s="59">
        <v>27.63</v>
      </c>
      <c r="E62" s="59">
        <v>9.27</v>
      </c>
      <c r="F62" s="59">
        <v>6.52</v>
      </c>
      <c r="G62" s="59">
        <v>73.45</v>
      </c>
      <c r="H62" s="59">
        <v>37.31</v>
      </c>
      <c r="I62" s="59">
        <v>0.33</v>
      </c>
      <c r="J62" s="59">
        <v>0.86</v>
      </c>
      <c r="K62" s="59">
        <v>352.91</v>
      </c>
      <c r="L62" s="59">
        <v>31.71</v>
      </c>
      <c r="M62" s="59">
        <v>27</v>
      </c>
      <c r="N62" s="59">
        <v>357.1</v>
      </c>
      <c r="O62" s="59">
        <v>0</v>
      </c>
      <c r="P62" s="59">
        <v>1.19</v>
      </c>
      <c r="Q62" s="59">
        <v>38.590000000000003</v>
      </c>
      <c r="R62" s="197"/>
      <c r="S62" s="197"/>
      <c r="T62" s="197"/>
      <c r="U62" s="197"/>
    </row>
    <row r="63" spans="1:21" s="12" customFormat="1" x14ac:dyDescent="0.25">
      <c r="A63" s="200" t="s">
        <v>682</v>
      </c>
      <c r="B63" s="59">
        <v>2.9</v>
      </c>
      <c r="C63" s="59">
        <v>45.67</v>
      </c>
      <c r="D63" s="59">
        <v>27.53</v>
      </c>
      <c r="E63" s="59">
        <v>9.25</v>
      </c>
      <c r="F63" s="59">
        <v>6.49</v>
      </c>
      <c r="G63" s="59">
        <v>76.88</v>
      </c>
      <c r="H63" s="59">
        <v>37.82</v>
      </c>
      <c r="I63" s="59">
        <v>0.3</v>
      </c>
      <c r="J63" s="59">
        <v>1.1000000000000001</v>
      </c>
      <c r="K63" s="59">
        <v>337.62</v>
      </c>
      <c r="L63" s="59">
        <v>31.17</v>
      </c>
      <c r="M63" s="59">
        <v>28</v>
      </c>
      <c r="N63" s="59">
        <v>352.8</v>
      </c>
      <c r="O63" s="59">
        <v>0</v>
      </c>
      <c r="P63" s="59">
        <v>1.19</v>
      </c>
      <c r="Q63" s="59">
        <v>39.51</v>
      </c>
      <c r="R63" s="197"/>
      <c r="S63" s="197"/>
      <c r="T63" s="197"/>
      <c r="U63" s="197"/>
    </row>
    <row r="64" spans="1:21" s="12" customFormat="1" x14ac:dyDescent="0.25">
      <c r="A64" s="200" t="s">
        <v>683</v>
      </c>
      <c r="B64" s="59">
        <v>2.81</v>
      </c>
      <c r="C64" s="59">
        <v>44.47</v>
      </c>
      <c r="D64" s="59">
        <v>26.79</v>
      </c>
      <c r="E64" s="59">
        <v>7.62</v>
      </c>
      <c r="F64" s="59">
        <v>11.05</v>
      </c>
      <c r="G64" s="59">
        <v>84.38</v>
      </c>
      <c r="H64" s="59">
        <v>39.4</v>
      </c>
      <c r="I64" s="59">
        <v>0.3</v>
      </c>
      <c r="J64" s="59">
        <v>1.42</v>
      </c>
      <c r="K64" s="59">
        <v>345.75</v>
      </c>
      <c r="L64" s="59">
        <v>31.8</v>
      </c>
      <c r="M64" s="59">
        <v>25</v>
      </c>
      <c r="N64" s="59">
        <v>349.6</v>
      </c>
      <c r="O64" s="59">
        <v>0</v>
      </c>
      <c r="P64" s="59">
        <v>1.19</v>
      </c>
      <c r="Q64" s="59">
        <v>37.51</v>
      </c>
      <c r="R64" s="197"/>
      <c r="S64" s="197"/>
      <c r="T64" s="197"/>
      <c r="U64" s="197"/>
    </row>
    <row r="65" spans="1:21" s="12" customFormat="1" x14ac:dyDescent="0.25">
      <c r="A65" s="200" t="s">
        <v>684</v>
      </c>
      <c r="B65" s="59">
        <v>2.4</v>
      </c>
      <c r="C65" s="59">
        <v>45.31</v>
      </c>
      <c r="D65" s="59">
        <v>26.93</v>
      </c>
      <c r="E65" s="59">
        <v>3.89</v>
      </c>
      <c r="F65" s="59">
        <v>5.25</v>
      </c>
      <c r="G65" s="59">
        <v>84.38</v>
      </c>
      <c r="H65" s="59">
        <v>39.4</v>
      </c>
      <c r="I65" s="59">
        <v>0.3</v>
      </c>
      <c r="J65" s="59">
        <v>1.0900000000000001</v>
      </c>
      <c r="K65" s="59">
        <v>328.21</v>
      </c>
      <c r="L65" s="59">
        <v>32.17</v>
      </c>
      <c r="M65" s="59">
        <v>25</v>
      </c>
      <c r="N65" s="59">
        <v>330.8</v>
      </c>
      <c r="O65" s="59">
        <v>0</v>
      </c>
      <c r="P65" s="59">
        <v>1.19</v>
      </c>
      <c r="Q65" s="59">
        <v>36.47</v>
      </c>
      <c r="R65" s="197"/>
      <c r="S65" s="197"/>
      <c r="T65" s="197"/>
      <c r="U65" s="197"/>
    </row>
    <row r="66" spans="1:21" s="12" customFormat="1" x14ac:dyDescent="0.25">
      <c r="A66" s="200" t="s">
        <v>685</v>
      </c>
      <c r="B66" s="59">
        <v>2.82</v>
      </c>
      <c r="C66" s="59">
        <v>44.01</v>
      </c>
      <c r="D66" s="59">
        <v>26.55</v>
      </c>
      <c r="E66" s="59">
        <v>3.48</v>
      </c>
      <c r="F66" s="59">
        <v>3.55</v>
      </c>
      <c r="G66" s="59">
        <v>84.38</v>
      </c>
      <c r="H66" s="59">
        <v>39.4</v>
      </c>
      <c r="I66" s="59">
        <v>0.27</v>
      </c>
      <c r="J66" s="59">
        <v>1.07</v>
      </c>
      <c r="K66" s="59">
        <v>337.11</v>
      </c>
      <c r="L66" s="59">
        <v>32.15</v>
      </c>
      <c r="M66" s="59">
        <v>24</v>
      </c>
      <c r="N66" s="59">
        <v>209.2</v>
      </c>
      <c r="O66" s="59">
        <v>0</v>
      </c>
      <c r="P66" s="59">
        <v>1.2</v>
      </c>
      <c r="Q66" s="59">
        <v>37.090000000000003</v>
      </c>
      <c r="R66" s="197"/>
      <c r="S66" s="197"/>
      <c r="T66" s="197"/>
      <c r="U66" s="197"/>
    </row>
    <row r="67" spans="1:21" s="12" customFormat="1" x14ac:dyDescent="0.25">
      <c r="A67" s="200" t="s">
        <v>686</v>
      </c>
      <c r="B67" s="59">
        <v>3.32</v>
      </c>
      <c r="C67" s="59">
        <v>43.91</v>
      </c>
      <c r="D67" s="59">
        <v>26.89</v>
      </c>
      <c r="E67" s="59">
        <v>5.05</v>
      </c>
      <c r="F67" s="59">
        <v>5.65</v>
      </c>
      <c r="G67" s="59">
        <v>80.39</v>
      </c>
      <c r="H67" s="59">
        <v>38.520000000000003</v>
      </c>
      <c r="I67" s="59">
        <v>0.28000000000000003</v>
      </c>
      <c r="J67" s="59">
        <v>0.95</v>
      </c>
      <c r="K67" s="59">
        <v>348</v>
      </c>
      <c r="L67" s="59">
        <v>31.59</v>
      </c>
      <c r="M67" s="59">
        <v>24</v>
      </c>
      <c r="N67" s="59">
        <v>208.5</v>
      </c>
      <c r="O67" s="59">
        <v>0</v>
      </c>
      <c r="P67" s="59">
        <v>1.2</v>
      </c>
      <c r="Q67" s="59">
        <v>36.659999999999997</v>
      </c>
      <c r="R67" s="197"/>
      <c r="S67" s="197"/>
      <c r="T67" s="197"/>
      <c r="U67" s="197"/>
    </row>
    <row r="68" spans="1:21" s="12" customFormat="1" x14ac:dyDescent="0.25">
      <c r="A68" s="200" t="s">
        <v>687</v>
      </c>
      <c r="B68" s="59">
        <v>3.69</v>
      </c>
      <c r="C68" s="59">
        <v>43.48</v>
      </c>
      <c r="D68" s="59">
        <v>26.95</v>
      </c>
      <c r="E68" s="59">
        <v>4.33</v>
      </c>
      <c r="F68" s="59">
        <v>4.2300000000000004</v>
      </c>
      <c r="G68" s="59">
        <v>71.209999999999994</v>
      </c>
      <c r="H68" s="59">
        <v>35.78</v>
      </c>
      <c r="I68" s="59">
        <v>0.27</v>
      </c>
      <c r="J68" s="59">
        <v>0.6</v>
      </c>
      <c r="K68" s="59">
        <v>352.55</v>
      </c>
      <c r="L68" s="59">
        <v>31.12</v>
      </c>
      <c r="M68" s="59">
        <v>22</v>
      </c>
      <c r="N68" s="59">
        <v>243.2</v>
      </c>
      <c r="O68" s="59">
        <v>0</v>
      </c>
      <c r="P68" s="59">
        <v>1.2</v>
      </c>
      <c r="Q68" s="59">
        <v>36.909999999999997</v>
      </c>
      <c r="R68" s="197"/>
      <c r="S68" s="197"/>
      <c r="T68" s="197"/>
      <c r="U68" s="197"/>
    </row>
    <row r="69" spans="1:21" s="12" customFormat="1" x14ac:dyDescent="0.25">
      <c r="A69" s="200" t="s">
        <v>688</v>
      </c>
      <c r="B69" s="59">
        <v>5.21</v>
      </c>
      <c r="C69" s="59">
        <v>41.89</v>
      </c>
      <c r="D69" s="59">
        <v>27.29</v>
      </c>
      <c r="E69" s="59">
        <v>6.53</v>
      </c>
      <c r="F69" s="59">
        <v>6.98</v>
      </c>
      <c r="G69" s="59">
        <v>71.209999999999994</v>
      </c>
      <c r="H69" s="59">
        <v>35.78</v>
      </c>
      <c r="I69" s="59">
        <v>0.27</v>
      </c>
      <c r="J69" s="59">
        <v>0.8</v>
      </c>
      <c r="K69" s="59">
        <v>348</v>
      </c>
      <c r="L69" s="59">
        <v>30.45</v>
      </c>
      <c r="M69" s="59">
        <v>22</v>
      </c>
      <c r="N69" s="59">
        <v>221.6</v>
      </c>
      <c r="O69" s="59">
        <v>0</v>
      </c>
      <c r="P69" s="59">
        <v>1.19</v>
      </c>
      <c r="Q69" s="59">
        <v>37.07</v>
      </c>
      <c r="R69" s="197"/>
      <c r="S69" s="197"/>
      <c r="T69" s="197"/>
      <c r="U69" s="197"/>
    </row>
    <row r="70" spans="1:21" s="12" customFormat="1" x14ac:dyDescent="0.25">
      <c r="A70" s="200" t="s">
        <v>689</v>
      </c>
      <c r="B70" s="59">
        <v>7.56</v>
      </c>
      <c r="C70" s="59">
        <v>38</v>
      </c>
      <c r="D70" s="59">
        <v>27.03</v>
      </c>
      <c r="E70" s="59">
        <v>10.26</v>
      </c>
      <c r="F70" s="59">
        <v>11.03</v>
      </c>
      <c r="G70" s="59">
        <v>71.209999999999994</v>
      </c>
      <c r="H70" s="59">
        <v>35.78</v>
      </c>
      <c r="I70" s="59">
        <v>0.27</v>
      </c>
      <c r="J70" s="59">
        <v>0.64</v>
      </c>
      <c r="K70" s="59">
        <v>351.54</v>
      </c>
      <c r="L70" s="59">
        <v>29.61</v>
      </c>
      <c r="M70" s="59">
        <v>22</v>
      </c>
      <c r="N70" s="59">
        <v>142</v>
      </c>
      <c r="O70" s="59">
        <v>0</v>
      </c>
      <c r="P70" s="59">
        <v>1.22</v>
      </c>
      <c r="Q70" s="59">
        <v>37.159999999999997</v>
      </c>
      <c r="R70" s="197"/>
      <c r="S70" s="197"/>
      <c r="T70" s="197"/>
      <c r="U70" s="197"/>
    </row>
    <row r="71" spans="1:21" s="12" customFormat="1" x14ac:dyDescent="0.25">
      <c r="A71" s="200" t="s">
        <v>690</v>
      </c>
      <c r="B71" s="59">
        <v>8.98</v>
      </c>
      <c r="C71" s="59">
        <v>40.96</v>
      </c>
      <c r="D71" s="59">
        <v>29.81</v>
      </c>
      <c r="E71" s="59">
        <v>12.12</v>
      </c>
      <c r="F71" s="59">
        <v>8.42</v>
      </c>
      <c r="G71" s="59">
        <v>68.94</v>
      </c>
      <c r="H71" s="59">
        <v>36.1</v>
      </c>
      <c r="I71" s="59">
        <v>0.27</v>
      </c>
      <c r="J71" s="59">
        <v>0.52</v>
      </c>
      <c r="K71" s="59">
        <v>358.29</v>
      </c>
      <c r="L71" s="59">
        <v>28.95</v>
      </c>
      <c r="M71" s="59">
        <v>24</v>
      </c>
      <c r="N71" s="59">
        <v>138.80000000000001</v>
      </c>
      <c r="O71" s="59">
        <v>0</v>
      </c>
      <c r="P71" s="59">
        <v>1.24</v>
      </c>
      <c r="Q71" s="59">
        <v>37.4</v>
      </c>
      <c r="R71" s="197"/>
      <c r="S71" s="197"/>
      <c r="T71" s="197"/>
      <c r="U71" s="197"/>
    </row>
    <row r="72" spans="1:21" s="12" customFormat="1" x14ac:dyDescent="0.25">
      <c r="A72" s="200" t="s">
        <v>691</v>
      </c>
      <c r="B72" s="59">
        <v>5.16</v>
      </c>
      <c r="C72" s="59">
        <v>39.090000000000003</v>
      </c>
      <c r="D72" s="59">
        <v>25.71</v>
      </c>
      <c r="E72" s="59">
        <v>4.71</v>
      </c>
      <c r="F72" s="59">
        <v>9.26</v>
      </c>
      <c r="G72" s="59">
        <v>58.74</v>
      </c>
      <c r="H72" s="59">
        <v>37.08</v>
      </c>
      <c r="I72" s="59">
        <v>0.27</v>
      </c>
      <c r="J72" s="59">
        <v>0.53</v>
      </c>
      <c r="K72" s="59">
        <v>76.849999999999994</v>
      </c>
      <c r="L72" s="59">
        <v>28.13</v>
      </c>
      <c r="M72" s="59">
        <v>25</v>
      </c>
      <c r="N72" s="59">
        <v>77.400000000000006</v>
      </c>
      <c r="O72" s="59">
        <v>0</v>
      </c>
      <c r="P72" s="59">
        <v>1.24</v>
      </c>
      <c r="Q72" s="59">
        <v>38.270000000000003</v>
      </c>
      <c r="R72" s="197"/>
      <c r="S72" s="197"/>
      <c r="T72" s="197"/>
      <c r="U72" s="197"/>
    </row>
    <row r="73" spans="1:21" s="12" customFormat="1" x14ac:dyDescent="0.25">
      <c r="A73" s="200" t="s">
        <v>692</v>
      </c>
      <c r="B73" s="59">
        <v>5.78</v>
      </c>
      <c r="C73" s="59">
        <v>39.229999999999997</v>
      </c>
      <c r="D73" s="59">
        <v>26.28</v>
      </c>
      <c r="E73" s="59">
        <v>7.64</v>
      </c>
      <c r="F73" s="59">
        <v>8.75</v>
      </c>
      <c r="G73" s="59">
        <v>58.74</v>
      </c>
      <c r="H73" s="59">
        <v>37.08</v>
      </c>
      <c r="I73" s="59">
        <v>0.28999999999999998</v>
      </c>
      <c r="J73" s="59">
        <v>0.23</v>
      </c>
      <c r="K73" s="59">
        <v>67.78</v>
      </c>
      <c r="L73" s="59">
        <v>27.63</v>
      </c>
      <c r="M73" s="59">
        <v>27</v>
      </c>
      <c r="N73" s="59">
        <v>61.1</v>
      </c>
      <c r="O73" s="59">
        <v>0</v>
      </c>
      <c r="P73" s="59">
        <v>1.22</v>
      </c>
      <c r="Q73" s="59">
        <v>39.299999999999997</v>
      </c>
      <c r="R73" s="197"/>
      <c r="S73" s="197"/>
      <c r="T73" s="197"/>
      <c r="U73" s="197"/>
    </row>
    <row r="74" spans="1:21" s="12" customFormat="1" x14ac:dyDescent="0.25">
      <c r="A74" s="200" t="s">
        <v>693</v>
      </c>
      <c r="B74" s="59">
        <v>5.92</v>
      </c>
      <c r="C74" s="59">
        <v>40.81</v>
      </c>
      <c r="D74" s="59">
        <v>27.27</v>
      </c>
      <c r="E74" s="59">
        <v>9.24</v>
      </c>
      <c r="F74" s="59">
        <v>14.12</v>
      </c>
      <c r="G74" s="59">
        <v>58.74</v>
      </c>
      <c r="H74" s="59">
        <v>37.08</v>
      </c>
      <c r="I74" s="59">
        <v>0.3</v>
      </c>
      <c r="J74" s="59">
        <v>0.22</v>
      </c>
      <c r="K74" s="59">
        <v>74.06</v>
      </c>
      <c r="L74" s="59">
        <v>27.22</v>
      </c>
      <c r="M74" s="59">
        <v>28</v>
      </c>
      <c r="N74" s="59">
        <v>52</v>
      </c>
      <c r="O74" s="59">
        <v>0</v>
      </c>
      <c r="P74" s="59">
        <v>1.21</v>
      </c>
      <c r="Q74" s="59">
        <v>40.450000000000003</v>
      </c>
      <c r="R74" s="197"/>
      <c r="S74" s="197"/>
      <c r="T74" s="197"/>
      <c r="U74" s="197"/>
    </row>
    <row r="75" spans="1:21" s="12" customFormat="1" x14ac:dyDescent="0.25">
      <c r="A75" s="200" t="s">
        <v>694</v>
      </c>
      <c r="B75" s="59">
        <v>4.0999999999999996</v>
      </c>
      <c r="C75" s="59">
        <v>40.11</v>
      </c>
      <c r="D75" s="59">
        <v>25.42</v>
      </c>
      <c r="E75" s="59">
        <v>11.04</v>
      </c>
      <c r="F75" s="59">
        <v>11.68</v>
      </c>
      <c r="G75" s="59">
        <v>62.42</v>
      </c>
      <c r="H75" s="59">
        <v>36.799999999999997</v>
      </c>
      <c r="I75" s="59">
        <v>0.32</v>
      </c>
      <c r="J75" s="59">
        <v>0.28000000000000003</v>
      </c>
      <c r="K75" s="59">
        <v>73.36</v>
      </c>
      <c r="L75" s="59">
        <v>26.77</v>
      </c>
      <c r="M75" s="59">
        <v>30</v>
      </c>
      <c r="N75" s="59">
        <v>43.4</v>
      </c>
      <c r="O75" s="59">
        <v>0</v>
      </c>
      <c r="P75" s="59">
        <v>1.25</v>
      </c>
      <c r="Q75" s="59">
        <v>40.21</v>
      </c>
      <c r="R75" s="197"/>
      <c r="S75" s="197"/>
      <c r="T75" s="197"/>
      <c r="U75" s="197"/>
    </row>
    <row r="76" spans="1:21" s="12" customFormat="1" x14ac:dyDescent="0.25">
      <c r="A76" s="200" t="s">
        <v>695</v>
      </c>
      <c r="B76" s="59">
        <v>5.13</v>
      </c>
      <c r="C76" s="59">
        <v>41.25</v>
      </c>
      <c r="D76" s="59">
        <v>26.88</v>
      </c>
      <c r="E76" s="59">
        <v>8.2200000000000006</v>
      </c>
      <c r="F76" s="59">
        <v>4.17</v>
      </c>
      <c r="G76" s="59">
        <v>70.47</v>
      </c>
      <c r="H76" s="59">
        <v>35.93</v>
      </c>
      <c r="I76" s="59">
        <v>0.31</v>
      </c>
      <c r="J76" s="59">
        <v>0.15</v>
      </c>
      <c r="K76" s="59">
        <v>50.23</v>
      </c>
      <c r="L76" s="59">
        <v>26.23</v>
      </c>
      <c r="M76" s="59">
        <v>35</v>
      </c>
      <c r="N76" s="59">
        <v>35.299999999999997</v>
      </c>
      <c r="O76" s="59">
        <v>0</v>
      </c>
      <c r="P76" s="59">
        <v>1.31</v>
      </c>
      <c r="Q76" s="59">
        <v>41.24</v>
      </c>
      <c r="R76" s="197"/>
      <c r="S76" s="197"/>
      <c r="T76" s="197"/>
      <c r="U76" s="197"/>
    </row>
    <row r="77" spans="1:21" s="12" customFormat="1" x14ac:dyDescent="0.25">
      <c r="A77" s="200" t="s">
        <v>696</v>
      </c>
      <c r="B77" s="59">
        <v>8.5</v>
      </c>
      <c r="C77" s="59">
        <v>37.76</v>
      </c>
      <c r="D77" s="59">
        <v>27.66</v>
      </c>
      <c r="E77" s="59">
        <v>4.4000000000000004</v>
      </c>
      <c r="F77" s="59">
        <v>0.93</v>
      </c>
      <c r="G77" s="59">
        <v>70.47</v>
      </c>
      <c r="H77" s="59">
        <v>35.93</v>
      </c>
      <c r="I77" s="59">
        <v>0.33</v>
      </c>
      <c r="J77" s="59">
        <v>0.06</v>
      </c>
      <c r="K77" s="59">
        <v>31.29</v>
      </c>
      <c r="L77" s="59">
        <v>25.03</v>
      </c>
      <c r="M77" s="59">
        <v>40</v>
      </c>
      <c r="N77" s="59">
        <v>29</v>
      </c>
      <c r="O77" s="59">
        <v>0</v>
      </c>
      <c r="P77" s="59">
        <v>1.43</v>
      </c>
      <c r="Q77" s="59">
        <v>44.04</v>
      </c>
      <c r="R77" s="197"/>
      <c r="S77" s="197"/>
      <c r="T77" s="197"/>
      <c r="U77" s="197"/>
    </row>
    <row r="78" spans="1:21" s="12" customFormat="1" x14ac:dyDescent="0.25">
      <c r="A78" s="200" t="s">
        <v>697</v>
      </c>
      <c r="B78" s="59">
        <v>12.01</v>
      </c>
      <c r="C78" s="59">
        <v>37.08</v>
      </c>
      <c r="D78" s="59">
        <v>30.1</v>
      </c>
      <c r="E78" s="59">
        <v>3.88</v>
      </c>
      <c r="F78" s="59">
        <v>0.67</v>
      </c>
      <c r="G78" s="59">
        <v>70.47</v>
      </c>
      <c r="H78" s="59">
        <v>35.93</v>
      </c>
      <c r="I78" s="59">
        <v>0.38</v>
      </c>
      <c r="J78" s="59">
        <v>0.1</v>
      </c>
      <c r="K78" s="59">
        <v>104.02</v>
      </c>
      <c r="L78" s="59">
        <v>23.92</v>
      </c>
      <c r="M78" s="59">
        <v>42</v>
      </c>
      <c r="N78" s="59">
        <v>25.6</v>
      </c>
      <c r="O78" s="59">
        <v>0</v>
      </c>
      <c r="P78" s="59">
        <v>1.55</v>
      </c>
      <c r="Q78" s="59">
        <v>45.07</v>
      </c>
      <c r="R78" s="197"/>
      <c r="S78" s="197"/>
      <c r="T78" s="197"/>
      <c r="U78" s="197"/>
    </row>
    <row r="79" spans="1:21" s="12" customFormat="1" x14ac:dyDescent="0.25">
      <c r="A79" s="200" t="s">
        <v>698</v>
      </c>
      <c r="B79" s="59">
        <v>15.06</v>
      </c>
      <c r="C79" s="59">
        <v>37.6</v>
      </c>
      <c r="D79" s="59">
        <v>32.83</v>
      </c>
      <c r="E79" s="59">
        <v>4.18</v>
      </c>
      <c r="F79" s="59">
        <v>0.71</v>
      </c>
      <c r="G79" s="59">
        <v>82.76</v>
      </c>
      <c r="H79" s="59">
        <v>36.06</v>
      </c>
      <c r="I79" s="59">
        <v>0.43</v>
      </c>
      <c r="J79" s="59">
        <v>0.08</v>
      </c>
      <c r="K79" s="59">
        <v>1.39</v>
      </c>
      <c r="L79" s="59">
        <v>23.19</v>
      </c>
      <c r="M79" s="59">
        <v>45</v>
      </c>
      <c r="N79" s="59">
        <v>24.5</v>
      </c>
      <c r="O79" s="59">
        <v>0</v>
      </c>
      <c r="P79" s="59">
        <v>1.6</v>
      </c>
      <c r="Q79" s="59">
        <v>44.15</v>
      </c>
      <c r="R79" s="197"/>
      <c r="S79" s="197"/>
      <c r="T79" s="197"/>
      <c r="U79" s="197"/>
    </row>
    <row r="80" spans="1:21" s="12" customFormat="1" x14ac:dyDescent="0.25">
      <c r="A80" s="200" t="s">
        <v>699</v>
      </c>
      <c r="B80" s="59">
        <v>17.79</v>
      </c>
      <c r="C80" s="59">
        <v>39.340000000000003</v>
      </c>
      <c r="D80" s="59">
        <v>35.97</v>
      </c>
      <c r="E80" s="59">
        <v>4.17</v>
      </c>
      <c r="F80" s="59">
        <v>0.65</v>
      </c>
      <c r="G80" s="59">
        <v>111.01</v>
      </c>
      <c r="H80" s="59">
        <v>36.44</v>
      </c>
      <c r="I80" s="59">
        <v>0.48</v>
      </c>
      <c r="J80" s="59">
        <v>0.1</v>
      </c>
      <c r="K80" s="59">
        <v>333.95</v>
      </c>
      <c r="L80" s="59">
        <v>22.62</v>
      </c>
      <c r="M80" s="59">
        <v>53</v>
      </c>
      <c r="N80" s="59">
        <v>24.5</v>
      </c>
      <c r="O80" s="59">
        <v>0</v>
      </c>
      <c r="P80" s="59">
        <v>1.69</v>
      </c>
      <c r="Q80" s="59">
        <v>44.95</v>
      </c>
      <c r="R80" s="197"/>
      <c r="S80" s="197"/>
      <c r="T80" s="197"/>
      <c r="U80" s="197"/>
    </row>
    <row r="81" spans="1:26" s="12" customFormat="1" x14ac:dyDescent="0.25">
      <c r="A81" s="200" t="s">
        <v>700</v>
      </c>
      <c r="B81" s="59">
        <v>23.49</v>
      </c>
      <c r="C81" s="59">
        <v>38.35</v>
      </c>
      <c r="D81" s="59">
        <v>40</v>
      </c>
      <c r="E81" s="59">
        <v>3.67</v>
      </c>
      <c r="F81" s="59">
        <v>0.6</v>
      </c>
      <c r="G81" s="59">
        <v>111.01</v>
      </c>
      <c r="H81" s="59">
        <v>36.44</v>
      </c>
      <c r="I81" s="59">
        <v>0.53</v>
      </c>
      <c r="J81" s="59">
        <v>0.04</v>
      </c>
      <c r="K81" s="59">
        <v>319.27999999999997</v>
      </c>
      <c r="L81" s="59">
        <v>21.89</v>
      </c>
      <c r="M81" s="59">
        <v>52</v>
      </c>
      <c r="N81" s="59">
        <v>24.6</v>
      </c>
      <c r="O81" s="59">
        <v>0</v>
      </c>
      <c r="P81" s="59">
        <v>1.88</v>
      </c>
      <c r="Q81" s="59">
        <v>46.03</v>
      </c>
      <c r="R81" s="197"/>
      <c r="S81" s="197"/>
      <c r="T81" s="197"/>
      <c r="U81" s="197"/>
    </row>
    <row r="82" spans="1:26" s="12" customFormat="1" x14ac:dyDescent="0.25">
      <c r="A82" s="200" t="s">
        <v>701</v>
      </c>
      <c r="B82" s="59">
        <v>29.58</v>
      </c>
      <c r="C82" s="59">
        <v>36.51</v>
      </c>
      <c r="D82" s="59">
        <v>43.87</v>
      </c>
      <c r="E82" s="59">
        <v>3.77</v>
      </c>
      <c r="F82" s="59">
        <v>0.59</v>
      </c>
      <c r="G82" s="59">
        <v>111.01</v>
      </c>
      <c r="H82" s="59">
        <v>36.44</v>
      </c>
      <c r="I82" s="59">
        <v>0.56000000000000005</v>
      </c>
      <c r="J82" s="59">
        <v>0.12</v>
      </c>
      <c r="K82" s="59">
        <v>107.39</v>
      </c>
      <c r="L82" s="59">
        <v>21.7</v>
      </c>
      <c r="M82" s="59">
        <v>55</v>
      </c>
      <c r="N82" s="59">
        <v>24.2</v>
      </c>
      <c r="O82" s="59">
        <v>0</v>
      </c>
      <c r="P82" s="59">
        <v>1.97</v>
      </c>
      <c r="Q82" s="59">
        <v>46.96</v>
      </c>
      <c r="R82" s="197"/>
      <c r="S82" s="197"/>
      <c r="T82" s="197"/>
      <c r="U82" s="197"/>
    </row>
    <row r="83" spans="1:26" s="12" customFormat="1" x14ac:dyDescent="0.25">
      <c r="A83" s="200" t="s">
        <v>702</v>
      </c>
      <c r="B83" s="59">
        <v>35.61</v>
      </c>
      <c r="C83" s="59">
        <v>34.340000000000003</v>
      </c>
      <c r="D83" s="59">
        <v>47.51</v>
      </c>
      <c r="E83" s="59">
        <v>3.46</v>
      </c>
      <c r="F83" s="59">
        <v>0.71</v>
      </c>
      <c r="G83" s="59">
        <v>103.09</v>
      </c>
      <c r="H83" s="59">
        <v>37.869999999999997</v>
      </c>
      <c r="I83" s="59">
        <v>0.63</v>
      </c>
      <c r="J83" s="59">
        <v>0.08</v>
      </c>
      <c r="K83" s="59">
        <v>138.94</v>
      </c>
      <c r="L83" s="59">
        <v>21.37</v>
      </c>
      <c r="M83" s="59">
        <v>60</v>
      </c>
      <c r="N83" s="59">
        <v>24.2</v>
      </c>
      <c r="O83" s="59">
        <v>0</v>
      </c>
      <c r="P83" s="59">
        <v>2.08</v>
      </c>
      <c r="Q83" s="59">
        <v>46.95</v>
      </c>
      <c r="R83" s="197"/>
      <c r="S83" s="197"/>
      <c r="T83" s="197"/>
      <c r="U83" s="197"/>
    </row>
    <row r="84" spans="1:26" s="12" customFormat="1" x14ac:dyDescent="0.25">
      <c r="A84" s="200" t="s">
        <v>703</v>
      </c>
      <c r="B84" s="59">
        <v>38.4</v>
      </c>
      <c r="C84" s="59">
        <v>33</v>
      </c>
      <c r="D84" s="59">
        <v>49.01</v>
      </c>
      <c r="E84" s="59">
        <v>3.69</v>
      </c>
      <c r="F84" s="59">
        <v>0.84</v>
      </c>
      <c r="G84" s="59">
        <v>85.75</v>
      </c>
      <c r="H84" s="59">
        <v>42.29</v>
      </c>
      <c r="I84" s="59">
        <v>0.69</v>
      </c>
      <c r="J84" s="59">
        <v>0.03</v>
      </c>
      <c r="K84" s="59">
        <v>127.1</v>
      </c>
      <c r="L84" s="59">
        <v>21.1</v>
      </c>
      <c r="M84" s="59">
        <v>63</v>
      </c>
      <c r="N84" s="59">
        <v>24.4</v>
      </c>
      <c r="O84" s="59">
        <v>0</v>
      </c>
      <c r="P84" s="59">
        <v>2.14</v>
      </c>
      <c r="Q84" s="59">
        <v>46.92</v>
      </c>
      <c r="R84" s="197"/>
      <c r="S84" s="197"/>
      <c r="T84" s="197"/>
      <c r="U84" s="197"/>
    </row>
    <row r="85" spans="1:26" s="12" customFormat="1" x14ac:dyDescent="0.25">
      <c r="A85" s="200" t="s">
        <v>704</v>
      </c>
      <c r="B85" s="59">
        <v>44.24</v>
      </c>
      <c r="C85" s="59">
        <v>28.13</v>
      </c>
      <c r="D85" s="59">
        <v>51</v>
      </c>
      <c r="E85" s="59">
        <v>3.57</v>
      </c>
      <c r="F85" s="59">
        <v>0.82</v>
      </c>
      <c r="G85" s="59">
        <v>85.75</v>
      </c>
      <c r="H85" s="59">
        <v>42.29</v>
      </c>
      <c r="I85" s="59">
        <v>0.73</v>
      </c>
      <c r="J85" s="59">
        <v>0.09</v>
      </c>
      <c r="K85" s="59">
        <v>328.51</v>
      </c>
      <c r="L85" s="59">
        <v>20.7</v>
      </c>
      <c r="M85" s="59">
        <v>65</v>
      </c>
      <c r="N85" s="59">
        <v>24</v>
      </c>
      <c r="O85" s="59">
        <v>0</v>
      </c>
      <c r="P85" s="59">
        <v>2.12</v>
      </c>
      <c r="Q85" s="59">
        <v>47.27</v>
      </c>
      <c r="R85" s="197"/>
      <c r="S85" s="197"/>
      <c r="T85" s="197"/>
      <c r="U85" s="197"/>
    </row>
    <row r="86" spans="1:26" s="12" customFormat="1" x14ac:dyDescent="0.25">
      <c r="A86" s="200" t="s">
        <v>705</v>
      </c>
      <c r="B86" s="59">
        <v>50.1</v>
      </c>
      <c r="C86" s="59">
        <v>26.6</v>
      </c>
      <c r="D86" s="59">
        <v>54.86</v>
      </c>
      <c r="E86" s="59">
        <v>3.82</v>
      </c>
      <c r="F86" s="59">
        <v>0.67</v>
      </c>
      <c r="G86" s="59">
        <v>85.75</v>
      </c>
      <c r="H86" s="59">
        <v>42.29</v>
      </c>
      <c r="I86" s="59">
        <v>0.79</v>
      </c>
      <c r="J86" s="59">
        <v>7.0000000000000007E-2</v>
      </c>
      <c r="K86" s="59">
        <v>327.57</v>
      </c>
      <c r="L86" s="59">
        <v>20.58</v>
      </c>
      <c r="M86" s="59">
        <v>65</v>
      </c>
      <c r="N86" s="59">
        <v>24.3</v>
      </c>
      <c r="O86" s="59">
        <v>0</v>
      </c>
      <c r="P86" s="59">
        <v>2.41</v>
      </c>
      <c r="Q86" s="59">
        <v>48.68</v>
      </c>
      <c r="R86" s="197"/>
      <c r="S86" s="197"/>
      <c r="T86" s="197"/>
      <c r="U86" s="197"/>
    </row>
    <row r="87" spans="1:26" s="12" customFormat="1" x14ac:dyDescent="0.25">
      <c r="A87" s="200" t="s">
        <v>706</v>
      </c>
      <c r="B87" s="59">
        <v>61.51</v>
      </c>
      <c r="C87" s="59">
        <v>18.11</v>
      </c>
      <c r="D87" s="59">
        <v>59.32</v>
      </c>
      <c r="E87" s="59">
        <v>4.4000000000000004</v>
      </c>
      <c r="F87" s="59">
        <v>0.56000000000000005</v>
      </c>
      <c r="G87" s="59">
        <v>85.75</v>
      </c>
      <c r="H87" s="59">
        <v>42.79</v>
      </c>
      <c r="I87" s="59">
        <v>0.87</v>
      </c>
      <c r="J87" s="59">
        <v>0.09</v>
      </c>
      <c r="K87" s="59">
        <v>329.86</v>
      </c>
      <c r="L87" s="59">
        <v>20.28</v>
      </c>
      <c r="M87" s="59">
        <v>64</v>
      </c>
      <c r="N87" s="59">
        <v>24.2</v>
      </c>
      <c r="O87" s="59">
        <v>0</v>
      </c>
      <c r="P87" s="59">
        <v>2.63</v>
      </c>
      <c r="Q87" s="59">
        <v>49.42</v>
      </c>
      <c r="R87" s="197"/>
      <c r="S87" s="197"/>
      <c r="T87" s="197"/>
      <c r="U87" s="197"/>
    </row>
    <row r="88" spans="1:26" s="12" customFormat="1" x14ac:dyDescent="0.25">
      <c r="A88" s="200" t="s">
        <v>707</v>
      </c>
      <c r="B88" s="59">
        <v>71.900000000000006</v>
      </c>
      <c r="C88" s="59">
        <v>12.11</v>
      </c>
      <c r="D88" s="59">
        <v>64.349999999999994</v>
      </c>
      <c r="E88" s="59">
        <v>1.62</v>
      </c>
      <c r="F88" s="59">
        <v>0.68</v>
      </c>
      <c r="G88" s="59">
        <v>264.26</v>
      </c>
      <c r="H88" s="59">
        <v>44.45</v>
      </c>
      <c r="I88" s="59">
        <v>0.97</v>
      </c>
      <c r="J88" s="59">
        <v>0.05</v>
      </c>
      <c r="K88" s="59">
        <v>319.92</v>
      </c>
      <c r="L88" s="59">
        <v>20.14</v>
      </c>
      <c r="M88" s="59">
        <v>65</v>
      </c>
      <c r="N88" s="59">
        <v>24.2</v>
      </c>
      <c r="O88" s="59">
        <v>0</v>
      </c>
      <c r="P88" s="59">
        <v>2.84</v>
      </c>
      <c r="Q88" s="59">
        <v>50.23</v>
      </c>
      <c r="R88" s="197"/>
      <c r="S88" s="197"/>
      <c r="T88" s="197"/>
      <c r="U88" s="197"/>
    </row>
    <row r="89" spans="1:26" s="12" customFormat="1" x14ac:dyDescent="0.25">
      <c r="A89" s="200" t="s">
        <v>708</v>
      </c>
      <c r="B89" s="59">
        <v>81.99</v>
      </c>
      <c r="C89" s="59">
        <v>7.35</v>
      </c>
      <c r="D89" s="59">
        <v>69.81</v>
      </c>
      <c r="E89" s="59">
        <v>3.17</v>
      </c>
      <c r="F89" s="59">
        <v>0.83</v>
      </c>
      <c r="G89" s="59">
        <v>264.26</v>
      </c>
      <c r="H89" s="59">
        <v>44.45</v>
      </c>
      <c r="I89" s="59">
        <v>1.0900000000000001</v>
      </c>
      <c r="J89" s="59">
        <v>7.0000000000000007E-2</v>
      </c>
      <c r="K89" s="59">
        <v>247.86</v>
      </c>
      <c r="L89" s="59">
        <v>20.239999999999998</v>
      </c>
      <c r="M89" s="59">
        <v>63</v>
      </c>
      <c r="N89" s="59">
        <v>24.1</v>
      </c>
      <c r="O89" s="59">
        <v>0</v>
      </c>
      <c r="P89" s="59">
        <v>3.01</v>
      </c>
      <c r="Q89" s="59">
        <v>51.71</v>
      </c>
      <c r="R89" s="197"/>
      <c r="S89" s="197"/>
      <c r="T89" s="197"/>
      <c r="U89" s="197"/>
    </row>
    <row r="90" spans="1:26" s="12" customFormat="1" x14ac:dyDescent="0.25">
      <c r="A90" s="200" t="s">
        <v>709</v>
      </c>
      <c r="B90" s="59">
        <v>87.96</v>
      </c>
      <c r="C90" s="59">
        <v>3.67</v>
      </c>
      <c r="D90" s="59">
        <v>72.56</v>
      </c>
      <c r="E90" s="59">
        <v>3.65</v>
      </c>
      <c r="F90" s="59">
        <v>0.59</v>
      </c>
      <c r="G90" s="59">
        <v>264.26</v>
      </c>
      <c r="H90" s="59">
        <v>44.45</v>
      </c>
      <c r="I90" s="59">
        <v>1.2</v>
      </c>
      <c r="J90" s="59">
        <v>0.02</v>
      </c>
      <c r="K90" s="59">
        <v>103.32</v>
      </c>
      <c r="L90" s="59">
        <v>20.54</v>
      </c>
      <c r="M90" s="59">
        <v>60</v>
      </c>
      <c r="N90" s="59">
        <v>23.6</v>
      </c>
      <c r="O90" s="59">
        <v>0</v>
      </c>
      <c r="P90" s="59">
        <v>3.12</v>
      </c>
      <c r="Q90" s="59">
        <v>52.82</v>
      </c>
      <c r="R90" s="197"/>
      <c r="S90" s="197"/>
      <c r="T90" s="197"/>
      <c r="U90" s="197"/>
    </row>
    <row r="91" spans="1:26" s="12" customFormat="1" x14ac:dyDescent="0.25">
      <c r="A91" s="200" t="s">
        <v>710</v>
      </c>
      <c r="B91" s="59">
        <v>89.17</v>
      </c>
      <c r="C91" s="59">
        <v>3.01</v>
      </c>
      <c r="D91" s="59">
        <v>73.17</v>
      </c>
      <c r="E91" s="59">
        <v>3.94</v>
      </c>
      <c r="F91" s="59">
        <v>0.6</v>
      </c>
      <c r="G91" s="59">
        <v>193.99</v>
      </c>
      <c r="H91" s="59">
        <v>45.89</v>
      </c>
      <c r="I91" s="59">
        <v>1.3</v>
      </c>
      <c r="J91" s="59">
        <v>0.03</v>
      </c>
      <c r="K91" s="59">
        <v>143.85</v>
      </c>
      <c r="L91" s="59">
        <v>20.94</v>
      </c>
      <c r="M91" s="59">
        <v>54</v>
      </c>
      <c r="N91" s="59">
        <v>23.9</v>
      </c>
      <c r="O91" s="59">
        <v>0</v>
      </c>
      <c r="P91" s="59">
        <v>3.15</v>
      </c>
      <c r="Q91" s="59">
        <v>55.04</v>
      </c>
      <c r="R91" s="197"/>
      <c r="S91" s="197"/>
      <c r="T91" s="197"/>
      <c r="U91" s="197"/>
    </row>
    <row r="92" spans="1:26" s="12" customFormat="1" x14ac:dyDescent="0.25">
      <c r="A92" s="200" t="s">
        <v>711</v>
      </c>
      <c r="B92" s="59">
        <v>86.38</v>
      </c>
      <c r="C92" s="59">
        <v>4.55</v>
      </c>
      <c r="D92" s="59">
        <v>71.78</v>
      </c>
      <c r="E92" s="59">
        <v>3.7</v>
      </c>
      <c r="F92" s="59">
        <v>0.7</v>
      </c>
      <c r="G92" s="59">
        <v>193.99</v>
      </c>
      <c r="H92" s="59">
        <v>50.35</v>
      </c>
      <c r="I92" s="59">
        <v>1.36</v>
      </c>
      <c r="J92" s="59">
        <v>0.08</v>
      </c>
      <c r="K92" s="59">
        <v>0.01</v>
      </c>
      <c r="L92" s="59">
        <v>20.83</v>
      </c>
      <c r="M92" s="59">
        <v>54</v>
      </c>
      <c r="N92" s="59">
        <v>24.2</v>
      </c>
      <c r="O92" s="59">
        <v>0</v>
      </c>
      <c r="P92" s="59">
        <v>3.14</v>
      </c>
      <c r="Q92" s="59">
        <v>54.63</v>
      </c>
      <c r="R92" s="197"/>
      <c r="S92" s="197"/>
      <c r="T92" s="197"/>
      <c r="U92" s="197"/>
    </row>
    <row r="93" spans="1:26" s="12" customFormat="1" x14ac:dyDescent="0.25">
      <c r="A93" s="200" t="s">
        <v>712</v>
      </c>
      <c r="B93" s="59">
        <v>89.46</v>
      </c>
      <c r="C93" s="59">
        <v>3.14</v>
      </c>
      <c r="D93" s="59">
        <v>73.48</v>
      </c>
      <c r="E93" s="59">
        <v>4.16</v>
      </c>
      <c r="F93" s="59">
        <v>0.69</v>
      </c>
      <c r="G93" s="59">
        <v>193.99</v>
      </c>
      <c r="H93" s="59">
        <v>50.35</v>
      </c>
      <c r="I93" s="59">
        <v>1.38</v>
      </c>
      <c r="J93" s="59">
        <v>0.15</v>
      </c>
      <c r="K93" s="59">
        <v>354.09</v>
      </c>
      <c r="L93" s="59">
        <v>20.350000000000001</v>
      </c>
      <c r="M93" s="59">
        <v>57</v>
      </c>
      <c r="N93" s="59">
        <v>24.1</v>
      </c>
      <c r="O93" s="59">
        <v>0</v>
      </c>
      <c r="P93" s="59">
        <v>3.25</v>
      </c>
      <c r="Q93" s="59">
        <v>54.23</v>
      </c>
      <c r="R93" s="197"/>
      <c r="S93" s="197"/>
      <c r="T93" s="197"/>
      <c r="U93" s="197"/>
    </row>
    <row r="94" spans="1:26" s="12" customFormat="1" x14ac:dyDescent="0.25">
      <c r="A94" s="200" t="s">
        <v>713</v>
      </c>
      <c r="B94" s="59">
        <v>97.17</v>
      </c>
      <c r="C94" s="210" t="s">
        <v>43</v>
      </c>
      <c r="D94" s="59">
        <v>77.569999999999993</v>
      </c>
      <c r="E94" s="59">
        <v>3.58</v>
      </c>
      <c r="F94" s="59">
        <v>0.81</v>
      </c>
      <c r="G94" s="59">
        <v>193.99</v>
      </c>
      <c r="H94" s="59">
        <v>50.35</v>
      </c>
      <c r="I94" s="59">
        <v>1.36</v>
      </c>
      <c r="J94" s="59">
        <v>0.09</v>
      </c>
      <c r="K94" s="59">
        <v>347.04</v>
      </c>
      <c r="L94" s="59">
        <v>20.23</v>
      </c>
      <c r="M94" s="59">
        <v>56</v>
      </c>
      <c r="N94" s="59">
        <v>24.4</v>
      </c>
      <c r="O94" s="59">
        <v>0</v>
      </c>
      <c r="P94" s="59">
        <v>3.39</v>
      </c>
      <c r="Q94" s="59">
        <v>54.38</v>
      </c>
      <c r="R94" s="197"/>
      <c r="S94" s="197"/>
      <c r="T94" s="197"/>
      <c r="U94" s="197"/>
    </row>
    <row r="95" spans="1:26" s="12" customFormat="1" x14ac:dyDescent="0.25">
      <c r="A95" s="200" t="s">
        <v>714</v>
      </c>
      <c r="B95" s="59">
        <v>100.73</v>
      </c>
      <c r="C95" s="210" t="s">
        <v>43</v>
      </c>
      <c r="D95" s="59">
        <v>79.400000000000006</v>
      </c>
      <c r="E95" s="59">
        <v>3.75</v>
      </c>
      <c r="F95" s="59">
        <v>0.66</v>
      </c>
      <c r="G95" s="59">
        <v>175.38</v>
      </c>
      <c r="H95" s="59">
        <v>49.68</v>
      </c>
      <c r="I95" s="59">
        <v>1.39</v>
      </c>
      <c r="J95" s="59">
        <v>0.19</v>
      </c>
      <c r="K95" s="59">
        <v>353.14</v>
      </c>
      <c r="L95" s="59">
        <v>19.95</v>
      </c>
      <c r="M95" s="59">
        <v>58</v>
      </c>
      <c r="N95" s="59">
        <v>24.2</v>
      </c>
      <c r="O95" s="59">
        <v>0</v>
      </c>
      <c r="P95" s="59">
        <v>3.4</v>
      </c>
      <c r="Q95" s="59">
        <v>54.44</v>
      </c>
      <c r="R95" s="197"/>
      <c r="S95" s="197"/>
      <c r="T95" s="197"/>
      <c r="U95" s="197"/>
    </row>
    <row r="96" spans="1:26" s="12" customFormat="1" x14ac:dyDescent="0.25">
      <c r="A96" s="200" t="s">
        <v>715</v>
      </c>
      <c r="B96" s="59">
        <v>104.35</v>
      </c>
      <c r="C96" s="210" t="s">
        <v>43</v>
      </c>
      <c r="D96" s="59">
        <v>81.349999999999994</v>
      </c>
      <c r="E96" s="59">
        <v>3.86</v>
      </c>
      <c r="F96" s="59">
        <v>0.7</v>
      </c>
      <c r="G96" s="59">
        <v>134.63</v>
      </c>
      <c r="H96" s="59">
        <v>47.62</v>
      </c>
      <c r="I96" s="59">
        <v>1.41</v>
      </c>
      <c r="J96" s="59">
        <v>0.12</v>
      </c>
      <c r="K96" s="59">
        <v>32.840000000000003</v>
      </c>
      <c r="L96" s="59">
        <v>19.8</v>
      </c>
      <c r="M96" s="59">
        <v>57</v>
      </c>
      <c r="N96" s="59">
        <v>24</v>
      </c>
      <c r="O96" s="59">
        <v>0</v>
      </c>
      <c r="P96" s="59">
        <v>3.47</v>
      </c>
      <c r="Q96" s="59">
        <v>54.16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716</v>
      </c>
      <c r="B97" s="59">
        <v>103.78</v>
      </c>
      <c r="C97" s="210" t="s">
        <v>43</v>
      </c>
      <c r="D97" s="59">
        <v>81.16</v>
      </c>
      <c r="E97" s="59">
        <v>4</v>
      </c>
      <c r="F97" s="59">
        <v>0.83</v>
      </c>
      <c r="G97" s="59">
        <v>134.63</v>
      </c>
      <c r="H97" s="59">
        <v>47.62</v>
      </c>
      <c r="I97" s="59">
        <v>1.41</v>
      </c>
      <c r="J97" s="59">
        <v>0.18</v>
      </c>
      <c r="K97" s="59">
        <v>29.22</v>
      </c>
      <c r="L97" s="59">
        <v>20.37</v>
      </c>
      <c r="M97" s="59">
        <v>53</v>
      </c>
      <c r="N97" s="59">
        <v>23.9</v>
      </c>
      <c r="O97" s="59">
        <v>0</v>
      </c>
      <c r="P97" s="59">
        <v>3.43</v>
      </c>
      <c r="Q97" s="59">
        <v>54.04</v>
      </c>
      <c r="R97" s="197"/>
      <c r="S97" s="197"/>
      <c r="T97" s="197"/>
      <c r="U97" s="197"/>
    </row>
    <row r="98" spans="1:33" s="12" customFormat="1" x14ac:dyDescent="0.25">
      <c r="A98" s="200" t="s">
        <v>717</v>
      </c>
      <c r="B98" s="59">
        <v>97.76</v>
      </c>
      <c r="C98" s="210" t="s">
        <v>43</v>
      </c>
      <c r="D98" s="59">
        <v>78.33</v>
      </c>
      <c r="E98" s="59">
        <v>3.98</v>
      </c>
      <c r="F98" s="59">
        <v>0.81</v>
      </c>
      <c r="G98" s="59">
        <v>134.63</v>
      </c>
      <c r="H98" s="59">
        <v>47.62</v>
      </c>
      <c r="I98" s="59">
        <v>1.42</v>
      </c>
      <c r="J98" s="59">
        <v>0.04</v>
      </c>
      <c r="K98" s="59">
        <v>355.94</v>
      </c>
      <c r="L98" s="59">
        <v>20.059999999999999</v>
      </c>
      <c r="M98" s="59">
        <v>55</v>
      </c>
      <c r="N98" s="59">
        <v>24.5</v>
      </c>
      <c r="O98" s="59">
        <v>0</v>
      </c>
      <c r="P98" s="59">
        <v>3.37</v>
      </c>
      <c r="Q98" s="59">
        <v>53.56</v>
      </c>
      <c r="R98" s="197"/>
      <c r="S98" s="197"/>
      <c r="T98" s="197"/>
      <c r="U98" s="197"/>
    </row>
    <row r="99" spans="1:33" s="12" customFormat="1" x14ac:dyDescent="0.25">
      <c r="A99" s="200" t="s">
        <v>718</v>
      </c>
      <c r="B99" s="59">
        <v>94.67</v>
      </c>
      <c r="C99" s="210" t="s">
        <v>43</v>
      </c>
      <c r="D99" s="59">
        <v>75.8</v>
      </c>
      <c r="E99" s="59">
        <v>3.77</v>
      </c>
      <c r="F99" s="59">
        <v>0.86</v>
      </c>
      <c r="G99" s="59">
        <v>126.34</v>
      </c>
      <c r="H99" s="59">
        <v>47.08</v>
      </c>
      <c r="I99" s="59">
        <v>1.39</v>
      </c>
      <c r="J99" s="59">
        <v>0.05</v>
      </c>
      <c r="K99" s="59">
        <v>297.12</v>
      </c>
      <c r="L99" s="59">
        <v>19.73</v>
      </c>
      <c r="M99" s="59">
        <v>57</v>
      </c>
      <c r="N99" s="59">
        <v>24.4</v>
      </c>
      <c r="O99" s="59">
        <v>0</v>
      </c>
      <c r="P99" s="59">
        <v>3.3</v>
      </c>
      <c r="Q99" s="59">
        <v>53.12</v>
      </c>
      <c r="R99" s="197"/>
      <c r="S99" s="197"/>
      <c r="T99" s="197"/>
      <c r="U99" s="197"/>
    </row>
    <row r="100" spans="1:33" s="12" customFormat="1" x14ac:dyDescent="0.25">
      <c r="A100" s="200" t="s">
        <v>719</v>
      </c>
      <c r="B100" s="59">
        <v>90.93</v>
      </c>
      <c r="C100" s="210" t="s">
        <v>43</v>
      </c>
      <c r="D100" s="59">
        <v>73.209999999999994</v>
      </c>
      <c r="E100" s="59">
        <v>4.1500000000000004</v>
      </c>
      <c r="F100" s="59">
        <v>0.77</v>
      </c>
      <c r="G100" s="59">
        <v>108.59</v>
      </c>
      <c r="H100" s="59">
        <v>45.41</v>
      </c>
      <c r="I100" s="59">
        <v>1.39</v>
      </c>
      <c r="J100" s="59">
        <v>0.16</v>
      </c>
      <c r="K100" s="59">
        <v>346.27</v>
      </c>
      <c r="L100" s="59">
        <v>19.53</v>
      </c>
      <c r="M100" s="59">
        <v>58</v>
      </c>
      <c r="N100" s="59">
        <v>24.1</v>
      </c>
      <c r="O100" s="59">
        <v>0</v>
      </c>
      <c r="P100" s="59">
        <v>3.24</v>
      </c>
      <c r="Q100" s="59">
        <v>52.7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720</v>
      </c>
      <c r="B101" s="59">
        <v>89.42</v>
      </c>
      <c r="C101" s="210" t="s">
        <v>43</v>
      </c>
      <c r="D101" s="59">
        <v>71.69</v>
      </c>
      <c r="E101" s="59">
        <v>4.09</v>
      </c>
      <c r="F101" s="59">
        <v>0.73</v>
      </c>
      <c r="G101" s="59">
        <v>108.59</v>
      </c>
      <c r="H101" s="59">
        <v>45.41</v>
      </c>
      <c r="I101" s="59">
        <v>1.36</v>
      </c>
      <c r="J101" s="59">
        <v>0.09</v>
      </c>
      <c r="K101" s="59">
        <v>343.58</v>
      </c>
      <c r="L101" s="59">
        <v>19.54</v>
      </c>
      <c r="M101" s="59">
        <v>58</v>
      </c>
      <c r="N101" s="59">
        <v>24.3</v>
      </c>
      <c r="O101" s="59">
        <v>0</v>
      </c>
      <c r="P101" s="59">
        <v>3.19</v>
      </c>
      <c r="Q101" s="59">
        <v>52.4</v>
      </c>
      <c r="R101" s="197"/>
      <c r="S101" s="197"/>
      <c r="T101" s="197"/>
      <c r="U101" s="197"/>
    </row>
    <row r="102" spans="1:33" s="12" customFormat="1" x14ac:dyDescent="0.25">
      <c r="A102" s="200" t="s">
        <v>721</v>
      </c>
      <c r="B102" s="59">
        <v>87.28</v>
      </c>
      <c r="C102" s="59">
        <v>0.27</v>
      </c>
      <c r="D102" s="59">
        <v>70.150000000000006</v>
      </c>
      <c r="E102" s="59">
        <v>3.77</v>
      </c>
      <c r="F102" s="59">
        <v>0.72</v>
      </c>
      <c r="G102" s="59">
        <v>108.59</v>
      </c>
      <c r="H102" s="59">
        <v>45.41</v>
      </c>
      <c r="I102" s="59">
        <v>1.34</v>
      </c>
      <c r="J102" s="59">
        <v>0.09</v>
      </c>
      <c r="K102" s="59">
        <v>281.79000000000002</v>
      </c>
      <c r="L102" s="59">
        <v>19.04</v>
      </c>
      <c r="M102" s="59">
        <v>62</v>
      </c>
      <c r="N102" s="59">
        <v>24.6</v>
      </c>
      <c r="O102" s="59">
        <v>0</v>
      </c>
      <c r="P102" s="59">
        <v>3.12</v>
      </c>
      <c r="Q102" s="59">
        <v>52.24</v>
      </c>
      <c r="R102" s="197"/>
      <c r="S102" s="197"/>
      <c r="T102" s="197"/>
      <c r="U102" s="197"/>
    </row>
    <row r="103" spans="1:33" s="12" customFormat="1" x14ac:dyDescent="0.25">
      <c r="A103" s="200" t="s">
        <v>722</v>
      </c>
      <c r="B103" s="59">
        <v>85.84</v>
      </c>
      <c r="C103" s="59">
        <v>0.3</v>
      </c>
      <c r="D103" s="59">
        <v>69.010000000000005</v>
      </c>
      <c r="E103" s="59">
        <v>3.83</v>
      </c>
      <c r="F103" s="59">
        <v>0.57999999999999996</v>
      </c>
      <c r="G103" s="59">
        <v>109.14</v>
      </c>
      <c r="H103" s="59">
        <v>44.96</v>
      </c>
      <c r="I103" s="59">
        <v>1.33</v>
      </c>
      <c r="J103" s="59">
        <v>0.08</v>
      </c>
      <c r="K103" s="59">
        <v>326.89999999999998</v>
      </c>
      <c r="L103" s="59">
        <v>18.47</v>
      </c>
      <c r="M103" s="59">
        <v>63</v>
      </c>
      <c r="N103" s="59">
        <v>24.4</v>
      </c>
      <c r="O103" s="59">
        <v>0</v>
      </c>
      <c r="P103" s="59">
        <v>3.08</v>
      </c>
      <c r="Q103" s="59">
        <v>52.18</v>
      </c>
      <c r="R103" s="197"/>
      <c r="S103" s="197"/>
      <c r="T103" s="197"/>
      <c r="U103" s="197"/>
    </row>
    <row r="104" spans="1:33" s="12" customFormat="1" x14ac:dyDescent="0.25">
      <c r="A104" s="200" t="s">
        <v>723</v>
      </c>
      <c r="B104" s="59">
        <v>83.55</v>
      </c>
      <c r="C104" s="59">
        <v>0.64</v>
      </c>
      <c r="D104" s="59">
        <v>67.349999999999994</v>
      </c>
      <c r="E104" s="59">
        <v>2.77</v>
      </c>
      <c r="F104" s="59">
        <v>0.68</v>
      </c>
      <c r="G104" s="59">
        <v>111.62</v>
      </c>
      <c r="H104" s="59">
        <v>43.45</v>
      </c>
      <c r="I104" s="59">
        <v>1.31</v>
      </c>
      <c r="J104" s="59">
        <v>0.05</v>
      </c>
      <c r="K104" s="59">
        <v>250.51</v>
      </c>
      <c r="L104" s="59">
        <v>18.8</v>
      </c>
      <c r="M104" s="59">
        <v>61</v>
      </c>
      <c r="N104" s="59">
        <v>24</v>
      </c>
      <c r="O104" s="59">
        <v>0</v>
      </c>
      <c r="P104" s="59">
        <v>2.99</v>
      </c>
      <c r="Q104" s="59">
        <v>52.11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2.4</v>
      </c>
      <c r="C106" s="66">
        <f>MIN(C9:C104)</f>
        <v>0.27</v>
      </c>
      <c r="D106" s="66">
        <f t="shared" ref="D106:Q106" si="0">MIN(D9:D104)</f>
        <v>25.42</v>
      </c>
      <c r="E106" s="66">
        <f t="shared" si="0"/>
        <v>1.62</v>
      </c>
      <c r="F106" s="66">
        <f t="shared" si="0"/>
        <v>0.5</v>
      </c>
      <c r="G106" s="66">
        <f t="shared" si="0"/>
        <v>58.74</v>
      </c>
      <c r="H106" s="66">
        <f t="shared" si="0"/>
        <v>35.78</v>
      </c>
      <c r="I106" s="66">
        <f t="shared" si="0"/>
        <v>0.27</v>
      </c>
      <c r="J106" s="66">
        <f t="shared" si="0"/>
        <v>0.01</v>
      </c>
      <c r="K106" s="66">
        <f t="shared" si="0"/>
        <v>0.01</v>
      </c>
      <c r="L106" s="66">
        <f t="shared" si="0"/>
        <v>15.95</v>
      </c>
      <c r="M106" s="66">
        <f t="shared" si="0"/>
        <v>22</v>
      </c>
      <c r="N106" s="66">
        <f t="shared" si="0"/>
        <v>23.6</v>
      </c>
      <c r="O106" s="66">
        <f t="shared" si="0"/>
        <v>0</v>
      </c>
      <c r="P106" s="66">
        <f t="shared" si="0"/>
        <v>1.1299999999999999</v>
      </c>
      <c r="Q106" s="66">
        <f t="shared" si="0"/>
        <v>36.03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142.91</v>
      </c>
      <c r="C107" s="65">
        <f t="shared" ref="C107:Q107" si="1">MAX(C9:C104)</f>
        <v>50.61</v>
      </c>
      <c r="D107" s="65">
        <f t="shared" si="1"/>
        <v>97.61</v>
      </c>
      <c r="E107" s="65">
        <f t="shared" si="1"/>
        <v>14.45</v>
      </c>
      <c r="F107" s="65">
        <f t="shared" si="1"/>
        <v>14.12</v>
      </c>
      <c r="G107" s="65">
        <f t="shared" si="1"/>
        <v>557.25</v>
      </c>
      <c r="H107" s="65">
        <f t="shared" si="1"/>
        <v>57.31</v>
      </c>
      <c r="I107" s="65">
        <f t="shared" si="1"/>
        <v>1.6</v>
      </c>
      <c r="J107" s="65">
        <f t="shared" si="1"/>
        <v>1.42</v>
      </c>
      <c r="K107" s="65">
        <f t="shared" si="1"/>
        <v>358.29</v>
      </c>
      <c r="L107" s="65">
        <f t="shared" si="1"/>
        <v>32.17</v>
      </c>
      <c r="M107" s="65">
        <f t="shared" si="1"/>
        <v>89</v>
      </c>
      <c r="N107" s="65">
        <f t="shared" si="1"/>
        <v>457</v>
      </c>
      <c r="O107" s="65">
        <f t="shared" si="1"/>
        <v>0</v>
      </c>
      <c r="P107" s="65">
        <f t="shared" si="1"/>
        <v>3.71</v>
      </c>
      <c r="Q107" s="65">
        <f t="shared" si="1"/>
        <v>59.86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49.590625000000017</v>
      </c>
      <c r="C108" s="66">
        <f t="shared" ref="C108:Q108" si="2">AVERAGE(C9:C104)</f>
        <v>26.248055555555549</v>
      </c>
      <c r="D108" s="66">
        <f t="shared" si="2"/>
        <v>49.631979166666675</v>
      </c>
      <c r="E108" s="66">
        <f t="shared" si="2"/>
        <v>5.0290624999999975</v>
      </c>
      <c r="F108" s="66">
        <f t="shared" si="2"/>
        <v>2.2923958333333334</v>
      </c>
      <c r="G108" s="66">
        <f t="shared" si="2"/>
        <v>124.42322916666662</v>
      </c>
      <c r="H108" s="66">
        <f t="shared" si="2"/>
        <v>44.039374999999986</v>
      </c>
      <c r="I108" s="66">
        <f t="shared" si="2"/>
        <v>0.77447916666666694</v>
      </c>
      <c r="J108" s="66">
        <f t="shared" si="2"/>
        <v>0.34406249999999994</v>
      </c>
      <c r="K108" s="66">
        <f t="shared" si="2"/>
        <v>225.94833333333335</v>
      </c>
      <c r="L108" s="66">
        <f t="shared" si="2"/>
        <v>22.506249999999998</v>
      </c>
      <c r="M108" s="66">
        <f t="shared" si="2"/>
        <v>55.78125</v>
      </c>
      <c r="N108" s="66">
        <f t="shared" si="2"/>
        <v>132.48854166666669</v>
      </c>
      <c r="O108" s="66">
        <f t="shared" si="2"/>
        <v>0</v>
      </c>
      <c r="P108" s="66">
        <f t="shared" si="2"/>
        <v>2.1018750000000002</v>
      </c>
      <c r="Q108" s="66">
        <f t="shared" si="2"/>
        <v>47.233437500000008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35.678385873699909</v>
      </c>
      <c r="C109" s="66">
        <f t="shared" ref="C109:Q109" si="3">STDEV(C9:C104)</f>
        <v>16.886182587046378</v>
      </c>
      <c r="D109" s="66">
        <f t="shared" si="3"/>
        <v>18.048657020736851</v>
      </c>
      <c r="E109" s="66">
        <f t="shared" si="3"/>
        <v>2.1453455509299117</v>
      </c>
      <c r="F109" s="66">
        <f t="shared" si="3"/>
        <v>3.1220319782548045</v>
      </c>
      <c r="G109" s="66">
        <f t="shared" si="3"/>
        <v>88.982025050536421</v>
      </c>
      <c r="H109" s="66">
        <f t="shared" si="3"/>
        <v>5.7422623109161934</v>
      </c>
      <c r="I109" s="66">
        <f t="shared" si="3"/>
        <v>0.39572417239035951</v>
      </c>
      <c r="J109" s="66">
        <f t="shared" si="3"/>
        <v>0.35861598909080866</v>
      </c>
      <c r="K109" s="66">
        <f t="shared" si="3"/>
        <v>127.84851730129813</v>
      </c>
      <c r="L109" s="66">
        <f t="shared" si="3"/>
        <v>5.1098246442257569</v>
      </c>
      <c r="M109" s="66">
        <f t="shared" si="3"/>
        <v>20.312403845926262</v>
      </c>
      <c r="N109" s="66">
        <f t="shared" si="3"/>
        <v>156.3708364718419</v>
      </c>
      <c r="O109" s="66">
        <f t="shared" si="3"/>
        <v>0</v>
      </c>
      <c r="P109" s="66">
        <f t="shared" si="3"/>
        <v>0.77456176064445059</v>
      </c>
      <c r="Q109" s="66">
        <f t="shared" si="3"/>
        <v>6.1875790398991661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72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>COUNT(H9:H104)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&lt;90%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LESS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111" sqref="D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06-12-2022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724</v>
      </c>
      <c r="B9" s="59">
        <v>79.64</v>
      </c>
      <c r="C9" s="59">
        <v>1.88</v>
      </c>
      <c r="D9" s="59">
        <v>64.900000000000006</v>
      </c>
      <c r="E9" s="59">
        <v>4.57</v>
      </c>
      <c r="F9" s="59">
        <v>0.72</v>
      </c>
      <c r="G9" s="59">
        <v>111.62</v>
      </c>
      <c r="H9" s="59">
        <v>43.45</v>
      </c>
      <c r="I9" s="59">
        <v>1.28</v>
      </c>
      <c r="J9" s="59">
        <v>0.09</v>
      </c>
      <c r="K9" s="59">
        <v>256.17</v>
      </c>
      <c r="L9" s="59">
        <v>18.79</v>
      </c>
      <c r="M9" s="59">
        <v>62</v>
      </c>
      <c r="N9" s="59">
        <v>24.5</v>
      </c>
      <c r="O9" s="59">
        <v>0</v>
      </c>
      <c r="P9" s="59">
        <v>2.88</v>
      </c>
      <c r="Q9" s="59">
        <v>52.88</v>
      </c>
      <c r="R9" s="197"/>
      <c r="S9" s="197"/>
      <c r="T9" s="197"/>
      <c r="U9" s="197"/>
    </row>
    <row r="10" spans="1:21" s="12" customFormat="1" x14ac:dyDescent="0.25">
      <c r="A10" s="200" t="s">
        <v>725</v>
      </c>
      <c r="B10" s="59">
        <v>74.209999999999994</v>
      </c>
      <c r="C10" s="59">
        <v>3.87</v>
      </c>
      <c r="D10" s="59">
        <v>61.65</v>
      </c>
      <c r="E10" s="59">
        <v>4.7699999999999996</v>
      </c>
      <c r="F10" s="59">
        <v>0.8</v>
      </c>
      <c r="G10" s="59">
        <v>111.62</v>
      </c>
      <c r="H10" s="59">
        <v>43.45</v>
      </c>
      <c r="I10" s="59">
        <v>1.26</v>
      </c>
      <c r="J10" s="59">
        <v>0.13</v>
      </c>
      <c r="K10" s="59">
        <v>321.82</v>
      </c>
      <c r="L10" s="59">
        <v>18.170000000000002</v>
      </c>
      <c r="M10" s="59">
        <v>68</v>
      </c>
      <c r="N10" s="59">
        <v>24.6</v>
      </c>
      <c r="O10" s="59">
        <v>0</v>
      </c>
      <c r="P10" s="59">
        <v>2.75</v>
      </c>
      <c r="Q10" s="59">
        <v>52.85</v>
      </c>
      <c r="R10" s="197"/>
      <c r="S10" s="197"/>
      <c r="T10" s="197"/>
      <c r="U10" s="197"/>
    </row>
    <row r="11" spans="1:21" s="12" customFormat="1" x14ac:dyDescent="0.25">
      <c r="A11" s="200" t="s">
        <v>726</v>
      </c>
      <c r="B11" s="59">
        <v>69.58</v>
      </c>
      <c r="C11" s="59">
        <v>5.6</v>
      </c>
      <c r="D11" s="59">
        <v>58.89</v>
      </c>
      <c r="E11" s="59">
        <v>4.46</v>
      </c>
      <c r="F11" s="59">
        <v>0.72</v>
      </c>
      <c r="G11" s="59">
        <v>102.97</v>
      </c>
      <c r="H11" s="59">
        <v>42.57</v>
      </c>
      <c r="I11" s="59">
        <v>1.2</v>
      </c>
      <c r="J11" s="59">
        <v>7.0000000000000007E-2</v>
      </c>
      <c r="K11" s="59">
        <v>298.14</v>
      </c>
      <c r="L11" s="59">
        <v>17.62</v>
      </c>
      <c r="M11" s="59">
        <v>69</v>
      </c>
      <c r="N11" s="59">
        <v>24.6</v>
      </c>
      <c r="O11" s="59">
        <v>0</v>
      </c>
      <c r="P11" s="59">
        <v>2.65</v>
      </c>
      <c r="Q11" s="59">
        <v>52.02</v>
      </c>
      <c r="R11" s="197"/>
      <c r="S11" s="197"/>
      <c r="T11" s="197"/>
      <c r="U11" s="197"/>
    </row>
    <row r="12" spans="1:21" s="12" customFormat="1" x14ac:dyDescent="0.25">
      <c r="A12" s="200" t="s">
        <v>727</v>
      </c>
      <c r="B12" s="59">
        <v>65.12</v>
      </c>
      <c r="C12" s="59">
        <v>7.33</v>
      </c>
      <c r="D12" s="59">
        <v>56.26</v>
      </c>
      <c r="E12" s="59">
        <v>4.79</v>
      </c>
      <c r="F12" s="59">
        <v>0.51</v>
      </c>
      <c r="G12" s="59">
        <v>84.01</v>
      </c>
      <c r="H12" s="59">
        <v>39.68</v>
      </c>
      <c r="I12" s="59">
        <v>1.1399999999999999</v>
      </c>
      <c r="J12" s="59">
        <v>0.11</v>
      </c>
      <c r="K12" s="59">
        <v>289.32</v>
      </c>
      <c r="L12" s="59">
        <v>17.39</v>
      </c>
      <c r="M12" s="59">
        <v>71</v>
      </c>
      <c r="N12" s="59">
        <v>24.4</v>
      </c>
      <c r="O12" s="59">
        <v>0</v>
      </c>
      <c r="P12" s="59">
        <v>2.54</v>
      </c>
      <c r="Q12" s="59">
        <v>51.23</v>
      </c>
      <c r="R12" s="197"/>
      <c r="S12" s="197"/>
      <c r="T12" s="197"/>
      <c r="U12" s="197"/>
    </row>
    <row r="13" spans="1:21" s="12" customFormat="1" x14ac:dyDescent="0.25">
      <c r="A13" s="200" t="s">
        <v>728</v>
      </c>
      <c r="B13" s="59">
        <v>61.43</v>
      </c>
      <c r="C13" s="59">
        <v>8.6</v>
      </c>
      <c r="D13" s="59">
        <v>54.01</v>
      </c>
      <c r="E13" s="59">
        <v>4.3899999999999997</v>
      </c>
      <c r="F13" s="59">
        <v>0.61</v>
      </c>
      <c r="G13" s="59">
        <v>84.01</v>
      </c>
      <c r="H13" s="59">
        <v>39.68</v>
      </c>
      <c r="I13" s="59">
        <v>1.0900000000000001</v>
      </c>
      <c r="J13" s="59">
        <v>7.0000000000000007E-2</v>
      </c>
      <c r="K13" s="59">
        <v>282.45999999999998</v>
      </c>
      <c r="L13" s="59">
        <v>17.34</v>
      </c>
      <c r="M13" s="59">
        <v>72</v>
      </c>
      <c r="N13" s="59">
        <v>24.3</v>
      </c>
      <c r="O13" s="59">
        <v>0</v>
      </c>
      <c r="P13" s="59">
        <v>2.36</v>
      </c>
      <c r="Q13" s="59">
        <v>50.89</v>
      </c>
      <c r="R13" s="197"/>
      <c r="S13" s="197"/>
      <c r="T13" s="197"/>
      <c r="U13" s="197"/>
    </row>
    <row r="14" spans="1:21" s="12" customFormat="1" x14ac:dyDescent="0.25">
      <c r="A14" s="200" t="s">
        <v>729</v>
      </c>
      <c r="B14" s="59">
        <v>58.03</v>
      </c>
      <c r="C14" s="59">
        <v>9.9499999999999993</v>
      </c>
      <c r="D14" s="59">
        <v>52.03</v>
      </c>
      <c r="E14" s="59">
        <v>4.16</v>
      </c>
      <c r="F14" s="59">
        <v>0.72</v>
      </c>
      <c r="G14" s="59">
        <v>84.01</v>
      </c>
      <c r="H14" s="59">
        <v>39.68</v>
      </c>
      <c r="I14" s="59">
        <v>1.04</v>
      </c>
      <c r="J14" s="59">
        <v>0.06</v>
      </c>
      <c r="K14" s="59">
        <v>245.58</v>
      </c>
      <c r="L14" s="59">
        <v>17.100000000000001</v>
      </c>
      <c r="M14" s="59">
        <v>72</v>
      </c>
      <c r="N14" s="59">
        <v>24.5</v>
      </c>
      <c r="O14" s="59">
        <v>0</v>
      </c>
      <c r="P14" s="59">
        <v>2.34</v>
      </c>
      <c r="Q14" s="59">
        <v>50.21</v>
      </c>
      <c r="R14" s="197"/>
      <c r="S14" s="197"/>
      <c r="T14" s="197"/>
      <c r="U14" s="197"/>
    </row>
    <row r="15" spans="1:21" s="12" customFormat="1" x14ac:dyDescent="0.25">
      <c r="A15" s="200" t="s">
        <v>730</v>
      </c>
      <c r="B15" s="59">
        <v>55.16</v>
      </c>
      <c r="C15" s="59">
        <v>11.11</v>
      </c>
      <c r="D15" s="59">
        <v>50.37</v>
      </c>
      <c r="E15" s="59">
        <v>4.51</v>
      </c>
      <c r="F15" s="59">
        <v>0.6</v>
      </c>
      <c r="G15" s="59">
        <v>87.53</v>
      </c>
      <c r="H15" s="59">
        <v>38.93</v>
      </c>
      <c r="I15" s="59">
        <v>0.97</v>
      </c>
      <c r="J15" s="59">
        <v>0.13</v>
      </c>
      <c r="K15" s="59">
        <v>308.06</v>
      </c>
      <c r="L15" s="59">
        <v>17.04</v>
      </c>
      <c r="M15" s="59">
        <v>75</v>
      </c>
      <c r="N15" s="59">
        <v>24.3</v>
      </c>
      <c r="O15" s="59">
        <v>0</v>
      </c>
      <c r="P15" s="59">
        <v>2.2599999999999998</v>
      </c>
      <c r="Q15" s="59">
        <v>49.38</v>
      </c>
      <c r="R15" s="197"/>
      <c r="S15" s="197"/>
      <c r="T15" s="197"/>
      <c r="U15" s="197"/>
    </row>
    <row r="16" spans="1:21" s="12" customFormat="1" x14ac:dyDescent="0.25">
      <c r="A16" s="200" t="s">
        <v>731</v>
      </c>
      <c r="B16" s="59">
        <v>53.19</v>
      </c>
      <c r="C16" s="59">
        <v>11.56</v>
      </c>
      <c r="D16" s="59">
        <v>49.03</v>
      </c>
      <c r="E16" s="59">
        <v>4.2300000000000004</v>
      </c>
      <c r="F16" s="59">
        <v>0.83</v>
      </c>
      <c r="G16" s="59">
        <v>95.64</v>
      </c>
      <c r="H16" s="59">
        <v>36.450000000000003</v>
      </c>
      <c r="I16" s="59">
        <v>0.92</v>
      </c>
      <c r="J16" s="59">
        <v>0.15</v>
      </c>
      <c r="K16" s="59">
        <v>43.8</v>
      </c>
      <c r="L16" s="59">
        <v>17.239999999999998</v>
      </c>
      <c r="M16" s="59">
        <v>70</v>
      </c>
      <c r="N16" s="59">
        <v>23.6</v>
      </c>
      <c r="O16" s="59">
        <v>0</v>
      </c>
      <c r="P16" s="59">
        <v>2.1800000000000002</v>
      </c>
      <c r="Q16" s="59">
        <v>48.02</v>
      </c>
      <c r="R16" s="197"/>
      <c r="S16" s="197"/>
      <c r="T16" s="197"/>
      <c r="U16" s="197"/>
    </row>
    <row r="17" spans="1:21" s="12" customFormat="1" x14ac:dyDescent="0.25">
      <c r="A17" s="200" t="s">
        <v>732</v>
      </c>
      <c r="B17" s="59">
        <v>50.26</v>
      </c>
      <c r="C17" s="59">
        <v>12.45</v>
      </c>
      <c r="D17" s="59">
        <v>47.18</v>
      </c>
      <c r="E17" s="59">
        <v>4.25</v>
      </c>
      <c r="F17" s="59">
        <v>0.9</v>
      </c>
      <c r="G17" s="59">
        <v>95.64</v>
      </c>
      <c r="H17" s="59">
        <v>36.450000000000003</v>
      </c>
      <c r="I17" s="59">
        <v>0.89</v>
      </c>
      <c r="J17" s="59">
        <v>0.26</v>
      </c>
      <c r="K17" s="59">
        <v>54.2</v>
      </c>
      <c r="L17" s="59">
        <v>18.489999999999998</v>
      </c>
      <c r="M17" s="59">
        <v>61</v>
      </c>
      <c r="N17" s="59">
        <v>23.1</v>
      </c>
      <c r="O17" s="59">
        <v>0</v>
      </c>
      <c r="P17" s="59">
        <v>2.09</v>
      </c>
      <c r="Q17" s="59">
        <v>47.88</v>
      </c>
      <c r="R17" s="197"/>
      <c r="S17" s="197"/>
      <c r="T17" s="197"/>
      <c r="U17" s="197"/>
    </row>
    <row r="18" spans="1:21" s="12" customFormat="1" x14ac:dyDescent="0.25">
      <c r="A18" s="200" t="s">
        <v>733</v>
      </c>
      <c r="B18" s="59">
        <v>46.87</v>
      </c>
      <c r="C18" s="59">
        <v>14.17</v>
      </c>
      <c r="D18" s="59">
        <v>45.41</v>
      </c>
      <c r="E18" s="59">
        <v>4.1900000000000004</v>
      </c>
      <c r="F18" s="59">
        <v>0.88</v>
      </c>
      <c r="G18" s="59">
        <v>95.64</v>
      </c>
      <c r="H18" s="59">
        <v>36.450000000000003</v>
      </c>
      <c r="I18" s="59">
        <v>0.86</v>
      </c>
      <c r="J18" s="59">
        <v>0.39</v>
      </c>
      <c r="K18" s="59">
        <v>67.12</v>
      </c>
      <c r="L18" s="59">
        <v>18.93</v>
      </c>
      <c r="M18" s="59">
        <v>58</v>
      </c>
      <c r="N18" s="59">
        <v>23.1</v>
      </c>
      <c r="O18" s="59">
        <v>0</v>
      </c>
      <c r="P18" s="59">
        <v>2</v>
      </c>
      <c r="Q18" s="59">
        <v>47.86</v>
      </c>
      <c r="R18" s="197"/>
      <c r="S18" s="197"/>
      <c r="T18" s="197"/>
      <c r="U18" s="197"/>
    </row>
    <row r="19" spans="1:21" s="12" customFormat="1" x14ac:dyDescent="0.25">
      <c r="A19" s="200" t="s">
        <v>734</v>
      </c>
      <c r="B19" s="59">
        <v>42.84</v>
      </c>
      <c r="C19" s="59">
        <v>16.059999999999999</v>
      </c>
      <c r="D19" s="59">
        <v>43.22</v>
      </c>
      <c r="E19" s="59">
        <v>4.33</v>
      </c>
      <c r="F19" s="59">
        <v>0.84</v>
      </c>
      <c r="G19" s="59">
        <v>87.65</v>
      </c>
      <c r="H19" s="59">
        <v>36.04</v>
      </c>
      <c r="I19" s="59">
        <v>0.84</v>
      </c>
      <c r="J19" s="59">
        <v>0.23</v>
      </c>
      <c r="K19" s="59">
        <v>19.38</v>
      </c>
      <c r="L19" s="59">
        <v>19.03</v>
      </c>
      <c r="M19" s="59">
        <v>58</v>
      </c>
      <c r="N19" s="59">
        <v>23.8</v>
      </c>
      <c r="O19" s="59">
        <v>0</v>
      </c>
      <c r="P19" s="59">
        <v>1.9</v>
      </c>
      <c r="Q19" s="59">
        <v>47.67</v>
      </c>
      <c r="R19" s="197"/>
      <c r="S19" s="197"/>
      <c r="T19" s="197"/>
      <c r="U19" s="197"/>
    </row>
    <row r="20" spans="1:21" s="12" customFormat="1" x14ac:dyDescent="0.25">
      <c r="A20" s="200" t="s">
        <v>735</v>
      </c>
      <c r="B20" s="59">
        <v>38.64</v>
      </c>
      <c r="C20" s="59">
        <v>18.02</v>
      </c>
      <c r="D20" s="59">
        <v>40.93</v>
      </c>
      <c r="E20" s="59">
        <v>4.1900000000000004</v>
      </c>
      <c r="F20" s="59">
        <v>0.81</v>
      </c>
      <c r="G20" s="59">
        <v>69.28</v>
      </c>
      <c r="H20" s="59">
        <v>34.68</v>
      </c>
      <c r="I20" s="59">
        <v>0.81</v>
      </c>
      <c r="J20" s="59">
        <v>0.25</v>
      </c>
      <c r="K20" s="59">
        <v>33.44</v>
      </c>
      <c r="L20" s="59">
        <v>18.79</v>
      </c>
      <c r="M20" s="59">
        <v>58</v>
      </c>
      <c r="N20" s="59">
        <v>24.1</v>
      </c>
      <c r="O20" s="59">
        <v>0</v>
      </c>
      <c r="P20" s="59">
        <v>1.81</v>
      </c>
      <c r="Q20" s="59">
        <v>47.41</v>
      </c>
      <c r="R20" s="197"/>
      <c r="S20" s="197"/>
      <c r="T20" s="197"/>
      <c r="U20" s="197"/>
    </row>
    <row r="21" spans="1:21" s="12" customFormat="1" x14ac:dyDescent="0.25">
      <c r="A21" s="200" t="s">
        <v>736</v>
      </c>
      <c r="B21" s="59">
        <v>33.950000000000003</v>
      </c>
      <c r="C21" s="59">
        <v>19.18</v>
      </c>
      <c r="D21" s="59">
        <v>37.81</v>
      </c>
      <c r="E21" s="59">
        <v>4.22</v>
      </c>
      <c r="F21" s="59">
        <v>0.99</v>
      </c>
      <c r="G21" s="59">
        <v>69.28</v>
      </c>
      <c r="H21" s="59">
        <v>34.68</v>
      </c>
      <c r="I21" s="59">
        <v>0.79</v>
      </c>
      <c r="J21" s="59">
        <v>0.52</v>
      </c>
      <c r="K21" s="59">
        <v>353.28</v>
      </c>
      <c r="L21" s="59">
        <v>18.73</v>
      </c>
      <c r="M21" s="59">
        <v>59</v>
      </c>
      <c r="N21" s="59">
        <v>23.8</v>
      </c>
      <c r="O21" s="59">
        <v>0</v>
      </c>
      <c r="P21" s="59">
        <v>1.71</v>
      </c>
      <c r="Q21" s="59">
        <v>47.26</v>
      </c>
      <c r="R21" s="197"/>
      <c r="S21" s="197"/>
      <c r="T21" s="197"/>
      <c r="U21" s="197"/>
    </row>
    <row r="22" spans="1:21" s="12" customFormat="1" x14ac:dyDescent="0.25">
      <c r="A22" s="200" t="s">
        <v>737</v>
      </c>
      <c r="B22" s="59">
        <v>30.63</v>
      </c>
      <c r="C22" s="59">
        <v>21.61</v>
      </c>
      <c r="D22" s="59">
        <v>36.49</v>
      </c>
      <c r="E22" s="59">
        <v>4.6500000000000004</v>
      </c>
      <c r="F22" s="59">
        <v>0.84</v>
      </c>
      <c r="G22" s="59">
        <v>69.28</v>
      </c>
      <c r="H22" s="59">
        <v>34.68</v>
      </c>
      <c r="I22" s="59">
        <v>0.76</v>
      </c>
      <c r="J22" s="59">
        <v>0.36</v>
      </c>
      <c r="K22" s="59">
        <v>356.7</v>
      </c>
      <c r="L22" s="59">
        <v>18.72</v>
      </c>
      <c r="M22" s="59">
        <v>59</v>
      </c>
      <c r="N22" s="59">
        <v>24.1</v>
      </c>
      <c r="O22" s="59">
        <v>0</v>
      </c>
      <c r="P22" s="59">
        <v>1.63</v>
      </c>
      <c r="Q22" s="59">
        <v>46.91</v>
      </c>
      <c r="R22" s="197"/>
      <c r="S22" s="197"/>
      <c r="T22" s="197"/>
      <c r="U22" s="197"/>
    </row>
    <row r="23" spans="1:21" s="12" customFormat="1" x14ac:dyDescent="0.25">
      <c r="A23" s="200" t="s">
        <v>738</v>
      </c>
      <c r="B23" s="59">
        <v>27.56</v>
      </c>
      <c r="C23" s="59">
        <v>23.49</v>
      </c>
      <c r="D23" s="59">
        <v>35.06</v>
      </c>
      <c r="E23" s="59">
        <v>4.76</v>
      </c>
      <c r="F23" s="59">
        <v>0.89</v>
      </c>
      <c r="G23" s="59">
        <v>65.55</v>
      </c>
      <c r="H23" s="59">
        <v>33.270000000000003</v>
      </c>
      <c r="I23" s="59">
        <v>0.73</v>
      </c>
      <c r="J23" s="59">
        <v>0.31</v>
      </c>
      <c r="K23" s="59">
        <v>356.28</v>
      </c>
      <c r="L23" s="59">
        <v>18.5</v>
      </c>
      <c r="M23" s="59">
        <v>59</v>
      </c>
      <c r="N23" s="59">
        <v>24.2</v>
      </c>
      <c r="O23" s="59">
        <v>0</v>
      </c>
      <c r="P23" s="59">
        <v>1.56</v>
      </c>
      <c r="Q23" s="59">
        <v>46.74</v>
      </c>
      <c r="R23" s="197"/>
      <c r="S23" s="197"/>
      <c r="T23" s="197"/>
      <c r="U23" s="197"/>
    </row>
    <row r="24" spans="1:21" s="12" customFormat="1" x14ac:dyDescent="0.25">
      <c r="A24" s="200" t="s">
        <v>739</v>
      </c>
      <c r="B24" s="59">
        <v>25.01</v>
      </c>
      <c r="C24" s="59">
        <v>25</v>
      </c>
      <c r="D24" s="59">
        <v>33.85</v>
      </c>
      <c r="E24" s="59">
        <v>1.69</v>
      </c>
      <c r="F24" s="59">
        <v>0.84</v>
      </c>
      <c r="G24" s="59">
        <v>48.38</v>
      </c>
      <c r="H24" s="59">
        <v>28.62</v>
      </c>
      <c r="I24" s="59">
        <v>0.7</v>
      </c>
      <c r="J24" s="59">
        <v>0.61</v>
      </c>
      <c r="K24" s="59">
        <v>352.31</v>
      </c>
      <c r="L24" s="59">
        <v>18.41</v>
      </c>
      <c r="M24" s="59">
        <v>60</v>
      </c>
      <c r="N24" s="59">
        <v>23.9</v>
      </c>
      <c r="O24" s="59">
        <v>0</v>
      </c>
      <c r="P24" s="59">
        <v>1.48</v>
      </c>
      <c r="Q24" s="59">
        <v>46.94</v>
      </c>
      <c r="R24" s="197"/>
      <c r="S24" s="197"/>
      <c r="T24" s="197"/>
      <c r="U24" s="197"/>
    </row>
    <row r="25" spans="1:21" s="12" customFormat="1" x14ac:dyDescent="0.25">
      <c r="A25" s="200" t="s">
        <v>740</v>
      </c>
      <c r="B25" s="59">
        <v>22.54</v>
      </c>
      <c r="C25" s="59">
        <v>26.53</v>
      </c>
      <c r="D25" s="59">
        <v>32.71</v>
      </c>
      <c r="E25" s="59">
        <v>3.69</v>
      </c>
      <c r="F25" s="59">
        <v>0.85</v>
      </c>
      <c r="G25" s="59">
        <v>48.38</v>
      </c>
      <c r="H25" s="59">
        <v>28.62</v>
      </c>
      <c r="I25" s="59">
        <v>0.69</v>
      </c>
      <c r="J25" s="59">
        <v>0.62</v>
      </c>
      <c r="K25" s="59">
        <v>350.24</v>
      </c>
      <c r="L25" s="59">
        <v>18.45</v>
      </c>
      <c r="M25" s="59">
        <v>60</v>
      </c>
      <c r="N25" s="59">
        <v>23.9</v>
      </c>
      <c r="O25" s="59">
        <v>0</v>
      </c>
      <c r="P25" s="59">
        <v>1.4</v>
      </c>
      <c r="Q25" s="59">
        <v>46.81</v>
      </c>
      <c r="R25" s="197"/>
      <c r="S25" s="197"/>
      <c r="T25" s="197"/>
      <c r="U25" s="197"/>
    </row>
    <row r="26" spans="1:21" s="12" customFormat="1" x14ac:dyDescent="0.25">
      <c r="A26" s="200" t="s">
        <v>741</v>
      </c>
      <c r="B26" s="59">
        <v>20.309999999999999</v>
      </c>
      <c r="C26" s="59">
        <v>27.99</v>
      </c>
      <c r="D26" s="59">
        <v>31.74</v>
      </c>
      <c r="E26" s="59">
        <v>3.66</v>
      </c>
      <c r="F26" s="59">
        <v>0.86</v>
      </c>
      <c r="G26" s="59">
        <v>48.38</v>
      </c>
      <c r="H26" s="59">
        <v>28.62</v>
      </c>
      <c r="I26" s="59">
        <v>0.65</v>
      </c>
      <c r="J26" s="59">
        <v>0.54</v>
      </c>
      <c r="K26" s="59">
        <v>351.51</v>
      </c>
      <c r="L26" s="59">
        <v>18.3</v>
      </c>
      <c r="M26" s="59">
        <v>60</v>
      </c>
      <c r="N26" s="59">
        <v>24.3</v>
      </c>
      <c r="O26" s="59">
        <v>0</v>
      </c>
      <c r="P26" s="59">
        <v>1.33</v>
      </c>
      <c r="Q26" s="59">
        <v>46.2</v>
      </c>
      <c r="R26" s="197"/>
      <c r="S26" s="197"/>
      <c r="T26" s="197"/>
      <c r="U26" s="197"/>
    </row>
    <row r="27" spans="1:21" s="12" customFormat="1" x14ac:dyDescent="0.25">
      <c r="A27" s="200" t="s">
        <v>742</v>
      </c>
      <c r="B27" s="59">
        <v>17.98</v>
      </c>
      <c r="C27" s="59">
        <v>29.48</v>
      </c>
      <c r="D27" s="59">
        <v>30.69</v>
      </c>
      <c r="E27" s="59">
        <v>3.04</v>
      </c>
      <c r="F27" s="59">
        <v>0.9</v>
      </c>
      <c r="G27" s="59">
        <v>55.68</v>
      </c>
      <c r="H27" s="59">
        <v>28.31</v>
      </c>
      <c r="I27" s="59">
        <v>0.61</v>
      </c>
      <c r="J27" s="59">
        <v>0.43</v>
      </c>
      <c r="K27" s="59">
        <v>352.74</v>
      </c>
      <c r="L27" s="59">
        <v>18.13</v>
      </c>
      <c r="M27" s="59">
        <v>61</v>
      </c>
      <c r="N27" s="59">
        <v>24.2</v>
      </c>
      <c r="O27" s="59">
        <v>0</v>
      </c>
      <c r="P27" s="59">
        <v>1.27</v>
      </c>
      <c r="Q27" s="59">
        <v>45.45</v>
      </c>
      <c r="R27" s="197"/>
      <c r="S27" s="197"/>
      <c r="T27" s="197"/>
      <c r="U27" s="197"/>
    </row>
    <row r="28" spans="1:21" s="12" customFormat="1" x14ac:dyDescent="0.25">
      <c r="A28" s="200" t="s">
        <v>743</v>
      </c>
      <c r="B28" s="59">
        <v>15.91</v>
      </c>
      <c r="C28" s="59">
        <v>30.43</v>
      </c>
      <c r="D28" s="59">
        <v>29.55</v>
      </c>
      <c r="E28" s="59">
        <v>3.4</v>
      </c>
      <c r="F28" s="59">
        <v>0.97</v>
      </c>
      <c r="G28" s="59">
        <v>72.47</v>
      </c>
      <c r="H28" s="59">
        <v>27.29</v>
      </c>
      <c r="I28" s="59">
        <v>0.57999999999999996</v>
      </c>
      <c r="J28" s="59">
        <v>0.28000000000000003</v>
      </c>
      <c r="K28" s="59">
        <v>351.88</v>
      </c>
      <c r="L28" s="59">
        <v>17.940000000000001</v>
      </c>
      <c r="M28" s="59">
        <v>61</v>
      </c>
      <c r="N28" s="59">
        <v>24.3</v>
      </c>
      <c r="O28" s="59">
        <v>0</v>
      </c>
      <c r="P28" s="59">
        <v>1.22</v>
      </c>
      <c r="Q28" s="59">
        <v>45.02</v>
      </c>
      <c r="R28" s="197"/>
      <c r="S28" s="197"/>
      <c r="T28" s="197"/>
      <c r="U28" s="197"/>
    </row>
    <row r="29" spans="1:21" s="12" customFormat="1" x14ac:dyDescent="0.25">
      <c r="A29" s="200" t="s">
        <v>744</v>
      </c>
      <c r="B29" s="59">
        <v>14.84</v>
      </c>
      <c r="C29" s="59">
        <v>31.04</v>
      </c>
      <c r="D29" s="59">
        <v>29.03</v>
      </c>
      <c r="E29" s="59">
        <v>3.28</v>
      </c>
      <c r="F29" s="59">
        <v>0.74</v>
      </c>
      <c r="G29" s="59">
        <v>72.47</v>
      </c>
      <c r="H29" s="59">
        <v>27.29</v>
      </c>
      <c r="I29" s="59">
        <v>0.55000000000000004</v>
      </c>
      <c r="J29" s="59">
        <v>0.15</v>
      </c>
      <c r="K29" s="59">
        <v>6.89</v>
      </c>
      <c r="L29" s="59">
        <v>17.68</v>
      </c>
      <c r="M29" s="59">
        <v>63</v>
      </c>
      <c r="N29" s="59">
        <v>24.4</v>
      </c>
      <c r="O29" s="59">
        <v>0</v>
      </c>
      <c r="P29" s="59">
        <v>1.19</v>
      </c>
      <c r="Q29" s="59">
        <v>44.86</v>
      </c>
      <c r="R29" s="197"/>
      <c r="S29" s="197"/>
      <c r="T29" s="197"/>
      <c r="U29" s="197"/>
    </row>
    <row r="30" spans="1:21" s="12" customFormat="1" x14ac:dyDescent="0.25">
      <c r="A30" s="200" t="s">
        <v>745</v>
      </c>
      <c r="B30" s="59">
        <v>14.23</v>
      </c>
      <c r="C30" s="59">
        <v>31.21</v>
      </c>
      <c r="D30" s="59">
        <v>28.64</v>
      </c>
      <c r="E30" s="59">
        <v>3.07</v>
      </c>
      <c r="F30" s="59">
        <v>0.75</v>
      </c>
      <c r="G30" s="59">
        <v>72.47</v>
      </c>
      <c r="H30" s="59">
        <v>27.29</v>
      </c>
      <c r="I30" s="59">
        <v>0.52</v>
      </c>
      <c r="J30" s="59">
        <v>0.11</v>
      </c>
      <c r="K30" s="59">
        <v>17.53</v>
      </c>
      <c r="L30" s="59">
        <v>17.52</v>
      </c>
      <c r="M30" s="59">
        <v>64</v>
      </c>
      <c r="N30" s="59">
        <v>24.2</v>
      </c>
      <c r="O30" s="59">
        <v>0</v>
      </c>
      <c r="P30" s="59">
        <v>1.17</v>
      </c>
      <c r="Q30" s="59">
        <v>44.18</v>
      </c>
      <c r="R30" s="197"/>
      <c r="S30" s="197"/>
      <c r="T30" s="197"/>
      <c r="U30" s="197"/>
    </row>
    <row r="31" spans="1:21" s="12" customFormat="1" x14ac:dyDescent="0.25">
      <c r="A31" s="200" t="s">
        <v>746</v>
      </c>
      <c r="B31" s="59">
        <v>14.16</v>
      </c>
      <c r="C31" s="59">
        <v>31.17</v>
      </c>
      <c r="D31" s="59">
        <v>28.55</v>
      </c>
      <c r="E31" s="59">
        <v>3.47</v>
      </c>
      <c r="F31" s="59">
        <v>0.87</v>
      </c>
      <c r="G31" s="59">
        <v>71.349999999999994</v>
      </c>
      <c r="H31" s="59">
        <v>27.12</v>
      </c>
      <c r="I31" s="59">
        <v>0.5</v>
      </c>
      <c r="J31" s="59">
        <v>0.24</v>
      </c>
      <c r="K31" s="59">
        <v>88.17</v>
      </c>
      <c r="L31" s="59">
        <v>17.5</v>
      </c>
      <c r="M31" s="59">
        <v>64</v>
      </c>
      <c r="N31" s="59">
        <v>24.1</v>
      </c>
      <c r="O31" s="59">
        <v>0</v>
      </c>
      <c r="P31" s="59">
        <v>1.17</v>
      </c>
      <c r="Q31" s="59">
        <v>43.42</v>
      </c>
      <c r="R31" s="197"/>
      <c r="S31" s="197"/>
      <c r="T31" s="197"/>
      <c r="U31" s="197"/>
    </row>
    <row r="32" spans="1:21" s="12" customFormat="1" x14ac:dyDescent="0.25">
      <c r="A32" s="200" t="s">
        <v>747</v>
      </c>
      <c r="B32" s="59">
        <v>14.26</v>
      </c>
      <c r="C32" s="59">
        <v>30.96</v>
      </c>
      <c r="D32" s="59">
        <v>28.52</v>
      </c>
      <c r="E32" s="59">
        <v>3.22</v>
      </c>
      <c r="F32" s="59">
        <v>0.71</v>
      </c>
      <c r="G32" s="59">
        <v>68.92</v>
      </c>
      <c r="H32" s="59">
        <v>26.55</v>
      </c>
      <c r="I32" s="59">
        <v>0.49</v>
      </c>
      <c r="J32" s="59">
        <v>0.15</v>
      </c>
      <c r="K32" s="59">
        <v>55.56</v>
      </c>
      <c r="L32" s="59">
        <v>17.53</v>
      </c>
      <c r="M32" s="59">
        <v>64</v>
      </c>
      <c r="N32" s="59">
        <v>24.2</v>
      </c>
      <c r="O32" s="59">
        <v>0</v>
      </c>
      <c r="P32" s="59">
        <v>1.18</v>
      </c>
      <c r="Q32" s="59">
        <v>43.45</v>
      </c>
      <c r="R32" s="197"/>
      <c r="S32" s="197"/>
      <c r="T32" s="197"/>
      <c r="U32" s="197"/>
    </row>
    <row r="33" spans="1:21" s="12" customFormat="1" x14ac:dyDescent="0.25">
      <c r="A33" s="200" t="s">
        <v>748</v>
      </c>
      <c r="B33" s="59">
        <v>13.95</v>
      </c>
      <c r="C33" s="59">
        <v>30.74</v>
      </c>
      <c r="D33" s="59">
        <v>28.15</v>
      </c>
      <c r="E33" s="59">
        <v>3.53</v>
      </c>
      <c r="F33" s="59">
        <v>0.75</v>
      </c>
      <c r="G33" s="59">
        <v>68.92</v>
      </c>
      <c r="H33" s="59">
        <v>26.55</v>
      </c>
      <c r="I33" s="59">
        <v>0.49</v>
      </c>
      <c r="J33" s="59">
        <v>0.05</v>
      </c>
      <c r="K33" s="59">
        <v>210.92</v>
      </c>
      <c r="L33" s="59">
        <v>17.2</v>
      </c>
      <c r="M33" s="59">
        <v>67</v>
      </c>
      <c r="N33" s="59">
        <v>24.6</v>
      </c>
      <c r="O33" s="59">
        <v>0</v>
      </c>
      <c r="P33" s="59">
        <v>1.18</v>
      </c>
      <c r="Q33" s="59">
        <v>43.71</v>
      </c>
      <c r="R33" s="197"/>
      <c r="S33" s="197"/>
      <c r="T33" s="197"/>
      <c r="U33" s="197"/>
    </row>
    <row r="34" spans="1:21" s="12" customFormat="1" x14ac:dyDescent="0.25">
      <c r="A34" s="200" t="s">
        <v>749</v>
      </c>
      <c r="B34" s="59">
        <v>14.06</v>
      </c>
      <c r="C34" s="59">
        <v>30.44</v>
      </c>
      <c r="D34" s="59">
        <v>28.08</v>
      </c>
      <c r="E34" s="59">
        <v>2.79</v>
      </c>
      <c r="F34" s="59">
        <v>0.68</v>
      </c>
      <c r="G34" s="59">
        <v>68.92</v>
      </c>
      <c r="H34" s="59">
        <v>26.55</v>
      </c>
      <c r="I34" s="59">
        <v>0.49</v>
      </c>
      <c r="J34" s="59">
        <v>0.08</v>
      </c>
      <c r="K34" s="59">
        <v>245.17</v>
      </c>
      <c r="L34" s="59">
        <v>16.670000000000002</v>
      </c>
      <c r="M34" s="59">
        <v>70</v>
      </c>
      <c r="N34" s="59">
        <v>27.1</v>
      </c>
      <c r="O34" s="59">
        <v>0</v>
      </c>
      <c r="P34" s="59">
        <v>1.18</v>
      </c>
      <c r="Q34" s="59">
        <v>43.74</v>
      </c>
      <c r="R34" s="197"/>
      <c r="S34" s="197"/>
      <c r="T34" s="197"/>
      <c r="U34" s="197"/>
    </row>
    <row r="35" spans="1:21" s="12" customFormat="1" x14ac:dyDescent="0.25">
      <c r="A35" s="200" t="s">
        <v>750</v>
      </c>
      <c r="B35" s="59">
        <v>16.43</v>
      </c>
      <c r="C35" s="59">
        <v>29.12</v>
      </c>
      <c r="D35" s="59">
        <v>29.25</v>
      </c>
      <c r="E35" s="59">
        <v>3.32</v>
      </c>
      <c r="F35" s="59">
        <v>0.71</v>
      </c>
      <c r="G35" s="59">
        <v>74.760000000000005</v>
      </c>
      <c r="H35" s="59">
        <v>27.34</v>
      </c>
      <c r="I35" s="59">
        <v>0.5</v>
      </c>
      <c r="J35" s="59">
        <v>0.08</v>
      </c>
      <c r="K35" s="59">
        <v>314.5</v>
      </c>
      <c r="L35" s="59">
        <v>16.32</v>
      </c>
      <c r="M35" s="59">
        <v>72</v>
      </c>
      <c r="N35" s="59">
        <v>34.6</v>
      </c>
      <c r="O35" s="59">
        <v>0</v>
      </c>
      <c r="P35" s="59">
        <v>1.2</v>
      </c>
      <c r="Q35" s="59">
        <v>43.61</v>
      </c>
      <c r="R35" s="197"/>
      <c r="S35" s="197"/>
      <c r="T35" s="197"/>
      <c r="U35" s="197"/>
    </row>
    <row r="36" spans="1:21" s="12" customFormat="1" x14ac:dyDescent="0.25">
      <c r="A36" s="200" t="s">
        <v>751</v>
      </c>
      <c r="B36" s="59">
        <v>22.01</v>
      </c>
      <c r="C36" s="59">
        <v>26.21</v>
      </c>
      <c r="D36" s="59">
        <v>32.11</v>
      </c>
      <c r="E36" s="59">
        <v>3.42</v>
      </c>
      <c r="F36" s="59">
        <v>0.79</v>
      </c>
      <c r="G36" s="59">
        <v>88.18</v>
      </c>
      <c r="H36" s="59">
        <v>29.93</v>
      </c>
      <c r="I36" s="59">
        <v>0.49</v>
      </c>
      <c r="J36" s="59">
        <v>0.06</v>
      </c>
      <c r="K36" s="59">
        <v>57.24</v>
      </c>
      <c r="L36" s="59">
        <v>16.37</v>
      </c>
      <c r="M36" s="59">
        <v>72</v>
      </c>
      <c r="N36" s="59">
        <v>44.2</v>
      </c>
      <c r="O36" s="59">
        <v>0</v>
      </c>
      <c r="P36" s="59">
        <v>1.23</v>
      </c>
      <c r="Q36" s="59">
        <v>43.86</v>
      </c>
      <c r="R36" s="197"/>
      <c r="S36" s="197"/>
      <c r="T36" s="197"/>
      <c r="U36" s="197"/>
    </row>
    <row r="37" spans="1:21" s="12" customFormat="1" x14ac:dyDescent="0.25">
      <c r="A37" s="200" t="s">
        <v>752</v>
      </c>
      <c r="B37" s="59">
        <v>26.38</v>
      </c>
      <c r="C37" s="59">
        <v>23.95</v>
      </c>
      <c r="D37" s="59">
        <v>34.369999999999997</v>
      </c>
      <c r="E37" s="59">
        <v>4.29</v>
      </c>
      <c r="F37" s="59">
        <v>0.75</v>
      </c>
      <c r="G37" s="59">
        <v>88.18</v>
      </c>
      <c r="H37" s="59">
        <v>29.93</v>
      </c>
      <c r="I37" s="59">
        <v>0.49</v>
      </c>
      <c r="J37" s="59">
        <v>0.08</v>
      </c>
      <c r="K37" s="59">
        <v>235.26</v>
      </c>
      <c r="L37" s="59">
        <v>16.93</v>
      </c>
      <c r="M37" s="59">
        <v>72</v>
      </c>
      <c r="N37" s="59">
        <v>54.6</v>
      </c>
      <c r="O37" s="59">
        <v>0</v>
      </c>
      <c r="P37" s="59">
        <v>1.25</v>
      </c>
      <c r="Q37" s="59">
        <v>44.32</v>
      </c>
      <c r="R37" s="197"/>
      <c r="S37" s="197"/>
      <c r="T37" s="197"/>
      <c r="U37" s="197"/>
    </row>
    <row r="38" spans="1:21" s="12" customFormat="1" x14ac:dyDescent="0.25">
      <c r="A38" s="200" t="s">
        <v>753</v>
      </c>
      <c r="B38" s="59">
        <v>29.89</v>
      </c>
      <c r="C38" s="59">
        <v>21.66</v>
      </c>
      <c r="D38" s="59">
        <v>35.92</v>
      </c>
      <c r="E38" s="59">
        <v>3.7</v>
      </c>
      <c r="F38" s="59">
        <v>0.7</v>
      </c>
      <c r="G38" s="59">
        <v>88.18</v>
      </c>
      <c r="H38" s="59">
        <v>29.93</v>
      </c>
      <c r="I38" s="59">
        <v>0.5</v>
      </c>
      <c r="J38" s="59">
        <v>0.06</v>
      </c>
      <c r="K38" s="59">
        <v>194.1</v>
      </c>
      <c r="L38" s="59">
        <v>17.5</v>
      </c>
      <c r="M38" s="59">
        <v>70</v>
      </c>
      <c r="N38" s="59">
        <v>77.3</v>
      </c>
      <c r="O38" s="59">
        <v>0</v>
      </c>
      <c r="P38" s="59">
        <v>1.34</v>
      </c>
      <c r="Q38" s="59">
        <v>45.78</v>
      </c>
      <c r="R38" s="197"/>
      <c r="S38" s="197"/>
      <c r="T38" s="197"/>
      <c r="U38" s="197"/>
    </row>
    <row r="39" spans="1:21" s="12" customFormat="1" x14ac:dyDescent="0.25">
      <c r="A39" s="200" t="s">
        <v>754</v>
      </c>
      <c r="B39" s="59">
        <v>32.69</v>
      </c>
      <c r="C39" s="59">
        <v>20.170000000000002</v>
      </c>
      <c r="D39" s="59">
        <v>37.35</v>
      </c>
      <c r="E39" s="59">
        <v>2.99</v>
      </c>
      <c r="F39" s="59">
        <v>0.68</v>
      </c>
      <c r="G39" s="59">
        <v>93.72</v>
      </c>
      <c r="H39" s="59">
        <v>30.97</v>
      </c>
      <c r="I39" s="59">
        <v>0.5</v>
      </c>
      <c r="J39" s="59">
        <v>0.56999999999999995</v>
      </c>
      <c r="K39" s="59">
        <v>101.82</v>
      </c>
      <c r="L39" s="59">
        <v>19</v>
      </c>
      <c r="M39" s="59">
        <v>59</v>
      </c>
      <c r="N39" s="59">
        <v>167.8</v>
      </c>
      <c r="O39" s="59">
        <v>0</v>
      </c>
      <c r="P39" s="59">
        <v>1.35</v>
      </c>
      <c r="Q39" s="59">
        <v>45.99</v>
      </c>
      <c r="R39" s="197"/>
      <c r="S39" s="197"/>
      <c r="T39" s="197"/>
      <c r="U39" s="197"/>
    </row>
    <row r="40" spans="1:21" s="12" customFormat="1" x14ac:dyDescent="0.25">
      <c r="A40" s="200" t="s">
        <v>755</v>
      </c>
      <c r="B40" s="59">
        <v>32.44</v>
      </c>
      <c r="C40" s="59">
        <v>20.46</v>
      </c>
      <c r="D40" s="59">
        <v>37.31</v>
      </c>
      <c r="E40" s="59">
        <v>1.4</v>
      </c>
      <c r="F40" s="59">
        <v>0.57999999999999996</v>
      </c>
      <c r="G40" s="59">
        <v>116.91</v>
      </c>
      <c r="H40" s="59">
        <v>34.369999999999997</v>
      </c>
      <c r="I40" s="59">
        <v>0.5</v>
      </c>
      <c r="J40" s="59">
        <v>0.28000000000000003</v>
      </c>
      <c r="K40" s="59">
        <v>92.78</v>
      </c>
      <c r="L40" s="59">
        <v>20.99</v>
      </c>
      <c r="M40" s="59">
        <v>53</v>
      </c>
      <c r="N40" s="59">
        <v>222</v>
      </c>
      <c r="O40" s="59">
        <v>0</v>
      </c>
      <c r="P40" s="59">
        <v>1.34</v>
      </c>
      <c r="Q40" s="59">
        <v>45.44</v>
      </c>
      <c r="R40" s="197"/>
      <c r="S40" s="197"/>
      <c r="T40" s="197"/>
      <c r="U40" s="197"/>
    </row>
    <row r="41" spans="1:21" s="12" customFormat="1" x14ac:dyDescent="0.25">
      <c r="A41" s="200" t="s">
        <v>756</v>
      </c>
      <c r="B41" s="59">
        <v>30.73</v>
      </c>
      <c r="C41" s="59">
        <v>22.07</v>
      </c>
      <c r="D41" s="59">
        <v>36.82</v>
      </c>
      <c r="E41" s="59">
        <v>3.38</v>
      </c>
      <c r="F41" s="59">
        <v>0.7</v>
      </c>
      <c r="G41" s="59">
        <v>116.91</v>
      </c>
      <c r="H41" s="59">
        <v>34.369999999999997</v>
      </c>
      <c r="I41" s="59">
        <v>0.5</v>
      </c>
      <c r="J41" s="59">
        <v>0.73</v>
      </c>
      <c r="K41" s="59">
        <v>115.42</v>
      </c>
      <c r="L41" s="59">
        <v>21.77</v>
      </c>
      <c r="M41" s="59">
        <v>50</v>
      </c>
      <c r="N41" s="59">
        <v>261.10000000000002</v>
      </c>
      <c r="O41" s="59">
        <v>0</v>
      </c>
      <c r="P41" s="59">
        <v>1.33</v>
      </c>
      <c r="Q41" s="59">
        <v>45.4</v>
      </c>
      <c r="R41" s="197"/>
      <c r="S41" s="197"/>
      <c r="T41" s="197"/>
      <c r="U41" s="197"/>
    </row>
    <row r="42" spans="1:21" s="12" customFormat="1" x14ac:dyDescent="0.25">
      <c r="A42" s="200" t="s">
        <v>757</v>
      </c>
      <c r="B42" s="59">
        <v>28.17</v>
      </c>
      <c r="C42" s="59">
        <v>24.07</v>
      </c>
      <c r="D42" s="59">
        <v>35.869999999999997</v>
      </c>
      <c r="E42" s="59">
        <v>3.64</v>
      </c>
      <c r="F42" s="59">
        <v>0.84</v>
      </c>
      <c r="G42" s="59">
        <v>116.91</v>
      </c>
      <c r="H42" s="59">
        <v>34.369999999999997</v>
      </c>
      <c r="I42" s="59">
        <v>0.49</v>
      </c>
      <c r="J42" s="59">
        <v>1.03</v>
      </c>
      <c r="K42" s="59">
        <v>104.31</v>
      </c>
      <c r="L42" s="59">
        <v>21.8</v>
      </c>
      <c r="M42" s="59">
        <v>48</v>
      </c>
      <c r="N42" s="59">
        <v>300.7</v>
      </c>
      <c r="O42" s="59">
        <v>0</v>
      </c>
      <c r="P42" s="59">
        <v>1.3</v>
      </c>
      <c r="Q42" s="59">
        <v>45.34</v>
      </c>
      <c r="R42" s="197"/>
      <c r="S42" s="197"/>
      <c r="T42" s="197"/>
      <c r="U42" s="197"/>
    </row>
    <row r="43" spans="1:21" s="12" customFormat="1" x14ac:dyDescent="0.25">
      <c r="A43" s="200" t="s">
        <v>758</v>
      </c>
      <c r="B43" s="59">
        <v>26.07</v>
      </c>
      <c r="C43" s="59">
        <v>25.96</v>
      </c>
      <c r="D43" s="59">
        <v>35.229999999999997</v>
      </c>
      <c r="E43" s="59">
        <v>3.31</v>
      </c>
      <c r="F43" s="59">
        <v>0.81</v>
      </c>
      <c r="G43" s="59">
        <v>102.53</v>
      </c>
      <c r="H43" s="59">
        <v>32.97</v>
      </c>
      <c r="I43" s="59">
        <v>0.49</v>
      </c>
      <c r="J43" s="59">
        <v>1.3</v>
      </c>
      <c r="K43" s="59">
        <v>106.82</v>
      </c>
      <c r="L43" s="59">
        <v>21.71</v>
      </c>
      <c r="M43" s="59">
        <v>47</v>
      </c>
      <c r="N43" s="59">
        <v>330.8</v>
      </c>
      <c r="O43" s="59">
        <v>0</v>
      </c>
      <c r="P43" s="59">
        <v>1.27</v>
      </c>
      <c r="Q43" s="59">
        <v>45.17</v>
      </c>
      <c r="R43" s="197"/>
      <c r="S43" s="197"/>
      <c r="T43" s="197"/>
      <c r="U43" s="197"/>
    </row>
    <row r="44" spans="1:21" s="12" customFormat="1" x14ac:dyDescent="0.25">
      <c r="A44" s="200" t="s">
        <v>759</v>
      </c>
      <c r="B44" s="59">
        <v>24.39</v>
      </c>
      <c r="C44" s="59">
        <v>27.48</v>
      </c>
      <c r="D44" s="59">
        <v>34.72</v>
      </c>
      <c r="E44" s="59">
        <v>3.23</v>
      </c>
      <c r="F44" s="59">
        <v>0.88</v>
      </c>
      <c r="G44" s="59">
        <v>69.47</v>
      </c>
      <c r="H44" s="59">
        <v>28.34</v>
      </c>
      <c r="I44" s="59">
        <v>0.47</v>
      </c>
      <c r="J44" s="59">
        <v>1.37</v>
      </c>
      <c r="K44" s="59">
        <v>106.05</v>
      </c>
      <c r="L44" s="59">
        <v>22.07</v>
      </c>
      <c r="M44" s="59">
        <v>47</v>
      </c>
      <c r="N44" s="59">
        <v>356.2</v>
      </c>
      <c r="O44" s="59">
        <v>0</v>
      </c>
      <c r="P44" s="59">
        <v>1.23</v>
      </c>
      <c r="Q44" s="59">
        <v>44.8</v>
      </c>
      <c r="R44" s="197"/>
      <c r="S44" s="197"/>
      <c r="T44" s="197"/>
      <c r="U44" s="197"/>
    </row>
    <row r="45" spans="1:21" s="12" customFormat="1" x14ac:dyDescent="0.25">
      <c r="A45" s="200" t="s">
        <v>760</v>
      </c>
      <c r="B45" s="59">
        <v>22.33</v>
      </c>
      <c r="C45" s="59">
        <v>28.45</v>
      </c>
      <c r="D45" s="59">
        <v>33.6</v>
      </c>
      <c r="E45" s="59">
        <v>3.56</v>
      </c>
      <c r="F45" s="59">
        <v>0.87</v>
      </c>
      <c r="G45" s="59">
        <v>69.47</v>
      </c>
      <c r="H45" s="59">
        <v>28.34</v>
      </c>
      <c r="I45" s="59">
        <v>0.47</v>
      </c>
      <c r="J45" s="59">
        <v>1.0900000000000001</v>
      </c>
      <c r="K45" s="59">
        <v>101.49</v>
      </c>
      <c r="L45" s="59">
        <v>22.48</v>
      </c>
      <c r="M45" s="59">
        <v>46</v>
      </c>
      <c r="N45" s="59">
        <v>372.4</v>
      </c>
      <c r="O45" s="59">
        <v>0</v>
      </c>
      <c r="P45" s="59">
        <v>1.2</v>
      </c>
      <c r="Q45" s="59">
        <v>44.28</v>
      </c>
      <c r="R45" s="197"/>
      <c r="S45" s="197"/>
      <c r="T45" s="197"/>
      <c r="U45" s="197"/>
    </row>
    <row r="46" spans="1:21" s="12" customFormat="1" x14ac:dyDescent="0.25">
      <c r="A46" s="200" t="s">
        <v>761</v>
      </c>
      <c r="B46" s="59">
        <v>20.170000000000002</v>
      </c>
      <c r="C46" s="59">
        <v>29.29</v>
      </c>
      <c r="D46" s="59">
        <v>32.340000000000003</v>
      </c>
      <c r="E46" s="59">
        <v>4.29</v>
      </c>
      <c r="F46" s="59">
        <v>0.9</v>
      </c>
      <c r="G46" s="59">
        <v>69.47</v>
      </c>
      <c r="H46" s="59">
        <v>28.34</v>
      </c>
      <c r="I46" s="59">
        <v>0.47</v>
      </c>
      <c r="J46" s="59">
        <v>1.21</v>
      </c>
      <c r="K46" s="59">
        <v>108.32</v>
      </c>
      <c r="L46" s="59">
        <v>23.06</v>
      </c>
      <c r="M46" s="59">
        <v>46</v>
      </c>
      <c r="N46" s="59">
        <v>391.4</v>
      </c>
      <c r="O46" s="59">
        <v>0</v>
      </c>
      <c r="P46" s="59">
        <v>1.17</v>
      </c>
      <c r="Q46" s="59">
        <v>44.33</v>
      </c>
      <c r="R46" s="197"/>
      <c r="S46" s="197"/>
      <c r="T46" s="197"/>
      <c r="U46" s="197"/>
    </row>
    <row r="47" spans="1:21" s="12" customFormat="1" x14ac:dyDescent="0.25">
      <c r="A47" s="200" t="s">
        <v>762</v>
      </c>
      <c r="B47" s="59">
        <v>18.36</v>
      </c>
      <c r="C47" s="59">
        <v>30</v>
      </c>
      <c r="D47" s="59">
        <v>31.28</v>
      </c>
      <c r="E47" s="59">
        <v>3.73</v>
      </c>
      <c r="F47" s="59">
        <v>1.01</v>
      </c>
      <c r="G47" s="59">
        <v>67.739999999999995</v>
      </c>
      <c r="H47" s="59">
        <v>28.41</v>
      </c>
      <c r="I47" s="59">
        <v>0.47</v>
      </c>
      <c r="J47" s="59">
        <v>0.89</v>
      </c>
      <c r="K47" s="59">
        <v>111.61</v>
      </c>
      <c r="L47" s="59">
        <v>23.77</v>
      </c>
      <c r="M47" s="59">
        <v>43</v>
      </c>
      <c r="N47" s="59">
        <v>407.2</v>
      </c>
      <c r="O47" s="59">
        <v>0</v>
      </c>
      <c r="P47" s="59">
        <v>1.1399999999999999</v>
      </c>
      <c r="Q47" s="59">
        <v>44.27</v>
      </c>
      <c r="R47" s="197"/>
      <c r="S47" s="197"/>
      <c r="T47" s="197"/>
      <c r="U47" s="197"/>
    </row>
    <row r="48" spans="1:21" s="12" customFormat="1" x14ac:dyDescent="0.25">
      <c r="A48" s="200" t="s">
        <v>763</v>
      </c>
      <c r="B48" s="59">
        <v>16.940000000000001</v>
      </c>
      <c r="C48" s="59">
        <v>30.61</v>
      </c>
      <c r="D48" s="59">
        <v>30.47</v>
      </c>
      <c r="E48" s="59">
        <v>3.73</v>
      </c>
      <c r="F48" s="59">
        <v>1.1200000000000001</v>
      </c>
      <c r="G48" s="59">
        <v>63.76</v>
      </c>
      <c r="H48" s="59">
        <v>28.63</v>
      </c>
      <c r="I48" s="59">
        <v>0.46</v>
      </c>
      <c r="J48" s="59">
        <v>0.56999999999999995</v>
      </c>
      <c r="K48" s="59">
        <v>104.24</v>
      </c>
      <c r="L48" s="59">
        <v>24.79</v>
      </c>
      <c r="M48" s="59">
        <v>41</v>
      </c>
      <c r="N48" s="59">
        <v>416.1</v>
      </c>
      <c r="O48" s="59">
        <v>0</v>
      </c>
      <c r="P48" s="59">
        <v>1.1200000000000001</v>
      </c>
      <c r="Q48" s="59">
        <v>44.39</v>
      </c>
      <c r="R48" s="197"/>
      <c r="S48" s="197"/>
      <c r="T48" s="197"/>
      <c r="U48" s="197"/>
    </row>
    <row r="49" spans="1:21" s="12" customFormat="1" x14ac:dyDescent="0.25">
      <c r="A49" s="200" t="s">
        <v>764</v>
      </c>
      <c r="B49" s="59">
        <v>15.55</v>
      </c>
      <c r="C49" s="59">
        <v>31.24</v>
      </c>
      <c r="D49" s="59">
        <v>29.71</v>
      </c>
      <c r="E49" s="59">
        <v>3.76</v>
      </c>
      <c r="F49" s="59">
        <v>1.19</v>
      </c>
      <c r="G49" s="59">
        <v>63.76</v>
      </c>
      <c r="H49" s="59">
        <v>28.63</v>
      </c>
      <c r="I49" s="59">
        <v>0.45</v>
      </c>
      <c r="J49" s="59">
        <v>0.45</v>
      </c>
      <c r="K49" s="59">
        <v>45.05</v>
      </c>
      <c r="L49" s="59">
        <v>25.86</v>
      </c>
      <c r="M49" s="59">
        <v>39</v>
      </c>
      <c r="N49" s="59">
        <v>436.2</v>
      </c>
      <c r="O49" s="59">
        <v>0</v>
      </c>
      <c r="P49" s="59">
        <v>1.1000000000000001</v>
      </c>
      <c r="Q49" s="59">
        <v>44.76</v>
      </c>
      <c r="R49" s="197"/>
      <c r="S49" s="197"/>
      <c r="T49" s="197"/>
      <c r="U49" s="197"/>
    </row>
    <row r="50" spans="1:21" s="12" customFormat="1" x14ac:dyDescent="0.25">
      <c r="A50" s="200" t="s">
        <v>765</v>
      </c>
      <c r="B50" s="59">
        <v>13.96</v>
      </c>
      <c r="C50" s="59">
        <v>31.94</v>
      </c>
      <c r="D50" s="59">
        <v>28.82</v>
      </c>
      <c r="E50" s="59">
        <v>3.98</v>
      </c>
      <c r="F50" s="59">
        <v>2.12</v>
      </c>
      <c r="G50" s="59">
        <v>63.76</v>
      </c>
      <c r="H50" s="59">
        <v>28.63</v>
      </c>
      <c r="I50" s="59">
        <v>0.46</v>
      </c>
      <c r="J50" s="59">
        <v>0.97</v>
      </c>
      <c r="K50" s="59">
        <v>110.64</v>
      </c>
      <c r="L50" s="59">
        <v>26.25</v>
      </c>
      <c r="M50" s="59">
        <v>37</v>
      </c>
      <c r="N50" s="59">
        <v>453.3</v>
      </c>
      <c r="O50" s="59">
        <v>0</v>
      </c>
      <c r="P50" s="59">
        <v>1.08</v>
      </c>
      <c r="Q50" s="59">
        <v>44.84</v>
      </c>
      <c r="R50" s="197"/>
      <c r="S50" s="197"/>
      <c r="T50" s="197"/>
      <c r="U50" s="197"/>
    </row>
    <row r="51" spans="1:21" s="12" customFormat="1" x14ac:dyDescent="0.25">
      <c r="A51" s="200" t="s">
        <v>766</v>
      </c>
      <c r="B51" s="59">
        <v>10.23</v>
      </c>
      <c r="C51" s="59">
        <v>33.61</v>
      </c>
      <c r="D51" s="59">
        <v>26.75</v>
      </c>
      <c r="E51" s="59">
        <v>4.1100000000000003</v>
      </c>
      <c r="F51" s="59">
        <v>2.4500000000000002</v>
      </c>
      <c r="G51" s="59">
        <v>62.32</v>
      </c>
      <c r="H51" s="59">
        <v>28.07</v>
      </c>
      <c r="I51" s="59">
        <v>0.45</v>
      </c>
      <c r="J51" s="59">
        <v>0.72</v>
      </c>
      <c r="K51" s="59">
        <v>105.62</v>
      </c>
      <c r="L51" s="59">
        <v>26.41</v>
      </c>
      <c r="M51" s="59">
        <v>35</v>
      </c>
      <c r="N51" s="59">
        <v>464</v>
      </c>
      <c r="O51" s="59">
        <v>0</v>
      </c>
      <c r="P51" s="59">
        <v>1.02</v>
      </c>
      <c r="Q51" s="59">
        <v>43.57</v>
      </c>
      <c r="R51" s="197"/>
      <c r="S51" s="197"/>
      <c r="T51" s="197"/>
      <c r="U51" s="197"/>
    </row>
    <row r="52" spans="1:21" s="12" customFormat="1" x14ac:dyDescent="0.25">
      <c r="A52" s="200" t="s">
        <v>767</v>
      </c>
      <c r="B52" s="59">
        <v>7.24</v>
      </c>
      <c r="C52" s="59">
        <v>35.25</v>
      </c>
      <c r="D52" s="59">
        <v>25.26</v>
      </c>
      <c r="E52" s="59">
        <v>3.61</v>
      </c>
      <c r="F52" s="59">
        <v>2.02</v>
      </c>
      <c r="G52" s="59">
        <v>58.99</v>
      </c>
      <c r="H52" s="59">
        <v>26.25</v>
      </c>
      <c r="I52" s="59">
        <v>0.44</v>
      </c>
      <c r="J52" s="59">
        <v>1.1599999999999999</v>
      </c>
      <c r="K52" s="59">
        <v>113.9</v>
      </c>
      <c r="L52" s="59">
        <v>25.85</v>
      </c>
      <c r="M52" s="59">
        <v>36</v>
      </c>
      <c r="N52" s="59">
        <v>469.2</v>
      </c>
      <c r="O52" s="59">
        <v>0</v>
      </c>
      <c r="P52" s="59">
        <v>0.98</v>
      </c>
      <c r="Q52" s="59">
        <v>43.19</v>
      </c>
      <c r="R52" s="197"/>
      <c r="S52" s="197"/>
      <c r="T52" s="197"/>
      <c r="U52" s="197"/>
    </row>
    <row r="53" spans="1:21" s="12" customFormat="1" x14ac:dyDescent="0.25">
      <c r="A53" s="200" t="s">
        <v>768</v>
      </c>
      <c r="B53" s="59">
        <v>5.41</v>
      </c>
      <c r="C53" s="59">
        <v>34.93</v>
      </c>
      <c r="D53" s="59">
        <v>23.62</v>
      </c>
      <c r="E53" s="59">
        <v>3.89</v>
      </c>
      <c r="F53" s="59">
        <v>3.25</v>
      </c>
      <c r="G53" s="59">
        <v>58.99</v>
      </c>
      <c r="H53" s="59">
        <v>26.25</v>
      </c>
      <c r="I53" s="59">
        <v>0.42</v>
      </c>
      <c r="J53" s="59">
        <v>0.31</v>
      </c>
      <c r="K53" s="59">
        <v>10.67</v>
      </c>
      <c r="L53" s="59">
        <v>28.07</v>
      </c>
      <c r="M53" s="59">
        <v>33</v>
      </c>
      <c r="N53" s="59">
        <v>465.1</v>
      </c>
      <c r="O53" s="59">
        <v>0</v>
      </c>
      <c r="P53" s="59">
        <v>0.95</v>
      </c>
      <c r="Q53" s="59">
        <v>43.31</v>
      </c>
      <c r="R53" s="197"/>
      <c r="S53" s="197"/>
      <c r="T53" s="197"/>
      <c r="U53" s="197"/>
    </row>
    <row r="54" spans="1:21" s="12" customFormat="1" x14ac:dyDescent="0.25">
      <c r="A54" s="200" t="s">
        <v>769</v>
      </c>
      <c r="B54" s="59">
        <v>5.0599999999999996</v>
      </c>
      <c r="C54" s="59">
        <v>35.56</v>
      </c>
      <c r="D54" s="59">
        <v>23.69</v>
      </c>
      <c r="E54" s="59">
        <v>3.26</v>
      </c>
      <c r="F54" s="59">
        <v>3.32</v>
      </c>
      <c r="G54" s="59">
        <v>58.99</v>
      </c>
      <c r="H54" s="59">
        <v>26.25</v>
      </c>
      <c r="I54" s="59">
        <v>0.4</v>
      </c>
      <c r="J54" s="59">
        <v>0.63</v>
      </c>
      <c r="K54" s="59">
        <v>85.41</v>
      </c>
      <c r="L54" s="59">
        <v>27.55</v>
      </c>
      <c r="M54" s="59">
        <v>33</v>
      </c>
      <c r="N54" s="59">
        <v>466.5</v>
      </c>
      <c r="O54" s="59">
        <v>0</v>
      </c>
      <c r="P54" s="59">
        <v>0.95</v>
      </c>
      <c r="Q54" s="59">
        <v>42.63</v>
      </c>
      <c r="R54" s="197"/>
      <c r="S54" s="197"/>
      <c r="T54" s="197"/>
      <c r="U54" s="197"/>
    </row>
    <row r="55" spans="1:21" s="12" customFormat="1" x14ac:dyDescent="0.25">
      <c r="A55" s="200" t="s">
        <v>770</v>
      </c>
      <c r="B55" s="59">
        <v>4.84</v>
      </c>
      <c r="C55" s="59">
        <v>34.96</v>
      </c>
      <c r="D55" s="59">
        <v>23.17</v>
      </c>
      <c r="E55" s="59">
        <v>3.19</v>
      </c>
      <c r="F55" s="59">
        <v>2.99</v>
      </c>
      <c r="G55" s="59">
        <v>57</v>
      </c>
      <c r="H55" s="59">
        <v>26.05</v>
      </c>
      <c r="I55" s="59">
        <v>0.36</v>
      </c>
      <c r="J55" s="59">
        <v>0.71</v>
      </c>
      <c r="K55" s="59">
        <v>63.28</v>
      </c>
      <c r="L55" s="59">
        <v>27.81</v>
      </c>
      <c r="M55" s="59">
        <v>33</v>
      </c>
      <c r="N55" s="59">
        <v>463.8</v>
      </c>
      <c r="O55" s="59">
        <v>0</v>
      </c>
      <c r="P55" s="59">
        <v>0.94</v>
      </c>
      <c r="Q55" s="59">
        <v>41.1</v>
      </c>
      <c r="R55" s="197"/>
      <c r="S55" s="197"/>
      <c r="T55" s="197"/>
      <c r="U55" s="197"/>
    </row>
    <row r="56" spans="1:21" s="12" customFormat="1" x14ac:dyDescent="0.25">
      <c r="A56" s="200" t="s">
        <v>771</v>
      </c>
      <c r="B56" s="59">
        <v>4.5999999999999996</v>
      </c>
      <c r="C56" s="59">
        <v>36.06</v>
      </c>
      <c r="D56" s="59">
        <v>23.59</v>
      </c>
      <c r="E56" s="59">
        <v>2.76</v>
      </c>
      <c r="F56" s="59">
        <v>5.41</v>
      </c>
      <c r="G56" s="59">
        <v>46.84</v>
      </c>
      <c r="H56" s="59">
        <v>25.43</v>
      </c>
      <c r="I56" s="59">
        <v>0.35</v>
      </c>
      <c r="J56" s="59">
        <v>0.65</v>
      </c>
      <c r="K56" s="59">
        <v>4.7300000000000004</v>
      </c>
      <c r="L56" s="59">
        <v>29.38</v>
      </c>
      <c r="M56" s="59">
        <v>31</v>
      </c>
      <c r="N56" s="59">
        <v>459.2</v>
      </c>
      <c r="O56" s="59">
        <v>0</v>
      </c>
      <c r="P56" s="59">
        <v>0.95</v>
      </c>
      <c r="Q56" s="59">
        <v>40</v>
      </c>
      <c r="R56" s="197"/>
      <c r="S56" s="197"/>
      <c r="T56" s="197"/>
      <c r="U56" s="197"/>
    </row>
    <row r="57" spans="1:21" s="12" customFormat="1" x14ac:dyDescent="0.25">
      <c r="A57" s="200" t="s">
        <v>772</v>
      </c>
      <c r="B57" s="59">
        <v>5.57</v>
      </c>
      <c r="C57" s="59">
        <v>35.6</v>
      </c>
      <c r="D57" s="59">
        <v>24.11</v>
      </c>
      <c r="E57" s="59">
        <v>6.29</v>
      </c>
      <c r="F57" s="59">
        <v>5.4</v>
      </c>
      <c r="G57" s="59">
        <v>46.84</v>
      </c>
      <c r="H57" s="59">
        <v>25.43</v>
      </c>
      <c r="I57" s="59">
        <v>0.33</v>
      </c>
      <c r="J57" s="59">
        <v>0.7</v>
      </c>
      <c r="K57" s="59">
        <v>353.89</v>
      </c>
      <c r="L57" s="59">
        <v>30.48</v>
      </c>
      <c r="M57" s="59">
        <v>29</v>
      </c>
      <c r="N57" s="59">
        <v>427.1</v>
      </c>
      <c r="O57" s="59">
        <v>0</v>
      </c>
      <c r="P57" s="59">
        <v>0.97</v>
      </c>
      <c r="Q57" s="59">
        <v>39.83</v>
      </c>
      <c r="R57" s="197"/>
      <c r="S57" s="197"/>
      <c r="T57" s="197"/>
      <c r="U57" s="197"/>
    </row>
    <row r="58" spans="1:21" s="12" customFormat="1" x14ac:dyDescent="0.25">
      <c r="A58" s="200" t="s">
        <v>773</v>
      </c>
      <c r="B58" s="59">
        <v>5.08</v>
      </c>
      <c r="C58" s="59">
        <v>37.44</v>
      </c>
      <c r="D58" s="59">
        <v>24.74</v>
      </c>
      <c r="E58" s="59">
        <v>6.42</v>
      </c>
      <c r="F58" s="59">
        <v>6.26</v>
      </c>
      <c r="G58" s="59">
        <v>46.84</v>
      </c>
      <c r="H58" s="59">
        <v>25.43</v>
      </c>
      <c r="I58" s="59">
        <v>0.32</v>
      </c>
      <c r="J58" s="59">
        <v>0.55000000000000004</v>
      </c>
      <c r="K58" s="59">
        <v>27.12</v>
      </c>
      <c r="L58" s="59">
        <v>30.54</v>
      </c>
      <c r="M58" s="59">
        <v>28</v>
      </c>
      <c r="N58" s="59">
        <v>407.8</v>
      </c>
      <c r="O58" s="59">
        <v>0</v>
      </c>
      <c r="P58" s="59">
        <v>0.99</v>
      </c>
      <c r="Q58" s="59">
        <v>37.28</v>
      </c>
      <c r="R58" s="197"/>
      <c r="S58" s="197"/>
      <c r="T58" s="197"/>
      <c r="U58" s="197"/>
    </row>
    <row r="59" spans="1:21" s="12" customFormat="1" x14ac:dyDescent="0.25">
      <c r="A59" s="200" t="s">
        <v>774</v>
      </c>
      <c r="B59" s="59">
        <v>4.53</v>
      </c>
      <c r="C59" s="59">
        <v>35.229999999999997</v>
      </c>
      <c r="D59" s="59">
        <v>23.08</v>
      </c>
      <c r="E59" s="59">
        <v>9.15</v>
      </c>
      <c r="F59" s="59">
        <v>8.4</v>
      </c>
      <c r="G59" s="59">
        <v>49.54</v>
      </c>
      <c r="H59" s="59">
        <v>25.94</v>
      </c>
      <c r="I59" s="59">
        <v>0.3</v>
      </c>
      <c r="J59" s="59">
        <v>0.88</v>
      </c>
      <c r="K59" s="59">
        <v>87.57</v>
      </c>
      <c r="L59" s="59">
        <v>28.5</v>
      </c>
      <c r="M59" s="59">
        <v>31</v>
      </c>
      <c r="N59" s="59">
        <v>406.9</v>
      </c>
      <c r="O59" s="59">
        <v>0</v>
      </c>
      <c r="P59" s="59">
        <v>0.96</v>
      </c>
      <c r="Q59" s="59">
        <v>36.450000000000003</v>
      </c>
      <c r="R59" s="197"/>
      <c r="S59" s="197"/>
      <c r="T59" s="197"/>
      <c r="U59" s="197"/>
    </row>
    <row r="60" spans="1:21" s="12" customFormat="1" x14ac:dyDescent="0.25">
      <c r="A60" s="200" t="s">
        <v>775</v>
      </c>
      <c r="B60" s="59">
        <v>3.49</v>
      </c>
      <c r="C60" s="59">
        <v>35.11</v>
      </c>
      <c r="D60" s="59">
        <v>22.18</v>
      </c>
      <c r="E60" s="59">
        <v>6.86</v>
      </c>
      <c r="F60" s="59">
        <v>6.16</v>
      </c>
      <c r="G60" s="59">
        <v>55.74</v>
      </c>
      <c r="H60" s="59">
        <v>27.61</v>
      </c>
      <c r="I60" s="59">
        <v>0.3</v>
      </c>
      <c r="J60" s="59">
        <v>0.6</v>
      </c>
      <c r="K60" s="59">
        <v>97.52</v>
      </c>
      <c r="L60" s="59">
        <v>27.82</v>
      </c>
      <c r="M60" s="59">
        <v>30</v>
      </c>
      <c r="N60" s="59">
        <v>413.3</v>
      </c>
      <c r="O60" s="59">
        <v>0</v>
      </c>
      <c r="P60" s="59">
        <v>0.91</v>
      </c>
      <c r="Q60" s="59">
        <v>35.299999999999997</v>
      </c>
      <c r="R60" s="197"/>
      <c r="S60" s="197"/>
      <c r="T60" s="197"/>
      <c r="U60" s="197"/>
    </row>
    <row r="61" spans="1:21" s="12" customFormat="1" x14ac:dyDescent="0.25">
      <c r="A61" s="200" t="s">
        <v>776</v>
      </c>
      <c r="B61" s="59">
        <v>4.58</v>
      </c>
      <c r="C61" s="59">
        <v>32.9</v>
      </c>
      <c r="D61" s="59">
        <v>21.83</v>
      </c>
      <c r="E61" s="59">
        <v>6.38</v>
      </c>
      <c r="F61" s="59">
        <v>6.77</v>
      </c>
      <c r="G61" s="59">
        <v>55.74</v>
      </c>
      <c r="H61" s="59">
        <v>27.61</v>
      </c>
      <c r="I61" s="59">
        <v>0.28000000000000003</v>
      </c>
      <c r="J61" s="59">
        <v>0.97</v>
      </c>
      <c r="K61" s="59">
        <v>3.41</v>
      </c>
      <c r="L61" s="59">
        <v>30.81</v>
      </c>
      <c r="M61" s="59">
        <v>25</v>
      </c>
      <c r="N61" s="59">
        <v>396.3</v>
      </c>
      <c r="O61" s="59">
        <v>0</v>
      </c>
      <c r="P61" s="59">
        <v>0.89</v>
      </c>
      <c r="Q61" s="59">
        <v>34.83</v>
      </c>
      <c r="R61" s="197"/>
      <c r="S61" s="197"/>
      <c r="T61" s="197"/>
      <c r="U61" s="197"/>
    </row>
    <row r="62" spans="1:21" s="12" customFormat="1" x14ac:dyDescent="0.25">
      <c r="A62" s="200" t="s">
        <v>777</v>
      </c>
      <c r="B62" s="59">
        <v>3.98</v>
      </c>
      <c r="C62" s="59">
        <v>34.67</v>
      </c>
      <c r="D62" s="59">
        <v>22.33</v>
      </c>
      <c r="E62" s="59">
        <v>5.79</v>
      </c>
      <c r="F62" s="59">
        <v>4.43</v>
      </c>
      <c r="G62" s="59">
        <v>55.74</v>
      </c>
      <c r="H62" s="59">
        <v>27.61</v>
      </c>
      <c r="I62" s="59">
        <v>0.28000000000000003</v>
      </c>
      <c r="J62" s="59">
        <v>0.65</v>
      </c>
      <c r="K62" s="59">
        <v>7.63</v>
      </c>
      <c r="L62" s="59">
        <v>31.55</v>
      </c>
      <c r="M62" s="59">
        <v>22</v>
      </c>
      <c r="N62" s="59">
        <v>383.8</v>
      </c>
      <c r="O62" s="59">
        <v>0</v>
      </c>
      <c r="P62" s="59">
        <v>0.93</v>
      </c>
      <c r="Q62" s="59">
        <v>35.19</v>
      </c>
      <c r="R62" s="197"/>
      <c r="S62" s="197"/>
      <c r="T62" s="197"/>
      <c r="U62" s="197"/>
    </row>
    <row r="63" spans="1:21" s="12" customFormat="1" x14ac:dyDescent="0.25">
      <c r="A63" s="200" t="s">
        <v>778</v>
      </c>
      <c r="B63" s="59">
        <v>4.29</v>
      </c>
      <c r="C63" s="59">
        <v>36</v>
      </c>
      <c r="D63" s="59">
        <v>23.3</v>
      </c>
      <c r="E63" s="59">
        <v>6.8</v>
      </c>
      <c r="F63" s="59">
        <v>6.07</v>
      </c>
      <c r="G63" s="59">
        <v>54.55</v>
      </c>
      <c r="H63" s="59">
        <v>27.69</v>
      </c>
      <c r="I63" s="59">
        <v>0.27</v>
      </c>
      <c r="J63" s="59">
        <v>1.21</v>
      </c>
      <c r="K63" s="59">
        <v>0.83</v>
      </c>
      <c r="L63" s="59">
        <v>31.28</v>
      </c>
      <c r="M63" s="59">
        <v>23</v>
      </c>
      <c r="N63" s="59">
        <v>377</v>
      </c>
      <c r="O63" s="59">
        <v>0</v>
      </c>
      <c r="P63" s="59">
        <v>0.94</v>
      </c>
      <c r="Q63" s="59">
        <v>36.200000000000003</v>
      </c>
      <c r="R63" s="197"/>
      <c r="S63" s="197"/>
      <c r="T63" s="197"/>
      <c r="U63" s="197"/>
    </row>
    <row r="64" spans="1:21" s="12" customFormat="1" x14ac:dyDescent="0.25">
      <c r="A64" s="200" t="s">
        <v>779</v>
      </c>
      <c r="B64" s="59">
        <v>4.97</v>
      </c>
      <c r="C64" s="59">
        <v>34.590000000000003</v>
      </c>
      <c r="D64" s="59">
        <v>23.07</v>
      </c>
      <c r="E64" s="59">
        <v>6.74</v>
      </c>
      <c r="F64" s="59">
        <v>9.3000000000000007</v>
      </c>
      <c r="G64" s="59">
        <v>51.81</v>
      </c>
      <c r="H64" s="59">
        <v>27.95</v>
      </c>
      <c r="I64" s="59">
        <v>0.28999999999999998</v>
      </c>
      <c r="J64" s="59">
        <v>1.29</v>
      </c>
      <c r="K64" s="59">
        <v>0.06</v>
      </c>
      <c r="L64" s="59">
        <v>31.72</v>
      </c>
      <c r="M64" s="59">
        <v>23</v>
      </c>
      <c r="N64" s="59">
        <v>360.2</v>
      </c>
      <c r="O64" s="59">
        <v>0</v>
      </c>
      <c r="P64" s="59">
        <v>0.95</v>
      </c>
      <c r="Q64" s="59">
        <v>36.369999999999997</v>
      </c>
      <c r="R64" s="197"/>
      <c r="S64" s="197"/>
      <c r="T64" s="197"/>
      <c r="U64" s="197"/>
    </row>
    <row r="65" spans="1:21" s="12" customFormat="1" x14ac:dyDescent="0.25">
      <c r="A65" s="200" t="s">
        <v>780</v>
      </c>
      <c r="B65" s="59">
        <v>4.09</v>
      </c>
      <c r="C65" s="59">
        <v>36.21</v>
      </c>
      <c r="D65" s="59">
        <v>23.27</v>
      </c>
      <c r="E65" s="59">
        <v>7.98</v>
      </c>
      <c r="F65" s="59">
        <v>9.66</v>
      </c>
      <c r="G65" s="59">
        <v>51.81</v>
      </c>
      <c r="H65" s="59">
        <v>27.95</v>
      </c>
      <c r="I65" s="59">
        <v>0.28999999999999998</v>
      </c>
      <c r="J65" s="59">
        <v>1.29</v>
      </c>
      <c r="K65" s="59">
        <v>358.91</v>
      </c>
      <c r="L65" s="59">
        <v>31.73</v>
      </c>
      <c r="M65" s="59">
        <v>23</v>
      </c>
      <c r="N65" s="59">
        <v>346</v>
      </c>
      <c r="O65" s="59">
        <v>0</v>
      </c>
      <c r="P65" s="59">
        <v>0.94</v>
      </c>
      <c r="Q65" s="59">
        <v>35.31</v>
      </c>
      <c r="R65" s="197"/>
      <c r="S65" s="197"/>
      <c r="T65" s="197"/>
      <c r="U65" s="197"/>
    </row>
    <row r="66" spans="1:21" s="12" customFormat="1" x14ac:dyDescent="0.25">
      <c r="A66" s="200" t="s">
        <v>781</v>
      </c>
      <c r="B66" s="59">
        <v>4.84</v>
      </c>
      <c r="C66" s="59">
        <v>34.729999999999997</v>
      </c>
      <c r="D66" s="59">
        <v>23.05</v>
      </c>
      <c r="E66" s="59">
        <v>6.69</v>
      </c>
      <c r="F66" s="59">
        <v>7.74</v>
      </c>
      <c r="G66" s="59">
        <v>51.81</v>
      </c>
      <c r="H66" s="59">
        <v>27.95</v>
      </c>
      <c r="I66" s="59">
        <v>0.27</v>
      </c>
      <c r="J66" s="59">
        <v>0.99</v>
      </c>
      <c r="K66" s="59">
        <v>358.25</v>
      </c>
      <c r="L66" s="59">
        <v>31.82</v>
      </c>
      <c r="M66" s="59">
        <v>22</v>
      </c>
      <c r="N66" s="59">
        <v>194.7</v>
      </c>
      <c r="O66" s="59">
        <v>0</v>
      </c>
      <c r="P66" s="59">
        <v>0.96</v>
      </c>
      <c r="Q66" s="59">
        <v>35.07</v>
      </c>
      <c r="R66" s="197"/>
      <c r="S66" s="197"/>
      <c r="T66" s="197"/>
      <c r="U66" s="197"/>
    </row>
    <row r="67" spans="1:21" s="12" customFormat="1" x14ac:dyDescent="0.25">
      <c r="A67" s="200" t="s">
        <v>782</v>
      </c>
      <c r="B67" s="59">
        <v>5.46</v>
      </c>
      <c r="C67" s="59">
        <v>36.6</v>
      </c>
      <c r="D67" s="59">
        <v>24.58</v>
      </c>
      <c r="E67" s="59">
        <v>7.22</v>
      </c>
      <c r="F67" s="59">
        <v>10.08</v>
      </c>
      <c r="G67" s="59">
        <v>53.74</v>
      </c>
      <c r="H67" s="59">
        <v>28.53</v>
      </c>
      <c r="I67" s="59">
        <v>0.27</v>
      </c>
      <c r="J67" s="59">
        <v>0.74</v>
      </c>
      <c r="K67" s="59">
        <v>25.5</v>
      </c>
      <c r="L67" s="59">
        <v>31.42</v>
      </c>
      <c r="M67" s="59">
        <v>22</v>
      </c>
      <c r="N67" s="59">
        <v>209.2</v>
      </c>
      <c r="O67" s="59">
        <v>0</v>
      </c>
      <c r="P67" s="59">
        <v>0.99</v>
      </c>
      <c r="Q67" s="59">
        <v>36.43</v>
      </c>
      <c r="R67" s="197"/>
      <c r="S67" s="197"/>
      <c r="T67" s="197"/>
      <c r="U67" s="197"/>
    </row>
    <row r="68" spans="1:21" s="12" customFormat="1" x14ac:dyDescent="0.25">
      <c r="A68" s="200" t="s">
        <v>783</v>
      </c>
      <c r="B68" s="59">
        <v>4.4800000000000004</v>
      </c>
      <c r="C68" s="59">
        <v>38.28</v>
      </c>
      <c r="D68" s="59">
        <v>24.72</v>
      </c>
      <c r="E68" s="59">
        <v>4.45</v>
      </c>
      <c r="F68" s="59">
        <v>3.53</v>
      </c>
      <c r="G68" s="59">
        <v>58.17</v>
      </c>
      <c r="H68" s="59">
        <v>30.32</v>
      </c>
      <c r="I68" s="59">
        <v>0.27</v>
      </c>
      <c r="J68" s="59">
        <v>1.06</v>
      </c>
      <c r="K68" s="59">
        <v>357.41</v>
      </c>
      <c r="L68" s="59">
        <v>30.25</v>
      </c>
      <c r="M68" s="59">
        <v>24</v>
      </c>
      <c r="N68" s="59">
        <v>258.60000000000002</v>
      </c>
      <c r="O68" s="59">
        <v>0</v>
      </c>
      <c r="P68" s="59">
        <v>0.99</v>
      </c>
      <c r="Q68" s="59">
        <v>35.74</v>
      </c>
      <c r="R68" s="197"/>
      <c r="S68" s="197"/>
      <c r="T68" s="197"/>
      <c r="U68" s="197"/>
    </row>
    <row r="69" spans="1:21" s="12" customFormat="1" x14ac:dyDescent="0.25">
      <c r="A69" s="200" t="s">
        <v>784</v>
      </c>
      <c r="B69" s="59">
        <v>5.22</v>
      </c>
      <c r="C69" s="59">
        <v>37.86</v>
      </c>
      <c r="D69" s="59">
        <v>25.08</v>
      </c>
      <c r="E69" s="59">
        <v>3.4</v>
      </c>
      <c r="F69" s="59">
        <v>2.73</v>
      </c>
      <c r="G69" s="59">
        <v>58.17</v>
      </c>
      <c r="H69" s="59">
        <v>30.32</v>
      </c>
      <c r="I69" s="59">
        <v>0.26</v>
      </c>
      <c r="J69" s="59">
        <v>0.94</v>
      </c>
      <c r="K69" s="59">
        <v>2.36</v>
      </c>
      <c r="L69" s="59">
        <v>30.67</v>
      </c>
      <c r="M69" s="59">
        <v>22</v>
      </c>
      <c r="N69" s="59">
        <v>229.3</v>
      </c>
      <c r="O69" s="59">
        <v>0</v>
      </c>
      <c r="P69" s="59">
        <v>1.01</v>
      </c>
      <c r="Q69" s="59">
        <v>35.94</v>
      </c>
      <c r="R69" s="197"/>
      <c r="S69" s="197"/>
      <c r="T69" s="197"/>
      <c r="U69" s="197"/>
    </row>
    <row r="70" spans="1:21" s="12" customFormat="1" x14ac:dyDescent="0.25">
      <c r="A70" s="200" t="s">
        <v>785</v>
      </c>
      <c r="B70" s="59">
        <v>6.53</v>
      </c>
      <c r="C70" s="59">
        <v>38.229999999999997</v>
      </c>
      <c r="D70" s="59">
        <v>26.34</v>
      </c>
      <c r="E70" s="59">
        <v>3.58</v>
      </c>
      <c r="F70" s="59">
        <v>2.64</v>
      </c>
      <c r="G70" s="59">
        <v>58.17</v>
      </c>
      <c r="H70" s="59">
        <v>30.32</v>
      </c>
      <c r="I70" s="59">
        <v>0.28000000000000003</v>
      </c>
      <c r="J70" s="59">
        <v>1.33</v>
      </c>
      <c r="K70" s="59">
        <v>1.67</v>
      </c>
      <c r="L70" s="59">
        <v>29.47</v>
      </c>
      <c r="M70" s="59">
        <v>24</v>
      </c>
      <c r="N70" s="59">
        <v>148.9</v>
      </c>
      <c r="O70" s="59">
        <v>0</v>
      </c>
      <c r="P70" s="59">
        <v>1.01</v>
      </c>
      <c r="Q70" s="59">
        <v>36.53</v>
      </c>
      <c r="R70" s="197"/>
      <c r="S70" s="197"/>
      <c r="T70" s="197"/>
      <c r="U70" s="197"/>
    </row>
    <row r="71" spans="1:21" s="12" customFormat="1" x14ac:dyDescent="0.25">
      <c r="A71" s="200" t="s">
        <v>786</v>
      </c>
      <c r="B71" s="59">
        <v>6.34</v>
      </c>
      <c r="C71" s="59">
        <v>38.6</v>
      </c>
      <c r="D71" s="59">
        <v>26.39</v>
      </c>
      <c r="E71" s="59">
        <v>4.3</v>
      </c>
      <c r="F71" s="59">
        <v>3.37</v>
      </c>
      <c r="G71" s="59">
        <v>57.63</v>
      </c>
      <c r="H71" s="59">
        <v>29.52</v>
      </c>
      <c r="I71" s="59">
        <v>0.28000000000000003</v>
      </c>
      <c r="J71" s="59">
        <v>1.4</v>
      </c>
      <c r="K71" s="59">
        <v>7.21</v>
      </c>
      <c r="L71" s="59">
        <v>28.42</v>
      </c>
      <c r="M71" s="59">
        <v>25</v>
      </c>
      <c r="N71" s="59">
        <v>147.30000000000001</v>
      </c>
      <c r="O71" s="59">
        <v>0</v>
      </c>
      <c r="P71" s="59">
        <v>1</v>
      </c>
      <c r="Q71" s="59">
        <v>36.39</v>
      </c>
      <c r="R71" s="197"/>
      <c r="S71" s="197"/>
      <c r="T71" s="197"/>
      <c r="U71" s="197"/>
    </row>
    <row r="72" spans="1:21" s="12" customFormat="1" x14ac:dyDescent="0.25">
      <c r="A72" s="200" t="s">
        <v>787</v>
      </c>
      <c r="B72" s="59">
        <v>5.58</v>
      </c>
      <c r="C72" s="59">
        <v>38.78</v>
      </c>
      <c r="D72" s="59">
        <v>25.87</v>
      </c>
      <c r="E72" s="59">
        <v>2.33</v>
      </c>
      <c r="F72" s="59">
        <v>4.21</v>
      </c>
      <c r="G72" s="59">
        <v>55.15</v>
      </c>
      <c r="H72" s="59">
        <v>26.92</v>
      </c>
      <c r="I72" s="59">
        <v>0.28000000000000003</v>
      </c>
      <c r="J72" s="59">
        <v>1</v>
      </c>
      <c r="K72" s="59">
        <v>5.39</v>
      </c>
      <c r="L72" s="59">
        <v>27.91</v>
      </c>
      <c r="M72" s="59">
        <v>27</v>
      </c>
      <c r="N72" s="59">
        <v>79.3</v>
      </c>
      <c r="O72" s="59">
        <v>0</v>
      </c>
      <c r="P72" s="59">
        <v>1.02</v>
      </c>
      <c r="Q72" s="59">
        <v>36.619999999999997</v>
      </c>
      <c r="R72" s="197"/>
      <c r="S72" s="197"/>
      <c r="T72" s="197"/>
      <c r="U72" s="197"/>
    </row>
    <row r="73" spans="1:21" s="12" customFormat="1" x14ac:dyDescent="0.25">
      <c r="A73" s="200" t="s">
        <v>788</v>
      </c>
      <c r="B73" s="59">
        <v>7.77</v>
      </c>
      <c r="C73" s="59">
        <v>36.299999999999997</v>
      </c>
      <c r="D73" s="59">
        <v>26.26</v>
      </c>
      <c r="E73" s="59">
        <v>3.79</v>
      </c>
      <c r="F73" s="59">
        <v>5.16</v>
      </c>
      <c r="G73" s="59">
        <v>55.15</v>
      </c>
      <c r="H73" s="59">
        <v>26.92</v>
      </c>
      <c r="I73" s="59">
        <v>0.28000000000000003</v>
      </c>
      <c r="J73" s="59">
        <v>1.07</v>
      </c>
      <c r="K73" s="59">
        <v>10.23</v>
      </c>
      <c r="L73" s="59">
        <v>27.5</v>
      </c>
      <c r="M73" s="59">
        <v>27</v>
      </c>
      <c r="N73" s="59">
        <v>61.4</v>
      </c>
      <c r="O73" s="59">
        <v>0</v>
      </c>
      <c r="P73" s="59">
        <v>1.03</v>
      </c>
      <c r="Q73" s="59">
        <v>37.14</v>
      </c>
      <c r="R73" s="197"/>
      <c r="S73" s="197"/>
      <c r="T73" s="197"/>
      <c r="U73" s="197"/>
    </row>
    <row r="74" spans="1:21" s="12" customFormat="1" x14ac:dyDescent="0.25">
      <c r="A74" s="200" t="s">
        <v>789</v>
      </c>
      <c r="B74" s="59">
        <v>11</v>
      </c>
      <c r="C74" s="59">
        <v>34.46</v>
      </c>
      <c r="D74" s="59">
        <v>27.84</v>
      </c>
      <c r="E74" s="59">
        <v>7.27</v>
      </c>
      <c r="F74" s="59">
        <v>17.87</v>
      </c>
      <c r="G74" s="59">
        <v>55.15</v>
      </c>
      <c r="H74" s="59">
        <v>26.92</v>
      </c>
      <c r="I74" s="59">
        <v>0.28000000000000003</v>
      </c>
      <c r="J74" s="59">
        <v>0.91</v>
      </c>
      <c r="K74" s="59">
        <v>9.6300000000000008</v>
      </c>
      <c r="L74" s="59">
        <v>27.17</v>
      </c>
      <c r="M74" s="59">
        <v>28</v>
      </c>
      <c r="N74" s="59">
        <v>52.8</v>
      </c>
      <c r="O74" s="59">
        <v>0</v>
      </c>
      <c r="P74" s="59">
        <v>1.08</v>
      </c>
      <c r="Q74" s="59">
        <v>36.33</v>
      </c>
      <c r="R74" s="197"/>
      <c r="S74" s="197"/>
      <c r="T74" s="197"/>
      <c r="U74" s="197"/>
    </row>
    <row r="75" spans="1:21" s="12" customFormat="1" x14ac:dyDescent="0.25">
      <c r="A75" s="200" t="s">
        <v>790</v>
      </c>
      <c r="B75" s="59">
        <v>14.62</v>
      </c>
      <c r="C75" s="59">
        <v>39.97</v>
      </c>
      <c r="D75" s="59">
        <v>33.78</v>
      </c>
      <c r="E75" s="59">
        <v>9.1999999999999993</v>
      </c>
      <c r="F75" s="59">
        <v>13.15</v>
      </c>
      <c r="G75" s="59">
        <v>59.6</v>
      </c>
      <c r="H75" s="59">
        <v>26.23</v>
      </c>
      <c r="I75" s="59">
        <v>0.28000000000000003</v>
      </c>
      <c r="J75" s="59">
        <v>0.47</v>
      </c>
      <c r="K75" s="59">
        <v>12.54</v>
      </c>
      <c r="L75" s="59">
        <v>26.69</v>
      </c>
      <c r="M75" s="59">
        <v>29</v>
      </c>
      <c r="N75" s="59">
        <v>43.8</v>
      </c>
      <c r="O75" s="59">
        <v>0</v>
      </c>
      <c r="P75" s="59">
        <v>1.3</v>
      </c>
      <c r="Q75" s="59">
        <v>35.9</v>
      </c>
      <c r="R75" s="197"/>
      <c r="S75" s="197"/>
      <c r="T75" s="197"/>
      <c r="U75" s="197"/>
    </row>
    <row r="76" spans="1:21" s="12" customFormat="1" x14ac:dyDescent="0.25">
      <c r="A76" s="200" t="s">
        <v>791</v>
      </c>
      <c r="B76" s="59">
        <v>14.42</v>
      </c>
      <c r="C76" s="59">
        <v>45.58</v>
      </c>
      <c r="D76" s="59">
        <v>36.71</v>
      </c>
      <c r="E76" s="59">
        <v>7.04</v>
      </c>
      <c r="F76" s="59">
        <v>5.33</v>
      </c>
      <c r="G76" s="59">
        <v>69.37</v>
      </c>
      <c r="H76" s="59">
        <v>23.95</v>
      </c>
      <c r="I76" s="59">
        <v>0.25</v>
      </c>
      <c r="J76" s="59">
        <v>0.17</v>
      </c>
      <c r="K76" s="59">
        <v>33.799999999999997</v>
      </c>
      <c r="L76" s="59">
        <v>26.06</v>
      </c>
      <c r="M76" s="59">
        <v>30</v>
      </c>
      <c r="N76" s="59">
        <v>35.799999999999997</v>
      </c>
      <c r="O76" s="59">
        <v>0</v>
      </c>
      <c r="P76" s="59">
        <v>1.32</v>
      </c>
      <c r="Q76" s="59">
        <v>34.89</v>
      </c>
      <c r="R76" s="197"/>
      <c r="S76" s="197"/>
      <c r="T76" s="197"/>
      <c r="U76" s="197"/>
    </row>
    <row r="77" spans="1:21" s="12" customFormat="1" x14ac:dyDescent="0.25">
      <c r="A77" s="200" t="s">
        <v>792</v>
      </c>
      <c r="B77" s="59">
        <v>11.25</v>
      </c>
      <c r="C77" s="59">
        <v>45.08</v>
      </c>
      <c r="D77" s="59">
        <v>33.9</v>
      </c>
      <c r="E77" s="59">
        <v>4.2</v>
      </c>
      <c r="F77" s="59">
        <v>3.26</v>
      </c>
      <c r="G77" s="59">
        <v>69.37</v>
      </c>
      <c r="H77" s="59">
        <v>23.95</v>
      </c>
      <c r="I77" s="59">
        <v>0.3</v>
      </c>
      <c r="J77" s="59">
        <v>0.26</v>
      </c>
      <c r="K77" s="59">
        <v>85.66</v>
      </c>
      <c r="L77" s="59">
        <v>25.39</v>
      </c>
      <c r="M77" s="59">
        <v>32</v>
      </c>
      <c r="N77" s="59">
        <v>29</v>
      </c>
      <c r="O77" s="59">
        <v>0</v>
      </c>
      <c r="P77" s="59">
        <v>1.3</v>
      </c>
      <c r="Q77" s="59">
        <v>36.28</v>
      </c>
      <c r="R77" s="197"/>
      <c r="S77" s="197"/>
      <c r="T77" s="197"/>
      <c r="U77" s="197"/>
    </row>
    <row r="78" spans="1:21" s="12" customFormat="1" x14ac:dyDescent="0.25">
      <c r="A78" s="200" t="s">
        <v>793</v>
      </c>
      <c r="B78" s="59">
        <v>11.45</v>
      </c>
      <c r="C78" s="59">
        <v>43.25</v>
      </c>
      <c r="D78" s="59">
        <v>33.049999999999997</v>
      </c>
      <c r="E78" s="59">
        <v>3.85</v>
      </c>
      <c r="F78" s="59">
        <v>3.58</v>
      </c>
      <c r="G78" s="59">
        <v>69.37</v>
      </c>
      <c r="H78" s="59">
        <v>23.95</v>
      </c>
      <c r="I78" s="59">
        <v>0.33</v>
      </c>
      <c r="J78" s="59">
        <v>0.18</v>
      </c>
      <c r="K78" s="59">
        <v>72.02</v>
      </c>
      <c r="L78" s="59">
        <v>24.61</v>
      </c>
      <c r="M78" s="59">
        <v>34</v>
      </c>
      <c r="N78" s="59">
        <v>25.5</v>
      </c>
      <c r="O78" s="59">
        <v>0</v>
      </c>
      <c r="P78" s="59">
        <v>1.3</v>
      </c>
      <c r="Q78" s="59">
        <v>36.96</v>
      </c>
      <c r="R78" s="197"/>
      <c r="S78" s="197"/>
      <c r="T78" s="197"/>
      <c r="U78" s="197"/>
    </row>
    <row r="79" spans="1:21" s="12" customFormat="1" x14ac:dyDescent="0.25">
      <c r="A79" s="200" t="s">
        <v>794</v>
      </c>
      <c r="B79" s="59">
        <v>16.850000000000001</v>
      </c>
      <c r="C79" s="59">
        <v>40.46</v>
      </c>
      <c r="D79" s="59">
        <v>35.840000000000003</v>
      </c>
      <c r="E79" s="59">
        <v>3.58</v>
      </c>
      <c r="F79" s="59">
        <v>2.15</v>
      </c>
      <c r="G79" s="59">
        <v>69.48</v>
      </c>
      <c r="H79" s="59">
        <v>25.69</v>
      </c>
      <c r="I79" s="59">
        <v>0.36</v>
      </c>
      <c r="J79" s="59">
        <v>0.13</v>
      </c>
      <c r="K79" s="59">
        <v>60.48</v>
      </c>
      <c r="L79" s="59">
        <v>24.1</v>
      </c>
      <c r="M79" s="59">
        <v>37</v>
      </c>
      <c r="N79" s="59">
        <v>24.7</v>
      </c>
      <c r="O79" s="59">
        <v>0</v>
      </c>
      <c r="P79" s="59">
        <v>1.38</v>
      </c>
      <c r="Q79" s="59">
        <v>38.4</v>
      </c>
      <c r="R79" s="197"/>
      <c r="S79" s="197"/>
      <c r="T79" s="197"/>
      <c r="U79" s="197"/>
    </row>
    <row r="80" spans="1:21" s="12" customFormat="1" x14ac:dyDescent="0.25">
      <c r="A80" s="200" t="s">
        <v>795</v>
      </c>
      <c r="B80" s="59">
        <v>19.940000000000001</v>
      </c>
      <c r="C80" s="59">
        <v>37.57</v>
      </c>
      <c r="D80" s="59">
        <v>36.72</v>
      </c>
      <c r="E80" s="59">
        <v>3.53</v>
      </c>
      <c r="F80" s="59">
        <v>1.07</v>
      </c>
      <c r="G80" s="59">
        <v>69.739999999999995</v>
      </c>
      <c r="H80" s="59">
        <v>31.4</v>
      </c>
      <c r="I80" s="59">
        <v>0.38</v>
      </c>
      <c r="J80" s="59">
        <v>0.06</v>
      </c>
      <c r="K80" s="59">
        <v>55.37</v>
      </c>
      <c r="L80" s="59">
        <v>22.79</v>
      </c>
      <c r="M80" s="59">
        <v>46</v>
      </c>
      <c r="N80" s="59">
        <v>24.7</v>
      </c>
      <c r="O80" s="59">
        <v>0</v>
      </c>
      <c r="P80" s="59">
        <v>1.42</v>
      </c>
      <c r="Q80" s="59">
        <v>39.51</v>
      </c>
      <c r="R80" s="197"/>
      <c r="S80" s="197"/>
      <c r="T80" s="197"/>
      <c r="U80" s="197"/>
    </row>
    <row r="81" spans="1:26" s="12" customFormat="1" x14ac:dyDescent="0.25">
      <c r="A81" s="200" t="s">
        <v>796</v>
      </c>
      <c r="B81" s="59">
        <v>20.49</v>
      </c>
      <c r="C81" s="59">
        <v>36.51</v>
      </c>
      <c r="D81" s="59">
        <v>36.590000000000003</v>
      </c>
      <c r="E81" s="59">
        <v>3.2</v>
      </c>
      <c r="F81" s="59">
        <v>0.87</v>
      </c>
      <c r="G81" s="59">
        <v>69.739999999999995</v>
      </c>
      <c r="H81" s="59">
        <v>31.4</v>
      </c>
      <c r="I81" s="59">
        <v>0.42</v>
      </c>
      <c r="J81" s="59">
        <v>0.05</v>
      </c>
      <c r="K81" s="59">
        <v>1.1100000000000001</v>
      </c>
      <c r="L81" s="59">
        <v>22.22</v>
      </c>
      <c r="M81" s="59">
        <v>47</v>
      </c>
      <c r="N81" s="59">
        <v>24.6</v>
      </c>
      <c r="O81" s="59">
        <v>0</v>
      </c>
      <c r="P81" s="59">
        <v>1.47</v>
      </c>
      <c r="Q81" s="59">
        <v>42.44</v>
      </c>
      <c r="R81" s="197"/>
      <c r="S81" s="197"/>
      <c r="T81" s="197"/>
      <c r="U81" s="197"/>
    </row>
    <row r="82" spans="1:26" s="12" customFormat="1" x14ac:dyDescent="0.25">
      <c r="A82" s="200" t="s">
        <v>797</v>
      </c>
      <c r="B82" s="59">
        <v>30.69</v>
      </c>
      <c r="C82" s="59">
        <v>31.54</v>
      </c>
      <c r="D82" s="59">
        <v>42.02</v>
      </c>
      <c r="E82" s="59">
        <v>3.44</v>
      </c>
      <c r="F82" s="59">
        <v>0.66</v>
      </c>
      <c r="G82" s="59">
        <v>69.739999999999995</v>
      </c>
      <c r="H82" s="59">
        <v>31.4</v>
      </c>
      <c r="I82" s="59">
        <v>0.47</v>
      </c>
      <c r="J82" s="59">
        <v>7.0000000000000007E-2</v>
      </c>
      <c r="K82" s="59">
        <v>50.39</v>
      </c>
      <c r="L82" s="59">
        <v>21.6</v>
      </c>
      <c r="M82" s="59">
        <v>52</v>
      </c>
      <c r="N82" s="59">
        <v>24.5</v>
      </c>
      <c r="O82" s="59">
        <v>0</v>
      </c>
      <c r="P82" s="59">
        <v>1.64</v>
      </c>
      <c r="Q82" s="59">
        <v>44.05</v>
      </c>
      <c r="R82" s="197"/>
      <c r="S82" s="197"/>
      <c r="T82" s="197"/>
      <c r="U82" s="197"/>
    </row>
    <row r="83" spans="1:26" s="12" customFormat="1" x14ac:dyDescent="0.25">
      <c r="A83" s="200" t="s">
        <v>798</v>
      </c>
      <c r="B83" s="59">
        <v>43.27</v>
      </c>
      <c r="C83" s="59">
        <v>25.45</v>
      </c>
      <c r="D83" s="59">
        <v>48.75</v>
      </c>
      <c r="E83" s="59">
        <v>3.38</v>
      </c>
      <c r="F83" s="59">
        <v>0.62</v>
      </c>
      <c r="G83" s="59">
        <v>99.77</v>
      </c>
      <c r="H83" s="59">
        <v>32.43</v>
      </c>
      <c r="I83" s="59">
        <v>0.5</v>
      </c>
      <c r="J83" s="59">
        <v>0.03</v>
      </c>
      <c r="K83" s="59">
        <v>198.02</v>
      </c>
      <c r="L83" s="59">
        <v>21.38</v>
      </c>
      <c r="M83" s="59">
        <v>53</v>
      </c>
      <c r="N83" s="59">
        <v>24.2</v>
      </c>
      <c r="O83" s="59">
        <v>0</v>
      </c>
      <c r="P83" s="59">
        <v>1.78</v>
      </c>
      <c r="Q83" s="59">
        <v>45.05</v>
      </c>
      <c r="R83" s="197"/>
      <c r="S83" s="197"/>
      <c r="T83" s="197"/>
      <c r="U83" s="197"/>
    </row>
    <row r="84" spans="1:26" s="12" customFormat="1" x14ac:dyDescent="0.25">
      <c r="A84" s="200" t="s">
        <v>799</v>
      </c>
      <c r="B84" s="59">
        <v>49.02</v>
      </c>
      <c r="C84" s="59">
        <v>22.59</v>
      </c>
      <c r="D84" s="59">
        <v>51.78</v>
      </c>
      <c r="E84" s="59">
        <v>4.3</v>
      </c>
      <c r="F84" s="59">
        <v>0.64</v>
      </c>
      <c r="G84" s="59">
        <v>165.55</v>
      </c>
      <c r="H84" s="59">
        <v>35.590000000000003</v>
      </c>
      <c r="I84" s="59">
        <v>0.56999999999999995</v>
      </c>
      <c r="J84" s="59">
        <v>0.03</v>
      </c>
      <c r="K84" s="59">
        <v>163.22</v>
      </c>
      <c r="L84" s="59">
        <v>20.89</v>
      </c>
      <c r="M84" s="59">
        <v>59</v>
      </c>
      <c r="N84" s="59">
        <v>24.4</v>
      </c>
      <c r="O84" s="59">
        <v>0</v>
      </c>
      <c r="P84" s="59">
        <v>1.91</v>
      </c>
      <c r="Q84" s="59">
        <v>45.44</v>
      </c>
      <c r="R84" s="197"/>
      <c r="S84" s="197"/>
      <c r="T84" s="197"/>
      <c r="U84" s="197"/>
    </row>
    <row r="85" spans="1:26" s="12" customFormat="1" x14ac:dyDescent="0.25">
      <c r="A85" s="200" t="s">
        <v>800</v>
      </c>
      <c r="B85" s="59">
        <v>52.32</v>
      </c>
      <c r="C85" s="59">
        <v>20.88</v>
      </c>
      <c r="D85" s="59">
        <v>53.48</v>
      </c>
      <c r="E85" s="59">
        <v>3.54</v>
      </c>
      <c r="F85" s="59">
        <v>0.66</v>
      </c>
      <c r="G85" s="59">
        <v>165.55</v>
      </c>
      <c r="H85" s="59">
        <v>35.590000000000003</v>
      </c>
      <c r="I85" s="59">
        <v>0.64</v>
      </c>
      <c r="J85" s="59">
        <v>0.02</v>
      </c>
      <c r="K85" s="59">
        <v>170.58</v>
      </c>
      <c r="L85" s="59">
        <v>20.75</v>
      </c>
      <c r="M85" s="59">
        <v>58</v>
      </c>
      <c r="N85" s="59">
        <v>24.3</v>
      </c>
      <c r="O85" s="59">
        <v>0</v>
      </c>
      <c r="P85" s="59">
        <v>1.98</v>
      </c>
      <c r="Q85" s="59">
        <v>46.08</v>
      </c>
      <c r="R85" s="197"/>
      <c r="S85" s="197"/>
      <c r="T85" s="197"/>
      <c r="U85" s="197"/>
    </row>
    <row r="86" spans="1:26" s="12" customFormat="1" x14ac:dyDescent="0.25">
      <c r="A86" s="200" t="s">
        <v>801</v>
      </c>
      <c r="B86" s="59">
        <v>56.38</v>
      </c>
      <c r="C86" s="59">
        <v>18.91</v>
      </c>
      <c r="D86" s="59">
        <v>55.65</v>
      </c>
      <c r="E86" s="59">
        <v>4.1500000000000004</v>
      </c>
      <c r="F86" s="59">
        <v>0.72</v>
      </c>
      <c r="G86" s="59">
        <v>165.55</v>
      </c>
      <c r="H86" s="59">
        <v>35.590000000000003</v>
      </c>
      <c r="I86" s="59">
        <v>0.72</v>
      </c>
      <c r="J86" s="59">
        <v>7.0000000000000007E-2</v>
      </c>
      <c r="K86" s="59">
        <v>334.98</v>
      </c>
      <c r="L86" s="59">
        <v>20.6</v>
      </c>
      <c r="M86" s="59">
        <v>60</v>
      </c>
      <c r="N86" s="59">
        <v>24.2</v>
      </c>
      <c r="O86" s="59">
        <v>0</v>
      </c>
      <c r="P86" s="59">
        <v>2.19</v>
      </c>
      <c r="Q86" s="59">
        <v>46.45</v>
      </c>
      <c r="R86" s="197"/>
      <c r="S86" s="197"/>
      <c r="T86" s="197"/>
      <c r="U86" s="197"/>
    </row>
    <row r="87" spans="1:26" s="12" customFormat="1" x14ac:dyDescent="0.25">
      <c r="A87" s="200" t="s">
        <v>802</v>
      </c>
      <c r="B87" s="59">
        <v>67.98</v>
      </c>
      <c r="C87" s="59">
        <v>12.98</v>
      </c>
      <c r="D87" s="59">
        <v>61.68</v>
      </c>
      <c r="E87" s="59">
        <v>4.33</v>
      </c>
      <c r="F87" s="59">
        <v>0.67</v>
      </c>
      <c r="G87" s="59">
        <v>166.7</v>
      </c>
      <c r="H87" s="59">
        <v>35.79</v>
      </c>
      <c r="I87" s="59">
        <v>0.79</v>
      </c>
      <c r="J87" s="59">
        <v>0.15</v>
      </c>
      <c r="K87" s="59">
        <v>339.89</v>
      </c>
      <c r="L87" s="59">
        <v>20.39</v>
      </c>
      <c r="M87" s="59">
        <v>61</v>
      </c>
      <c r="N87" s="59">
        <v>24</v>
      </c>
      <c r="O87" s="59">
        <v>0</v>
      </c>
      <c r="P87" s="59">
        <v>2.4500000000000002</v>
      </c>
      <c r="Q87" s="59">
        <v>46.79</v>
      </c>
      <c r="R87" s="197"/>
      <c r="S87" s="197"/>
      <c r="T87" s="197"/>
      <c r="U87" s="197"/>
    </row>
    <row r="88" spans="1:26" s="12" customFormat="1" x14ac:dyDescent="0.25">
      <c r="A88" s="200" t="s">
        <v>803</v>
      </c>
      <c r="B88" s="59">
        <v>79.61</v>
      </c>
      <c r="C88" s="59">
        <v>5.82</v>
      </c>
      <c r="D88" s="59">
        <v>67.06</v>
      </c>
      <c r="E88" s="59">
        <v>1.62</v>
      </c>
      <c r="F88" s="59">
        <v>0.59</v>
      </c>
      <c r="G88" s="59">
        <v>172.61</v>
      </c>
      <c r="H88" s="59">
        <v>36.4</v>
      </c>
      <c r="I88" s="59">
        <v>0.87</v>
      </c>
      <c r="J88" s="59">
        <v>0.04</v>
      </c>
      <c r="K88" s="59">
        <v>307.70999999999998</v>
      </c>
      <c r="L88" s="59">
        <v>19.989999999999998</v>
      </c>
      <c r="M88" s="59">
        <v>61</v>
      </c>
      <c r="N88" s="59">
        <v>24.4</v>
      </c>
      <c r="O88" s="59">
        <v>0</v>
      </c>
      <c r="P88" s="59">
        <v>2.64</v>
      </c>
      <c r="Q88" s="59">
        <v>46.37</v>
      </c>
      <c r="R88" s="197"/>
      <c r="S88" s="197"/>
      <c r="T88" s="197"/>
      <c r="U88" s="197"/>
    </row>
    <row r="89" spans="1:26" s="12" customFormat="1" x14ac:dyDescent="0.25">
      <c r="A89" s="200" t="s">
        <v>804</v>
      </c>
      <c r="B89" s="59">
        <v>91.38</v>
      </c>
      <c r="C89" s="10" t="s">
        <v>43</v>
      </c>
      <c r="D89" s="59">
        <v>73.099999999999994</v>
      </c>
      <c r="E89" s="59">
        <v>3.81</v>
      </c>
      <c r="F89" s="59">
        <v>0.63</v>
      </c>
      <c r="G89" s="59">
        <v>172.61</v>
      </c>
      <c r="H89" s="59">
        <v>36.4</v>
      </c>
      <c r="I89" s="59">
        <v>0.98</v>
      </c>
      <c r="J89" s="59">
        <v>0.23</v>
      </c>
      <c r="K89" s="59">
        <v>16.2</v>
      </c>
      <c r="L89" s="59">
        <v>19.89</v>
      </c>
      <c r="M89" s="59">
        <v>62</v>
      </c>
      <c r="N89" s="59">
        <v>23.7</v>
      </c>
      <c r="O89" s="59">
        <v>0</v>
      </c>
      <c r="P89" s="59">
        <v>2.85</v>
      </c>
      <c r="Q89" s="59">
        <v>47.32</v>
      </c>
      <c r="R89" s="197"/>
      <c r="S89" s="197"/>
      <c r="T89" s="197"/>
      <c r="U89" s="197"/>
    </row>
    <row r="90" spans="1:26" s="12" customFormat="1" x14ac:dyDescent="0.25">
      <c r="A90" s="200" t="s">
        <v>805</v>
      </c>
      <c r="B90" s="59">
        <v>96.72</v>
      </c>
      <c r="C90" s="10" t="s">
        <v>43</v>
      </c>
      <c r="D90" s="59">
        <v>75.069999999999993</v>
      </c>
      <c r="E90" s="59">
        <v>4.25</v>
      </c>
      <c r="F90" s="59">
        <v>0.6</v>
      </c>
      <c r="G90" s="59">
        <v>172.61</v>
      </c>
      <c r="H90" s="59">
        <v>36.4</v>
      </c>
      <c r="I90" s="59">
        <v>1.06</v>
      </c>
      <c r="J90" s="59">
        <v>0.2</v>
      </c>
      <c r="K90" s="59">
        <v>54.13</v>
      </c>
      <c r="L90" s="59">
        <v>20.9</v>
      </c>
      <c r="M90" s="59">
        <v>50</v>
      </c>
      <c r="N90" s="59">
        <v>23.1</v>
      </c>
      <c r="O90" s="59">
        <v>0</v>
      </c>
      <c r="P90" s="59">
        <v>3.04</v>
      </c>
      <c r="Q90" s="59">
        <v>48.45</v>
      </c>
      <c r="R90" s="197"/>
      <c r="S90" s="197"/>
      <c r="T90" s="197"/>
      <c r="U90" s="197"/>
    </row>
    <row r="91" spans="1:26" s="12" customFormat="1" x14ac:dyDescent="0.25">
      <c r="A91" s="200" t="s">
        <v>806</v>
      </c>
      <c r="B91" s="59">
        <v>94.13</v>
      </c>
      <c r="C91" s="10" t="s">
        <v>43</v>
      </c>
      <c r="D91" s="59">
        <v>74.61</v>
      </c>
      <c r="E91" s="59">
        <v>4.2300000000000004</v>
      </c>
      <c r="F91" s="59">
        <v>0.57999999999999996</v>
      </c>
      <c r="G91" s="59">
        <v>159.63</v>
      </c>
      <c r="H91" s="59">
        <v>36.15</v>
      </c>
      <c r="I91" s="59">
        <v>1.1599999999999999</v>
      </c>
      <c r="J91" s="59">
        <v>0.27</v>
      </c>
      <c r="K91" s="59">
        <v>59.11</v>
      </c>
      <c r="L91" s="59">
        <v>21.37</v>
      </c>
      <c r="M91" s="59">
        <v>47</v>
      </c>
      <c r="N91" s="59">
        <v>23.5</v>
      </c>
      <c r="O91" s="59">
        <v>0</v>
      </c>
      <c r="P91" s="59">
        <v>3.09</v>
      </c>
      <c r="Q91" s="59">
        <v>49.4</v>
      </c>
      <c r="R91" s="197"/>
      <c r="S91" s="197"/>
      <c r="T91" s="197"/>
      <c r="U91" s="197"/>
    </row>
    <row r="92" spans="1:26" s="12" customFormat="1" x14ac:dyDescent="0.25">
      <c r="A92" s="200" t="s">
        <v>807</v>
      </c>
      <c r="B92" s="59">
        <v>92.15</v>
      </c>
      <c r="C92" s="10" t="s">
        <v>43</v>
      </c>
      <c r="D92" s="59">
        <v>73.06</v>
      </c>
      <c r="E92" s="59">
        <v>4.38</v>
      </c>
      <c r="F92" s="59">
        <v>0.71</v>
      </c>
      <c r="G92" s="59">
        <v>131.19</v>
      </c>
      <c r="H92" s="59">
        <v>35.380000000000003</v>
      </c>
      <c r="I92" s="59">
        <v>1.24</v>
      </c>
      <c r="J92" s="59">
        <v>0.28000000000000003</v>
      </c>
      <c r="K92" s="59">
        <v>54.64</v>
      </c>
      <c r="L92" s="59">
        <v>21.42</v>
      </c>
      <c r="M92" s="59">
        <v>46</v>
      </c>
      <c r="N92" s="59">
        <v>23.6</v>
      </c>
      <c r="O92" s="59">
        <v>0</v>
      </c>
      <c r="P92" s="59">
        <v>3.1</v>
      </c>
      <c r="Q92" s="59">
        <v>49.88</v>
      </c>
      <c r="R92" s="197"/>
      <c r="S92" s="197"/>
      <c r="T92" s="197"/>
      <c r="U92" s="197"/>
    </row>
    <row r="93" spans="1:26" s="12" customFormat="1" x14ac:dyDescent="0.25">
      <c r="A93" s="200" t="s">
        <v>808</v>
      </c>
      <c r="B93" s="59">
        <v>92.52</v>
      </c>
      <c r="C93" s="10" t="s">
        <v>43</v>
      </c>
      <c r="D93" s="59">
        <v>72.08</v>
      </c>
      <c r="E93" s="59">
        <v>4.01</v>
      </c>
      <c r="F93" s="59">
        <v>0.7</v>
      </c>
      <c r="G93" s="59">
        <v>131.19</v>
      </c>
      <c r="H93" s="59">
        <v>35.380000000000003</v>
      </c>
      <c r="I93" s="59">
        <v>1.27</v>
      </c>
      <c r="J93" s="59">
        <v>0.23</v>
      </c>
      <c r="K93" s="59">
        <v>59.83</v>
      </c>
      <c r="L93" s="59">
        <v>21.47</v>
      </c>
      <c r="M93" s="59">
        <v>46</v>
      </c>
      <c r="N93" s="59">
        <v>23.9</v>
      </c>
      <c r="O93" s="59">
        <v>0</v>
      </c>
      <c r="P93" s="59">
        <v>3.09</v>
      </c>
      <c r="Q93" s="59">
        <v>50.29</v>
      </c>
      <c r="R93" s="197"/>
      <c r="S93" s="197"/>
      <c r="T93" s="197"/>
      <c r="U93" s="197"/>
    </row>
    <row r="94" spans="1:26" s="12" customFormat="1" x14ac:dyDescent="0.25">
      <c r="A94" s="200" t="s">
        <v>809</v>
      </c>
      <c r="B94" s="59">
        <v>91.44</v>
      </c>
      <c r="C94" s="10" t="s">
        <v>43</v>
      </c>
      <c r="D94" s="59">
        <v>71.34</v>
      </c>
      <c r="E94" s="59">
        <v>4.28</v>
      </c>
      <c r="F94" s="59">
        <v>0.66</v>
      </c>
      <c r="G94" s="59">
        <v>131.19</v>
      </c>
      <c r="H94" s="59">
        <v>35.380000000000003</v>
      </c>
      <c r="I94" s="59">
        <v>1.29</v>
      </c>
      <c r="J94" s="59">
        <v>0.18</v>
      </c>
      <c r="K94" s="59">
        <v>72.06</v>
      </c>
      <c r="L94" s="59">
        <v>21.28</v>
      </c>
      <c r="M94" s="59">
        <v>47</v>
      </c>
      <c r="N94" s="59">
        <v>24.2</v>
      </c>
      <c r="O94" s="59">
        <v>0</v>
      </c>
      <c r="P94" s="59">
        <v>3.08</v>
      </c>
      <c r="Q94" s="59">
        <v>50.57</v>
      </c>
      <c r="R94" s="197"/>
      <c r="S94" s="197"/>
      <c r="T94" s="197"/>
      <c r="U94" s="197"/>
    </row>
    <row r="95" spans="1:26" s="12" customFormat="1" x14ac:dyDescent="0.25">
      <c r="A95" s="200" t="s">
        <v>810</v>
      </c>
      <c r="B95" s="59">
        <v>90.93</v>
      </c>
      <c r="C95" s="10" t="s">
        <v>43</v>
      </c>
      <c r="D95" s="59">
        <v>70.48</v>
      </c>
      <c r="E95" s="59">
        <v>4.32</v>
      </c>
      <c r="F95" s="59">
        <v>1.19</v>
      </c>
      <c r="G95" s="59">
        <v>122.73</v>
      </c>
      <c r="H95" s="59">
        <v>35.479999999999997</v>
      </c>
      <c r="I95" s="59">
        <v>1.28</v>
      </c>
      <c r="J95" s="59">
        <v>0.09</v>
      </c>
      <c r="K95" s="59">
        <v>63.82</v>
      </c>
      <c r="L95" s="59">
        <v>20.85</v>
      </c>
      <c r="M95" s="59">
        <v>50</v>
      </c>
      <c r="N95" s="59">
        <v>24.4</v>
      </c>
      <c r="O95" s="59">
        <v>0</v>
      </c>
      <c r="P95" s="59">
        <v>3.09</v>
      </c>
      <c r="Q95" s="59">
        <v>51.75</v>
      </c>
      <c r="R95" s="197"/>
      <c r="S95" s="197"/>
      <c r="T95" s="197"/>
      <c r="U95" s="197"/>
    </row>
    <row r="96" spans="1:26" s="12" customFormat="1" x14ac:dyDescent="0.25">
      <c r="A96" s="200" t="s">
        <v>811</v>
      </c>
      <c r="B96" s="59">
        <v>93.32</v>
      </c>
      <c r="C96" s="10" t="s">
        <v>43</v>
      </c>
      <c r="D96" s="59">
        <v>71.78</v>
      </c>
      <c r="E96" s="59">
        <v>4.33</v>
      </c>
      <c r="F96" s="59">
        <v>0.49</v>
      </c>
      <c r="G96" s="59">
        <v>104.22</v>
      </c>
      <c r="H96" s="59">
        <v>35.799999999999997</v>
      </c>
      <c r="I96" s="59">
        <v>1.3</v>
      </c>
      <c r="J96" s="59">
        <v>0.13</v>
      </c>
      <c r="K96" s="59">
        <v>56.84</v>
      </c>
      <c r="L96" s="59">
        <v>20.34</v>
      </c>
      <c r="M96" s="59">
        <v>53</v>
      </c>
      <c r="N96" s="59">
        <v>24.2</v>
      </c>
      <c r="O96" s="59">
        <v>0</v>
      </c>
      <c r="P96" s="59">
        <v>3.14</v>
      </c>
      <c r="Q96" s="59">
        <v>52.35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812</v>
      </c>
      <c r="B97" s="59">
        <v>93.28</v>
      </c>
      <c r="C97" s="10" t="s">
        <v>43</v>
      </c>
      <c r="D97" s="59">
        <v>71.88</v>
      </c>
      <c r="E97" s="59">
        <v>4.5599999999999996</v>
      </c>
      <c r="F97" s="59">
        <v>0.72</v>
      </c>
      <c r="G97" s="59">
        <v>104.22</v>
      </c>
      <c r="H97" s="59">
        <v>35.799999999999997</v>
      </c>
      <c r="I97" s="59">
        <v>1.31</v>
      </c>
      <c r="J97" s="59">
        <v>0.21</v>
      </c>
      <c r="K97" s="59">
        <v>47.4</v>
      </c>
      <c r="L97" s="59">
        <v>20.52</v>
      </c>
      <c r="M97" s="59">
        <v>51</v>
      </c>
      <c r="N97" s="59">
        <v>23.8</v>
      </c>
      <c r="O97" s="59">
        <v>0</v>
      </c>
      <c r="P97" s="59">
        <v>3.14</v>
      </c>
      <c r="Q97" s="59">
        <v>52.16</v>
      </c>
      <c r="R97" s="197"/>
      <c r="S97" s="197"/>
      <c r="T97" s="197"/>
      <c r="U97" s="197"/>
    </row>
    <row r="98" spans="1:33" s="12" customFormat="1" x14ac:dyDescent="0.25">
      <c r="A98" s="200" t="s">
        <v>813</v>
      </c>
      <c r="B98" s="59">
        <v>89.41</v>
      </c>
      <c r="C98" s="10" t="s">
        <v>43</v>
      </c>
      <c r="D98" s="59">
        <v>69.97</v>
      </c>
      <c r="E98" s="59">
        <v>4.2</v>
      </c>
      <c r="F98" s="59">
        <v>7.0000000000000007E-2</v>
      </c>
      <c r="G98" s="59">
        <v>104.22</v>
      </c>
      <c r="H98" s="59">
        <v>35.799999999999997</v>
      </c>
      <c r="I98" s="59">
        <v>1.32</v>
      </c>
      <c r="J98" s="59">
        <v>0.17</v>
      </c>
      <c r="K98" s="59">
        <v>85.8</v>
      </c>
      <c r="L98" s="59">
        <v>20.170000000000002</v>
      </c>
      <c r="M98" s="59">
        <v>53</v>
      </c>
      <c r="N98" s="59">
        <v>23.9</v>
      </c>
      <c r="O98" s="59">
        <v>0</v>
      </c>
      <c r="P98" s="59">
        <v>3.09</v>
      </c>
      <c r="Q98" s="59">
        <v>51.62</v>
      </c>
      <c r="R98" s="197"/>
      <c r="S98" s="197"/>
      <c r="T98" s="197"/>
      <c r="U98" s="197"/>
    </row>
    <row r="99" spans="1:33" s="12" customFormat="1" x14ac:dyDescent="0.25">
      <c r="A99" s="200" t="s">
        <v>814</v>
      </c>
      <c r="B99" s="59">
        <v>84.52</v>
      </c>
      <c r="C99" s="10" t="s">
        <v>43</v>
      </c>
      <c r="D99" s="59">
        <v>67.36</v>
      </c>
      <c r="E99" s="59">
        <v>3.85</v>
      </c>
      <c r="F99" s="59">
        <v>0.48</v>
      </c>
      <c r="G99" s="59">
        <v>80.59</v>
      </c>
      <c r="H99" s="59">
        <v>36.07</v>
      </c>
      <c r="I99" s="59">
        <v>1.3</v>
      </c>
      <c r="J99" s="59">
        <v>0.32</v>
      </c>
      <c r="K99" s="59">
        <v>82.74</v>
      </c>
      <c r="L99" s="59">
        <v>20.52</v>
      </c>
      <c r="M99" s="59">
        <v>52</v>
      </c>
      <c r="N99" s="59">
        <v>23.5</v>
      </c>
      <c r="O99" s="59">
        <v>0</v>
      </c>
      <c r="P99" s="59">
        <v>3</v>
      </c>
      <c r="Q99" s="59">
        <v>50.95</v>
      </c>
      <c r="R99" s="197"/>
      <c r="S99" s="197"/>
      <c r="T99" s="197"/>
      <c r="U99" s="197"/>
    </row>
    <row r="100" spans="1:33" s="12" customFormat="1" x14ac:dyDescent="0.25">
      <c r="A100" s="200" t="s">
        <v>815</v>
      </c>
      <c r="B100" s="59">
        <v>79.02</v>
      </c>
      <c r="C100" s="59">
        <v>1.83</v>
      </c>
      <c r="D100" s="59">
        <v>64.38</v>
      </c>
      <c r="E100" s="59">
        <v>3.56</v>
      </c>
      <c r="F100" s="59">
        <v>0.98</v>
      </c>
      <c r="G100" s="59">
        <v>26.25</v>
      </c>
      <c r="H100" s="59">
        <v>36.880000000000003</v>
      </c>
      <c r="I100" s="59">
        <v>1.38</v>
      </c>
      <c r="J100" s="59">
        <v>0.26</v>
      </c>
      <c r="K100" s="59">
        <v>38.81</v>
      </c>
      <c r="L100" s="59">
        <v>20.32</v>
      </c>
      <c r="M100" s="59">
        <v>52</v>
      </c>
      <c r="N100" s="59">
        <v>24.2</v>
      </c>
      <c r="O100" s="59">
        <v>0</v>
      </c>
      <c r="P100" s="59">
        <v>2.9</v>
      </c>
      <c r="Q100" s="59">
        <v>50.2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816</v>
      </c>
      <c r="B101" s="59">
        <v>74.260000000000005</v>
      </c>
      <c r="C101" s="59">
        <v>4.17</v>
      </c>
      <c r="D101" s="59">
        <v>61.85</v>
      </c>
      <c r="E101" s="59">
        <v>4.0199999999999996</v>
      </c>
      <c r="F101" s="59">
        <v>2.21</v>
      </c>
      <c r="G101" s="59">
        <v>26.25</v>
      </c>
      <c r="H101" s="59">
        <v>36.880000000000003</v>
      </c>
      <c r="I101" s="59">
        <v>1.23</v>
      </c>
      <c r="J101" s="59">
        <v>0.22</v>
      </c>
      <c r="K101" s="59">
        <v>52.65</v>
      </c>
      <c r="L101" s="59">
        <v>19.91</v>
      </c>
      <c r="M101" s="59">
        <v>53</v>
      </c>
      <c r="N101" s="59">
        <v>24.2</v>
      </c>
      <c r="O101" s="59">
        <v>0</v>
      </c>
      <c r="P101" s="59">
        <v>2.79</v>
      </c>
      <c r="Q101" s="59">
        <v>49.58</v>
      </c>
      <c r="R101" s="197"/>
      <c r="S101" s="197"/>
      <c r="T101" s="197"/>
      <c r="U101" s="197"/>
    </row>
    <row r="102" spans="1:33" s="12" customFormat="1" x14ac:dyDescent="0.25">
      <c r="A102" s="200" t="s">
        <v>817</v>
      </c>
      <c r="B102" s="59">
        <v>69.7</v>
      </c>
      <c r="C102" s="59">
        <v>5.9</v>
      </c>
      <c r="D102" s="59">
        <v>59.15</v>
      </c>
      <c r="E102" s="59">
        <v>3.99</v>
      </c>
      <c r="F102" s="59">
        <v>0.55000000000000004</v>
      </c>
      <c r="G102" s="59">
        <v>26.25</v>
      </c>
      <c r="H102" s="59">
        <v>36.880000000000003</v>
      </c>
      <c r="I102" s="59">
        <v>1.18</v>
      </c>
      <c r="J102" s="59">
        <v>0.3</v>
      </c>
      <c r="K102" s="59">
        <v>74.12</v>
      </c>
      <c r="L102" s="59">
        <v>19.920000000000002</v>
      </c>
      <c r="M102" s="59">
        <v>53</v>
      </c>
      <c r="N102" s="59">
        <v>24.1</v>
      </c>
      <c r="O102" s="59">
        <v>0</v>
      </c>
      <c r="P102" s="59">
        <v>2.71</v>
      </c>
      <c r="Q102" s="59">
        <v>48.08</v>
      </c>
      <c r="R102" s="197"/>
      <c r="S102" s="197"/>
      <c r="T102" s="197"/>
      <c r="U102" s="197"/>
    </row>
    <row r="103" spans="1:33" s="12" customFormat="1" x14ac:dyDescent="0.25">
      <c r="A103" s="200" t="s">
        <v>818</v>
      </c>
      <c r="B103" s="59">
        <v>65.64</v>
      </c>
      <c r="C103" s="59">
        <v>7.84</v>
      </c>
      <c r="D103" s="59">
        <v>56.97</v>
      </c>
      <c r="E103" s="59">
        <v>4.13</v>
      </c>
      <c r="F103" s="59">
        <v>0.6</v>
      </c>
      <c r="G103" s="59">
        <v>49.4</v>
      </c>
      <c r="H103" s="59">
        <v>36.1</v>
      </c>
      <c r="I103" s="59">
        <v>1.1299999999999999</v>
      </c>
      <c r="J103" s="59">
        <v>0.21</v>
      </c>
      <c r="K103" s="59">
        <v>83.01</v>
      </c>
      <c r="L103" s="59">
        <v>19.73</v>
      </c>
      <c r="M103" s="59">
        <v>54</v>
      </c>
      <c r="N103" s="59">
        <v>24.2</v>
      </c>
      <c r="O103" s="59">
        <v>0</v>
      </c>
      <c r="P103" s="59">
        <v>2.62</v>
      </c>
      <c r="Q103" s="59">
        <v>47.68</v>
      </c>
      <c r="R103" s="197"/>
      <c r="S103" s="197"/>
      <c r="T103" s="197"/>
      <c r="U103" s="197"/>
    </row>
    <row r="104" spans="1:33" s="12" customFormat="1" x14ac:dyDescent="0.25">
      <c r="A104" s="200" t="s">
        <v>819</v>
      </c>
      <c r="B104" s="59">
        <v>61.81</v>
      </c>
      <c r="C104" s="59">
        <v>9.24</v>
      </c>
      <c r="D104" s="59">
        <v>54.67</v>
      </c>
      <c r="E104" s="59">
        <v>2.48</v>
      </c>
      <c r="F104" s="59">
        <v>0.57999999999999996</v>
      </c>
      <c r="G104" s="59">
        <v>155.87</v>
      </c>
      <c r="H104" s="59">
        <v>33.700000000000003</v>
      </c>
      <c r="I104" s="59">
        <v>1.0900000000000001</v>
      </c>
      <c r="J104" s="59">
        <v>0.17</v>
      </c>
      <c r="K104" s="59">
        <v>68.03</v>
      </c>
      <c r="L104" s="59">
        <v>19.55</v>
      </c>
      <c r="M104" s="59">
        <v>55</v>
      </c>
      <c r="N104" s="59">
        <v>24.2</v>
      </c>
      <c r="O104" s="59">
        <v>0</v>
      </c>
      <c r="P104" s="59">
        <v>2.56</v>
      </c>
      <c r="Q104" s="59">
        <v>47.69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3.49</v>
      </c>
      <c r="C106" s="66">
        <f>MIN(C9:C104)</f>
        <v>1.83</v>
      </c>
      <c r="D106" s="66">
        <f t="shared" ref="D106:Q106" si="0">MIN(D9:D104)</f>
        <v>21.83</v>
      </c>
      <c r="E106" s="66">
        <f t="shared" si="0"/>
        <v>1.4</v>
      </c>
      <c r="F106" s="66">
        <f t="shared" si="0"/>
        <v>7.0000000000000007E-2</v>
      </c>
      <c r="G106" s="66">
        <f t="shared" si="0"/>
        <v>26.25</v>
      </c>
      <c r="H106" s="66">
        <f t="shared" si="0"/>
        <v>23.95</v>
      </c>
      <c r="I106" s="66">
        <f t="shared" si="0"/>
        <v>0.25</v>
      </c>
      <c r="J106" s="66">
        <f t="shared" si="0"/>
        <v>0.02</v>
      </c>
      <c r="K106" s="66">
        <f t="shared" si="0"/>
        <v>0.06</v>
      </c>
      <c r="L106" s="66">
        <f t="shared" si="0"/>
        <v>16.32</v>
      </c>
      <c r="M106" s="66">
        <f t="shared" si="0"/>
        <v>22</v>
      </c>
      <c r="N106" s="66">
        <f t="shared" si="0"/>
        <v>23.1</v>
      </c>
      <c r="O106" s="66">
        <f t="shared" si="0"/>
        <v>0</v>
      </c>
      <c r="P106" s="66">
        <f t="shared" si="0"/>
        <v>0.89</v>
      </c>
      <c r="Q106" s="66">
        <f t="shared" si="0"/>
        <v>34.83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96.72</v>
      </c>
      <c r="C107" s="65">
        <f t="shared" ref="C107:Q107" si="1">MAX(C9:C104)</f>
        <v>45.58</v>
      </c>
      <c r="D107" s="65">
        <f t="shared" si="1"/>
        <v>75.069999999999993</v>
      </c>
      <c r="E107" s="65">
        <f t="shared" si="1"/>
        <v>9.1999999999999993</v>
      </c>
      <c r="F107" s="65">
        <f t="shared" si="1"/>
        <v>17.87</v>
      </c>
      <c r="G107" s="65">
        <f t="shared" si="1"/>
        <v>172.61</v>
      </c>
      <c r="H107" s="65">
        <f t="shared" si="1"/>
        <v>43.45</v>
      </c>
      <c r="I107" s="65">
        <f t="shared" si="1"/>
        <v>1.38</v>
      </c>
      <c r="J107" s="65">
        <f t="shared" si="1"/>
        <v>1.4</v>
      </c>
      <c r="K107" s="65">
        <f t="shared" si="1"/>
        <v>358.91</v>
      </c>
      <c r="L107" s="65">
        <f t="shared" si="1"/>
        <v>31.82</v>
      </c>
      <c r="M107" s="65">
        <f t="shared" si="1"/>
        <v>75</v>
      </c>
      <c r="N107" s="65">
        <f t="shared" si="1"/>
        <v>469.2</v>
      </c>
      <c r="O107" s="65">
        <f t="shared" si="1"/>
        <v>0</v>
      </c>
      <c r="P107" s="65">
        <f t="shared" si="1"/>
        <v>3.14</v>
      </c>
      <c r="Q107" s="65">
        <f t="shared" si="1"/>
        <v>52.88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34.735104166666659</v>
      </c>
      <c r="C108" s="66">
        <f t="shared" ref="C108:Q108" si="2">AVERAGE(C9:C104)</f>
        <v>26.471529411764706</v>
      </c>
      <c r="D108" s="66">
        <f t="shared" si="2"/>
        <v>40.591666666666669</v>
      </c>
      <c r="E108" s="66">
        <f t="shared" si="2"/>
        <v>4.2402083333333316</v>
      </c>
      <c r="F108" s="66">
        <f t="shared" si="2"/>
        <v>2.2934375</v>
      </c>
      <c r="G108" s="66">
        <f t="shared" si="2"/>
        <v>81.866874999999965</v>
      </c>
      <c r="H108" s="66">
        <f t="shared" si="2"/>
        <v>31.45343750000001</v>
      </c>
      <c r="I108" s="66">
        <f t="shared" si="2"/>
        <v>0.65114583333333331</v>
      </c>
      <c r="J108" s="66">
        <f t="shared" si="2"/>
        <v>0.45927083333333324</v>
      </c>
      <c r="K108" s="66">
        <f t="shared" si="2"/>
        <v>131.5779166666666</v>
      </c>
      <c r="L108" s="66">
        <f t="shared" si="2"/>
        <v>22.475312500000005</v>
      </c>
      <c r="M108" s="66">
        <f t="shared" si="2"/>
        <v>48.395833333333336</v>
      </c>
      <c r="N108" s="66">
        <f t="shared" si="2"/>
        <v>139.63125000000002</v>
      </c>
      <c r="O108" s="66">
        <f t="shared" si="2"/>
        <v>0</v>
      </c>
      <c r="P108" s="66">
        <f t="shared" si="2"/>
        <v>1.6751041666666664</v>
      </c>
      <c r="Q108" s="66">
        <f t="shared" si="2"/>
        <v>44.155208333333327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29.745537338699783</v>
      </c>
      <c r="C109" s="66">
        <f t="shared" ref="C109:Q109" si="3">STDEV(C9:C104)</f>
        <v>11.268949702388312</v>
      </c>
      <c r="D109" s="66">
        <f t="shared" si="3"/>
        <v>16.366180640941536</v>
      </c>
      <c r="E109" s="66">
        <f t="shared" si="3"/>
        <v>1.4067416469997374</v>
      </c>
      <c r="F109" s="66">
        <f t="shared" si="3"/>
        <v>3.0181227445741472</v>
      </c>
      <c r="G109" s="66">
        <f t="shared" si="3"/>
        <v>35.499231995028431</v>
      </c>
      <c r="H109" s="66">
        <f t="shared" si="3"/>
        <v>4.7875933583036723</v>
      </c>
      <c r="I109" s="66">
        <f t="shared" si="3"/>
        <v>0.3501935398474349</v>
      </c>
      <c r="J109" s="66">
        <f t="shared" si="3"/>
        <v>0.40293984085825685</v>
      </c>
      <c r="K109" s="66">
        <f t="shared" si="3"/>
        <v>122.61376854013608</v>
      </c>
      <c r="L109" s="66">
        <f t="shared" si="3"/>
        <v>4.663032885450094</v>
      </c>
      <c r="M109" s="66">
        <f t="shared" si="3"/>
        <v>15.618126558361043</v>
      </c>
      <c r="N109" s="66">
        <f t="shared" si="3"/>
        <v>165.70930051242075</v>
      </c>
      <c r="O109" s="66">
        <f t="shared" si="3"/>
        <v>0</v>
      </c>
      <c r="P109" s="66">
        <f t="shared" si="3"/>
        <v>0.74644701548725245</v>
      </c>
      <c r="Q109" s="66">
        <f t="shared" si="3"/>
        <v>5.2140845649909853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>COUNT(B9:B104)+1</f>
        <v>97</v>
      </c>
      <c r="C110" s="65">
        <f>COUNT(C9:C104)+1</f>
        <v>86</v>
      </c>
      <c r="D110" s="65">
        <f>COUNT(D9:D104)</f>
        <v>96</v>
      </c>
      <c r="E110" s="65">
        <f t="shared" ref="E110:Q110" si="4">COUNT(E9:E104)</f>
        <v>96</v>
      </c>
      <c r="F110" s="65">
        <f t="shared" si="4"/>
        <v>96</v>
      </c>
      <c r="G110" s="65">
        <f>COUNT(G9:G104)</f>
        <v>96</v>
      </c>
      <c r="H110" s="65">
        <f>COUNT(H9:H104)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&lt;90%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LESS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78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07-12-2022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820</v>
      </c>
      <c r="B9" s="59">
        <v>60.21</v>
      </c>
      <c r="C9" s="59">
        <v>9.11</v>
      </c>
      <c r="D9" s="59">
        <v>53.31</v>
      </c>
      <c r="E9" s="59">
        <v>4.04</v>
      </c>
      <c r="F9" s="59">
        <v>0.74</v>
      </c>
      <c r="G9" s="59">
        <v>155.87</v>
      </c>
      <c r="H9" s="59">
        <v>33.700000000000003</v>
      </c>
      <c r="I9" s="59">
        <v>1.05</v>
      </c>
      <c r="J9" s="59">
        <v>0.14000000000000001</v>
      </c>
      <c r="K9" s="59">
        <v>99.59</v>
      </c>
      <c r="L9" s="59">
        <v>19.36</v>
      </c>
      <c r="M9" s="59">
        <v>57</v>
      </c>
      <c r="N9" s="59">
        <v>24.3</v>
      </c>
      <c r="O9" s="59">
        <v>0</v>
      </c>
      <c r="P9" s="59">
        <v>2.4900000000000002</v>
      </c>
      <c r="Q9" s="59">
        <v>47.85</v>
      </c>
      <c r="R9" s="197"/>
      <c r="S9" s="197"/>
      <c r="T9" s="197"/>
      <c r="U9" s="197"/>
    </row>
    <row r="10" spans="1:21" s="12" customFormat="1" x14ac:dyDescent="0.25">
      <c r="A10" s="200" t="s">
        <v>821</v>
      </c>
      <c r="B10" s="59">
        <v>56.34</v>
      </c>
      <c r="C10" s="59">
        <v>9.39</v>
      </c>
      <c r="D10" s="59">
        <v>50.36</v>
      </c>
      <c r="E10" s="59">
        <v>4.49</v>
      </c>
      <c r="F10" s="59">
        <v>1.2</v>
      </c>
      <c r="G10" s="59">
        <v>155.87</v>
      </c>
      <c r="H10" s="59">
        <v>33.700000000000003</v>
      </c>
      <c r="I10" s="59">
        <v>1.05</v>
      </c>
      <c r="J10" s="59">
        <v>0.13</v>
      </c>
      <c r="K10" s="59">
        <v>134.15</v>
      </c>
      <c r="L10" s="59">
        <v>19.21</v>
      </c>
      <c r="M10" s="59">
        <v>57</v>
      </c>
      <c r="N10" s="59">
        <v>24.1</v>
      </c>
      <c r="O10" s="59">
        <v>0</v>
      </c>
      <c r="P10" s="59">
        <v>2.4</v>
      </c>
      <c r="Q10" s="59">
        <v>47.86</v>
      </c>
      <c r="R10" s="197"/>
      <c r="S10" s="197"/>
      <c r="T10" s="197"/>
      <c r="U10" s="197"/>
    </row>
    <row r="11" spans="1:21" s="12" customFormat="1" x14ac:dyDescent="0.25">
      <c r="A11" s="200" t="s">
        <v>822</v>
      </c>
      <c r="B11" s="59">
        <v>53.16</v>
      </c>
      <c r="C11" s="59">
        <v>10.85</v>
      </c>
      <c r="D11" s="59">
        <v>48.62</v>
      </c>
      <c r="E11" s="59">
        <v>4.2</v>
      </c>
      <c r="F11" s="59">
        <v>0.82</v>
      </c>
      <c r="G11" s="59">
        <v>122.73</v>
      </c>
      <c r="H11" s="59">
        <v>32.85</v>
      </c>
      <c r="I11" s="59">
        <v>1.02</v>
      </c>
      <c r="J11" s="59">
        <v>0.14000000000000001</v>
      </c>
      <c r="K11" s="59">
        <v>90.56</v>
      </c>
      <c r="L11" s="59">
        <v>19.100000000000001</v>
      </c>
      <c r="M11" s="59">
        <v>58</v>
      </c>
      <c r="N11" s="59">
        <v>24.1</v>
      </c>
      <c r="O11" s="59">
        <v>0</v>
      </c>
      <c r="P11" s="59">
        <v>2.31</v>
      </c>
      <c r="Q11" s="59">
        <v>47.71</v>
      </c>
      <c r="R11" s="197"/>
      <c r="S11" s="197"/>
      <c r="T11" s="197"/>
      <c r="U11" s="197"/>
    </row>
    <row r="12" spans="1:21" s="12" customFormat="1" x14ac:dyDescent="0.25">
      <c r="A12" s="200" t="s">
        <v>823</v>
      </c>
      <c r="B12" s="59">
        <v>50.19</v>
      </c>
      <c r="C12" s="59">
        <v>11.77</v>
      </c>
      <c r="D12" s="59">
        <v>46.74</v>
      </c>
      <c r="E12" s="59">
        <v>4.8099999999999996</v>
      </c>
      <c r="F12" s="59">
        <v>0.56000000000000005</v>
      </c>
      <c r="G12" s="59">
        <v>50.13</v>
      </c>
      <c r="H12" s="59">
        <v>30.05</v>
      </c>
      <c r="I12" s="59">
        <v>1.01</v>
      </c>
      <c r="J12" s="59">
        <v>0.06</v>
      </c>
      <c r="K12" s="59">
        <v>237.61</v>
      </c>
      <c r="L12" s="59">
        <v>18.62</v>
      </c>
      <c r="M12" s="59">
        <v>61</v>
      </c>
      <c r="N12" s="59">
        <v>24.4</v>
      </c>
      <c r="O12" s="59">
        <v>0</v>
      </c>
      <c r="P12" s="59">
        <v>2.23</v>
      </c>
      <c r="Q12" s="59">
        <v>47.5</v>
      </c>
      <c r="R12" s="197"/>
      <c r="S12" s="197"/>
      <c r="T12" s="197"/>
      <c r="U12" s="197"/>
    </row>
    <row r="13" spans="1:21" s="12" customFormat="1" x14ac:dyDescent="0.25">
      <c r="A13" s="200" t="s">
        <v>824</v>
      </c>
      <c r="B13" s="59">
        <v>46.93</v>
      </c>
      <c r="C13" s="59">
        <v>12.75</v>
      </c>
      <c r="D13" s="59">
        <v>44.67</v>
      </c>
      <c r="E13" s="59">
        <v>4.3499999999999996</v>
      </c>
      <c r="F13" s="59">
        <v>0.33</v>
      </c>
      <c r="G13" s="59">
        <v>50.13</v>
      </c>
      <c r="H13" s="59">
        <v>30.05</v>
      </c>
      <c r="I13" s="59">
        <v>0.98</v>
      </c>
      <c r="J13" s="59">
        <v>0.13</v>
      </c>
      <c r="K13" s="59">
        <v>265.7</v>
      </c>
      <c r="L13" s="59">
        <v>18.100000000000001</v>
      </c>
      <c r="M13" s="59">
        <v>63</v>
      </c>
      <c r="N13" s="59">
        <v>24.4</v>
      </c>
      <c r="O13" s="59">
        <v>0</v>
      </c>
      <c r="P13" s="59">
        <v>1.95</v>
      </c>
      <c r="Q13" s="59">
        <v>47.9</v>
      </c>
      <c r="R13" s="197"/>
      <c r="S13" s="197"/>
      <c r="T13" s="197"/>
      <c r="U13" s="197"/>
    </row>
    <row r="14" spans="1:21" s="12" customFormat="1" x14ac:dyDescent="0.25">
      <c r="A14" s="200" t="s">
        <v>825</v>
      </c>
      <c r="B14" s="59">
        <v>43.13</v>
      </c>
      <c r="C14" s="59">
        <v>14.02</v>
      </c>
      <c r="D14" s="59">
        <v>42.32</v>
      </c>
      <c r="E14" s="59">
        <v>4.41</v>
      </c>
      <c r="F14" s="59">
        <v>0.56000000000000005</v>
      </c>
      <c r="G14" s="59">
        <v>50.13</v>
      </c>
      <c r="H14" s="59">
        <v>30.05</v>
      </c>
      <c r="I14" s="59">
        <v>0.96</v>
      </c>
      <c r="J14" s="59">
        <v>0.04</v>
      </c>
      <c r="K14" s="59">
        <v>335.07</v>
      </c>
      <c r="L14" s="59">
        <v>17.809999999999999</v>
      </c>
      <c r="M14" s="59">
        <v>65</v>
      </c>
      <c r="N14" s="59">
        <v>24.5</v>
      </c>
      <c r="O14" s="59">
        <v>0</v>
      </c>
      <c r="P14" s="59">
        <v>1.98</v>
      </c>
      <c r="Q14" s="59">
        <v>48.74</v>
      </c>
      <c r="R14" s="197"/>
      <c r="S14" s="197"/>
      <c r="T14" s="197"/>
      <c r="U14" s="197"/>
    </row>
    <row r="15" spans="1:21" s="12" customFormat="1" x14ac:dyDescent="0.25">
      <c r="A15" s="200" t="s">
        <v>826</v>
      </c>
      <c r="B15" s="59">
        <v>40.08</v>
      </c>
      <c r="C15" s="59">
        <v>15.16</v>
      </c>
      <c r="D15" s="59">
        <v>40.51</v>
      </c>
      <c r="E15" s="59">
        <v>3.61</v>
      </c>
      <c r="F15" s="59">
        <v>0.66</v>
      </c>
      <c r="G15" s="59">
        <v>56.03</v>
      </c>
      <c r="H15" s="59">
        <v>29.14</v>
      </c>
      <c r="I15" s="59">
        <v>0.93</v>
      </c>
      <c r="J15" s="59">
        <v>0.02</v>
      </c>
      <c r="K15" s="59">
        <v>300.70999999999998</v>
      </c>
      <c r="L15" s="59">
        <v>17.39</v>
      </c>
      <c r="M15" s="59">
        <v>68</v>
      </c>
      <c r="N15" s="59">
        <v>24.5</v>
      </c>
      <c r="O15" s="59">
        <v>0</v>
      </c>
      <c r="P15" s="59">
        <v>1.89</v>
      </c>
      <c r="Q15" s="59">
        <v>48.1</v>
      </c>
      <c r="R15" s="197"/>
      <c r="S15" s="197"/>
      <c r="T15" s="197"/>
      <c r="U15" s="197"/>
    </row>
    <row r="16" spans="1:21" s="12" customFormat="1" x14ac:dyDescent="0.25">
      <c r="A16" s="200" t="s">
        <v>827</v>
      </c>
      <c r="B16" s="59">
        <v>37.07</v>
      </c>
      <c r="C16" s="59">
        <v>16.18</v>
      </c>
      <c r="D16" s="59">
        <v>38.65</v>
      </c>
      <c r="E16" s="59">
        <v>4.13</v>
      </c>
      <c r="F16" s="59">
        <v>0.69</v>
      </c>
      <c r="G16" s="59">
        <v>69.59</v>
      </c>
      <c r="H16" s="59">
        <v>26.13</v>
      </c>
      <c r="I16" s="59">
        <v>0.88</v>
      </c>
      <c r="J16" s="59">
        <v>0.12</v>
      </c>
      <c r="K16" s="59">
        <v>257.64</v>
      </c>
      <c r="L16" s="59">
        <v>17.149999999999999</v>
      </c>
      <c r="M16" s="59">
        <v>69</v>
      </c>
      <c r="N16" s="59">
        <v>24.2</v>
      </c>
      <c r="O16" s="59">
        <v>0</v>
      </c>
      <c r="P16" s="59">
        <v>1.81</v>
      </c>
      <c r="Q16" s="59">
        <v>47.36</v>
      </c>
      <c r="R16" s="197"/>
      <c r="S16" s="197"/>
      <c r="T16" s="197"/>
      <c r="U16" s="197"/>
    </row>
    <row r="17" spans="1:21" s="12" customFormat="1" x14ac:dyDescent="0.25">
      <c r="A17" s="200" t="s">
        <v>828</v>
      </c>
      <c r="B17" s="59">
        <v>33.78</v>
      </c>
      <c r="C17" s="59">
        <v>17.39</v>
      </c>
      <c r="D17" s="59">
        <v>36.69</v>
      </c>
      <c r="E17" s="59">
        <v>4.0999999999999996</v>
      </c>
      <c r="F17" s="59">
        <v>0.67</v>
      </c>
      <c r="G17" s="59">
        <v>69.59</v>
      </c>
      <c r="H17" s="59">
        <v>26.13</v>
      </c>
      <c r="I17" s="59">
        <v>0.83</v>
      </c>
      <c r="J17" s="59">
        <v>0.03</v>
      </c>
      <c r="K17" s="59">
        <v>267.25</v>
      </c>
      <c r="L17" s="59">
        <v>16.98</v>
      </c>
      <c r="M17" s="59">
        <v>70</v>
      </c>
      <c r="N17" s="59">
        <v>24.2</v>
      </c>
      <c r="O17" s="59">
        <v>0</v>
      </c>
      <c r="P17" s="59">
        <v>1.73</v>
      </c>
      <c r="Q17" s="59">
        <v>46.96</v>
      </c>
      <c r="R17" s="197"/>
      <c r="S17" s="197"/>
      <c r="T17" s="197"/>
      <c r="U17" s="197"/>
    </row>
    <row r="18" spans="1:21" s="12" customFormat="1" x14ac:dyDescent="0.25">
      <c r="A18" s="200" t="s">
        <v>829</v>
      </c>
      <c r="B18" s="59">
        <v>31.19</v>
      </c>
      <c r="C18" s="59">
        <v>18.239999999999998</v>
      </c>
      <c r="D18" s="59">
        <v>35.08</v>
      </c>
      <c r="E18" s="59">
        <v>3.65</v>
      </c>
      <c r="F18" s="59">
        <v>0.34</v>
      </c>
      <c r="G18" s="59">
        <v>69.59</v>
      </c>
      <c r="H18" s="59">
        <v>26.13</v>
      </c>
      <c r="I18" s="59">
        <v>0.8</v>
      </c>
      <c r="J18" s="59">
        <v>0.12</v>
      </c>
      <c r="K18" s="59">
        <v>313.07</v>
      </c>
      <c r="L18" s="59">
        <v>16.54</v>
      </c>
      <c r="M18" s="59">
        <v>74</v>
      </c>
      <c r="N18" s="59">
        <v>24.3</v>
      </c>
      <c r="O18" s="59">
        <v>0</v>
      </c>
      <c r="P18" s="59">
        <v>1.64</v>
      </c>
      <c r="Q18" s="59">
        <v>46.42</v>
      </c>
      <c r="R18" s="197"/>
      <c r="S18" s="197"/>
      <c r="T18" s="197"/>
      <c r="U18" s="197"/>
    </row>
    <row r="19" spans="1:21" s="12" customFormat="1" x14ac:dyDescent="0.25">
      <c r="A19" s="200" t="s">
        <v>830</v>
      </c>
      <c r="B19" s="59">
        <v>29.93</v>
      </c>
      <c r="C19" s="59">
        <v>18.670000000000002</v>
      </c>
      <c r="D19" s="59">
        <v>34.31</v>
      </c>
      <c r="E19" s="59">
        <v>3.74</v>
      </c>
      <c r="F19" s="59">
        <v>0.45</v>
      </c>
      <c r="G19" s="59">
        <v>77.900000000000006</v>
      </c>
      <c r="H19" s="59">
        <v>26.3</v>
      </c>
      <c r="I19" s="59">
        <v>0.77</v>
      </c>
      <c r="J19" s="59">
        <v>0.12</v>
      </c>
      <c r="K19" s="59">
        <v>279.27999999999997</v>
      </c>
      <c r="L19" s="59">
        <v>16.29</v>
      </c>
      <c r="M19" s="59">
        <v>76</v>
      </c>
      <c r="N19" s="59">
        <v>24.2</v>
      </c>
      <c r="O19" s="59">
        <v>0</v>
      </c>
      <c r="P19" s="59">
        <v>1.58</v>
      </c>
      <c r="Q19" s="59">
        <v>45.77</v>
      </c>
      <c r="R19" s="197"/>
      <c r="S19" s="197"/>
      <c r="T19" s="197"/>
      <c r="U19" s="197"/>
    </row>
    <row r="20" spans="1:21" s="12" customFormat="1" x14ac:dyDescent="0.25">
      <c r="A20" s="200" t="s">
        <v>831</v>
      </c>
      <c r="B20" s="59">
        <v>29</v>
      </c>
      <c r="C20" s="59">
        <v>18.690000000000001</v>
      </c>
      <c r="D20" s="59">
        <v>33.57</v>
      </c>
      <c r="E20" s="59">
        <v>3.57</v>
      </c>
      <c r="F20" s="59">
        <v>0.5</v>
      </c>
      <c r="G20" s="59">
        <v>96.08</v>
      </c>
      <c r="H20" s="59">
        <v>26.86</v>
      </c>
      <c r="I20" s="59">
        <v>0.73</v>
      </c>
      <c r="J20" s="59">
        <v>0.14000000000000001</v>
      </c>
      <c r="K20" s="59">
        <v>317.07</v>
      </c>
      <c r="L20" s="59">
        <v>16.14</v>
      </c>
      <c r="M20" s="59">
        <v>77</v>
      </c>
      <c r="N20" s="59">
        <v>24.3</v>
      </c>
      <c r="O20" s="59">
        <v>0</v>
      </c>
      <c r="P20" s="59">
        <v>1.54</v>
      </c>
      <c r="Q20" s="59">
        <v>44.59</v>
      </c>
      <c r="R20" s="197"/>
      <c r="S20" s="197"/>
      <c r="T20" s="197"/>
      <c r="U20" s="197"/>
    </row>
    <row r="21" spans="1:21" s="12" customFormat="1" x14ac:dyDescent="0.25">
      <c r="A21" s="200" t="s">
        <v>832</v>
      </c>
      <c r="B21" s="59">
        <v>28.9</v>
      </c>
      <c r="C21" s="59">
        <v>18.399999999999999</v>
      </c>
      <c r="D21" s="59">
        <v>33.33</v>
      </c>
      <c r="E21" s="59">
        <v>4.01</v>
      </c>
      <c r="F21" s="59">
        <v>0.52</v>
      </c>
      <c r="G21" s="59">
        <v>96.08</v>
      </c>
      <c r="H21" s="59">
        <v>26.86</v>
      </c>
      <c r="I21" s="59">
        <v>0.71</v>
      </c>
      <c r="J21" s="59">
        <v>0.02</v>
      </c>
      <c r="K21" s="59">
        <v>275.01</v>
      </c>
      <c r="L21" s="59">
        <v>15.72</v>
      </c>
      <c r="M21" s="59">
        <v>80</v>
      </c>
      <c r="N21" s="59">
        <v>24.3</v>
      </c>
      <c r="O21" s="59">
        <v>0</v>
      </c>
      <c r="P21" s="59">
        <v>1.51</v>
      </c>
      <c r="Q21" s="59">
        <v>43.81</v>
      </c>
      <c r="R21" s="197"/>
      <c r="S21" s="197"/>
      <c r="T21" s="197"/>
      <c r="U21" s="197"/>
    </row>
    <row r="22" spans="1:21" s="12" customFormat="1" x14ac:dyDescent="0.25">
      <c r="A22" s="200" t="s">
        <v>833</v>
      </c>
      <c r="B22" s="59">
        <v>29.53</v>
      </c>
      <c r="C22" s="59">
        <v>17.54</v>
      </c>
      <c r="D22" s="59">
        <v>33.36</v>
      </c>
      <c r="E22" s="59">
        <v>3.82</v>
      </c>
      <c r="F22" s="59">
        <v>0.5</v>
      </c>
      <c r="G22" s="59">
        <v>96.08</v>
      </c>
      <c r="H22" s="59">
        <v>26.86</v>
      </c>
      <c r="I22" s="59">
        <v>0.69</v>
      </c>
      <c r="J22" s="59">
        <v>0.08</v>
      </c>
      <c r="K22" s="59">
        <v>283.83</v>
      </c>
      <c r="L22" s="59">
        <v>15.69</v>
      </c>
      <c r="M22" s="59">
        <v>80</v>
      </c>
      <c r="N22" s="59">
        <v>24.2</v>
      </c>
      <c r="O22" s="59">
        <v>0</v>
      </c>
      <c r="P22" s="59">
        <v>1.47</v>
      </c>
      <c r="Q22" s="59">
        <v>43.72</v>
      </c>
      <c r="R22" s="197"/>
      <c r="S22" s="197"/>
      <c r="T22" s="197"/>
      <c r="U22" s="197"/>
    </row>
    <row r="23" spans="1:21" s="12" customFormat="1" x14ac:dyDescent="0.25">
      <c r="A23" s="200" t="s">
        <v>834</v>
      </c>
      <c r="B23" s="59">
        <v>29.76</v>
      </c>
      <c r="C23" s="59">
        <v>16.91</v>
      </c>
      <c r="D23" s="59">
        <v>33.200000000000003</v>
      </c>
      <c r="E23" s="59">
        <v>4.22</v>
      </c>
      <c r="F23" s="59">
        <v>0.52</v>
      </c>
      <c r="G23" s="59">
        <v>97.67</v>
      </c>
      <c r="H23" s="59">
        <v>27.27</v>
      </c>
      <c r="I23" s="59">
        <v>0.69</v>
      </c>
      <c r="J23" s="59">
        <v>0.13</v>
      </c>
      <c r="K23" s="59">
        <v>334.94</v>
      </c>
      <c r="L23" s="59">
        <v>15.62</v>
      </c>
      <c r="M23" s="59">
        <v>80</v>
      </c>
      <c r="N23" s="59">
        <v>24</v>
      </c>
      <c r="O23" s="59">
        <v>0</v>
      </c>
      <c r="P23" s="59">
        <v>1.44</v>
      </c>
      <c r="Q23" s="59">
        <v>43.94</v>
      </c>
      <c r="R23" s="197"/>
      <c r="S23" s="197"/>
      <c r="T23" s="197"/>
      <c r="U23" s="197"/>
    </row>
    <row r="24" spans="1:21" s="12" customFormat="1" x14ac:dyDescent="0.25">
      <c r="A24" s="200" t="s">
        <v>835</v>
      </c>
      <c r="B24" s="59">
        <v>29.65</v>
      </c>
      <c r="C24" s="59">
        <v>16.809999999999999</v>
      </c>
      <c r="D24" s="59">
        <v>33.049999999999997</v>
      </c>
      <c r="E24" s="59">
        <v>2.02</v>
      </c>
      <c r="F24" s="59">
        <v>0.7</v>
      </c>
      <c r="G24" s="59">
        <v>104.98</v>
      </c>
      <c r="H24" s="59">
        <v>28.59</v>
      </c>
      <c r="I24" s="59">
        <v>0.69</v>
      </c>
      <c r="J24" s="59">
        <v>0.09</v>
      </c>
      <c r="K24" s="59">
        <v>12.29</v>
      </c>
      <c r="L24" s="59">
        <v>15.6</v>
      </c>
      <c r="M24" s="59">
        <v>79</v>
      </c>
      <c r="N24" s="59">
        <v>23.9</v>
      </c>
      <c r="O24" s="59">
        <v>0</v>
      </c>
      <c r="P24" s="59">
        <v>1.41</v>
      </c>
      <c r="Q24" s="59">
        <v>43.82</v>
      </c>
      <c r="R24" s="197"/>
      <c r="S24" s="197"/>
      <c r="T24" s="197"/>
      <c r="U24" s="197"/>
    </row>
    <row r="25" spans="1:21" s="12" customFormat="1" x14ac:dyDescent="0.25">
      <c r="A25" s="200" t="s">
        <v>836</v>
      </c>
      <c r="B25" s="59">
        <v>29.26</v>
      </c>
      <c r="C25" s="59">
        <v>16.77</v>
      </c>
      <c r="D25" s="59">
        <v>32.72</v>
      </c>
      <c r="E25" s="59">
        <v>3.86</v>
      </c>
      <c r="F25" s="59">
        <v>0.59</v>
      </c>
      <c r="G25" s="59">
        <v>104.98</v>
      </c>
      <c r="H25" s="59">
        <v>28.59</v>
      </c>
      <c r="I25" s="59">
        <v>0.68</v>
      </c>
      <c r="J25" s="59">
        <v>0.31</v>
      </c>
      <c r="K25" s="59">
        <v>26.7</v>
      </c>
      <c r="L25" s="59">
        <v>16.829999999999998</v>
      </c>
      <c r="M25" s="59">
        <v>69</v>
      </c>
      <c r="N25" s="59">
        <v>22.7</v>
      </c>
      <c r="O25" s="59">
        <v>0</v>
      </c>
      <c r="P25" s="59">
        <v>1.37</v>
      </c>
      <c r="Q25" s="59">
        <v>43.98</v>
      </c>
      <c r="R25" s="197"/>
      <c r="S25" s="197"/>
      <c r="T25" s="197"/>
      <c r="U25" s="197"/>
    </row>
    <row r="26" spans="1:21" s="12" customFormat="1" x14ac:dyDescent="0.25">
      <c r="A26" s="200" t="s">
        <v>837</v>
      </c>
      <c r="B26" s="59">
        <v>28.37</v>
      </c>
      <c r="C26" s="59">
        <v>17.71</v>
      </c>
      <c r="D26" s="59">
        <v>32.520000000000003</v>
      </c>
      <c r="E26" s="59">
        <v>3.7</v>
      </c>
      <c r="F26" s="59">
        <v>0.76</v>
      </c>
      <c r="G26" s="59">
        <v>104.98</v>
      </c>
      <c r="H26" s="59">
        <v>28.59</v>
      </c>
      <c r="I26" s="59">
        <v>0.68</v>
      </c>
      <c r="J26" s="59">
        <v>0.7</v>
      </c>
      <c r="K26" s="59">
        <v>9.5500000000000007</v>
      </c>
      <c r="L26" s="59">
        <v>17</v>
      </c>
      <c r="M26" s="59">
        <v>67</v>
      </c>
      <c r="N26" s="59">
        <v>23.1</v>
      </c>
      <c r="O26" s="59">
        <v>0</v>
      </c>
      <c r="P26" s="59">
        <v>1.32</v>
      </c>
      <c r="Q26" s="59">
        <v>43.97</v>
      </c>
      <c r="R26" s="197"/>
      <c r="S26" s="197"/>
      <c r="T26" s="197"/>
      <c r="U26" s="197"/>
    </row>
    <row r="27" spans="1:21" s="12" customFormat="1" x14ac:dyDescent="0.25">
      <c r="A27" s="200" t="s">
        <v>838</v>
      </c>
      <c r="B27" s="59">
        <v>27.15</v>
      </c>
      <c r="C27" s="59">
        <v>18.899999999999999</v>
      </c>
      <c r="D27" s="59">
        <v>32.200000000000003</v>
      </c>
      <c r="E27" s="59">
        <v>4.0999999999999996</v>
      </c>
      <c r="F27" s="59">
        <v>0.8</v>
      </c>
      <c r="G27" s="59">
        <v>104.19</v>
      </c>
      <c r="H27" s="59">
        <v>28.65</v>
      </c>
      <c r="I27" s="59">
        <v>0.67</v>
      </c>
      <c r="J27" s="59">
        <v>0.34</v>
      </c>
      <c r="K27" s="59">
        <v>12.87</v>
      </c>
      <c r="L27" s="59">
        <v>16.940000000000001</v>
      </c>
      <c r="M27" s="59">
        <v>68</v>
      </c>
      <c r="N27" s="59">
        <v>24.1</v>
      </c>
      <c r="O27" s="59">
        <v>0</v>
      </c>
      <c r="P27" s="59">
        <v>1.31</v>
      </c>
      <c r="Q27" s="59">
        <v>44.12</v>
      </c>
      <c r="R27" s="197"/>
      <c r="S27" s="197"/>
      <c r="T27" s="197"/>
      <c r="U27" s="197"/>
    </row>
    <row r="28" spans="1:21" s="12" customFormat="1" x14ac:dyDescent="0.25">
      <c r="A28" s="200" t="s">
        <v>839</v>
      </c>
      <c r="B28" s="59">
        <v>26.41</v>
      </c>
      <c r="C28" s="59">
        <v>19.71</v>
      </c>
      <c r="D28" s="59">
        <v>32.049999999999997</v>
      </c>
      <c r="E28" s="59">
        <v>4.1399999999999997</v>
      </c>
      <c r="F28" s="59">
        <v>0.74</v>
      </c>
      <c r="G28" s="59">
        <v>102.38</v>
      </c>
      <c r="H28" s="59">
        <v>28.84</v>
      </c>
      <c r="I28" s="59">
        <v>0.65</v>
      </c>
      <c r="J28" s="59">
        <v>0.9</v>
      </c>
      <c r="K28" s="59">
        <v>13.58</v>
      </c>
      <c r="L28" s="59">
        <v>17.05</v>
      </c>
      <c r="M28" s="59">
        <v>68</v>
      </c>
      <c r="N28" s="59">
        <v>23.3</v>
      </c>
      <c r="O28" s="59">
        <v>0</v>
      </c>
      <c r="P28" s="59">
        <v>1.32</v>
      </c>
      <c r="Q28" s="59">
        <v>45.29</v>
      </c>
      <c r="R28" s="197"/>
      <c r="S28" s="197"/>
      <c r="T28" s="197"/>
      <c r="U28" s="197"/>
    </row>
    <row r="29" spans="1:21" s="12" customFormat="1" x14ac:dyDescent="0.25">
      <c r="A29" s="200" t="s">
        <v>840</v>
      </c>
      <c r="B29" s="59">
        <v>25.76</v>
      </c>
      <c r="C29" s="59">
        <v>20.77</v>
      </c>
      <c r="D29" s="59">
        <v>32.119999999999997</v>
      </c>
      <c r="E29" s="59">
        <v>4.37</v>
      </c>
      <c r="F29" s="59">
        <v>0.56000000000000005</v>
      </c>
      <c r="G29" s="59">
        <v>102.38</v>
      </c>
      <c r="H29" s="59">
        <v>28.84</v>
      </c>
      <c r="I29" s="59">
        <v>0.63</v>
      </c>
      <c r="J29" s="59">
        <v>0.98</v>
      </c>
      <c r="K29" s="59">
        <v>9.15</v>
      </c>
      <c r="L29" s="59">
        <v>17.190000000000001</v>
      </c>
      <c r="M29" s="59">
        <v>68</v>
      </c>
      <c r="N29" s="59">
        <v>23.8</v>
      </c>
      <c r="O29" s="59">
        <v>0</v>
      </c>
      <c r="P29" s="59">
        <v>1.36</v>
      </c>
      <c r="Q29" s="59">
        <v>45.12</v>
      </c>
      <c r="R29" s="197"/>
      <c r="S29" s="197"/>
      <c r="T29" s="197"/>
      <c r="U29" s="197"/>
    </row>
    <row r="30" spans="1:21" s="12" customFormat="1" x14ac:dyDescent="0.25">
      <c r="A30" s="200" t="s">
        <v>841</v>
      </c>
      <c r="B30" s="59">
        <v>25.05</v>
      </c>
      <c r="C30" s="59">
        <v>21.51</v>
      </c>
      <c r="D30" s="59">
        <v>31.96</v>
      </c>
      <c r="E30" s="59">
        <v>4.67</v>
      </c>
      <c r="F30" s="59">
        <v>0.4</v>
      </c>
      <c r="G30" s="59">
        <v>102.38</v>
      </c>
      <c r="H30" s="59">
        <v>28.84</v>
      </c>
      <c r="I30" s="59">
        <v>0.61</v>
      </c>
      <c r="J30" s="59">
        <v>1.33</v>
      </c>
      <c r="K30" s="59">
        <v>9.18</v>
      </c>
      <c r="L30" s="59">
        <v>17.079999999999998</v>
      </c>
      <c r="M30" s="59">
        <v>68</v>
      </c>
      <c r="N30" s="59">
        <v>23.9</v>
      </c>
      <c r="O30" s="59">
        <v>0</v>
      </c>
      <c r="P30" s="59">
        <v>1.35</v>
      </c>
      <c r="Q30" s="59">
        <v>44.69</v>
      </c>
      <c r="R30" s="197"/>
      <c r="S30" s="197"/>
      <c r="T30" s="197"/>
      <c r="U30" s="197"/>
    </row>
    <row r="31" spans="1:21" s="12" customFormat="1" x14ac:dyDescent="0.25">
      <c r="A31" s="200" t="s">
        <v>842</v>
      </c>
      <c r="B31" s="59">
        <v>23.26</v>
      </c>
      <c r="C31" s="59">
        <v>22.74</v>
      </c>
      <c r="D31" s="59">
        <v>31.2</v>
      </c>
      <c r="E31" s="59">
        <v>4.16</v>
      </c>
      <c r="F31" s="59">
        <v>0.68</v>
      </c>
      <c r="G31" s="59">
        <v>107.03</v>
      </c>
      <c r="H31" s="59">
        <v>29.67</v>
      </c>
      <c r="I31" s="59">
        <v>0.57999999999999996</v>
      </c>
      <c r="J31" s="59">
        <v>1.02</v>
      </c>
      <c r="K31" s="59">
        <v>7.83</v>
      </c>
      <c r="L31" s="59">
        <v>16.899999999999999</v>
      </c>
      <c r="M31" s="59">
        <v>69</v>
      </c>
      <c r="N31" s="59">
        <v>24.1</v>
      </c>
      <c r="O31" s="59">
        <v>0</v>
      </c>
      <c r="P31" s="59">
        <v>1.31</v>
      </c>
      <c r="Q31" s="59">
        <v>43.94</v>
      </c>
      <c r="R31" s="197"/>
      <c r="S31" s="197"/>
      <c r="T31" s="197"/>
      <c r="U31" s="197"/>
    </row>
    <row r="32" spans="1:21" s="12" customFormat="1" x14ac:dyDescent="0.25">
      <c r="A32" s="200" t="s">
        <v>843</v>
      </c>
      <c r="B32" s="59">
        <v>22.08</v>
      </c>
      <c r="C32" s="59">
        <v>23.66</v>
      </c>
      <c r="D32" s="59">
        <v>30.76</v>
      </c>
      <c r="E32" s="59">
        <v>4.33</v>
      </c>
      <c r="F32" s="59">
        <v>0.64</v>
      </c>
      <c r="G32" s="59">
        <v>117.72</v>
      </c>
      <c r="H32" s="59">
        <v>32.409999999999997</v>
      </c>
      <c r="I32" s="59">
        <v>0.55000000000000004</v>
      </c>
      <c r="J32" s="59">
        <v>1.17</v>
      </c>
      <c r="K32" s="59">
        <v>12.74</v>
      </c>
      <c r="L32" s="59">
        <v>16.760000000000002</v>
      </c>
      <c r="M32" s="59">
        <v>68</v>
      </c>
      <c r="N32" s="59">
        <v>24</v>
      </c>
      <c r="O32" s="59">
        <v>0</v>
      </c>
      <c r="P32" s="59">
        <v>1.27</v>
      </c>
      <c r="Q32" s="59">
        <v>43.33</v>
      </c>
      <c r="R32" s="197"/>
      <c r="S32" s="197"/>
      <c r="T32" s="197"/>
      <c r="U32" s="197"/>
    </row>
    <row r="33" spans="1:21" s="12" customFormat="1" x14ac:dyDescent="0.25">
      <c r="A33" s="200" t="s">
        <v>844</v>
      </c>
      <c r="B33" s="59">
        <v>21.05</v>
      </c>
      <c r="C33" s="59">
        <v>24.37</v>
      </c>
      <c r="D33" s="59">
        <v>30.33</v>
      </c>
      <c r="E33" s="59">
        <v>3.81</v>
      </c>
      <c r="F33" s="59">
        <v>0.56999999999999995</v>
      </c>
      <c r="G33" s="59">
        <v>117.72</v>
      </c>
      <c r="H33" s="59">
        <v>32.409999999999997</v>
      </c>
      <c r="I33" s="59">
        <v>0.52</v>
      </c>
      <c r="J33" s="59">
        <v>0.76</v>
      </c>
      <c r="K33" s="59">
        <v>12.6</v>
      </c>
      <c r="L33" s="59">
        <v>16.66</v>
      </c>
      <c r="M33" s="59">
        <v>69</v>
      </c>
      <c r="N33" s="59">
        <v>24.5</v>
      </c>
      <c r="O33" s="59">
        <v>0</v>
      </c>
      <c r="P33" s="59">
        <v>1.24</v>
      </c>
      <c r="Q33" s="59">
        <v>43</v>
      </c>
      <c r="R33" s="197"/>
      <c r="S33" s="197"/>
      <c r="T33" s="197"/>
      <c r="U33" s="197"/>
    </row>
    <row r="34" spans="1:21" s="12" customFormat="1" x14ac:dyDescent="0.25">
      <c r="A34" s="200" t="s">
        <v>845</v>
      </c>
      <c r="B34" s="59">
        <v>21.04</v>
      </c>
      <c r="C34" s="59">
        <v>24.54</v>
      </c>
      <c r="D34" s="59">
        <v>30.41</v>
      </c>
      <c r="E34" s="59">
        <v>4</v>
      </c>
      <c r="F34" s="59">
        <v>0.6</v>
      </c>
      <c r="G34" s="59">
        <v>117.72</v>
      </c>
      <c r="H34" s="59">
        <v>32.409999999999997</v>
      </c>
      <c r="I34" s="59">
        <v>0.5</v>
      </c>
      <c r="J34" s="59">
        <v>0.28999999999999998</v>
      </c>
      <c r="K34" s="59">
        <v>357.47</v>
      </c>
      <c r="L34" s="59">
        <v>16.22</v>
      </c>
      <c r="M34" s="59">
        <v>71</v>
      </c>
      <c r="N34" s="59">
        <v>26.2</v>
      </c>
      <c r="O34" s="59">
        <v>0</v>
      </c>
      <c r="P34" s="59">
        <v>1.21</v>
      </c>
      <c r="Q34" s="59">
        <v>42.29</v>
      </c>
      <c r="R34" s="197"/>
      <c r="S34" s="197"/>
      <c r="T34" s="197"/>
      <c r="U34" s="197"/>
    </row>
    <row r="35" spans="1:21" s="12" customFormat="1" x14ac:dyDescent="0.25">
      <c r="A35" s="200" t="s">
        <v>846</v>
      </c>
      <c r="B35" s="59">
        <v>20.98</v>
      </c>
      <c r="C35" s="59">
        <v>24.42</v>
      </c>
      <c r="D35" s="59">
        <v>30.3</v>
      </c>
      <c r="E35" s="59">
        <v>3.78</v>
      </c>
      <c r="F35" s="59">
        <v>0.56999999999999995</v>
      </c>
      <c r="G35" s="59">
        <v>102.42</v>
      </c>
      <c r="H35" s="59">
        <v>32.01</v>
      </c>
      <c r="I35" s="59">
        <v>0.47</v>
      </c>
      <c r="J35" s="59">
        <v>0.25</v>
      </c>
      <c r="K35" s="59">
        <v>245.4</v>
      </c>
      <c r="L35" s="59">
        <v>15.87</v>
      </c>
      <c r="M35" s="59">
        <v>73</v>
      </c>
      <c r="N35" s="59">
        <v>32.299999999999997</v>
      </c>
      <c r="O35" s="59">
        <v>0</v>
      </c>
      <c r="P35" s="59">
        <v>1.21</v>
      </c>
      <c r="Q35" s="59">
        <v>41.18</v>
      </c>
      <c r="R35" s="197"/>
      <c r="S35" s="197"/>
      <c r="T35" s="197"/>
      <c r="U35" s="197"/>
    </row>
    <row r="36" spans="1:21" s="12" customFormat="1" x14ac:dyDescent="0.25">
      <c r="A36" s="200" t="s">
        <v>847</v>
      </c>
      <c r="B36" s="59">
        <v>20.88</v>
      </c>
      <c r="C36" s="59">
        <v>24.35</v>
      </c>
      <c r="D36" s="59">
        <v>30.18</v>
      </c>
      <c r="E36" s="59">
        <v>3.95</v>
      </c>
      <c r="F36" s="59">
        <v>0.81</v>
      </c>
      <c r="G36" s="59">
        <v>67.209999999999994</v>
      </c>
      <c r="H36" s="59">
        <v>30.72</v>
      </c>
      <c r="I36" s="59">
        <v>0.46</v>
      </c>
      <c r="J36" s="59">
        <v>0.06</v>
      </c>
      <c r="K36" s="59">
        <v>108.64</v>
      </c>
      <c r="L36" s="59">
        <v>15.9</v>
      </c>
      <c r="M36" s="59">
        <v>74</v>
      </c>
      <c r="N36" s="59">
        <v>47.4</v>
      </c>
      <c r="O36" s="59">
        <v>0</v>
      </c>
      <c r="P36" s="59">
        <v>1.2</v>
      </c>
      <c r="Q36" s="59">
        <v>40.85</v>
      </c>
      <c r="R36" s="197"/>
      <c r="S36" s="197"/>
      <c r="T36" s="197"/>
      <c r="U36" s="197"/>
    </row>
    <row r="37" spans="1:21" s="12" customFormat="1" x14ac:dyDescent="0.25">
      <c r="A37" s="200" t="s">
        <v>848</v>
      </c>
      <c r="B37" s="59">
        <v>21.62</v>
      </c>
      <c r="C37" s="59">
        <v>23.84</v>
      </c>
      <c r="D37" s="59">
        <v>30.5</v>
      </c>
      <c r="E37" s="59">
        <v>4.0199999999999996</v>
      </c>
      <c r="F37" s="59">
        <v>0.76</v>
      </c>
      <c r="G37" s="59">
        <v>67.209999999999994</v>
      </c>
      <c r="H37" s="59">
        <v>30.72</v>
      </c>
      <c r="I37" s="9" t="s">
        <v>36</v>
      </c>
      <c r="J37" s="59">
        <v>0.38</v>
      </c>
      <c r="K37" s="59">
        <v>104.35</v>
      </c>
      <c r="L37" s="59">
        <v>16.350000000000001</v>
      </c>
      <c r="M37" s="59">
        <v>72</v>
      </c>
      <c r="N37" s="59">
        <v>63.3</v>
      </c>
      <c r="O37" s="59">
        <v>0</v>
      </c>
      <c r="P37" s="59">
        <v>1.18</v>
      </c>
      <c r="Q37" s="59">
        <v>41.23</v>
      </c>
      <c r="R37" s="197"/>
      <c r="S37" s="197"/>
      <c r="T37" s="197"/>
      <c r="U37" s="197"/>
    </row>
    <row r="38" spans="1:21" s="12" customFormat="1" x14ac:dyDescent="0.25">
      <c r="A38" s="200" t="s">
        <v>849</v>
      </c>
      <c r="B38" s="59">
        <v>22.5</v>
      </c>
      <c r="C38" s="59">
        <v>23.24</v>
      </c>
      <c r="D38" s="59">
        <v>30.87</v>
      </c>
      <c r="E38" s="59">
        <v>3.76</v>
      </c>
      <c r="F38" s="59">
        <v>0.64</v>
      </c>
      <c r="G38" s="59">
        <v>67.209999999999994</v>
      </c>
      <c r="H38" s="59">
        <v>30.72</v>
      </c>
      <c r="I38" s="9" t="s">
        <v>36</v>
      </c>
      <c r="J38" s="59">
        <v>0.18</v>
      </c>
      <c r="K38" s="59">
        <v>71.849999999999994</v>
      </c>
      <c r="L38" s="59">
        <v>16.98</v>
      </c>
      <c r="M38" s="59">
        <v>69</v>
      </c>
      <c r="N38" s="59">
        <v>76.900000000000006</v>
      </c>
      <c r="O38" s="59">
        <v>0</v>
      </c>
      <c r="P38" s="59">
        <v>1.28</v>
      </c>
      <c r="Q38" s="59">
        <v>41.38</v>
      </c>
      <c r="R38" s="197"/>
      <c r="S38" s="197"/>
      <c r="T38" s="197"/>
      <c r="U38" s="197"/>
    </row>
    <row r="39" spans="1:21" s="12" customFormat="1" x14ac:dyDescent="0.25">
      <c r="A39" s="200" t="s">
        <v>850</v>
      </c>
      <c r="B39" s="59">
        <v>23.27</v>
      </c>
      <c r="C39" s="59">
        <v>22.86</v>
      </c>
      <c r="D39" s="59">
        <v>31.28</v>
      </c>
      <c r="E39" s="59">
        <v>4.55</v>
      </c>
      <c r="F39" s="59">
        <v>0.61</v>
      </c>
      <c r="G39" s="59">
        <v>77.25</v>
      </c>
      <c r="H39" s="59">
        <v>31.75</v>
      </c>
      <c r="I39" s="9" t="s">
        <v>36</v>
      </c>
      <c r="J39" s="59">
        <v>0.75</v>
      </c>
      <c r="K39" s="59">
        <v>14.17</v>
      </c>
      <c r="L39" s="59">
        <v>17.72</v>
      </c>
      <c r="M39" s="59">
        <v>65</v>
      </c>
      <c r="N39" s="59">
        <v>119.5</v>
      </c>
      <c r="O39" s="59">
        <v>0</v>
      </c>
      <c r="P39" s="59">
        <v>1.32</v>
      </c>
      <c r="Q39" s="59">
        <v>41.67</v>
      </c>
      <c r="R39" s="197"/>
      <c r="S39" s="197"/>
      <c r="T39" s="197"/>
      <c r="U39" s="197"/>
    </row>
    <row r="40" spans="1:21" s="12" customFormat="1" x14ac:dyDescent="0.25">
      <c r="A40" s="200" t="s">
        <v>851</v>
      </c>
      <c r="B40" s="59">
        <v>23.37</v>
      </c>
      <c r="C40" s="59">
        <v>23.59</v>
      </c>
      <c r="D40" s="59">
        <v>31.76</v>
      </c>
      <c r="E40" s="59">
        <v>2.95</v>
      </c>
      <c r="F40" s="59">
        <v>1.08</v>
      </c>
      <c r="G40" s="59">
        <v>123.45</v>
      </c>
      <c r="H40" s="59">
        <v>35.130000000000003</v>
      </c>
      <c r="I40" s="9" t="s">
        <v>36</v>
      </c>
      <c r="J40" s="59">
        <v>0.88</v>
      </c>
      <c r="K40" s="59">
        <v>16.73</v>
      </c>
      <c r="L40" s="59">
        <v>19.14</v>
      </c>
      <c r="M40" s="59">
        <v>58</v>
      </c>
      <c r="N40" s="59">
        <v>156.6</v>
      </c>
      <c r="O40" s="59">
        <v>0</v>
      </c>
      <c r="P40" s="59">
        <v>1.34</v>
      </c>
      <c r="Q40" s="59">
        <v>41.56</v>
      </c>
      <c r="R40" s="197"/>
      <c r="S40" s="197"/>
      <c r="T40" s="197"/>
      <c r="U40" s="197"/>
    </row>
    <row r="41" spans="1:21" s="12" customFormat="1" x14ac:dyDescent="0.25">
      <c r="A41" s="200" t="s">
        <v>852</v>
      </c>
      <c r="B41" s="59">
        <v>22.96</v>
      </c>
      <c r="C41" s="59">
        <v>24.78</v>
      </c>
      <c r="D41" s="59">
        <v>32.090000000000003</v>
      </c>
      <c r="E41" s="59">
        <v>5.4</v>
      </c>
      <c r="F41" s="59">
        <v>0.71</v>
      </c>
      <c r="G41" s="59">
        <v>123.45</v>
      </c>
      <c r="H41" s="59">
        <v>35.130000000000003</v>
      </c>
      <c r="I41" s="9" t="s">
        <v>36</v>
      </c>
      <c r="J41" s="59">
        <v>1.04</v>
      </c>
      <c r="K41" s="59">
        <v>10.84</v>
      </c>
      <c r="L41" s="59">
        <v>19.96</v>
      </c>
      <c r="M41" s="59">
        <v>55</v>
      </c>
      <c r="N41" s="59">
        <v>146.69999999999999</v>
      </c>
      <c r="O41" s="59">
        <v>0</v>
      </c>
      <c r="P41" s="59">
        <v>1.35</v>
      </c>
      <c r="Q41" s="59">
        <v>41.86</v>
      </c>
      <c r="R41" s="197"/>
      <c r="S41" s="197"/>
      <c r="T41" s="197"/>
      <c r="U41" s="197"/>
    </row>
    <row r="42" spans="1:21" s="12" customFormat="1" x14ac:dyDescent="0.25">
      <c r="A42" s="200" t="s">
        <v>853</v>
      </c>
      <c r="B42" s="59">
        <v>22.85</v>
      </c>
      <c r="C42" s="59">
        <v>26.11</v>
      </c>
      <c r="D42" s="59">
        <v>32.74</v>
      </c>
      <c r="E42" s="59">
        <v>5.46</v>
      </c>
      <c r="F42" s="59">
        <v>0.71</v>
      </c>
      <c r="G42" s="59">
        <v>123.45</v>
      </c>
      <c r="H42" s="59">
        <v>35.130000000000003</v>
      </c>
      <c r="I42" s="9" t="s">
        <v>36</v>
      </c>
      <c r="J42" s="59">
        <v>0.62</v>
      </c>
      <c r="K42" s="59">
        <v>20.45</v>
      </c>
      <c r="L42" s="59">
        <v>19.95</v>
      </c>
      <c r="M42" s="59">
        <v>55</v>
      </c>
      <c r="N42" s="59">
        <v>230.8</v>
      </c>
      <c r="O42" s="59">
        <v>0</v>
      </c>
      <c r="P42" s="59">
        <v>1.36</v>
      </c>
      <c r="Q42" s="59">
        <v>42.77</v>
      </c>
      <c r="R42" s="197"/>
      <c r="S42" s="197"/>
      <c r="T42" s="197"/>
      <c r="U42" s="197"/>
    </row>
    <row r="43" spans="1:21" s="12" customFormat="1" x14ac:dyDescent="0.25">
      <c r="A43" s="200" t="s">
        <v>854</v>
      </c>
      <c r="B43" s="59">
        <v>22.84</v>
      </c>
      <c r="C43" s="59">
        <v>27.35</v>
      </c>
      <c r="D43" s="59">
        <v>33.409999999999997</v>
      </c>
      <c r="E43" s="59">
        <v>5.43</v>
      </c>
      <c r="F43" s="59">
        <v>0.86</v>
      </c>
      <c r="G43" s="59">
        <v>99.49</v>
      </c>
      <c r="H43" s="59">
        <v>35.31</v>
      </c>
      <c r="I43" s="9" t="s">
        <v>36</v>
      </c>
      <c r="J43" s="59">
        <v>1.31</v>
      </c>
      <c r="K43" s="59">
        <v>11.77</v>
      </c>
      <c r="L43" s="59">
        <v>21.7</v>
      </c>
      <c r="M43" s="59">
        <v>50</v>
      </c>
      <c r="N43" s="59">
        <v>299.7</v>
      </c>
      <c r="O43" s="59">
        <v>0</v>
      </c>
      <c r="P43" s="59">
        <v>1.36</v>
      </c>
      <c r="Q43" s="59">
        <v>43.24</v>
      </c>
      <c r="R43" s="197"/>
      <c r="S43" s="197"/>
      <c r="T43" s="197"/>
      <c r="U43" s="197"/>
    </row>
    <row r="44" spans="1:21" s="12" customFormat="1" x14ac:dyDescent="0.25">
      <c r="A44" s="200" t="s">
        <v>855</v>
      </c>
      <c r="B44" s="59">
        <v>22.59</v>
      </c>
      <c r="C44" s="59">
        <v>28.94</v>
      </c>
      <c r="D44" s="59">
        <v>34.090000000000003</v>
      </c>
      <c r="E44" s="59">
        <v>5.24</v>
      </c>
      <c r="F44" s="59">
        <v>0.84</v>
      </c>
      <c r="G44" s="59">
        <v>44.4</v>
      </c>
      <c r="H44" s="59">
        <v>35.9</v>
      </c>
      <c r="I44" s="9" t="s">
        <v>36</v>
      </c>
      <c r="J44" s="59">
        <v>1.53</v>
      </c>
      <c r="K44" s="59">
        <v>10.98</v>
      </c>
      <c r="L44" s="59">
        <v>23.41</v>
      </c>
      <c r="M44" s="59">
        <v>45</v>
      </c>
      <c r="N44" s="59">
        <v>291.5</v>
      </c>
      <c r="O44" s="59">
        <v>0</v>
      </c>
      <c r="P44" s="59">
        <v>1.36</v>
      </c>
      <c r="Q44" s="59">
        <v>42.83</v>
      </c>
      <c r="R44" s="197"/>
      <c r="S44" s="197"/>
      <c r="T44" s="197"/>
      <c r="U44" s="197"/>
    </row>
    <row r="45" spans="1:21" s="12" customFormat="1" x14ac:dyDescent="0.25">
      <c r="A45" s="200" t="s">
        <v>856</v>
      </c>
      <c r="B45" s="59">
        <v>21.91</v>
      </c>
      <c r="C45" s="59">
        <v>30.91</v>
      </c>
      <c r="D45" s="59">
        <v>34.630000000000003</v>
      </c>
      <c r="E45" s="59">
        <v>5.25</v>
      </c>
      <c r="F45" s="59">
        <v>0.82</v>
      </c>
      <c r="G45" s="59">
        <v>44.4</v>
      </c>
      <c r="H45" s="59">
        <v>35.9</v>
      </c>
      <c r="I45" s="9" t="s">
        <v>36</v>
      </c>
      <c r="J45" s="59">
        <v>1.45</v>
      </c>
      <c r="K45" s="59">
        <v>7.29</v>
      </c>
      <c r="L45" s="59">
        <v>24.2</v>
      </c>
      <c r="M45" s="59">
        <v>43</v>
      </c>
      <c r="N45" s="59">
        <v>349.4</v>
      </c>
      <c r="O45" s="59">
        <v>0</v>
      </c>
      <c r="P45" s="59">
        <v>1.35</v>
      </c>
      <c r="Q45" s="59">
        <v>42.42</v>
      </c>
      <c r="R45" s="197"/>
      <c r="S45" s="197"/>
      <c r="T45" s="197"/>
      <c r="U45" s="197"/>
    </row>
    <row r="46" spans="1:21" s="12" customFormat="1" x14ac:dyDescent="0.25">
      <c r="A46" s="200" t="s">
        <v>857</v>
      </c>
      <c r="B46" s="59">
        <v>20.86</v>
      </c>
      <c r="C46" s="59">
        <v>32.6</v>
      </c>
      <c r="D46" s="59">
        <v>34.72</v>
      </c>
      <c r="E46" s="59">
        <v>5.34</v>
      </c>
      <c r="F46" s="59">
        <v>0.97</v>
      </c>
      <c r="G46" s="59">
        <v>44.4</v>
      </c>
      <c r="H46" s="59">
        <v>35.9</v>
      </c>
      <c r="I46" s="9" t="s">
        <v>36</v>
      </c>
      <c r="J46" s="59">
        <v>0.61</v>
      </c>
      <c r="K46" s="59">
        <v>28.43</v>
      </c>
      <c r="L46" s="59">
        <v>24.65</v>
      </c>
      <c r="M46" s="59">
        <v>42</v>
      </c>
      <c r="N46" s="59">
        <v>378.1</v>
      </c>
      <c r="O46" s="59">
        <v>0</v>
      </c>
      <c r="P46" s="59">
        <v>1.33</v>
      </c>
      <c r="Q46" s="59">
        <v>41.95</v>
      </c>
      <c r="R46" s="197"/>
      <c r="S46" s="197"/>
      <c r="T46" s="197"/>
      <c r="U46" s="197"/>
    </row>
    <row r="47" spans="1:21" s="12" customFormat="1" x14ac:dyDescent="0.25">
      <c r="A47" s="200" t="s">
        <v>858</v>
      </c>
      <c r="B47" s="59">
        <v>18.809999999999999</v>
      </c>
      <c r="C47" s="59">
        <v>34.21</v>
      </c>
      <c r="D47" s="59">
        <v>33.97</v>
      </c>
      <c r="E47" s="59">
        <v>5.17</v>
      </c>
      <c r="F47" s="59">
        <v>1.52</v>
      </c>
      <c r="G47" s="59">
        <v>68.83</v>
      </c>
      <c r="H47" s="59">
        <v>35.909999999999997</v>
      </c>
      <c r="I47" s="9" t="s">
        <v>36</v>
      </c>
      <c r="J47" s="59">
        <v>1.0900000000000001</v>
      </c>
      <c r="K47" s="59">
        <v>30.64</v>
      </c>
      <c r="L47" s="59">
        <v>23.61</v>
      </c>
      <c r="M47" s="59">
        <v>42</v>
      </c>
      <c r="N47" s="59">
        <v>389</v>
      </c>
      <c r="O47" s="59">
        <v>0</v>
      </c>
      <c r="P47" s="59">
        <v>1.31</v>
      </c>
      <c r="Q47" s="59">
        <v>41.65</v>
      </c>
      <c r="R47" s="197"/>
      <c r="S47" s="197"/>
      <c r="T47" s="197"/>
      <c r="U47" s="197"/>
    </row>
    <row r="48" spans="1:21" s="12" customFormat="1" x14ac:dyDescent="0.25">
      <c r="A48" s="200" t="s">
        <v>859</v>
      </c>
      <c r="B48" s="59">
        <v>15.61</v>
      </c>
      <c r="C48" s="59">
        <v>36.31</v>
      </c>
      <c r="D48" s="59">
        <v>32.56</v>
      </c>
      <c r="E48" s="59">
        <v>5.13</v>
      </c>
      <c r="F48" s="59">
        <v>1.78</v>
      </c>
      <c r="G48" s="59">
        <v>125.02</v>
      </c>
      <c r="H48" s="59">
        <v>35.92</v>
      </c>
      <c r="I48" s="9" t="s">
        <v>36</v>
      </c>
      <c r="J48" s="59">
        <v>0.95</v>
      </c>
      <c r="K48" s="59">
        <v>52.04</v>
      </c>
      <c r="L48" s="59">
        <v>24.22</v>
      </c>
      <c r="M48" s="59">
        <v>39</v>
      </c>
      <c r="N48" s="59">
        <v>380.9</v>
      </c>
      <c r="O48" s="59">
        <v>0</v>
      </c>
      <c r="P48" s="59">
        <v>1.28</v>
      </c>
      <c r="Q48" s="59">
        <v>41.13</v>
      </c>
      <c r="R48" s="197"/>
      <c r="S48" s="197"/>
      <c r="T48" s="197"/>
      <c r="U48" s="197"/>
    </row>
    <row r="49" spans="1:21" s="12" customFormat="1" x14ac:dyDescent="0.25">
      <c r="A49" s="200" t="s">
        <v>860</v>
      </c>
      <c r="B49" s="59">
        <v>13.08</v>
      </c>
      <c r="C49" s="59">
        <v>37.86</v>
      </c>
      <c r="D49" s="59">
        <v>31.38</v>
      </c>
      <c r="E49" s="59">
        <v>5.7</v>
      </c>
      <c r="F49" s="59">
        <v>1.78</v>
      </c>
      <c r="G49" s="59">
        <v>125.02</v>
      </c>
      <c r="H49" s="59">
        <v>35.92</v>
      </c>
      <c r="I49" s="9" t="s">
        <v>36</v>
      </c>
      <c r="J49" s="59">
        <v>0.93</v>
      </c>
      <c r="K49" s="59">
        <v>11.6</v>
      </c>
      <c r="L49" s="59">
        <v>24.63</v>
      </c>
      <c r="M49" s="59">
        <v>37</v>
      </c>
      <c r="N49" s="59">
        <v>396.7</v>
      </c>
      <c r="O49" s="59">
        <v>0</v>
      </c>
      <c r="P49" s="59">
        <v>1.25</v>
      </c>
      <c r="Q49" s="59">
        <v>39.99</v>
      </c>
      <c r="R49" s="197"/>
      <c r="S49" s="197"/>
      <c r="T49" s="197"/>
      <c r="U49" s="197"/>
    </row>
    <row r="50" spans="1:21" s="12" customFormat="1" x14ac:dyDescent="0.25">
      <c r="A50" s="200" t="s">
        <v>861</v>
      </c>
      <c r="B50" s="59">
        <v>11.49</v>
      </c>
      <c r="C50" s="59">
        <v>38.9</v>
      </c>
      <c r="D50" s="59">
        <v>30.69</v>
      </c>
      <c r="E50" s="59">
        <v>5.52</v>
      </c>
      <c r="F50" s="59">
        <v>1.74</v>
      </c>
      <c r="G50" s="59">
        <v>125.02</v>
      </c>
      <c r="H50" s="59">
        <v>35.92</v>
      </c>
      <c r="I50" s="9" t="s">
        <v>36</v>
      </c>
      <c r="J50" s="59">
        <v>1.29</v>
      </c>
      <c r="K50" s="59">
        <v>8.4</v>
      </c>
      <c r="L50" s="59">
        <v>25.72</v>
      </c>
      <c r="M50" s="59">
        <v>33</v>
      </c>
      <c r="N50" s="59">
        <v>342.6</v>
      </c>
      <c r="O50" s="59">
        <v>0</v>
      </c>
      <c r="P50" s="59">
        <v>1.23</v>
      </c>
      <c r="Q50" s="59">
        <v>39.51</v>
      </c>
      <c r="R50" s="197"/>
      <c r="S50" s="197"/>
      <c r="T50" s="197"/>
      <c r="U50" s="197"/>
    </row>
    <row r="51" spans="1:21" s="12" customFormat="1" x14ac:dyDescent="0.25">
      <c r="A51" s="200" t="s">
        <v>862</v>
      </c>
      <c r="B51" s="59">
        <v>10.92</v>
      </c>
      <c r="C51" s="59">
        <v>38.25</v>
      </c>
      <c r="D51" s="59">
        <v>29.87</v>
      </c>
      <c r="E51" s="59">
        <v>5.64</v>
      </c>
      <c r="F51" s="59">
        <v>1.97</v>
      </c>
      <c r="G51" s="59">
        <v>105.98</v>
      </c>
      <c r="H51" s="59">
        <v>36.08</v>
      </c>
      <c r="I51" s="9" t="s">
        <v>36</v>
      </c>
      <c r="J51" s="59">
        <v>1.06</v>
      </c>
      <c r="K51" s="59">
        <v>25.12</v>
      </c>
      <c r="L51" s="59">
        <v>25.76</v>
      </c>
      <c r="M51" s="59">
        <v>33</v>
      </c>
      <c r="N51" s="59">
        <v>444.8</v>
      </c>
      <c r="O51" s="59">
        <v>0</v>
      </c>
      <c r="P51" s="59">
        <v>1.2</v>
      </c>
      <c r="Q51" s="59">
        <v>39.51</v>
      </c>
      <c r="R51" s="197"/>
      <c r="S51" s="197"/>
      <c r="T51" s="197"/>
      <c r="U51" s="197"/>
    </row>
    <row r="52" spans="1:21" s="12" customFormat="1" x14ac:dyDescent="0.25">
      <c r="A52" s="200" t="s">
        <v>863</v>
      </c>
      <c r="B52" s="59">
        <v>8.61</v>
      </c>
      <c r="C52" s="59">
        <v>39</v>
      </c>
      <c r="D52" s="59">
        <v>28.43</v>
      </c>
      <c r="E52" s="59">
        <v>5.29</v>
      </c>
      <c r="F52" s="59">
        <v>2.2799999999999998</v>
      </c>
      <c r="G52" s="59">
        <v>62.21</v>
      </c>
      <c r="H52" s="59">
        <v>36.6</v>
      </c>
      <c r="I52" s="9" t="s">
        <v>36</v>
      </c>
      <c r="J52" s="59">
        <v>0.95</v>
      </c>
      <c r="K52" s="59">
        <v>19.23</v>
      </c>
      <c r="L52" s="59">
        <v>26.26</v>
      </c>
      <c r="M52" s="59">
        <v>32</v>
      </c>
      <c r="N52" s="59">
        <v>346.7</v>
      </c>
      <c r="O52" s="59">
        <v>0</v>
      </c>
      <c r="P52" s="59">
        <v>1.18</v>
      </c>
      <c r="Q52" s="59">
        <v>39.409999999999997</v>
      </c>
      <c r="R52" s="197"/>
      <c r="S52" s="197"/>
      <c r="T52" s="197"/>
      <c r="U52" s="197"/>
    </row>
    <row r="53" spans="1:21" s="12" customFormat="1" x14ac:dyDescent="0.25">
      <c r="A53" s="200" t="s">
        <v>864</v>
      </c>
      <c r="B53" s="59">
        <v>7.95</v>
      </c>
      <c r="C53" s="59">
        <v>39.840000000000003</v>
      </c>
      <c r="D53" s="59">
        <v>28.36</v>
      </c>
      <c r="E53" s="59">
        <v>5.47</v>
      </c>
      <c r="F53" s="59">
        <v>2.46</v>
      </c>
      <c r="G53" s="59">
        <v>62.21</v>
      </c>
      <c r="H53" s="59">
        <v>36.6</v>
      </c>
      <c r="I53" s="9" t="s">
        <v>36</v>
      </c>
      <c r="J53" s="59">
        <v>1.36</v>
      </c>
      <c r="K53" s="59">
        <v>8.18</v>
      </c>
      <c r="L53" s="59">
        <v>26.79</v>
      </c>
      <c r="M53" s="59">
        <v>31</v>
      </c>
      <c r="N53" s="59">
        <v>463.2</v>
      </c>
      <c r="O53" s="59">
        <v>0</v>
      </c>
      <c r="P53" s="59">
        <v>1.17</v>
      </c>
      <c r="Q53" s="59">
        <v>39.47</v>
      </c>
      <c r="R53" s="197"/>
      <c r="S53" s="197"/>
      <c r="T53" s="197"/>
      <c r="U53" s="197"/>
    </row>
    <row r="54" spans="1:21" s="12" customFormat="1" x14ac:dyDescent="0.25">
      <c r="A54" s="200" t="s">
        <v>865</v>
      </c>
      <c r="B54" s="59">
        <v>7.4</v>
      </c>
      <c r="C54" s="59">
        <v>40.28</v>
      </c>
      <c r="D54" s="59">
        <v>28.16</v>
      </c>
      <c r="E54" s="59">
        <v>5.39</v>
      </c>
      <c r="F54" s="59">
        <v>2.61</v>
      </c>
      <c r="G54" s="59">
        <v>62.21</v>
      </c>
      <c r="H54" s="59">
        <v>36.6</v>
      </c>
      <c r="I54" s="9" t="s">
        <v>36</v>
      </c>
      <c r="J54" s="59">
        <v>0.75</v>
      </c>
      <c r="K54" s="59">
        <v>77.95</v>
      </c>
      <c r="L54" s="59">
        <v>27.18</v>
      </c>
      <c r="M54" s="59">
        <v>28</v>
      </c>
      <c r="N54" s="59">
        <v>467.8</v>
      </c>
      <c r="O54" s="59">
        <v>0</v>
      </c>
      <c r="P54" s="59">
        <v>1.1499999999999999</v>
      </c>
      <c r="Q54" s="59">
        <v>39.630000000000003</v>
      </c>
      <c r="R54" s="197"/>
      <c r="S54" s="197"/>
      <c r="T54" s="197"/>
      <c r="U54" s="197"/>
    </row>
    <row r="55" spans="1:21" s="12" customFormat="1" x14ac:dyDescent="0.25">
      <c r="A55" s="200" t="s">
        <v>866</v>
      </c>
      <c r="B55" s="59">
        <v>6.58</v>
      </c>
      <c r="C55" s="59">
        <v>39.49</v>
      </c>
      <c r="D55" s="59">
        <v>27.07</v>
      </c>
      <c r="E55" s="59">
        <v>5.13</v>
      </c>
      <c r="F55" s="59">
        <v>2.36</v>
      </c>
      <c r="G55" s="59">
        <v>64.42</v>
      </c>
      <c r="H55" s="59">
        <v>36.28</v>
      </c>
      <c r="I55" s="9" t="s">
        <v>36</v>
      </c>
      <c r="J55" s="59">
        <v>0.74</v>
      </c>
      <c r="K55" s="59">
        <v>40.94</v>
      </c>
      <c r="L55" s="59">
        <v>25.92</v>
      </c>
      <c r="M55" s="59">
        <v>28</v>
      </c>
      <c r="N55" s="59">
        <v>480.4</v>
      </c>
      <c r="O55" s="59">
        <v>0</v>
      </c>
      <c r="P55" s="59">
        <v>1.1200000000000001</v>
      </c>
      <c r="Q55" s="59">
        <v>39.78</v>
      </c>
      <c r="R55" s="197"/>
      <c r="S55" s="197"/>
      <c r="T55" s="197"/>
      <c r="U55" s="197"/>
    </row>
    <row r="56" spans="1:21" s="12" customFormat="1" x14ac:dyDescent="0.25">
      <c r="A56" s="200" t="s">
        <v>867</v>
      </c>
      <c r="B56" s="59">
        <v>6.27</v>
      </c>
      <c r="C56" s="59">
        <v>39.26</v>
      </c>
      <c r="D56" s="59">
        <v>26.7</v>
      </c>
      <c r="E56" s="59">
        <v>2.66</v>
      </c>
      <c r="F56" s="59">
        <v>2.4900000000000002</v>
      </c>
      <c r="G56" s="59">
        <v>74.63</v>
      </c>
      <c r="H56" s="59">
        <v>35.24</v>
      </c>
      <c r="I56" s="9" t="s">
        <v>36</v>
      </c>
      <c r="J56" s="59">
        <v>0.78</v>
      </c>
      <c r="K56" s="59">
        <v>77.44</v>
      </c>
      <c r="L56" s="59">
        <v>26.8</v>
      </c>
      <c r="M56" s="59">
        <v>25</v>
      </c>
      <c r="N56" s="59">
        <v>423.8</v>
      </c>
      <c r="O56" s="59">
        <v>0</v>
      </c>
      <c r="P56" s="59">
        <v>1.1000000000000001</v>
      </c>
      <c r="Q56" s="59">
        <v>40.31</v>
      </c>
      <c r="R56" s="197"/>
      <c r="S56" s="197"/>
      <c r="T56" s="197"/>
      <c r="U56" s="197"/>
    </row>
    <row r="57" spans="1:21" s="12" customFormat="1" x14ac:dyDescent="0.25">
      <c r="A57" s="200" t="s">
        <v>868</v>
      </c>
      <c r="B57" s="59">
        <v>5.51</v>
      </c>
      <c r="C57" s="59">
        <v>38.979999999999997</v>
      </c>
      <c r="D57" s="59">
        <v>25.93</v>
      </c>
      <c r="E57" s="59">
        <v>4.87</v>
      </c>
      <c r="F57" s="59">
        <v>2.27</v>
      </c>
      <c r="G57" s="59">
        <v>74.63</v>
      </c>
      <c r="H57" s="59">
        <v>35.24</v>
      </c>
      <c r="I57" s="59">
        <v>0.08</v>
      </c>
      <c r="J57" s="59">
        <v>1.21</v>
      </c>
      <c r="K57" s="59">
        <v>12.76</v>
      </c>
      <c r="L57" s="59">
        <v>27.12</v>
      </c>
      <c r="M57" s="59">
        <v>23</v>
      </c>
      <c r="N57" s="59">
        <v>456.2</v>
      </c>
      <c r="O57" s="59">
        <v>0</v>
      </c>
      <c r="P57" s="59">
        <v>1.0900000000000001</v>
      </c>
      <c r="Q57" s="59">
        <v>41.37</v>
      </c>
      <c r="R57" s="197"/>
      <c r="S57" s="197"/>
      <c r="T57" s="197"/>
      <c r="U57" s="197"/>
    </row>
    <row r="58" spans="1:21" s="12" customFormat="1" x14ac:dyDescent="0.25">
      <c r="A58" s="200" t="s">
        <v>869</v>
      </c>
      <c r="B58" s="59">
        <v>4.8499999999999996</v>
      </c>
      <c r="C58" s="59">
        <v>38.93</v>
      </c>
      <c r="D58" s="59">
        <v>25.37</v>
      </c>
      <c r="E58" s="59">
        <v>4.5</v>
      </c>
      <c r="F58" s="59">
        <v>2.19</v>
      </c>
      <c r="G58" s="59">
        <v>74.63</v>
      </c>
      <c r="H58" s="59">
        <v>35.24</v>
      </c>
      <c r="I58" s="59">
        <v>0.42</v>
      </c>
      <c r="J58" s="59">
        <v>0.71</v>
      </c>
      <c r="K58" s="59">
        <v>20.86</v>
      </c>
      <c r="L58" s="59">
        <v>27.58</v>
      </c>
      <c r="M58" s="59">
        <v>24</v>
      </c>
      <c r="N58" s="59">
        <v>467.4</v>
      </c>
      <c r="O58" s="59">
        <v>0</v>
      </c>
      <c r="P58" s="59">
        <v>1.06</v>
      </c>
      <c r="Q58" s="59">
        <v>41.45</v>
      </c>
      <c r="R58" s="197"/>
      <c r="S58" s="197"/>
      <c r="T58" s="197"/>
      <c r="U58" s="197"/>
    </row>
    <row r="59" spans="1:21" s="12" customFormat="1" x14ac:dyDescent="0.25">
      <c r="A59" s="200" t="s">
        <v>870</v>
      </c>
      <c r="B59" s="59">
        <v>4.3499999999999996</v>
      </c>
      <c r="C59" s="59">
        <v>38.56</v>
      </c>
      <c r="D59" s="59">
        <v>24.77</v>
      </c>
      <c r="E59" s="59">
        <v>4.16</v>
      </c>
      <c r="F59" s="59">
        <v>2.11</v>
      </c>
      <c r="G59" s="59">
        <v>61.82</v>
      </c>
      <c r="H59" s="59">
        <v>35.67</v>
      </c>
      <c r="I59" s="59">
        <v>0.41</v>
      </c>
      <c r="J59" s="59">
        <v>1.1100000000000001</v>
      </c>
      <c r="K59" s="59">
        <v>99.71</v>
      </c>
      <c r="L59" s="59">
        <v>26.79</v>
      </c>
      <c r="M59" s="59">
        <v>24</v>
      </c>
      <c r="N59" s="59">
        <v>478.2</v>
      </c>
      <c r="O59" s="59">
        <v>0</v>
      </c>
      <c r="P59" s="59">
        <v>1.03</v>
      </c>
      <c r="Q59" s="59">
        <v>41.3</v>
      </c>
      <c r="R59" s="197"/>
      <c r="S59" s="197"/>
      <c r="T59" s="197"/>
      <c r="U59" s="197"/>
    </row>
    <row r="60" spans="1:21" s="12" customFormat="1" x14ac:dyDescent="0.25">
      <c r="A60" s="200" t="s">
        <v>871</v>
      </c>
      <c r="B60" s="59">
        <v>3.87</v>
      </c>
      <c r="C60" s="59">
        <v>37.590000000000003</v>
      </c>
      <c r="D60" s="59">
        <v>23.84</v>
      </c>
      <c r="E60" s="59">
        <v>4.2699999999999996</v>
      </c>
      <c r="F60" s="59">
        <v>2.09</v>
      </c>
      <c r="G60" s="59">
        <v>33.76</v>
      </c>
      <c r="H60" s="59">
        <v>37.1</v>
      </c>
      <c r="I60" s="59">
        <v>0.39</v>
      </c>
      <c r="J60" s="59">
        <v>0.49</v>
      </c>
      <c r="K60" s="59">
        <v>68.900000000000006</v>
      </c>
      <c r="L60" s="59">
        <v>26.74</v>
      </c>
      <c r="M60" s="59">
        <v>25</v>
      </c>
      <c r="N60" s="59">
        <v>419</v>
      </c>
      <c r="O60" s="59">
        <v>0</v>
      </c>
      <c r="P60" s="59">
        <v>1</v>
      </c>
      <c r="Q60" s="59">
        <v>40.840000000000003</v>
      </c>
      <c r="R60" s="197"/>
      <c r="S60" s="197"/>
      <c r="T60" s="197"/>
      <c r="U60" s="197"/>
    </row>
    <row r="61" spans="1:21" s="12" customFormat="1" x14ac:dyDescent="0.25">
      <c r="A61" s="200" t="s">
        <v>872</v>
      </c>
      <c r="B61" s="59">
        <v>3.86</v>
      </c>
      <c r="C61" s="59">
        <v>37.22</v>
      </c>
      <c r="D61" s="59">
        <v>23.64</v>
      </c>
      <c r="E61" s="59">
        <v>4.47</v>
      </c>
      <c r="F61" s="59">
        <v>2.12</v>
      </c>
      <c r="G61" s="59">
        <v>33.76</v>
      </c>
      <c r="H61" s="59">
        <v>37.1</v>
      </c>
      <c r="I61" s="59">
        <v>0.38</v>
      </c>
      <c r="J61" s="59">
        <v>1.08</v>
      </c>
      <c r="K61" s="59">
        <v>114.81</v>
      </c>
      <c r="L61" s="59">
        <v>26.13</v>
      </c>
      <c r="M61" s="59">
        <v>27</v>
      </c>
      <c r="N61" s="59">
        <v>430.3</v>
      </c>
      <c r="O61" s="59">
        <v>0</v>
      </c>
      <c r="P61" s="59">
        <v>0.94</v>
      </c>
      <c r="Q61" s="59">
        <v>40.71</v>
      </c>
      <c r="R61" s="197"/>
      <c r="S61" s="197"/>
      <c r="T61" s="197"/>
      <c r="U61" s="197"/>
    </row>
    <row r="62" spans="1:21" s="12" customFormat="1" x14ac:dyDescent="0.25">
      <c r="A62" s="200" t="s">
        <v>873</v>
      </c>
      <c r="B62" s="59">
        <v>3.68</v>
      </c>
      <c r="C62" s="59">
        <v>36.6</v>
      </c>
      <c r="D62" s="59">
        <v>23.15</v>
      </c>
      <c r="E62" s="59">
        <v>4.72</v>
      </c>
      <c r="F62" s="59">
        <v>2.2599999999999998</v>
      </c>
      <c r="G62" s="59">
        <v>33.76</v>
      </c>
      <c r="H62" s="59">
        <v>37.1</v>
      </c>
      <c r="I62" s="59">
        <v>0.37</v>
      </c>
      <c r="J62" s="59">
        <v>1.08</v>
      </c>
      <c r="K62" s="59">
        <v>108.78</v>
      </c>
      <c r="L62" s="59">
        <v>25.92</v>
      </c>
      <c r="M62" s="59">
        <v>27</v>
      </c>
      <c r="N62" s="59">
        <v>418.2</v>
      </c>
      <c r="O62" s="59">
        <v>0</v>
      </c>
      <c r="P62" s="59">
        <v>0.96</v>
      </c>
      <c r="Q62" s="59">
        <v>40.75</v>
      </c>
      <c r="R62" s="197"/>
      <c r="S62" s="197"/>
      <c r="T62" s="197"/>
      <c r="U62" s="197"/>
    </row>
    <row r="63" spans="1:21" s="12" customFormat="1" x14ac:dyDescent="0.25">
      <c r="A63" s="200" t="s">
        <v>874</v>
      </c>
      <c r="B63" s="59">
        <v>3.5</v>
      </c>
      <c r="C63" s="59">
        <v>35.450000000000003</v>
      </c>
      <c r="D63" s="59">
        <v>22.37</v>
      </c>
      <c r="E63" s="59">
        <v>4.9000000000000004</v>
      </c>
      <c r="F63" s="59">
        <v>2.2999999999999998</v>
      </c>
      <c r="G63" s="59">
        <v>27.86</v>
      </c>
      <c r="H63" s="59">
        <v>36.630000000000003</v>
      </c>
      <c r="I63" s="59">
        <v>0.37</v>
      </c>
      <c r="J63" s="59">
        <v>1.44</v>
      </c>
      <c r="K63" s="59">
        <v>120.74</v>
      </c>
      <c r="L63" s="59">
        <v>25.59</v>
      </c>
      <c r="M63" s="59">
        <v>26</v>
      </c>
      <c r="N63" s="59">
        <v>394.8</v>
      </c>
      <c r="O63" s="59">
        <v>0</v>
      </c>
      <c r="P63" s="59">
        <v>0.93</v>
      </c>
      <c r="Q63" s="59">
        <v>39.94</v>
      </c>
      <c r="R63" s="197"/>
      <c r="S63" s="197"/>
      <c r="T63" s="197"/>
      <c r="U63" s="197"/>
    </row>
    <row r="64" spans="1:21" s="12" customFormat="1" x14ac:dyDescent="0.25">
      <c r="A64" s="200" t="s">
        <v>875</v>
      </c>
      <c r="B64" s="59">
        <v>3.29</v>
      </c>
      <c r="C64" s="59">
        <v>34.15</v>
      </c>
      <c r="D64" s="59">
        <v>21.48</v>
      </c>
      <c r="E64" s="59">
        <v>4.9000000000000004</v>
      </c>
      <c r="F64" s="59">
        <v>3.12</v>
      </c>
      <c r="G64" s="59">
        <v>14.92</v>
      </c>
      <c r="H64" s="59">
        <v>35.090000000000003</v>
      </c>
      <c r="I64" s="59">
        <v>0.36</v>
      </c>
      <c r="J64" s="59">
        <v>0.98</v>
      </c>
      <c r="K64" s="59">
        <v>103.74</v>
      </c>
      <c r="L64" s="59">
        <v>25.97</v>
      </c>
      <c r="M64" s="59">
        <v>25</v>
      </c>
      <c r="N64" s="59">
        <v>377.2</v>
      </c>
      <c r="O64" s="59">
        <v>0</v>
      </c>
      <c r="P64" s="59">
        <v>0.89</v>
      </c>
      <c r="Q64" s="59">
        <v>39.11</v>
      </c>
      <c r="R64" s="197"/>
      <c r="S64" s="197"/>
      <c r="T64" s="197"/>
      <c r="U64" s="197"/>
    </row>
    <row r="65" spans="1:21" s="12" customFormat="1" x14ac:dyDescent="0.25">
      <c r="A65" s="200" t="s">
        <v>876</v>
      </c>
      <c r="B65" s="59">
        <v>3.44</v>
      </c>
      <c r="C65" s="59">
        <v>33.08</v>
      </c>
      <c r="D65" s="59">
        <v>21.02</v>
      </c>
      <c r="E65" s="59">
        <v>4.3499999999999996</v>
      </c>
      <c r="F65" s="59">
        <v>2.5499999999999998</v>
      </c>
      <c r="G65" s="59">
        <v>14.92</v>
      </c>
      <c r="H65" s="59">
        <v>35.090000000000003</v>
      </c>
      <c r="I65" s="59">
        <v>0.35</v>
      </c>
      <c r="J65" s="59">
        <v>0.74</v>
      </c>
      <c r="K65" s="59">
        <v>113.53</v>
      </c>
      <c r="L65" s="59">
        <v>26.34</v>
      </c>
      <c r="M65" s="59">
        <v>24</v>
      </c>
      <c r="N65" s="59">
        <v>351.7</v>
      </c>
      <c r="O65" s="59">
        <v>0</v>
      </c>
      <c r="P65" s="59">
        <v>0.88</v>
      </c>
      <c r="Q65" s="59">
        <v>39</v>
      </c>
      <c r="R65" s="197"/>
      <c r="S65" s="197"/>
      <c r="T65" s="197"/>
      <c r="U65" s="197"/>
    </row>
    <row r="66" spans="1:21" s="12" customFormat="1" x14ac:dyDescent="0.25">
      <c r="A66" s="200" t="s">
        <v>877</v>
      </c>
      <c r="B66" s="59">
        <v>3.47</v>
      </c>
      <c r="C66" s="59">
        <v>32.6</v>
      </c>
      <c r="D66" s="59">
        <v>20.78</v>
      </c>
      <c r="E66" s="59">
        <v>4.46</v>
      </c>
      <c r="F66" s="59">
        <v>2.48</v>
      </c>
      <c r="G66" s="59">
        <v>14.92</v>
      </c>
      <c r="H66" s="59">
        <v>35.090000000000003</v>
      </c>
      <c r="I66" s="59">
        <v>0.34</v>
      </c>
      <c r="J66" s="59">
        <v>0.65</v>
      </c>
      <c r="K66" s="59">
        <v>76.81</v>
      </c>
      <c r="L66" s="59">
        <v>26.97</v>
      </c>
      <c r="M66" s="59">
        <v>24</v>
      </c>
      <c r="N66" s="59">
        <v>200.1</v>
      </c>
      <c r="O66" s="59">
        <v>0</v>
      </c>
      <c r="P66" s="59">
        <v>0.87</v>
      </c>
      <c r="Q66" s="59">
        <v>39.39</v>
      </c>
      <c r="R66" s="197"/>
      <c r="S66" s="197"/>
      <c r="T66" s="197"/>
      <c r="U66" s="197"/>
    </row>
    <row r="67" spans="1:21" s="12" customFormat="1" x14ac:dyDescent="0.25">
      <c r="A67" s="200" t="s">
        <v>878</v>
      </c>
      <c r="B67" s="59">
        <v>3.56</v>
      </c>
      <c r="C67" s="59">
        <v>32.43</v>
      </c>
      <c r="D67" s="59">
        <v>20.76</v>
      </c>
      <c r="E67" s="59">
        <v>4.62</v>
      </c>
      <c r="F67" s="59">
        <v>3.01</v>
      </c>
      <c r="G67" s="59">
        <v>24.54</v>
      </c>
      <c r="H67" s="59">
        <v>34.090000000000003</v>
      </c>
      <c r="I67" s="59">
        <v>0.34</v>
      </c>
      <c r="J67" s="59">
        <v>0.54</v>
      </c>
      <c r="K67" s="59">
        <v>83.93</v>
      </c>
      <c r="L67" s="59">
        <v>26.3</v>
      </c>
      <c r="M67" s="59">
        <v>24</v>
      </c>
      <c r="N67" s="59">
        <v>226.7</v>
      </c>
      <c r="O67" s="59">
        <v>0</v>
      </c>
      <c r="P67" s="59">
        <v>0.86</v>
      </c>
      <c r="Q67" s="59">
        <v>39.69</v>
      </c>
      <c r="R67" s="197"/>
      <c r="S67" s="197"/>
      <c r="T67" s="197"/>
      <c r="U67" s="197"/>
    </row>
    <row r="68" spans="1:21" s="12" customFormat="1" x14ac:dyDescent="0.25">
      <c r="A68" s="200" t="s">
        <v>879</v>
      </c>
      <c r="B68" s="59">
        <v>5.01</v>
      </c>
      <c r="C68" s="59">
        <v>32.799999999999997</v>
      </c>
      <c r="D68" s="59">
        <v>22.12</v>
      </c>
      <c r="E68" s="59">
        <v>5.17</v>
      </c>
      <c r="F68" s="59">
        <v>3.95</v>
      </c>
      <c r="G68" s="59">
        <v>45.6</v>
      </c>
      <c r="H68" s="59">
        <v>31</v>
      </c>
      <c r="I68" s="59">
        <v>0.34</v>
      </c>
      <c r="J68" s="59">
        <v>0.61</v>
      </c>
      <c r="K68" s="59">
        <v>35.659999999999997</v>
      </c>
      <c r="L68" s="59">
        <v>27.14</v>
      </c>
      <c r="M68" s="59">
        <v>24</v>
      </c>
      <c r="N68" s="59">
        <v>250.2</v>
      </c>
      <c r="O68" s="59">
        <v>0</v>
      </c>
      <c r="P68" s="59">
        <v>0.86</v>
      </c>
      <c r="Q68" s="59">
        <v>39.79</v>
      </c>
      <c r="R68" s="197"/>
      <c r="S68" s="197"/>
      <c r="T68" s="197"/>
      <c r="U68" s="197"/>
    </row>
    <row r="69" spans="1:21" s="12" customFormat="1" x14ac:dyDescent="0.25">
      <c r="A69" s="200" t="s">
        <v>880</v>
      </c>
      <c r="B69" s="59">
        <v>4.5599999999999996</v>
      </c>
      <c r="C69" s="59">
        <v>33.200000000000003</v>
      </c>
      <c r="D69" s="59">
        <v>21.98</v>
      </c>
      <c r="E69" s="59">
        <v>6.16</v>
      </c>
      <c r="F69" s="59">
        <v>4.09</v>
      </c>
      <c r="G69" s="59">
        <v>45.6</v>
      </c>
      <c r="H69" s="59">
        <v>31</v>
      </c>
      <c r="I69" s="59">
        <v>0.34</v>
      </c>
      <c r="J69" s="59">
        <v>1.18</v>
      </c>
      <c r="K69" s="59">
        <v>10.96</v>
      </c>
      <c r="L69" s="59">
        <v>27.56</v>
      </c>
      <c r="M69" s="59">
        <v>23</v>
      </c>
      <c r="N69" s="59">
        <v>231.2</v>
      </c>
      <c r="O69" s="59">
        <v>0</v>
      </c>
      <c r="P69" s="59">
        <v>0.9</v>
      </c>
      <c r="Q69" s="59">
        <v>39.97</v>
      </c>
      <c r="R69" s="197"/>
      <c r="S69" s="197"/>
      <c r="T69" s="197"/>
      <c r="U69" s="197"/>
    </row>
    <row r="70" spans="1:21" s="12" customFormat="1" x14ac:dyDescent="0.25">
      <c r="A70" s="200" t="s">
        <v>881</v>
      </c>
      <c r="B70" s="59">
        <v>4.76</v>
      </c>
      <c r="C70" s="59">
        <v>35.32</v>
      </c>
      <c r="D70" s="59">
        <v>23.31</v>
      </c>
      <c r="E70" s="59">
        <v>5.73</v>
      </c>
      <c r="F70" s="59">
        <v>3.43</v>
      </c>
      <c r="G70" s="59">
        <v>45.6</v>
      </c>
      <c r="H70" s="59">
        <v>31</v>
      </c>
      <c r="I70" s="59">
        <v>0.33</v>
      </c>
      <c r="J70" s="59">
        <v>1.08</v>
      </c>
      <c r="K70" s="59">
        <v>10.039999999999999</v>
      </c>
      <c r="L70" s="59">
        <v>26.64</v>
      </c>
      <c r="M70" s="59">
        <v>24</v>
      </c>
      <c r="N70" s="59">
        <v>142.80000000000001</v>
      </c>
      <c r="O70" s="59">
        <v>0</v>
      </c>
      <c r="P70" s="59">
        <v>0.91</v>
      </c>
      <c r="Q70" s="59">
        <v>40.17</v>
      </c>
      <c r="R70" s="197"/>
      <c r="S70" s="197"/>
      <c r="T70" s="197"/>
      <c r="U70" s="197"/>
    </row>
    <row r="71" spans="1:21" s="12" customFormat="1" x14ac:dyDescent="0.25">
      <c r="A71" s="200" t="s">
        <v>882</v>
      </c>
      <c r="B71" s="59">
        <v>4.4000000000000004</v>
      </c>
      <c r="C71" s="59">
        <v>35.92</v>
      </c>
      <c r="D71" s="59">
        <v>23.35</v>
      </c>
      <c r="E71" s="59">
        <v>4.91</v>
      </c>
      <c r="F71" s="59">
        <v>2.7</v>
      </c>
      <c r="G71" s="59">
        <v>50.89</v>
      </c>
      <c r="H71" s="59">
        <v>31.1</v>
      </c>
      <c r="I71" s="59">
        <v>0.34</v>
      </c>
      <c r="J71" s="59">
        <v>1.08</v>
      </c>
      <c r="K71" s="59">
        <v>12.03</v>
      </c>
      <c r="L71" s="59">
        <v>25.78</v>
      </c>
      <c r="M71" s="59">
        <v>25</v>
      </c>
      <c r="N71" s="59">
        <v>149.6</v>
      </c>
      <c r="O71" s="59">
        <v>0</v>
      </c>
      <c r="P71" s="59">
        <v>0.94</v>
      </c>
      <c r="Q71" s="59">
        <v>41.94</v>
      </c>
      <c r="R71" s="197"/>
      <c r="S71" s="197"/>
      <c r="T71" s="197"/>
      <c r="U71" s="197"/>
    </row>
    <row r="72" spans="1:21" s="12" customFormat="1" x14ac:dyDescent="0.25">
      <c r="A72" s="200" t="s">
        <v>883</v>
      </c>
      <c r="B72" s="59">
        <v>4.41</v>
      </c>
      <c r="C72" s="59">
        <v>37.65</v>
      </c>
      <c r="D72" s="59">
        <v>24.31</v>
      </c>
      <c r="E72" s="59">
        <v>2.5499999999999998</v>
      </c>
      <c r="F72" s="59">
        <v>3.47</v>
      </c>
      <c r="G72" s="59">
        <v>75.209999999999994</v>
      </c>
      <c r="H72" s="59">
        <v>31.45</v>
      </c>
      <c r="I72" s="59">
        <v>0.35</v>
      </c>
      <c r="J72" s="59">
        <v>0.93</v>
      </c>
      <c r="K72" s="59">
        <v>13.95</v>
      </c>
      <c r="L72" s="59">
        <v>25.31</v>
      </c>
      <c r="M72" s="59">
        <v>25</v>
      </c>
      <c r="N72" s="59">
        <v>77.8</v>
      </c>
      <c r="O72" s="59">
        <v>0</v>
      </c>
      <c r="P72" s="59">
        <v>0.96</v>
      </c>
      <c r="Q72" s="59">
        <v>41.92</v>
      </c>
      <c r="R72" s="197"/>
      <c r="S72" s="197"/>
      <c r="T72" s="197"/>
      <c r="U72" s="197"/>
    </row>
    <row r="73" spans="1:21" s="12" customFormat="1" x14ac:dyDescent="0.25">
      <c r="A73" s="200" t="s">
        <v>884</v>
      </c>
      <c r="B73" s="59">
        <v>4.8</v>
      </c>
      <c r="C73" s="59">
        <v>37.21</v>
      </c>
      <c r="D73" s="59">
        <v>24.38</v>
      </c>
      <c r="E73" s="59">
        <v>4.24</v>
      </c>
      <c r="F73" s="59">
        <v>2.25</v>
      </c>
      <c r="G73" s="59">
        <v>75.209999999999994</v>
      </c>
      <c r="H73" s="59">
        <v>31.45</v>
      </c>
      <c r="I73" s="59">
        <v>0.34</v>
      </c>
      <c r="J73" s="59">
        <v>0.92</v>
      </c>
      <c r="K73" s="59">
        <v>12.19</v>
      </c>
      <c r="L73" s="59">
        <v>24.91</v>
      </c>
      <c r="M73" s="59">
        <v>27</v>
      </c>
      <c r="N73" s="59">
        <v>60.7</v>
      </c>
      <c r="O73" s="59">
        <v>0</v>
      </c>
      <c r="P73" s="59">
        <v>0.99</v>
      </c>
      <c r="Q73" s="59">
        <v>41.37</v>
      </c>
      <c r="R73" s="197"/>
      <c r="S73" s="197"/>
      <c r="T73" s="197"/>
      <c r="U73" s="197"/>
    </row>
    <row r="74" spans="1:21" s="12" customFormat="1" x14ac:dyDescent="0.25">
      <c r="A74" s="200" t="s">
        <v>885</v>
      </c>
      <c r="B74" s="59">
        <v>5.04</v>
      </c>
      <c r="C74" s="59">
        <v>38.35</v>
      </c>
      <c r="D74" s="59">
        <v>25.2</v>
      </c>
      <c r="E74" s="59">
        <v>4.3499999999999996</v>
      </c>
      <c r="F74" s="59">
        <v>2.3199999999999998</v>
      </c>
      <c r="G74" s="59">
        <v>75.209999999999994</v>
      </c>
      <c r="H74" s="59">
        <v>31.45</v>
      </c>
      <c r="I74" s="59">
        <v>0.34</v>
      </c>
      <c r="J74" s="59">
        <v>0.95</v>
      </c>
      <c r="K74" s="59">
        <v>13.78</v>
      </c>
      <c r="L74" s="59">
        <v>24.68</v>
      </c>
      <c r="M74" s="59">
        <v>28</v>
      </c>
      <c r="N74" s="59">
        <v>53.6</v>
      </c>
      <c r="O74" s="59">
        <v>0</v>
      </c>
      <c r="P74" s="59">
        <v>1.02</v>
      </c>
      <c r="Q74" s="59">
        <v>41.26</v>
      </c>
      <c r="R74" s="197"/>
      <c r="S74" s="197"/>
      <c r="T74" s="197"/>
      <c r="U74" s="197"/>
    </row>
    <row r="75" spans="1:21" s="12" customFormat="1" x14ac:dyDescent="0.25">
      <c r="A75" s="200" t="s">
        <v>886</v>
      </c>
      <c r="B75" s="59">
        <v>5.45</v>
      </c>
      <c r="C75" s="59">
        <v>39.92</v>
      </c>
      <c r="D75" s="59">
        <v>26.4</v>
      </c>
      <c r="E75" s="59">
        <v>4.32</v>
      </c>
      <c r="F75" s="59">
        <v>1.63</v>
      </c>
      <c r="G75" s="59">
        <v>67.150000000000006</v>
      </c>
      <c r="H75" s="59">
        <v>31.48</v>
      </c>
      <c r="I75" s="59">
        <v>0.34</v>
      </c>
      <c r="J75" s="59">
        <v>1.06</v>
      </c>
      <c r="K75" s="59">
        <v>12.44</v>
      </c>
      <c r="L75" s="59">
        <v>24.28</v>
      </c>
      <c r="M75" s="59">
        <v>29</v>
      </c>
      <c r="N75" s="59">
        <v>45.9</v>
      </c>
      <c r="O75" s="59">
        <v>0</v>
      </c>
      <c r="P75" s="59">
        <v>1.07</v>
      </c>
      <c r="Q75" s="59">
        <v>40.950000000000003</v>
      </c>
      <c r="R75" s="197"/>
      <c r="S75" s="197"/>
      <c r="T75" s="197"/>
      <c r="U75" s="197"/>
    </row>
    <row r="76" spans="1:21" s="12" customFormat="1" x14ac:dyDescent="0.25">
      <c r="A76" s="200" t="s">
        <v>887</v>
      </c>
      <c r="B76" s="59">
        <v>5.6</v>
      </c>
      <c r="C76" s="59">
        <v>41.12</v>
      </c>
      <c r="D76" s="59">
        <v>27.18</v>
      </c>
      <c r="E76" s="59">
        <v>3.99</v>
      </c>
      <c r="F76" s="59">
        <v>1.37</v>
      </c>
      <c r="G76" s="59">
        <v>49.5</v>
      </c>
      <c r="H76" s="59">
        <v>31.58</v>
      </c>
      <c r="I76" s="59">
        <v>0.34</v>
      </c>
      <c r="J76" s="59">
        <v>0.4</v>
      </c>
      <c r="K76" s="59">
        <v>358.52</v>
      </c>
      <c r="L76" s="59">
        <v>23.4</v>
      </c>
      <c r="M76" s="59">
        <v>42</v>
      </c>
      <c r="N76" s="59">
        <v>34.5</v>
      </c>
      <c r="O76" s="59">
        <v>0</v>
      </c>
      <c r="P76" s="59">
        <v>1.1200000000000001</v>
      </c>
      <c r="Q76" s="59">
        <v>40.700000000000003</v>
      </c>
      <c r="R76" s="197"/>
      <c r="S76" s="197"/>
      <c r="T76" s="197"/>
      <c r="U76" s="197"/>
    </row>
    <row r="77" spans="1:21" s="12" customFormat="1" x14ac:dyDescent="0.25">
      <c r="A77" s="200" t="s">
        <v>888</v>
      </c>
      <c r="B77" s="59">
        <v>6.98</v>
      </c>
      <c r="C77" s="59">
        <v>43.68</v>
      </c>
      <c r="D77" s="59">
        <v>29.71</v>
      </c>
      <c r="E77" s="59">
        <v>3.64</v>
      </c>
      <c r="F77" s="59">
        <v>1.24</v>
      </c>
      <c r="G77" s="59">
        <v>49.5</v>
      </c>
      <c r="H77" s="59">
        <v>31.58</v>
      </c>
      <c r="I77" s="59">
        <v>0.34</v>
      </c>
      <c r="J77" s="59">
        <v>0.35</v>
      </c>
      <c r="K77" s="59">
        <v>1.26</v>
      </c>
      <c r="L77" s="59">
        <v>22.69</v>
      </c>
      <c r="M77" s="59">
        <v>44</v>
      </c>
      <c r="N77" s="59">
        <v>27.1</v>
      </c>
      <c r="O77" s="59">
        <v>0</v>
      </c>
      <c r="P77" s="59">
        <v>1.19</v>
      </c>
      <c r="Q77" s="59">
        <v>40.43</v>
      </c>
      <c r="R77" s="197"/>
      <c r="S77" s="197"/>
      <c r="T77" s="197"/>
      <c r="U77" s="197"/>
    </row>
    <row r="78" spans="1:21" s="12" customFormat="1" x14ac:dyDescent="0.25">
      <c r="A78" s="200" t="s">
        <v>889</v>
      </c>
      <c r="B78" s="59">
        <v>9.39</v>
      </c>
      <c r="C78" s="59">
        <v>41.74</v>
      </c>
      <c r="D78" s="59">
        <v>30.56</v>
      </c>
      <c r="E78" s="59">
        <v>4.05</v>
      </c>
      <c r="F78" s="59">
        <v>1.04</v>
      </c>
      <c r="G78" s="59">
        <v>49.5</v>
      </c>
      <c r="H78" s="59">
        <v>31.58</v>
      </c>
      <c r="I78" s="59">
        <v>0.36</v>
      </c>
      <c r="J78" s="59">
        <v>0.46</v>
      </c>
      <c r="K78" s="59">
        <v>4.22</v>
      </c>
      <c r="L78" s="59">
        <v>22.33</v>
      </c>
      <c r="M78" s="59">
        <v>45</v>
      </c>
      <c r="N78" s="59">
        <v>24.5</v>
      </c>
      <c r="O78" s="59">
        <v>0</v>
      </c>
      <c r="P78" s="59">
        <v>1.24</v>
      </c>
      <c r="Q78" s="59">
        <v>39.950000000000003</v>
      </c>
      <c r="R78" s="197"/>
      <c r="S78" s="197"/>
      <c r="T78" s="197"/>
      <c r="U78" s="197"/>
    </row>
    <row r="79" spans="1:21" s="12" customFormat="1" x14ac:dyDescent="0.25">
      <c r="A79" s="200" t="s">
        <v>890</v>
      </c>
      <c r="B79" s="59">
        <v>11.97</v>
      </c>
      <c r="C79" s="59">
        <v>41.07</v>
      </c>
      <c r="D79" s="59">
        <v>32.270000000000003</v>
      </c>
      <c r="E79" s="59">
        <v>4.16</v>
      </c>
      <c r="F79" s="59">
        <v>1.04</v>
      </c>
      <c r="G79" s="59">
        <v>68.11</v>
      </c>
      <c r="H79" s="59">
        <v>31.7</v>
      </c>
      <c r="I79" s="59">
        <v>0.37</v>
      </c>
      <c r="J79" s="59">
        <v>0.15</v>
      </c>
      <c r="K79" s="59">
        <v>28.75</v>
      </c>
      <c r="L79" s="59">
        <v>21.97</v>
      </c>
      <c r="M79" s="59">
        <v>46</v>
      </c>
      <c r="N79" s="59">
        <v>24.2</v>
      </c>
      <c r="O79" s="59">
        <v>0</v>
      </c>
      <c r="P79" s="59">
        <v>1.3</v>
      </c>
      <c r="Q79" s="59">
        <v>40.090000000000003</v>
      </c>
      <c r="R79" s="197"/>
      <c r="S79" s="197"/>
      <c r="T79" s="197"/>
      <c r="U79" s="197"/>
    </row>
    <row r="80" spans="1:21" s="12" customFormat="1" x14ac:dyDescent="0.25">
      <c r="A80" s="200" t="s">
        <v>891</v>
      </c>
      <c r="B80" s="59">
        <v>14.23</v>
      </c>
      <c r="C80" s="59">
        <v>41.57</v>
      </c>
      <c r="D80" s="59">
        <v>34.35</v>
      </c>
      <c r="E80" s="59">
        <v>4.46</v>
      </c>
      <c r="F80" s="59">
        <v>1.32</v>
      </c>
      <c r="G80" s="59">
        <v>108.87</v>
      </c>
      <c r="H80" s="59">
        <v>32.090000000000003</v>
      </c>
      <c r="I80" s="59">
        <v>0.4</v>
      </c>
      <c r="J80" s="59">
        <v>0.16</v>
      </c>
      <c r="K80" s="59">
        <v>52.81</v>
      </c>
      <c r="L80" s="59">
        <v>21.67</v>
      </c>
      <c r="M80" s="59">
        <v>47</v>
      </c>
      <c r="N80" s="59">
        <v>24</v>
      </c>
      <c r="O80" s="59">
        <v>0</v>
      </c>
      <c r="P80" s="59">
        <v>1.35</v>
      </c>
      <c r="Q80" s="59">
        <v>40.43</v>
      </c>
      <c r="R80" s="197"/>
      <c r="S80" s="197"/>
      <c r="T80" s="197"/>
      <c r="U80" s="197"/>
    </row>
    <row r="81" spans="1:26" s="12" customFormat="1" x14ac:dyDescent="0.25">
      <c r="A81" s="200" t="s">
        <v>892</v>
      </c>
      <c r="B81" s="59">
        <v>16.41</v>
      </c>
      <c r="C81" s="59">
        <v>41.28</v>
      </c>
      <c r="D81" s="59">
        <v>35.94</v>
      </c>
      <c r="E81" s="59">
        <v>4.3600000000000003</v>
      </c>
      <c r="F81" s="59">
        <v>0.76</v>
      </c>
      <c r="G81" s="59">
        <v>108.87</v>
      </c>
      <c r="H81" s="59">
        <v>32.090000000000003</v>
      </c>
      <c r="I81" s="59">
        <v>0.42</v>
      </c>
      <c r="J81" s="59">
        <v>0.25</v>
      </c>
      <c r="K81" s="59">
        <v>81.66</v>
      </c>
      <c r="L81" s="59">
        <v>21.56</v>
      </c>
      <c r="M81" s="59">
        <v>41</v>
      </c>
      <c r="N81" s="59">
        <v>23.7</v>
      </c>
      <c r="O81" s="59">
        <v>0</v>
      </c>
      <c r="P81" s="59">
        <v>1.43</v>
      </c>
      <c r="Q81" s="59">
        <v>41.23</v>
      </c>
      <c r="R81" s="197"/>
      <c r="S81" s="197"/>
      <c r="T81" s="197"/>
      <c r="U81" s="197"/>
    </row>
    <row r="82" spans="1:26" s="12" customFormat="1" x14ac:dyDescent="0.25">
      <c r="A82" s="200" t="s">
        <v>893</v>
      </c>
      <c r="B82" s="59">
        <v>20.78</v>
      </c>
      <c r="C82" s="59">
        <v>39.11</v>
      </c>
      <c r="D82" s="59">
        <v>38.25</v>
      </c>
      <c r="E82" s="59">
        <v>4.2699999999999996</v>
      </c>
      <c r="F82" s="59">
        <v>0.74</v>
      </c>
      <c r="G82" s="59">
        <v>108.87</v>
      </c>
      <c r="H82" s="59">
        <v>32.090000000000003</v>
      </c>
      <c r="I82" s="59">
        <v>0.44</v>
      </c>
      <c r="J82" s="59">
        <v>0.12</v>
      </c>
      <c r="K82" s="59">
        <v>85.69</v>
      </c>
      <c r="L82" s="59">
        <v>21.13</v>
      </c>
      <c r="M82" s="59">
        <v>42</v>
      </c>
      <c r="N82" s="59">
        <v>24.3</v>
      </c>
      <c r="O82" s="59">
        <v>0</v>
      </c>
      <c r="P82" s="59">
        <v>1.53</v>
      </c>
      <c r="Q82" s="59">
        <v>42.1</v>
      </c>
      <c r="R82" s="197"/>
      <c r="S82" s="197"/>
      <c r="T82" s="197"/>
      <c r="U82" s="197"/>
    </row>
    <row r="83" spans="1:26" s="12" customFormat="1" x14ac:dyDescent="0.25">
      <c r="A83" s="200" t="s">
        <v>894</v>
      </c>
      <c r="B83" s="59">
        <v>22</v>
      </c>
      <c r="C83" s="59">
        <v>37.46</v>
      </c>
      <c r="D83" s="59">
        <v>38.32</v>
      </c>
      <c r="E83" s="59">
        <v>4.12</v>
      </c>
      <c r="F83" s="59">
        <v>0.77</v>
      </c>
      <c r="G83" s="59">
        <v>110.37</v>
      </c>
      <c r="H83" s="59">
        <v>32.53</v>
      </c>
      <c r="I83" s="59">
        <v>0.48</v>
      </c>
      <c r="J83" s="59">
        <v>0.04</v>
      </c>
      <c r="K83" s="59">
        <v>164.51</v>
      </c>
      <c r="L83" s="59">
        <v>20.67</v>
      </c>
      <c r="M83" s="59">
        <v>43</v>
      </c>
      <c r="N83" s="59">
        <v>24</v>
      </c>
      <c r="O83" s="59">
        <v>0</v>
      </c>
      <c r="P83" s="59">
        <v>1.64</v>
      </c>
      <c r="Q83" s="59">
        <v>42.89</v>
      </c>
      <c r="R83" s="197"/>
      <c r="S83" s="197"/>
      <c r="T83" s="197"/>
      <c r="U83" s="197"/>
    </row>
    <row r="84" spans="1:26" s="12" customFormat="1" x14ac:dyDescent="0.25">
      <c r="A84" s="200" t="s">
        <v>895</v>
      </c>
      <c r="B84" s="59">
        <v>24.96</v>
      </c>
      <c r="C84" s="59">
        <v>36.909999999999997</v>
      </c>
      <c r="D84" s="59">
        <v>40.39</v>
      </c>
      <c r="E84" s="59">
        <v>4.08</v>
      </c>
      <c r="F84" s="59">
        <v>0.71</v>
      </c>
      <c r="G84" s="59">
        <v>113.67</v>
      </c>
      <c r="H84" s="59">
        <v>33.99</v>
      </c>
      <c r="I84" s="59">
        <v>0.52</v>
      </c>
      <c r="J84" s="59">
        <v>0.19</v>
      </c>
      <c r="K84" s="59">
        <v>352.68</v>
      </c>
      <c r="L84" s="59">
        <v>19.73</v>
      </c>
      <c r="M84" s="59">
        <v>54</v>
      </c>
      <c r="N84" s="59">
        <v>24.5</v>
      </c>
      <c r="O84" s="59">
        <v>0</v>
      </c>
      <c r="P84" s="59">
        <v>1.75</v>
      </c>
      <c r="Q84" s="59">
        <v>43.44</v>
      </c>
      <c r="R84" s="197"/>
      <c r="S84" s="197"/>
      <c r="T84" s="197"/>
      <c r="U84" s="197"/>
    </row>
    <row r="85" spans="1:26" s="12" customFormat="1" x14ac:dyDescent="0.25">
      <c r="A85" s="200" t="s">
        <v>896</v>
      </c>
      <c r="B85" s="59">
        <v>29.65</v>
      </c>
      <c r="C85" s="59">
        <v>34.6</v>
      </c>
      <c r="D85" s="59">
        <v>42.87</v>
      </c>
      <c r="E85" s="59">
        <v>4.3600000000000003</v>
      </c>
      <c r="F85" s="59">
        <v>0.61</v>
      </c>
      <c r="G85" s="59">
        <v>113.67</v>
      </c>
      <c r="H85" s="59">
        <v>33.99</v>
      </c>
      <c r="I85" s="59">
        <v>0.56000000000000005</v>
      </c>
      <c r="J85" s="59">
        <v>0.08</v>
      </c>
      <c r="K85" s="59">
        <v>325.24</v>
      </c>
      <c r="L85" s="59">
        <v>18.71</v>
      </c>
      <c r="M85" s="59">
        <v>55</v>
      </c>
      <c r="N85" s="59">
        <v>24.4</v>
      </c>
      <c r="O85" s="59">
        <v>0</v>
      </c>
      <c r="P85" s="59">
        <v>1.82</v>
      </c>
      <c r="Q85" s="59">
        <v>45.19</v>
      </c>
      <c r="R85" s="197"/>
      <c r="S85" s="197"/>
      <c r="T85" s="197"/>
      <c r="U85" s="197"/>
    </row>
    <row r="86" spans="1:26" s="12" customFormat="1" x14ac:dyDescent="0.25">
      <c r="A86" s="200" t="s">
        <v>897</v>
      </c>
      <c r="B86" s="59">
        <v>38.1</v>
      </c>
      <c r="C86" s="59">
        <v>30.46</v>
      </c>
      <c r="D86" s="59">
        <v>47.36</v>
      </c>
      <c r="E86" s="59">
        <v>4.3</v>
      </c>
      <c r="F86" s="59">
        <v>0.76</v>
      </c>
      <c r="G86" s="59">
        <v>113.67</v>
      </c>
      <c r="H86" s="59">
        <v>33.99</v>
      </c>
      <c r="I86" s="59">
        <v>0.62</v>
      </c>
      <c r="J86" s="59">
        <v>0.09</v>
      </c>
      <c r="K86" s="59">
        <v>282.05</v>
      </c>
      <c r="L86" s="59">
        <v>18.34</v>
      </c>
      <c r="M86" s="59">
        <v>55</v>
      </c>
      <c r="N86" s="59">
        <v>24.1</v>
      </c>
      <c r="O86" s="59">
        <v>0</v>
      </c>
      <c r="P86" s="59">
        <v>2.13</v>
      </c>
      <c r="Q86" s="59">
        <v>46.39</v>
      </c>
      <c r="R86" s="197"/>
      <c r="S86" s="197"/>
      <c r="T86" s="197"/>
      <c r="U86" s="197"/>
    </row>
    <row r="87" spans="1:26" s="12" customFormat="1" x14ac:dyDescent="0.25">
      <c r="A87" s="200" t="s">
        <v>898</v>
      </c>
      <c r="B87" s="59">
        <v>47.34</v>
      </c>
      <c r="C87" s="59">
        <v>26.58</v>
      </c>
      <c r="D87" s="59">
        <v>52.64</v>
      </c>
      <c r="E87" s="59">
        <v>4.5599999999999996</v>
      </c>
      <c r="F87" s="59">
        <v>0.69</v>
      </c>
      <c r="G87" s="59">
        <v>121.71</v>
      </c>
      <c r="H87" s="59">
        <v>34.869999999999997</v>
      </c>
      <c r="I87" s="59">
        <v>0.69</v>
      </c>
      <c r="J87" s="59">
        <v>0.06</v>
      </c>
      <c r="K87" s="59">
        <v>357.54</v>
      </c>
      <c r="L87" s="59">
        <v>18.170000000000002</v>
      </c>
      <c r="M87" s="59">
        <v>59</v>
      </c>
      <c r="N87" s="59">
        <v>24.2</v>
      </c>
      <c r="O87" s="59">
        <v>0</v>
      </c>
      <c r="P87" s="59">
        <v>2.2599999999999998</v>
      </c>
      <c r="Q87" s="59">
        <v>46.7</v>
      </c>
      <c r="R87" s="197"/>
      <c r="S87" s="197"/>
      <c r="T87" s="197"/>
      <c r="U87" s="197"/>
    </row>
    <row r="88" spans="1:26" s="12" customFormat="1" x14ac:dyDescent="0.25">
      <c r="A88" s="200" t="s">
        <v>899</v>
      </c>
      <c r="B88" s="59">
        <v>62.47</v>
      </c>
      <c r="C88" s="59">
        <v>19.52</v>
      </c>
      <c r="D88" s="59">
        <v>60.87</v>
      </c>
      <c r="E88" s="59">
        <v>1.89</v>
      </c>
      <c r="F88" s="59">
        <v>0.77</v>
      </c>
      <c r="G88" s="59">
        <v>158.69</v>
      </c>
      <c r="H88" s="59">
        <v>37.590000000000003</v>
      </c>
      <c r="I88" s="59">
        <v>0.76</v>
      </c>
      <c r="J88" s="59">
        <v>0.16</v>
      </c>
      <c r="K88" s="59">
        <v>5</v>
      </c>
      <c r="L88" s="59">
        <v>17.89</v>
      </c>
      <c r="M88" s="59">
        <v>63</v>
      </c>
      <c r="N88" s="59">
        <v>24</v>
      </c>
      <c r="O88" s="59">
        <v>0</v>
      </c>
      <c r="P88" s="59">
        <v>2.57</v>
      </c>
      <c r="Q88" s="59">
        <v>47</v>
      </c>
      <c r="R88" s="197"/>
      <c r="S88" s="197"/>
      <c r="T88" s="197"/>
      <c r="U88" s="197"/>
    </row>
    <row r="89" spans="1:26" s="12" customFormat="1" x14ac:dyDescent="0.25">
      <c r="A89" s="200" t="s">
        <v>900</v>
      </c>
      <c r="B89" s="59">
        <v>79.989999999999995</v>
      </c>
      <c r="C89" s="59">
        <v>10.57</v>
      </c>
      <c r="D89" s="59">
        <v>69.98</v>
      </c>
      <c r="E89" s="59">
        <v>4.2300000000000004</v>
      </c>
      <c r="F89" s="59">
        <v>0.76</v>
      </c>
      <c r="G89" s="59">
        <v>158.69</v>
      </c>
      <c r="H89" s="59">
        <v>37.590000000000003</v>
      </c>
      <c r="I89" s="59">
        <v>0.83</v>
      </c>
      <c r="J89" s="59">
        <v>0.09</v>
      </c>
      <c r="K89" s="59">
        <v>336.45</v>
      </c>
      <c r="L89" s="59">
        <v>17.670000000000002</v>
      </c>
      <c r="M89" s="59">
        <v>62</v>
      </c>
      <c r="N89" s="59">
        <v>24.1</v>
      </c>
      <c r="O89" s="59">
        <v>0</v>
      </c>
      <c r="P89" s="59">
        <v>2.96</v>
      </c>
      <c r="Q89" s="59">
        <v>48.24</v>
      </c>
      <c r="R89" s="197"/>
      <c r="S89" s="197"/>
      <c r="T89" s="197"/>
      <c r="U89" s="197"/>
    </row>
    <row r="90" spans="1:26" s="12" customFormat="1" x14ac:dyDescent="0.25">
      <c r="A90" s="200" t="s">
        <v>901</v>
      </c>
      <c r="B90" s="59">
        <v>90.74</v>
      </c>
      <c r="C90" s="59">
        <v>5.23</v>
      </c>
      <c r="D90" s="59">
        <v>75.650000000000006</v>
      </c>
      <c r="E90" s="59">
        <v>4.4800000000000004</v>
      </c>
      <c r="F90" s="59">
        <v>0.75</v>
      </c>
      <c r="G90" s="59">
        <v>158.69</v>
      </c>
      <c r="H90" s="59">
        <v>37.590000000000003</v>
      </c>
      <c r="I90" s="59">
        <v>0.95</v>
      </c>
      <c r="J90" s="59">
        <v>0.1</v>
      </c>
      <c r="K90" s="59">
        <v>52.81</v>
      </c>
      <c r="L90" s="59">
        <v>17.82</v>
      </c>
      <c r="M90" s="59">
        <v>62</v>
      </c>
      <c r="N90" s="59">
        <v>23.8</v>
      </c>
      <c r="O90" s="59">
        <v>0</v>
      </c>
      <c r="P90" s="59">
        <v>3.26</v>
      </c>
      <c r="Q90" s="59">
        <v>49.23</v>
      </c>
      <c r="R90" s="197"/>
      <c r="S90" s="197"/>
      <c r="T90" s="197"/>
      <c r="U90" s="197"/>
    </row>
    <row r="91" spans="1:26" s="12" customFormat="1" x14ac:dyDescent="0.25">
      <c r="A91" s="200" t="s">
        <v>902</v>
      </c>
      <c r="B91" s="59">
        <v>99.03</v>
      </c>
      <c r="C91" s="59">
        <v>1.1399999999999999</v>
      </c>
      <c r="D91" s="59">
        <v>80.040000000000006</v>
      </c>
      <c r="E91" s="59">
        <v>4.57</v>
      </c>
      <c r="F91" s="59">
        <v>0.66</v>
      </c>
      <c r="G91" s="59">
        <v>167.17</v>
      </c>
      <c r="H91" s="59">
        <v>39.950000000000003</v>
      </c>
      <c r="I91" s="59">
        <v>1.08</v>
      </c>
      <c r="J91" s="59">
        <v>0.09</v>
      </c>
      <c r="K91" s="59">
        <v>44.59</v>
      </c>
      <c r="L91" s="59">
        <v>18.37</v>
      </c>
      <c r="M91" s="59">
        <v>60</v>
      </c>
      <c r="N91" s="59">
        <v>24</v>
      </c>
      <c r="O91" s="59">
        <v>0</v>
      </c>
      <c r="P91" s="59">
        <v>3.55</v>
      </c>
      <c r="Q91" s="59">
        <v>49.35</v>
      </c>
      <c r="R91" s="197"/>
      <c r="S91" s="197"/>
      <c r="T91" s="197"/>
      <c r="U91" s="197"/>
    </row>
    <row r="92" spans="1:26" s="12" customFormat="1" x14ac:dyDescent="0.25">
      <c r="A92" s="200" t="s">
        <v>903</v>
      </c>
      <c r="B92" s="59">
        <v>110.28</v>
      </c>
      <c r="C92" s="210" t="s">
        <v>43</v>
      </c>
      <c r="D92" s="59">
        <v>86.24</v>
      </c>
      <c r="E92" s="59">
        <v>4.74</v>
      </c>
      <c r="F92" s="59">
        <v>0.62</v>
      </c>
      <c r="G92" s="59">
        <v>185.74</v>
      </c>
      <c r="H92" s="59">
        <v>47.72</v>
      </c>
      <c r="I92" s="59">
        <v>1.18</v>
      </c>
      <c r="J92" s="59">
        <v>0.02</v>
      </c>
      <c r="K92" s="59">
        <v>57.48</v>
      </c>
      <c r="L92" s="59">
        <v>18.239999999999998</v>
      </c>
      <c r="M92" s="59">
        <v>60</v>
      </c>
      <c r="N92" s="59">
        <v>23.8</v>
      </c>
      <c r="O92" s="59">
        <v>0</v>
      </c>
      <c r="P92" s="59">
        <v>3.8</v>
      </c>
      <c r="Q92" s="59">
        <v>48.92</v>
      </c>
      <c r="R92" s="197"/>
      <c r="S92" s="197"/>
      <c r="T92" s="197"/>
      <c r="U92" s="197"/>
    </row>
    <row r="93" spans="1:26" s="12" customFormat="1" x14ac:dyDescent="0.25">
      <c r="A93" s="200" t="s">
        <v>904</v>
      </c>
      <c r="B93" s="59">
        <v>117.62</v>
      </c>
      <c r="C93" s="210" t="s">
        <v>43</v>
      </c>
      <c r="D93" s="59">
        <v>88.58</v>
      </c>
      <c r="E93" s="59">
        <v>4.6500000000000004</v>
      </c>
      <c r="F93" s="59">
        <v>0.6</v>
      </c>
      <c r="G93" s="59">
        <v>185.74</v>
      </c>
      <c r="H93" s="59">
        <v>47.72</v>
      </c>
      <c r="I93" s="59">
        <v>1.29</v>
      </c>
      <c r="J93" s="59">
        <v>0.14000000000000001</v>
      </c>
      <c r="K93" s="59">
        <v>29.8</v>
      </c>
      <c r="L93" s="59">
        <v>18.11</v>
      </c>
      <c r="M93" s="59">
        <v>62</v>
      </c>
      <c r="N93" s="59">
        <v>24.2</v>
      </c>
      <c r="O93" s="59">
        <v>0</v>
      </c>
      <c r="P93" s="59">
        <v>4</v>
      </c>
      <c r="Q93" s="59">
        <v>49.2</v>
      </c>
      <c r="R93" s="197"/>
      <c r="S93" s="197"/>
      <c r="T93" s="197"/>
      <c r="U93" s="197"/>
    </row>
    <row r="94" spans="1:26" s="12" customFormat="1" x14ac:dyDescent="0.25">
      <c r="A94" s="200" t="s">
        <v>905</v>
      </c>
      <c r="B94" s="59">
        <v>126.18</v>
      </c>
      <c r="C94" s="210" t="s">
        <v>43</v>
      </c>
      <c r="D94" s="59">
        <v>92.93</v>
      </c>
      <c r="E94" s="59">
        <v>4.78</v>
      </c>
      <c r="F94" s="59">
        <v>0.63</v>
      </c>
      <c r="G94" s="59">
        <v>185.74</v>
      </c>
      <c r="H94" s="59">
        <v>47.72</v>
      </c>
      <c r="I94" s="59">
        <v>1.39</v>
      </c>
      <c r="J94" s="59">
        <v>0.16</v>
      </c>
      <c r="K94" s="59">
        <v>70.58</v>
      </c>
      <c r="L94" s="59">
        <v>18.43</v>
      </c>
      <c r="M94" s="59">
        <v>56</v>
      </c>
      <c r="N94" s="59">
        <v>23.6</v>
      </c>
      <c r="O94" s="59">
        <v>0</v>
      </c>
      <c r="P94" s="59">
        <v>4.2300000000000004</v>
      </c>
      <c r="Q94" s="59">
        <v>49.87</v>
      </c>
      <c r="R94" s="197"/>
      <c r="S94" s="197"/>
      <c r="T94" s="197"/>
      <c r="U94" s="197"/>
    </row>
    <row r="95" spans="1:26" s="12" customFormat="1" x14ac:dyDescent="0.25">
      <c r="A95" s="200" t="s">
        <v>906</v>
      </c>
      <c r="B95" s="59">
        <v>130.53</v>
      </c>
      <c r="C95" s="210" t="s">
        <v>43</v>
      </c>
      <c r="D95" s="59">
        <v>95.09</v>
      </c>
      <c r="E95" s="59">
        <v>5.3</v>
      </c>
      <c r="F95" s="59">
        <v>0.73</v>
      </c>
      <c r="G95" s="59">
        <v>190.09</v>
      </c>
      <c r="H95" s="59">
        <v>49.71</v>
      </c>
      <c r="I95" s="59">
        <v>1.49</v>
      </c>
      <c r="J95" s="59">
        <v>0.21</v>
      </c>
      <c r="K95" s="59">
        <v>80.34</v>
      </c>
      <c r="L95" s="59">
        <v>19.28</v>
      </c>
      <c r="M95" s="59">
        <v>48</v>
      </c>
      <c r="N95" s="59">
        <v>23.5</v>
      </c>
      <c r="O95" s="59">
        <v>0</v>
      </c>
      <c r="P95" s="59">
        <v>4.37</v>
      </c>
      <c r="Q95" s="59">
        <v>50.6</v>
      </c>
      <c r="R95" s="197"/>
      <c r="S95" s="197"/>
      <c r="T95" s="197"/>
      <c r="U95" s="197"/>
    </row>
    <row r="96" spans="1:26" s="12" customFormat="1" x14ac:dyDescent="0.25">
      <c r="A96" s="200" t="s">
        <v>907</v>
      </c>
      <c r="B96" s="59">
        <v>129.33000000000001</v>
      </c>
      <c r="C96" s="210" t="s">
        <v>43</v>
      </c>
      <c r="D96" s="59">
        <v>94.12</v>
      </c>
      <c r="E96" s="59">
        <v>5.62</v>
      </c>
      <c r="F96" s="59">
        <v>0.85</v>
      </c>
      <c r="G96" s="59">
        <v>199.4</v>
      </c>
      <c r="H96" s="59">
        <v>56.26</v>
      </c>
      <c r="I96" s="59">
        <v>1.76</v>
      </c>
      <c r="J96" s="59">
        <v>0.13</v>
      </c>
      <c r="K96" s="59">
        <v>28.54</v>
      </c>
      <c r="L96" s="59">
        <v>18.940000000000001</v>
      </c>
      <c r="M96" s="59">
        <v>51</v>
      </c>
      <c r="N96" s="59">
        <v>24.4</v>
      </c>
      <c r="O96" s="59">
        <v>0</v>
      </c>
      <c r="P96" s="59">
        <v>4.38</v>
      </c>
      <c r="Q96" s="59">
        <v>50.83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908</v>
      </c>
      <c r="B97" s="59">
        <v>129.82</v>
      </c>
      <c r="C97" s="210" t="s">
        <v>43</v>
      </c>
      <c r="D97" s="59">
        <v>93.67</v>
      </c>
      <c r="E97" s="59">
        <v>5.31</v>
      </c>
      <c r="F97" s="59">
        <v>0.7</v>
      </c>
      <c r="G97" s="59">
        <v>199.4</v>
      </c>
      <c r="H97" s="59">
        <v>56.26</v>
      </c>
      <c r="I97" s="59">
        <v>1.85</v>
      </c>
      <c r="J97" s="59">
        <v>0.16</v>
      </c>
      <c r="K97" s="59">
        <v>63.03</v>
      </c>
      <c r="L97" s="59">
        <v>18.260000000000002</v>
      </c>
      <c r="M97" s="59">
        <v>55</v>
      </c>
      <c r="N97" s="59">
        <v>24.1</v>
      </c>
      <c r="O97" s="59">
        <v>0</v>
      </c>
      <c r="P97" s="59">
        <v>4.4000000000000004</v>
      </c>
      <c r="Q97" s="59">
        <v>51.1</v>
      </c>
      <c r="R97" s="197"/>
      <c r="S97" s="197"/>
      <c r="T97" s="197"/>
      <c r="U97" s="197"/>
    </row>
    <row r="98" spans="1:33" s="12" customFormat="1" x14ac:dyDescent="0.25">
      <c r="A98" s="200" t="s">
        <v>909</v>
      </c>
      <c r="B98" s="59">
        <v>129.16999999999999</v>
      </c>
      <c r="C98" s="210" t="s">
        <v>43</v>
      </c>
      <c r="D98" s="59">
        <v>92.79</v>
      </c>
      <c r="E98" s="59">
        <v>5.21</v>
      </c>
      <c r="F98" s="59">
        <v>0.64</v>
      </c>
      <c r="G98" s="59">
        <v>199.4</v>
      </c>
      <c r="H98" s="59">
        <v>56.26</v>
      </c>
      <c r="I98" s="59">
        <v>1.87</v>
      </c>
      <c r="J98" s="59">
        <v>0.19</v>
      </c>
      <c r="K98" s="59">
        <v>77.63</v>
      </c>
      <c r="L98" s="59">
        <v>18.43</v>
      </c>
      <c r="M98" s="59">
        <v>51</v>
      </c>
      <c r="N98" s="59">
        <v>24.1</v>
      </c>
      <c r="O98" s="59">
        <v>0</v>
      </c>
      <c r="P98" s="59">
        <v>4.3899999999999997</v>
      </c>
      <c r="Q98" s="59">
        <v>51.15</v>
      </c>
      <c r="R98" s="197"/>
      <c r="S98" s="197"/>
      <c r="T98" s="197"/>
      <c r="U98" s="197"/>
    </row>
    <row r="99" spans="1:33" s="12" customFormat="1" x14ac:dyDescent="0.25">
      <c r="A99" s="200" t="s">
        <v>910</v>
      </c>
      <c r="B99" s="59">
        <v>124.1</v>
      </c>
      <c r="C99" s="210" t="s">
        <v>43</v>
      </c>
      <c r="D99" s="59">
        <v>89.51</v>
      </c>
      <c r="E99" s="59">
        <v>5.54</v>
      </c>
      <c r="F99" s="59">
        <v>0.56000000000000005</v>
      </c>
      <c r="G99" s="59">
        <v>194.27</v>
      </c>
      <c r="H99" s="59">
        <v>55.95</v>
      </c>
      <c r="I99" s="59">
        <v>1.88</v>
      </c>
      <c r="J99" s="59">
        <v>0.21</v>
      </c>
      <c r="K99" s="59">
        <v>46.04</v>
      </c>
      <c r="L99" s="59">
        <v>18.510000000000002</v>
      </c>
      <c r="M99" s="59">
        <v>51</v>
      </c>
      <c r="N99" s="59">
        <v>23.9</v>
      </c>
      <c r="O99" s="59">
        <v>0</v>
      </c>
      <c r="P99" s="59">
        <v>4.3099999999999996</v>
      </c>
      <c r="Q99" s="59">
        <v>51.43</v>
      </c>
      <c r="R99" s="197"/>
      <c r="S99" s="197"/>
      <c r="T99" s="197"/>
      <c r="U99" s="197"/>
    </row>
    <row r="100" spans="1:33" s="12" customFormat="1" x14ac:dyDescent="0.25">
      <c r="A100" s="200" t="s">
        <v>911</v>
      </c>
      <c r="B100" s="59">
        <v>119.54</v>
      </c>
      <c r="C100" s="210" t="s">
        <v>43</v>
      </c>
      <c r="D100" s="59">
        <v>87.13</v>
      </c>
      <c r="E100" s="59">
        <v>5.28</v>
      </c>
      <c r="F100" s="59">
        <v>0.8</v>
      </c>
      <c r="G100" s="59">
        <v>183.02</v>
      </c>
      <c r="H100" s="59">
        <v>54.97</v>
      </c>
      <c r="I100" s="59">
        <v>1.88</v>
      </c>
      <c r="J100" s="59">
        <v>0.3</v>
      </c>
      <c r="K100" s="59">
        <v>65.489999999999995</v>
      </c>
      <c r="L100" s="59">
        <v>18.54</v>
      </c>
      <c r="M100" s="59">
        <v>48</v>
      </c>
      <c r="N100" s="59">
        <v>23.5</v>
      </c>
      <c r="O100" s="59">
        <v>0</v>
      </c>
      <c r="P100" s="59">
        <v>4.18</v>
      </c>
      <c r="Q100" s="59">
        <v>51.8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912</v>
      </c>
      <c r="B101" s="59">
        <v>112.29</v>
      </c>
      <c r="C101" s="210" t="s">
        <v>43</v>
      </c>
      <c r="D101" s="59">
        <v>83.26</v>
      </c>
      <c r="E101" s="59">
        <v>4.78</v>
      </c>
      <c r="F101" s="59">
        <v>0.73</v>
      </c>
      <c r="G101" s="59">
        <v>183.02</v>
      </c>
      <c r="H101" s="59">
        <v>54.97</v>
      </c>
      <c r="I101" s="59">
        <v>1.82</v>
      </c>
      <c r="J101" s="59">
        <v>0.27</v>
      </c>
      <c r="K101" s="59">
        <v>30.37</v>
      </c>
      <c r="L101" s="59">
        <v>18.52</v>
      </c>
      <c r="M101" s="59">
        <v>48</v>
      </c>
      <c r="N101" s="59">
        <v>23.8</v>
      </c>
      <c r="O101" s="59">
        <v>0</v>
      </c>
      <c r="P101" s="59">
        <v>3.99</v>
      </c>
      <c r="Q101" s="59">
        <v>51.02</v>
      </c>
      <c r="R101" s="197"/>
      <c r="S101" s="197"/>
      <c r="T101" s="197"/>
      <c r="U101" s="197"/>
    </row>
    <row r="102" spans="1:33" s="12" customFormat="1" x14ac:dyDescent="0.25">
      <c r="A102" s="200" t="s">
        <v>913</v>
      </c>
      <c r="B102" s="59">
        <v>105.03</v>
      </c>
      <c r="C102" s="210" t="s">
        <v>43</v>
      </c>
      <c r="D102" s="59">
        <v>79.34</v>
      </c>
      <c r="E102" s="59">
        <v>4.91</v>
      </c>
      <c r="F102" s="59">
        <v>0.71</v>
      </c>
      <c r="G102" s="59">
        <v>183.02</v>
      </c>
      <c r="H102" s="59">
        <v>54.97</v>
      </c>
      <c r="I102" s="59">
        <v>1.62</v>
      </c>
      <c r="J102" s="59">
        <v>0.28999999999999998</v>
      </c>
      <c r="K102" s="59">
        <v>51.93</v>
      </c>
      <c r="L102" s="59">
        <v>18.48</v>
      </c>
      <c r="M102" s="59">
        <v>48</v>
      </c>
      <c r="N102" s="59">
        <v>23.8</v>
      </c>
      <c r="O102" s="59">
        <v>0</v>
      </c>
      <c r="P102" s="59">
        <v>3.79</v>
      </c>
      <c r="Q102" s="59">
        <v>50.01</v>
      </c>
      <c r="R102" s="197"/>
      <c r="S102" s="197"/>
      <c r="T102" s="197"/>
      <c r="U102" s="197"/>
    </row>
    <row r="103" spans="1:33" s="12" customFormat="1" x14ac:dyDescent="0.25">
      <c r="A103" s="200" t="s">
        <v>914</v>
      </c>
      <c r="B103" s="59">
        <v>96.19</v>
      </c>
      <c r="C103" s="210" t="s">
        <v>43</v>
      </c>
      <c r="D103" s="59">
        <v>74.52</v>
      </c>
      <c r="E103" s="59">
        <v>5.0999999999999996</v>
      </c>
      <c r="F103" s="59">
        <v>0.75</v>
      </c>
      <c r="G103" s="59">
        <v>167</v>
      </c>
      <c r="H103" s="59">
        <v>53.03</v>
      </c>
      <c r="I103" s="59">
        <v>1.63</v>
      </c>
      <c r="J103" s="59">
        <v>0.35</v>
      </c>
      <c r="K103" s="59">
        <v>62.84</v>
      </c>
      <c r="L103" s="59">
        <v>18.34</v>
      </c>
      <c r="M103" s="59">
        <v>48</v>
      </c>
      <c r="N103" s="59">
        <v>24</v>
      </c>
      <c r="O103" s="59">
        <v>0</v>
      </c>
      <c r="P103" s="59">
        <v>3.57</v>
      </c>
      <c r="Q103" s="59">
        <v>48.86</v>
      </c>
      <c r="R103" s="197"/>
      <c r="S103" s="197"/>
      <c r="T103" s="197"/>
      <c r="U103" s="197"/>
    </row>
    <row r="104" spans="1:33" s="12" customFormat="1" x14ac:dyDescent="0.25">
      <c r="A104" s="200" t="s">
        <v>915</v>
      </c>
      <c r="B104" s="59">
        <v>86.73</v>
      </c>
      <c r="C104" s="210" t="s">
        <v>43</v>
      </c>
      <c r="D104" s="59">
        <v>69.319999999999993</v>
      </c>
      <c r="E104" s="59">
        <v>3.1</v>
      </c>
      <c r="F104" s="59">
        <v>0.72</v>
      </c>
      <c r="G104" s="59">
        <v>86.94</v>
      </c>
      <c r="H104" s="59">
        <v>47.05</v>
      </c>
      <c r="I104" s="59">
        <v>1.45</v>
      </c>
      <c r="J104" s="59">
        <v>0.84</v>
      </c>
      <c r="K104" s="59">
        <v>16.260000000000002</v>
      </c>
      <c r="L104" s="59">
        <v>18.22</v>
      </c>
      <c r="M104" s="59">
        <v>49</v>
      </c>
      <c r="N104" s="59">
        <v>23.9</v>
      </c>
      <c r="O104" s="59">
        <v>0</v>
      </c>
      <c r="P104" s="59">
        <v>3.36</v>
      </c>
      <c r="Q104" s="59">
        <v>47.79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3.29</v>
      </c>
      <c r="C106" s="66">
        <f>MIN(C9:C104)</f>
        <v>1.1399999999999999</v>
      </c>
      <c r="D106" s="66">
        <f t="shared" ref="D106:Q106" si="0">MIN(D9:D104)</f>
        <v>20.76</v>
      </c>
      <c r="E106" s="66">
        <f t="shared" si="0"/>
        <v>1.89</v>
      </c>
      <c r="F106" s="66">
        <f t="shared" si="0"/>
        <v>0.33</v>
      </c>
      <c r="G106" s="66">
        <f t="shared" si="0"/>
        <v>14.92</v>
      </c>
      <c r="H106" s="66">
        <f t="shared" si="0"/>
        <v>26.13</v>
      </c>
      <c r="I106" s="66">
        <f t="shared" si="0"/>
        <v>0.08</v>
      </c>
      <c r="J106" s="66">
        <f t="shared" si="0"/>
        <v>0.02</v>
      </c>
      <c r="K106" s="66">
        <f t="shared" si="0"/>
        <v>1.26</v>
      </c>
      <c r="L106" s="66">
        <f t="shared" si="0"/>
        <v>15.6</v>
      </c>
      <c r="M106" s="66">
        <f t="shared" si="0"/>
        <v>23</v>
      </c>
      <c r="N106" s="66">
        <f t="shared" si="0"/>
        <v>22.7</v>
      </c>
      <c r="O106" s="66">
        <f t="shared" si="0"/>
        <v>0</v>
      </c>
      <c r="P106" s="66">
        <f t="shared" si="0"/>
        <v>0.86</v>
      </c>
      <c r="Q106" s="66">
        <f t="shared" si="0"/>
        <v>39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130.53</v>
      </c>
      <c r="C107" s="65">
        <f t="shared" ref="C107:Q107" si="1">MAX(C9:C104)</f>
        <v>43.68</v>
      </c>
      <c r="D107" s="65">
        <f t="shared" si="1"/>
        <v>95.09</v>
      </c>
      <c r="E107" s="65">
        <f t="shared" si="1"/>
        <v>6.16</v>
      </c>
      <c r="F107" s="65">
        <f t="shared" si="1"/>
        <v>4.09</v>
      </c>
      <c r="G107" s="65">
        <f t="shared" si="1"/>
        <v>199.4</v>
      </c>
      <c r="H107" s="65">
        <f t="shared" si="1"/>
        <v>56.26</v>
      </c>
      <c r="I107" s="65">
        <f t="shared" si="1"/>
        <v>1.88</v>
      </c>
      <c r="J107" s="65">
        <f t="shared" si="1"/>
        <v>1.53</v>
      </c>
      <c r="K107" s="65">
        <f t="shared" si="1"/>
        <v>358.52</v>
      </c>
      <c r="L107" s="65">
        <f t="shared" si="1"/>
        <v>27.58</v>
      </c>
      <c r="M107" s="65">
        <f t="shared" si="1"/>
        <v>80</v>
      </c>
      <c r="N107" s="65">
        <f t="shared" si="1"/>
        <v>480.4</v>
      </c>
      <c r="O107" s="65">
        <f t="shared" si="1"/>
        <v>0</v>
      </c>
      <c r="P107" s="65">
        <f t="shared" si="1"/>
        <v>4.4000000000000004</v>
      </c>
      <c r="Q107" s="65">
        <f t="shared" si="1"/>
        <v>51.8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35.728020833333325</v>
      </c>
      <c r="C108" s="66">
        <f t="shared" ref="C108:Q108" si="2">AVERAGE(C9:C104)</f>
        <v>28.035542168674695</v>
      </c>
      <c r="D108" s="66">
        <f t="shared" si="2"/>
        <v>41.092083333333328</v>
      </c>
      <c r="E108" s="66">
        <f t="shared" si="2"/>
        <v>4.4586458333333345</v>
      </c>
      <c r="F108" s="66">
        <f t="shared" si="2"/>
        <v>1.2483333333333333</v>
      </c>
      <c r="G108" s="66">
        <f t="shared" si="2"/>
        <v>97.418125000000018</v>
      </c>
      <c r="H108" s="66">
        <f t="shared" si="2"/>
        <v>35.375729166666652</v>
      </c>
      <c r="I108" s="66">
        <f t="shared" si="2"/>
        <v>0.75776315789473681</v>
      </c>
      <c r="J108" s="66">
        <f t="shared" si="2"/>
        <v>0.54343749999999991</v>
      </c>
      <c r="K108" s="66">
        <f t="shared" si="2"/>
        <v>99.350104166666668</v>
      </c>
      <c r="L108" s="66">
        <f t="shared" si="2"/>
        <v>20.800416666666671</v>
      </c>
      <c r="M108" s="66">
        <f t="shared" si="2"/>
        <v>50.010416666666664</v>
      </c>
      <c r="N108" s="66">
        <f t="shared" si="2"/>
        <v>134.34687500000004</v>
      </c>
      <c r="O108" s="66">
        <f t="shared" si="2"/>
        <v>0</v>
      </c>
      <c r="P108" s="66">
        <f t="shared" si="2"/>
        <v>1.7927083333333333</v>
      </c>
      <c r="Q108" s="66">
        <f t="shared" si="2"/>
        <v>43.874687499999986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37.334777060361972</v>
      </c>
      <c r="C109" s="66">
        <f t="shared" ref="C109:Q109" si="3">STDEV(C9:C104)</f>
        <v>10.525269622062069</v>
      </c>
      <c r="D109" s="66">
        <f t="shared" si="3"/>
        <v>21.143353909950147</v>
      </c>
      <c r="E109" s="66">
        <f t="shared" si="3"/>
        <v>0.77829857589847817</v>
      </c>
      <c r="F109" s="66">
        <f t="shared" si="3"/>
        <v>0.89001084164498445</v>
      </c>
      <c r="G109" s="66">
        <f t="shared" si="3"/>
        <v>48.703087685808761</v>
      </c>
      <c r="H109" s="66">
        <f t="shared" si="3"/>
        <v>7.6148614729484363</v>
      </c>
      <c r="I109" s="66">
        <f t="shared" si="3"/>
        <v>0.46259441900138421</v>
      </c>
      <c r="J109" s="66">
        <f t="shared" si="3"/>
        <v>0.44537347574225472</v>
      </c>
      <c r="K109" s="66">
        <f t="shared" si="3"/>
        <v>112.5226508237789</v>
      </c>
      <c r="L109" s="66">
        <f t="shared" si="3"/>
        <v>3.9460226255564645</v>
      </c>
      <c r="M109" s="66">
        <f t="shared" si="3"/>
        <v>17.624441636047827</v>
      </c>
      <c r="N109" s="66">
        <f t="shared" si="3"/>
        <v>161.48141555324233</v>
      </c>
      <c r="O109" s="66">
        <f t="shared" si="3"/>
        <v>0</v>
      </c>
      <c r="P109" s="66">
        <f t="shared" si="3"/>
        <v>1.0350799401283652</v>
      </c>
      <c r="Q109" s="66">
        <f t="shared" si="3"/>
        <v>3.6995382224286488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83</v>
      </c>
      <c r="D110" s="65">
        <f t="shared" si="4"/>
        <v>96</v>
      </c>
      <c r="E110" s="65">
        <f t="shared" si="4"/>
        <v>96</v>
      </c>
      <c r="F110" s="65">
        <f>COUNT(F9:F104)</f>
        <v>96</v>
      </c>
      <c r="G110" s="65">
        <f t="shared" si="4"/>
        <v>96</v>
      </c>
      <c r="H110" s="65">
        <f>COUNT(H9:H104)</f>
        <v>96</v>
      </c>
      <c r="I110" s="65">
        <f>COUNT(I9:I104)+20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&lt;90%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LESS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60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08-12-2022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916</v>
      </c>
      <c r="B9" s="59">
        <v>77.650000000000006</v>
      </c>
      <c r="C9" s="59">
        <v>3.67</v>
      </c>
      <c r="D9" s="59">
        <v>64.290000000000006</v>
      </c>
      <c r="E9" s="59">
        <v>5.21</v>
      </c>
      <c r="F9" s="59">
        <v>0.75</v>
      </c>
      <c r="G9" s="59">
        <v>86.94</v>
      </c>
      <c r="H9" s="59">
        <v>47.05</v>
      </c>
      <c r="I9" s="59">
        <v>1.33</v>
      </c>
      <c r="J9" s="59">
        <v>0.9</v>
      </c>
      <c r="K9" s="59">
        <v>13.19</v>
      </c>
      <c r="L9" s="59">
        <v>18.27</v>
      </c>
      <c r="M9" s="59">
        <v>50</v>
      </c>
      <c r="N9" s="59">
        <v>23.9</v>
      </c>
      <c r="O9" s="59">
        <v>0</v>
      </c>
      <c r="P9" s="59">
        <v>3.13</v>
      </c>
      <c r="Q9" s="59">
        <v>46.97</v>
      </c>
      <c r="R9" s="197"/>
      <c r="S9" s="197"/>
      <c r="T9" s="197"/>
      <c r="U9" s="197"/>
    </row>
    <row r="10" spans="1:21" s="12" customFormat="1" x14ac:dyDescent="0.25">
      <c r="A10" s="200" t="s">
        <v>917</v>
      </c>
      <c r="B10" s="59">
        <v>67.239999999999995</v>
      </c>
      <c r="C10" s="59">
        <v>8.08</v>
      </c>
      <c r="D10" s="59">
        <v>58.38</v>
      </c>
      <c r="E10" s="59">
        <v>5.45</v>
      </c>
      <c r="F10" s="59">
        <v>0.75</v>
      </c>
      <c r="G10" s="59">
        <v>86.94</v>
      </c>
      <c r="H10" s="59">
        <v>47.05</v>
      </c>
      <c r="I10" s="59">
        <v>1.25</v>
      </c>
      <c r="J10" s="59">
        <v>0.92</v>
      </c>
      <c r="K10" s="59">
        <v>13.28</v>
      </c>
      <c r="L10" s="59">
        <v>18.010000000000002</v>
      </c>
      <c r="M10" s="59">
        <v>51</v>
      </c>
      <c r="N10" s="59">
        <v>24.3</v>
      </c>
      <c r="O10" s="59">
        <v>0</v>
      </c>
      <c r="P10" s="59">
        <v>2.97</v>
      </c>
      <c r="Q10" s="59">
        <v>45.08</v>
      </c>
      <c r="R10" s="197"/>
      <c r="S10" s="197"/>
      <c r="T10" s="197"/>
      <c r="U10" s="197"/>
    </row>
    <row r="11" spans="1:21" s="12" customFormat="1" x14ac:dyDescent="0.25">
      <c r="A11" s="200" t="s">
        <v>918</v>
      </c>
      <c r="B11" s="59">
        <v>62.22</v>
      </c>
      <c r="C11" s="59">
        <v>10.199999999999999</v>
      </c>
      <c r="D11" s="59">
        <v>55.52</v>
      </c>
      <c r="E11" s="59">
        <v>5.16</v>
      </c>
      <c r="F11" s="59">
        <v>0.8</v>
      </c>
      <c r="G11" s="59">
        <v>75.31</v>
      </c>
      <c r="H11" s="59">
        <v>44.9</v>
      </c>
      <c r="I11" s="59">
        <v>1.1599999999999999</v>
      </c>
      <c r="J11" s="59">
        <v>0.28000000000000003</v>
      </c>
      <c r="K11" s="59">
        <v>83.18</v>
      </c>
      <c r="L11" s="59">
        <v>17.739999999999998</v>
      </c>
      <c r="M11" s="59">
        <v>52</v>
      </c>
      <c r="N11" s="59">
        <v>24.6</v>
      </c>
      <c r="O11" s="59">
        <v>0</v>
      </c>
      <c r="P11" s="59">
        <v>2.86</v>
      </c>
      <c r="Q11" s="59">
        <v>43.89</v>
      </c>
      <c r="R11" s="197"/>
      <c r="S11" s="197"/>
      <c r="T11" s="197"/>
      <c r="U11" s="197"/>
    </row>
    <row r="12" spans="1:21" s="12" customFormat="1" x14ac:dyDescent="0.25">
      <c r="A12" s="200" t="s">
        <v>919</v>
      </c>
      <c r="B12" s="59">
        <v>57.63</v>
      </c>
      <c r="C12" s="59">
        <v>12.11</v>
      </c>
      <c r="D12" s="59">
        <v>52.9</v>
      </c>
      <c r="E12" s="59">
        <v>5.24</v>
      </c>
      <c r="F12" s="59">
        <v>0.69</v>
      </c>
      <c r="G12" s="59">
        <v>49.84</v>
      </c>
      <c r="H12" s="59">
        <v>38.26</v>
      </c>
      <c r="I12" s="59">
        <v>1.0900000000000001</v>
      </c>
      <c r="J12" s="59">
        <v>0.32</v>
      </c>
      <c r="K12" s="59">
        <v>110.44</v>
      </c>
      <c r="L12" s="59">
        <v>17.5</v>
      </c>
      <c r="M12" s="59">
        <v>53</v>
      </c>
      <c r="N12" s="59">
        <v>24.4</v>
      </c>
      <c r="O12" s="59">
        <v>0</v>
      </c>
      <c r="P12" s="59">
        <v>2.78</v>
      </c>
      <c r="Q12" s="59">
        <v>43.24</v>
      </c>
      <c r="R12" s="197"/>
      <c r="S12" s="197"/>
      <c r="T12" s="197"/>
      <c r="U12" s="197"/>
    </row>
    <row r="13" spans="1:21" s="12" customFormat="1" x14ac:dyDescent="0.25">
      <c r="A13" s="200" t="s">
        <v>920</v>
      </c>
      <c r="B13" s="59">
        <v>52.99</v>
      </c>
      <c r="C13" s="59">
        <v>14.03</v>
      </c>
      <c r="D13" s="59">
        <v>50.23</v>
      </c>
      <c r="E13" s="59">
        <v>5.26</v>
      </c>
      <c r="F13" s="59">
        <v>0.65</v>
      </c>
      <c r="G13" s="59">
        <v>49.84</v>
      </c>
      <c r="H13" s="59">
        <v>38.26</v>
      </c>
      <c r="I13" s="59">
        <v>1.04</v>
      </c>
      <c r="J13" s="59">
        <v>0.2</v>
      </c>
      <c r="K13" s="59">
        <v>71.72</v>
      </c>
      <c r="L13" s="59">
        <v>17.329999999999998</v>
      </c>
      <c r="M13" s="59">
        <v>54</v>
      </c>
      <c r="N13" s="59">
        <v>24.2</v>
      </c>
      <c r="O13" s="59">
        <v>0</v>
      </c>
      <c r="P13" s="59">
        <v>2.59</v>
      </c>
      <c r="Q13" s="59">
        <v>42.99</v>
      </c>
      <c r="R13" s="197"/>
      <c r="S13" s="197"/>
      <c r="T13" s="197"/>
      <c r="U13" s="197"/>
    </row>
    <row r="14" spans="1:21" s="12" customFormat="1" x14ac:dyDescent="0.25">
      <c r="A14" s="200" t="s">
        <v>921</v>
      </c>
      <c r="B14" s="59">
        <v>48.69</v>
      </c>
      <c r="C14" s="59">
        <v>15.74</v>
      </c>
      <c r="D14" s="59">
        <v>47.73</v>
      </c>
      <c r="E14" s="59">
        <v>5.4</v>
      </c>
      <c r="F14" s="59">
        <v>0.76</v>
      </c>
      <c r="G14" s="59">
        <v>49.84</v>
      </c>
      <c r="H14" s="59">
        <v>38.26</v>
      </c>
      <c r="I14" s="59">
        <v>1</v>
      </c>
      <c r="J14" s="59">
        <v>0.16</v>
      </c>
      <c r="K14" s="59">
        <v>14.41</v>
      </c>
      <c r="L14" s="59">
        <v>16.899999999999999</v>
      </c>
      <c r="M14" s="59">
        <v>57</v>
      </c>
      <c r="N14" s="59">
        <v>24.6</v>
      </c>
      <c r="O14" s="59">
        <v>0</v>
      </c>
      <c r="P14" s="59">
        <v>2.61</v>
      </c>
      <c r="Q14" s="59">
        <v>42.85</v>
      </c>
      <c r="R14" s="197"/>
      <c r="S14" s="197"/>
      <c r="T14" s="197"/>
      <c r="U14" s="197"/>
    </row>
    <row r="15" spans="1:21" s="12" customFormat="1" x14ac:dyDescent="0.25">
      <c r="A15" s="200" t="s">
        <v>922</v>
      </c>
      <c r="B15" s="59">
        <v>44.97</v>
      </c>
      <c r="C15" s="59">
        <v>17.09</v>
      </c>
      <c r="D15" s="59">
        <v>45.49</v>
      </c>
      <c r="E15" s="59">
        <v>5.26</v>
      </c>
      <c r="F15" s="59">
        <v>0.75</v>
      </c>
      <c r="G15" s="59">
        <v>65.099999999999994</v>
      </c>
      <c r="H15" s="59">
        <v>37.659999999999997</v>
      </c>
      <c r="I15" s="59">
        <v>0.96</v>
      </c>
      <c r="J15" s="59">
        <v>0.02</v>
      </c>
      <c r="K15" s="59">
        <v>131.79</v>
      </c>
      <c r="L15" s="59">
        <v>16.7</v>
      </c>
      <c r="M15" s="59">
        <v>57</v>
      </c>
      <c r="N15" s="59">
        <v>24.5</v>
      </c>
      <c r="O15" s="59">
        <v>0</v>
      </c>
      <c r="P15" s="59">
        <v>2.5499999999999998</v>
      </c>
      <c r="Q15" s="59">
        <v>42.7</v>
      </c>
      <c r="R15" s="197"/>
      <c r="S15" s="197"/>
      <c r="T15" s="197"/>
      <c r="U15" s="197"/>
    </row>
    <row r="16" spans="1:21" s="12" customFormat="1" x14ac:dyDescent="0.25">
      <c r="A16" s="200" t="s">
        <v>923</v>
      </c>
      <c r="B16" s="59">
        <v>41.44</v>
      </c>
      <c r="C16" s="59">
        <v>18.27</v>
      </c>
      <c r="D16" s="59">
        <v>43.31</v>
      </c>
      <c r="E16" s="59">
        <v>5.37</v>
      </c>
      <c r="F16" s="59">
        <v>0.72</v>
      </c>
      <c r="G16" s="59">
        <v>100.2</v>
      </c>
      <c r="H16" s="59">
        <v>35.659999999999997</v>
      </c>
      <c r="I16" s="59">
        <v>0.92</v>
      </c>
      <c r="J16" s="59">
        <v>0.6</v>
      </c>
      <c r="K16" s="59">
        <v>12.53</v>
      </c>
      <c r="L16" s="59">
        <v>16.45</v>
      </c>
      <c r="M16" s="59">
        <v>59</v>
      </c>
      <c r="N16" s="59">
        <v>23.8</v>
      </c>
      <c r="O16" s="59">
        <v>0</v>
      </c>
      <c r="P16" s="59">
        <v>2.48</v>
      </c>
      <c r="Q16" s="59">
        <v>42.44</v>
      </c>
      <c r="R16" s="197"/>
      <c r="S16" s="197"/>
      <c r="T16" s="197"/>
      <c r="U16" s="197"/>
    </row>
    <row r="17" spans="1:21" s="12" customFormat="1" x14ac:dyDescent="0.25">
      <c r="A17" s="200" t="s">
        <v>924</v>
      </c>
      <c r="B17" s="59">
        <v>37.65</v>
      </c>
      <c r="C17" s="59">
        <v>19.7</v>
      </c>
      <c r="D17" s="59">
        <v>41.06</v>
      </c>
      <c r="E17" s="59">
        <v>4.8499999999999996</v>
      </c>
      <c r="F17" s="59">
        <v>0.6</v>
      </c>
      <c r="G17" s="59">
        <v>100.2</v>
      </c>
      <c r="H17" s="59">
        <v>35.659999999999997</v>
      </c>
      <c r="I17" s="59">
        <v>0.89</v>
      </c>
      <c r="J17" s="59">
        <v>1.07</v>
      </c>
      <c r="K17" s="59">
        <v>13.97</v>
      </c>
      <c r="L17" s="59">
        <v>16.809999999999999</v>
      </c>
      <c r="M17" s="59">
        <v>56</v>
      </c>
      <c r="N17" s="59">
        <v>23.1</v>
      </c>
      <c r="O17" s="59">
        <v>0</v>
      </c>
      <c r="P17" s="59">
        <v>2.37</v>
      </c>
      <c r="Q17" s="59">
        <v>42.27</v>
      </c>
      <c r="R17" s="197"/>
      <c r="S17" s="197"/>
      <c r="T17" s="197"/>
      <c r="U17" s="197"/>
    </row>
    <row r="18" spans="1:21" s="12" customFormat="1" x14ac:dyDescent="0.25">
      <c r="A18" s="200" t="s">
        <v>925</v>
      </c>
      <c r="B18" s="59">
        <v>33.159999999999997</v>
      </c>
      <c r="C18" s="59">
        <v>22.08</v>
      </c>
      <c r="D18" s="59">
        <v>38.78</v>
      </c>
      <c r="E18" s="59">
        <v>4.58</v>
      </c>
      <c r="F18" s="59">
        <v>0.66</v>
      </c>
      <c r="G18" s="59">
        <v>100.2</v>
      </c>
      <c r="H18" s="59">
        <v>35.659999999999997</v>
      </c>
      <c r="I18" s="59">
        <v>0.86</v>
      </c>
      <c r="J18" s="59">
        <v>1.22</v>
      </c>
      <c r="K18" s="59">
        <v>12.82</v>
      </c>
      <c r="L18" s="59">
        <v>17.21</v>
      </c>
      <c r="M18" s="59">
        <v>54</v>
      </c>
      <c r="N18" s="59">
        <v>23.6</v>
      </c>
      <c r="O18" s="59">
        <v>0</v>
      </c>
      <c r="P18" s="59">
        <v>2.23</v>
      </c>
      <c r="Q18" s="59">
        <v>42.98</v>
      </c>
      <c r="R18" s="197"/>
      <c r="S18" s="197"/>
      <c r="T18" s="197"/>
      <c r="U18" s="197"/>
    </row>
    <row r="19" spans="1:21" s="12" customFormat="1" x14ac:dyDescent="0.25">
      <c r="A19" s="200" t="s">
        <v>926</v>
      </c>
      <c r="B19" s="59">
        <v>28.28</v>
      </c>
      <c r="C19" s="59">
        <v>25.01</v>
      </c>
      <c r="D19" s="59">
        <v>36.479999999999997</v>
      </c>
      <c r="E19" s="59">
        <v>5.37</v>
      </c>
      <c r="F19" s="59">
        <v>0.71</v>
      </c>
      <c r="G19" s="59">
        <v>90.75</v>
      </c>
      <c r="H19" s="59">
        <v>35.03</v>
      </c>
      <c r="I19" s="59">
        <v>0.81</v>
      </c>
      <c r="J19" s="59">
        <v>1.33</v>
      </c>
      <c r="K19" s="59">
        <v>13.18</v>
      </c>
      <c r="L19" s="59">
        <v>17.25</v>
      </c>
      <c r="M19" s="59">
        <v>54</v>
      </c>
      <c r="N19" s="59">
        <v>24</v>
      </c>
      <c r="O19" s="59">
        <v>0</v>
      </c>
      <c r="P19" s="59">
        <v>2.1</v>
      </c>
      <c r="Q19" s="59">
        <v>42.29</v>
      </c>
      <c r="R19" s="197"/>
      <c r="S19" s="197"/>
      <c r="T19" s="197"/>
      <c r="U19" s="197"/>
    </row>
    <row r="20" spans="1:21" s="12" customFormat="1" x14ac:dyDescent="0.25">
      <c r="A20" s="200" t="s">
        <v>927</v>
      </c>
      <c r="B20" s="59">
        <v>24.21</v>
      </c>
      <c r="C20" s="59">
        <v>27.65</v>
      </c>
      <c r="D20" s="59">
        <v>34.68</v>
      </c>
      <c r="E20" s="59">
        <v>5.08</v>
      </c>
      <c r="F20" s="59">
        <v>0.79</v>
      </c>
      <c r="G20" s="59">
        <v>69.02</v>
      </c>
      <c r="H20" s="59">
        <v>32.99</v>
      </c>
      <c r="I20" s="59">
        <v>0.75</v>
      </c>
      <c r="J20" s="59">
        <v>0.96</v>
      </c>
      <c r="K20" s="59">
        <v>11.44</v>
      </c>
      <c r="L20" s="59">
        <v>17.079999999999998</v>
      </c>
      <c r="M20" s="59">
        <v>56</v>
      </c>
      <c r="N20" s="59">
        <v>24.5</v>
      </c>
      <c r="O20" s="59">
        <v>0</v>
      </c>
      <c r="P20" s="59">
        <v>2</v>
      </c>
      <c r="Q20" s="59">
        <v>41.2</v>
      </c>
      <c r="R20" s="197"/>
      <c r="S20" s="197"/>
      <c r="T20" s="197"/>
      <c r="U20" s="197"/>
    </row>
    <row r="21" spans="1:21" s="12" customFormat="1" x14ac:dyDescent="0.25">
      <c r="A21" s="200" t="s">
        <v>928</v>
      </c>
      <c r="B21" s="59">
        <v>21.25</v>
      </c>
      <c r="C21" s="59">
        <v>29.54</v>
      </c>
      <c r="D21" s="59">
        <v>33.340000000000003</v>
      </c>
      <c r="E21" s="59">
        <v>4.96</v>
      </c>
      <c r="F21" s="59">
        <v>0.67</v>
      </c>
      <c r="G21" s="59">
        <v>69.02</v>
      </c>
      <c r="H21" s="59">
        <v>32.99</v>
      </c>
      <c r="I21" s="59">
        <v>0.69</v>
      </c>
      <c r="J21" s="59">
        <v>1.07</v>
      </c>
      <c r="K21" s="59">
        <v>12.74</v>
      </c>
      <c r="L21" s="59">
        <v>17.02</v>
      </c>
      <c r="M21" s="59">
        <v>56</v>
      </c>
      <c r="N21" s="59">
        <v>24.2</v>
      </c>
      <c r="O21" s="59">
        <v>0</v>
      </c>
      <c r="P21" s="59">
        <v>1.94</v>
      </c>
      <c r="Q21" s="59">
        <v>40.75</v>
      </c>
      <c r="R21" s="197"/>
      <c r="S21" s="197"/>
      <c r="T21" s="197"/>
      <c r="U21" s="197"/>
    </row>
    <row r="22" spans="1:21" s="12" customFormat="1" x14ac:dyDescent="0.25">
      <c r="A22" s="200" t="s">
        <v>929</v>
      </c>
      <c r="B22" s="59">
        <v>18.760000000000002</v>
      </c>
      <c r="C22" s="59">
        <v>31.09</v>
      </c>
      <c r="D22" s="59">
        <v>32.200000000000003</v>
      </c>
      <c r="E22" s="59">
        <v>5.15</v>
      </c>
      <c r="F22" s="59">
        <v>0.79</v>
      </c>
      <c r="G22" s="59">
        <v>69.02</v>
      </c>
      <c r="H22" s="59">
        <v>32.99</v>
      </c>
      <c r="I22" s="59">
        <v>0.64</v>
      </c>
      <c r="J22" s="59">
        <v>1.1100000000000001</v>
      </c>
      <c r="K22" s="59">
        <v>7.42</v>
      </c>
      <c r="L22" s="59">
        <v>16.73</v>
      </c>
      <c r="M22" s="59">
        <v>59</v>
      </c>
      <c r="N22" s="59">
        <v>24.4</v>
      </c>
      <c r="O22" s="59">
        <v>0</v>
      </c>
      <c r="P22" s="59">
        <v>1.87</v>
      </c>
      <c r="Q22" s="59">
        <v>40.229999999999997</v>
      </c>
      <c r="R22" s="197"/>
      <c r="S22" s="197"/>
      <c r="T22" s="197"/>
      <c r="U22" s="197"/>
    </row>
    <row r="23" spans="1:21" s="12" customFormat="1" x14ac:dyDescent="0.25">
      <c r="A23" s="200" t="s">
        <v>930</v>
      </c>
      <c r="B23" s="59">
        <v>16.940000000000001</v>
      </c>
      <c r="C23" s="59">
        <v>32.26</v>
      </c>
      <c r="D23" s="59">
        <v>31.39</v>
      </c>
      <c r="E23" s="59">
        <v>5.65</v>
      </c>
      <c r="F23" s="59">
        <v>0.72</v>
      </c>
      <c r="G23" s="59">
        <v>73.95</v>
      </c>
      <c r="H23" s="59">
        <v>33.869999999999997</v>
      </c>
      <c r="I23" s="59">
        <v>0.61</v>
      </c>
      <c r="J23" s="59">
        <v>1.34</v>
      </c>
      <c r="K23" s="59">
        <v>9.73</v>
      </c>
      <c r="L23" s="59">
        <v>16.54</v>
      </c>
      <c r="M23" s="59">
        <v>59</v>
      </c>
      <c r="N23" s="59">
        <v>24.2</v>
      </c>
      <c r="O23" s="59">
        <v>0</v>
      </c>
      <c r="P23" s="59">
        <v>1.82</v>
      </c>
      <c r="Q23" s="59">
        <v>39.700000000000003</v>
      </c>
      <c r="R23" s="197"/>
      <c r="S23" s="197"/>
      <c r="T23" s="197"/>
      <c r="U23" s="197"/>
    </row>
    <row r="24" spans="1:21" s="12" customFormat="1" x14ac:dyDescent="0.25">
      <c r="A24" s="200" t="s">
        <v>931</v>
      </c>
      <c r="B24" s="59">
        <v>15.44</v>
      </c>
      <c r="C24" s="59">
        <v>32.840000000000003</v>
      </c>
      <c r="D24" s="59">
        <v>30.5</v>
      </c>
      <c r="E24" s="59">
        <v>3.19</v>
      </c>
      <c r="F24" s="59">
        <v>0.7</v>
      </c>
      <c r="G24" s="59">
        <v>96.67</v>
      </c>
      <c r="H24" s="59">
        <v>36.76</v>
      </c>
      <c r="I24" s="59">
        <v>0.57999999999999996</v>
      </c>
      <c r="J24" s="59">
        <v>1.22</v>
      </c>
      <c r="K24" s="59">
        <v>10.84</v>
      </c>
      <c r="L24" s="59">
        <v>16.37</v>
      </c>
      <c r="M24" s="59">
        <v>59</v>
      </c>
      <c r="N24" s="59">
        <v>24.4</v>
      </c>
      <c r="O24" s="59">
        <v>0</v>
      </c>
      <c r="P24" s="59">
        <v>1.76</v>
      </c>
      <c r="Q24" s="59">
        <v>38.54</v>
      </c>
      <c r="R24" s="197"/>
      <c r="S24" s="197"/>
      <c r="T24" s="197"/>
      <c r="U24" s="197"/>
    </row>
    <row r="25" spans="1:21" s="12" customFormat="1" x14ac:dyDescent="0.25">
      <c r="A25" s="200" t="s">
        <v>932</v>
      </c>
      <c r="B25" s="59">
        <v>14.25</v>
      </c>
      <c r="C25" s="59">
        <v>33.229999999999997</v>
      </c>
      <c r="D25" s="59">
        <v>29.77</v>
      </c>
      <c r="E25" s="59">
        <v>5.72</v>
      </c>
      <c r="F25" s="59">
        <v>0.75</v>
      </c>
      <c r="G25" s="59">
        <v>96.67</v>
      </c>
      <c r="H25" s="59">
        <v>36.76</v>
      </c>
      <c r="I25" s="59">
        <v>0.54</v>
      </c>
      <c r="J25" s="59">
        <v>1.1000000000000001</v>
      </c>
      <c r="K25" s="59">
        <v>10.11</v>
      </c>
      <c r="L25" s="59">
        <v>16.12</v>
      </c>
      <c r="M25" s="59">
        <v>60</v>
      </c>
      <c r="N25" s="59">
        <v>24.2</v>
      </c>
      <c r="O25" s="59">
        <v>0</v>
      </c>
      <c r="P25" s="59">
        <v>1.7</v>
      </c>
      <c r="Q25" s="59">
        <v>37.68</v>
      </c>
      <c r="R25" s="197"/>
      <c r="S25" s="197"/>
      <c r="T25" s="197"/>
      <c r="U25" s="197"/>
    </row>
    <row r="26" spans="1:21" s="12" customFormat="1" x14ac:dyDescent="0.25">
      <c r="A26" s="200" t="s">
        <v>933</v>
      </c>
      <c r="B26" s="59">
        <v>13.45</v>
      </c>
      <c r="C26" s="59">
        <v>33.26</v>
      </c>
      <c r="D26" s="59">
        <v>29.14</v>
      </c>
      <c r="E26" s="59">
        <v>6.51</v>
      </c>
      <c r="F26" s="59">
        <v>0.72</v>
      </c>
      <c r="G26" s="59">
        <v>96.67</v>
      </c>
      <c r="H26" s="59">
        <v>36.76</v>
      </c>
      <c r="I26" s="59">
        <v>0.52</v>
      </c>
      <c r="J26" s="59">
        <v>1.08</v>
      </c>
      <c r="K26" s="59">
        <v>15.92</v>
      </c>
      <c r="L26" s="59">
        <v>16.09</v>
      </c>
      <c r="M26" s="59">
        <v>59</v>
      </c>
      <c r="N26" s="59">
        <v>24.1</v>
      </c>
      <c r="O26" s="59">
        <v>0</v>
      </c>
      <c r="P26" s="59">
        <v>1.66</v>
      </c>
      <c r="Q26" s="59">
        <v>37.42</v>
      </c>
      <c r="R26" s="197"/>
      <c r="S26" s="197"/>
      <c r="T26" s="197"/>
      <c r="U26" s="197"/>
    </row>
    <row r="27" spans="1:21" s="12" customFormat="1" x14ac:dyDescent="0.25">
      <c r="A27" s="200" t="s">
        <v>934</v>
      </c>
      <c r="B27" s="59">
        <v>12.63</v>
      </c>
      <c r="C27" s="59">
        <v>33.47</v>
      </c>
      <c r="D27" s="59">
        <v>28.6</v>
      </c>
      <c r="E27" s="59">
        <v>6.99</v>
      </c>
      <c r="F27" s="59">
        <v>0.75</v>
      </c>
      <c r="G27" s="59">
        <v>87.15</v>
      </c>
      <c r="H27" s="59">
        <v>35.92</v>
      </c>
      <c r="I27" s="59">
        <v>0.51</v>
      </c>
      <c r="J27" s="59">
        <v>1.45</v>
      </c>
      <c r="K27" s="59">
        <v>17.170000000000002</v>
      </c>
      <c r="L27" s="59">
        <v>16.25</v>
      </c>
      <c r="M27" s="59">
        <v>58</v>
      </c>
      <c r="N27" s="59">
        <v>23.8</v>
      </c>
      <c r="O27" s="59">
        <v>0</v>
      </c>
      <c r="P27" s="59">
        <v>1.62</v>
      </c>
      <c r="Q27" s="59">
        <v>37.46</v>
      </c>
      <c r="R27" s="197"/>
      <c r="S27" s="197"/>
      <c r="T27" s="197"/>
      <c r="U27" s="197"/>
    </row>
    <row r="28" spans="1:21" s="12" customFormat="1" x14ac:dyDescent="0.25">
      <c r="A28" s="200" t="s">
        <v>935</v>
      </c>
      <c r="B28" s="59">
        <v>12.35</v>
      </c>
      <c r="C28" s="59">
        <v>33.75</v>
      </c>
      <c r="D28" s="59">
        <v>28.53</v>
      </c>
      <c r="E28" s="59">
        <v>7.09</v>
      </c>
      <c r="F28" s="59">
        <v>0.74</v>
      </c>
      <c r="G28" s="59">
        <v>65.25</v>
      </c>
      <c r="H28" s="59">
        <v>33.159999999999997</v>
      </c>
      <c r="I28" s="59">
        <v>0.49</v>
      </c>
      <c r="J28" s="59">
        <v>1.52</v>
      </c>
      <c r="K28" s="59">
        <v>16.43</v>
      </c>
      <c r="L28" s="59">
        <v>16.190000000000001</v>
      </c>
      <c r="M28" s="59">
        <v>59</v>
      </c>
      <c r="N28" s="59">
        <v>24.1</v>
      </c>
      <c r="O28" s="59">
        <v>0</v>
      </c>
      <c r="P28" s="59">
        <v>1.61</v>
      </c>
      <c r="Q28" s="59">
        <v>37.159999999999997</v>
      </c>
      <c r="R28" s="197"/>
      <c r="S28" s="197"/>
      <c r="T28" s="197"/>
      <c r="U28" s="197"/>
    </row>
    <row r="29" spans="1:21" s="12" customFormat="1" x14ac:dyDescent="0.25">
      <c r="A29" s="200" t="s">
        <v>936</v>
      </c>
      <c r="B29" s="59">
        <v>12.25</v>
      </c>
      <c r="C29" s="59">
        <v>34.020000000000003</v>
      </c>
      <c r="D29" s="59">
        <v>28.6</v>
      </c>
      <c r="E29" s="59">
        <v>7.6</v>
      </c>
      <c r="F29" s="59">
        <v>0.56999999999999995</v>
      </c>
      <c r="G29" s="59">
        <v>65.25</v>
      </c>
      <c r="H29" s="59">
        <v>33.159999999999997</v>
      </c>
      <c r="I29" s="59">
        <v>0.47</v>
      </c>
      <c r="J29" s="59">
        <v>1.33</v>
      </c>
      <c r="K29" s="59">
        <v>20.059999999999999</v>
      </c>
      <c r="L29" s="59">
        <v>16.09</v>
      </c>
      <c r="M29" s="59">
        <v>59</v>
      </c>
      <c r="N29" s="59">
        <v>24.3</v>
      </c>
      <c r="O29" s="59">
        <v>0</v>
      </c>
      <c r="P29" s="59">
        <v>1.6</v>
      </c>
      <c r="Q29" s="59">
        <v>37.07</v>
      </c>
      <c r="R29" s="197"/>
      <c r="S29" s="197"/>
      <c r="T29" s="197"/>
      <c r="U29" s="197"/>
    </row>
    <row r="30" spans="1:21" s="12" customFormat="1" x14ac:dyDescent="0.25">
      <c r="A30" s="200" t="s">
        <v>937</v>
      </c>
      <c r="B30" s="59">
        <v>12.29</v>
      </c>
      <c r="C30" s="59">
        <v>34.19</v>
      </c>
      <c r="D30" s="59">
        <v>28.72</v>
      </c>
      <c r="E30" s="59">
        <v>6.98</v>
      </c>
      <c r="F30" s="59">
        <v>0.67</v>
      </c>
      <c r="G30" s="59">
        <v>65.25</v>
      </c>
      <c r="H30" s="59">
        <v>33.159999999999997</v>
      </c>
      <c r="I30" s="209" t="s">
        <v>36</v>
      </c>
      <c r="J30" s="59">
        <v>0.8</v>
      </c>
      <c r="K30" s="59">
        <v>19.62</v>
      </c>
      <c r="L30" s="59">
        <v>15.94</v>
      </c>
      <c r="M30" s="59">
        <v>59</v>
      </c>
      <c r="N30" s="59">
        <v>24.5</v>
      </c>
      <c r="O30" s="59">
        <v>0</v>
      </c>
      <c r="P30" s="59">
        <v>1.61</v>
      </c>
      <c r="Q30" s="59">
        <v>37.22</v>
      </c>
      <c r="R30" s="197"/>
      <c r="S30" s="197"/>
      <c r="T30" s="197"/>
      <c r="U30" s="197"/>
    </row>
    <row r="31" spans="1:21" s="12" customFormat="1" x14ac:dyDescent="0.25">
      <c r="A31" s="200" t="s">
        <v>938</v>
      </c>
      <c r="B31" s="59">
        <v>12.96</v>
      </c>
      <c r="C31" s="59">
        <v>33.89</v>
      </c>
      <c r="D31" s="59">
        <v>29.09</v>
      </c>
      <c r="E31" s="59">
        <v>7.02</v>
      </c>
      <c r="F31" s="59">
        <v>0.65</v>
      </c>
      <c r="G31" s="59">
        <v>47.25</v>
      </c>
      <c r="H31" s="59">
        <v>33.49</v>
      </c>
      <c r="I31" s="209" t="s">
        <v>36</v>
      </c>
      <c r="J31" s="59">
        <v>1.1000000000000001</v>
      </c>
      <c r="K31" s="59">
        <v>18.95</v>
      </c>
      <c r="L31" s="59">
        <v>15.81</v>
      </c>
      <c r="M31" s="59">
        <v>59</v>
      </c>
      <c r="N31" s="59">
        <v>24</v>
      </c>
      <c r="O31" s="59">
        <v>0</v>
      </c>
      <c r="P31" s="59">
        <v>1.62</v>
      </c>
      <c r="Q31" s="59">
        <v>37.47</v>
      </c>
      <c r="R31" s="197"/>
      <c r="S31" s="197"/>
      <c r="T31" s="197"/>
      <c r="U31" s="197"/>
    </row>
    <row r="32" spans="1:21" s="12" customFormat="1" x14ac:dyDescent="0.25">
      <c r="A32" s="200" t="s">
        <v>939</v>
      </c>
      <c r="B32" s="59">
        <v>13.88</v>
      </c>
      <c r="C32" s="59">
        <v>33.590000000000003</v>
      </c>
      <c r="D32" s="59">
        <v>29.67</v>
      </c>
      <c r="E32" s="59">
        <v>6.85</v>
      </c>
      <c r="F32" s="59">
        <v>0.74</v>
      </c>
      <c r="G32" s="210" t="s">
        <v>43</v>
      </c>
      <c r="H32" s="210" t="s">
        <v>43</v>
      </c>
      <c r="I32" s="209" t="s">
        <v>36</v>
      </c>
      <c r="J32" s="59">
        <v>0.98</v>
      </c>
      <c r="K32" s="59">
        <v>13.98</v>
      </c>
      <c r="L32" s="59">
        <v>15.75</v>
      </c>
      <c r="M32" s="59">
        <v>60</v>
      </c>
      <c r="N32" s="59">
        <v>24.2</v>
      </c>
      <c r="O32" s="59">
        <v>0</v>
      </c>
      <c r="P32" s="59">
        <v>1.63</v>
      </c>
      <c r="Q32" s="59">
        <v>38.53</v>
      </c>
      <c r="R32" s="197"/>
      <c r="S32" s="197"/>
      <c r="T32" s="197"/>
      <c r="U32" s="197"/>
    </row>
    <row r="33" spans="1:21" s="12" customFormat="1" x14ac:dyDescent="0.25">
      <c r="A33" s="200" t="s">
        <v>940</v>
      </c>
      <c r="B33" s="59">
        <v>14.62</v>
      </c>
      <c r="C33" s="59">
        <v>33.28</v>
      </c>
      <c r="D33" s="59">
        <v>30.09</v>
      </c>
      <c r="E33" s="59">
        <v>6.64</v>
      </c>
      <c r="F33" s="59">
        <v>0.57999999999999996</v>
      </c>
      <c r="G33" s="210" t="s">
        <v>43</v>
      </c>
      <c r="H33" s="210" t="s">
        <v>43</v>
      </c>
      <c r="I33" s="209" t="s">
        <v>36</v>
      </c>
      <c r="J33" s="59">
        <v>0.56000000000000005</v>
      </c>
      <c r="K33" s="59">
        <v>18.39</v>
      </c>
      <c r="L33" s="59">
        <v>15.61</v>
      </c>
      <c r="M33" s="59">
        <v>60</v>
      </c>
      <c r="N33" s="59">
        <v>24.6</v>
      </c>
      <c r="O33" s="59">
        <v>0</v>
      </c>
      <c r="P33" s="59">
        <v>1.65</v>
      </c>
      <c r="Q33" s="59">
        <v>38.69</v>
      </c>
      <c r="R33" s="197"/>
      <c r="S33" s="197"/>
      <c r="T33" s="197"/>
      <c r="U33" s="197"/>
    </row>
    <row r="34" spans="1:21" s="12" customFormat="1" x14ac:dyDescent="0.25">
      <c r="A34" s="200" t="s">
        <v>941</v>
      </c>
      <c r="B34" s="59">
        <v>15.6</v>
      </c>
      <c r="C34" s="59">
        <v>32.86</v>
      </c>
      <c r="D34" s="59">
        <v>30.64</v>
      </c>
      <c r="E34" s="59">
        <v>6.41</v>
      </c>
      <c r="F34" s="59">
        <v>0.56000000000000005</v>
      </c>
      <c r="G34" s="210" t="s">
        <v>43</v>
      </c>
      <c r="H34" s="210" t="s">
        <v>43</v>
      </c>
      <c r="I34" s="209" t="s">
        <v>36</v>
      </c>
      <c r="J34" s="59">
        <v>0.27</v>
      </c>
      <c r="K34" s="59">
        <v>55.29</v>
      </c>
      <c r="L34" s="59">
        <v>15.31</v>
      </c>
      <c r="M34" s="59">
        <v>61</v>
      </c>
      <c r="N34" s="59">
        <v>26.5</v>
      </c>
      <c r="O34" s="59">
        <v>0</v>
      </c>
      <c r="P34" s="59">
        <v>1.72</v>
      </c>
      <c r="Q34" s="59">
        <v>38.49</v>
      </c>
      <c r="R34" s="197"/>
      <c r="S34" s="197"/>
      <c r="T34" s="197"/>
      <c r="U34" s="197"/>
    </row>
    <row r="35" spans="1:21" s="12" customFormat="1" x14ac:dyDescent="0.25">
      <c r="A35" s="200" t="s">
        <v>942</v>
      </c>
      <c r="B35" s="59">
        <v>16.43</v>
      </c>
      <c r="C35" s="59">
        <v>32.35</v>
      </c>
      <c r="D35" s="59">
        <v>31.03</v>
      </c>
      <c r="E35" s="59">
        <v>6.46</v>
      </c>
      <c r="F35" s="59">
        <v>0.63</v>
      </c>
      <c r="G35" s="59">
        <v>69.38</v>
      </c>
      <c r="H35" s="59">
        <v>35.01</v>
      </c>
      <c r="I35" s="209" t="s">
        <v>36</v>
      </c>
      <c r="J35" s="59">
        <v>0.27</v>
      </c>
      <c r="K35" s="59">
        <v>79.52</v>
      </c>
      <c r="L35" s="59">
        <v>15.15</v>
      </c>
      <c r="M35" s="59">
        <v>61</v>
      </c>
      <c r="N35" s="59">
        <v>34.700000000000003</v>
      </c>
      <c r="O35" s="59">
        <v>0</v>
      </c>
      <c r="P35" s="59">
        <v>1.75</v>
      </c>
      <c r="Q35" s="59">
        <v>38.29</v>
      </c>
      <c r="R35" s="197"/>
      <c r="S35" s="197"/>
      <c r="T35" s="197"/>
      <c r="U35" s="197"/>
    </row>
    <row r="36" spans="1:21" s="12" customFormat="1" x14ac:dyDescent="0.25">
      <c r="A36" s="200" t="s">
        <v>943</v>
      </c>
      <c r="B36" s="59">
        <v>17.420000000000002</v>
      </c>
      <c r="C36" s="59">
        <v>31.8</v>
      </c>
      <c r="D36" s="59">
        <v>31.52</v>
      </c>
      <c r="E36" s="59">
        <v>6.49</v>
      </c>
      <c r="F36" s="59">
        <v>0.71</v>
      </c>
      <c r="G36" s="59">
        <v>210.96</v>
      </c>
      <c r="H36" s="59">
        <v>36.46</v>
      </c>
      <c r="I36" s="209" t="s">
        <v>36</v>
      </c>
      <c r="J36" s="59">
        <v>0.27</v>
      </c>
      <c r="K36" s="59">
        <v>94.69</v>
      </c>
      <c r="L36" s="59">
        <v>15.23</v>
      </c>
      <c r="M36" s="59">
        <v>61</v>
      </c>
      <c r="N36" s="59">
        <v>48.1</v>
      </c>
      <c r="O36" s="59">
        <v>0</v>
      </c>
      <c r="P36" s="59">
        <v>1.78</v>
      </c>
      <c r="Q36" s="59">
        <v>38.22</v>
      </c>
      <c r="R36" s="197"/>
      <c r="S36" s="197"/>
      <c r="T36" s="197"/>
      <c r="U36" s="197"/>
    </row>
    <row r="37" spans="1:21" s="12" customFormat="1" x14ac:dyDescent="0.25">
      <c r="A37" s="200" t="s">
        <v>944</v>
      </c>
      <c r="B37" s="59">
        <v>17.98</v>
      </c>
      <c r="C37" s="59">
        <v>31.43</v>
      </c>
      <c r="D37" s="59">
        <v>31.77</v>
      </c>
      <c r="E37" s="59">
        <v>6.04</v>
      </c>
      <c r="F37" s="59">
        <v>0.77</v>
      </c>
      <c r="G37" s="59">
        <v>210.96</v>
      </c>
      <c r="H37" s="59">
        <v>36.46</v>
      </c>
      <c r="I37" s="209" t="s">
        <v>36</v>
      </c>
      <c r="J37" s="59">
        <v>0.35</v>
      </c>
      <c r="K37" s="59">
        <v>45.33</v>
      </c>
      <c r="L37" s="59">
        <v>15.53</v>
      </c>
      <c r="M37" s="59">
        <v>59</v>
      </c>
      <c r="N37" s="59">
        <v>53.5</v>
      </c>
      <c r="O37" s="59">
        <v>0</v>
      </c>
      <c r="P37" s="59">
        <v>1.72</v>
      </c>
      <c r="Q37" s="59">
        <v>38.229999999999997</v>
      </c>
      <c r="R37" s="197"/>
      <c r="S37" s="197"/>
      <c r="T37" s="197"/>
      <c r="U37" s="197"/>
    </row>
    <row r="38" spans="1:21" s="12" customFormat="1" x14ac:dyDescent="0.25">
      <c r="A38" s="200" t="s">
        <v>945</v>
      </c>
      <c r="B38" s="59">
        <v>18.72</v>
      </c>
      <c r="C38" s="59">
        <v>30.96</v>
      </c>
      <c r="D38" s="59">
        <v>32.090000000000003</v>
      </c>
      <c r="E38" s="59">
        <v>5.53</v>
      </c>
      <c r="F38" s="59">
        <v>0.68</v>
      </c>
      <c r="G38" s="59">
        <v>210.96</v>
      </c>
      <c r="H38" s="59">
        <v>36.46</v>
      </c>
      <c r="I38" s="209" t="s">
        <v>36</v>
      </c>
      <c r="J38" s="59">
        <v>0.48</v>
      </c>
      <c r="K38" s="59">
        <v>85.88</v>
      </c>
      <c r="L38" s="59">
        <v>15.69</v>
      </c>
      <c r="M38" s="59">
        <v>58</v>
      </c>
      <c r="N38" s="59">
        <v>69.599999999999994</v>
      </c>
      <c r="O38" s="59">
        <v>0</v>
      </c>
      <c r="P38" s="59">
        <v>1.77</v>
      </c>
      <c r="Q38" s="59">
        <v>38.15</v>
      </c>
      <c r="R38" s="197"/>
      <c r="S38" s="197"/>
      <c r="T38" s="197"/>
      <c r="U38" s="197"/>
    </row>
    <row r="39" spans="1:21" s="12" customFormat="1" x14ac:dyDescent="0.25">
      <c r="A39" s="200" t="s">
        <v>946</v>
      </c>
      <c r="B39" s="59">
        <v>18.2</v>
      </c>
      <c r="C39" s="59">
        <v>30.83</v>
      </c>
      <c r="D39" s="59">
        <v>31.61</v>
      </c>
      <c r="E39" s="59">
        <v>5.93</v>
      </c>
      <c r="F39" s="59">
        <v>0.64</v>
      </c>
      <c r="G39" s="59">
        <v>180.56</v>
      </c>
      <c r="H39" s="59">
        <v>36.35</v>
      </c>
      <c r="I39" s="209" t="s">
        <v>36</v>
      </c>
      <c r="J39" s="59">
        <v>0.6</v>
      </c>
      <c r="K39" s="59">
        <v>73.41</v>
      </c>
      <c r="L39" s="59">
        <v>15.95</v>
      </c>
      <c r="M39" s="59">
        <v>58</v>
      </c>
      <c r="N39" s="59">
        <v>84.8</v>
      </c>
      <c r="O39" s="59">
        <v>0</v>
      </c>
      <c r="P39" s="59">
        <v>1.7</v>
      </c>
      <c r="Q39" s="59">
        <v>37.26</v>
      </c>
      <c r="R39" s="197"/>
      <c r="S39" s="197"/>
      <c r="T39" s="197"/>
      <c r="U39" s="197"/>
    </row>
    <row r="40" spans="1:21" s="12" customFormat="1" x14ac:dyDescent="0.25">
      <c r="A40" s="200" t="s">
        <v>947</v>
      </c>
      <c r="B40" s="59">
        <v>17.78</v>
      </c>
      <c r="C40" s="59">
        <v>30.64</v>
      </c>
      <c r="D40" s="59">
        <v>31.17</v>
      </c>
      <c r="E40" s="59">
        <v>3.5</v>
      </c>
      <c r="F40" s="59">
        <v>0.83</v>
      </c>
      <c r="G40" s="59">
        <v>40.74</v>
      </c>
      <c r="H40" s="59">
        <v>36.01</v>
      </c>
      <c r="I40" s="209" t="s">
        <v>36</v>
      </c>
      <c r="J40" s="59">
        <v>0.3</v>
      </c>
      <c r="K40" s="59">
        <v>43.88</v>
      </c>
      <c r="L40" s="59">
        <v>16.100000000000001</v>
      </c>
      <c r="M40" s="59">
        <v>58</v>
      </c>
      <c r="N40" s="59">
        <v>96</v>
      </c>
      <c r="O40" s="59">
        <v>0</v>
      </c>
      <c r="P40" s="59">
        <v>1.65</v>
      </c>
      <c r="Q40" s="59">
        <v>36.89</v>
      </c>
      <c r="R40" s="197"/>
      <c r="S40" s="197"/>
      <c r="T40" s="197"/>
      <c r="U40" s="197"/>
    </row>
    <row r="41" spans="1:21" s="12" customFormat="1" x14ac:dyDescent="0.25">
      <c r="A41" s="200" t="s">
        <v>948</v>
      </c>
      <c r="B41" s="59">
        <v>17.89</v>
      </c>
      <c r="C41" s="59">
        <v>30.4</v>
      </c>
      <c r="D41" s="59">
        <v>31.13</v>
      </c>
      <c r="E41" s="59">
        <v>5.32</v>
      </c>
      <c r="F41" s="59">
        <v>0.96</v>
      </c>
      <c r="G41" s="59">
        <v>40.74</v>
      </c>
      <c r="H41" s="59">
        <v>36.01</v>
      </c>
      <c r="I41" s="209" t="s">
        <v>36</v>
      </c>
      <c r="J41" s="59">
        <v>0.47</v>
      </c>
      <c r="K41" s="59">
        <v>75.430000000000007</v>
      </c>
      <c r="L41" s="59">
        <v>16.579999999999998</v>
      </c>
      <c r="M41" s="59">
        <v>56</v>
      </c>
      <c r="N41" s="59">
        <v>119.9</v>
      </c>
      <c r="O41" s="59">
        <v>0</v>
      </c>
      <c r="P41" s="59">
        <v>1.6</v>
      </c>
      <c r="Q41" s="59">
        <v>37.07</v>
      </c>
      <c r="R41" s="197"/>
      <c r="S41" s="197"/>
      <c r="T41" s="197"/>
      <c r="U41" s="197"/>
    </row>
    <row r="42" spans="1:21" s="12" customFormat="1" x14ac:dyDescent="0.25">
      <c r="A42" s="200" t="s">
        <v>949</v>
      </c>
      <c r="B42" s="59">
        <v>17.82</v>
      </c>
      <c r="C42" s="59">
        <v>30.32</v>
      </c>
      <c r="D42" s="59">
        <v>31.03</v>
      </c>
      <c r="E42" s="59">
        <v>5.53</v>
      </c>
      <c r="F42" s="59">
        <v>1.01</v>
      </c>
      <c r="G42" s="59">
        <v>40.74</v>
      </c>
      <c r="H42" s="59">
        <v>36.01</v>
      </c>
      <c r="I42" s="209" t="s">
        <v>36</v>
      </c>
      <c r="J42" s="59">
        <v>0.47</v>
      </c>
      <c r="K42" s="59">
        <v>46.01</v>
      </c>
      <c r="L42" s="59">
        <v>17.399999999999999</v>
      </c>
      <c r="M42" s="59">
        <v>53</v>
      </c>
      <c r="N42" s="59">
        <v>181.9</v>
      </c>
      <c r="O42" s="59">
        <v>0</v>
      </c>
      <c r="P42" s="59">
        <v>1.55</v>
      </c>
      <c r="Q42" s="59">
        <v>37.32</v>
      </c>
      <c r="R42" s="197"/>
      <c r="S42" s="197"/>
      <c r="T42" s="197"/>
      <c r="U42" s="197"/>
    </row>
    <row r="43" spans="1:21" s="12" customFormat="1" x14ac:dyDescent="0.25">
      <c r="A43" s="200" t="s">
        <v>950</v>
      </c>
      <c r="B43" s="59">
        <v>17.41</v>
      </c>
      <c r="C43" s="59">
        <v>30.54</v>
      </c>
      <c r="D43" s="59">
        <v>30.82</v>
      </c>
      <c r="E43" s="59">
        <v>5.96</v>
      </c>
      <c r="F43" s="59">
        <v>0.96</v>
      </c>
      <c r="G43" s="59">
        <v>49.42</v>
      </c>
      <c r="H43" s="59">
        <v>34.67</v>
      </c>
      <c r="I43" s="209" t="s">
        <v>36</v>
      </c>
      <c r="J43" s="59">
        <v>0.47</v>
      </c>
      <c r="K43" s="59">
        <v>70.760000000000005</v>
      </c>
      <c r="L43" s="59">
        <v>18.63</v>
      </c>
      <c r="M43" s="59">
        <v>50</v>
      </c>
      <c r="N43" s="59">
        <v>217.6</v>
      </c>
      <c r="O43" s="59">
        <v>0</v>
      </c>
      <c r="P43" s="59">
        <v>1.51</v>
      </c>
      <c r="Q43" s="59">
        <v>37.479999999999997</v>
      </c>
      <c r="R43" s="197"/>
      <c r="S43" s="197"/>
      <c r="T43" s="197"/>
      <c r="U43" s="197"/>
    </row>
    <row r="44" spans="1:21" s="12" customFormat="1" x14ac:dyDescent="0.25">
      <c r="A44" s="200" t="s">
        <v>951</v>
      </c>
      <c r="B44" s="59">
        <v>16.91</v>
      </c>
      <c r="C44" s="59">
        <v>30.75</v>
      </c>
      <c r="D44" s="59">
        <v>30.53</v>
      </c>
      <c r="E44" s="59">
        <v>5.76</v>
      </c>
      <c r="F44" s="59">
        <v>1.28</v>
      </c>
      <c r="G44" s="59">
        <v>69.39</v>
      </c>
      <c r="H44" s="59">
        <v>30.27</v>
      </c>
      <c r="I44" s="209" t="s">
        <v>36</v>
      </c>
      <c r="J44" s="59">
        <v>0.51</v>
      </c>
      <c r="K44" s="59">
        <v>63.89</v>
      </c>
      <c r="L44" s="59">
        <v>19.02</v>
      </c>
      <c r="M44" s="59">
        <v>48</v>
      </c>
      <c r="N44" s="59">
        <v>162.6</v>
      </c>
      <c r="O44" s="59">
        <v>0</v>
      </c>
      <c r="P44" s="59">
        <v>1.48</v>
      </c>
      <c r="Q44" s="59">
        <v>37.590000000000003</v>
      </c>
      <c r="R44" s="197"/>
      <c r="S44" s="197"/>
      <c r="T44" s="197"/>
      <c r="U44" s="197"/>
    </row>
    <row r="45" spans="1:21" s="12" customFormat="1" x14ac:dyDescent="0.25">
      <c r="A45" s="200" t="s">
        <v>952</v>
      </c>
      <c r="B45" s="59">
        <v>16.07</v>
      </c>
      <c r="C45" s="59">
        <v>31.25</v>
      </c>
      <c r="D45" s="59">
        <v>30.13</v>
      </c>
      <c r="E45" s="59">
        <v>5.3</v>
      </c>
      <c r="F45" s="59">
        <v>0.84</v>
      </c>
      <c r="G45" s="59">
        <v>69.39</v>
      </c>
      <c r="H45" s="59">
        <v>30.27</v>
      </c>
      <c r="I45" s="209" t="s">
        <v>36</v>
      </c>
      <c r="J45" s="59">
        <v>0.67</v>
      </c>
      <c r="K45" s="59">
        <v>99.46</v>
      </c>
      <c r="L45" s="59">
        <v>18.62</v>
      </c>
      <c r="M45" s="59">
        <v>49</v>
      </c>
      <c r="N45" s="59">
        <v>129.5</v>
      </c>
      <c r="O45" s="59">
        <v>0</v>
      </c>
      <c r="P45" s="59">
        <v>1.44</v>
      </c>
      <c r="Q45" s="59">
        <v>37.799999999999997</v>
      </c>
      <c r="R45" s="197"/>
      <c r="S45" s="197"/>
      <c r="T45" s="197"/>
      <c r="U45" s="197"/>
    </row>
    <row r="46" spans="1:21" s="12" customFormat="1" x14ac:dyDescent="0.25">
      <c r="A46" s="200" t="s">
        <v>953</v>
      </c>
      <c r="B46" s="59">
        <v>15.24</v>
      </c>
      <c r="C46" s="59">
        <v>31.61</v>
      </c>
      <c r="D46" s="59">
        <v>29.66</v>
      </c>
      <c r="E46" s="59">
        <v>4.9400000000000004</v>
      </c>
      <c r="F46" s="59">
        <v>0.76</v>
      </c>
      <c r="G46" s="59">
        <v>69.39</v>
      </c>
      <c r="H46" s="59">
        <v>30.27</v>
      </c>
      <c r="I46" s="209" t="s">
        <v>36</v>
      </c>
      <c r="J46" s="59">
        <v>0.65</v>
      </c>
      <c r="K46" s="59">
        <v>99.15</v>
      </c>
      <c r="L46" s="59">
        <v>18.41</v>
      </c>
      <c r="M46" s="59">
        <v>49</v>
      </c>
      <c r="N46" s="59">
        <v>169.9</v>
      </c>
      <c r="O46" s="59">
        <v>0</v>
      </c>
      <c r="P46" s="59">
        <v>1.42</v>
      </c>
      <c r="Q46" s="59">
        <v>38.56</v>
      </c>
      <c r="R46" s="197"/>
      <c r="S46" s="197"/>
      <c r="T46" s="197"/>
      <c r="U46" s="197"/>
    </row>
    <row r="47" spans="1:21" s="12" customFormat="1" x14ac:dyDescent="0.25">
      <c r="A47" s="200" t="s">
        <v>954</v>
      </c>
      <c r="B47" s="59">
        <v>13.91</v>
      </c>
      <c r="C47" s="59">
        <v>32.17</v>
      </c>
      <c r="D47" s="59">
        <v>28.91</v>
      </c>
      <c r="E47" s="59">
        <v>4.57</v>
      </c>
      <c r="F47" s="59">
        <v>0.92</v>
      </c>
      <c r="G47" s="59">
        <v>49.21</v>
      </c>
      <c r="H47" s="59">
        <v>30.58</v>
      </c>
      <c r="I47" s="209" t="s">
        <v>36</v>
      </c>
      <c r="J47" s="59">
        <v>0.69</v>
      </c>
      <c r="K47" s="59">
        <v>100.68</v>
      </c>
      <c r="L47" s="59">
        <v>19.239999999999998</v>
      </c>
      <c r="M47" s="59">
        <v>48</v>
      </c>
      <c r="N47" s="59">
        <v>302.3</v>
      </c>
      <c r="O47" s="59">
        <v>0</v>
      </c>
      <c r="P47" s="59">
        <v>1.37</v>
      </c>
      <c r="Q47" s="59">
        <v>39.51</v>
      </c>
      <c r="R47" s="197"/>
      <c r="S47" s="197"/>
      <c r="T47" s="197"/>
      <c r="U47" s="197"/>
    </row>
    <row r="48" spans="1:21" s="12" customFormat="1" x14ac:dyDescent="0.25">
      <c r="A48" s="200" t="s">
        <v>955</v>
      </c>
      <c r="B48" s="59">
        <v>12.66</v>
      </c>
      <c r="C48" s="59">
        <v>32.869999999999997</v>
      </c>
      <c r="D48" s="59">
        <v>28.29</v>
      </c>
      <c r="E48" s="59">
        <v>5.13</v>
      </c>
      <c r="F48" s="59">
        <v>1.1200000000000001</v>
      </c>
      <c r="G48" s="210" t="s">
        <v>43</v>
      </c>
      <c r="H48" s="210" t="s">
        <v>43</v>
      </c>
      <c r="I48" s="209" t="s">
        <v>36</v>
      </c>
      <c r="J48" s="59">
        <v>0.94</v>
      </c>
      <c r="K48" s="59">
        <v>109.89</v>
      </c>
      <c r="L48" s="59">
        <v>20.16</v>
      </c>
      <c r="M48" s="59">
        <v>45</v>
      </c>
      <c r="N48" s="59">
        <v>245.1</v>
      </c>
      <c r="O48" s="59">
        <v>0</v>
      </c>
      <c r="P48" s="59">
        <v>1.34</v>
      </c>
      <c r="Q48" s="59">
        <v>39.18</v>
      </c>
      <c r="R48" s="197"/>
      <c r="S48" s="197"/>
      <c r="T48" s="197"/>
      <c r="U48" s="197"/>
    </row>
    <row r="49" spans="1:21" s="12" customFormat="1" x14ac:dyDescent="0.25">
      <c r="A49" s="200" t="s">
        <v>956</v>
      </c>
      <c r="B49" s="59">
        <v>11.56</v>
      </c>
      <c r="C49" s="59">
        <v>33.5</v>
      </c>
      <c r="D49" s="59">
        <v>27.76</v>
      </c>
      <c r="E49" s="59">
        <v>4.82</v>
      </c>
      <c r="F49" s="59">
        <v>1.1599999999999999</v>
      </c>
      <c r="G49" s="210" t="s">
        <v>43</v>
      </c>
      <c r="H49" s="210" t="s">
        <v>43</v>
      </c>
      <c r="I49" s="209" t="s">
        <v>36</v>
      </c>
      <c r="J49" s="59">
        <v>0.8</v>
      </c>
      <c r="K49" s="59">
        <v>23.1</v>
      </c>
      <c r="L49" s="59">
        <v>20.93</v>
      </c>
      <c r="M49" s="59">
        <v>43</v>
      </c>
      <c r="N49" s="59">
        <v>276.89999999999998</v>
      </c>
      <c r="O49" s="59">
        <v>0</v>
      </c>
      <c r="P49" s="59">
        <v>1.32</v>
      </c>
      <c r="Q49" s="59">
        <v>39.11</v>
      </c>
      <c r="R49" s="197"/>
      <c r="S49" s="197"/>
      <c r="T49" s="197"/>
      <c r="U49" s="197"/>
    </row>
    <row r="50" spans="1:21" s="12" customFormat="1" x14ac:dyDescent="0.25">
      <c r="A50" s="200" t="s">
        <v>957</v>
      </c>
      <c r="B50" s="59">
        <v>11.74</v>
      </c>
      <c r="C50" s="59">
        <v>34.49</v>
      </c>
      <c r="D50" s="59">
        <v>28.45</v>
      </c>
      <c r="E50" s="59">
        <v>5.05</v>
      </c>
      <c r="F50" s="59">
        <v>1.21</v>
      </c>
      <c r="G50" s="210" t="s">
        <v>43</v>
      </c>
      <c r="H50" s="210" t="s">
        <v>43</v>
      </c>
      <c r="I50" s="209" t="s">
        <v>36</v>
      </c>
      <c r="J50" s="59">
        <v>1.08</v>
      </c>
      <c r="K50" s="59">
        <v>14.82</v>
      </c>
      <c r="L50" s="59">
        <v>23.71</v>
      </c>
      <c r="M50" s="59">
        <v>36</v>
      </c>
      <c r="N50" s="59">
        <v>414.6</v>
      </c>
      <c r="O50" s="59">
        <v>0</v>
      </c>
      <c r="P50" s="59">
        <v>1.31</v>
      </c>
      <c r="Q50" s="59">
        <v>38.979999999999997</v>
      </c>
      <c r="R50" s="197"/>
      <c r="S50" s="197"/>
      <c r="T50" s="197"/>
      <c r="U50" s="197"/>
    </row>
    <row r="51" spans="1:21" s="12" customFormat="1" x14ac:dyDescent="0.25">
      <c r="A51" s="200" t="s">
        <v>958</v>
      </c>
      <c r="B51" s="59">
        <v>10.83</v>
      </c>
      <c r="C51" s="59">
        <v>36.1</v>
      </c>
      <c r="D51" s="59">
        <v>28.61</v>
      </c>
      <c r="E51" s="59">
        <v>6.39</v>
      </c>
      <c r="F51" s="59">
        <v>2.4300000000000002</v>
      </c>
      <c r="G51" s="210" t="s">
        <v>43</v>
      </c>
      <c r="H51" s="210" t="s">
        <v>43</v>
      </c>
      <c r="I51" s="209" t="s">
        <v>36</v>
      </c>
      <c r="J51" s="59">
        <v>1.08</v>
      </c>
      <c r="K51" s="59">
        <v>94</v>
      </c>
      <c r="L51" s="59">
        <v>22.38</v>
      </c>
      <c r="M51" s="59">
        <v>37</v>
      </c>
      <c r="N51" s="59">
        <v>356.9</v>
      </c>
      <c r="O51" s="59">
        <v>0</v>
      </c>
      <c r="P51" s="59">
        <v>1.25</v>
      </c>
      <c r="Q51" s="59">
        <v>38.07</v>
      </c>
      <c r="R51" s="197"/>
      <c r="S51" s="197"/>
      <c r="T51" s="197"/>
      <c r="U51" s="197"/>
    </row>
    <row r="52" spans="1:21" s="12" customFormat="1" x14ac:dyDescent="0.25">
      <c r="A52" s="200" t="s">
        <v>959</v>
      </c>
      <c r="B52" s="59">
        <v>7.32</v>
      </c>
      <c r="C52" s="59">
        <v>37.39</v>
      </c>
      <c r="D52" s="59">
        <v>26.51</v>
      </c>
      <c r="E52" s="59">
        <v>8.18</v>
      </c>
      <c r="F52" s="59">
        <v>3.7</v>
      </c>
      <c r="G52" s="210" t="s">
        <v>43</v>
      </c>
      <c r="H52" s="210" t="s">
        <v>43</v>
      </c>
      <c r="I52" s="209" t="s">
        <v>36</v>
      </c>
      <c r="J52" s="59">
        <v>0.62</v>
      </c>
      <c r="K52" s="59">
        <v>83.85</v>
      </c>
      <c r="L52" s="59">
        <v>22.66</v>
      </c>
      <c r="M52" s="59">
        <v>37</v>
      </c>
      <c r="N52" s="59">
        <v>377.9</v>
      </c>
      <c r="O52" s="59">
        <v>0</v>
      </c>
      <c r="P52" s="59">
        <v>1.1100000000000001</v>
      </c>
      <c r="Q52" s="59">
        <v>34</v>
      </c>
      <c r="R52" s="197"/>
      <c r="S52" s="197"/>
      <c r="T52" s="197"/>
      <c r="U52" s="197"/>
    </row>
    <row r="53" spans="1:21" s="12" customFormat="1" x14ac:dyDescent="0.25">
      <c r="A53" s="200" t="s">
        <v>960</v>
      </c>
      <c r="B53" s="59">
        <v>7.28</v>
      </c>
      <c r="C53" s="59">
        <v>38.090000000000003</v>
      </c>
      <c r="D53" s="59">
        <v>26.86</v>
      </c>
      <c r="E53" s="59">
        <v>7.96</v>
      </c>
      <c r="F53" s="59">
        <v>3.03</v>
      </c>
      <c r="G53" s="210" t="s">
        <v>43</v>
      </c>
      <c r="H53" s="210" t="s">
        <v>43</v>
      </c>
      <c r="I53" s="209" t="s">
        <v>36</v>
      </c>
      <c r="J53" s="59">
        <v>0.93</v>
      </c>
      <c r="K53" s="59">
        <v>98.41</v>
      </c>
      <c r="L53" s="59">
        <v>22.62</v>
      </c>
      <c r="M53" s="59">
        <v>37</v>
      </c>
      <c r="N53" s="59">
        <v>360.1</v>
      </c>
      <c r="O53" s="59">
        <v>0</v>
      </c>
      <c r="P53" s="59">
        <v>1.04</v>
      </c>
      <c r="Q53" s="59">
        <v>31.21</v>
      </c>
      <c r="R53" s="197"/>
      <c r="S53" s="197"/>
      <c r="T53" s="197"/>
      <c r="U53" s="197"/>
    </row>
    <row r="54" spans="1:21" s="12" customFormat="1" x14ac:dyDescent="0.25">
      <c r="A54" s="200" t="s">
        <v>961</v>
      </c>
      <c r="B54" s="59">
        <v>9.43</v>
      </c>
      <c r="C54" s="59">
        <v>38.14</v>
      </c>
      <c r="D54" s="59">
        <v>28.61</v>
      </c>
      <c r="E54" s="59">
        <v>11.43</v>
      </c>
      <c r="F54" s="59">
        <v>4.63</v>
      </c>
      <c r="G54" s="210" t="s">
        <v>43</v>
      </c>
      <c r="H54" s="210" t="s">
        <v>43</v>
      </c>
      <c r="I54" s="59">
        <v>0.23</v>
      </c>
      <c r="J54" s="59">
        <v>0.68</v>
      </c>
      <c r="K54" s="59">
        <v>67.540000000000006</v>
      </c>
      <c r="L54" s="59">
        <v>24.29</v>
      </c>
      <c r="M54" s="59">
        <v>32</v>
      </c>
      <c r="N54" s="59">
        <v>457.2</v>
      </c>
      <c r="O54" s="59">
        <v>0</v>
      </c>
      <c r="P54" s="59">
        <v>0.99</v>
      </c>
      <c r="Q54" s="59">
        <v>29.87</v>
      </c>
      <c r="R54" s="197"/>
      <c r="S54" s="197"/>
      <c r="T54" s="197"/>
      <c r="U54" s="197"/>
    </row>
    <row r="55" spans="1:21" s="12" customFormat="1" x14ac:dyDescent="0.25">
      <c r="A55" s="200" t="s">
        <v>962</v>
      </c>
      <c r="B55" s="59">
        <v>9.26</v>
      </c>
      <c r="C55" s="59">
        <v>39.9</v>
      </c>
      <c r="D55" s="59">
        <v>29.45</v>
      </c>
      <c r="E55" s="59">
        <v>11.8</v>
      </c>
      <c r="F55" s="59">
        <v>3.73</v>
      </c>
      <c r="G55" s="210" t="s">
        <v>43</v>
      </c>
      <c r="H55" s="210" t="s">
        <v>43</v>
      </c>
      <c r="I55" s="59">
        <v>0.28999999999999998</v>
      </c>
      <c r="J55" s="59">
        <v>1.52</v>
      </c>
      <c r="K55" s="59">
        <v>118.53</v>
      </c>
      <c r="L55" s="59">
        <v>23.6</v>
      </c>
      <c r="M55" s="59">
        <v>31</v>
      </c>
      <c r="N55" s="59">
        <v>499.4</v>
      </c>
      <c r="O55" s="59">
        <v>0</v>
      </c>
      <c r="P55" s="59">
        <v>0.94</v>
      </c>
      <c r="Q55" s="59">
        <v>29.22</v>
      </c>
      <c r="R55" s="197"/>
      <c r="S55" s="197"/>
      <c r="T55" s="197"/>
      <c r="U55" s="197"/>
    </row>
    <row r="56" spans="1:21" s="12" customFormat="1" x14ac:dyDescent="0.25">
      <c r="A56" s="200" t="s">
        <v>963</v>
      </c>
      <c r="B56" s="59">
        <v>10.66</v>
      </c>
      <c r="C56" s="59">
        <v>40.61</v>
      </c>
      <c r="D56" s="59">
        <v>30.96</v>
      </c>
      <c r="E56" s="59">
        <v>17.579999999999998</v>
      </c>
      <c r="F56" s="59">
        <v>5.28</v>
      </c>
      <c r="G56" s="210" t="s">
        <v>43</v>
      </c>
      <c r="H56" s="210" t="s">
        <v>43</v>
      </c>
      <c r="I56" s="59">
        <v>0.27</v>
      </c>
      <c r="J56" s="59">
        <v>0.68</v>
      </c>
      <c r="K56" s="59">
        <v>89.43</v>
      </c>
      <c r="L56" s="59">
        <v>24.87</v>
      </c>
      <c r="M56" s="59">
        <v>29</v>
      </c>
      <c r="N56" s="59">
        <v>481.7</v>
      </c>
      <c r="O56" s="59">
        <v>0</v>
      </c>
      <c r="P56" s="59">
        <v>0.86</v>
      </c>
      <c r="Q56" s="59">
        <v>28.39</v>
      </c>
      <c r="R56" s="197"/>
      <c r="S56" s="197"/>
      <c r="T56" s="197"/>
      <c r="U56" s="197"/>
    </row>
    <row r="57" spans="1:21" s="12" customFormat="1" x14ac:dyDescent="0.25">
      <c r="A57" s="200" t="s">
        <v>964</v>
      </c>
      <c r="B57" s="59">
        <v>10.99</v>
      </c>
      <c r="C57" s="59">
        <v>41.69</v>
      </c>
      <c r="D57" s="59">
        <v>31.82</v>
      </c>
      <c r="E57" s="59">
        <v>21.72</v>
      </c>
      <c r="F57" s="59">
        <v>4.82</v>
      </c>
      <c r="G57" s="210" t="s">
        <v>43</v>
      </c>
      <c r="H57" s="210" t="s">
        <v>43</v>
      </c>
      <c r="I57" s="59">
        <v>0.26</v>
      </c>
      <c r="J57" s="59">
        <v>1.1299999999999999</v>
      </c>
      <c r="K57" s="59">
        <v>115.19</v>
      </c>
      <c r="L57" s="59">
        <v>24.81</v>
      </c>
      <c r="M57" s="59">
        <v>29</v>
      </c>
      <c r="N57" s="59">
        <v>483</v>
      </c>
      <c r="O57" s="59">
        <v>0</v>
      </c>
      <c r="P57" s="59">
        <v>0.8</v>
      </c>
      <c r="Q57" s="59">
        <v>27.13</v>
      </c>
      <c r="R57" s="197"/>
      <c r="S57" s="197"/>
      <c r="T57" s="197"/>
      <c r="U57" s="197"/>
    </row>
    <row r="58" spans="1:21" s="12" customFormat="1" x14ac:dyDescent="0.25">
      <c r="A58" s="200" t="s">
        <v>965</v>
      </c>
      <c r="B58" s="59">
        <v>7.26</v>
      </c>
      <c r="C58" s="59">
        <v>59.06</v>
      </c>
      <c r="D58" s="59">
        <v>38.42</v>
      </c>
      <c r="E58" s="59">
        <v>19.5</v>
      </c>
      <c r="F58" s="59">
        <v>5.16</v>
      </c>
      <c r="G58" s="210" t="s">
        <v>43</v>
      </c>
      <c r="H58" s="210" t="s">
        <v>43</v>
      </c>
      <c r="I58" s="59">
        <v>0.25</v>
      </c>
      <c r="J58" s="59">
        <v>1.1100000000000001</v>
      </c>
      <c r="K58" s="59">
        <v>114.43</v>
      </c>
      <c r="L58" s="59">
        <v>24.68</v>
      </c>
      <c r="M58" s="59">
        <v>29</v>
      </c>
      <c r="N58" s="59">
        <v>473.9</v>
      </c>
      <c r="O58" s="59">
        <v>0</v>
      </c>
      <c r="P58" s="59">
        <v>0.7</v>
      </c>
      <c r="Q58" s="59">
        <v>25.62</v>
      </c>
      <c r="R58" s="197"/>
      <c r="S58" s="197"/>
      <c r="T58" s="197"/>
      <c r="U58" s="197"/>
    </row>
    <row r="59" spans="1:21" s="12" customFormat="1" x14ac:dyDescent="0.25">
      <c r="A59" s="200" t="s">
        <v>966</v>
      </c>
      <c r="B59" s="59">
        <v>5.67</v>
      </c>
      <c r="C59" s="59">
        <v>70.25</v>
      </c>
      <c r="D59" s="59">
        <v>43.32</v>
      </c>
      <c r="E59" s="59">
        <v>18.28</v>
      </c>
      <c r="F59" s="59">
        <v>6.26</v>
      </c>
      <c r="G59" s="210" t="s">
        <v>43</v>
      </c>
      <c r="H59" s="210" t="s">
        <v>43</v>
      </c>
      <c r="I59" s="59">
        <v>0.24</v>
      </c>
      <c r="J59" s="59">
        <v>0.96</v>
      </c>
      <c r="K59" s="59">
        <v>104.68</v>
      </c>
      <c r="L59" s="59">
        <v>25.09</v>
      </c>
      <c r="M59" s="59">
        <v>28</v>
      </c>
      <c r="N59" s="59">
        <v>468.8</v>
      </c>
      <c r="O59" s="59">
        <v>0</v>
      </c>
      <c r="P59" s="59">
        <v>0.67</v>
      </c>
      <c r="Q59" s="59">
        <v>24.13</v>
      </c>
      <c r="R59" s="197"/>
      <c r="S59" s="197"/>
      <c r="T59" s="197"/>
      <c r="U59" s="197"/>
    </row>
    <row r="60" spans="1:21" s="12" customFormat="1" x14ac:dyDescent="0.25">
      <c r="A60" s="200" t="s">
        <v>967</v>
      </c>
      <c r="B60" s="59">
        <v>3.84</v>
      </c>
      <c r="C60" s="59">
        <v>66.28</v>
      </c>
      <c r="D60" s="59">
        <v>39.659999999999997</v>
      </c>
      <c r="E60" s="59">
        <v>17.78</v>
      </c>
      <c r="F60" s="59">
        <v>8.42</v>
      </c>
      <c r="G60" s="211" t="s">
        <v>40</v>
      </c>
      <c r="H60" s="211" t="s">
        <v>40</v>
      </c>
      <c r="I60" s="209" t="s">
        <v>36</v>
      </c>
      <c r="J60" s="59">
        <v>1.18</v>
      </c>
      <c r="K60" s="59">
        <v>110.69</v>
      </c>
      <c r="L60" s="59">
        <v>25.41</v>
      </c>
      <c r="M60" s="59">
        <v>28</v>
      </c>
      <c r="N60" s="59">
        <v>458.6</v>
      </c>
      <c r="O60" s="59">
        <v>0</v>
      </c>
      <c r="P60" s="59">
        <v>0.62</v>
      </c>
      <c r="Q60" s="59">
        <v>23.95</v>
      </c>
      <c r="R60" s="197"/>
      <c r="S60" s="197"/>
      <c r="T60" s="197"/>
      <c r="U60" s="197"/>
    </row>
    <row r="61" spans="1:21" s="12" customFormat="1" x14ac:dyDescent="0.25">
      <c r="A61" s="200" t="s">
        <v>968</v>
      </c>
      <c r="B61" s="59">
        <v>3.94</v>
      </c>
      <c r="C61" s="59">
        <v>67.19</v>
      </c>
      <c r="D61" s="59">
        <v>40.24</v>
      </c>
      <c r="E61" s="59">
        <v>12.97</v>
      </c>
      <c r="F61" s="59">
        <v>5.55</v>
      </c>
      <c r="G61" s="211" t="s">
        <v>40</v>
      </c>
      <c r="H61" s="211" t="s">
        <v>40</v>
      </c>
      <c r="I61" s="209" t="s">
        <v>36</v>
      </c>
      <c r="J61" s="59">
        <v>0.64</v>
      </c>
      <c r="K61" s="59">
        <v>49.84</v>
      </c>
      <c r="L61" s="59">
        <v>26.86</v>
      </c>
      <c r="M61" s="59">
        <v>26</v>
      </c>
      <c r="N61" s="59">
        <v>443.6</v>
      </c>
      <c r="O61" s="59">
        <v>0</v>
      </c>
      <c r="P61" s="59">
        <v>0.57999999999999996</v>
      </c>
      <c r="Q61" s="59">
        <v>24.65</v>
      </c>
      <c r="R61" s="197"/>
      <c r="S61" s="197"/>
      <c r="T61" s="197"/>
      <c r="U61" s="197"/>
    </row>
    <row r="62" spans="1:21" s="12" customFormat="1" x14ac:dyDescent="0.25">
      <c r="A62" s="200" t="s">
        <v>969</v>
      </c>
      <c r="B62" s="59">
        <v>3.71</v>
      </c>
      <c r="C62" s="59">
        <v>66.430000000000007</v>
      </c>
      <c r="D62" s="59">
        <v>39.630000000000003</v>
      </c>
      <c r="E62" s="59">
        <v>7.46</v>
      </c>
      <c r="F62" s="59">
        <v>3.2</v>
      </c>
      <c r="G62" s="211" t="s">
        <v>40</v>
      </c>
      <c r="H62" s="211" t="s">
        <v>40</v>
      </c>
      <c r="I62" s="209" t="s">
        <v>36</v>
      </c>
      <c r="J62" s="59">
        <v>1.06</v>
      </c>
      <c r="K62" s="59">
        <v>122.86</v>
      </c>
      <c r="L62" s="59">
        <v>26.19</v>
      </c>
      <c r="M62" s="59">
        <v>27</v>
      </c>
      <c r="N62" s="59">
        <v>439.1</v>
      </c>
      <c r="O62" s="59">
        <v>0</v>
      </c>
      <c r="P62" s="59">
        <v>0.63</v>
      </c>
      <c r="Q62" s="59">
        <v>26.4</v>
      </c>
      <c r="R62" s="197"/>
      <c r="S62" s="197"/>
      <c r="T62" s="197"/>
      <c r="U62" s="197"/>
    </row>
    <row r="63" spans="1:21" s="12" customFormat="1" x14ac:dyDescent="0.25">
      <c r="A63" s="200" t="s">
        <v>970</v>
      </c>
      <c r="B63" s="59">
        <v>4.45</v>
      </c>
      <c r="C63" s="59">
        <v>63.68</v>
      </c>
      <c r="D63" s="59">
        <v>38.71</v>
      </c>
      <c r="E63" s="59">
        <v>9.5500000000000007</v>
      </c>
      <c r="F63" s="59">
        <v>3.92</v>
      </c>
      <c r="G63" s="211" t="s">
        <v>40</v>
      </c>
      <c r="H63" s="211" t="s">
        <v>40</v>
      </c>
      <c r="I63" s="209" t="s">
        <v>36</v>
      </c>
      <c r="J63" s="59">
        <v>0.86</v>
      </c>
      <c r="K63" s="59">
        <v>106.85</v>
      </c>
      <c r="L63" s="59">
        <v>26.17</v>
      </c>
      <c r="M63" s="59">
        <v>27</v>
      </c>
      <c r="N63" s="59">
        <v>421.5</v>
      </c>
      <c r="O63" s="59">
        <v>0</v>
      </c>
      <c r="P63" s="59">
        <v>0.64</v>
      </c>
      <c r="Q63" s="59">
        <v>27.81</v>
      </c>
      <c r="R63" s="197"/>
      <c r="S63" s="197"/>
      <c r="T63" s="197"/>
      <c r="U63" s="197"/>
    </row>
    <row r="64" spans="1:21" s="12" customFormat="1" x14ac:dyDescent="0.25">
      <c r="A64" s="200" t="s">
        <v>971</v>
      </c>
      <c r="B64" s="59">
        <v>5.42</v>
      </c>
      <c r="C64" s="59">
        <v>60.88</v>
      </c>
      <c r="D64" s="59">
        <v>37.94</v>
      </c>
      <c r="E64" s="59">
        <v>12.91</v>
      </c>
      <c r="F64" s="59">
        <v>9.69</v>
      </c>
      <c r="G64" s="210" t="s">
        <v>43</v>
      </c>
      <c r="H64" s="210" t="s">
        <v>43</v>
      </c>
      <c r="I64" s="209" t="s">
        <v>36</v>
      </c>
      <c r="J64" s="59">
        <v>1.1200000000000001</v>
      </c>
      <c r="K64" s="59">
        <v>33.67</v>
      </c>
      <c r="L64" s="59">
        <v>27.17</v>
      </c>
      <c r="M64" s="59">
        <v>25</v>
      </c>
      <c r="N64" s="59">
        <v>401.8</v>
      </c>
      <c r="O64" s="59">
        <v>0</v>
      </c>
      <c r="P64" s="59">
        <v>0.65</v>
      </c>
      <c r="Q64" s="59">
        <v>27.46</v>
      </c>
      <c r="R64" s="197"/>
      <c r="S64" s="197"/>
      <c r="T64" s="197"/>
      <c r="U64" s="197"/>
    </row>
    <row r="65" spans="1:21" s="12" customFormat="1" x14ac:dyDescent="0.25">
      <c r="A65" s="200" t="s">
        <v>972</v>
      </c>
      <c r="B65" s="59">
        <v>4.66</v>
      </c>
      <c r="C65" s="59">
        <v>62.08</v>
      </c>
      <c r="D65" s="59">
        <v>38</v>
      </c>
      <c r="E65" s="59">
        <v>9.64</v>
      </c>
      <c r="F65" s="59">
        <v>6.64</v>
      </c>
      <c r="G65" s="210" t="s">
        <v>43</v>
      </c>
      <c r="H65" s="210" t="s">
        <v>43</v>
      </c>
      <c r="I65" s="59">
        <v>0.01</v>
      </c>
      <c r="J65" s="59">
        <v>0.76</v>
      </c>
      <c r="K65" s="59">
        <v>82.26</v>
      </c>
      <c r="L65" s="59">
        <v>26.88</v>
      </c>
      <c r="M65" s="59">
        <v>25</v>
      </c>
      <c r="N65" s="59">
        <v>374</v>
      </c>
      <c r="O65" s="59">
        <v>0</v>
      </c>
      <c r="P65" s="59">
        <v>0.66</v>
      </c>
      <c r="Q65" s="59">
        <v>27.23</v>
      </c>
      <c r="R65" s="197"/>
      <c r="S65" s="197"/>
      <c r="T65" s="197"/>
      <c r="U65" s="197"/>
    </row>
    <row r="66" spans="1:21" s="12" customFormat="1" x14ac:dyDescent="0.25">
      <c r="A66" s="200" t="s">
        <v>973</v>
      </c>
      <c r="B66" s="59">
        <v>3.89</v>
      </c>
      <c r="C66" s="59">
        <v>62.69</v>
      </c>
      <c r="D66" s="59">
        <v>37.72</v>
      </c>
      <c r="E66" s="59">
        <v>9.1</v>
      </c>
      <c r="F66" s="59">
        <v>6.1</v>
      </c>
      <c r="G66" s="210" t="s">
        <v>43</v>
      </c>
      <c r="H66" s="210" t="s">
        <v>43</v>
      </c>
      <c r="I66" s="59">
        <v>0.17</v>
      </c>
      <c r="J66" s="59">
        <v>0.61</v>
      </c>
      <c r="K66" s="59">
        <v>91.01</v>
      </c>
      <c r="L66" s="59">
        <v>27.3</v>
      </c>
      <c r="M66" s="59">
        <v>25</v>
      </c>
      <c r="N66" s="59">
        <v>221.4</v>
      </c>
      <c r="O66" s="59">
        <v>0</v>
      </c>
      <c r="P66" s="59">
        <v>0.68</v>
      </c>
      <c r="Q66" s="59">
        <v>27.59</v>
      </c>
      <c r="R66" s="197"/>
      <c r="S66" s="197"/>
      <c r="T66" s="197"/>
      <c r="U66" s="197"/>
    </row>
    <row r="67" spans="1:21" s="12" customFormat="1" x14ac:dyDescent="0.25">
      <c r="A67" s="200" t="s">
        <v>974</v>
      </c>
      <c r="B67" s="59">
        <v>4.97</v>
      </c>
      <c r="C67" s="59">
        <v>57.86</v>
      </c>
      <c r="D67" s="59">
        <v>35.92</v>
      </c>
      <c r="E67" s="59">
        <v>9.8800000000000008</v>
      </c>
      <c r="F67" s="59">
        <v>11.51</v>
      </c>
      <c r="G67" s="210" t="s">
        <v>43</v>
      </c>
      <c r="H67" s="210" t="s">
        <v>43</v>
      </c>
      <c r="I67" s="59">
        <v>0.17</v>
      </c>
      <c r="J67" s="59">
        <v>0.66</v>
      </c>
      <c r="K67" s="59">
        <v>97.63</v>
      </c>
      <c r="L67" s="59">
        <v>26.57</v>
      </c>
      <c r="M67" s="59">
        <v>26</v>
      </c>
      <c r="N67" s="59">
        <v>210.4</v>
      </c>
      <c r="O67" s="59">
        <v>0</v>
      </c>
      <c r="P67" s="59">
        <v>0.67</v>
      </c>
      <c r="Q67" s="59">
        <v>27.16</v>
      </c>
      <c r="R67" s="197"/>
      <c r="S67" s="197"/>
      <c r="T67" s="197"/>
      <c r="U67" s="197"/>
    </row>
    <row r="68" spans="1:21" s="12" customFormat="1" x14ac:dyDescent="0.25">
      <c r="A68" s="200" t="s">
        <v>975</v>
      </c>
      <c r="B68" s="59">
        <v>3.47</v>
      </c>
      <c r="C68" s="59">
        <v>60.25</v>
      </c>
      <c r="D68" s="59">
        <v>36.03</v>
      </c>
      <c r="E68" s="59">
        <v>10.99</v>
      </c>
      <c r="F68" s="59">
        <v>5.1100000000000003</v>
      </c>
      <c r="G68" s="210" t="s">
        <v>43</v>
      </c>
      <c r="H68" s="210" t="s">
        <v>43</v>
      </c>
      <c r="I68" s="59">
        <v>0.18</v>
      </c>
      <c r="J68" s="59">
        <v>1.02</v>
      </c>
      <c r="K68" s="59">
        <v>129.43</v>
      </c>
      <c r="L68" s="59">
        <v>26.34</v>
      </c>
      <c r="M68" s="59">
        <v>26</v>
      </c>
      <c r="N68" s="59">
        <v>269.2</v>
      </c>
      <c r="O68" s="59">
        <v>0</v>
      </c>
      <c r="P68" s="59">
        <v>0.67</v>
      </c>
      <c r="Q68" s="59">
        <v>25.81</v>
      </c>
      <c r="R68" s="197"/>
      <c r="S68" s="197"/>
      <c r="T68" s="197"/>
      <c r="U68" s="197"/>
    </row>
    <row r="69" spans="1:21" s="12" customFormat="1" x14ac:dyDescent="0.25">
      <c r="A69" s="200" t="s">
        <v>976</v>
      </c>
      <c r="B69" s="59">
        <v>3.5</v>
      </c>
      <c r="C69" s="59">
        <v>59.92</v>
      </c>
      <c r="D69" s="59">
        <v>35.880000000000003</v>
      </c>
      <c r="E69" s="59">
        <v>6.88</v>
      </c>
      <c r="F69" s="59">
        <v>3.94</v>
      </c>
      <c r="G69" s="210" t="s">
        <v>43</v>
      </c>
      <c r="H69" s="210" t="s">
        <v>43</v>
      </c>
      <c r="I69" s="59">
        <v>0.18</v>
      </c>
      <c r="J69" s="59">
        <v>0.83</v>
      </c>
      <c r="K69" s="59">
        <v>55.65</v>
      </c>
      <c r="L69" s="59">
        <v>26.58</v>
      </c>
      <c r="M69" s="59">
        <v>25</v>
      </c>
      <c r="N69" s="59">
        <v>248</v>
      </c>
      <c r="O69" s="59">
        <v>0</v>
      </c>
      <c r="P69" s="59">
        <v>0.67</v>
      </c>
      <c r="Q69" s="59">
        <v>26.54</v>
      </c>
      <c r="R69" s="197"/>
      <c r="S69" s="197"/>
      <c r="T69" s="197"/>
      <c r="U69" s="197"/>
    </row>
    <row r="70" spans="1:21" s="12" customFormat="1" x14ac:dyDescent="0.25">
      <c r="A70" s="200" t="s">
        <v>977</v>
      </c>
      <c r="B70" s="59">
        <v>5.71</v>
      </c>
      <c r="C70" s="59">
        <v>58.42</v>
      </c>
      <c r="D70" s="59">
        <v>36.82</v>
      </c>
      <c r="E70" s="59">
        <v>9.7799999999999994</v>
      </c>
      <c r="F70" s="59">
        <v>8.42</v>
      </c>
      <c r="G70" s="210" t="s">
        <v>43</v>
      </c>
      <c r="H70" s="210" t="s">
        <v>43</v>
      </c>
      <c r="I70" s="59">
        <v>0.19</v>
      </c>
      <c r="J70" s="59">
        <v>0.64</v>
      </c>
      <c r="K70" s="59">
        <v>110.36</v>
      </c>
      <c r="L70" s="59">
        <v>25.76</v>
      </c>
      <c r="M70" s="59">
        <v>26</v>
      </c>
      <c r="N70" s="59">
        <v>153.80000000000001</v>
      </c>
      <c r="O70" s="59">
        <v>0</v>
      </c>
      <c r="P70" s="59">
        <v>0.68</v>
      </c>
      <c r="Q70" s="59">
        <v>27.55</v>
      </c>
      <c r="R70" s="197"/>
      <c r="S70" s="197"/>
      <c r="T70" s="197"/>
      <c r="U70" s="197"/>
    </row>
    <row r="71" spans="1:21" s="12" customFormat="1" x14ac:dyDescent="0.25">
      <c r="A71" s="200" t="s">
        <v>978</v>
      </c>
      <c r="B71" s="59">
        <v>6.35</v>
      </c>
      <c r="C71" s="59">
        <v>58.3</v>
      </c>
      <c r="D71" s="59">
        <v>37.26</v>
      </c>
      <c r="E71" s="59">
        <v>13.3</v>
      </c>
      <c r="F71" s="59">
        <v>7.98</v>
      </c>
      <c r="G71" s="210" t="s">
        <v>43</v>
      </c>
      <c r="H71" s="210" t="s">
        <v>43</v>
      </c>
      <c r="I71" s="59">
        <v>0.19</v>
      </c>
      <c r="J71" s="59">
        <v>1.1499999999999999</v>
      </c>
      <c r="K71" s="59">
        <v>125.53</v>
      </c>
      <c r="L71" s="59">
        <v>25.4</v>
      </c>
      <c r="M71" s="59">
        <v>27</v>
      </c>
      <c r="N71" s="59">
        <v>170.1</v>
      </c>
      <c r="O71" s="59">
        <v>0</v>
      </c>
      <c r="P71" s="59">
        <v>0.7</v>
      </c>
      <c r="Q71" s="59">
        <v>27.71</v>
      </c>
      <c r="R71" s="197"/>
      <c r="S71" s="197"/>
      <c r="T71" s="197"/>
      <c r="U71" s="197"/>
    </row>
    <row r="72" spans="1:21" s="12" customFormat="1" x14ac:dyDescent="0.25">
      <c r="A72" s="200" t="s">
        <v>979</v>
      </c>
      <c r="B72" s="59">
        <v>6.33</v>
      </c>
      <c r="C72" s="59">
        <v>57.72</v>
      </c>
      <c r="D72" s="59">
        <v>36.93</v>
      </c>
      <c r="E72" s="59">
        <v>14.28</v>
      </c>
      <c r="F72" s="59">
        <v>17.32</v>
      </c>
      <c r="G72" s="210" t="s">
        <v>43</v>
      </c>
      <c r="H72" s="210" t="s">
        <v>43</v>
      </c>
      <c r="I72" s="59">
        <v>0.19</v>
      </c>
      <c r="J72" s="59">
        <v>1.22</v>
      </c>
      <c r="K72" s="59">
        <v>26.05</v>
      </c>
      <c r="L72" s="59">
        <v>25.42</v>
      </c>
      <c r="M72" s="59">
        <v>27</v>
      </c>
      <c r="N72" s="59">
        <v>80.7</v>
      </c>
      <c r="O72" s="59">
        <v>0</v>
      </c>
      <c r="P72" s="59">
        <v>0.75</v>
      </c>
      <c r="Q72" s="59">
        <v>27.01</v>
      </c>
      <c r="R72" s="197"/>
      <c r="S72" s="197"/>
      <c r="T72" s="197"/>
      <c r="U72" s="197"/>
    </row>
    <row r="73" spans="1:21" s="12" customFormat="1" x14ac:dyDescent="0.25">
      <c r="A73" s="200" t="s">
        <v>980</v>
      </c>
      <c r="B73" s="59">
        <v>8.7799999999999994</v>
      </c>
      <c r="C73" s="59">
        <v>64.69</v>
      </c>
      <c r="D73" s="59">
        <v>42.74</v>
      </c>
      <c r="E73" s="59">
        <v>25.26</v>
      </c>
      <c r="F73" s="59">
        <v>13.23</v>
      </c>
      <c r="G73" s="210" t="s">
        <v>43</v>
      </c>
      <c r="H73" s="210" t="s">
        <v>43</v>
      </c>
      <c r="I73" s="59">
        <v>0.18</v>
      </c>
      <c r="J73" s="59">
        <v>1.38</v>
      </c>
      <c r="K73" s="59">
        <v>26.06</v>
      </c>
      <c r="L73" s="59">
        <v>25.3</v>
      </c>
      <c r="M73" s="59">
        <v>27</v>
      </c>
      <c r="N73" s="59">
        <v>59.6</v>
      </c>
      <c r="O73" s="59">
        <v>0</v>
      </c>
      <c r="P73" s="59">
        <v>0.83</v>
      </c>
      <c r="Q73" s="59">
        <v>26.52</v>
      </c>
      <c r="R73" s="197"/>
      <c r="S73" s="197"/>
      <c r="T73" s="197"/>
      <c r="U73" s="197"/>
    </row>
    <row r="74" spans="1:21" s="12" customFormat="1" x14ac:dyDescent="0.25">
      <c r="A74" s="200" t="s">
        <v>981</v>
      </c>
      <c r="B74" s="59">
        <v>13.81</v>
      </c>
      <c r="C74" s="59">
        <v>76.55</v>
      </c>
      <c r="D74" s="59">
        <v>53.32</v>
      </c>
      <c r="E74" s="59">
        <v>35.659999999999997</v>
      </c>
      <c r="F74" s="59">
        <v>10.33</v>
      </c>
      <c r="G74" s="210" t="s">
        <v>43</v>
      </c>
      <c r="H74" s="210" t="s">
        <v>43</v>
      </c>
      <c r="I74" s="59">
        <v>0.19</v>
      </c>
      <c r="J74" s="59">
        <v>0.86</v>
      </c>
      <c r="K74" s="59">
        <v>26.9</v>
      </c>
      <c r="L74" s="59">
        <v>24.84</v>
      </c>
      <c r="M74" s="59">
        <v>27</v>
      </c>
      <c r="N74" s="59">
        <v>43.9</v>
      </c>
      <c r="O74" s="59">
        <v>0</v>
      </c>
      <c r="P74" s="59">
        <v>0.92</v>
      </c>
      <c r="Q74" s="59">
        <v>26.6</v>
      </c>
      <c r="R74" s="197"/>
      <c r="S74" s="197"/>
      <c r="T74" s="197"/>
      <c r="U74" s="197"/>
    </row>
    <row r="75" spans="1:21" s="12" customFormat="1" x14ac:dyDescent="0.25">
      <c r="A75" s="200" t="s">
        <v>982</v>
      </c>
      <c r="B75" s="59">
        <v>9.4499999999999993</v>
      </c>
      <c r="C75" s="59">
        <v>77.92</v>
      </c>
      <c r="D75" s="59">
        <v>50.58</v>
      </c>
      <c r="E75" s="59">
        <v>10.48</v>
      </c>
      <c r="F75" s="59">
        <v>2.59</v>
      </c>
      <c r="G75" s="210" t="s">
        <v>43</v>
      </c>
      <c r="H75" s="210" t="s">
        <v>43</v>
      </c>
      <c r="I75" s="59">
        <v>0.2</v>
      </c>
      <c r="J75" s="59">
        <v>0.32</v>
      </c>
      <c r="K75" s="59">
        <v>68.36</v>
      </c>
      <c r="L75" s="59">
        <v>24.03</v>
      </c>
      <c r="M75" s="59">
        <v>29</v>
      </c>
      <c r="N75" s="59">
        <v>35.9</v>
      </c>
      <c r="O75" s="59">
        <v>0</v>
      </c>
      <c r="P75" s="59">
        <v>0.93</v>
      </c>
      <c r="Q75" s="59">
        <v>28.44</v>
      </c>
      <c r="R75" s="197"/>
      <c r="S75" s="197"/>
      <c r="T75" s="197"/>
      <c r="U75" s="197"/>
    </row>
    <row r="76" spans="1:21" s="12" customFormat="1" x14ac:dyDescent="0.25">
      <c r="A76" s="200" t="s">
        <v>983</v>
      </c>
      <c r="B76" s="59">
        <v>9.2200000000000006</v>
      </c>
      <c r="C76" s="59">
        <v>79.34</v>
      </c>
      <c r="D76" s="59">
        <v>51.18</v>
      </c>
      <c r="E76" s="59">
        <v>6.9</v>
      </c>
      <c r="F76" s="59">
        <v>1.53</v>
      </c>
      <c r="G76" s="211" t="s">
        <v>40</v>
      </c>
      <c r="H76" s="211" t="s">
        <v>40</v>
      </c>
      <c r="I76" s="59">
        <v>0.23</v>
      </c>
      <c r="J76" s="59">
        <v>0.31</v>
      </c>
      <c r="K76" s="59">
        <v>93.42</v>
      </c>
      <c r="L76" s="59">
        <v>23.32</v>
      </c>
      <c r="M76" s="59">
        <v>31</v>
      </c>
      <c r="N76" s="59">
        <v>33.200000000000003</v>
      </c>
      <c r="O76" s="59">
        <v>0</v>
      </c>
      <c r="P76" s="59">
        <v>0.95</v>
      </c>
      <c r="Q76" s="59">
        <v>30.39</v>
      </c>
      <c r="R76" s="197"/>
      <c r="S76" s="197"/>
      <c r="T76" s="197"/>
      <c r="U76" s="197"/>
    </row>
    <row r="77" spans="1:21" s="12" customFormat="1" x14ac:dyDescent="0.25">
      <c r="A77" s="200" t="s">
        <v>984</v>
      </c>
      <c r="B77" s="59">
        <v>8.0500000000000007</v>
      </c>
      <c r="C77" s="59">
        <v>78.83</v>
      </c>
      <c r="D77" s="59">
        <v>49.96</v>
      </c>
      <c r="E77" s="59">
        <v>5.84</v>
      </c>
      <c r="F77" s="59">
        <v>1.06</v>
      </c>
      <c r="G77" s="211" t="s">
        <v>40</v>
      </c>
      <c r="H77" s="211" t="s">
        <v>40</v>
      </c>
      <c r="I77" s="59">
        <v>0.25</v>
      </c>
      <c r="J77" s="59">
        <v>0.27</v>
      </c>
      <c r="K77" s="59">
        <v>111.83</v>
      </c>
      <c r="L77" s="59">
        <v>22.81</v>
      </c>
      <c r="M77" s="59">
        <v>33</v>
      </c>
      <c r="N77" s="59">
        <v>27.6</v>
      </c>
      <c r="O77" s="59">
        <v>0</v>
      </c>
      <c r="P77" s="59">
        <v>0.96</v>
      </c>
      <c r="Q77" s="59">
        <v>32.49</v>
      </c>
      <c r="R77" s="197"/>
      <c r="S77" s="197"/>
      <c r="T77" s="197"/>
      <c r="U77" s="197"/>
    </row>
    <row r="78" spans="1:21" s="12" customFormat="1" x14ac:dyDescent="0.25">
      <c r="A78" s="200" t="s">
        <v>985</v>
      </c>
      <c r="B78" s="59">
        <v>7.26</v>
      </c>
      <c r="C78" s="59">
        <v>78.23</v>
      </c>
      <c r="D78" s="59">
        <v>48.99</v>
      </c>
      <c r="E78" s="59">
        <v>5.63</v>
      </c>
      <c r="F78" s="59">
        <v>1.03</v>
      </c>
      <c r="G78" s="211" t="s">
        <v>40</v>
      </c>
      <c r="H78" s="211" t="s">
        <v>40</v>
      </c>
      <c r="I78" s="59">
        <v>0.26</v>
      </c>
      <c r="J78" s="59">
        <v>0.13</v>
      </c>
      <c r="K78" s="59">
        <v>91.22</v>
      </c>
      <c r="L78" s="59">
        <v>22.49</v>
      </c>
      <c r="M78" s="59">
        <v>36</v>
      </c>
      <c r="N78" s="59">
        <v>25</v>
      </c>
      <c r="O78" s="59">
        <v>0</v>
      </c>
      <c r="P78" s="59">
        <v>0.98</v>
      </c>
      <c r="Q78" s="59">
        <v>33.659999999999997</v>
      </c>
      <c r="R78" s="197"/>
      <c r="S78" s="197"/>
      <c r="T78" s="197"/>
      <c r="U78" s="197"/>
    </row>
    <row r="79" spans="1:21" s="12" customFormat="1" x14ac:dyDescent="0.25">
      <c r="A79" s="200" t="s">
        <v>986</v>
      </c>
      <c r="B79" s="59">
        <v>8.0299999999999994</v>
      </c>
      <c r="C79" s="59">
        <v>78.59</v>
      </c>
      <c r="D79" s="59">
        <v>49.81</v>
      </c>
      <c r="E79" s="59">
        <v>5.26</v>
      </c>
      <c r="F79" s="59">
        <v>0.8</v>
      </c>
      <c r="G79" s="59">
        <v>63.42</v>
      </c>
      <c r="H79" s="59">
        <v>14.62</v>
      </c>
      <c r="I79" s="59">
        <v>0.27</v>
      </c>
      <c r="J79" s="59">
        <v>0.05</v>
      </c>
      <c r="K79" s="59">
        <v>58.03</v>
      </c>
      <c r="L79" s="59">
        <v>21.41</v>
      </c>
      <c r="M79" s="59">
        <v>42</v>
      </c>
      <c r="N79" s="59">
        <v>24.7</v>
      </c>
      <c r="O79" s="59">
        <v>0</v>
      </c>
      <c r="P79" s="59">
        <v>1.02</v>
      </c>
      <c r="Q79" s="59">
        <v>34.68</v>
      </c>
      <c r="R79" s="197"/>
      <c r="S79" s="197"/>
      <c r="T79" s="197"/>
      <c r="U79" s="197"/>
    </row>
    <row r="80" spans="1:21" s="12" customFormat="1" x14ac:dyDescent="0.25">
      <c r="A80" s="200" t="s">
        <v>987</v>
      </c>
      <c r="B80" s="59">
        <v>11.77</v>
      </c>
      <c r="C80" s="59">
        <v>78.849999999999994</v>
      </c>
      <c r="D80" s="59">
        <v>52.95</v>
      </c>
      <c r="E80" s="59">
        <v>5.33</v>
      </c>
      <c r="F80" s="59">
        <v>0.62</v>
      </c>
      <c r="G80" s="59">
        <v>123.12</v>
      </c>
      <c r="H80" s="59">
        <v>38.700000000000003</v>
      </c>
      <c r="I80" s="59">
        <v>0.28999999999999998</v>
      </c>
      <c r="J80" s="59">
        <v>0.13</v>
      </c>
      <c r="K80" s="59">
        <v>23.29</v>
      </c>
      <c r="L80" s="59">
        <v>20.77</v>
      </c>
      <c r="M80" s="59">
        <v>44</v>
      </c>
      <c r="N80" s="59">
        <v>24.3</v>
      </c>
      <c r="O80" s="59">
        <v>0</v>
      </c>
      <c r="P80" s="59">
        <v>1.1399999999999999</v>
      </c>
      <c r="Q80" s="59">
        <v>35.44</v>
      </c>
      <c r="R80" s="197"/>
      <c r="S80" s="197"/>
      <c r="T80" s="197"/>
      <c r="U80" s="197"/>
    </row>
    <row r="81" spans="1:26" s="12" customFormat="1" x14ac:dyDescent="0.25">
      <c r="A81" s="200" t="s">
        <v>988</v>
      </c>
      <c r="B81" s="59">
        <v>18.989999999999998</v>
      </c>
      <c r="C81" s="59">
        <v>80.349999999999994</v>
      </c>
      <c r="D81" s="59">
        <v>59.57</v>
      </c>
      <c r="E81" s="59">
        <v>4.97</v>
      </c>
      <c r="F81" s="59">
        <v>0.66</v>
      </c>
      <c r="G81" s="59">
        <v>123.12</v>
      </c>
      <c r="H81" s="59">
        <v>38.700000000000003</v>
      </c>
      <c r="I81" s="59">
        <v>0.31</v>
      </c>
      <c r="J81" s="59">
        <v>0.09</v>
      </c>
      <c r="K81" s="59">
        <v>16.78</v>
      </c>
      <c r="L81" s="59">
        <v>20.45</v>
      </c>
      <c r="M81" s="59">
        <v>42</v>
      </c>
      <c r="N81" s="59">
        <v>24.3</v>
      </c>
      <c r="O81" s="59">
        <v>0</v>
      </c>
      <c r="P81" s="59">
        <v>1.29</v>
      </c>
      <c r="Q81" s="59">
        <v>36.340000000000003</v>
      </c>
      <c r="R81" s="197"/>
      <c r="S81" s="197"/>
      <c r="T81" s="197"/>
      <c r="U81" s="197"/>
    </row>
    <row r="82" spans="1:26" s="12" customFormat="1" x14ac:dyDescent="0.25">
      <c r="A82" s="200" t="s">
        <v>989</v>
      </c>
      <c r="B82" s="59">
        <v>28.43</v>
      </c>
      <c r="C82" s="59">
        <v>80.81</v>
      </c>
      <c r="D82" s="59">
        <v>67.39</v>
      </c>
      <c r="E82" s="59">
        <v>5.19</v>
      </c>
      <c r="F82" s="59">
        <v>0.61</v>
      </c>
      <c r="G82" s="59">
        <v>123.12</v>
      </c>
      <c r="H82" s="59">
        <v>38.700000000000003</v>
      </c>
      <c r="I82" s="59">
        <v>0.35</v>
      </c>
      <c r="J82" s="59">
        <v>0.11</v>
      </c>
      <c r="K82" s="59">
        <v>350.56</v>
      </c>
      <c r="L82" s="59">
        <v>19.989999999999998</v>
      </c>
      <c r="M82" s="59">
        <v>48</v>
      </c>
      <c r="N82" s="59">
        <v>24.4</v>
      </c>
      <c r="O82" s="59">
        <v>0</v>
      </c>
      <c r="P82" s="59">
        <v>1.43</v>
      </c>
      <c r="Q82" s="59">
        <v>36.200000000000003</v>
      </c>
      <c r="R82" s="197"/>
      <c r="S82" s="197"/>
      <c r="T82" s="197"/>
      <c r="U82" s="197"/>
    </row>
    <row r="83" spans="1:26" s="12" customFormat="1" x14ac:dyDescent="0.25">
      <c r="A83" s="200" t="s">
        <v>990</v>
      </c>
      <c r="B83" s="59">
        <v>33.06</v>
      </c>
      <c r="C83" s="59">
        <v>80.42</v>
      </c>
      <c r="D83" s="59">
        <v>70.89</v>
      </c>
      <c r="E83" s="59">
        <v>5.3</v>
      </c>
      <c r="F83" s="59">
        <v>0.67</v>
      </c>
      <c r="G83" s="59">
        <v>126.97</v>
      </c>
      <c r="H83" s="59">
        <v>39.130000000000003</v>
      </c>
      <c r="I83" s="59">
        <v>0.4</v>
      </c>
      <c r="J83" s="59">
        <v>0.04</v>
      </c>
      <c r="K83" s="59">
        <v>143.21</v>
      </c>
      <c r="L83" s="59">
        <v>19.41</v>
      </c>
      <c r="M83" s="59">
        <v>49</v>
      </c>
      <c r="N83" s="59">
        <v>24.6</v>
      </c>
      <c r="O83" s="59">
        <v>0</v>
      </c>
      <c r="P83" s="59">
        <v>1.53</v>
      </c>
      <c r="Q83" s="59">
        <v>37.58</v>
      </c>
      <c r="R83" s="197"/>
      <c r="S83" s="197"/>
      <c r="T83" s="197"/>
      <c r="U83" s="197"/>
    </row>
    <row r="84" spans="1:26" s="12" customFormat="1" x14ac:dyDescent="0.25">
      <c r="A84" s="200" t="s">
        <v>991</v>
      </c>
      <c r="B84" s="59">
        <v>44.2</v>
      </c>
      <c r="C84" s="59">
        <v>78.12</v>
      </c>
      <c r="D84" s="59">
        <v>78.55</v>
      </c>
      <c r="E84" s="59">
        <v>4.79</v>
      </c>
      <c r="F84" s="59">
        <v>0.57999999999999996</v>
      </c>
      <c r="G84" s="59">
        <v>130.6</v>
      </c>
      <c r="H84" s="59">
        <v>39.83</v>
      </c>
      <c r="I84" s="59">
        <v>0.45</v>
      </c>
      <c r="J84" s="59">
        <v>0.08</v>
      </c>
      <c r="K84" s="59">
        <v>24.44</v>
      </c>
      <c r="L84" s="59">
        <v>18.760000000000002</v>
      </c>
      <c r="M84" s="59">
        <v>53</v>
      </c>
      <c r="N84" s="59">
        <v>24.2</v>
      </c>
      <c r="O84" s="59">
        <v>0</v>
      </c>
      <c r="P84" s="59">
        <v>1.69</v>
      </c>
      <c r="Q84" s="59">
        <v>38.89</v>
      </c>
      <c r="R84" s="197"/>
      <c r="S84" s="197"/>
      <c r="T84" s="197"/>
      <c r="U84" s="197"/>
    </row>
    <row r="85" spans="1:26" s="12" customFormat="1" x14ac:dyDescent="0.25">
      <c r="A85" s="200" t="s">
        <v>992</v>
      </c>
      <c r="B85" s="59">
        <v>52.96</v>
      </c>
      <c r="C85" s="59">
        <v>77.45</v>
      </c>
      <c r="D85" s="59">
        <v>85.21</v>
      </c>
      <c r="E85" s="59">
        <v>5.0999999999999996</v>
      </c>
      <c r="F85" s="59">
        <v>0.61</v>
      </c>
      <c r="G85" s="59">
        <v>130.6</v>
      </c>
      <c r="H85" s="59">
        <v>39.83</v>
      </c>
      <c r="I85" s="59">
        <v>0.49</v>
      </c>
      <c r="J85" s="59">
        <v>0.19</v>
      </c>
      <c r="K85" s="59">
        <v>354.22</v>
      </c>
      <c r="L85" s="59">
        <v>18.489999999999998</v>
      </c>
      <c r="M85" s="59">
        <v>57</v>
      </c>
      <c r="N85" s="59">
        <v>24</v>
      </c>
      <c r="O85" s="59">
        <v>0</v>
      </c>
      <c r="P85" s="59">
        <v>1.83</v>
      </c>
      <c r="Q85" s="59">
        <v>40.56</v>
      </c>
      <c r="R85" s="197"/>
      <c r="S85" s="197"/>
      <c r="T85" s="197"/>
      <c r="U85" s="197"/>
    </row>
    <row r="86" spans="1:26" s="12" customFormat="1" x14ac:dyDescent="0.25">
      <c r="A86" s="200" t="s">
        <v>993</v>
      </c>
      <c r="B86" s="59">
        <v>62.99</v>
      </c>
      <c r="C86" s="59">
        <v>76.930000000000007</v>
      </c>
      <c r="D86" s="59">
        <v>92.97</v>
      </c>
      <c r="E86" s="59">
        <v>5.0999999999999996</v>
      </c>
      <c r="F86" s="59">
        <v>0.7</v>
      </c>
      <c r="G86" s="59">
        <v>130.6</v>
      </c>
      <c r="H86" s="59">
        <v>39.83</v>
      </c>
      <c r="I86" s="59">
        <v>0.56000000000000005</v>
      </c>
      <c r="J86" s="59">
        <v>0.05</v>
      </c>
      <c r="K86" s="59">
        <v>307.77</v>
      </c>
      <c r="L86" s="59">
        <v>17.98</v>
      </c>
      <c r="M86" s="59">
        <v>56</v>
      </c>
      <c r="N86" s="59">
        <v>24.1</v>
      </c>
      <c r="O86" s="59">
        <v>0</v>
      </c>
      <c r="P86" s="59">
        <v>2.16</v>
      </c>
      <c r="Q86" s="59">
        <v>41.91</v>
      </c>
      <c r="R86" s="197"/>
      <c r="S86" s="197"/>
      <c r="T86" s="197"/>
      <c r="U86" s="197"/>
    </row>
    <row r="87" spans="1:26" s="12" customFormat="1" x14ac:dyDescent="0.25">
      <c r="A87" s="200" t="s">
        <v>994</v>
      </c>
      <c r="B87" s="59">
        <v>70.75</v>
      </c>
      <c r="C87" s="59">
        <v>76.16</v>
      </c>
      <c r="D87" s="59">
        <v>98.77</v>
      </c>
      <c r="E87" s="59">
        <v>5.31</v>
      </c>
      <c r="F87" s="59">
        <v>0.67</v>
      </c>
      <c r="G87" s="59">
        <v>142.80000000000001</v>
      </c>
      <c r="H87" s="59">
        <v>41.34</v>
      </c>
      <c r="I87" s="59">
        <v>0.65</v>
      </c>
      <c r="J87" s="59">
        <v>0.08</v>
      </c>
      <c r="K87" s="59">
        <v>36.380000000000003</v>
      </c>
      <c r="L87" s="59">
        <v>18.12</v>
      </c>
      <c r="M87" s="59">
        <v>55</v>
      </c>
      <c r="N87" s="59">
        <v>23.8</v>
      </c>
      <c r="O87" s="59">
        <v>0</v>
      </c>
      <c r="P87" s="59">
        <v>2.34</v>
      </c>
      <c r="Q87" s="59">
        <v>42.86</v>
      </c>
      <c r="R87" s="197"/>
      <c r="S87" s="197"/>
      <c r="T87" s="197"/>
      <c r="U87" s="197"/>
    </row>
    <row r="88" spans="1:26" s="12" customFormat="1" x14ac:dyDescent="0.25">
      <c r="A88" s="200" t="s">
        <v>995</v>
      </c>
      <c r="B88" s="59">
        <v>79.59</v>
      </c>
      <c r="C88" s="59">
        <v>75.900000000000006</v>
      </c>
      <c r="D88" s="59">
        <v>105.71</v>
      </c>
      <c r="E88" s="59">
        <v>3.17</v>
      </c>
      <c r="F88" s="59">
        <v>0.74</v>
      </c>
      <c r="G88" s="59">
        <v>154.28</v>
      </c>
      <c r="H88" s="59">
        <v>43.72</v>
      </c>
      <c r="I88" s="59">
        <v>0.74</v>
      </c>
      <c r="J88" s="59">
        <v>0.05</v>
      </c>
      <c r="K88" s="59">
        <v>245.76</v>
      </c>
      <c r="L88" s="59">
        <v>18.25</v>
      </c>
      <c r="M88" s="59">
        <v>54</v>
      </c>
      <c r="N88" s="59">
        <v>23.8</v>
      </c>
      <c r="O88" s="59">
        <v>0</v>
      </c>
      <c r="P88" s="59">
        <v>2.57</v>
      </c>
      <c r="Q88" s="59">
        <v>43.85</v>
      </c>
      <c r="R88" s="197"/>
      <c r="S88" s="197"/>
      <c r="T88" s="197"/>
      <c r="U88" s="197"/>
    </row>
    <row r="89" spans="1:26" s="12" customFormat="1" x14ac:dyDescent="0.25">
      <c r="A89" s="200" t="s">
        <v>996</v>
      </c>
      <c r="B89" s="59">
        <v>88.82</v>
      </c>
      <c r="C89" s="59">
        <v>73.92</v>
      </c>
      <c r="D89" s="59">
        <v>112.02</v>
      </c>
      <c r="E89" s="59">
        <v>4.84</v>
      </c>
      <c r="F89" s="59">
        <v>0.67</v>
      </c>
      <c r="G89" s="59">
        <v>154.28</v>
      </c>
      <c r="H89" s="59">
        <v>43.72</v>
      </c>
      <c r="I89" s="59">
        <v>0.82</v>
      </c>
      <c r="J89" s="59">
        <v>0.1</v>
      </c>
      <c r="K89" s="59">
        <v>327.98</v>
      </c>
      <c r="L89" s="59">
        <v>18.190000000000001</v>
      </c>
      <c r="M89" s="59">
        <v>54</v>
      </c>
      <c r="N89" s="59">
        <v>23.8</v>
      </c>
      <c r="O89" s="59">
        <v>0</v>
      </c>
      <c r="P89" s="59">
        <v>2.76</v>
      </c>
      <c r="Q89" s="59">
        <v>45.64</v>
      </c>
      <c r="R89" s="197"/>
      <c r="S89" s="197"/>
      <c r="T89" s="197"/>
      <c r="U89" s="197"/>
    </row>
    <row r="90" spans="1:26" s="12" customFormat="1" x14ac:dyDescent="0.25">
      <c r="A90" s="200" t="s">
        <v>997</v>
      </c>
      <c r="B90" s="59">
        <v>102.65</v>
      </c>
      <c r="C90" s="59">
        <v>73.41</v>
      </c>
      <c r="D90" s="59">
        <v>122.83</v>
      </c>
      <c r="E90" s="59">
        <v>5.29</v>
      </c>
      <c r="F90" s="59">
        <v>0.79</v>
      </c>
      <c r="G90" s="59">
        <v>154.28</v>
      </c>
      <c r="H90" s="59">
        <v>43.72</v>
      </c>
      <c r="I90" s="59">
        <v>1</v>
      </c>
      <c r="J90" s="59">
        <v>0.18</v>
      </c>
      <c r="K90" s="59">
        <v>14.01</v>
      </c>
      <c r="L90" s="59">
        <v>17.68</v>
      </c>
      <c r="M90" s="59">
        <v>59</v>
      </c>
      <c r="N90" s="59">
        <v>24.3</v>
      </c>
      <c r="O90" s="59">
        <v>0</v>
      </c>
      <c r="P90" s="59">
        <v>3.03</v>
      </c>
      <c r="Q90" s="59">
        <v>47.09</v>
      </c>
      <c r="R90" s="197"/>
      <c r="S90" s="197"/>
      <c r="T90" s="197"/>
      <c r="U90" s="197"/>
    </row>
    <row r="91" spans="1:26" s="12" customFormat="1" x14ac:dyDescent="0.25">
      <c r="A91" s="200" t="s">
        <v>998</v>
      </c>
      <c r="B91" s="59">
        <v>117.64</v>
      </c>
      <c r="C91" s="59">
        <v>72.78</v>
      </c>
      <c r="D91" s="59">
        <v>134.51</v>
      </c>
      <c r="E91" s="59">
        <v>5.18</v>
      </c>
      <c r="F91" s="59">
        <v>0.81</v>
      </c>
      <c r="G91" s="59">
        <v>157.4</v>
      </c>
      <c r="H91" s="59">
        <v>45.15</v>
      </c>
      <c r="I91" s="59">
        <v>1.17</v>
      </c>
      <c r="J91" s="59">
        <v>0.18</v>
      </c>
      <c r="K91" s="59">
        <v>62.4</v>
      </c>
      <c r="L91" s="59">
        <v>17.91</v>
      </c>
      <c r="M91" s="59">
        <v>54</v>
      </c>
      <c r="N91" s="59">
        <v>23.6</v>
      </c>
      <c r="O91" s="59">
        <v>0</v>
      </c>
      <c r="P91" s="59">
        <v>3.32</v>
      </c>
      <c r="Q91" s="59">
        <v>47.75</v>
      </c>
      <c r="R91" s="197"/>
      <c r="S91" s="197"/>
      <c r="T91" s="197"/>
      <c r="U91" s="197"/>
    </row>
    <row r="92" spans="1:26" s="12" customFormat="1" x14ac:dyDescent="0.25">
      <c r="A92" s="200" t="s">
        <v>999</v>
      </c>
      <c r="B92" s="59">
        <v>122.83</v>
      </c>
      <c r="C92" s="59">
        <v>71.739999999999995</v>
      </c>
      <c r="D92" s="59">
        <v>138.09</v>
      </c>
      <c r="E92" s="59">
        <v>5.54</v>
      </c>
      <c r="F92" s="59">
        <v>0.74</v>
      </c>
      <c r="G92" s="59">
        <v>167.39</v>
      </c>
      <c r="H92" s="59">
        <v>47.4</v>
      </c>
      <c r="I92" s="59">
        <v>1.27</v>
      </c>
      <c r="J92" s="59">
        <v>0.18</v>
      </c>
      <c r="K92" s="59">
        <v>37.43</v>
      </c>
      <c r="L92" s="59">
        <v>17.89</v>
      </c>
      <c r="M92" s="59">
        <v>54</v>
      </c>
      <c r="N92" s="59">
        <v>23.9</v>
      </c>
      <c r="O92" s="59">
        <v>0</v>
      </c>
      <c r="P92" s="59">
        <v>3.44</v>
      </c>
      <c r="Q92" s="59">
        <v>47.99</v>
      </c>
      <c r="R92" s="197"/>
      <c r="S92" s="197"/>
      <c r="T92" s="197"/>
      <c r="U92" s="197"/>
    </row>
    <row r="93" spans="1:26" s="12" customFormat="1" x14ac:dyDescent="0.25">
      <c r="A93" s="200" t="s">
        <v>1000</v>
      </c>
      <c r="B93" s="59">
        <v>125.43</v>
      </c>
      <c r="C93" s="59">
        <v>71.209999999999994</v>
      </c>
      <c r="D93" s="59">
        <v>139.88999999999999</v>
      </c>
      <c r="E93" s="59">
        <v>5.58</v>
      </c>
      <c r="F93" s="59">
        <v>0.69</v>
      </c>
      <c r="G93" s="59">
        <v>167.39</v>
      </c>
      <c r="H93" s="59">
        <v>47.4</v>
      </c>
      <c r="I93" s="59">
        <v>1.35</v>
      </c>
      <c r="J93" s="59">
        <v>0.26</v>
      </c>
      <c r="K93" s="59">
        <v>64.66</v>
      </c>
      <c r="L93" s="59">
        <v>18.21</v>
      </c>
      <c r="M93" s="59">
        <v>51</v>
      </c>
      <c r="N93" s="59">
        <v>23.3</v>
      </c>
      <c r="O93" s="59">
        <v>0</v>
      </c>
      <c r="P93" s="59">
        <v>3.57</v>
      </c>
      <c r="Q93" s="59">
        <v>48.36</v>
      </c>
      <c r="R93" s="197"/>
      <c r="S93" s="197"/>
      <c r="T93" s="197"/>
      <c r="U93" s="197"/>
    </row>
    <row r="94" spans="1:26" s="12" customFormat="1" x14ac:dyDescent="0.25">
      <c r="A94" s="200" t="s">
        <v>1001</v>
      </c>
      <c r="B94" s="59">
        <v>123.54</v>
      </c>
      <c r="C94" s="59">
        <v>70.900000000000006</v>
      </c>
      <c r="D94" s="59">
        <v>138.19999999999999</v>
      </c>
      <c r="E94" s="59">
        <v>5.38</v>
      </c>
      <c r="F94" s="59">
        <v>0.78</v>
      </c>
      <c r="G94" s="59">
        <v>167.39</v>
      </c>
      <c r="H94" s="59">
        <v>47.4</v>
      </c>
      <c r="I94" s="59">
        <v>1.43</v>
      </c>
      <c r="J94" s="59">
        <v>0.27</v>
      </c>
      <c r="K94" s="59">
        <v>70.7</v>
      </c>
      <c r="L94" s="59">
        <v>18.420000000000002</v>
      </c>
      <c r="M94" s="59">
        <v>49</v>
      </c>
      <c r="N94" s="59">
        <v>23.5</v>
      </c>
      <c r="O94" s="59">
        <v>0</v>
      </c>
      <c r="P94" s="59">
        <v>3.59</v>
      </c>
      <c r="Q94" s="59">
        <v>48.47</v>
      </c>
      <c r="R94" s="197"/>
      <c r="S94" s="197"/>
      <c r="T94" s="197"/>
      <c r="U94" s="197"/>
    </row>
    <row r="95" spans="1:26" s="12" customFormat="1" x14ac:dyDescent="0.25">
      <c r="A95" s="200" t="s">
        <v>1002</v>
      </c>
      <c r="B95" s="59">
        <v>120.73</v>
      </c>
      <c r="C95" s="59">
        <v>70.69</v>
      </c>
      <c r="D95" s="59">
        <v>135.83000000000001</v>
      </c>
      <c r="E95" s="59">
        <v>5.16</v>
      </c>
      <c r="F95" s="59">
        <v>1.06</v>
      </c>
      <c r="G95" s="59">
        <v>161.74</v>
      </c>
      <c r="H95" s="59">
        <v>47.3</v>
      </c>
      <c r="I95" s="59">
        <v>1.47</v>
      </c>
      <c r="J95" s="59">
        <v>0.27</v>
      </c>
      <c r="K95" s="59">
        <v>72.8</v>
      </c>
      <c r="L95" s="59">
        <v>18.46</v>
      </c>
      <c r="M95" s="59">
        <v>47</v>
      </c>
      <c r="N95" s="59">
        <v>23.6</v>
      </c>
      <c r="O95" s="59">
        <v>0</v>
      </c>
      <c r="P95" s="59">
        <v>3.6</v>
      </c>
      <c r="Q95" s="59">
        <v>48.08</v>
      </c>
      <c r="R95" s="197"/>
      <c r="S95" s="197"/>
      <c r="T95" s="197"/>
      <c r="U95" s="197"/>
    </row>
    <row r="96" spans="1:26" s="12" customFormat="1" x14ac:dyDescent="0.25">
      <c r="A96" s="200" t="s">
        <v>1003</v>
      </c>
      <c r="B96" s="59">
        <v>115.62</v>
      </c>
      <c r="C96" s="59">
        <v>71.260000000000005</v>
      </c>
      <c r="D96" s="59">
        <v>132.05000000000001</v>
      </c>
      <c r="E96" s="59">
        <v>5.55</v>
      </c>
      <c r="F96" s="59">
        <v>1.28</v>
      </c>
      <c r="G96" s="59">
        <v>156.43</v>
      </c>
      <c r="H96" s="59">
        <v>47.12</v>
      </c>
      <c r="I96" s="59">
        <v>1.46</v>
      </c>
      <c r="J96" s="59">
        <v>0.28000000000000003</v>
      </c>
      <c r="K96" s="59">
        <v>67.150000000000006</v>
      </c>
      <c r="L96" s="59">
        <v>18.25</v>
      </c>
      <c r="M96" s="59">
        <v>47</v>
      </c>
      <c r="N96" s="59">
        <v>23.9</v>
      </c>
      <c r="O96" s="59">
        <v>0</v>
      </c>
      <c r="P96" s="59">
        <v>3.55</v>
      </c>
      <c r="Q96" s="59">
        <v>47.29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1004</v>
      </c>
      <c r="B97" s="59">
        <v>111.65</v>
      </c>
      <c r="C97" s="59">
        <v>70.180000000000007</v>
      </c>
      <c r="D97" s="59">
        <v>128.26</v>
      </c>
      <c r="E97" s="59">
        <v>5.15</v>
      </c>
      <c r="F97" s="59">
        <v>0.92</v>
      </c>
      <c r="G97" s="59">
        <v>156.43</v>
      </c>
      <c r="H97" s="59">
        <v>47.12</v>
      </c>
      <c r="I97" s="59">
        <v>1.46</v>
      </c>
      <c r="J97" s="59">
        <v>0.24</v>
      </c>
      <c r="K97" s="59">
        <v>53.21</v>
      </c>
      <c r="L97" s="59">
        <v>18.05</v>
      </c>
      <c r="M97" s="59">
        <v>48</v>
      </c>
      <c r="N97" s="59">
        <v>23.9</v>
      </c>
      <c r="O97" s="59">
        <v>0</v>
      </c>
      <c r="P97" s="59">
        <v>3.48</v>
      </c>
      <c r="Q97" s="59">
        <v>47.27</v>
      </c>
      <c r="R97" s="197"/>
      <c r="S97" s="197"/>
      <c r="T97" s="197"/>
      <c r="U97" s="197"/>
    </row>
    <row r="98" spans="1:33" s="12" customFormat="1" x14ac:dyDescent="0.25">
      <c r="A98" s="200" t="s">
        <v>1005</v>
      </c>
      <c r="B98" s="59">
        <v>106.1</v>
      </c>
      <c r="C98" s="59">
        <v>69.17</v>
      </c>
      <c r="D98" s="59">
        <v>123.26</v>
      </c>
      <c r="E98" s="59">
        <v>5.37</v>
      </c>
      <c r="F98" s="59">
        <v>0.71</v>
      </c>
      <c r="G98" s="59">
        <v>156.43</v>
      </c>
      <c r="H98" s="59">
        <v>47.12</v>
      </c>
      <c r="I98" s="59">
        <v>1.45</v>
      </c>
      <c r="J98" s="59">
        <v>0.18</v>
      </c>
      <c r="K98" s="59">
        <v>79.28</v>
      </c>
      <c r="L98" s="59">
        <v>17.84</v>
      </c>
      <c r="M98" s="59">
        <v>49</v>
      </c>
      <c r="N98" s="59">
        <v>24.3</v>
      </c>
      <c r="O98" s="59">
        <v>0</v>
      </c>
      <c r="P98" s="59">
        <v>3.4</v>
      </c>
      <c r="Q98" s="59">
        <v>47.28</v>
      </c>
      <c r="R98" s="197"/>
      <c r="S98" s="197"/>
      <c r="T98" s="197"/>
      <c r="U98" s="197"/>
    </row>
    <row r="99" spans="1:33" s="12" customFormat="1" x14ac:dyDescent="0.25">
      <c r="A99" s="200" t="s">
        <v>1006</v>
      </c>
      <c r="B99" s="59">
        <v>99.88</v>
      </c>
      <c r="C99" s="59">
        <v>68.47</v>
      </c>
      <c r="D99" s="59">
        <v>117.88</v>
      </c>
      <c r="E99" s="59">
        <v>5.42</v>
      </c>
      <c r="F99" s="59">
        <v>0.75</v>
      </c>
      <c r="G99" s="59">
        <v>109.75</v>
      </c>
      <c r="H99" s="59">
        <v>46.01</v>
      </c>
      <c r="I99" s="59">
        <v>1.44</v>
      </c>
      <c r="J99" s="59">
        <v>0.2</v>
      </c>
      <c r="K99" s="59">
        <v>44.72</v>
      </c>
      <c r="L99" s="59">
        <v>17.760000000000002</v>
      </c>
      <c r="M99" s="59">
        <v>49</v>
      </c>
      <c r="N99" s="59">
        <v>24.1</v>
      </c>
      <c r="O99" s="59">
        <v>0</v>
      </c>
      <c r="P99" s="59">
        <v>3.31</v>
      </c>
      <c r="Q99" s="59">
        <v>47.1</v>
      </c>
      <c r="R99" s="197"/>
      <c r="S99" s="197"/>
      <c r="T99" s="197"/>
      <c r="U99" s="197"/>
    </row>
    <row r="100" spans="1:33" s="12" customFormat="1" x14ac:dyDescent="0.25">
      <c r="A100" s="200" t="s">
        <v>1007</v>
      </c>
      <c r="B100" s="59">
        <v>95.03</v>
      </c>
      <c r="C100" s="59">
        <v>67.55</v>
      </c>
      <c r="D100" s="59">
        <v>113.49</v>
      </c>
      <c r="E100" s="59">
        <v>5.19</v>
      </c>
      <c r="F100" s="59">
        <v>0.52</v>
      </c>
      <c r="G100" s="59">
        <v>65.819999999999993</v>
      </c>
      <c r="H100" s="59">
        <v>44.26</v>
      </c>
      <c r="I100" s="59">
        <v>1.41</v>
      </c>
      <c r="J100" s="59">
        <v>0.26</v>
      </c>
      <c r="K100" s="59">
        <v>12.86</v>
      </c>
      <c r="L100" s="59">
        <v>17.29</v>
      </c>
      <c r="M100" s="59">
        <v>54</v>
      </c>
      <c r="N100" s="59">
        <v>24.4</v>
      </c>
      <c r="O100" s="59">
        <v>0</v>
      </c>
      <c r="P100" s="59">
        <v>3.23</v>
      </c>
      <c r="Q100" s="59">
        <v>46.9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1008</v>
      </c>
      <c r="B101" s="59">
        <v>93.2</v>
      </c>
      <c r="C101" s="59">
        <v>67</v>
      </c>
      <c r="D101" s="59">
        <v>111.71</v>
      </c>
      <c r="E101" s="59">
        <v>5.52</v>
      </c>
      <c r="F101" s="59">
        <v>0.59</v>
      </c>
      <c r="G101" s="59">
        <v>65.819999999999993</v>
      </c>
      <c r="H101" s="59">
        <v>44.26</v>
      </c>
      <c r="I101" s="59">
        <v>1.39</v>
      </c>
      <c r="J101" s="59">
        <v>0.21</v>
      </c>
      <c r="K101" s="59">
        <v>82.66</v>
      </c>
      <c r="L101" s="59">
        <v>17.670000000000002</v>
      </c>
      <c r="M101" s="59">
        <v>50</v>
      </c>
      <c r="N101" s="59">
        <v>23.8</v>
      </c>
      <c r="O101" s="59">
        <v>0</v>
      </c>
      <c r="P101" s="59">
        <v>3.17</v>
      </c>
      <c r="Q101" s="59">
        <v>47.01</v>
      </c>
      <c r="R101" s="197"/>
      <c r="S101" s="197"/>
      <c r="T101" s="197"/>
      <c r="U101" s="197"/>
    </row>
    <row r="102" spans="1:33" s="12" customFormat="1" x14ac:dyDescent="0.25">
      <c r="A102" s="200" t="s">
        <v>1009</v>
      </c>
      <c r="B102" s="59">
        <v>89.56</v>
      </c>
      <c r="C102" s="59">
        <v>66.42</v>
      </c>
      <c r="D102" s="59">
        <v>108.48</v>
      </c>
      <c r="E102" s="59">
        <v>5.05</v>
      </c>
      <c r="F102" s="59">
        <v>0.6</v>
      </c>
      <c r="G102" s="59">
        <v>65.819999999999993</v>
      </c>
      <c r="H102" s="59">
        <v>44.26</v>
      </c>
      <c r="I102" s="59">
        <v>1.27</v>
      </c>
      <c r="J102" s="59">
        <v>0.21</v>
      </c>
      <c r="K102" s="59">
        <v>26.54</v>
      </c>
      <c r="L102" s="59">
        <v>17.72</v>
      </c>
      <c r="M102" s="59">
        <v>51</v>
      </c>
      <c r="N102" s="59">
        <v>24.3</v>
      </c>
      <c r="O102" s="59">
        <v>0</v>
      </c>
      <c r="P102" s="59">
        <v>3.07</v>
      </c>
      <c r="Q102" s="59">
        <v>46.91</v>
      </c>
      <c r="R102" s="197"/>
      <c r="S102" s="197"/>
      <c r="T102" s="197"/>
      <c r="U102" s="197"/>
    </row>
    <row r="103" spans="1:33" s="12" customFormat="1" x14ac:dyDescent="0.25">
      <c r="A103" s="200" t="s">
        <v>1010</v>
      </c>
      <c r="B103" s="59">
        <v>85.27</v>
      </c>
      <c r="C103" s="59">
        <v>65.92</v>
      </c>
      <c r="D103" s="59">
        <v>104.76</v>
      </c>
      <c r="E103" s="59">
        <v>5.35</v>
      </c>
      <c r="F103" s="59">
        <v>0.62</v>
      </c>
      <c r="G103" s="59">
        <v>32.590000000000003</v>
      </c>
      <c r="H103" s="59">
        <v>43.55</v>
      </c>
      <c r="I103" s="59">
        <v>1.26</v>
      </c>
      <c r="J103" s="59">
        <v>0.21</v>
      </c>
      <c r="K103" s="59">
        <v>44.58</v>
      </c>
      <c r="L103" s="59">
        <v>17.37</v>
      </c>
      <c r="M103" s="59">
        <v>52</v>
      </c>
      <c r="N103" s="59">
        <v>24.2</v>
      </c>
      <c r="O103" s="59">
        <v>0</v>
      </c>
      <c r="P103" s="59">
        <v>2.97</v>
      </c>
      <c r="Q103" s="59">
        <v>46.97</v>
      </c>
      <c r="R103" s="197"/>
      <c r="S103" s="197"/>
      <c r="T103" s="197"/>
      <c r="U103" s="197"/>
    </row>
    <row r="104" spans="1:33" s="12" customFormat="1" x14ac:dyDescent="0.25">
      <c r="A104" s="200" t="s">
        <v>1011</v>
      </c>
      <c r="B104" s="59">
        <v>80.2</v>
      </c>
      <c r="C104" s="59">
        <v>65.63</v>
      </c>
      <c r="D104" s="59">
        <v>100.53</v>
      </c>
      <c r="E104" s="59">
        <v>4.16</v>
      </c>
      <c r="F104" s="59">
        <v>0.61</v>
      </c>
      <c r="G104" s="59">
        <v>1.32</v>
      </c>
      <c r="H104" s="59">
        <v>42.42</v>
      </c>
      <c r="I104" s="59">
        <v>1.19</v>
      </c>
      <c r="J104" s="59">
        <v>0.32</v>
      </c>
      <c r="K104" s="59">
        <v>48.97</v>
      </c>
      <c r="L104" s="59">
        <v>17.48</v>
      </c>
      <c r="M104" s="59">
        <v>51</v>
      </c>
      <c r="N104" s="59">
        <v>23.7</v>
      </c>
      <c r="O104" s="59">
        <v>0</v>
      </c>
      <c r="P104" s="59">
        <v>2.84</v>
      </c>
      <c r="Q104" s="59">
        <v>47.29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3.47</v>
      </c>
      <c r="C106" s="66">
        <f>MIN(C9:C104)</f>
        <v>3.67</v>
      </c>
      <c r="D106" s="66">
        <f t="shared" ref="D106:Q106" si="0">MIN(D9:D104)</f>
        <v>26.51</v>
      </c>
      <c r="E106" s="66">
        <f t="shared" si="0"/>
        <v>3.17</v>
      </c>
      <c r="F106" s="66">
        <f t="shared" si="0"/>
        <v>0.52</v>
      </c>
      <c r="G106" s="66">
        <f t="shared" si="0"/>
        <v>1.32</v>
      </c>
      <c r="H106" s="66">
        <f t="shared" si="0"/>
        <v>14.62</v>
      </c>
      <c r="I106" s="66">
        <f t="shared" si="0"/>
        <v>0.01</v>
      </c>
      <c r="J106" s="66">
        <f t="shared" si="0"/>
        <v>0.02</v>
      </c>
      <c r="K106" s="66">
        <f t="shared" si="0"/>
        <v>7.42</v>
      </c>
      <c r="L106" s="66">
        <f t="shared" si="0"/>
        <v>15.15</v>
      </c>
      <c r="M106" s="66">
        <f t="shared" si="0"/>
        <v>25</v>
      </c>
      <c r="N106" s="66">
        <f t="shared" si="0"/>
        <v>23.1</v>
      </c>
      <c r="O106" s="66">
        <f t="shared" si="0"/>
        <v>0</v>
      </c>
      <c r="P106" s="66">
        <f t="shared" si="0"/>
        <v>0.57999999999999996</v>
      </c>
      <c r="Q106" s="66">
        <f t="shared" si="0"/>
        <v>23.95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125.43</v>
      </c>
      <c r="C107" s="65">
        <f t="shared" ref="C107:Q107" si="1">MAX(C9:C104)</f>
        <v>80.81</v>
      </c>
      <c r="D107" s="65">
        <f t="shared" si="1"/>
        <v>139.88999999999999</v>
      </c>
      <c r="E107" s="65">
        <f t="shared" si="1"/>
        <v>35.659999999999997</v>
      </c>
      <c r="F107" s="65">
        <f t="shared" si="1"/>
        <v>17.32</v>
      </c>
      <c r="G107" s="65">
        <f t="shared" si="1"/>
        <v>210.96</v>
      </c>
      <c r="H107" s="65">
        <f t="shared" si="1"/>
        <v>47.4</v>
      </c>
      <c r="I107" s="65">
        <f t="shared" si="1"/>
        <v>1.47</v>
      </c>
      <c r="J107" s="65">
        <f t="shared" si="1"/>
        <v>1.52</v>
      </c>
      <c r="K107" s="65">
        <f t="shared" si="1"/>
        <v>354.22</v>
      </c>
      <c r="L107" s="65">
        <f t="shared" si="1"/>
        <v>27.3</v>
      </c>
      <c r="M107" s="65">
        <f t="shared" si="1"/>
        <v>61</v>
      </c>
      <c r="N107" s="65">
        <f t="shared" si="1"/>
        <v>499.4</v>
      </c>
      <c r="O107" s="65">
        <f t="shared" si="1"/>
        <v>0</v>
      </c>
      <c r="P107" s="65">
        <f t="shared" si="1"/>
        <v>3.6</v>
      </c>
      <c r="Q107" s="65">
        <f t="shared" si="1"/>
        <v>48.47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34.635104166666672</v>
      </c>
      <c r="C108" s="66">
        <f t="shared" ref="C108:Q108" si="2">AVERAGE(C9:C104)</f>
        <v>49.15760416666668</v>
      </c>
      <c r="D108" s="66">
        <f t="shared" si="2"/>
        <v>54.903229166666669</v>
      </c>
      <c r="E108" s="66">
        <f t="shared" si="2"/>
        <v>7.5593749999999966</v>
      </c>
      <c r="F108" s="66">
        <f t="shared" si="2"/>
        <v>2.2721875000000002</v>
      </c>
      <c r="G108" s="66">
        <f t="shared" si="2"/>
        <v>100.9206451612903</v>
      </c>
      <c r="H108" s="66">
        <f t="shared" si="2"/>
        <v>38.595161290322594</v>
      </c>
      <c r="I108" s="66">
        <f t="shared" si="2"/>
        <v>0.69537313432835823</v>
      </c>
      <c r="J108" s="66">
        <f t="shared" si="2"/>
        <v>0.62583333333333346</v>
      </c>
      <c r="K108" s="66">
        <f t="shared" si="2"/>
        <v>72.818437500000016</v>
      </c>
      <c r="L108" s="66">
        <f t="shared" si="2"/>
        <v>19.782083333333333</v>
      </c>
      <c r="M108" s="66">
        <f t="shared" si="2"/>
        <v>46.28125</v>
      </c>
      <c r="N108" s="66">
        <f t="shared" si="2"/>
        <v>124.36562499999997</v>
      </c>
      <c r="O108" s="66">
        <f t="shared" si="2"/>
        <v>0</v>
      </c>
      <c r="P108" s="66">
        <f t="shared" si="2"/>
        <v>1.7817708333333335</v>
      </c>
      <c r="Q108" s="66">
        <f t="shared" si="2"/>
        <v>37.53406249999999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36.464233810097475</v>
      </c>
      <c r="C109" s="66">
        <f t="shared" ref="C109:Q109" si="3">STDEV(C9:C104)</f>
        <v>21.924449593753437</v>
      </c>
      <c r="D109" s="66">
        <f t="shared" si="3"/>
        <v>34.487704673886967</v>
      </c>
      <c r="E109" s="66">
        <f t="shared" si="3"/>
        <v>4.9642969105191046</v>
      </c>
      <c r="F109" s="66">
        <f t="shared" si="3"/>
        <v>3.1296178354637223</v>
      </c>
      <c r="G109" s="66">
        <f t="shared" si="3"/>
        <v>49.269082510030842</v>
      </c>
      <c r="H109" s="66">
        <f t="shared" si="3"/>
        <v>6.054399495593727</v>
      </c>
      <c r="I109" s="66">
        <f t="shared" si="3"/>
        <v>0.45702373241941446</v>
      </c>
      <c r="J109" s="66">
        <f t="shared" si="3"/>
        <v>0.4292825512083267</v>
      </c>
      <c r="K109" s="66">
        <f t="shared" si="3"/>
        <v>69.401148107113627</v>
      </c>
      <c r="L109" s="66">
        <f t="shared" si="3"/>
        <v>3.7138792080424285</v>
      </c>
      <c r="M109" s="66">
        <f t="shared" si="3"/>
        <v>12.236015110707967</v>
      </c>
      <c r="N109" s="66">
        <f t="shared" si="3"/>
        <v>155.00568195230787</v>
      </c>
      <c r="O109" s="66">
        <f t="shared" si="3"/>
        <v>0</v>
      </c>
      <c r="P109" s="66">
        <f t="shared" si="3"/>
        <v>0.89868675508874063</v>
      </c>
      <c r="Q109" s="66">
        <f t="shared" si="3"/>
        <v>7.0892767915797803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>COUNT(G9:G104)+7</f>
        <v>69</v>
      </c>
      <c r="H110" s="65">
        <f>COUNT(H9:H104)+7</f>
        <v>69</v>
      </c>
      <c r="I110" s="65">
        <f>COUNT(I9:I104)+29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63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85" sqref="H8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09-12-2022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1015</v>
      </c>
      <c r="B9" s="59">
        <v>73.540000000000006</v>
      </c>
      <c r="C9" s="59">
        <v>65.41</v>
      </c>
      <c r="D9" s="59">
        <v>95.07</v>
      </c>
      <c r="E9" s="59">
        <v>6.71</v>
      </c>
      <c r="F9" s="59">
        <v>0.74</v>
      </c>
      <c r="G9" s="210" t="s">
        <v>43</v>
      </c>
      <c r="H9" s="59">
        <v>42.42</v>
      </c>
      <c r="I9" s="59">
        <v>1.1000000000000001</v>
      </c>
      <c r="J9" s="59">
        <v>0.22</v>
      </c>
      <c r="K9" s="59">
        <v>35.57</v>
      </c>
      <c r="L9" s="59">
        <v>17.34</v>
      </c>
      <c r="M9" s="59">
        <v>51</v>
      </c>
      <c r="N9" s="59">
        <v>24.2</v>
      </c>
      <c r="O9" s="59">
        <v>0</v>
      </c>
      <c r="P9" s="59">
        <v>2.7</v>
      </c>
      <c r="Q9" s="59">
        <v>46.6</v>
      </c>
      <c r="R9" s="197"/>
      <c r="S9" s="197"/>
      <c r="T9" s="197"/>
      <c r="U9" s="197"/>
    </row>
    <row r="10" spans="1:21" s="12" customFormat="1" x14ac:dyDescent="0.25">
      <c r="A10" s="200" t="s">
        <v>1016</v>
      </c>
      <c r="B10" s="59">
        <v>67.34</v>
      </c>
      <c r="C10" s="59">
        <v>65.260000000000005</v>
      </c>
      <c r="D10" s="59">
        <v>90.02</v>
      </c>
      <c r="E10" s="59">
        <v>6.53</v>
      </c>
      <c r="F10" s="59">
        <v>0.99</v>
      </c>
      <c r="G10" s="210" t="s">
        <v>43</v>
      </c>
      <c r="H10" s="59">
        <v>42.42</v>
      </c>
      <c r="I10" s="59">
        <v>1.04</v>
      </c>
      <c r="J10" s="59">
        <v>0.28000000000000003</v>
      </c>
      <c r="K10" s="59">
        <v>41.06</v>
      </c>
      <c r="L10" s="59">
        <v>17.059999999999999</v>
      </c>
      <c r="M10" s="59">
        <v>53</v>
      </c>
      <c r="N10" s="59">
        <v>24</v>
      </c>
      <c r="O10" s="59">
        <v>0</v>
      </c>
      <c r="P10" s="59">
        <v>2.58</v>
      </c>
      <c r="Q10" s="59">
        <v>45.99</v>
      </c>
      <c r="R10" s="197"/>
      <c r="S10" s="197"/>
      <c r="T10" s="197"/>
      <c r="U10" s="197"/>
    </row>
    <row r="11" spans="1:21" s="12" customFormat="1" x14ac:dyDescent="0.25">
      <c r="A11" s="200" t="s">
        <v>1017</v>
      </c>
      <c r="B11" s="59">
        <v>61</v>
      </c>
      <c r="C11" s="59">
        <v>64.94</v>
      </c>
      <c r="D11" s="59">
        <v>84.76</v>
      </c>
      <c r="E11" s="59">
        <v>6.21</v>
      </c>
      <c r="F11" s="59">
        <v>0.92</v>
      </c>
      <c r="G11" s="210" t="s">
        <v>43</v>
      </c>
      <c r="H11" s="59">
        <v>41.05</v>
      </c>
      <c r="I11" s="59">
        <v>0.98</v>
      </c>
      <c r="J11" s="59">
        <v>0.32</v>
      </c>
      <c r="K11" s="59">
        <v>77.150000000000006</v>
      </c>
      <c r="L11" s="59">
        <v>17.16</v>
      </c>
      <c r="M11" s="59">
        <v>54</v>
      </c>
      <c r="N11" s="59">
        <v>23.9</v>
      </c>
      <c r="O11" s="59">
        <v>0</v>
      </c>
      <c r="P11" s="59">
        <v>2.4500000000000002</v>
      </c>
      <c r="Q11" s="59">
        <v>45.1</v>
      </c>
      <c r="R11" s="197"/>
      <c r="S11" s="197"/>
      <c r="T11" s="197"/>
      <c r="U11" s="197"/>
    </row>
    <row r="12" spans="1:21" s="12" customFormat="1" x14ac:dyDescent="0.25">
      <c r="A12" s="200" t="s">
        <v>1018</v>
      </c>
      <c r="B12" s="59">
        <v>54.93</v>
      </c>
      <c r="C12" s="59">
        <v>64.91</v>
      </c>
      <c r="D12" s="59">
        <v>79.87</v>
      </c>
      <c r="E12" s="59">
        <v>6.31</v>
      </c>
      <c r="F12" s="59">
        <v>0.86</v>
      </c>
      <c r="G12" s="59">
        <v>146.86000000000001</v>
      </c>
      <c r="H12" s="59">
        <v>38.89</v>
      </c>
      <c r="I12" s="59">
        <v>0.92</v>
      </c>
      <c r="J12" s="59">
        <v>0.32</v>
      </c>
      <c r="K12" s="59">
        <v>95.67</v>
      </c>
      <c r="L12" s="59">
        <v>17.11</v>
      </c>
      <c r="M12" s="59">
        <v>55</v>
      </c>
      <c r="N12" s="59">
        <v>23.8</v>
      </c>
      <c r="O12" s="59">
        <v>0</v>
      </c>
      <c r="P12" s="59">
        <v>2.34</v>
      </c>
      <c r="Q12" s="59">
        <v>44.36</v>
      </c>
      <c r="R12" s="197"/>
      <c r="S12" s="197"/>
      <c r="T12" s="197"/>
      <c r="U12" s="197"/>
    </row>
    <row r="13" spans="1:21" s="12" customFormat="1" x14ac:dyDescent="0.25">
      <c r="A13" s="200" t="s">
        <v>1019</v>
      </c>
      <c r="B13" s="59">
        <v>48.64</v>
      </c>
      <c r="C13" s="59">
        <v>64.48</v>
      </c>
      <c r="D13" s="59">
        <v>74.59</v>
      </c>
      <c r="E13" s="59">
        <v>6.26</v>
      </c>
      <c r="F13" s="59">
        <v>0.69</v>
      </c>
      <c r="G13" s="59">
        <v>146.86000000000001</v>
      </c>
      <c r="H13" s="59">
        <v>38.89</v>
      </c>
      <c r="I13" s="59">
        <v>0.87</v>
      </c>
      <c r="J13" s="59">
        <v>0.24</v>
      </c>
      <c r="K13" s="59">
        <v>50.63</v>
      </c>
      <c r="L13" s="59">
        <v>16.84</v>
      </c>
      <c r="M13" s="59">
        <v>56</v>
      </c>
      <c r="N13" s="59">
        <v>24.1</v>
      </c>
      <c r="O13" s="59">
        <v>0</v>
      </c>
      <c r="P13" s="59">
        <v>2.0299999999999998</v>
      </c>
      <c r="Q13" s="59">
        <v>44.03</v>
      </c>
      <c r="R13" s="197"/>
      <c r="S13" s="197"/>
      <c r="T13" s="197"/>
      <c r="U13" s="197"/>
    </row>
    <row r="14" spans="1:21" s="12" customFormat="1" x14ac:dyDescent="0.25">
      <c r="A14" s="200" t="s">
        <v>1020</v>
      </c>
      <c r="B14" s="59">
        <v>42.74</v>
      </c>
      <c r="C14" s="59">
        <v>64.150000000000006</v>
      </c>
      <c r="D14" s="59">
        <v>69.680000000000007</v>
      </c>
      <c r="E14" s="59">
        <v>5.65</v>
      </c>
      <c r="F14" s="59">
        <v>0.6</v>
      </c>
      <c r="G14" s="59">
        <v>146.86000000000001</v>
      </c>
      <c r="H14" s="59">
        <v>38.89</v>
      </c>
      <c r="I14" s="59">
        <v>0.81</v>
      </c>
      <c r="J14" s="59">
        <v>0.28000000000000003</v>
      </c>
      <c r="K14" s="59">
        <v>54.88</v>
      </c>
      <c r="L14" s="59">
        <v>16.690000000000001</v>
      </c>
      <c r="M14" s="59">
        <v>57</v>
      </c>
      <c r="N14" s="59">
        <v>23.8</v>
      </c>
      <c r="O14" s="59">
        <v>0</v>
      </c>
      <c r="P14" s="59">
        <v>2.06</v>
      </c>
      <c r="Q14" s="59">
        <v>43.22</v>
      </c>
      <c r="R14" s="197"/>
      <c r="S14" s="197"/>
      <c r="T14" s="197"/>
      <c r="U14" s="197"/>
    </row>
    <row r="15" spans="1:21" s="12" customFormat="1" x14ac:dyDescent="0.25">
      <c r="A15" s="200" t="s">
        <v>1021</v>
      </c>
      <c r="B15" s="59">
        <v>38.06</v>
      </c>
      <c r="C15" s="59">
        <v>63.67</v>
      </c>
      <c r="D15" s="59">
        <v>65.66</v>
      </c>
      <c r="E15" s="59">
        <v>5.87</v>
      </c>
      <c r="F15" s="59">
        <v>0.7</v>
      </c>
      <c r="G15" s="59">
        <v>73.430000000000007</v>
      </c>
      <c r="H15" s="59">
        <v>37.18</v>
      </c>
      <c r="I15" s="59">
        <v>0.77</v>
      </c>
      <c r="J15" s="59">
        <v>0.41</v>
      </c>
      <c r="K15" s="59">
        <v>7.29</v>
      </c>
      <c r="L15" s="59">
        <v>16.55</v>
      </c>
      <c r="M15" s="59">
        <v>56</v>
      </c>
      <c r="N15" s="59">
        <v>23.9</v>
      </c>
      <c r="O15" s="59">
        <v>0</v>
      </c>
      <c r="P15" s="59">
        <v>1.97</v>
      </c>
      <c r="Q15" s="59">
        <v>42.37</v>
      </c>
      <c r="R15" s="197"/>
      <c r="S15" s="197"/>
      <c r="T15" s="197"/>
      <c r="U15" s="197"/>
    </row>
    <row r="16" spans="1:21" s="12" customFormat="1" x14ac:dyDescent="0.25">
      <c r="A16" s="200" t="s">
        <v>1022</v>
      </c>
      <c r="B16" s="59">
        <v>33.78</v>
      </c>
      <c r="C16" s="59">
        <v>62.76</v>
      </c>
      <c r="D16" s="59">
        <v>61.72</v>
      </c>
      <c r="E16" s="59">
        <v>6.08</v>
      </c>
      <c r="F16" s="59">
        <v>0.82</v>
      </c>
      <c r="G16" s="209" t="s">
        <v>36</v>
      </c>
      <c r="H16" s="59">
        <v>34.369999999999997</v>
      </c>
      <c r="I16" s="59">
        <v>0.73</v>
      </c>
      <c r="J16" s="59">
        <v>0.65</v>
      </c>
      <c r="K16" s="59">
        <v>8.69</v>
      </c>
      <c r="L16" s="59">
        <v>16.600000000000001</v>
      </c>
      <c r="M16" s="59">
        <v>55</v>
      </c>
      <c r="N16" s="59">
        <v>23.4</v>
      </c>
      <c r="O16" s="59">
        <v>0</v>
      </c>
      <c r="P16" s="59">
        <v>1.87</v>
      </c>
      <c r="Q16" s="59">
        <v>42.1</v>
      </c>
      <c r="R16" s="197"/>
      <c r="S16" s="197"/>
      <c r="T16" s="197"/>
      <c r="U16" s="197"/>
    </row>
    <row r="17" spans="1:21" s="12" customFormat="1" x14ac:dyDescent="0.25">
      <c r="A17" s="200" t="s">
        <v>1023</v>
      </c>
      <c r="B17" s="59">
        <v>27.88</v>
      </c>
      <c r="C17" s="59">
        <v>62.96</v>
      </c>
      <c r="D17" s="59">
        <v>57.11</v>
      </c>
      <c r="E17" s="59">
        <v>7.07</v>
      </c>
      <c r="F17" s="59">
        <v>0.97</v>
      </c>
      <c r="G17" s="209" t="s">
        <v>36</v>
      </c>
      <c r="H17" s="59">
        <v>34.369999999999997</v>
      </c>
      <c r="I17" s="59">
        <v>0.7</v>
      </c>
      <c r="J17" s="59">
        <v>0.99</v>
      </c>
      <c r="K17" s="59">
        <v>10.210000000000001</v>
      </c>
      <c r="L17" s="59">
        <v>16.84</v>
      </c>
      <c r="M17" s="59">
        <v>53</v>
      </c>
      <c r="N17" s="59">
        <v>23.3</v>
      </c>
      <c r="O17" s="59">
        <v>0</v>
      </c>
      <c r="P17" s="59">
        <v>1.76</v>
      </c>
      <c r="Q17" s="59">
        <v>42.06</v>
      </c>
      <c r="R17" s="197"/>
      <c r="S17" s="197"/>
      <c r="T17" s="197"/>
      <c r="U17" s="197"/>
    </row>
    <row r="18" spans="1:21" s="12" customFormat="1" x14ac:dyDescent="0.25">
      <c r="A18" s="200" t="s">
        <v>1024</v>
      </c>
      <c r="B18" s="59">
        <v>25.53</v>
      </c>
      <c r="C18" s="59">
        <v>62.51</v>
      </c>
      <c r="D18" s="59">
        <v>54.97</v>
      </c>
      <c r="E18" s="59">
        <v>8.02</v>
      </c>
      <c r="F18" s="59">
        <v>0.72</v>
      </c>
      <c r="G18" s="209" t="s">
        <v>36</v>
      </c>
      <c r="H18" s="59">
        <v>34.369999999999997</v>
      </c>
      <c r="I18" s="59">
        <v>0.67</v>
      </c>
      <c r="J18" s="59">
        <v>0.9</v>
      </c>
      <c r="K18" s="59">
        <v>10.71</v>
      </c>
      <c r="L18" s="59">
        <v>16.670000000000002</v>
      </c>
      <c r="M18" s="59">
        <v>53</v>
      </c>
      <c r="N18" s="59">
        <v>24</v>
      </c>
      <c r="O18" s="59">
        <v>0</v>
      </c>
      <c r="P18" s="59">
        <v>1.66</v>
      </c>
      <c r="Q18" s="59">
        <v>42.09</v>
      </c>
      <c r="R18" s="197"/>
      <c r="S18" s="197"/>
      <c r="T18" s="197"/>
      <c r="U18" s="197"/>
    </row>
    <row r="19" spans="1:21" s="12" customFormat="1" x14ac:dyDescent="0.25">
      <c r="A19" s="200" t="s">
        <v>1025</v>
      </c>
      <c r="B19" s="59">
        <v>22.81</v>
      </c>
      <c r="C19" s="59">
        <v>62.35</v>
      </c>
      <c r="D19" s="59">
        <v>52.7</v>
      </c>
      <c r="E19" s="59">
        <v>8.58</v>
      </c>
      <c r="F19" s="59">
        <v>0.8</v>
      </c>
      <c r="G19" s="209" t="s">
        <v>36</v>
      </c>
      <c r="H19" s="59">
        <v>33.29</v>
      </c>
      <c r="I19" s="59">
        <v>0.65</v>
      </c>
      <c r="J19" s="59">
        <v>0.39</v>
      </c>
      <c r="K19" s="59">
        <v>16.420000000000002</v>
      </c>
      <c r="L19" s="59">
        <v>16.34</v>
      </c>
      <c r="M19" s="59">
        <v>55</v>
      </c>
      <c r="N19" s="59">
        <v>24.4</v>
      </c>
      <c r="O19" s="59">
        <v>0</v>
      </c>
      <c r="P19" s="59">
        <v>1.58</v>
      </c>
      <c r="Q19" s="59">
        <v>41.53</v>
      </c>
      <c r="R19" s="197"/>
      <c r="S19" s="197"/>
      <c r="T19" s="197"/>
      <c r="U19" s="197"/>
    </row>
    <row r="20" spans="1:21" s="12" customFormat="1" x14ac:dyDescent="0.25">
      <c r="A20" s="200" t="s">
        <v>1026</v>
      </c>
      <c r="B20" s="59">
        <v>20.64</v>
      </c>
      <c r="C20" s="59">
        <v>61.85</v>
      </c>
      <c r="D20" s="59">
        <v>50.69</v>
      </c>
      <c r="E20" s="59">
        <v>8.15</v>
      </c>
      <c r="F20" s="59">
        <v>1.04</v>
      </c>
      <c r="G20" s="209" t="s">
        <v>36</v>
      </c>
      <c r="H20" s="59">
        <v>31.51</v>
      </c>
      <c r="I20" s="59">
        <v>0.62</v>
      </c>
      <c r="J20" s="59">
        <v>1.02</v>
      </c>
      <c r="K20" s="59">
        <v>9.4700000000000006</v>
      </c>
      <c r="L20" s="59">
        <v>16.010000000000002</v>
      </c>
      <c r="M20" s="59">
        <v>57</v>
      </c>
      <c r="N20" s="59">
        <v>23.8</v>
      </c>
      <c r="O20" s="59">
        <v>0</v>
      </c>
      <c r="P20" s="59">
        <v>1.51</v>
      </c>
      <c r="Q20" s="59">
        <v>40.99</v>
      </c>
      <c r="R20" s="197"/>
      <c r="S20" s="197"/>
      <c r="T20" s="197"/>
      <c r="U20" s="197"/>
    </row>
    <row r="21" spans="1:21" s="12" customFormat="1" x14ac:dyDescent="0.25">
      <c r="A21" s="200" t="s">
        <v>1027</v>
      </c>
      <c r="B21" s="59">
        <v>18.02</v>
      </c>
      <c r="C21" s="59">
        <v>60.4</v>
      </c>
      <c r="D21" s="59">
        <v>47.79</v>
      </c>
      <c r="E21" s="59">
        <v>7.95</v>
      </c>
      <c r="F21" s="59">
        <v>1.1000000000000001</v>
      </c>
      <c r="G21" s="209" t="s">
        <v>36</v>
      </c>
      <c r="H21" s="59">
        <v>31.51</v>
      </c>
      <c r="I21" s="59">
        <v>0.6</v>
      </c>
      <c r="J21" s="59">
        <v>0.76</v>
      </c>
      <c r="K21" s="59">
        <v>11.26</v>
      </c>
      <c r="L21" s="59">
        <v>16.04</v>
      </c>
      <c r="M21" s="59">
        <v>56</v>
      </c>
      <c r="N21" s="59">
        <v>24.1</v>
      </c>
      <c r="O21" s="59">
        <v>0</v>
      </c>
      <c r="P21" s="59">
        <v>1.42</v>
      </c>
      <c r="Q21" s="59">
        <v>40.64</v>
      </c>
      <c r="R21" s="197"/>
      <c r="S21" s="197"/>
      <c r="T21" s="197"/>
      <c r="U21" s="197"/>
    </row>
    <row r="22" spans="1:21" s="12" customFormat="1" x14ac:dyDescent="0.25">
      <c r="A22" s="200" t="s">
        <v>1028</v>
      </c>
      <c r="B22" s="59">
        <v>15.81</v>
      </c>
      <c r="C22" s="59">
        <v>60.01</v>
      </c>
      <c r="D22" s="59">
        <v>45.79</v>
      </c>
      <c r="E22" s="59">
        <v>6.73</v>
      </c>
      <c r="F22" s="59">
        <v>1.01</v>
      </c>
      <c r="G22" s="209" t="s">
        <v>36</v>
      </c>
      <c r="H22" s="59">
        <v>31.51</v>
      </c>
      <c r="I22" s="59">
        <v>0.57999999999999996</v>
      </c>
      <c r="J22" s="59">
        <v>0.33</v>
      </c>
      <c r="K22" s="59">
        <v>72.81</v>
      </c>
      <c r="L22" s="59">
        <v>15.76</v>
      </c>
      <c r="M22" s="59">
        <v>57</v>
      </c>
      <c r="N22" s="59">
        <v>24.4</v>
      </c>
      <c r="O22" s="59">
        <v>0</v>
      </c>
      <c r="P22" s="59">
        <v>1.35</v>
      </c>
      <c r="Q22" s="59">
        <v>41.1</v>
      </c>
      <c r="R22" s="197"/>
      <c r="S22" s="197"/>
      <c r="T22" s="197"/>
      <c r="U22" s="197"/>
    </row>
    <row r="23" spans="1:21" s="12" customFormat="1" x14ac:dyDescent="0.25">
      <c r="A23" s="200" t="s">
        <v>1029</v>
      </c>
      <c r="B23" s="59">
        <v>13.85</v>
      </c>
      <c r="C23" s="59">
        <v>58.96</v>
      </c>
      <c r="D23" s="59">
        <v>43.64</v>
      </c>
      <c r="E23" s="59">
        <v>6.29</v>
      </c>
      <c r="F23" s="59">
        <v>0.82</v>
      </c>
      <c r="G23" s="209" t="s">
        <v>36</v>
      </c>
      <c r="H23" s="59">
        <v>30.19</v>
      </c>
      <c r="I23" s="59">
        <v>0.56000000000000005</v>
      </c>
      <c r="J23" s="59">
        <v>0.35</v>
      </c>
      <c r="K23" s="59">
        <v>47.22</v>
      </c>
      <c r="L23" s="59">
        <v>15.61</v>
      </c>
      <c r="M23" s="59">
        <v>58</v>
      </c>
      <c r="N23" s="59">
        <v>24.3</v>
      </c>
      <c r="O23" s="59">
        <v>0</v>
      </c>
      <c r="P23" s="59">
        <v>1.3</v>
      </c>
      <c r="Q23" s="59">
        <v>40.71</v>
      </c>
      <c r="R23" s="197"/>
      <c r="S23" s="197"/>
      <c r="T23" s="197"/>
      <c r="U23" s="197"/>
    </row>
    <row r="24" spans="1:21" s="12" customFormat="1" x14ac:dyDescent="0.25">
      <c r="A24" s="200" t="s">
        <v>1030</v>
      </c>
      <c r="B24" s="59">
        <v>12.32</v>
      </c>
      <c r="C24" s="59">
        <v>57.82</v>
      </c>
      <c r="D24" s="59">
        <v>41.79</v>
      </c>
      <c r="E24" s="59">
        <v>2.84</v>
      </c>
      <c r="F24" s="59">
        <v>0.79</v>
      </c>
      <c r="G24" s="209" t="s">
        <v>36</v>
      </c>
      <c r="H24" s="59">
        <v>28.01</v>
      </c>
      <c r="I24" s="59">
        <v>0.54</v>
      </c>
      <c r="J24" s="59">
        <v>0.23</v>
      </c>
      <c r="K24" s="59">
        <v>31.91</v>
      </c>
      <c r="L24" s="59">
        <v>15.4</v>
      </c>
      <c r="M24" s="59">
        <v>59</v>
      </c>
      <c r="N24" s="59">
        <v>24.1</v>
      </c>
      <c r="O24" s="59">
        <v>0</v>
      </c>
      <c r="P24" s="59">
        <v>1.24</v>
      </c>
      <c r="Q24" s="59">
        <v>40.130000000000003</v>
      </c>
      <c r="R24" s="197"/>
      <c r="S24" s="197"/>
      <c r="T24" s="197"/>
      <c r="U24" s="197"/>
    </row>
    <row r="25" spans="1:21" s="12" customFormat="1" x14ac:dyDescent="0.25">
      <c r="A25" s="200" t="s">
        <v>1031</v>
      </c>
      <c r="B25" s="59">
        <v>11.08</v>
      </c>
      <c r="C25" s="59">
        <v>56.78</v>
      </c>
      <c r="D25" s="59">
        <v>40.22</v>
      </c>
      <c r="E25" s="59">
        <v>4.74</v>
      </c>
      <c r="F25" s="59">
        <v>0.63</v>
      </c>
      <c r="G25" s="209" t="s">
        <v>36</v>
      </c>
      <c r="H25" s="59">
        <v>28.01</v>
      </c>
      <c r="I25" s="59">
        <v>0.53</v>
      </c>
      <c r="J25" s="59">
        <v>0.36</v>
      </c>
      <c r="K25" s="59">
        <v>49.9</v>
      </c>
      <c r="L25" s="59">
        <v>15.31</v>
      </c>
      <c r="M25" s="59">
        <v>59</v>
      </c>
      <c r="N25" s="59">
        <v>23.8</v>
      </c>
      <c r="O25" s="59">
        <v>0</v>
      </c>
      <c r="P25" s="59">
        <v>1.18</v>
      </c>
      <c r="Q25" s="59">
        <v>39.799999999999997</v>
      </c>
      <c r="R25" s="197"/>
      <c r="S25" s="197"/>
      <c r="T25" s="197"/>
      <c r="U25" s="197"/>
    </row>
    <row r="26" spans="1:21" s="12" customFormat="1" x14ac:dyDescent="0.25">
      <c r="A26" s="200" t="s">
        <v>1032</v>
      </c>
      <c r="B26" s="59">
        <v>9.7100000000000009</v>
      </c>
      <c r="C26" s="59">
        <v>55.74</v>
      </c>
      <c r="D26" s="59">
        <v>38.549999999999997</v>
      </c>
      <c r="E26" s="59">
        <v>4.88</v>
      </c>
      <c r="F26" s="59">
        <v>0.88</v>
      </c>
      <c r="G26" s="209" t="s">
        <v>36</v>
      </c>
      <c r="H26" s="59">
        <v>28.01</v>
      </c>
      <c r="I26" s="59">
        <v>0.52</v>
      </c>
      <c r="J26" s="59">
        <v>0.3</v>
      </c>
      <c r="K26" s="59">
        <v>43.62</v>
      </c>
      <c r="L26" s="59">
        <v>15.37</v>
      </c>
      <c r="M26" s="59">
        <v>59</v>
      </c>
      <c r="N26" s="59">
        <v>23.9</v>
      </c>
      <c r="O26" s="59">
        <v>0</v>
      </c>
      <c r="P26" s="59">
        <v>1.1399999999999999</v>
      </c>
      <c r="Q26" s="59">
        <v>39.56</v>
      </c>
      <c r="R26" s="197"/>
      <c r="S26" s="197"/>
      <c r="T26" s="197"/>
      <c r="U26" s="197"/>
    </row>
    <row r="27" spans="1:21" s="12" customFormat="1" x14ac:dyDescent="0.25">
      <c r="A27" s="200" t="s">
        <v>1033</v>
      </c>
      <c r="B27" s="59">
        <v>8.5299999999999994</v>
      </c>
      <c r="C27" s="59">
        <v>54.86</v>
      </c>
      <c r="D27" s="59">
        <v>37.11</v>
      </c>
      <c r="E27" s="59">
        <v>4.32</v>
      </c>
      <c r="F27" s="59">
        <v>0.85</v>
      </c>
      <c r="G27" s="209" t="s">
        <v>36</v>
      </c>
      <c r="H27" s="59">
        <v>27.69</v>
      </c>
      <c r="I27" s="59">
        <v>0.5</v>
      </c>
      <c r="J27" s="59">
        <v>0.72</v>
      </c>
      <c r="K27" s="59">
        <v>105.81</v>
      </c>
      <c r="L27" s="59">
        <v>15.36</v>
      </c>
      <c r="M27" s="59">
        <v>60</v>
      </c>
      <c r="N27" s="59">
        <v>23.5</v>
      </c>
      <c r="O27" s="59">
        <v>0</v>
      </c>
      <c r="P27" s="59">
        <v>1.0900000000000001</v>
      </c>
      <c r="Q27" s="59">
        <v>39.19</v>
      </c>
      <c r="R27" s="197"/>
      <c r="S27" s="197"/>
      <c r="T27" s="197"/>
      <c r="U27" s="197"/>
    </row>
    <row r="28" spans="1:21" s="12" customFormat="1" x14ac:dyDescent="0.25">
      <c r="A28" s="200" t="s">
        <v>1034</v>
      </c>
      <c r="B28" s="59">
        <v>7.61</v>
      </c>
      <c r="C28" s="59">
        <v>53.75</v>
      </c>
      <c r="D28" s="59">
        <v>35.770000000000003</v>
      </c>
      <c r="E28" s="59">
        <v>4.1900000000000004</v>
      </c>
      <c r="F28" s="59">
        <v>0.91</v>
      </c>
      <c r="G28" s="209" t="s">
        <v>36</v>
      </c>
      <c r="H28" s="59">
        <v>27.19</v>
      </c>
      <c r="I28" s="59">
        <v>0.49</v>
      </c>
      <c r="J28" s="59">
        <v>0.68</v>
      </c>
      <c r="K28" s="59">
        <v>118.95</v>
      </c>
      <c r="L28" s="59">
        <v>15.44</v>
      </c>
      <c r="M28" s="59">
        <v>60</v>
      </c>
      <c r="N28" s="59">
        <v>23.8</v>
      </c>
      <c r="O28" s="59">
        <v>0</v>
      </c>
      <c r="P28" s="59">
        <v>1.06</v>
      </c>
      <c r="Q28" s="59">
        <v>38.630000000000003</v>
      </c>
      <c r="R28" s="197"/>
      <c r="S28" s="197"/>
      <c r="T28" s="197"/>
      <c r="U28" s="197"/>
    </row>
    <row r="29" spans="1:21" s="12" customFormat="1" x14ac:dyDescent="0.25">
      <c r="A29" s="200" t="s">
        <v>1035</v>
      </c>
      <c r="B29" s="59">
        <v>6.98</v>
      </c>
      <c r="C29" s="59">
        <v>52.76</v>
      </c>
      <c r="D29" s="59">
        <v>34.72</v>
      </c>
      <c r="E29" s="59">
        <v>4.74</v>
      </c>
      <c r="F29" s="59">
        <v>0.6</v>
      </c>
      <c r="G29" s="209" t="s">
        <v>36</v>
      </c>
      <c r="H29" s="59">
        <v>27.19</v>
      </c>
      <c r="I29" s="59">
        <v>0.47</v>
      </c>
      <c r="J29" s="59">
        <v>0.37</v>
      </c>
      <c r="K29" s="59">
        <v>102.24</v>
      </c>
      <c r="L29" s="59">
        <v>15.32</v>
      </c>
      <c r="M29" s="59">
        <v>61</v>
      </c>
      <c r="N29" s="59">
        <v>23.9</v>
      </c>
      <c r="O29" s="59">
        <v>0</v>
      </c>
      <c r="P29" s="59">
        <v>1.03</v>
      </c>
      <c r="Q29" s="59">
        <v>38.35</v>
      </c>
      <c r="R29" s="197"/>
      <c r="S29" s="197"/>
      <c r="T29" s="197"/>
      <c r="U29" s="197"/>
    </row>
    <row r="30" spans="1:21" s="12" customFormat="1" x14ac:dyDescent="0.25">
      <c r="A30" s="200" t="s">
        <v>1036</v>
      </c>
      <c r="B30" s="59">
        <v>6.7</v>
      </c>
      <c r="C30" s="59">
        <v>52.09</v>
      </c>
      <c r="D30" s="59">
        <v>34.119999999999997</v>
      </c>
      <c r="E30" s="59">
        <v>4.7300000000000004</v>
      </c>
      <c r="F30" s="59">
        <v>0.69</v>
      </c>
      <c r="G30" s="209" t="s">
        <v>36</v>
      </c>
      <c r="H30" s="59">
        <v>27.19</v>
      </c>
      <c r="I30" s="59">
        <v>0.46</v>
      </c>
      <c r="J30" s="59">
        <v>0.11</v>
      </c>
      <c r="K30" s="59">
        <v>36.53</v>
      </c>
      <c r="L30" s="59">
        <v>14.76</v>
      </c>
      <c r="M30" s="59">
        <v>64</v>
      </c>
      <c r="N30" s="59">
        <v>24.3</v>
      </c>
      <c r="O30" s="59">
        <v>0</v>
      </c>
      <c r="P30" s="59">
        <v>1.01</v>
      </c>
      <c r="Q30" s="59">
        <v>38.51</v>
      </c>
      <c r="R30" s="197"/>
      <c r="S30" s="197"/>
      <c r="T30" s="197"/>
      <c r="U30" s="197"/>
    </row>
    <row r="31" spans="1:21" s="12" customFormat="1" x14ac:dyDescent="0.25">
      <c r="A31" s="200" t="s">
        <v>1037</v>
      </c>
      <c r="B31" s="59">
        <v>6.55</v>
      </c>
      <c r="C31" s="59">
        <v>51.82</v>
      </c>
      <c r="D31" s="59">
        <v>33.86</v>
      </c>
      <c r="E31" s="59">
        <v>4.1100000000000003</v>
      </c>
      <c r="F31" s="59">
        <v>0.75</v>
      </c>
      <c r="G31" s="210" t="s">
        <v>43</v>
      </c>
      <c r="H31" s="59">
        <v>26.27</v>
      </c>
      <c r="I31" s="59">
        <v>0.46</v>
      </c>
      <c r="J31" s="59">
        <v>0.7</v>
      </c>
      <c r="K31" s="59">
        <v>105.76</v>
      </c>
      <c r="L31" s="59">
        <v>14.83</v>
      </c>
      <c r="M31" s="59">
        <v>64</v>
      </c>
      <c r="N31" s="59">
        <v>23.2</v>
      </c>
      <c r="O31" s="59">
        <v>0</v>
      </c>
      <c r="P31" s="59">
        <v>0.99</v>
      </c>
      <c r="Q31" s="59">
        <v>38.58</v>
      </c>
      <c r="R31" s="197"/>
      <c r="S31" s="197"/>
      <c r="T31" s="197"/>
      <c r="U31" s="197"/>
    </row>
    <row r="32" spans="1:21" s="12" customFormat="1" x14ac:dyDescent="0.25">
      <c r="A32" s="200" t="s">
        <v>1038</v>
      </c>
      <c r="B32" s="59">
        <v>6.52</v>
      </c>
      <c r="C32" s="59">
        <v>51.46</v>
      </c>
      <c r="D32" s="59">
        <v>33.630000000000003</v>
      </c>
      <c r="E32" s="59">
        <v>4.78</v>
      </c>
      <c r="F32" s="59">
        <v>0.72</v>
      </c>
      <c r="G32" s="59">
        <v>36.94</v>
      </c>
      <c r="H32" s="59">
        <v>24.76</v>
      </c>
      <c r="I32" s="59">
        <v>0.46</v>
      </c>
      <c r="J32" s="59">
        <v>0.22</v>
      </c>
      <c r="K32" s="59">
        <v>46.74</v>
      </c>
      <c r="L32" s="59">
        <v>14.79</v>
      </c>
      <c r="M32" s="59">
        <v>65</v>
      </c>
      <c r="N32" s="59">
        <v>24.2</v>
      </c>
      <c r="O32" s="59">
        <v>0</v>
      </c>
      <c r="P32" s="59">
        <v>0.97</v>
      </c>
      <c r="Q32" s="59">
        <v>38.630000000000003</v>
      </c>
      <c r="R32" s="197"/>
      <c r="S32" s="197"/>
      <c r="T32" s="197"/>
      <c r="U32" s="197"/>
    </row>
    <row r="33" spans="1:21" s="12" customFormat="1" x14ac:dyDescent="0.25">
      <c r="A33" s="200" t="s">
        <v>1039</v>
      </c>
      <c r="B33" s="59">
        <v>6.94</v>
      </c>
      <c r="C33" s="59">
        <v>51.34</v>
      </c>
      <c r="D33" s="59">
        <v>33.89</v>
      </c>
      <c r="E33" s="59">
        <v>4.7699999999999996</v>
      </c>
      <c r="F33" s="59">
        <v>0.8</v>
      </c>
      <c r="G33" s="59">
        <v>36.94</v>
      </c>
      <c r="H33" s="59">
        <v>24.76</v>
      </c>
      <c r="I33" s="59">
        <v>0.45</v>
      </c>
      <c r="J33" s="59">
        <v>0.26</v>
      </c>
      <c r="K33" s="59">
        <v>55.72</v>
      </c>
      <c r="L33" s="59">
        <v>14.47</v>
      </c>
      <c r="M33" s="59">
        <v>66</v>
      </c>
      <c r="N33" s="59">
        <v>24.2</v>
      </c>
      <c r="O33" s="59">
        <v>0</v>
      </c>
      <c r="P33" s="59">
        <v>0.96</v>
      </c>
      <c r="Q33" s="59">
        <v>38.840000000000003</v>
      </c>
      <c r="R33" s="197"/>
      <c r="S33" s="197"/>
      <c r="T33" s="197"/>
      <c r="U33" s="197"/>
    </row>
    <row r="34" spans="1:21" s="12" customFormat="1" x14ac:dyDescent="0.25">
      <c r="A34" s="200" t="s">
        <v>1040</v>
      </c>
      <c r="B34" s="59">
        <v>7.37</v>
      </c>
      <c r="C34" s="59">
        <v>51.55</v>
      </c>
      <c r="D34" s="59">
        <v>34.35</v>
      </c>
      <c r="E34" s="59">
        <v>4.96</v>
      </c>
      <c r="F34" s="59">
        <v>0.67</v>
      </c>
      <c r="G34" s="59">
        <v>36.94</v>
      </c>
      <c r="H34" s="59">
        <v>24.76</v>
      </c>
      <c r="I34" s="59">
        <v>0.45</v>
      </c>
      <c r="J34" s="59">
        <v>0.25</v>
      </c>
      <c r="K34" s="59">
        <v>22.85</v>
      </c>
      <c r="L34" s="59">
        <v>14.3</v>
      </c>
      <c r="M34" s="59">
        <v>67</v>
      </c>
      <c r="N34" s="59">
        <v>25.5</v>
      </c>
      <c r="O34" s="59">
        <v>0</v>
      </c>
      <c r="P34" s="59">
        <v>0.94</v>
      </c>
      <c r="Q34" s="59">
        <v>38.840000000000003</v>
      </c>
      <c r="R34" s="197"/>
      <c r="S34" s="197"/>
      <c r="T34" s="197"/>
      <c r="U34" s="197"/>
    </row>
    <row r="35" spans="1:21" s="12" customFormat="1" x14ac:dyDescent="0.25">
      <c r="A35" s="200" t="s">
        <v>1041</v>
      </c>
      <c r="B35" s="59">
        <v>9.81</v>
      </c>
      <c r="C35" s="59">
        <v>52.29</v>
      </c>
      <c r="D35" s="59">
        <v>36.729999999999997</v>
      </c>
      <c r="E35" s="59">
        <v>4.72</v>
      </c>
      <c r="F35" s="59">
        <v>0.37</v>
      </c>
      <c r="G35" s="59">
        <v>60.31</v>
      </c>
      <c r="H35" s="59">
        <v>24.72</v>
      </c>
      <c r="I35" s="59">
        <v>0.44</v>
      </c>
      <c r="J35" s="59">
        <v>0.28000000000000003</v>
      </c>
      <c r="K35" s="59">
        <v>71.31</v>
      </c>
      <c r="L35" s="59">
        <v>14.24</v>
      </c>
      <c r="M35" s="59">
        <v>67</v>
      </c>
      <c r="N35" s="59">
        <v>29.8</v>
      </c>
      <c r="O35" s="59">
        <v>0</v>
      </c>
      <c r="P35" s="59">
        <v>0.96</v>
      </c>
      <c r="Q35" s="59">
        <v>38.840000000000003</v>
      </c>
      <c r="R35" s="197"/>
      <c r="S35" s="197"/>
      <c r="T35" s="197"/>
      <c r="U35" s="197"/>
    </row>
    <row r="36" spans="1:21" s="12" customFormat="1" x14ac:dyDescent="0.25">
      <c r="A36" s="200" t="s">
        <v>1042</v>
      </c>
      <c r="B36" s="59">
        <v>12.52</v>
      </c>
      <c r="C36" s="59">
        <v>52.96</v>
      </c>
      <c r="D36" s="59">
        <v>39.270000000000003</v>
      </c>
      <c r="E36" s="59">
        <v>4.96</v>
      </c>
      <c r="F36" s="59">
        <v>0.74</v>
      </c>
      <c r="G36" s="59">
        <v>82.31</v>
      </c>
      <c r="H36" s="59">
        <v>24.65</v>
      </c>
      <c r="I36" s="59">
        <v>0.44</v>
      </c>
      <c r="J36" s="59">
        <v>0.68</v>
      </c>
      <c r="K36" s="59">
        <v>105.32</v>
      </c>
      <c r="L36" s="59">
        <v>14.67</v>
      </c>
      <c r="M36" s="59">
        <v>66</v>
      </c>
      <c r="N36" s="59">
        <v>38.299999999999997</v>
      </c>
      <c r="O36" s="59">
        <v>0</v>
      </c>
      <c r="P36" s="59">
        <v>0.95</v>
      </c>
      <c r="Q36" s="59">
        <v>39.57</v>
      </c>
      <c r="R36" s="197"/>
      <c r="S36" s="197"/>
      <c r="T36" s="197"/>
      <c r="U36" s="197"/>
    </row>
    <row r="37" spans="1:21" s="12" customFormat="1" x14ac:dyDescent="0.25">
      <c r="A37" s="200" t="s">
        <v>1043</v>
      </c>
      <c r="B37" s="59">
        <v>13.13</v>
      </c>
      <c r="C37" s="59">
        <v>53.5</v>
      </c>
      <c r="D37" s="59">
        <v>40.049999999999997</v>
      </c>
      <c r="E37" s="59">
        <v>4.72</v>
      </c>
      <c r="F37" s="59">
        <v>0.74</v>
      </c>
      <c r="G37" s="59">
        <v>82.31</v>
      </c>
      <c r="H37" s="59">
        <v>24.65</v>
      </c>
      <c r="I37" s="59">
        <v>0.43</v>
      </c>
      <c r="J37" s="59">
        <v>0.36</v>
      </c>
      <c r="K37" s="59">
        <v>64.430000000000007</v>
      </c>
      <c r="L37" s="59">
        <v>14.66</v>
      </c>
      <c r="M37" s="59">
        <v>66</v>
      </c>
      <c r="N37" s="59">
        <v>50.8</v>
      </c>
      <c r="O37" s="59">
        <v>0</v>
      </c>
      <c r="P37" s="59">
        <v>0.95</v>
      </c>
      <c r="Q37" s="59">
        <v>39.869999999999997</v>
      </c>
      <c r="R37" s="197"/>
      <c r="S37" s="197"/>
      <c r="T37" s="197"/>
      <c r="U37" s="197"/>
    </row>
    <row r="38" spans="1:21" s="12" customFormat="1" x14ac:dyDescent="0.25">
      <c r="A38" s="200" t="s">
        <v>1044</v>
      </c>
      <c r="B38" s="59">
        <v>14.94</v>
      </c>
      <c r="C38" s="59">
        <v>54.61</v>
      </c>
      <c r="D38" s="59">
        <v>42.12</v>
      </c>
      <c r="E38" s="59">
        <v>4.5599999999999996</v>
      </c>
      <c r="F38" s="59">
        <v>0.71</v>
      </c>
      <c r="G38" s="59">
        <v>82.31</v>
      </c>
      <c r="H38" s="59">
        <v>24.65</v>
      </c>
      <c r="I38" s="59">
        <v>0.43</v>
      </c>
      <c r="J38" s="59">
        <v>0.41</v>
      </c>
      <c r="K38" s="59">
        <v>16.489999999999998</v>
      </c>
      <c r="L38" s="59">
        <v>15.04</v>
      </c>
      <c r="M38" s="59">
        <v>65</v>
      </c>
      <c r="N38" s="59">
        <v>67.5</v>
      </c>
      <c r="O38" s="59">
        <v>0</v>
      </c>
      <c r="P38" s="59">
        <v>1</v>
      </c>
      <c r="Q38" s="59">
        <v>39.880000000000003</v>
      </c>
      <c r="R38" s="197"/>
      <c r="S38" s="197"/>
      <c r="T38" s="197"/>
      <c r="U38" s="197"/>
    </row>
    <row r="39" spans="1:21" s="12" customFormat="1" x14ac:dyDescent="0.25">
      <c r="A39" s="200" t="s">
        <v>1045</v>
      </c>
      <c r="B39" s="59">
        <v>16.010000000000002</v>
      </c>
      <c r="C39" s="59">
        <v>55.76</v>
      </c>
      <c r="D39" s="59">
        <v>43.61</v>
      </c>
      <c r="E39" s="59">
        <v>4.8499999999999996</v>
      </c>
      <c r="F39" s="59">
        <v>0.82</v>
      </c>
      <c r="G39" s="59">
        <v>90.69</v>
      </c>
      <c r="H39" s="59">
        <v>25.7</v>
      </c>
      <c r="I39" s="59">
        <v>0.42</v>
      </c>
      <c r="J39" s="59">
        <v>0.61</v>
      </c>
      <c r="K39" s="59">
        <v>12.06</v>
      </c>
      <c r="L39" s="59">
        <v>16.07</v>
      </c>
      <c r="M39" s="59">
        <v>60</v>
      </c>
      <c r="N39" s="59">
        <v>165.5</v>
      </c>
      <c r="O39" s="59">
        <v>0</v>
      </c>
      <c r="P39" s="59">
        <v>1</v>
      </c>
      <c r="Q39" s="59">
        <v>39.619999999999997</v>
      </c>
      <c r="R39" s="197"/>
      <c r="S39" s="197"/>
      <c r="T39" s="197"/>
      <c r="U39" s="197"/>
    </row>
    <row r="40" spans="1:21" s="12" customFormat="1" x14ac:dyDescent="0.25">
      <c r="A40" s="200" t="s">
        <v>1046</v>
      </c>
      <c r="B40" s="59">
        <v>16.82</v>
      </c>
      <c r="C40" s="59">
        <v>56.78</v>
      </c>
      <c r="D40" s="59">
        <v>44.82</v>
      </c>
      <c r="E40" s="59">
        <v>4.08</v>
      </c>
      <c r="F40" s="59">
        <v>0.7</v>
      </c>
      <c r="G40" s="59">
        <v>99.06</v>
      </c>
      <c r="H40" s="59">
        <v>27.43</v>
      </c>
      <c r="I40" s="59">
        <v>0.41</v>
      </c>
      <c r="J40" s="59">
        <v>0.54</v>
      </c>
      <c r="K40" s="59">
        <v>31.92</v>
      </c>
      <c r="L40" s="59">
        <v>18</v>
      </c>
      <c r="M40" s="59">
        <v>55</v>
      </c>
      <c r="N40" s="59">
        <v>208.3</v>
      </c>
      <c r="O40" s="59">
        <v>0</v>
      </c>
      <c r="P40" s="59">
        <v>1.01</v>
      </c>
      <c r="Q40" s="59">
        <v>39.51</v>
      </c>
      <c r="R40" s="197"/>
      <c r="S40" s="197"/>
      <c r="T40" s="197"/>
      <c r="U40" s="197"/>
    </row>
    <row r="41" spans="1:21" s="12" customFormat="1" x14ac:dyDescent="0.25">
      <c r="A41" s="200" t="s">
        <v>1047</v>
      </c>
      <c r="B41" s="59">
        <v>17.670000000000002</v>
      </c>
      <c r="C41" s="59">
        <v>57.94</v>
      </c>
      <c r="D41" s="59">
        <v>46.15</v>
      </c>
      <c r="E41" s="59">
        <v>6.59</v>
      </c>
      <c r="F41" s="59">
        <v>0.84</v>
      </c>
      <c r="G41" s="59">
        <v>99.06</v>
      </c>
      <c r="H41" s="59">
        <v>27.43</v>
      </c>
      <c r="I41" s="59">
        <v>0.4</v>
      </c>
      <c r="J41" s="59">
        <v>1.28</v>
      </c>
      <c r="K41" s="59">
        <v>9.91</v>
      </c>
      <c r="L41" s="59">
        <v>19.48</v>
      </c>
      <c r="M41" s="59">
        <v>50</v>
      </c>
      <c r="N41" s="59">
        <v>249.2</v>
      </c>
      <c r="O41" s="59">
        <v>0</v>
      </c>
      <c r="P41" s="59">
        <v>1.04</v>
      </c>
      <c r="Q41" s="59">
        <v>39.409999999999997</v>
      </c>
      <c r="R41" s="197"/>
      <c r="S41" s="197"/>
      <c r="T41" s="197"/>
      <c r="U41" s="197"/>
    </row>
    <row r="42" spans="1:21" s="12" customFormat="1" x14ac:dyDescent="0.25">
      <c r="A42" s="200" t="s">
        <v>1048</v>
      </c>
      <c r="B42" s="59">
        <v>17.93</v>
      </c>
      <c r="C42" s="59">
        <v>59.67</v>
      </c>
      <c r="D42" s="59">
        <v>47.31</v>
      </c>
      <c r="E42" s="59">
        <v>6.83</v>
      </c>
      <c r="F42" s="59">
        <v>1.08</v>
      </c>
      <c r="G42" s="59">
        <v>99.06</v>
      </c>
      <c r="H42" s="59">
        <v>27.43</v>
      </c>
      <c r="I42" s="59">
        <v>0.4</v>
      </c>
      <c r="J42" s="59">
        <v>1.28</v>
      </c>
      <c r="K42" s="59">
        <v>6.89</v>
      </c>
      <c r="L42" s="59">
        <v>20.52</v>
      </c>
      <c r="M42" s="59">
        <v>47</v>
      </c>
      <c r="N42" s="59">
        <v>295.89999999999998</v>
      </c>
      <c r="O42" s="59">
        <v>0</v>
      </c>
      <c r="P42" s="59">
        <v>1.05</v>
      </c>
      <c r="Q42" s="59">
        <v>38.94</v>
      </c>
      <c r="R42" s="197"/>
      <c r="S42" s="197"/>
      <c r="T42" s="197"/>
      <c r="U42" s="197"/>
    </row>
    <row r="43" spans="1:21" s="12" customFormat="1" x14ac:dyDescent="0.25">
      <c r="A43" s="200" t="s">
        <v>1049</v>
      </c>
      <c r="B43" s="59">
        <v>18.809999999999999</v>
      </c>
      <c r="C43" s="59">
        <v>61.76</v>
      </c>
      <c r="D43" s="59">
        <v>49.17</v>
      </c>
      <c r="E43" s="59">
        <v>7.54</v>
      </c>
      <c r="F43" s="59">
        <v>1.0900000000000001</v>
      </c>
      <c r="G43" s="59">
        <v>101.3</v>
      </c>
      <c r="H43" s="59">
        <v>28.6</v>
      </c>
      <c r="I43" s="59">
        <v>0.39</v>
      </c>
      <c r="J43" s="59">
        <v>0.88</v>
      </c>
      <c r="K43" s="59">
        <v>13.59</v>
      </c>
      <c r="L43" s="59">
        <v>20.94</v>
      </c>
      <c r="M43" s="59">
        <v>46</v>
      </c>
      <c r="N43" s="59">
        <v>311.7</v>
      </c>
      <c r="O43" s="59">
        <v>0</v>
      </c>
      <c r="P43" s="59">
        <v>1.05</v>
      </c>
      <c r="Q43" s="59">
        <v>38</v>
      </c>
      <c r="R43" s="197"/>
      <c r="S43" s="197"/>
      <c r="T43" s="197"/>
      <c r="U43" s="197"/>
    </row>
    <row r="44" spans="1:21" s="12" customFormat="1" x14ac:dyDescent="0.25">
      <c r="A44" s="200" t="s">
        <v>1050</v>
      </c>
      <c r="B44" s="59">
        <v>21.21</v>
      </c>
      <c r="C44" s="59">
        <v>62.69</v>
      </c>
      <c r="D44" s="59">
        <v>51.61</v>
      </c>
      <c r="E44" s="59">
        <v>7.48</v>
      </c>
      <c r="F44" s="59">
        <v>1.01</v>
      </c>
      <c r="G44" s="59">
        <v>108.68</v>
      </c>
      <c r="H44" s="59">
        <v>30.45</v>
      </c>
      <c r="I44" s="59">
        <v>0.37</v>
      </c>
      <c r="J44" s="59">
        <v>0.85</v>
      </c>
      <c r="K44" s="59">
        <v>11.25</v>
      </c>
      <c r="L44" s="59">
        <v>21.43</v>
      </c>
      <c r="M44" s="59">
        <v>45</v>
      </c>
      <c r="N44" s="59">
        <v>344.6</v>
      </c>
      <c r="O44" s="59">
        <v>0</v>
      </c>
      <c r="P44" s="59">
        <v>1.05</v>
      </c>
      <c r="Q44" s="59">
        <v>37.799999999999997</v>
      </c>
      <c r="R44" s="197"/>
      <c r="S44" s="197"/>
      <c r="T44" s="197"/>
      <c r="U44" s="197"/>
    </row>
    <row r="45" spans="1:21" s="12" customFormat="1" x14ac:dyDescent="0.25">
      <c r="A45" s="200" t="s">
        <v>1051</v>
      </c>
      <c r="B45" s="59">
        <v>22.47</v>
      </c>
      <c r="C45" s="59">
        <v>63.59</v>
      </c>
      <c r="D45" s="59">
        <v>53.11</v>
      </c>
      <c r="E45" s="59">
        <v>7.68</v>
      </c>
      <c r="F45" s="59">
        <v>0.88</v>
      </c>
      <c r="G45" s="59">
        <v>108.68</v>
      </c>
      <c r="H45" s="59">
        <v>30.45</v>
      </c>
      <c r="I45" s="59">
        <v>0.38</v>
      </c>
      <c r="J45" s="59">
        <v>0.89</v>
      </c>
      <c r="K45" s="59">
        <v>6.8</v>
      </c>
      <c r="L45" s="59">
        <v>22.44</v>
      </c>
      <c r="M45" s="59">
        <v>43</v>
      </c>
      <c r="N45" s="59">
        <v>367.9</v>
      </c>
      <c r="O45" s="59">
        <v>0</v>
      </c>
      <c r="P45" s="59">
        <v>1.05</v>
      </c>
      <c r="Q45" s="59">
        <v>38.18</v>
      </c>
      <c r="R45" s="197"/>
      <c r="S45" s="197"/>
      <c r="T45" s="197"/>
      <c r="U45" s="197"/>
    </row>
    <row r="46" spans="1:21" s="12" customFormat="1" x14ac:dyDescent="0.25">
      <c r="A46" s="200" t="s">
        <v>1052</v>
      </c>
      <c r="B46" s="59">
        <v>21.86</v>
      </c>
      <c r="C46" s="59">
        <v>63.63</v>
      </c>
      <c r="D46" s="59">
        <v>52.64</v>
      </c>
      <c r="E46" s="59">
        <v>7.33</v>
      </c>
      <c r="F46" s="59">
        <v>1.23</v>
      </c>
      <c r="G46" s="59">
        <v>108.68</v>
      </c>
      <c r="H46" s="59">
        <v>30.45</v>
      </c>
      <c r="I46" s="59">
        <v>0.38</v>
      </c>
      <c r="J46" s="59">
        <v>1.1200000000000001</v>
      </c>
      <c r="K46" s="59">
        <v>8.77</v>
      </c>
      <c r="L46" s="59">
        <v>23.87</v>
      </c>
      <c r="M46" s="59">
        <v>40</v>
      </c>
      <c r="N46" s="59">
        <v>376.6</v>
      </c>
      <c r="O46" s="59">
        <v>0</v>
      </c>
      <c r="P46" s="59">
        <v>1.06</v>
      </c>
      <c r="Q46" s="59">
        <v>38.42</v>
      </c>
      <c r="R46" s="197"/>
      <c r="S46" s="197"/>
      <c r="T46" s="197"/>
      <c r="U46" s="197"/>
    </row>
    <row r="47" spans="1:21" s="12" customFormat="1" x14ac:dyDescent="0.25">
      <c r="A47" s="200" t="s">
        <v>1053</v>
      </c>
      <c r="B47" s="59">
        <v>21.31</v>
      </c>
      <c r="C47" s="59">
        <v>65.58</v>
      </c>
      <c r="D47" s="59">
        <v>53.28</v>
      </c>
      <c r="E47" s="59">
        <v>7.67</v>
      </c>
      <c r="F47" s="59">
        <v>1.03</v>
      </c>
      <c r="G47" s="59">
        <v>88.45</v>
      </c>
      <c r="H47" s="59">
        <v>30.66</v>
      </c>
      <c r="I47" s="59">
        <v>0.38</v>
      </c>
      <c r="J47" s="59">
        <v>0.89</v>
      </c>
      <c r="K47" s="59">
        <v>68.42</v>
      </c>
      <c r="L47" s="59">
        <v>22.21</v>
      </c>
      <c r="M47" s="59">
        <v>44</v>
      </c>
      <c r="N47" s="59">
        <v>394.8</v>
      </c>
      <c r="O47" s="59">
        <v>0</v>
      </c>
      <c r="P47" s="59">
        <v>1.07</v>
      </c>
      <c r="Q47" s="59">
        <v>38.450000000000003</v>
      </c>
      <c r="R47" s="197"/>
      <c r="S47" s="197"/>
      <c r="T47" s="197"/>
      <c r="U47" s="197"/>
    </row>
    <row r="48" spans="1:21" s="12" customFormat="1" x14ac:dyDescent="0.25">
      <c r="A48" s="200" t="s">
        <v>1054</v>
      </c>
      <c r="B48" s="59">
        <v>20.37</v>
      </c>
      <c r="C48" s="59">
        <v>65.569999999999993</v>
      </c>
      <c r="D48" s="59">
        <v>52.52</v>
      </c>
      <c r="E48" s="59">
        <v>7.12</v>
      </c>
      <c r="F48" s="59">
        <v>1.1000000000000001</v>
      </c>
      <c r="G48" s="59">
        <v>69.400000000000006</v>
      </c>
      <c r="H48" s="59">
        <v>31</v>
      </c>
      <c r="I48" s="59">
        <v>0.38</v>
      </c>
      <c r="J48" s="59">
        <v>0.93</v>
      </c>
      <c r="K48" s="59">
        <v>77.87</v>
      </c>
      <c r="L48" s="59">
        <v>22.62</v>
      </c>
      <c r="M48" s="59">
        <v>44</v>
      </c>
      <c r="N48" s="59">
        <v>405.3</v>
      </c>
      <c r="O48" s="59">
        <v>0</v>
      </c>
      <c r="P48" s="59">
        <v>1.07</v>
      </c>
      <c r="Q48" s="59">
        <v>38.520000000000003</v>
      </c>
      <c r="R48" s="197"/>
      <c r="S48" s="197"/>
      <c r="T48" s="197"/>
      <c r="U48" s="197"/>
    </row>
    <row r="49" spans="1:21" s="12" customFormat="1" x14ac:dyDescent="0.25">
      <c r="A49" s="200" t="s">
        <v>1055</v>
      </c>
      <c r="B49" s="59">
        <v>19.47</v>
      </c>
      <c r="C49" s="59">
        <v>63.57</v>
      </c>
      <c r="D49" s="59">
        <v>50.7</v>
      </c>
      <c r="E49" s="59">
        <v>7.04</v>
      </c>
      <c r="F49" s="59">
        <v>0.91</v>
      </c>
      <c r="G49" s="59">
        <v>69.400000000000006</v>
      </c>
      <c r="H49" s="59">
        <v>31</v>
      </c>
      <c r="I49" s="59">
        <v>0.38</v>
      </c>
      <c r="J49" s="59">
        <v>1.18</v>
      </c>
      <c r="K49" s="59">
        <v>98.61</v>
      </c>
      <c r="L49" s="59">
        <v>22.07</v>
      </c>
      <c r="M49" s="59">
        <v>45</v>
      </c>
      <c r="N49" s="59">
        <v>416.2</v>
      </c>
      <c r="O49" s="59">
        <v>0</v>
      </c>
      <c r="P49" s="59">
        <v>1.05</v>
      </c>
      <c r="Q49" s="59">
        <v>38.93</v>
      </c>
      <c r="R49" s="197"/>
      <c r="S49" s="197"/>
      <c r="T49" s="197"/>
      <c r="U49" s="197"/>
    </row>
    <row r="50" spans="1:21" s="12" customFormat="1" x14ac:dyDescent="0.25">
      <c r="A50" s="200" t="s">
        <v>1056</v>
      </c>
      <c r="B50" s="59">
        <v>17.86</v>
      </c>
      <c r="C50" s="59">
        <v>63.36</v>
      </c>
      <c r="D50" s="59">
        <v>49.29</v>
      </c>
      <c r="E50" s="59">
        <v>6.62</v>
      </c>
      <c r="F50" s="59">
        <v>0.74</v>
      </c>
      <c r="G50" s="59">
        <v>69.400000000000006</v>
      </c>
      <c r="H50" s="59">
        <v>31</v>
      </c>
      <c r="I50" s="59">
        <v>0.39</v>
      </c>
      <c r="J50" s="59">
        <v>0.91</v>
      </c>
      <c r="K50" s="59">
        <v>81.400000000000006</v>
      </c>
      <c r="L50" s="59">
        <v>23.01</v>
      </c>
      <c r="M50" s="59">
        <v>43</v>
      </c>
      <c r="N50" s="59">
        <v>427.9</v>
      </c>
      <c r="O50" s="59">
        <v>0</v>
      </c>
      <c r="P50" s="59">
        <v>1.05</v>
      </c>
      <c r="Q50" s="59">
        <v>39.58</v>
      </c>
      <c r="R50" s="197"/>
      <c r="S50" s="197"/>
      <c r="T50" s="197"/>
      <c r="U50" s="197"/>
    </row>
    <row r="51" spans="1:21" s="12" customFormat="1" x14ac:dyDescent="0.25">
      <c r="A51" s="200" t="s">
        <v>1057</v>
      </c>
      <c r="B51" s="59">
        <v>15.25</v>
      </c>
      <c r="C51" s="59">
        <v>64.38</v>
      </c>
      <c r="D51" s="59">
        <v>47.76</v>
      </c>
      <c r="E51" s="59">
        <v>7.17</v>
      </c>
      <c r="F51" s="59">
        <v>0.97</v>
      </c>
      <c r="G51" s="59">
        <v>69.62</v>
      </c>
      <c r="H51" s="59">
        <v>30.13</v>
      </c>
      <c r="I51" s="59">
        <v>0.39</v>
      </c>
      <c r="J51" s="59">
        <v>1.1000000000000001</v>
      </c>
      <c r="K51" s="59">
        <v>89.37</v>
      </c>
      <c r="L51" s="59">
        <v>23.93</v>
      </c>
      <c r="M51" s="59">
        <v>39</v>
      </c>
      <c r="N51" s="59">
        <v>447.4</v>
      </c>
      <c r="O51" s="59">
        <v>0</v>
      </c>
      <c r="P51" s="59">
        <v>1.03</v>
      </c>
      <c r="Q51" s="59">
        <v>40.01</v>
      </c>
      <c r="R51" s="197"/>
      <c r="S51" s="197"/>
      <c r="T51" s="197"/>
      <c r="U51" s="197"/>
    </row>
    <row r="52" spans="1:21" s="12" customFormat="1" x14ac:dyDescent="0.25">
      <c r="A52" s="200" t="s">
        <v>1058</v>
      </c>
      <c r="B52" s="59">
        <v>98.05</v>
      </c>
      <c r="C52" s="210" t="s">
        <v>43</v>
      </c>
      <c r="D52" s="59">
        <v>93.6</v>
      </c>
      <c r="E52" s="59">
        <v>10.26</v>
      </c>
      <c r="F52" s="59">
        <v>5.35</v>
      </c>
      <c r="G52" s="59">
        <v>69.84</v>
      </c>
      <c r="H52" s="59">
        <v>28.7</v>
      </c>
      <c r="I52" s="59">
        <v>0.39</v>
      </c>
      <c r="J52" s="59">
        <v>0.82</v>
      </c>
      <c r="K52" s="59">
        <v>48.33</v>
      </c>
      <c r="L52" s="59">
        <v>25.6</v>
      </c>
      <c r="M52" s="59">
        <v>36</v>
      </c>
      <c r="N52" s="59">
        <v>459.7</v>
      </c>
      <c r="O52" s="59">
        <v>0</v>
      </c>
      <c r="P52" s="59">
        <v>1.02</v>
      </c>
      <c r="Q52" s="59">
        <v>38.36</v>
      </c>
      <c r="R52" s="197"/>
      <c r="S52" s="197"/>
      <c r="T52" s="197"/>
      <c r="U52" s="197"/>
    </row>
    <row r="53" spans="1:21" s="12" customFormat="1" x14ac:dyDescent="0.25">
      <c r="A53" s="200" t="s">
        <v>1059</v>
      </c>
      <c r="B53" s="59">
        <v>160.22999999999999</v>
      </c>
      <c r="C53" s="210" t="s">
        <v>43</v>
      </c>
      <c r="D53" s="59">
        <v>148.75</v>
      </c>
      <c r="E53" s="59">
        <v>7.78</v>
      </c>
      <c r="F53" s="59">
        <v>4.68</v>
      </c>
      <c r="G53" s="59">
        <v>69.84</v>
      </c>
      <c r="H53" s="59">
        <v>28.7</v>
      </c>
      <c r="I53" s="59">
        <v>0.36</v>
      </c>
      <c r="J53" s="59">
        <v>1.28</v>
      </c>
      <c r="K53" s="59">
        <v>98.05</v>
      </c>
      <c r="L53" s="59">
        <v>24.64</v>
      </c>
      <c r="M53" s="59">
        <v>37</v>
      </c>
      <c r="N53" s="59">
        <v>470.2</v>
      </c>
      <c r="O53" s="59">
        <v>0</v>
      </c>
      <c r="P53" s="59">
        <v>1</v>
      </c>
      <c r="Q53" s="59">
        <v>37.33</v>
      </c>
      <c r="R53" s="197"/>
      <c r="S53" s="197"/>
      <c r="T53" s="197"/>
      <c r="U53" s="197"/>
    </row>
    <row r="54" spans="1:21" s="12" customFormat="1" x14ac:dyDescent="0.25">
      <c r="A54" s="200" t="s">
        <v>1060</v>
      </c>
      <c r="B54" s="59">
        <v>78.78</v>
      </c>
      <c r="C54" s="59">
        <v>44.89</v>
      </c>
      <c r="D54" s="59">
        <v>109.82</v>
      </c>
      <c r="E54" s="59">
        <v>9.07</v>
      </c>
      <c r="F54" s="59">
        <v>6.18</v>
      </c>
      <c r="G54" s="59">
        <v>69.84</v>
      </c>
      <c r="H54" s="59">
        <v>28.7</v>
      </c>
      <c r="I54" s="59">
        <v>0.33</v>
      </c>
      <c r="J54" s="59">
        <v>1.58</v>
      </c>
      <c r="K54" s="59">
        <v>105.91</v>
      </c>
      <c r="L54" s="59">
        <v>24.42</v>
      </c>
      <c r="M54" s="59">
        <v>37</v>
      </c>
      <c r="N54" s="59">
        <v>467.8</v>
      </c>
      <c r="O54" s="59">
        <v>0</v>
      </c>
      <c r="P54" s="59">
        <v>0.94</v>
      </c>
      <c r="Q54" s="59">
        <v>36.590000000000003</v>
      </c>
      <c r="R54" s="197"/>
      <c r="S54" s="197"/>
      <c r="T54" s="197"/>
      <c r="U54" s="197"/>
    </row>
    <row r="55" spans="1:21" s="12" customFormat="1" x14ac:dyDescent="0.25">
      <c r="A55" s="200" t="s">
        <v>1061</v>
      </c>
      <c r="B55" s="59">
        <v>1.96</v>
      </c>
      <c r="C55" s="59">
        <v>65.12</v>
      </c>
      <c r="D55" s="59">
        <v>37.5</v>
      </c>
      <c r="E55" s="59">
        <v>7.81</v>
      </c>
      <c r="F55" s="59">
        <v>6.14</v>
      </c>
      <c r="G55" s="59">
        <v>66.930000000000007</v>
      </c>
      <c r="H55" s="59">
        <v>29.8</v>
      </c>
      <c r="I55" s="59">
        <v>0.31</v>
      </c>
      <c r="J55" s="59">
        <v>1.57</v>
      </c>
      <c r="K55" s="59">
        <v>108.14</v>
      </c>
      <c r="L55" s="59">
        <v>24.43</v>
      </c>
      <c r="M55" s="59">
        <v>37</v>
      </c>
      <c r="N55" s="59">
        <v>466.9</v>
      </c>
      <c r="O55" s="59">
        <v>0</v>
      </c>
      <c r="P55" s="59">
        <v>0.87</v>
      </c>
      <c r="Q55" s="59">
        <v>35.17</v>
      </c>
      <c r="R55" s="197"/>
      <c r="S55" s="197"/>
      <c r="T55" s="197"/>
      <c r="U55" s="197"/>
    </row>
    <row r="56" spans="1:21" s="12" customFormat="1" x14ac:dyDescent="0.25">
      <c r="A56" s="200" t="s">
        <v>1062</v>
      </c>
      <c r="B56" s="59">
        <v>2.0499999999999998</v>
      </c>
      <c r="C56" s="59">
        <v>63.6</v>
      </c>
      <c r="D56" s="59">
        <v>36.74</v>
      </c>
      <c r="E56" s="59">
        <v>4.3</v>
      </c>
      <c r="F56" s="59">
        <v>5.9</v>
      </c>
      <c r="G56" s="59">
        <v>64.02</v>
      </c>
      <c r="H56" s="59">
        <v>31.52</v>
      </c>
      <c r="I56" s="59">
        <v>0.28000000000000003</v>
      </c>
      <c r="J56" s="59">
        <v>0.83</v>
      </c>
      <c r="K56" s="59">
        <v>87.87</v>
      </c>
      <c r="L56" s="59">
        <v>25.38</v>
      </c>
      <c r="M56" s="59">
        <v>34</v>
      </c>
      <c r="N56" s="59">
        <v>403.9</v>
      </c>
      <c r="O56" s="59">
        <v>0</v>
      </c>
      <c r="P56" s="59">
        <v>0.84</v>
      </c>
      <c r="Q56" s="59">
        <v>34.380000000000003</v>
      </c>
      <c r="R56" s="197"/>
      <c r="S56" s="197"/>
      <c r="T56" s="197"/>
      <c r="U56" s="197"/>
    </row>
    <row r="57" spans="1:21" s="12" customFormat="1" x14ac:dyDescent="0.25">
      <c r="A57" s="200" t="s">
        <v>1063</v>
      </c>
      <c r="B57" s="59">
        <v>2.3199999999999998</v>
      </c>
      <c r="C57" s="59">
        <v>63.52</v>
      </c>
      <c r="D57" s="59">
        <v>36.92</v>
      </c>
      <c r="E57" s="59">
        <v>8.5399999999999991</v>
      </c>
      <c r="F57" s="59">
        <v>8.23</v>
      </c>
      <c r="G57" s="59">
        <v>64.02</v>
      </c>
      <c r="H57" s="59">
        <v>31.52</v>
      </c>
      <c r="I57" s="59">
        <v>0.25</v>
      </c>
      <c r="J57" s="59">
        <v>1.27</v>
      </c>
      <c r="K57" s="59">
        <v>103.89</v>
      </c>
      <c r="L57" s="59">
        <v>25.61</v>
      </c>
      <c r="M57" s="59">
        <v>33</v>
      </c>
      <c r="N57" s="59">
        <v>482.3</v>
      </c>
      <c r="O57" s="59">
        <v>0</v>
      </c>
      <c r="P57" s="59">
        <v>0.85</v>
      </c>
      <c r="Q57" s="59">
        <v>33.19</v>
      </c>
      <c r="R57" s="197"/>
      <c r="S57" s="197"/>
      <c r="T57" s="197"/>
      <c r="U57" s="197"/>
    </row>
    <row r="58" spans="1:21" s="12" customFormat="1" x14ac:dyDescent="0.25">
      <c r="A58" s="200" t="s">
        <v>1064</v>
      </c>
      <c r="B58" s="59">
        <v>1.95</v>
      </c>
      <c r="C58" s="59">
        <v>61.47</v>
      </c>
      <c r="D58" s="59">
        <v>35.479999999999997</v>
      </c>
      <c r="E58" s="59">
        <v>10.35</v>
      </c>
      <c r="F58" s="59">
        <v>7.9</v>
      </c>
      <c r="G58" s="59">
        <v>64.02</v>
      </c>
      <c r="H58" s="59">
        <v>31.52</v>
      </c>
      <c r="I58" s="59">
        <v>0.24</v>
      </c>
      <c r="J58" s="59">
        <v>0.92</v>
      </c>
      <c r="K58" s="59">
        <v>100.74</v>
      </c>
      <c r="L58" s="59">
        <v>25.42</v>
      </c>
      <c r="M58" s="59">
        <v>34</v>
      </c>
      <c r="N58" s="59">
        <v>424.8</v>
      </c>
      <c r="O58" s="59">
        <v>0</v>
      </c>
      <c r="P58" s="59">
        <v>0.82</v>
      </c>
      <c r="Q58" s="59">
        <v>30.95</v>
      </c>
      <c r="R58" s="197"/>
      <c r="S58" s="197"/>
      <c r="T58" s="197"/>
      <c r="U58" s="197"/>
    </row>
    <row r="59" spans="1:21" s="12" customFormat="1" x14ac:dyDescent="0.25">
      <c r="A59" s="200" t="s">
        <v>1065</v>
      </c>
      <c r="B59" s="59">
        <v>2.1800000000000002</v>
      </c>
      <c r="C59" s="59">
        <v>61.21</v>
      </c>
      <c r="D59" s="59">
        <v>35.53</v>
      </c>
      <c r="E59" s="59">
        <v>16.25</v>
      </c>
      <c r="F59" s="59">
        <v>6.2</v>
      </c>
      <c r="G59" s="59">
        <v>56.27</v>
      </c>
      <c r="H59" s="59">
        <v>31.87</v>
      </c>
      <c r="I59" s="59">
        <v>0.22</v>
      </c>
      <c r="J59" s="59">
        <v>1.1399999999999999</v>
      </c>
      <c r="K59" s="59">
        <v>112.27</v>
      </c>
      <c r="L59" s="59">
        <v>25.56</v>
      </c>
      <c r="M59" s="59">
        <v>33</v>
      </c>
      <c r="N59" s="59">
        <v>301.5</v>
      </c>
      <c r="O59" s="59">
        <v>0</v>
      </c>
      <c r="P59" s="59">
        <v>0.81</v>
      </c>
      <c r="Q59" s="59">
        <v>30.39</v>
      </c>
      <c r="R59" s="197"/>
      <c r="S59" s="197"/>
      <c r="T59" s="197"/>
      <c r="U59" s="197"/>
    </row>
    <row r="60" spans="1:21" s="12" customFormat="1" x14ac:dyDescent="0.25">
      <c r="A60" s="200" t="s">
        <v>1066</v>
      </c>
      <c r="B60" s="59">
        <v>4.6100000000000003</v>
      </c>
      <c r="C60" s="59">
        <v>62.33</v>
      </c>
      <c r="D60" s="59">
        <v>38.090000000000003</v>
      </c>
      <c r="E60" s="59">
        <v>16.649999999999999</v>
      </c>
      <c r="F60" s="59">
        <v>6.46</v>
      </c>
      <c r="G60" s="59">
        <v>31.47</v>
      </c>
      <c r="H60" s="59">
        <v>32.409999999999997</v>
      </c>
      <c r="I60" s="59">
        <v>0.2</v>
      </c>
      <c r="J60" s="59">
        <v>0.99</v>
      </c>
      <c r="K60" s="59">
        <v>104.49</v>
      </c>
      <c r="L60" s="59">
        <v>25.19</v>
      </c>
      <c r="M60" s="59">
        <v>34</v>
      </c>
      <c r="N60" s="59">
        <v>349.5</v>
      </c>
      <c r="O60" s="59">
        <v>0</v>
      </c>
      <c r="P60" s="59">
        <v>0.79</v>
      </c>
      <c r="Q60" s="59">
        <v>29.84</v>
      </c>
      <c r="R60" s="197"/>
      <c r="S60" s="197"/>
      <c r="T60" s="197"/>
      <c r="U60" s="197"/>
    </row>
    <row r="61" spans="1:21" s="12" customFormat="1" x14ac:dyDescent="0.25">
      <c r="A61" s="200" t="s">
        <v>1067</v>
      </c>
      <c r="B61" s="59">
        <v>3.02</v>
      </c>
      <c r="C61" s="59">
        <v>66.92</v>
      </c>
      <c r="D61" s="59">
        <v>39.36</v>
      </c>
      <c r="E61" s="59">
        <v>15.33</v>
      </c>
      <c r="F61" s="59">
        <v>5.8</v>
      </c>
      <c r="G61" s="59">
        <v>31.47</v>
      </c>
      <c r="H61" s="59">
        <v>32.409999999999997</v>
      </c>
      <c r="I61" s="59">
        <v>0.2</v>
      </c>
      <c r="J61" s="59">
        <v>0.85</v>
      </c>
      <c r="K61" s="59">
        <v>84.13</v>
      </c>
      <c r="L61" s="59">
        <v>26.2</v>
      </c>
      <c r="M61" s="59">
        <v>32</v>
      </c>
      <c r="N61" s="59">
        <v>438.5</v>
      </c>
      <c r="O61" s="59">
        <v>0</v>
      </c>
      <c r="P61" s="59">
        <v>0.74</v>
      </c>
      <c r="Q61" s="59">
        <v>29.78</v>
      </c>
      <c r="R61" s="197"/>
      <c r="S61" s="197"/>
      <c r="T61" s="197"/>
      <c r="U61" s="197"/>
    </row>
    <row r="62" spans="1:21" s="12" customFormat="1" x14ac:dyDescent="0.25">
      <c r="A62" s="200" t="s">
        <v>1068</v>
      </c>
      <c r="B62" s="59">
        <v>2.4500000000000002</v>
      </c>
      <c r="C62" s="59">
        <v>68.06</v>
      </c>
      <c r="D62" s="59">
        <v>39.520000000000003</v>
      </c>
      <c r="E62" s="59">
        <v>9.56</v>
      </c>
      <c r="F62" s="59">
        <v>3.27</v>
      </c>
      <c r="G62" s="59">
        <v>31.47</v>
      </c>
      <c r="H62" s="59">
        <v>32.409999999999997</v>
      </c>
      <c r="I62" s="59">
        <v>0.19</v>
      </c>
      <c r="J62" s="59">
        <v>1.63</v>
      </c>
      <c r="K62" s="59">
        <v>128.55000000000001</v>
      </c>
      <c r="L62" s="59">
        <v>26.02</v>
      </c>
      <c r="M62" s="59">
        <v>33</v>
      </c>
      <c r="N62" s="59">
        <v>387.6</v>
      </c>
      <c r="O62" s="59">
        <v>0</v>
      </c>
      <c r="P62" s="59">
        <v>0.76</v>
      </c>
      <c r="Q62" s="59">
        <v>30.48</v>
      </c>
      <c r="R62" s="197"/>
      <c r="S62" s="197"/>
      <c r="T62" s="197"/>
      <c r="U62" s="197"/>
    </row>
    <row r="63" spans="1:21" s="12" customFormat="1" x14ac:dyDescent="0.25">
      <c r="A63" s="200" t="s">
        <v>1069</v>
      </c>
      <c r="B63" s="59">
        <v>2.34</v>
      </c>
      <c r="C63" s="59">
        <v>65.52</v>
      </c>
      <c r="D63" s="59">
        <v>38.04</v>
      </c>
      <c r="E63" s="59">
        <v>12.11</v>
      </c>
      <c r="F63" s="59">
        <v>5.3</v>
      </c>
      <c r="G63" s="59">
        <v>34.04</v>
      </c>
      <c r="H63" s="59">
        <v>31.96</v>
      </c>
      <c r="I63" s="59">
        <v>0.19</v>
      </c>
      <c r="J63" s="59">
        <v>1.45</v>
      </c>
      <c r="K63" s="59">
        <v>129.77000000000001</v>
      </c>
      <c r="L63" s="59">
        <v>25.41</v>
      </c>
      <c r="M63" s="59">
        <v>34</v>
      </c>
      <c r="N63" s="59">
        <v>260.3</v>
      </c>
      <c r="O63" s="59">
        <v>0</v>
      </c>
      <c r="P63" s="59">
        <v>0.73</v>
      </c>
      <c r="Q63" s="59">
        <v>31.01</v>
      </c>
      <c r="R63" s="197"/>
      <c r="S63" s="197"/>
      <c r="T63" s="197"/>
      <c r="U63" s="197"/>
    </row>
    <row r="64" spans="1:21" s="12" customFormat="1" x14ac:dyDescent="0.25">
      <c r="A64" s="200" t="s">
        <v>1070</v>
      </c>
      <c r="B64" s="59">
        <v>1.97</v>
      </c>
      <c r="C64" s="59">
        <v>62.57</v>
      </c>
      <c r="D64" s="59">
        <v>36.11</v>
      </c>
      <c r="E64" s="59">
        <v>11.17</v>
      </c>
      <c r="F64" s="59">
        <v>7.65</v>
      </c>
      <c r="G64" s="59">
        <v>36.46</v>
      </c>
      <c r="H64" s="59">
        <v>31.27</v>
      </c>
      <c r="I64" s="59">
        <v>0.2</v>
      </c>
      <c r="J64" s="59">
        <v>1.03</v>
      </c>
      <c r="K64" s="59">
        <v>112.86</v>
      </c>
      <c r="L64" s="59">
        <v>25.37</v>
      </c>
      <c r="M64" s="59">
        <v>34</v>
      </c>
      <c r="N64" s="59">
        <v>247.3</v>
      </c>
      <c r="O64" s="59">
        <v>0</v>
      </c>
      <c r="P64" s="59">
        <v>0.72</v>
      </c>
      <c r="Q64" s="59">
        <v>30.39</v>
      </c>
      <c r="R64" s="197"/>
      <c r="S64" s="197"/>
      <c r="T64" s="197"/>
      <c r="U64" s="197"/>
    </row>
    <row r="65" spans="1:21" s="12" customFormat="1" x14ac:dyDescent="0.25">
      <c r="A65" s="200" t="s">
        <v>1071</v>
      </c>
      <c r="B65" s="59">
        <v>3.24</v>
      </c>
      <c r="C65" s="59">
        <v>63.69</v>
      </c>
      <c r="D65" s="59">
        <v>37.75</v>
      </c>
      <c r="E65" s="59">
        <v>12.12</v>
      </c>
      <c r="F65" s="59">
        <v>9.66</v>
      </c>
      <c r="G65" s="59">
        <v>36.46</v>
      </c>
      <c r="H65" s="59">
        <v>31.27</v>
      </c>
      <c r="I65" s="59">
        <v>0.19</v>
      </c>
      <c r="J65" s="59">
        <v>0.62</v>
      </c>
      <c r="K65" s="59">
        <v>34.64</v>
      </c>
      <c r="L65" s="59">
        <v>27.06</v>
      </c>
      <c r="M65" s="59">
        <v>31</v>
      </c>
      <c r="N65" s="59">
        <v>286.5</v>
      </c>
      <c r="O65" s="59">
        <v>0</v>
      </c>
      <c r="P65" s="59">
        <v>0.77</v>
      </c>
      <c r="Q65" s="59">
        <v>30.96</v>
      </c>
      <c r="R65" s="197"/>
      <c r="S65" s="197"/>
      <c r="T65" s="197"/>
      <c r="U65" s="197"/>
    </row>
    <row r="66" spans="1:21" s="12" customFormat="1" x14ac:dyDescent="0.25">
      <c r="A66" s="200" t="s">
        <v>1072</v>
      </c>
      <c r="B66" s="59">
        <v>2.77</v>
      </c>
      <c r="C66" s="59">
        <v>65.06</v>
      </c>
      <c r="D66" s="59">
        <v>38.130000000000003</v>
      </c>
      <c r="E66" s="59">
        <v>8.5</v>
      </c>
      <c r="F66" s="59">
        <v>5.73</v>
      </c>
      <c r="G66" s="59">
        <v>36.46</v>
      </c>
      <c r="H66" s="59">
        <v>31.27</v>
      </c>
      <c r="I66" s="59">
        <v>0.18</v>
      </c>
      <c r="J66" s="59">
        <v>1.02</v>
      </c>
      <c r="K66" s="59">
        <v>113.96</v>
      </c>
      <c r="L66" s="59">
        <v>26.25</v>
      </c>
      <c r="M66" s="59">
        <v>32</v>
      </c>
      <c r="N66" s="59">
        <v>229</v>
      </c>
      <c r="O66" s="59">
        <v>0</v>
      </c>
      <c r="P66" s="59">
        <v>0.78</v>
      </c>
      <c r="Q66" s="59">
        <v>31.8</v>
      </c>
      <c r="R66" s="197"/>
      <c r="S66" s="197"/>
      <c r="T66" s="197"/>
      <c r="U66" s="197"/>
    </row>
    <row r="67" spans="1:21" s="12" customFormat="1" x14ac:dyDescent="0.25">
      <c r="A67" s="200" t="s">
        <v>1073</v>
      </c>
      <c r="B67" s="59">
        <v>2.44</v>
      </c>
      <c r="C67" s="59">
        <v>64.87</v>
      </c>
      <c r="D67" s="59">
        <v>37.76</v>
      </c>
      <c r="E67" s="59">
        <v>8.11</v>
      </c>
      <c r="F67" s="59">
        <v>6.77</v>
      </c>
      <c r="G67" s="59">
        <v>55.11</v>
      </c>
      <c r="H67" s="59">
        <v>30.59</v>
      </c>
      <c r="I67" s="59">
        <v>0.19</v>
      </c>
      <c r="J67" s="59">
        <v>1.32</v>
      </c>
      <c r="K67" s="59">
        <v>118.14</v>
      </c>
      <c r="L67" s="59">
        <v>25.74</v>
      </c>
      <c r="M67" s="59">
        <v>33</v>
      </c>
      <c r="N67" s="59">
        <v>186.4</v>
      </c>
      <c r="O67" s="59">
        <v>0</v>
      </c>
      <c r="P67" s="59">
        <v>0.78</v>
      </c>
      <c r="Q67" s="59">
        <v>32.39</v>
      </c>
      <c r="R67" s="197"/>
      <c r="S67" s="197"/>
      <c r="T67" s="197"/>
      <c r="U67" s="197"/>
    </row>
    <row r="68" spans="1:21" s="12" customFormat="1" x14ac:dyDescent="0.25">
      <c r="A68" s="200" t="s">
        <v>1074</v>
      </c>
      <c r="B68" s="59">
        <v>4</v>
      </c>
      <c r="C68" s="59">
        <v>65.3</v>
      </c>
      <c r="D68" s="59">
        <v>39.25</v>
      </c>
      <c r="E68" s="59">
        <v>7.61</v>
      </c>
      <c r="F68" s="59">
        <v>5.6</v>
      </c>
      <c r="G68" s="59">
        <v>72.66</v>
      </c>
      <c r="H68" s="59">
        <v>29.46</v>
      </c>
      <c r="I68" s="59">
        <v>0.2</v>
      </c>
      <c r="J68" s="59">
        <v>0.63</v>
      </c>
      <c r="K68" s="59">
        <v>94.67</v>
      </c>
      <c r="L68" s="59">
        <v>25.56</v>
      </c>
      <c r="M68" s="59">
        <v>32</v>
      </c>
      <c r="N68" s="59">
        <v>159.1</v>
      </c>
      <c r="O68" s="59">
        <v>0</v>
      </c>
      <c r="P68" s="59">
        <v>0.78</v>
      </c>
      <c r="Q68" s="59">
        <v>33.03</v>
      </c>
      <c r="R68" s="197"/>
      <c r="S68" s="197"/>
      <c r="T68" s="197"/>
      <c r="U68" s="197"/>
    </row>
    <row r="69" spans="1:21" s="12" customFormat="1" x14ac:dyDescent="0.25">
      <c r="A69" s="200" t="s">
        <v>1075</v>
      </c>
      <c r="B69" s="59">
        <v>3.78</v>
      </c>
      <c r="C69" s="59">
        <v>73.63</v>
      </c>
      <c r="D69" s="59">
        <v>43.67</v>
      </c>
      <c r="E69" s="59">
        <v>7.81</v>
      </c>
      <c r="F69" s="59">
        <v>6.55</v>
      </c>
      <c r="G69" s="59">
        <v>72.66</v>
      </c>
      <c r="H69" s="59">
        <v>29.46</v>
      </c>
      <c r="I69" s="59">
        <v>0.2</v>
      </c>
      <c r="J69" s="59">
        <v>0.66</v>
      </c>
      <c r="K69" s="59">
        <v>107.89</v>
      </c>
      <c r="L69" s="59">
        <v>25.49</v>
      </c>
      <c r="M69" s="59">
        <v>31</v>
      </c>
      <c r="N69" s="59">
        <v>155.30000000000001</v>
      </c>
      <c r="O69" s="59">
        <v>0</v>
      </c>
      <c r="P69" s="59">
        <v>0.83</v>
      </c>
      <c r="Q69" s="59">
        <v>32.049999999999997</v>
      </c>
      <c r="R69" s="197"/>
      <c r="S69" s="197"/>
      <c r="T69" s="197"/>
      <c r="U69" s="197"/>
    </row>
    <row r="70" spans="1:21" s="12" customFormat="1" x14ac:dyDescent="0.25">
      <c r="A70" s="200" t="s">
        <v>1076</v>
      </c>
      <c r="B70" s="59">
        <v>2.95</v>
      </c>
      <c r="C70" s="59">
        <v>72.23</v>
      </c>
      <c r="D70" s="59">
        <v>42.23</v>
      </c>
      <c r="E70" s="59">
        <v>6.8</v>
      </c>
      <c r="F70" s="59">
        <v>5.96</v>
      </c>
      <c r="G70" s="59">
        <v>72.66</v>
      </c>
      <c r="H70" s="59">
        <v>29.46</v>
      </c>
      <c r="I70" s="59">
        <v>0.19</v>
      </c>
      <c r="J70" s="59">
        <v>1.2</v>
      </c>
      <c r="K70" s="59">
        <v>115.8</v>
      </c>
      <c r="L70" s="59">
        <v>25.28</v>
      </c>
      <c r="M70" s="59">
        <v>32</v>
      </c>
      <c r="N70" s="59">
        <v>170.8</v>
      </c>
      <c r="O70" s="59">
        <v>0</v>
      </c>
      <c r="P70" s="59">
        <v>0.81</v>
      </c>
      <c r="Q70" s="59">
        <v>30.83</v>
      </c>
      <c r="R70" s="197"/>
      <c r="S70" s="197"/>
      <c r="T70" s="197"/>
      <c r="U70" s="197"/>
    </row>
    <row r="71" spans="1:21" s="12" customFormat="1" x14ac:dyDescent="0.25">
      <c r="A71" s="200" t="s">
        <v>1077</v>
      </c>
      <c r="B71" s="59">
        <v>2.67</v>
      </c>
      <c r="C71" s="59">
        <v>69.83</v>
      </c>
      <c r="D71" s="59">
        <v>40.68</v>
      </c>
      <c r="E71" s="59">
        <v>7.01</v>
      </c>
      <c r="F71" s="59">
        <v>4.74</v>
      </c>
      <c r="G71" s="59">
        <v>65.27</v>
      </c>
      <c r="H71" s="59">
        <v>28.42</v>
      </c>
      <c r="I71" s="59">
        <v>0.19</v>
      </c>
      <c r="J71" s="59">
        <v>1.39</v>
      </c>
      <c r="K71" s="59">
        <v>121.42</v>
      </c>
      <c r="L71" s="59">
        <v>24.95</v>
      </c>
      <c r="M71" s="59">
        <v>32</v>
      </c>
      <c r="N71" s="59">
        <v>108.7</v>
      </c>
      <c r="O71" s="59">
        <v>0</v>
      </c>
      <c r="P71" s="59">
        <v>0.81</v>
      </c>
      <c r="Q71" s="59">
        <v>30.52</v>
      </c>
      <c r="R71" s="197"/>
      <c r="S71" s="197"/>
      <c r="T71" s="197"/>
      <c r="U71" s="197"/>
    </row>
    <row r="72" spans="1:21" s="12" customFormat="1" x14ac:dyDescent="0.25">
      <c r="A72" s="200" t="s">
        <v>1078</v>
      </c>
      <c r="B72" s="59">
        <v>2.25</v>
      </c>
      <c r="C72" s="59">
        <v>66.930000000000007</v>
      </c>
      <c r="D72" s="59">
        <v>38.74</v>
      </c>
      <c r="E72" s="59">
        <v>6.71</v>
      </c>
      <c r="F72" s="59">
        <v>3.94</v>
      </c>
      <c r="G72" s="59">
        <v>58.1</v>
      </c>
      <c r="H72" s="59">
        <v>26.69</v>
      </c>
      <c r="I72" s="59">
        <v>0.19</v>
      </c>
      <c r="J72" s="59">
        <v>0.94</v>
      </c>
      <c r="K72" s="59">
        <v>113.77</v>
      </c>
      <c r="L72" s="59">
        <v>24.68</v>
      </c>
      <c r="M72" s="59">
        <v>33</v>
      </c>
      <c r="N72" s="59">
        <v>79.599999999999994</v>
      </c>
      <c r="O72" s="59">
        <v>0</v>
      </c>
      <c r="P72" s="59">
        <v>0.79</v>
      </c>
      <c r="Q72" s="59">
        <v>30.51</v>
      </c>
      <c r="R72" s="197"/>
      <c r="S72" s="197"/>
      <c r="T72" s="197"/>
      <c r="U72" s="197"/>
    </row>
    <row r="73" spans="1:21" s="12" customFormat="1" x14ac:dyDescent="0.25">
      <c r="A73" s="200" t="s">
        <v>1079</v>
      </c>
      <c r="B73" s="59">
        <v>3.86</v>
      </c>
      <c r="C73" s="59">
        <v>64.09</v>
      </c>
      <c r="D73" s="59">
        <v>38.47</v>
      </c>
      <c r="E73" s="59">
        <v>6.23</v>
      </c>
      <c r="F73" s="59">
        <v>2.2999999999999998</v>
      </c>
      <c r="G73" s="59">
        <v>58.1</v>
      </c>
      <c r="H73" s="59">
        <v>26.69</v>
      </c>
      <c r="I73" s="59">
        <v>0.19</v>
      </c>
      <c r="J73" s="59">
        <v>0.86</v>
      </c>
      <c r="K73" s="59">
        <v>110.86</v>
      </c>
      <c r="L73" s="59">
        <v>24.66</v>
      </c>
      <c r="M73" s="59">
        <v>32</v>
      </c>
      <c r="N73" s="59">
        <v>68</v>
      </c>
      <c r="O73" s="59">
        <v>0</v>
      </c>
      <c r="P73" s="59">
        <v>0.8</v>
      </c>
      <c r="Q73" s="59">
        <v>31.45</v>
      </c>
      <c r="R73" s="197"/>
      <c r="S73" s="197"/>
      <c r="T73" s="197"/>
      <c r="U73" s="197"/>
    </row>
    <row r="74" spans="1:21" s="12" customFormat="1" x14ac:dyDescent="0.25">
      <c r="A74" s="200" t="s">
        <v>1080</v>
      </c>
      <c r="B74" s="59">
        <v>3.4</v>
      </c>
      <c r="C74" s="59">
        <v>63.77</v>
      </c>
      <c r="D74" s="59">
        <v>37.92</v>
      </c>
      <c r="E74" s="59">
        <v>5.34</v>
      </c>
      <c r="F74" s="59">
        <v>2.59</v>
      </c>
      <c r="G74" s="59">
        <v>58.1</v>
      </c>
      <c r="H74" s="59">
        <v>26.69</v>
      </c>
      <c r="I74" s="59">
        <v>0.2</v>
      </c>
      <c r="J74" s="59">
        <v>0.92</v>
      </c>
      <c r="K74" s="59">
        <v>112.24</v>
      </c>
      <c r="L74" s="59">
        <v>24.51</v>
      </c>
      <c r="M74" s="59">
        <v>32</v>
      </c>
      <c r="N74" s="59">
        <v>61.2</v>
      </c>
      <c r="O74" s="59">
        <v>0</v>
      </c>
      <c r="P74" s="59">
        <v>0.79</v>
      </c>
      <c r="Q74" s="59">
        <v>32.72</v>
      </c>
      <c r="R74" s="197"/>
      <c r="S74" s="197"/>
      <c r="T74" s="197"/>
      <c r="U74" s="197"/>
    </row>
    <row r="75" spans="1:21" s="12" customFormat="1" x14ac:dyDescent="0.25">
      <c r="A75" s="200" t="s">
        <v>1081</v>
      </c>
      <c r="B75" s="59">
        <v>3.81</v>
      </c>
      <c r="C75" s="59">
        <v>65.239999999999995</v>
      </c>
      <c r="D75" s="59">
        <v>39.06</v>
      </c>
      <c r="E75" s="59">
        <v>6.37</v>
      </c>
      <c r="F75" s="59">
        <v>3.62</v>
      </c>
      <c r="G75" s="59">
        <v>58.1</v>
      </c>
      <c r="H75" s="59">
        <v>25.92</v>
      </c>
      <c r="I75" s="59">
        <v>0.22</v>
      </c>
      <c r="J75" s="59">
        <v>0.42</v>
      </c>
      <c r="K75" s="59">
        <v>98.25</v>
      </c>
      <c r="L75" s="59">
        <v>24.24</v>
      </c>
      <c r="M75" s="59">
        <v>33</v>
      </c>
      <c r="N75" s="59">
        <v>55.8</v>
      </c>
      <c r="O75" s="59">
        <v>0</v>
      </c>
      <c r="P75" s="59">
        <v>0.8</v>
      </c>
      <c r="Q75" s="59">
        <v>33.64</v>
      </c>
      <c r="R75" s="197"/>
      <c r="S75" s="197"/>
      <c r="T75" s="197"/>
      <c r="U75" s="197"/>
    </row>
    <row r="76" spans="1:21" s="12" customFormat="1" x14ac:dyDescent="0.25">
      <c r="A76" s="200" t="s">
        <v>1082</v>
      </c>
      <c r="B76" s="59">
        <v>3.27</v>
      </c>
      <c r="C76" s="59">
        <v>63.92</v>
      </c>
      <c r="D76" s="59">
        <v>37.9</v>
      </c>
      <c r="E76" s="59">
        <v>4.79</v>
      </c>
      <c r="F76" s="59">
        <v>2.56</v>
      </c>
      <c r="G76" s="59">
        <v>58.08</v>
      </c>
      <c r="H76" s="59">
        <v>24.7</v>
      </c>
      <c r="I76" s="59">
        <v>0.22</v>
      </c>
      <c r="J76" s="59">
        <v>0.53</v>
      </c>
      <c r="K76" s="59">
        <v>87.58</v>
      </c>
      <c r="L76" s="59">
        <v>24.01</v>
      </c>
      <c r="M76" s="59">
        <v>33</v>
      </c>
      <c r="N76" s="59">
        <v>46.1</v>
      </c>
      <c r="O76" s="59">
        <v>0</v>
      </c>
      <c r="P76" s="59">
        <v>0.8</v>
      </c>
      <c r="Q76" s="59">
        <v>34.24</v>
      </c>
      <c r="R76" s="197"/>
      <c r="S76" s="197"/>
      <c r="T76" s="197"/>
      <c r="U76" s="197"/>
    </row>
    <row r="77" spans="1:21" s="12" customFormat="1" x14ac:dyDescent="0.25">
      <c r="A77" s="200" t="s">
        <v>1083</v>
      </c>
      <c r="B77" s="59">
        <v>3.72</v>
      </c>
      <c r="C77" s="59">
        <v>65.25</v>
      </c>
      <c r="D77" s="59">
        <v>38.99</v>
      </c>
      <c r="E77" s="59">
        <v>3.47</v>
      </c>
      <c r="F77" s="59">
        <v>2.0299999999999998</v>
      </c>
      <c r="G77" s="59">
        <v>58.08</v>
      </c>
      <c r="H77" s="59">
        <v>24.7</v>
      </c>
      <c r="I77" s="59">
        <v>0.23</v>
      </c>
      <c r="J77" s="59">
        <v>0.35</v>
      </c>
      <c r="K77" s="59">
        <v>82.95</v>
      </c>
      <c r="L77" s="59">
        <v>23.65</v>
      </c>
      <c r="M77" s="59">
        <v>34</v>
      </c>
      <c r="N77" s="59">
        <v>31.5</v>
      </c>
      <c r="O77" s="59">
        <v>0</v>
      </c>
      <c r="P77" s="59">
        <v>0.81</v>
      </c>
      <c r="Q77" s="59">
        <v>35.700000000000003</v>
      </c>
      <c r="R77" s="197"/>
      <c r="S77" s="197"/>
      <c r="T77" s="197"/>
      <c r="U77" s="197"/>
    </row>
    <row r="78" spans="1:21" s="12" customFormat="1" x14ac:dyDescent="0.25">
      <c r="A78" s="200" t="s">
        <v>1084</v>
      </c>
      <c r="B78" s="59">
        <v>4.05</v>
      </c>
      <c r="C78" s="59">
        <v>67.66</v>
      </c>
      <c r="D78" s="59">
        <v>40.590000000000003</v>
      </c>
      <c r="E78" s="59">
        <v>5.71</v>
      </c>
      <c r="F78" s="59">
        <v>2.5499999999999998</v>
      </c>
      <c r="G78" s="59">
        <v>58.08</v>
      </c>
      <c r="H78" s="59">
        <v>24.7</v>
      </c>
      <c r="I78" s="59">
        <v>0.25</v>
      </c>
      <c r="J78" s="59">
        <v>0.4</v>
      </c>
      <c r="K78" s="59">
        <v>72.2</v>
      </c>
      <c r="L78" s="59">
        <v>23.27</v>
      </c>
      <c r="M78" s="59">
        <v>35</v>
      </c>
      <c r="N78" s="59">
        <v>25.3</v>
      </c>
      <c r="O78" s="59">
        <v>0</v>
      </c>
      <c r="P78" s="59">
        <v>0.86</v>
      </c>
      <c r="Q78" s="59">
        <v>36.01</v>
      </c>
      <c r="R78" s="197"/>
      <c r="S78" s="197"/>
      <c r="T78" s="197"/>
      <c r="U78" s="197"/>
    </row>
    <row r="79" spans="1:21" s="12" customFormat="1" x14ac:dyDescent="0.25">
      <c r="A79" s="200" t="s">
        <v>1085</v>
      </c>
      <c r="B79" s="59">
        <v>4.59</v>
      </c>
      <c r="C79" s="59">
        <v>69.86</v>
      </c>
      <c r="D79" s="59">
        <v>42.23</v>
      </c>
      <c r="E79" s="59">
        <v>4.6399999999999997</v>
      </c>
      <c r="F79" s="59">
        <v>1.4</v>
      </c>
      <c r="G79" s="59">
        <v>57.33</v>
      </c>
      <c r="H79" s="59">
        <v>24.54</v>
      </c>
      <c r="I79" s="59">
        <v>0.26</v>
      </c>
      <c r="J79" s="59">
        <v>0.26</v>
      </c>
      <c r="K79" s="59">
        <v>51.3</v>
      </c>
      <c r="L79" s="59">
        <v>22.8</v>
      </c>
      <c r="M79" s="59">
        <v>36</v>
      </c>
      <c r="N79" s="59">
        <v>24.6</v>
      </c>
      <c r="O79" s="59">
        <v>0</v>
      </c>
      <c r="P79" s="59">
        <v>0.9</v>
      </c>
      <c r="Q79" s="59">
        <v>37.950000000000003</v>
      </c>
      <c r="R79" s="197"/>
      <c r="S79" s="197"/>
      <c r="T79" s="197"/>
      <c r="U79" s="197"/>
    </row>
    <row r="80" spans="1:21" s="12" customFormat="1" x14ac:dyDescent="0.25">
      <c r="A80" s="200" t="s">
        <v>1086</v>
      </c>
      <c r="B80" s="59">
        <v>6.72</v>
      </c>
      <c r="C80" s="59">
        <v>75.260000000000005</v>
      </c>
      <c r="D80" s="59">
        <v>46.93</v>
      </c>
      <c r="E80" s="59">
        <v>4.42</v>
      </c>
      <c r="F80" s="59">
        <v>0.8</v>
      </c>
      <c r="G80" s="59">
        <v>56.62</v>
      </c>
      <c r="H80" s="59">
        <v>24.27</v>
      </c>
      <c r="I80" s="59">
        <v>0.28000000000000003</v>
      </c>
      <c r="J80" s="59">
        <v>0.18</v>
      </c>
      <c r="K80" s="59">
        <v>49</v>
      </c>
      <c r="L80" s="59">
        <v>22.3</v>
      </c>
      <c r="M80" s="59">
        <v>37</v>
      </c>
      <c r="N80" s="59">
        <v>24.4</v>
      </c>
      <c r="O80" s="59">
        <v>0</v>
      </c>
      <c r="P80" s="59">
        <v>1.02</v>
      </c>
      <c r="Q80" s="59">
        <v>39.479999999999997</v>
      </c>
      <c r="R80" s="197"/>
      <c r="S80" s="197"/>
      <c r="T80" s="197"/>
      <c r="U80" s="197"/>
    </row>
    <row r="81" spans="1:26" s="12" customFormat="1" x14ac:dyDescent="0.25">
      <c r="A81" s="200" t="s">
        <v>1087</v>
      </c>
      <c r="B81" s="59">
        <v>10.67</v>
      </c>
      <c r="C81" s="59">
        <v>82.38</v>
      </c>
      <c r="D81" s="59">
        <v>54.02</v>
      </c>
      <c r="E81" s="59">
        <v>4.37</v>
      </c>
      <c r="F81" s="59">
        <v>0.64</v>
      </c>
      <c r="G81" s="59">
        <v>56.62</v>
      </c>
      <c r="H81" s="59">
        <v>24.27</v>
      </c>
      <c r="I81" s="59">
        <v>0.32</v>
      </c>
      <c r="J81" s="59">
        <v>0.14000000000000001</v>
      </c>
      <c r="K81" s="59">
        <v>32.69</v>
      </c>
      <c r="L81" s="59">
        <v>21.65</v>
      </c>
      <c r="M81" s="59">
        <v>45</v>
      </c>
      <c r="N81" s="59">
        <v>24.3</v>
      </c>
      <c r="O81" s="59">
        <v>0</v>
      </c>
      <c r="P81" s="59">
        <v>1.2</v>
      </c>
      <c r="Q81" s="59">
        <v>40.46</v>
      </c>
      <c r="R81" s="197"/>
      <c r="S81" s="197"/>
      <c r="T81" s="197"/>
      <c r="U81" s="197"/>
    </row>
    <row r="82" spans="1:26" s="12" customFormat="1" x14ac:dyDescent="0.25">
      <c r="A82" s="200" t="s">
        <v>1088</v>
      </c>
      <c r="B82" s="59">
        <v>15</v>
      </c>
      <c r="C82" s="59">
        <v>89.14</v>
      </c>
      <c r="D82" s="59">
        <v>61.22</v>
      </c>
      <c r="E82" s="59">
        <v>4.37</v>
      </c>
      <c r="F82" s="59">
        <v>0.71</v>
      </c>
      <c r="G82" s="59">
        <v>56.62</v>
      </c>
      <c r="H82" s="59">
        <v>24.27</v>
      </c>
      <c r="I82" s="59">
        <v>0.35</v>
      </c>
      <c r="J82" s="59">
        <v>0.18</v>
      </c>
      <c r="K82" s="59">
        <v>60.05</v>
      </c>
      <c r="L82" s="59">
        <v>21.54</v>
      </c>
      <c r="M82" s="59">
        <v>41</v>
      </c>
      <c r="N82" s="59">
        <v>24</v>
      </c>
      <c r="O82" s="59">
        <v>0</v>
      </c>
      <c r="P82" s="59">
        <v>1.36</v>
      </c>
      <c r="Q82" s="59">
        <v>41.18</v>
      </c>
      <c r="R82" s="197"/>
      <c r="S82" s="197"/>
      <c r="T82" s="197"/>
      <c r="U82" s="197"/>
    </row>
    <row r="83" spans="1:26" s="12" customFormat="1" x14ac:dyDescent="0.25">
      <c r="A83" s="200" t="s">
        <v>1089</v>
      </c>
      <c r="B83" s="59">
        <v>16.2</v>
      </c>
      <c r="C83" s="59">
        <v>92.99</v>
      </c>
      <c r="D83" s="59">
        <v>64.31</v>
      </c>
      <c r="E83" s="59">
        <v>4.08</v>
      </c>
      <c r="F83" s="59">
        <v>0.72</v>
      </c>
      <c r="G83" s="59">
        <v>53.17</v>
      </c>
      <c r="H83" s="59">
        <v>25.19</v>
      </c>
      <c r="I83" s="59">
        <v>0.38</v>
      </c>
      <c r="J83" s="59">
        <v>0.23</v>
      </c>
      <c r="K83" s="59">
        <v>60.51</v>
      </c>
      <c r="L83" s="59">
        <v>21.24</v>
      </c>
      <c r="M83" s="59">
        <v>42</v>
      </c>
      <c r="N83" s="59">
        <v>24.1</v>
      </c>
      <c r="O83" s="59">
        <v>0</v>
      </c>
      <c r="P83" s="59">
        <v>1.48</v>
      </c>
      <c r="Q83" s="59">
        <v>41.51</v>
      </c>
      <c r="R83" s="197"/>
      <c r="S83" s="197"/>
      <c r="T83" s="197"/>
      <c r="U83" s="197"/>
    </row>
    <row r="84" spans="1:26" s="12" customFormat="1" x14ac:dyDescent="0.25">
      <c r="A84" s="200" t="s">
        <v>1090</v>
      </c>
      <c r="B84" s="59">
        <v>16.989999999999998</v>
      </c>
      <c r="C84" s="59">
        <v>95.8</v>
      </c>
      <c r="D84" s="59">
        <v>66.489999999999995</v>
      </c>
      <c r="E84" s="59">
        <v>4.66</v>
      </c>
      <c r="F84" s="59">
        <v>0.76</v>
      </c>
      <c r="G84" s="59">
        <v>49.92</v>
      </c>
      <c r="H84" s="59">
        <v>26.71</v>
      </c>
      <c r="I84" s="59">
        <v>0.43</v>
      </c>
      <c r="J84" s="59">
        <v>0.09</v>
      </c>
      <c r="K84" s="59">
        <v>72.680000000000007</v>
      </c>
      <c r="L84" s="59">
        <v>20.74</v>
      </c>
      <c r="M84" s="59">
        <v>44</v>
      </c>
      <c r="N84" s="59">
        <v>24.5</v>
      </c>
      <c r="O84" s="59">
        <v>0</v>
      </c>
      <c r="P84" s="59">
        <v>1.58</v>
      </c>
      <c r="Q84" s="59">
        <v>41.73</v>
      </c>
      <c r="R84" s="197"/>
      <c r="S84" s="197"/>
      <c r="T84" s="197"/>
      <c r="U84" s="197"/>
    </row>
    <row r="85" spans="1:26" s="12" customFormat="1" x14ac:dyDescent="0.25">
      <c r="A85" s="200" t="s">
        <v>1091</v>
      </c>
      <c r="B85" s="59">
        <v>17.600000000000001</v>
      </c>
      <c r="C85" s="59">
        <v>97.56</v>
      </c>
      <c r="D85" s="59">
        <v>67.959999999999994</v>
      </c>
      <c r="E85" s="59">
        <v>4.3600000000000003</v>
      </c>
      <c r="F85" s="59">
        <v>0.64</v>
      </c>
      <c r="G85" s="59">
        <v>49.92</v>
      </c>
      <c r="H85" s="59">
        <v>26.71</v>
      </c>
      <c r="I85" s="59">
        <v>0.46</v>
      </c>
      <c r="J85" s="59">
        <v>0.11</v>
      </c>
      <c r="K85" s="59">
        <v>352.08</v>
      </c>
      <c r="L85" s="59">
        <v>20.14</v>
      </c>
      <c r="M85" s="59">
        <v>50</v>
      </c>
      <c r="N85" s="59">
        <v>24.6</v>
      </c>
      <c r="O85" s="59">
        <v>0</v>
      </c>
      <c r="P85" s="59">
        <v>1.52</v>
      </c>
      <c r="Q85" s="59">
        <v>41.76</v>
      </c>
      <c r="R85" s="197"/>
      <c r="S85" s="197"/>
      <c r="T85" s="197"/>
      <c r="U85" s="197"/>
    </row>
    <row r="86" spans="1:26" s="12" customFormat="1" x14ac:dyDescent="0.25">
      <c r="A86" s="200" t="s">
        <v>1092</v>
      </c>
      <c r="B86" s="59">
        <v>24.72</v>
      </c>
      <c r="C86" s="59">
        <v>101.99</v>
      </c>
      <c r="D86" s="59">
        <v>76.11</v>
      </c>
      <c r="E86" s="59">
        <v>4.22</v>
      </c>
      <c r="F86" s="59">
        <v>0.75</v>
      </c>
      <c r="G86" s="59">
        <v>49.92</v>
      </c>
      <c r="H86" s="59">
        <v>26.71</v>
      </c>
      <c r="I86" s="59">
        <v>0.5</v>
      </c>
      <c r="J86" s="59">
        <v>0.06</v>
      </c>
      <c r="K86" s="59">
        <v>292.11</v>
      </c>
      <c r="L86" s="59">
        <v>19.43</v>
      </c>
      <c r="M86" s="59">
        <v>56</v>
      </c>
      <c r="N86" s="59">
        <v>24.4</v>
      </c>
      <c r="O86" s="59">
        <v>0</v>
      </c>
      <c r="P86" s="59">
        <v>1.79</v>
      </c>
      <c r="Q86" s="59">
        <v>41.69</v>
      </c>
      <c r="R86" s="197"/>
      <c r="S86" s="197"/>
      <c r="T86" s="197"/>
      <c r="U86" s="197"/>
    </row>
    <row r="87" spans="1:26" s="12" customFormat="1" x14ac:dyDescent="0.25">
      <c r="A87" s="200" t="s">
        <v>1093</v>
      </c>
      <c r="B87" s="59">
        <v>32.43</v>
      </c>
      <c r="C87" s="59">
        <v>104.79</v>
      </c>
      <c r="D87" s="59">
        <v>83.84</v>
      </c>
      <c r="E87" s="59">
        <v>4.17</v>
      </c>
      <c r="F87" s="59">
        <v>0.46</v>
      </c>
      <c r="G87" s="59">
        <v>130.97</v>
      </c>
      <c r="H87" s="59">
        <v>30.27</v>
      </c>
      <c r="I87" s="59">
        <v>0.55000000000000004</v>
      </c>
      <c r="J87" s="59">
        <v>0.05</v>
      </c>
      <c r="K87" s="59">
        <v>300.82</v>
      </c>
      <c r="L87" s="59">
        <v>18.88</v>
      </c>
      <c r="M87" s="59">
        <v>57</v>
      </c>
      <c r="N87" s="59">
        <v>24.4</v>
      </c>
      <c r="O87" s="59">
        <v>0</v>
      </c>
      <c r="P87" s="59">
        <v>1.97</v>
      </c>
      <c r="Q87" s="59">
        <v>42.15</v>
      </c>
      <c r="R87" s="197"/>
      <c r="S87" s="197"/>
      <c r="T87" s="197"/>
      <c r="U87" s="197"/>
    </row>
    <row r="88" spans="1:26" s="12" customFormat="1" x14ac:dyDescent="0.25">
      <c r="A88" s="200" t="s">
        <v>1094</v>
      </c>
      <c r="B88" s="59">
        <v>39.729999999999997</v>
      </c>
      <c r="C88" s="59">
        <v>109.54</v>
      </c>
      <c r="D88" s="59">
        <v>92.31</v>
      </c>
      <c r="E88" s="59">
        <v>2.67</v>
      </c>
      <c r="F88" s="59">
        <v>0.68</v>
      </c>
      <c r="G88" s="59">
        <v>207.25</v>
      </c>
      <c r="H88" s="59">
        <v>35.880000000000003</v>
      </c>
      <c r="I88" s="59">
        <v>0.61</v>
      </c>
      <c r="J88" s="59">
        <v>0.03</v>
      </c>
      <c r="K88" s="59">
        <v>260.74</v>
      </c>
      <c r="L88" s="59">
        <v>18.920000000000002</v>
      </c>
      <c r="M88" s="59">
        <v>57</v>
      </c>
      <c r="N88" s="59">
        <v>23.9</v>
      </c>
      <c r="O88" s="59">
        <v>0</v>
      </c>
      <c r="P88" s="59">
        <v>2.17</v>
      </c>
      <c r="Q88" s="59">
        <v>42.86</v>
      </c>
      <c r="R88" s="197"/>
      <c r="S88" s="197"/>
      <c r="T88" s="197"/>
      <c r="U88" s="197"/>
    </row>
    <row r="89" spans="1:26" s="12" customFormat="1" x14ac:dyDescent="0.25">
      <c r="A89" s="200" t="s">
        <v>1095</v>
      </c>
      <c r="B89" s="59">
        <v>49.05</v>
      </c>
      <c r="C89" s="59">
        <v>112.02</v>
      </c>
      <c r="D89" s="59">
        <v>101.16</v>
      </c>
      <c r="E89" s="59">
        <v>4.47</v>
      </c>
      <c r="F89" s="59">
        <v>0.72</v>
      </c>
      <c r="G89" s="59">
        <v>207.25</v>
      </c>
      <c r="H89" s="59">
        <v>35.880000000000003</v>
      </c>
      <c r="I89" s="59">
        <v>0.69</v>
      </c>
      <c r="J89" s="59">
        <v>0.33</v>
      </c>
      <c r="K89" s="59">
        <v>6.2</v>
      </c>
      <c r="L89" s="59">
        <v>19.46</v>
      </c>
      <c r="M89" s="59">
        <v>58</v>
      </c>
      <c r="N89" s="59">
        <v>24</v>
      </c>
      <c r="O89" s="59">
        <v>0</v>
      </c>
      <c r="P89" s="59">
        <v>2.35</v>
      </c>
      <c r="Q89" s="59">
        <v>43.73</v>
      </c>
      <c r="R89" s="197"/>
      <c r="S89" s="197"/>
      <c r="T89" s="197"/>
      <c r="U89" s="197"/>
    </row>
    <row r="90" spans="1:26" s="12" customFormat="1" x14ac:dyDescent="0.25">
      <c r="A90" s="200" t="s">
        <v>1096</v>
      </c>
      <c r="B90" s="59">
        <v>54.7</v>
      </c>
      <c r="C90" s="59">
        <v>115.43</v>
      </c>
      <c r="D90" s="59">
        <v>107.57</v>
      </c>
      <c r="E90" s="59">
        <v>5.04</v>
      </c>
      <c r="F90" s="59">
        <v>0.72</v>
      </c>
      <c r="G90" s="59">
        <v>207.25</v>
      </c>
      <c r="H90" s="59">
        <v>35.880000000000003</v>
      </c>
      <c r="I90" s="59">
        <v>0.78</v>
      </c>
      <c r="J90" s="59">
        <v>0.17</v>
      </c>
      <c r="K90" s="59">
        <v>8.52</v>
      </c>
      <c r="L90" s="59">
        <v>19.309999999999999</v>
      </c>
      <c r="M90" s="59">
        <v>56</v>
      </c>
      <c r="N90" s="59">
        <v>24.2</v>
      </c>
      <c r="O90" s="59">
        <v>0</v>
      </c>
      <c r="P90" s="59">
        <v>2.59</v>
      </c>
      <c r="Q90" s="59">
        <v>44.64</v>
      </c>
      <c r="R90" s="197"/>
      <c r="S90" s="197"/>
      <c r="T90" s="197"/>
      <c r="U90" s="197"/>
    </row>
    <row r="91" spans="1:26" s="12" customFormat="1" x14ac:dyDescent="0.25">
      <c r="A91" s="200" t="s">
        <v>1097</v>
      </c>
      <c r="B91" s="59">
        <v>59.24</v>
      </c>
      <c r="C91" s="59">
        <v>116.02</v>
      </c>
      <c r="D91" s="59">
        <v>111.54</v>
      </c>
      <c r="E91" s="59">
        <v>5.48</v>
      </c>
      <c r="F91" s="59">
        <v>0.73</v>
      </c>
      <c r="G91" s="59">
        <v>199.98</v>
      </c>
      <c r="H91" s="59">
        <v>39.58</v>
      </c>
      <c r="I91" s="59">
        <v>0.87</v>
      </c>
      <c r="J91" s="59">
        <v>0.12</v>
      </c>
      <c r="K91" s="59">
        <v>7.18</v>
      </c>
      <c r="L91" s="59">
        <v>19.559999999999999</v>
      </c>
      <c r="M91" s="59">
        <v>54</v>
      </c>
      <c r="N91" s="59">
        <v>24.5</v>
      </c>
      <c r="O91" s="59">
        <v>0</v>
      </c>
      <c r="P91" s="59">
        <v>2.77</v>
      </c>
      <c r="Q91" s="59">
        <v>45.33</v>
      </c>
      <c r="R91" s="197"/>
      <c r="S91" s="197"/>
      <c r="T91" s="197"/>
      <c r="U91" s="197"/>
    </row>
    <row r="92" spans="1:26" s="12" customFormat="1" x14ac:dyDescent="0.25">
      <c r="A92" s="200" t="s">
        <v>1098</v>
      </c>
      <c r="B92" s="59">
        <v>61.29</v>
      </c>
      <c r="C92" s="59">
        <v>116.27</v>
      </c>
      <c r="D92" s="59">
        <v>113.32</v>
      </c>
      <c r="E92" s="59">
        <v>5.14</v>
      </c>
      <c r="F92" s="59">
        <v>0.7</v>
      </c>
      <c r="G92" s="59">
        <v>176.74</v>
      </c>
      <c r="H92" s="59">
        <v>45.41</v>
      </c>
      <c r="I92" s="59">
        <v>0.95</v>
      </c>
      <c r="J92" s="59">
        <v>0.22</v>
      </c>
      <c r="K92" s="59">
        <v>107.06</v>
      </c>
      <c r="L92" s="59">
        <v>19.97</v>
      </c>
      <c r="M92" s="59">
        <v>50</v>
      </c>
      <c r="N92" s="59">
        <v>24.1</v>
      </c>
      <c r="O92" s="59">
        <v>0</v>
      </c>
      <c r="P92" s="59">
        <v>2.88</v>
      </c>
      <c r="Q92" s="59">
        <v>45.82</v>
      </c>
      <c r="R92" s="197"/>
      <c r="S92" s="197"/>
      <c r="T92" s="197"/>
      <c r="U92" s="197"/>
    </row>
    <row r="93" spans="1:26" s="12" customFormat="1" x14ac:dyDescent="0.25">
      <c r="A93" s="200" t="s">
        <v>1099</v>
      </c>
      <c r="B93" s="59">
        <v>60.93</v>
      </c>
      <c r="C93" s="59">
        <v>116.52</v>
      </c>
      <c r="D93" s="59">
        <v>113.16</v>
      </c>
      <c r="E93" s="59">
        <v>5.28</v>
      </c>
      <c r="F93" s="59">
        <v>0.68</v>
      </c>
      <c r="G93" s="59">
        <v>176.74</v>
      </c>
      <c r="H93" s="59">
        <v>45.41</v>
      </c>
      <c r="I93" s="59">
        <v>1.01</v>
      </c>
      <c r="J93" s="59">
        <v>0.19</v>
      </c>
      <c r="K93" s="59">
        <v>65.39</v>
      </c>
      <c r="L93" s="59">
        <v>20.149999999999999</v>
      </c>
      <c r="M93" s="59">
        <v>49</v>
      </c>
      <c r="N93" s="59">
        <v>24.5</v>
      </c>
      <c r="O93" s="59">
        <v>0</v>
      </c>
      <c r="P93" s="59">
        <v>2.88</v>
      </c>
      <c r="Q93" s="59">
        <v>46.83</v>
      </c>
      <c r="R93" s="197"/>
      <c r="S93" s="197"/>
      <c r="T93" s="197"/>
      <c r="U93" s="197"/>
    </row>
    <row r="94" spans="1:26" s="12" customFormat="1" x14ac:dyDescent="0.25">
      <c r="A94" s="200" t="s">
        <v>1100</v>
      </c>
      <c r="B94" s="59">
        <v>57.67</v>
      </c>
      <c r="C94" s="59">
        <v>115.55</v>
      </c>
      <c r="D94" s="59">
        <v>110.02</v>
      </c>
      <c r="E94" s="59">
        <v>5.12</v>
      </c>
      <c r="F94" s="59">
        <v>0.6</v>
      </c>
      <c r="G94" s="59">
        <v>176.74</v>
      </c>
      <c r="H94" s="59">
        <v>45.41</v>
      </c>
      <c r="I94" s="59">
        <v>1.06</v>
      </c>
      <c r="J94" s="59">
        <v>0.16</v>
      </c>
      <c r="K94" s="59">
        <v>58.54</v>
      </c>
      <c r="L94" s="59">
        <v>19.940000000000001</v>
      </c>
      <c r="M94" s="59">
        <v>50</v>
      </c>
      <c r="N94" s="59">
        <v>24.5</v>
      </c>
      <c r="O94" s="59">
        <v>0</v>
      </c>
      <c r="P94" s="59">
        <v>2.87</v>
      </c>
      <c r="Q94" s="59">
        <v>47.45</v>
      </c>
      <c r="R94" s="197"/>
      <c r="S94" s="197"/>
      <c r="T94" s="197"/>
      <c r="U94" s="197"/>
    </row>
    <row r="95" spans="1:26" s="12" customFormat="1" x14ac:dyDescent="0.25">
      <c r="A95" s="200" t="s">
        <v>1101</v>
      </c>
      <c r="B95" s="59">
        <v>54.46</v>
      </c>
      <c r="C95" s="59">
        <v>115.29</v>
      </c>
      <c r="D95" s="59">
        <v>107.3</v>
      </c>
      <c r="E95" s="59">
        <v>5.34</v>
      </c>
      <c r="F95" s="59">
        <v>0.73</v>
      </c>
      <c r="G95" s="59">
        <v>150.31</v>
      </c>
      <c r="H95" s="59">
        <v>44.16</v>
      </c>
      <c r="I95" s="59">
        <v>1.06</v>
      </c>
      <c r="J95" s="59">
        <v>0.1</v>
      </c>
      <c r="K95" s="59">
        <v>68.14</v>
      </c>
      <c r="L95" s="59">
        <v>19.62</v>
      </c>
      <c r="M95" s="59">
        <v>52</v>
      </c>
      <c r="N95" s="59">
        <v>24.6</v>
      </c>
      <c r="O95" s="59">
        <v>0</v>
      </c>
      <c r="P95" s="59">
        <v>2.89</v>
      </c>
      <c r="Q95" s="59">
        <v>47.04</v>
      </c>
      <c r="R95" s="197"/>
      <c r="S95" s="197"/>
      <c r="T95" s="197"/>
      <c r="U95" s="197"/>
    </row>
    <row r="96" spans="1:26" s="12" customFormat="1" x14ac:dyDescent="0.25">
      <c r="A96" s="200" t="s">
        <v>1102</v>
      </c>
      <c r="B96" s="59">
        <v>52.57</v>
      </c>
      <c r="C96" s="59">
        <v>115.56</v>
      </c>
      <c r="D96" s="59">
        <v>105.93</v>
      </c>
      <c r="E96" s="59">
        <v>5.18</v>
      </c>
      <c r="F96" s="59">
        <v>0.56000000000000005</v>
      </c>
      <c r="G96" s="59">
        <v>125.44</v>
      </c>
      <c r="H96" s="59">
        <v>42.11</v>
      </c>
      <c r="I96" s="59">
        <v>1.05</v>
      </c>
      <c r="J96" s="59">
        <v>0.15</v>
      </c>
      <c r="K96" s="59">
        <v>90.71</v>
      </c>
      <c r="L96" s="59">
        <v>19.63</v>
      </c>
      <c r="M96" s="59">
        <v>51</v>
      </c>
      <c r="N96" s="59">
        <v>24.4</v>
      </c>
      <c r="O96" s="59">
        <v>0</v>
      </c>
      <c r="P96" s="59">
        <v>2.91</v>
      </c>
      <c r="Q96" s="59">
        <v>46.66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1103</v>
      </c>
      <c r="B97" s="59">
        <v>49.47</v>
      </c>
      <c r="C97" s="59">
        <v>114.75</v>
      </c>
      <c r="D97" s="59">
        <v>102.99</v>
      </c>
      <c r="E97" s="59">
        <v>5.44</v>
      </c>
      <c r="F97" s="59">
        <v>0.7</v>
      </c>
      <c r="G97" s="59">
        <v>125.44</v>
      </c>
      <c r="H97" s="59">
        <v>42.11</v>
      </c>
      <c r="I97" s="59">
        <v>1.05</v>
      </c>
      <c r="J97" s="59">
        <v>0.14000000000000001</v>
      </c>
      <c r="K97" s="59">
        <v>0.15</v>
      </c>
      <c r="L97" s="59">
        <v>19.440000000000001</v>
      </c>
      <c r="M97" s="59">
        <v>55</v>
      </c>
      <c r="N97" s="59">
        <v>24.7</v>
      </c>
      <c r="O97" s="59">
        <v>0</v>
      </c>
      <c r="P97" s="59">
        <v>2.89</v>
      </c>
      <c r="Q97" s="59">
        <v>46.26</v>
      </c>
      <c r="R97" s="197"/>
      <c r="S97" s="197"/>
      <c r="T97" s="197"/>
      <c r="U97" s="197"/>
    </row>
    <row r="98" spans="1:33" s="12" customFormat="1" x14ac:dyDescent="0.25">
      <c r="A98" s="200" t="s">
        <v>1104</v>
      </c>
      <c r="B98" s="59">
        <v>47.71</v>
      </c>
      <c r="C98" s="59">
        <v>114.03</v>
      </c>
      <c r="D98" s="59">
        <v>101.19</v>
      </c>
      <c r="E98" s="59">
        <v>5.22</v>
      </c>
      <c r="F98" s="59">
        <v>0.64</v>
      </c>
      <c r="G98" s="59">
        <v>125.44</v>
      </c>
      <c r="H98" s="59">
        <v>42.11</v>
      </c>
      <c r="I98" s="59">
        <v>1.05</v>
      </c>
      <c r="J98" s="59">
        <v>0.24</v>
      </c>
      <c r="K98" s="59">
        <v>131.47</v>
      </c>
      <c r="L98" s="59">
        <v>19.329999999999998</v>
      </c>
      <c r="M98" s="59">
        <v>53</v>
      </c>
      <c r="N98" s="59">
        <v>24.1</v>
      </c>
      <c r="O98" s="59">
        <v>0</v>
      </c>
      <c r="P98" s="59">
        <v>2.92</v>
      </c>
      <c r="Q98" s="59">
        <v>45.95</v>
      </c>
      <c r="R98" s="197"/>
      <c r="S98" s="197"/>
      <c r="T98" s="197"/>
      <c r="U98" s="197"/>
    </row>
    <row r="99" spans="1:33" s="12" customFormat="1" x14ac:dyDescent="0.25">
      <c r="A99" s="200" t="s">
        <v>1105</v>
      </c>
      <c r="B99" s="59">
        <v>45.07</v>
      </c>
      <c r="C99" s="59">
        <v>112.67</v>
      </c>
      <c r="D99" s="59">
        <v>98.32</v>
      </c>
      <c r="E99" s="59">
        <v>5.05</v>
      </c>
      <c r="F99" s="59">
        <v>0.57999999999999996</v>
      </c>
      <c r="G99" s="59">
        <v>117.38</v>
      </c>
      <c r="H99" s="59">
        <v>42.55</v>
      </c>
      <c r="I99" s="59">
        <v>1.03</v>
      </c>
      <c r="J99" s="59">
        <v>0.18</v>
      </c>
      <c r="K99" s="59">
        <v>31.27</v>
      </c>
      <c r="L99" s="59">
        <v>19.600000000000001</v>
      </c>
      <c r="M99" s="59">
        <v>53</v>
      </c>
      <c r="N99" s="59">
        <v>24.5</v>
      </c>
      <c r="O99" s="59">
        <v>0</v>
      </c>
      <c r="P99" s="59">
        <v>2.87</v>
      </c>
      <c r="Q99" s="59">
        <v>45.49</v>
      </c>
      <c r="R99" s="197"/>
      <c r="S99" s="197"/>
      <c r="T99" s="197"/>
      <c r="U99" s="197"/>
    </row>
    <row r="100" spans="1:33" s="12" customFormat="1" x14ac:dyDescent="0.25">
      <c r="A100" s="200" t="s">
        <v>1106</v>
      </c>
      <c r="B100" s="59">
        <v>44.03</v>
      </c>
      <c r="C100" s="59">
        <v>111.99</v>
      </c>
      <c r="D100" s="59">
        <v>97.11</v>
      </c>
      <c r="E100" s="59">
        <v>4.83</v>
      </c>
      <c r="F100" s="59">
        <v>0.57999999999999996</v>
      </c>
      <c r="G100" s="59">
        <v>109.79</v>
      </c>
      <c r="H100" s="59">
        <v>43.24</v>
      </c>
      <c r="I100" s="59">
        <v>1.02</v>
      </c>
      <c r="J100" s="59">
        <v>0.08</v>
      </c>
      <c r="K100" s="59">
        <v>51.28</v>
      </c>
      <c r="L100" s="59">
        <v>19.43</v>
      </c>
      <c r="M100" s="59">
        <v>53</v>
      </c>
      <c r="N100" s="59">
        <v>24.6</v>
      </c>
      <c r="O100" s="59">
        <v>0</v>
      </c>
      <c r="P100" s="59">
        <v>2.87</v>
      </c>
      <c r="Q100" s="59">
        <v>44.71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1107</v>
      </c>
      <c r="B101" s="59">
        <v>42.71</v>
      </c>
      <c r="C101" s="59">
        <v>110.86</v>
      </c>
      <c r="D101" s="59">
        <v>95.43</v>
      </c>
      <c r="E101" s="59">
        <v>5.07</v>
      </c>
      <c r="F101" s="59">
        <v>0.69</v>
      </c>
      <c r="G101" s="59">
        <v>109.79</v>
      </c>
      <c r="H101" s="59">
        <v>43.24</v>
      </c>
      <c r="I101" s="59">
        <v>1.01</v>
      </c>
      <c r="J101" s="59">
        <v>0.12</v>
      </c>
      <c r="K101" s="59">
        <v>8.34</v>
      </c>
      <c r="L101" s="59">
        <v>19.27</v>
      </c>
      <c r="M101" s="59">
        <v>55</v>
      </c>
      <c r="N101" s="59">
        <v>24.7</v>
      </c>
      <c r="O101" s="59">
        <v>0</v>
      </c>
      <c r="P101" s="59">
        <v>2.84</v>
      </c>
      <c r="Q101" s="59">
        <v>44.44</v>
      </c>
      <c r="R101" s="197"/>
      <c r="S101" s="197"/>
      <c r="T101" s="197"/>
      <c r="U101" s="197"/>
    </row>
    <row r="102" spans="1:33" s="12" customFormat="1" x14ac:dyDescent="0.25">
      <c r="A102" s="200" t="s">
        <v>1108</v>
      </c>
      <c r="B102" s="59">
        <v>45.58</v>
      </c>
      <c r="C102" s="59">
        <v>110.34</v>
      </c>
      <c r="D102" s="59">
        <v>97.45</v>
      </c>
      <c r="E102" s="59">
        <v>5.0999999999999996</v>
      </c>
      <c r="F102" s="59">
        <v>0.54</v>
      </c>
      <c r="G102" s="59">
        <v>109.79</v>
      </c>
      <c r="H102" s="59">
        <v>43.24</v>
      </c>
      <c r="I102" s="59">
        <v>1</v>
      </c>
      <c r="J102" s="59">
        <v>0.17</v>
      </c>
      <c r="K102" s="59">
        <v>31.72</v>
      </c>
      <c r="L102" s="59">
        <v>19.14</v>
      </c>
      <c r="M102" s="59">
        <v>55</v>
      </c>
      <c r="N102" s="59">
        <v>24.4</v>
      </c>
      <c r="O102" s="59">
        <v>0</v>
      </c>
      <c r="P102" s="59">
        <v>2.85</v>
      </c>
      <c r="Q102" s="59">
        <v>44.66</v>
      </c>
      <c r="R102" s="197"/>
      <c r="S102" s="197"/>
      <c r="T102" s="197"/>
      <c r="U102" s="197"/>
    </row>
    <row r="103" spans="1:33" s="12" customFormat="1" x14ac:dyDescent="0.25">
      <c r="A103" s="200" t="s">
        <v>1109</v>
      </c>
      <c r="B103" s="59">
        <v>45.75</v>
      </c>
      <c r="C103" s="59">
        <v>110.12</v>
      </c>
      <c r="D103" s="59">
        <v>97.47</v>
      </c>
      <c r="E103" s="59">
        <v>5.75</v>
      </c>
      <c r="F103" s="59">
        <v>0.61</v>
      </c>
      <c r="G103" s="59">
        <v>114.02</v>
      </c>
      <c r="H103" s="59">
        <v>42.54</v>
      </c>
      <c r="I103" s="59">
        <v>0.99</v>
      </c>
      <c r="J103" s="59">
        <v>0.14000000000000001</v>
      </c>
      <c r="K103" s="59">
        <v>46.01</v>
      </c>
      <c r="L103" s="59">
        <v>19.3</v>
      </c>
      <c r="M103" s="59">
        <v>53</v>
      </c>
      <c r="N103" s="59">
        <v>24.6</v>
      </c>
      <c r="O103" s="59">
        <v>0</v>
      </c>
      <c r="P103" s="59">
        <v>2.81</v>
      </c>
      <c r="Q103" s="59">
        <v>45.04</v>
      </c>
      <c r="R103" s="197"/>
      <c r="S103" s="197"/>
      <c r="T103" s="197"/>
      <c r="U103" s="197"/>
    </row>
    <row r="104" spans="1:33" s="12" customFormat="1" x14ac:dyDescent="0.25">
      <c r="A104" s="200" t="s">
        <v>1110</v>
      </c>
      <c r="B104" s="59">
        <v>44.15</v>
      </c>
      <c r="C104" s="59">
        <v>108.14</v>
      </c>
      <c r="D104" s="59">
        <v>95.09</v>
      </c>
      <c r="E104" s="59">
        <v>2.4900000000000002</v>
      </c>
      <c r="F104" s="59">
        <v>0.5</v>
      </c>
      <c r="G104" s="59">
        <v>118</v>
      </c>
      <c r="H104" s="59">
        <v>41.45</v>
      </c>
      <c r="I104" s="59">
        <v>1</v>
      </c>
      <c r="J104" s="59">
        <v>0.17</v>
      </c>
      <c r="K104" s="59">
        <v>43.64</v>
      </c>
      <c r="L104" s="59">
        <v>19.239999999999998</v>
      </c>
      <c r="M104" s="59">
        <v>54</v>
      </c>
      <c r="N104" s="59">
        <v>24.6</v>
      </c>
      <c r="O104" s="59">
        <v>0</v>
      </c>
      <c r="P104" s="59">
        <v>2.76</v>
      </c>
      <c r="Q104" s="59">
        <v>45.17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1.95</v>
      </c>
      <c r="C106" s="66">
        <f>MIN(C9:C104)</f>
        <v>44.89</v>
      </c>
      <c r="D106" s="66">
        <f t="shared" ref="D106:Q106" si="0">MIN(D9:D104)</f>
        <v>33.630000000000003</v>
      </c>
      <c r="E106" s="66">
        <f t="shared" si="0"/>
        <v>2.4900000000000002</v>
      </c>
      <c r="F106" s="66">
        <f t="shared" si="0"/>
        <v>0.37</v>
      </c>
      <c r="G106" s="66">
        <f t="shared" si="0"/>
        <v>31.47</v>
      </c>
      <c r="H106" s="66">
        <f t="shared" si="0"/>
        <v>24.27</v>
      </c>
      <c r="I106" s="66">
        <f t="shared" si="0"/>
        <v>0.18</v>
      </c>
      <c r="J106" s="66">
        <f t="shared" si="0"/>
        <v>0.03</v>
      </c>
      <c r="K106" s="66">
        <f t="shared" si="0"/>
        <v>0.15</v>
      </c>
      <c r="L106" s="66">
        <f t="shared" si="0"/>
        <v>14.24</v>
      </c>
      <c r="M106" s="66">
        <f t="shared" si="0"/>
        <v>31</v>
      </c>
      <c r="N106" s="66">
        <f t="shared" si="0"/>
        <v>23.2</v>
      </c>
      <c r="O106" s="66">
        <f t="shared" si="0"/>
        <v>0</v>
      </c>
      <c r="P106" s="66">
        <f t="shared" si="0"/>
        <v>0.72</v>
      </c>
      <c r="Q106" s="66">
        <f t="shared" si="0"/>
        <v>29.78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160.22999999999999</v>
      </c>
      <c r="C107" s="65">
        <f t="shared" ref="C107:Q107" si="1">MAX(C9:C104)</f>
        <v>116.52</v>
      </c>
      <c r="D107" s="65">
        <f t="shared" si="1"/>
        <v>148.75</v>
      </c>
      <c r="E107" s="65">
        <f t="shared" si="1"/>
        <v>16.649999999999999</v>
      </c>
      <c r="F107" s="65">
        <f t="shared" si="1"/>
        <v>9.66</v>
      </c>
      <c r="G107" s="65">
        <f t="shared" si="1"/>
        <v>207.25</v>
      </c>
      <c r="H107" s="65">
        <f t="shared" si="1"/>
        <v>45.41</v>
      </c>
      <c r="I107" s="65">
        <f t="shared" si="1"/>
        <v>1.1000000000000001</v>
      </c>
      <c r="J107" s="65">
        <f t="shared" si="1"/>
        <v>1.63</v>
      </c>
      <c r="K107" s="65">
        <f t="shared" si="1"/>
        <v>352.08</v>
      </c>
      <c r="L107" s="65">
        <f t="shared" si="1"/>
        <v>27.06</v>
      </c>
      <c r="M107" s="65">
        <f t="shared" si="1"/>
        <v>67</v>
      </c>
      <c r="N107" s="65">
        <f t="shared" si="1"/>
        <v>482.3</v>
      </c>
      <c r="O107" s="65">
        <f t="shared" si="1"/>
        <v>0</v>
      </c>
      <c r="P107" s="65">
        <f t="shared" si="1"/>
        <v>2.92</v>
      </c>
      <c r="Q107" s="65">
        <f t="shared" si="1"/>
        <v>47.45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24.577812500000007</v>
      </c>
      <c r="C108" s="66">
        <f t="shared" ref="C108:Q108" si="2">AVERAGE(C9:C104)</f>
        <v>73.444468085106408</v>
      </c>
      <c r="D108" s="66">
        <f t="shared" si="2"/>
        <v>59.992499999999986</v>
      </c>
      <c r="E108" s="66">
        <f t="shared" si="2"/>
        <v>6.4182291666666691</v>
      </c>
      <c r="F108" s="66">
        <f t="shared" si="2"/>
        <v>2.0576041666666671</v>
      </c>
      <c r="G108" s="66">
        <f t="shared" si="2"/>
        <v>87.527272727272702</v>
      </c>
      <c r="H108" s="66">
        <f t="shared" si="2"/>
        <v>31.781770833333329</v>
      </c>
      <c r="I108" s="66">
        <f t="shared" si="2"/>
        <v>0.51770833333333333</v>
      </c>
      <c r="J108" s="66">
        <f t="shared" si="2"/>
        <v>0.58833333333333349</v>
      </c>
      <c r="K108" s="66">
        <f t="shared" si="2"/>
        <v>73.338020833333346</v>
      </c>
      <c r="L108" s="66">
        <f t="shared" si="2"/>
        <v>20.28958333333334</v>
      </c>
      <c r="M108" s="66">
        <f t="shared" si="2"/>
        <v>47.854166666666664</v>
      </c>
      <c r="N108" s="66">
        <f t="shared" si="2"/>
        <v>132.07604166666667</v>
      </c>
      <c r="O108" s="66">
        <f t="shared" si="2"/>
        <v>0</v>
      </c>
      <c r="P108" s="66">
        <f t="shared" si="2"/>
        <v>1.4548958333333335</v>
      </c>
      <c r="Q108" s="66">
        <f t="shared" si="2"/>
        <v>39.158124999999998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25.771909399806635</v>
      </c>
      <c r="C109" s="66">
        <f t="shared" ref="C109:Q109" si="3">STDEV(C9:C104)</f>
        <v>21.442288064848785</v>
      </c>
      <c r="D109" s="66">
        <f t="shared" si="3"/>
        <v>27.117497128723308</v>
      </c>
      <c r="E109" s="66">
        <f t="shared" si="3"/>
        <v>2.5797515158968105</v>
      </c>
      <c r="F109" s="66">
        <f t="shared" si="3"/>
        <v>2.2997303021700821</v>
      </c>
      <c r="G109" s="66">
        <f t="shared" si="3"/>
        <v>45.561601493165405</v>
      </c>
      <c r="H109" s="66">
        <f t="shared" si="3"/>
        <v>6.2137350399683049</v>
      </c>
      <c r="I109" s="66">
        <f t="shared" si="3"/>
        <v>0.28574732735008962</v>
      </c>
      <c r="J109" s="66">
        <f t="shared" si="3"/>
        <v>0.43115674684605954</v>
      </c>
      <c r="K109" s="66">
        <f t="shared" si="3"/>
        <v>61.696155943032053</v>
      </c>
      <c r="L109" s="66">
        <f t="shared" si="3"/>
        <v>3.8413939127590404</v>
      </c>
      <c r="M109" s="66">
        <f t="shared" si="3"/>
        <v>11.130781564904332</v>
      </c>
      <c r="N109" s="66">
        <f t="shared" si="3"/>
        <v>157.83535375080058</v>
      </c>
      <c r="O109" s="66">
        <f t="shared" si="3"/>
        <v>0</v>
      </c>
      <c r="P109" s="66">
        <f t="shared" si="3"/>
        <v>0.74792343372787651</v>
      </c>
      <c r="Q109" s="66">
        <f t="shared" si="3"/>
        <v>4.8936668659337208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P110" si="4">COUNT(B9:B104)</f>
        <v>96</v>
      </c>
      <c r="C110" s="65">
        <f t="shared" si="4"/>
        <v>94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>COUNT(G9:G104)+15</f>
        <v>92</v>
      </c>
      <c r="H110" s="65">
        <f>COUNT(H9:H104)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>COUNT(Q9:Q104)</f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3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10-12-2022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1111</v>
      </c>
      <c r="B9" s="59">
        <v>41.06</v>
      </c>
      <c r="C9" s="59">
        <v>105.12</v>
      </c>
      <c r="D9" s="59">
        <v>90.94</v>
      </c>
      <c r="E9" s="59">
        <v>4.16</v>
      </c>
      <c r="F9" s="59">
        <v>0.55000000000000004</v>
      </c>
      <c r="G9" s="59">
        <v>118</v>
      </c>
      <c r="H9" s="59">
        <v>41.45</v>
      </c>
      <c r="I9" s="59">
        <v>1</v>
      </c>
      <c r="J9" s="59">
        <v>0.23</v>
      </c>
      <c r="K9" s="59">
        <v>4.13</v>
      </c>
      <c r="L9" s="59">
        <v>18.78</v>
      </c>
      <c r="M9" s="59">
        <v>60</v>
      </c>
      <c r="N9" s="59">
        <v>24.7</v>
      </c>
      <c r="O9" s="59">
        <v>0</v>
      </c>
      <c r="P9" s="59">
        <v>2.68</v>
      </c>
      <c r="Q9" s="59">
        <v>45.03</v>
      </c>
      <c r="R9" s="197"/>
      <c r="S9" s="197"/>
      <c r="T9" s="197"/>
      <c r="U9" s="197"/>
    </row>
    <row r="10" spans="1:21" s="12" customFormat="1" x14ac:dyDescent="0.25">
      <c r="A10" s="200" t="s">
        <v>1112</v>
      </c>
      <c r="B10" s="59">
        <v>37.869999999999997</v>
      </c>
      <c r="C10" s="59">
        <v>101.82</v>
      </c>
      <c r="D10" s="59">
        <v>86.56</v>
      </c>
      <c r="E10" s="59">
        <v>4.72</v>
      </c>
      <c r="F10" s="59">
        <v>0.75</v>
      </c>
      <c r="G10" s="59">
        <v>118</v>
      </c>
      <c r="H10" s="59">
        <v>41.45</v>
      </c>
      <c r="I10" s="59">
        <v>0.99</v>
      </c>
      <c r="J10" s="59">
        <v>0.24</v>
      </c>
      <c r="K10" s="59">
        <v>54.29</v>
      </c>
      <c r="L10" s="59">
        <v>19.02</v>
      </c>
      <c r="M10" s="59">
        <v>53</v>
      </c>
      <c r="N10" s="59">
        <v>24.1</v>
      </c>
      <c r="O10" s="59">
        <v>0</v>
      </c>
      <c r="P10" s="59">
        <v>2.61</v>
      </c>
      <c r="Q10" s="59">
        <v>45.01</v>
      </c>
      <c r="R10" s="197"/>
      <c r="S10" s="197"/>
      <c r="T10" s="197"/>
      <c r="U10" s="197"/>
    </row>
    <row r="11" spans="1:21" s="12" customFormat="1" x14ac:dyDescent="0.25">
      <c r="A11" s="200" t="s">
        <v>1113</v>
      </c>
      <c r="B11" s="59">
        <v>34.1</v>
      </c>
      <c r="C11" s="59">
        <v>98.73</v>
      </c>
      <c r="D11" s="59">
        <v>81.83</v>
      </c>
      <c r="E11" s="59">
        <v>4.3499999999999996</v>
      </c>
      <c r="F11" s="59">
        <v>0.75</v>
      </c>
      <c r="G11" s="59">
        <v>108.51</v>
      </c>
      <c r="H11" s="59">
        <v>40.98</v>
      </c>
      <c r="I11" s="59">
        <v>0.98</v>
      </c>
      <c r="J11" s="59">
        <v>0.22</v>
      </c>
      <c r="K11" s="59">
        <v>120.48</v>
      </c>
      <c r="L11" s="59">
        <v>19.100000000000001</v>
      </c>
      <c r="M11" s="59">
        <v>53</v>
      </c>
      <c r="N11" s="59">
        <v>24.3</v>
      </c>
      <c r="O11" s="59">
        <v>0</v>
      </c>
      <c r="P11" s="59">
        <v>2.5099999999999998</v>
      </c>
      <c r="Q11" s="59">
        <v>44.8</v>
      </c>
      <c r="R11" s="197"/>
      <c r="S11" s="197"/>
      <c r="T11" s="197"/>
      <c r="U11" s="197"/>
    </row>
    <row r="12" spans="1:21" s="12" customFormat="1" x14ac:dyDescent="0.25">
      <c r="A12" s="200" t="s">
        <v>1114</v>
      </c>
      <c r="B12" s="59">
        <v>30.35</v>
      </c>
      <c r="C12" s="59">
        <v>95.77</v>
      </c>
      <c r="D12" s="59">
        <v>77.19</v>
      </c>
      <c r="E12" s="59">
        <v>4.07</v>
      </c>
      <c r="F12" s="59">
        <v>0.8</v>
      </c>
      <c r="G12" s="59">
        <v>74.78</v>
      </c>
      <c r="H12" s="59">
        <v>40.25</v>
      </c>
      <c r="I12" s="59">
        <v>0.95</v>
      </c>
      <c r="J12" s="59">
        <v>0.18</v>
      </c>
      <c r="K12" s="59">
        <v>49.27</v>
      </c>
      <c r="L12" s="59">
        <v>19.079999999999998</v>
      </c>
      <c r="M12" s="59">
        <v>54</v>
      </c>
      <c r="N12" s="59">
        <v>24.6</v>
      </c>
      <c r="O12" s="59">
        <v>0</v>
      </c>
      <c r="P12" s="59">
        <v>2.39</v>
      </c>
      <c r="Q12" s="59">
        <v>45.03</v>
      </c>
      <c r="R12" s="197"/>
      <c r="S12" s="197"/>
      <c r="T12" s="197"/>
      <c r="U12" s="197"/>
    </row>
    <row r="13" spans="1:21" s="12" customFormat="1" x14ac:dyDescent="0.25">
      <c r="A13" s="200" t="s">
        <v>1115</v>
      </c>
      <c r="B13" s="59">
        <v>26.15</v>
      </c>
      <c r="C13" s="59">
        <v>93.72</v>
      </c>
      <c r="D13" s="59">
        <v>72.69</v>
      </c>
      <c r="E13" s="59">
        <v>4.26</v>
      </c>
      <c r="F13" s="59">
        <v>0.64</v>
      </c>
      <c r="G13" s="59">
        <v>74.78</v>
      </c>
      <c r="H13" s="59">
        <v>40.25</v>
      </c>
      <c r="I13" s="59">
        <v>0.92</v>
      </c>
      <c r="J13" s="59">
        <v>0.19</v>
      </c>
      <c r="K13" s="59">
        <v>44.2</v>
      </c>
      <c r="L13" s="59">
        <v>19.03</v>
      </c>
      <c r="M13" s="59">
        <v>53</v>
      </c>
      <c r="N13" s="59">
        <v>24.5</v>
      </c>
      <c r="O13" s="59">
        <v>0</v>
      </c>
      <c r="P13" s="59">
        <v>2.11</v>
      </c>
      <c r="Q13" s="59">
        <v>44.76</v>
      </c>
      <c r="R13" s="197"/>
      <c r="S13" s="197"/>
      <c r="T13" s="197"/>
      <c r="U13" s="197"/>
    </row>
    <row r="14" spans="1:21" s="12" customFormat="1" x14ac:dyDescent="0.25">
      <c r="A14" s="200" t="s">
        <v>1116</v>
      </c>
      <c r="B14" s="59">
        <v>21.92</v>
      </c>
      <c r="C14" s="59">
        <v>91.32</v>
      </c>
      <c r="D14" s="59">
        <v>67.97</v>
      </c>
      <c r="E14" s="59">
        <v>4.09</v>
      </c>
      <c r="F14" s="59">
        <v>0.76</v>
      </c>
      <c r="G14" s="59">
        <v>74.78</v>
      </c>
      <c r="H14" s="59">
        <v>40.25</v>
      </c>
      <c r="I14" s="59">
        <v>0.88</v>
      </c>
      <c r="J14" s="59">
        <v>0.11</v>
      </c>
      <c r="K14" s="59">
        <v>85.45</v>
      </c>
      <c r="L14" s="59">
        <v>19.09</v>
      </c>
      <c r="M14" s="59">
        <v>52</v>
      </c>
      <c r="N14" s="59">
        <v>24.6</v>
      </c>
      <c r="O14" s="59">
        <v>0</v>
      </c>
      <c r="P14" s="59">
        <v>2.12</v>
      </c>
      <c r="Q14" s="59">
        <v>44.3</v>
      </c>
      <c r="R14" s="197"/>
      <c r="S14" s="197"/>
      <c r="T14" s="197"/>
      <c r="U14" s="197"/>
    </row>
    <row r="15" spans="1:21" s="12" customFormat="1" x14ac:dyDescent="0.25">
      <c r="A15" s="200" t="s">
        <v>1117</v>
      </c>
      <c r="B15" s="59">
        <v>18.059999999999999</v>
      </c>
      <c r="C15" s="59">
        <v>89.04</v>
      </c>
      <c r="D15" s="59">
        <v>63.62</v>
      </c>
      <c r="E15" s="59">
        <v>3.98</v>
      </c>
      <c r="F15" s="59">
        <v>0.87</v>
      </c>
      <c r="G15" s="59">
        <v>65.11</v>
      </c>
      <c r="H15" s="59">
        <v>39.22</v>
      </c>
      <c r="I15" s="59">
        <v>0.82</v>
      </c>
      <c r="J15" s="59">
        <v>0.19</v>
      </c>
      <c r="K15" s="59">
        <v>63.17</v>
      </c>
      <c r="L15" s="59">
        <v>19.170000000000002</v>
      </c>
      <c r="M15" s="59">
        <v>53</v>
      </c>
      <c r="N15" s="59">
        <v>24.5</v>
      </c>
      <c r="O15" s="59">
        <v>0</v>
      </c>
      <c r="P15" s="59">
        <v>2.02</v>
      </c>
      <c r="Q15" s="59">
        <v>43.75</v>
      </c>
      <c r="R15" s="197"/>
      <c r="S15" s="197"/>
      <c r="T15" s="197"/>
      <c r="U15" s="197"/>
    </row>
    <row r="16" spans="1:21" s="12" customFormat="1" x14ac:dyDescent="0.25">
      <c r="A16" s="200" t="s">
        <v>1118</v>
      </c>
      <c r="B16" s="59">
        <v>14.87</v>
      </c>
      <c r="C16" s="59">
        <v>86.43</v>
      </c>
      <c r="D16" s="59">
        <v>59.63</v>
      </c>
      <c r="E16" s="59">
        <v>3.68</v>
      </c>
      <c r="F16" s="59">
        <v>1.1599999999999999</v>
      </c>
      <c r="G16" s="59">
        <v>55.45</v>
      </c>
      <c r="H16" s="59">
        <v>37.61</v>
      </c>
      <c r="I16" s="59">
        <v>0.77</v>
      </c>
      <c r="J16" s="59">
        <v>0.1</v>
      </c>
      <c r="K16" s="59">
        <v>25.47</v>
      </c>
      <c r="L16" s="59">
        <v>19.04</v>
      </c>
      <c r="M16" s="59">
        <v>53</v>
      </c>
      <c r="N16" s="59">
        <v>24.6</v>
      </c>
      <c r="O16" s="59">
        <v>0</v>
      </c>
      <c r="P16" s="59">
        <v>1.91</v>
      </c>
      <c r="Q16" s="59">
        <v>43.08</v>
      </c>
      <c r="R16" s="197"/>
      <c r="S16" s="197"/>
      <c r="T16" s="197"/>
      <c r="U16" s="197"/>
    </row>
    <row r="17" spans="1:21" s="12" customFormat="1" x14ac:dyDescent="0.25">
      <c r="A17" s="200" t="s">
        <v>1119</v>
      </c>
      <c r="B17" s="59">
        <v>12.15</v>
      </c>
      <c r="C17" s="59">
        <v>83.87</v>
      </c>
      <c r="D17" s="59">
        <v>56.03</v>
      </c>
      <c r="E17" s="59">
        <v>4.07</v>
      </c>
      <c r="F17" s="59">
        <v>1.1200000000000001</v>
      </c>
      <c r="G17" s="59">
        <v>55.45</v>
      </c>
      <c r="H17" s="59">
        <v>37.61</v>
      </c>
      <c r="I17" s="59">
        <v>0.73</v>
      </c>
      <c r="J17" s="59">
        <v>0.06</v>
      </c>
      <c r="K17" s="59">
        <v>3.88</v>
      </c>
      <c r="L17" s="59">
        <v>19</v>
      </c>
      <c r="M17" s="59">
        <v>54</v>
      </c>
      <c r="N17" s="59">
        <v>24.6</v>
      </c>
      <c r="O17" s="59">
        <v>0</v>
      </c>
      <c r="P17" s="59">
        <v>1.81</v>
      </c>
      <c r="Q17" s="59">
        <v>42.69</v>
      </c>
      <c r="R17" s="197"/>
      <c r="S17" s="197"/>
      <c r="T17" s="197"/>
      <c r="U17" s="197"/>
    </row>
    <row r="18" spans="1:21" s="12" customFormat="1" x14ac:dyDescent="0.25">
      <c r="A18" s="200" t="s">
        <v>1120</v>
      </c>
      <c r="B18" s="59">
        <v>10.36</v>
      </c>
      <c r="C18" s="59">
        <v>81.569999999999993</v>
      </c>
      <c r="D18" s="59">
        <v>53.32</v>
      </c>
      <c r="E18" s="59">
        <v>3.69</v>
      </c>
      <c r="F18" s="59">
        <v>0.93</v>
      </c>
      <c r="G18" s="59">
        <v>55.45</v>
      </c>
      <c r="H18" s="59">
        <v>37.61</v>
      </c>
      <c r="I18" s="59">
        <v>0.69</v>
      </c>
      <c r="J18" s="59">
        <v>0.11</v>
      </c>
      <c r="K18" s="59">
        <v>51.53</v>
      </c>
      <c r="L18" s="59">
        <v>18.64</v>
      </c>
      <c r="M18" s="59">
        <v>58</v>
      </c>
      <c r="N18" s="59">
        <v>24.9</v>
      </c>
      <c r="O18" s="59">
        <v>0</v>
      </c>
      <c r="P18" s="59">
        <v>1.73</v>
      </c>
      <c r="Q18" s="59">
        <v>42.13</v>
      </c>
      <c r="R18" s="197"/>
      <c r="S18" s="197"/>
      <c r="T18" s="197"/>
      <c r="U18" s="197"/>
    </row>
    <row r="19" spans="1:21" s="12" customFormat="1" x14ac:dyDescent="0.25">
      <c r="A19" s="200" t="s">
        <v>1121</v>
      </c>
      <c r="B19" s="59">
        <v>9.36</v>
      </c>
      <c r="C19" s="59">
        <v>79.59</v>
      </c>
      <c r="D19" s="59">
        <v>51.43</v>
      </c>
      <c r="E19" s="59">
        <v>3.87</v>
      </c>
      <c r="F19" s="59">
        <v>0.84</v>
      </c>
      <c r="G19" s="59">
        <v>58.8</v>
      </c>
      <c r="H19" s="59">
        <v>36.14</v>
      </c>
      <c r="I19" s="59">
        <v>0.65</v>
      </c>
      <c r="J19" s="59">
        <v>0.09</v>
      </c>
      <c r="K19" s="59">
        <v>12.88</v>
      </c>
      <c r="L19" s="59">
        <v>18.84</v>
      </c>
      <c r="M19" s="59">
        <v>54</v>
      </c>
      <c r="N19" s="59">
        <v>24.7</v>
      </c>
      <c r="O19" s="59">
        <v>0</v>
      </c>
      <c r="P19" s="59">
        <v>1.66</v>
      </c>
      <c r="Q19" s="59">
        <v>41.35</v>
      </c>
      <c r="R19" s="197"/>
      <c r="S19" s="197"/>
      <c r="T19" s="197"/>
      <c r="U19" s="197"/>
    </row>
    <row r="20" spans="1:21" s="12" customFormat="1" x14ac:dyDescent="0.25">
      <c r="A20" s="200" t="s">
        <v>1122</v>
      </c>
      <c r="B20" s="59">
        <v>8.4499999999999993</v>
      </c>
      <c r="C20" s="59">
        <v>77.36</v>
      </c>
      <c r="D20" s="59">
        <v>49.47</v>
      </c>
      <c r="E20" s="59">
        <v>3.72</v>
      </c>
      <c r="F20" s="59">
        <v>0.72</v>
      </c>
      <c r="G20" s="59">
        <v>62.15</v>
      </c>
      <c r="H20" s="59">
        <v>33.729999999999997</v>
      </c>
      <c r="I20" s="59">
        <v>0.63</v>
      </c>
      <c r="J20" s="59">
        <v>0.08</v>
      </c>
      <c r="K20" s="59">
        <v>294.3</v>
      </c>
      <c r="L20" s="59">
        <v>18.47</v>
      </c>
      <c r="M20" s="59">
        <v>56</v>
      </c>
      <c r="N20" s="59">
        <v>25</v>
      </c>
      <c r="O20" s="59">
        <v>0</v>
      </c>
      <c r="P20" s="59">
        <v>1.59</v>
      </c>
      <c r="Q20" s="59">
        <v>41.08</v>
      </c>
      <c r="R20" s="197"/>
      <c r="S20" s="197"/>
      <c r="T20" s="197"/>
      <c r="U20" s="197"/>
    </row>
    <row r="21" spans="1:21" s="12" customFormat="1" x14ac:dyDescent="0.25">
      <c r="A21" s="200" t="s">
        <v>1123</v>
      </c>
      <c r="B21" s="59">
        <v>7.6</v>
      </c>
      <c r="C21" s="59">
        <v>75.34</v>
      </c>
      <c r="D21" s="59">
        <v>47.67</v>
      </c>
      <c r="E21" s="59">
        <v>3.63</v>
      </c>
      <c r="F21" s="59">
        <v>0.91</v>
      </c>
      <c r="G21" s="59">
        <v>62.15</v>
      </c>
      <c r="H21" s="59">
        <v>33.729999999999997</v>
      </c>
      <c r="I21" s="59">
        <v>0.61</v>
      </c>
      <c r="J21" s="59">
        <v>0.12</v>
      </c>
      <c r="K21" s="59">
        <v>356.7</v>
      </c>
      <c r="L21" s="59">
        <v>18.14</v>
      </c>
      <c r="M21" s="59">
        <v>59</v>
      </c>
      <c r="N21" s="59">
        <v>24.9</v>
      </c>
      <c r="O21" s="59">
        <v>0</v>
      </c>
      <c r="P21" s="59">
        <v>1.53</v>
      </c>
      <c r="Q21" s="59">
        <v>41.15</v>
      </c>
      <c r="R21" s="197"/>
      <c r="S21" s="197"/>
      <c r="T21" s="197"/>
      <c r="U21" s="197"/>
    </row>
    <row r="22" spans="1:21" s="12" customFormat="1" x14ac:dyDescent="0.25">
      <c r="A22" s="200" t="s">
        <v>1124</v>
      </c>
      <c r="B22" s="59">
        <v>7.02</v>
      </c>
      <c r="C22" s="59">
        <v>73.44</v>
      </c>
      <c r="D22" s="59">
        <v>46.16</v>
      </c>
      <c r="E22" s="59">
        <v>3.89</v>
      </c>
      <c r="F22" s="59">
        <v>0.85</v>
      </c>
      <c r="G22" s="59">
        <v>62.15</v>
      </c>
      <c r="H22" s="59">
        <v>33.729999999999997</v>
      </c>
      <c r="I22" s="59">
        <v>0.59</v>
      </c>
      <c r="J22" s="59">
        <v>0.2</v>
      </c>
      <c r="K22" s="59">
        <v>13.11</v>
      </c>
      <c r="L22" s="59">
        <v>17.77</v>
      </c>
      <c r="M22" s="59">
        <v>60</v>
      </c>
      <c r="N22" s="59">
        <v>24.5</v>
      </c>
      <c r="O22" s="59">
        <v>0</v>
      </c>
      <c r="P22" s="59">
        <v>1.48</v>
      </c>
      <c r="Q22" s="59">
        <v>41.2</v>
      </c>
      <c r="R22" s="197"/>
      <c r="S22" s="197"/>
      <c r="T22" s="197"/>
      <c r="U22" s="197"/>
    </row>
    <row r="23" spans="1:21" s="12" customFormat="1" x14ac:dyDescent="0.25">
      <c r="A23" s="200" t="s">
        <v>1125</v>
      </c>
      <c r="B23" s="59">
        <v>6.5</v>
      </c>
      <c r="C23" s="59">
        <v>71.23</v>
      </c>
      <c r="D23" s="59">
        <v>44.52</v>
      </c>
      <c r="E23" s="59">
        <v>3.98</v>
      </c>
      <c r="F23" s="59">
        <v>0.73</v>
      </c>
      <c r="G23" s="59">
        <v>64.87</v>
      </c>
      <c r="H23" s="59">
        <v>32.58</v>
      </c>
      <c r="I23" s="59">
        <v>0.57999999999999996</v>
      </c>
      <c r="J23" s="59">
        <v>0.34</v>
      </c>
      <c r="K23" s="59">
        <v>15.7</v>
      </c>
      <c r="L23" s="59">
        <v>17.71</v>
      </c>
      <c r="M23" s="59">
        <v>59</v>
      </c>
      <c r="N23" s="59">
        <v>24.2</v>
      </c>
      <c r="O23" s="59">
        <v>0</v>
      </c>
      <c r="P23" s="59">
        <v>1.43</v>
      </c>
      <c r="Q23" s="59">
        <v>41.2</v>
      </c>
      <c r="R23" s="197"/>
      <c r="S23" s="197"/>
      <c r="T23" s="197"/>
      <c r="U23" s="197"/>
    </row>
    <row r="24" spans="1:21" s="12" customFormat="1" x14ac:dyDescent="0.25">
      <c r="A24" s="200" t="s">
        <v>1126</v>
      </c>
      <c r="B24" s="59">
        <v>5.99</v>
      </c>
      <c r="C24" s="59">
        <v>69.599999999999994</v>
      </c>
      <c r="D24" s="59">
        <v>43.22</v>
      </c>
      <c r="E24" s="59">
        <v>2.5099999999999998</v>
      </c>
      <c r="F24" s="59">
        <v>0.86</v>
      </c>
      <c r="G24" s="59">
        <v>67.599999999999994</v>
      </c>
      <c r="H24" s="59">
        <v>30.67</v>
      </c>
      <c r="I24" s="59">
        <v>0.57999999999999996</v>
      </c>
      <c r="J24" s="59">
        <v>0.41</v>
      </c>
      <c r="K24" s="59">
        <v>12.5</v>
      </c>
      <c r="L24" s="59">
        <v>17.559999999999999</v>
      </c>
      <c r="M24" s="59">
        <v>60</v>
      </c>
      <c r="N24" s="59">
        <v>24.2</v>
      </c>
      <c r="O24" s="59">
        <v>0</v>
      </c>
      <c r="P24" s="59">
        <v>1.39</v>
      </c>
      <c r="Q24" s="59">
        <v>41.04</v>
      </c>
      <c r="R24" s="197"/>
      <c r="S24" s="197"/>
      <c r="T24" s="197"/>
      <c r="U24" s="197"/>
    </row>
    <row r="25" spans="1:21" s="12" customFormat="1" x14ac:dyDescent="0.25">
      <c r="A25" s="200" t="s">
        <v>1127</v>
      </c>
      <c r="B25" s="59">
        <v>5.81</v>
      </c>
      <c r="C25" s="59">
        <v>68.989999999999995</v>
      </c>
      <c r="D25" s="59">
        <v>42.74</v>
      </c>
      <c r="E25" s="59">
        <v>4.33</v>
      </c>
      <c r="F25" s="59">
        <v>1.23</v>
      </c>
      <c r="G25" s="59">
        <v>67.599999999999994</v>
      </c>
      <c r="H25" s="59">
        <v>30.67</v>
      </c>
      <c r="I25" s="59">
        <v>0.56999999999999995</v>
      </c>
      <c r="J25" s="59">
        <v>0.27</v>
      </c>
      <c r="K25" s="59">
        <v>11.78</v>
      </c>
      <c r="L25" s="59">
        <v>17.64</v>
      </c>
      <c r="M25" s="59">
        <v>61</v>
      </c>
      <c r="N25" s="59">
        <v>24.3</v>
      </c>
      <c r="O25" s="59">
        <v>0</v>
      </c>
      <c r="P25" s="59">
        <v>1.35</v>
      </c>
      <c r="Q25" s="59">
        <v>41.21</v>
      </c>
      <c r="R25" s="197"/>
      <c r="S25" s="197"/>
      <c r="T25" s="197"/>
      <c r="U25" s="197"/>
    </row>
    <row r="26" spans="1:21" s="12" customFormat="1" x14ac:dyDescent="0.25">
      <c r="A26" s="200" t="s">
        <v>1128</v>
      </c>
      <c r="B26" s="59">
        <v>5.61</v>
      </c>
      <c r="C26" s="59">
        <v>68.36</v>
      </c>
      <c r="D26" s="59">
        <v>42.23</v>
      </c>
      <c r="E26" s="59">
        <v>4.59</v>
      </c>
      <c r="F26" s="59">
        <v>1.04</v>
      </c>
      <c r="G26" s="59">
        <v>67.599999999999994</v>
      </c>
      <c r="H26" s="59">
        <v>30.67</v>
      </c>
      <c r="I26" s="59">
        <v>0.55000000000000004</v>
      </c>
      <c r="J26" s="59">
        <v>0.74</v>
      </c>
      <c r="K26" s="59">
        <v>1.86</v>
      </c>
      <c r="L26" s="59">
        <v>17.97</v>
      </c>
      <c r="M26" s="59">
        <v>61</v>
      </c>
      <c r="N26" s="59">
        <v>24.2</v>
      </c>
      <c r="O26" s="59">
        <v>0</v>
      </c>
      <c r="P26" s="59">
        <v>1.31</v>
      </c>
      <c r="Q26" s="59">
        <v>41.99</v>
      </c>
      <c r="R26" s="197"/>
      <c r="S26" s="197"/>
      <c r="T26" s="197"/>
      <c r="U26" s="197"/>
    </row>
    <row r="27" spans="1:21" s="12" customFormat="1" x14ac:dyDescent="0.25">
      <c r="A27" s="200" t="s">
        <v>1129</v>
      </c>
      <c r="B27" s="59">
        <v>5.71</v>
      </c>
      <c r="C27" s="59">
        <v>67.94</v>
      </c>
      <c r="D27" s="59">
        <v>42.08</v>
      </c>
      <c r="E27" s="59">
        <v>4.82</v>
      </c>
      <c r="F27" s="59">
        <v>1</v>
      </c>
      <c r="G27" s="59">
        <v>70.180000000000007</v>
      </c>
      <c r="H27" s="59">
        <v>31.5</v>
      </c>
      <c r="I27" s="59">
        <v>0.54</v>
      </c>
      <c r="J27" s="59">
        <v>0.56999999999999995</v>
      </c>
      <c r="K27" s="59">
        <v>350.04</v>
      </c>
      <c r="L27" s="59">
        <v>17.98</v>
      </c>
      <c r="M27" s="59">
        <v>63</v>
      </c>
      <c r="N27" s="59">
        <v>24.8</v>
      </c>
      <c r="O27" s="59">
        <v>0</v>
      </c>
      <c r="P27" s="59">
        <v>1.29</v>
      </c>
      <c r="Q27" s="59">
        <v>42</v>
      </c>
      <c r="R27" s="197"/>
      <c r="S27" s="197"/>
      <c r="T27" s="197"/>
      <c r="U27" s="197"/>
    </row>
    <row r="28" spans="1:21" s="12" customFormat="1" x14ac:dyDescent="0.25">
      <c r="A28" s="200" t="s">
        <v>1130</v>
      </c>
      <c r="B28" s="59">
        <v>6.63</v>
      </c>
      <c r="C28" s="59">
        <v>68.34</v>
      </c>
      <c r="D28" s="59">
        <v>43.03</v>
      </c>
      <c r="E28" s="59">
        <v>4.8899999999999997</v>
      </c>
      <c r="F28" s="59">
        <v>0.75</v>
      </c>
      <c r="G28" s="59">
        <v>79.650000000000006</v>
      </c>
      <c r="H28" s="59">
        <v>32.86</v>
      </c>
      <c r="I28" s="59">
        <v>0.52</v>
      </c>
      <c r="J28" s="59">
        <v>0.63</v>
      </c>
      <c r="K28" s="59">
        <v>11.51</v>
      </c>
      <c r="L28" s="59">
        <v>17.97</v>
      </c>
      <c r="M28" s="59">
        <v>62</v>
      </c>
      <c r="N28" s="59">
        <v>24.7</v>
      </c>
      <c r="O28" s="59">
        <v>0</v>
      </c>
      <c r="P28" s="59">
        <v>1.32</v>
      </c>
      <c r="Q28" s="59">
        <v>41.38</v>
      </c>
      <c r="R28" s="197"/>
      <c r="S28" s="197"/>
      <c r="T28" s="197"/>
      <c r="U28" s="197"/>
    </row>
    <row r="29" spans="1:21" s="12" customFormat="1" x14ac:dyDescent="0.25">
      <c r="A29" s="200" t="s">
        <v>1131</v>
      </c>
      <c r="B29" s="59">
        <v>7.93</v>
      </c>
      <c r="C29" s="59">
        <v>69.12</v>
      </c>
      <c r="D29" s="59">
        <v>44.5</v>
      </c>
      <c r="E29" s="59">
        <v>5.12</v>
      </c>
      <c r="F29" s="59">
        <v>0.71</v>
      </c>
      <c r="G29" s="59">
        <v>79.650000000000006</v>
      </c>
      <c r="H29" s="59">
        <v>32.86</v>
      </c>
      <c r="I29" s="59">
        <v>0.51</v>
      </c>
      <c r="J29" s="59">
        <v>0.84</v>
      </c>
      <c r="K29" s="59">
        <v>11.25</v>
      </c>
      <c r="L29" s="59">
        <v>18.100000000000001</v>
      </c>
      <c r="M29" s="59">
        <v>61</v>
      </c>
      <c r="N29" s="59">
        <v>24.6</v>
      </c>
      <c r="O29" s="59">
        <v>0</v>
      </c>
      <c r="P29" s="59">
        <v>1.34</v>
      </c>
      <c r="Q29" s="59">
        <v>41.28</v>
      </c>
      <c r="R29" s="197"/>
      <c r="S29" s="197"/>
      <c r="T29" s="197"/>
      <c r="U29" s="197"/>
    </row>
    <row r="30" spans="1:21" s="12" customFormat="1" x14ac:dyDescent="0.25">
      <c r="A30" s="200" t="s">
        <v>1132</v>
      </c>
      <c r="B30" s="59">
        <v>9.01</v>
      </c>
      <c r="C30" s="59">
        <v>70.08</v>
      </c>
      <c r="D30" s="59">
        <v>45.9</v>
      </c>
      <c r="E30" s="59">
        <v>5.24</v>
      </c>
      <c r="F30" s="59">
        <v>0.62</v>
      </c>
      <c r="G30" s="59">
        <v>79.650000000000006</v>
      </c>
      <c r="H30" s="59">
        <v>32.86</v>
      </c>
      <c r="I30" s="59">
        <v>0.49</v>
      </c>
      <c r="J30" s="59">
        <v>0.67</v>
      </c>
      <c r="K30" s="59">
        <v>9.4499999999999993</v>
      </c>
      <c r="L30" s="59">
        <v>18.100000000000001</v>
      </c>
      <c r="M30" s="59">
        <v>61</v>
      </c>
      <c r="N30" s="59">
        <v>24.7</v>
      </c>
      <c r="O30" s="59">
        <v>0</v>
      </c>
      <c r="P30" s="59">
        <v>1.38</v>
      </c>
      <c r="Q30" s="59">
        <v>41.21</v>
      </c>
      <c r="R30" s="197"/>
      <c r="S30" s="197"/>
      <c r="T30" s="197"/>
      <c r="U30" s="197"/>
    </row>
    <row r="31" spans="1:21" s="12" customFormat="1" x14ac:dyDescent="0.25">
      <c r="A31" s="200" t="s">
        <v>1133</v>
      </c>
      <c r="B31" s="59">
        <v>9.85</v>
      </c>
      <c r="C31" s="59">
        <v>70.989999999999995</v>
      </c>
      <c r="D31" s="59">
        <v>47.07</v>
      </c>
      <c r="E31" s="59">
        <v>4.84</v>
      </c>
      <c r="F31" s="59">
        <v>0.7</v>
      </c>
      <c r="G31" s="59">
        <v>99.15</v>
      </c>
      <c r="H31" s="59">
        <v>34.28</v>
      </c>
      <c r="I31" s="59">
        <v>0.47</v>
      </c>
      <c r="J31" s="59">
        <v>0.64</v>
      </c>
      <c r="K31" s="59">
        <v>10.199999999999999</v>
      </c>
      <c r="L31" s="59">
        <v>18</v>
      </c>
      <c r="M31" s="59">
        <v>60</v>
      </c>
      <c r="N31" s="59">
        <v>24.7</v>
      </c>
      <c r="O31" s="59">
        <v>0</v>
      </c>
      <c r="P31" s="59">
        <v>1.4</v>
      </c>
      <c r="Q31" s="59">
        <v>40.840000000000003</v>
      </c>
      <c r="R31" s="197"/>
      <c r="S31" s="197"/>
      <c r="T31" s="197"/>
      <c r="U31" s="197"/>
    </row>
    <row r="32" spans="1:21" s="12" customFormat="1" x14ac:dyDescent="0.25">
      <c r="A32" s="200" t="s">
        <v>1134</v>
      </c>
      <c r="B32" s="59">
        <v>10.65</v>
      </c>
      <c r="C32" s="59">
        <v>71.78</v>
      </c>
      <c r="D32" s="59">
        <v>48.15</v>
      </c>
      <c r="E32" s="59">
        <v>5.12</v>
      </c>
      <c r="F32" s="59">
        <v>0.82</v>
      </c>
      <c r="G32" s="59">
        <v>118.07</v>
      </c>
      <c r="H32" s="59">
        <v>36.619999999999997</v>
      </c>
      <c r="I32" s="59">
        <v>0.46</v>
      </c>
      <c r="J32" s="59">
        <v>0.8</v>
      </c>
      <c r="K32" s="59">
        <v>15.06</v>
      </c>
      <c r="L32" s="59">
        <v>17.91</v>
      </c>
      <c r="M32" s="59">
        <v>60</v>
      </c>
      <c r="N32" s="59">
        <v>24.8</v>
      </c>
      <c r="O32" s="59">
        <v>0</v>
      </c>
      <c r="P32" s="59">
        <v>1.4</v>
      </c>
      <c r="Q32" s="59">
        <v>40.54</v>
      </c>
      <c r="R32" s="197"/>
      <c r="S32" s="197"/>
      <c r="T32" s="197"/>
      <c r="U32" s="197"/>
    </row>
    <row r="33" spans="1:21" s="12" customFormat="1" x14ac:dyDescent="0.25">
      <c r="A33" s="200" t="s">
        <v>1135</v>
      </c>
      <c r="B33" s="59">
        <v>11.03</v>
      </c>
      <c r="C33" s="59">
        <v>72.03</v>
      </c>
      <c r="D33" s="59">
        <v>48.6</v>
      </c>
      <c r="E33" s="59">
        <v>5.28</v>
      </c>
      <c r="F33" s="59">
        <v>0.86</v>
      </c>
      <c r="G33" s="59">
        <v>118.07</v>
      </c>
      <c r="H33" s="59">
        <v>36.619999999999997</v>
      </c>
      <c r="I33" s="59">
        <v>0.46</v>
      </c>
      <c r="J33" s="59">
        <v>0.72</v>
      </c>
      <c r="K33" s="59">
        <v>11.9</v>
      </c>
      <c r="L33" s="59">
        <v>17.850000000000001</v>
      </c>
      <c r="M33" s="59">
        <v>60</v>
      </c>
      <c r="N33" s="59">
        <v>25</v>
      </c>
      <c r="O33" s="59">
        <v>0</v>
      </c>
      <c r="P33" s="59">
        <v>1.4</v>
      </c>
      <c r="Q33" s="59">
        <v>40.08</v>
      </c>
      <c r="R33" s="197"/>
      <c r="S33" s="197"/>
      <c r="T33" s="197"/>
      <c r="U33" s="197"/>
    </row>
    <row r="34" spans="1:21" s="12" customFormat="1" x14ac:dyDescent="0.25">
      <c r="A34" s="200" t="s">
        <v>1136</v>
      </c>
      <c r="B34" s="59">
        <v>11.16</v>
      </c>
      <c r="C34" s="59">
        <v>71.77</v>
      </c>
      <c r="D34" s="59">
        <v>48.56</v>
      </c>
      <c r="E34" s="59">
        <v>4.8099999999999996</v>
      </c>
      <c r="F34" s="59">
        <v>0.92</v>
      </c>
      <c r="G34" s="59">
        <v>118.07</v>
      </c>
      <c r="H34" s="59">
        <v>36.619999999999997</v>
      </c>
      <c r="I34" s="59">
        <v>0.44</v>
      </c>
      <c r="J34" s="59">
        <v>1.1299999999999999</v>
      </c>
      <c r="K34" s="59">
        <v>15.99</v>
      </c>
      <c r="L34" s="59">
        <v>17.78</v>
      </c>
      <c r="M34" s="59">
        <v>60</v>
      </c>
      <c r="N34" s="59">
        <v>25.8</v>
      </c>
      <c r="O34" s="59">
        <v>0</v>
      </c>
      <c r="P34" s="59">
        <v>1.39</v>
      </c>
      <c r="Q34" s="59">
        <v>39.950000000000003</v>
      </c>
      <c r="R34" s="197"/>
      <c r="S34" s="197"/>
      <c r="T34" s="197"/>
      <c r="U34" s="197"/>
    </row>
    <row r="35" spans="1:21" s="12" customFormat="1" x14ac:dyDescent="0.25">
      <c r="A35" s="200" t="s">
        <v>1137</v>
      </c>
      <c r="B35" s="59">
        <v>10.95</v>
      </c>
      <c r="C35" s="59">
        <v>70.94</v>
      </c>
      <c r="D35" s="59">
        <v>47.93</v>
      </c>
      <c r="E35" s="59">
        <v>5.0599999999999996</v>
      </c>
      <c r="F35" s="59">
        <v>0.71</v>
      </c>
      <c r="G35" s="59">
        <v>100.88</v>
      </c>
      <c r="H35" s="59">
        <v>36.61</v>
      </c>
      <c r="I35" s="59">
        <v>0.44</v>
      </c>
      <c r="J35" s="59">
        <v>1.17</v>
      </c>
      <c r="K35" s="59">
        <v>6.98</v>
      </c>
      <c r="L35" s="59">
        <v>17.72</v>
      </c>
      <c r="M35" s="59">
        <v>61</v>
      </c>
      <c r="N35" s="59">
        <v>28.8</v>
      </c>
      <c r="O35" s="59">
        <v>0</v>
      </c>
      <c r="P35" s="59">
        <v>1.36</v>
      </c>
      <c r="Q35" s="59">
        <v>39.46</v>
      </c>
      <c r="R35" s="197"/>
      <c r="S35" s="197"/>
      <c r="T35" s="197"/>
      <c r="U35" s="197"/>
    </row>
    <row r="36" spans="1:21" s="12" customFormat="1" x14ac:dyDescent="0.25">
      <c r="A36" s="200" t="s">
        <v>1138</v>
      </c>
      <c r="B36" s="59">
        <v>11.37</v>
      </c>
      <c r="C36" s="59">
        <v>71.540000000000006</v>
      </c>
      <c r="D36" s="59">
        <v>48.6</v>
      </c>
      <c r="E36" s="59">
        <v>5.28</v>
      </c>
      <c r="F36" s="59">
        <v>1.54</v>
      </c>
      <c r="G36" s="59">
        <v>84.2</v>
      </c>
      <c r="H36" s="59">
        <v>36.590000000000003</v>
      </c>
      <c r="I36" s="59">
        <v>0.44</v>
      </c>
      <c r="J36" s="59">
        <v>0.49</v>
      </c>
      <c r="K36" s="59">
        <v>11.75</v>
      </c>
      <c r="L36" s="59">
        <v>17.71</v>
      </c>
      <c r="M36" s="59">
        <v>60</v>
      </c>
      <c r="N36" s="59">
        <v>32.6</v>
      </c>
      <c r="O36" s="59">
        <v>0</v>
      </c>
      <c r="P36" s="59">
        <v>1.34</v>
      </c>
      <c r="Q36" s="59">
        <v>39.159999999999997</v>
      </c>
      <c r="R36" s="197"/>
      <c r="S36" s="197"/>
      <c r="T36" s="197"/>
      <c r="U36" s="197"/>
    </row>
    <row r="37" spans="1:21" s="12" customFormat="1" x14ac:dyDescent="0.25">
      <c r="A37" s="200" t="s">
        <v>1139</v>
      </c>
      <c r="B37" s="59">
        <v>12.07</v>
      </c>
      <c r="C37" s="59">
        <v>72.08</v>
      </c>
      <c r="D37" s="59">
        <v>49.46</v>
      </c>
      <c r="E37" s="59">
        <v>5.36</v>
      </c>
      <c r="F37" s="59">
        <v>1.3</v>
      </c>
      <c r="G37" s="59">
        <v>84.2</v>
      </c>
      <c r="H37" s="59">
        <v>36.590000000000003</v>
      </c>
      <c r="I37" s="59">
        <v>0.44</v>
      </c>
      <c r="J37" s="59">
        <v>0.39</v>
      </c>
      <c r="K37" s="59">
        <v>18.27</v>
      </c>
      <c r="L37" s="59">
        <v>17.760000000000002</v>
      </c>
      <c r="M37" s="59">
        <v>61</v>
      </c>
      <c r="N37" s="59">
        <v>42.1</v>
      </c>
      <c r="O37" s="59">
        <v>0</v>
      </c>
      <c r="P37" s="59">
        <v>1.3</v>
      </c>
      <c r="Q37" s="59">
        <v>39.43</v>
      </c>
      <c r="R37" s="197"/>
      <c r="S37" s="197"/>
      <c r="T37" s="197"/>
      <c r="U37" s="197"/>
    </row>
    <row r="38" spans="1:21" s="12" customFormat="1" x14ac:dyDescent="0.25">
      <c r="A38" s="200" t="s">
        <v>1140</v>
      </c>
      <c r="B38" s="59">
        <v>13.5</v>
      </c>
      <c r="C38" s="59">
        <v>73.47</v>
      </c>
      <c r="D38" s="59">
        <v>51.38</v>
      </c>
      <c r="E38" s="59">
        <v>5.63</v>
      </c>
      <c r="F38" s="59">
        <v>0.78</v>
      </c>
      <c r="G38" s="59">
        <v>84.2</v>
      </c>
      <c r="H38" s="59">
        <v>36.590000000000003</v>
      </c>
      <c r="I38" s="59">
        <v>0.44</v>
      </c>
      <c r="J38" s="59">
        <v>0.51</v>
      </c>
      <c r="K38" s="59">
        <v>8.32</v>
      </c>
      <c r="L38" s="59">
        <v>18.04</v>
      </c>
      <c r="M38" s="59">
        <v>60</v>
      </c>
      <c r="N38" s="59">
        <v>63.7</v>
      </c>
      <c r="O38" s="59">
        <v>0</v>
      </c>
      <c r="P38" s="59">
        <v>1.34</v>
      </c>
      <c r="Q38" s="59">
        <v>39.69</v>
      </c>
      <c r="R38" s="197"/>
      <c r="S38" s="197"/>
      <c r="T38" s="197"/>
      <c r="U38" s="197"/>
    </row>
    <row r="39" spans="1:21" s="12" customFormat="1" x14ac:dyDescent="0.25">
      <c r="A39" s="200" t="s">
        <v>1141</v>
      </c>
      <c r="B39" s="59">
        <v>14.92</v>
      </c>
      <c r="C39" s="59">
        <v>73.78</v>
      </c>
      <c r="D39" s="59">
        <v>52.68</v>
      </c>
      <c r="E39" s="59">
        <v>6.05</v>
      </c>
      <c r="F39" s="59">
        <v>0.59</v>
      </c>
      <c r="G39" s="59">
        <v>95.67</v>
      </c>
      <c r="H39" s="59">
        <v>36.39</v>
      </c>
      <c r="I39" s="59">
        <v>0.44</v>
      </c>
      <c r="J39" s="59">
        <v>0.46</v>
      </c>
      <c r="K39" s="59">
        <v>71.38</v>
      </c>
      <c r="L39" s="59">
        <v>18.239999999999998</v>
      </c>
      <c r="M39" s="59">
        <v>59</v>
      </c>
      <c r="N39" s="59">
        <v>71.900000000000006</v>
      </c>
      <c r="O39" s="59">
        <v>0</v>
      </c>
      <c r="P39" s="59">
        <v>1.35</v>
      </c>
      <c r="Q39" s="59">
        <v>39.770000000000003</v>
      </c>
      <c r="R39" s="197"/>
      <c r="S39" s="197"/>
      <c r="T39" s="197"/>
      <c r="U39" s="197"/>
    </row>
    <row r="40" spans="1:21" s="12" customFormat="1" x14ac:dyDescent="0.25">
      <c r="A40" s="200" t="s">
        <v>1142</v>
      </c>
      <c r="B40" s="59">
        <v>15.81</v>
      </c>
      <c r="C40" s="59">
        <v>74.099999999999994</v>
      </c>
      <c r="D40" s="59">
        <v>53.57</v>
      </c>
      <c r="E40" s="59">
        <v>2.88</v>
      </c>
      <c r="F40" s="59">
        <v>0.7</v>
      </c>
      <c r="G40" s="59">
        <v>106.46</v>
      </c>
      <c r="H40" s="59">
        <v>36.08</v>
      </c>
      <c r="I40" s="59">
        <v>0.44</v>
      </c>
      <c r="J40" s="59">
        <v>0.72</v>
      </c>
      <c r="K40" s="59">
        <v>79.22</v>
      </c>
      <c r="L40" s="59">
        <v>18.52</v>
      </c>
      <c r="M40" s="59">
        <v>58</v>
      </c>
      <c r="N40" s="59">
        <v>81.599999999999994</v>
      </c>
      <c r="O40" s="59">
        <v>0</v>
      </c>
      <c r="P40" s="59">
        <v>1.34</v>
      </c>
      <c r="Q40" s="59">
        <v>40.299999999999997</v>
      </c>
      <c r="R40" s="197"/>
      <c r="S40" s="197"/>
      <c r="T40" s="197"/>
      <c r="U40" s="197"/>
    </row>
    <row r="41" spans="1:21" s="12" customFormat="1" x14ac:dyDescent="0.25">
      <c r="A41" s="200" t="s">
        <v>1143</v>
      </c>
      <c r="B41" s="59">
        <v>16.04</v>
      </c>
      <c r="C41" s="59">
        <v>74.430000000000007</v>
      </c>
      <c r="D41" s="59">
        <v>53.94</v>
      </c>
      <c r="E41" s="59">
        <v>5.01</v>
      </c>
      <c r="F41" s="59">
        <v>0.74</v>
      </c>
      <c r="G41" s="59">
        <v>106.46</v>
      </c>
      <c r="H41" s="59">
        <v>36.08</v>
      </c>
      <c r="I41" s="59">
        <v>0.45</v>
      </c>
      <c r="J41" s="59">
        <v>0.9</v>
      </c>
      <c r="K41" s="59">
        <v>96.14</v>
      </c>
      <c r="L41" s="59">
        <v>18.690000000000001</v>
      </c>
      <c r="M41" s="59">
        <v>58</v>
      </c>
      <c r="N41" s="59">
        <v>97.9</v>
      </c>
      <c r="O41" s="59">
        <v>0</v>
      </c>
      <c r="P41" s="59">
        <v>1.34</v>
      </c>
      <c r="Q41" s="59">
        <v>41.19</v>
      </c>
      <c r="R41" s="197"/>
      <c r="S41" s="197"/>
      <c r="T41" s="197"/>
      <c r="U41" s="197"/>
    </row>
    <row r="42" spans="1:21" s="12" customFormat="1" x14ac:dyDescent="0.25">
      <c r="A42" s="200" t="s">
        <v>1144</v>
      </c>
      <c r="B42" s="59">
        <v>15.39</v>
      </c>
      <c r="C42" s="59">
        <v>74.13</v>
      </c>
      <c r="D42" s="59">
        <v>53.26</v>
      </c>
      <c r="E42" s="59">
        <v>5.42</v>
      </c>
      <c r="F42" s="59">
        <v>1.01</v>
      </c>
      <c r="G42" s="59">
        <v>106.46</v>
      </c>
      <c r="H42" s="59">
        <v>36.08</v>
      </c>
      <c r="I42" s="59">
        <v>0.45</v>
      </c>
      <c r="J42" s="59">
        <v>0.42</v>
      </c>
      <c r="K42" s="59">
        <v>54.16</v>
      </c>
      <c r="L42" s="59">
        <v>19.29</v>
      </c>
      <c r="M42" s="59">
        <v>56</v>
      </c>
      <c r="N42" s="59">
        <v>127.5</v>
      </c>
      <c r="O42" s="59">
        <v>0</v>
      </c>
      <c r="P42" s="59">
        <v>1.33</v>
      </c>
      <c r="Q42" s="59">
        <v>41.17</v>
      </c>
      <c r="R42" s="197"/>
      <c r="S42" s="197"/>
      <c r="T42" s="197"/>
      <c r="U42" s="197"/>
    </row>
    <row r="43" spans="1:21" s="12" customFormat="1" x14ac:dyDescent="0.25">
      <c r="A43" s="200" t="s">
        <v>1145</v>
      </c>
      <c r="B43" s="59">
        <v>15.09</v>
      </c>
      <c r="C43" s="59">
        <v>74.959999999999994</v>
      </c>
      <c r="D43" s="59">
        <v>53.46</v>
      </c>
      <c r="E43" s="59">
        <v>5.34</v>
      </c>
      <c r="F43" s="59">
        <v>0.73</v>
      </c>
      <c r="G43" s="59">
        <v>103.59</v>
      </c>
      <c r="H43" s="59">
        <v>35.29</v>
      </c>
      <c r="I43" s="59">
        <v>0.45</v>
      </c>
      <c r="J43" s="59">
        <v>0.59</v>
      </c>
      <c r="K43" s="59">
        <v>9.3000000000000007</v>
      </c>
      <c r="L43" s="59">
        <v>20.11</v>
      </c>
      <c r="M43" s="59">
        <v>53</v>
      </c>
      <c r="N43" s="59">
        <v>142.30000000000001</v>
      </c>
      <c r="O43" s="59">
        <v>0</v>
      </c>
      <c r="P43" s="59">
        <v>1.34</v>
      </c>
      <c r="Q43" s="59">
        <v>40.82</v>
      </c>
      <c r="R43" s="197"/>
      <c r="S43" s="197"/>
      <c r="T43" s="197"/>
      <c r="U43" s="197"/>
    </row>
    <row r="44" spans="1:21" s="12" customFormat="1" x14ac:dyDescent="0.25">
      <c r="A44" s="200" t="s">
        <v>1146</v>
      </c>
      <c r="B44" s="59">
        <v>14.56</v>
      </c>
      <c r="C44" s="59">
        <v>75.959999999999994</v>
      </c>
      <c r="D44" s="59">
        <v>53.6</v>
      </c>
      <c r="E44" s="59">
        <v>5.41</v>
      </c>
      <c r="F44" s="59">
        <v>0.81</v>
      </c>
      <c r="G44" s="59">
        <v>94.09</v>
      </c>
      <c r="H44" s="59">
        <v>33.99</v>
      </c>
      <c r="I44" s="59">
        <v>0.44</v>
      </c>
      <c r="J44" s="59">
        <v>0.65</v>
      </c>
      <c r="K44" s="59">
        <v>85.99</v>
      </c>
      <c r="L44" s="59">
        <v>20.23</v>
      </c>
      <c r="M44" s="59">
        <v>54</v>
      </c>
      <c r="N44" s="59">
        <v>146.4</v>
      </c>
      <c r="O44" s="59">
        <v>0</v>
      </c>
      <c r="P44" s="59">
        <v>1.34</v>
      </c>
      <c r="Q44" s="59">
        <v>40.25</v>
      </c>
      <c r="R44" s="197"/>
      <c r="S44" s="197"/>
      <c r="T44" s="197"/>
      <c r="U44" s="197"/>
    </row>
    <row r="45" spans="1:21" s="12" customFormat="1" x14ac:dyDescent="0.25">
      <c r="A45" s="200" t="s">
        <v>1147</v>
      </c>
      <c r="B45" s="59">
        <v>13.73</v>
      </c>
      <c r="C45" s="59">
        <v>76.52</v>
      </c>
      <c r="D45" s="59">
        <v>53.25</v>
      </c>
      <c r="E45" s="59">
        <v>5.26</v>
      </c>
      <c r="F45" s="59">
        <v>0.76</v>
      </c>
      <c r="G45" s="59">
        <v>94.09</v>
      </c>
      <c r="H45" s="59">
        <v>33.99</v>
      </c>
      <c r="I45" s="59">
        <v>0.44</v>
      </c>
      <c r="J45" s="59">
        <v>0.95</v>
      </c>
      <c r="K45" s="59">
        <v>93.28</v>
      </c>
      <c r="L45" s="59">
        <v>20.45</v>
      </c>
      <c r="M45" s="59">
        <v>53</v>
      </c>
      <c r="N45" s="59">
        <v>155.69999999999999</v>
      </c>
      <c r="O45" s="59">
        <v>0</v>
      </c>
      <c r="P45" s="59">
        <v>1.32</v>
      </c>
      <c r="Q45" s="59">
        <v>40.4</v>
      </c>
      <c r="R45" s="197"/>
      <c r="S45" s="197"/>
      <c r="T45" s="197"/>
      <c r="U45" s="197"/>
    </row>
    <row r="46" spans="1:21" s="12" customFormat="1" x14ac:dyDescent="0.25">
      <c r="A46" s="200" t="s">
        <v>1148</v>
      </c>
      <c r="B46" s="59">
        <v>12.68</v>
      </c>
      <c r="C46" s="59">
        <v>76.510000000000005</v>
      </c>
      <c r="D46" s="59">
        <v>52.39</v>
      </c>
      <c r="E46" s="59">
        <v>4.74</v>
      </c>
      <c r="F46" s="59">
        <v>0.96</v>
      </c>
      <c r="G46" s="59">
        <v>94.09</v>
      </c>
      <c r="H46" s="59">
        <v>33.99</v>
      </c>
      <c r="I46" s="59">
        <v>0.43</v>
      </c>
      <c r="J46" s="59">
        <v>0.69</v>
      </c>
      <c r="K46" s="59">
        <v>64.650000000000006</v>
      </c>
      <c r="L46" s="59">
        <v>20.83</v>
      </c>
      <c r="M46" s="59">
        <v>52</v>
      </c>
      <c r="N46" s="59">
        <v>151.6</v>
      </c>
      <c r="O46" s="59">
        <v>0</v>
      </c>
      <c r="P46" s="59">
        <v>1.31</v>
      </c>
      <c r="Q46" s="59">
        <v>40.520000000000003</v>
      </c>
      <c r="R46" s="197"/>
      <c r="S46" s="197"/>
      <c r="T46" s="197"/>
      <c r="U46" s="197"/>
    </row>
    <row r="47" spans="1:21" s="12" customFormat="1" x14ac:dyDescent="0.25">
      <c r="A47" s="200" t="s">
        <v>1149</v>
      </c>
      <c r="B47" s="59">
        <v>11.35</v>
      </c>
      <c r="C47" s="59">
        <v>76.34</v>
      </c>
      <c r="D47" s="59">
        <v>51.23</v>
      </c>
      <c r="E47" s="59">
        <v>4.83</v>
      </c>
      <c r="F47" s="59">
        <v>1.34</v>
      </c>
      <c r="G47" s="59">
        <v>90.34</v>
      </c>
      <c r="H47" s="59">
        <v>33.83</v>
      </c>
      <c r="I47" s="59">
        <v>0.43</v>
      </c>
      <c r="J47" s="59">
        <v>0.6</v>
      </c>
      <c r="K47" s="59">
        <v>69.88</v>
      </c>
      <c r="L47" s="59">
        <v>20.96</v>
      </c>
      <c r="M47" s="59">
        <v>52</v>
      </c>
      <c r="N47" s="59">
        <v>145.6</v>
      </c>
      <c r="O47" s="59">
        <v>0</v>
      </c>
      <c r="P47" s="59">
        <v>1.3</v>
      </c>
      <c r="Q47" s="59">
        <v>39.86</v>
      </c>
      <c r="R47" s="197"/>
      <c r="S47" s="197"/>
      <c r="T47" s="197"/>
      <c r="U47" s="197"/>
    </row>
    <row r="48" spans="1:21" s="12" customFormat="1" x14ac:dyDescent="0.25">
      <c r="A48" s="200" t="s">
        <v>1150</v>
      </c>
      <c r="B48" s="59">
        <v>10.55</v>
      </c>
      <c r="C48" s="59">
        <v>75.3</v>
      </c>
      <c r="D48" s="59">
        <v>50.02</v>
      </c>
      <c r="E48" s="59">
        <v>5.38</v>
      </c>
      <c r="F48" s="59">
        <v>1.0900000000000001</v>
      </c>
      <c r="G48" s="59">
        <v>86.7</v>
      </c>
      <c r="H48" s="59">
        <v>33.57</v>
      </c>
      <c r="I48" s="59">
        <v>0.42</v>
      </c>
      <c r="J48" s="59">
        <v>0.52</v>
      </c>
      <c r="K48" s="59">
        <v>64.150000000000006</v>
      </c>
      <c r="L48" s="59">
        <v>21.4</v>
      </c>
      <c r="M48" s="59">
        <v>51</v>
      </c>
      <c r="N48" s="59">
        <v>151</v>
      </c>
      <c r="O48" s="59">
        <v>0</v>
      </c>
      <c r="P48" s="59">
        <v>1.31</v>
      </c>
      <c r="Q48" s="59">
        <v>39.57</v>
      </c>
      <c r="R48" s="197"/>
      <c r="S48" s="197"/>
      <c r="T48" s="197"/>
      <c r="U48" s="197"/>
    </row>
    <row r="49" spans="1:21" s="12" customFormat="1" x14ac:dyDescent="0.25">
      <c r="A49" s="200" t="s">
        <v>1151</v>
      </c>
      <c r="B49" s="59">
        <v>9.74</v>
      </c>
      <c r="C49" s="59">
        <v>74.819999999999993</v>
      </c>
      <c r="D49" s="59">
        <v>49.1</v>
      </c>
      <c r="E49" s="59">
        <v>5.08</v>
      </c>
      <c r="F49" s="59">
        <v>1.2</v>
      </c>
      <c r="G49" s="59">
        <v>86.7</v>
      </c>
      <c r="H49" s="59">
        <v>33.57</v>
      </c>
      <c r="I49" s="59">
        <v>0.42</v>
      </c>
      <c r="J49" s="59">
        <v>0.96</v>
      </c>
      <c r="K49" s="59">
        <v>91.44</v>
      </c>
      <c r="L49" s="59">
        <v>21.67</v>
      </c>
      <c r="M49" s="59">
        <v>50</v>
      </c>
      <c r="N49" s="59">
        <v>158.9</v>
      </c>
      <c r="O49" s="59">
        <v>0</v>
      </c>
      <c r="P49" s="59">
        <v>1.32</v>
      </c>
      <c r="Q49" s="59">
        <v>39.9</v>
      </c>
      <c r="R49" s="197"/>
      <c r="S49" s="197"/>
      <c r="T49" s="197"/>
      <c r="U49" s="197"/>
    </row>
    <row r="50" spans="1:21" s="12" customFormat="1" x14ac:dyDescent="0.25">
      <c r="A50" s="200" t="s">
        <v>1152</v>
      </c>
      <c r="B50" s="59">
        <v>8.76</v>
      </c>
      <c r="C50" s="59">
        <v>73.8</v>
      </c>
      <c r="D50" s="59">
        <v>47.76</v>
      </c>
      <c r="E50" s="59">
        <v>5.01</v>
      </c>
      <c r="F50" s="59">
        <v>1.18</v>
      </c>
      <c r="G50" s="59">
        <v>86.7</v>
      </c>
      <c r="H50" s="59">
        <v>33.57</v>
      </c>
      <c r="I50" s="59">
        <v>0.42</v>
      </c>
      <c r="J50" s="59">
        <v>0.77</v>
      </c>
      <c r="K50" s="59">
        <v>91.65</v>
      </c>
      <c r="L50" s="59">
        <v>22.02</v>
      </c>
      <c r="M50" s="59">
        <v>50</v>
      </c>
      <c r="N50" s="59">
        <v>172</v>
      </c>
      <c r="O50" s="59">
        <v>0</v>
      </c>
      <c r="P50" s="59">
        <v>1.3</v>
      </c>
      <c r="Q50" s="59">
        <v>40.17</v>
      </c>
      <c r="R50" s="197"/>
      <c r="S50" s="197"/>
      <c r="T50" s="197"/>
      <c r="U50" s="197"/>
    </row>
    <row r="51" spans="1:21" s="12" customFormat="1" x14ac:dyDescent="0.25">
      <c r="A51" s="200" t="s">
        <v>1153</v>
      </c>
      <c r="B51" s="59">
        <v>9</v>
      </c>
      <c r="C51" s="59">
        <v>74.27</v>
      </c>
      <c r="D51" s="59">
        <v>48.2</v>
      </c>
      <c r="E51" s="59">
        <v>5.89</v>
      </c>
      <c r="F51" s="59">
        <v>2.0299999999999998</v>
      </c>
      <c r="G51" s="59">
        <v>83.18</v>
      </c>
      <c r="H51" s="59">
        <v>32.92</v>
      </c>
      <c r="I51" s="59">
        <v>0.42</v>
      </c>
      <c r="J51" s="59">
        <v>0.56999999999999995</v>
      </c>
      <c r="K51" s="59">
        <v>44.99</v>
      </c>
      <c r="L51" s="59">
        <v>23.06</v>
      </c>
      <c r="M51" s="59">
        <v>47</v>
      </c>
      <c r="N51" s="59">
        <v>237.1</v>
      </c>
      <c r="O51" s="59">
        <v>0</v>
      </c>
      <c r="P51" s="59">
        <v>1.3</v>
      </c>
      <c r="Q51" s="59">
        <v>40.43</v>
      </c>
      <c r="R51" s="197"/>
      <c r="S51" s="197"/>
      <c r="T51" s="197"/>
      <c r="U51" s="197"/>
    </row>
    <row r="52" spans="1:21" s="12" customFormat="1" x14ac:dyDescent="0.25">
      <c r="A52" s="200" t="s">
        <v>1154</v>
      </c>
      <c r="B52" s="59">
        <v>9.69</v>
      </c>
      <c r="C52" s="59">
        <v>74.39</v>
      </c>
      <c r="D52" s="59">
        <v>48.83</v>
      </c>
      <c r="E52" s="59">
        <v>6.5</v>
      </c>
      <c r="F52" s="59">
        <v>2.25</v>
      </c>
      <c r="G52" s="59">
        <v>79.77</v>
      </c>
      <c r="H52" s="59">
        <v>31.84</v>
      </c>
      <c r="I52" s="59">
        <v>0.42</v>
      </c>
      <c r="J52" s="59">
        <v>0.89</v>
      </c>
      <c r="K52" s="59">
        <v>5.27</v>
      </c>
      <c r="L52" s="59">
        <v>24.36</v>
      </c>
      <c r="M52" s="59">
        <v>43</v>
      </c>
      <c r="N52" s="59">
        <v>201.2</v>
      </c>
      <c r="O52" s="59">
        <v>0</v>
      </c>
      <c r="P52" s="59">
        <v>1.3</v>
      </c>
      <c r="Q52" s="59">
        <v>40.549999999999997</v>
      </c>
      <c r="R52" s="197"/>
      <c r="S52" s="197"/>
      <c r="T52" s="197"/>
      <c r="U52" s="197"/>
    </row>
    <row r="53" spans="1:21" s="12" customFormat="1" x14ac:dyDescent="0.25">
      <c r="A53" s="200" t="s">
        <v>1155</v>
      </c>
      <c r="B53" s="59">
        <v>11.6</v>
      </c>
      <c r="C53" s="59">
        <v>74.81</v>
      </c>
      <c r="D53" s="59">
        <v>50.59</v>
      </c>
      <c r="E53" s="59">
        <v>6.99</v>
      </c>
      <c r="F53" s="59">
        <v>2.65</v>
      </c>
      <c r="G53" s="59">
        <v>79.77</v>
      </c>
      <c r="H53" s="59">
        <v>31.84</v>
      </c>
      <c r="I53" s="59">
        <v>0.42</v>
      </c>
      <c r="J53" s="59">
        <v>0.7</v>
      </c>
      <c r="K53" s="59">
        <v>13.96</v>
      </c>
      <c r="L53" s="59">
        <v>24.84</v>
      </c>
      <c r="M53" s="59">
        <v>42</v>
      </c>
      <c r="N53" s="59">
        <v>200.6</v>
      </c>
      <c r="O53" s="59">
        <v>0</v>
      </c>
      <c r="P53" s="59">
        <v>1.33</v>
      </c>
      <c r="Q53" s="59">
        <v>40.56</v>
      </c>
      <c r="R53" s="197"/>
      <c r="S53" s="197"/>
      <c r="T53" s="197"/>
      <c r="U53" s="197"/>
    </row>
    <row r="54" spans="1:21" s="12" customFormat="1" x14ac:dyDescent="0.25">
      <c r="A54" s="200" t="s">
        <v>1156</v>
      </c>
      <c r="B54" s="59">
        <v>10.64</v>
      </c>
      <c r="C54" s="59">
        <v>77.59</v>
      </c>
      <c r="D54" s="59">
        <v>51.35</v>
      </c>
      <c r="E54" s="59">
        <v>7.18</v>
      </c>
      <c r="F54" s="59">
        <v>2.57</v>
      </c>
      <c r="G54" s="59">
        <v>79.77</v>
      </c>
      <c r="H54" s="59">
        <v>31.84</v>
      </c>
      <c r="I54" s="59">
        <v>0.42</v>
      </c>
      <c r="J54" s="59">
        <v>1.21</v>
      </c>
      <c r="K54" s="59">
        <v>7.84</v>
      </c>
      <c r="L54" s="59">
        <v>25.04</v>
      </c>
      <c r="M54" s="59">
        <v>41</v>
      </c>
      <c r="N54" s="59">
        <v>223.8</v>
      </c>
      <c r="O54" s="59">
        <v>0</v>
      </c>
      <c r="P54" s="59">
        <v>1.33</v>
      </c>
      <c r="Q54" s="59">
        <v>40.92</v>
      </c>
      <c r="R54" s="197"/>
      <c r="S54" s="197"/>
      <c r="T54" s="197"/>
      <c r="U54" s="197"/>
    </row>
    <row r="55" spans="1:21" s="12" customFormat="1" x14ac:dyDescent="0.25">
      <c r="A55" s="200" t="s">
        <v>1157</v>
      </c>
      <c r="B55" s="59">
        <v>9.17</v>
      </c>
      <c r="C55" s="59">
        <v>78.19</v>
      </c>
      <c r="D55" s="59">
        <v>50.5</v>
      </c>
      <c r="E55" s="59">
        <v>7.07</v>
      </c>
      <c r="F55" s="59">
        <v>3.44</v>
      </c>
      <c r="G55" s="59">
        <v>76.349999999999994</v>
      </c>
      <c r="H55" s="59">
        <v>31.13</v>
      </c>
      <c r="I55" s="59">
        <v>0.43</v>
      </c>
      <c r="J55" s="59">
        <v>1.07</v>
      </c>
      <c r="K55" s="59">
        <v>2.5099999999999998</v>
      </c>
      <c r="L55" s="59">
        <v>25.59</v>
      </c>
      <c r="M55" s="59">
        <v>38</v>
      </c>
      <c r="N55" s="59">
        <v>216.5</v>
      </c>
      <c r="O55" s="59">
        <v>0</v>
      </c>
      <c r="P55" s="59">
        <v>1.32</v>
      </c>
      <c r="Q55" s="59">
        <v>41.37</v>
      </c>
      <c r="R55" s="197"/>
      <c r="S55" s="197"/>
      <c r="T55" s="197"/>
      <c r="U55" s="197"/>
    </row>
    <row r="56" spans="1:21" s="12" customFormat="1" x14ac:dyDescent="0.25">
      <c r="A56" s="200" t="s">
        <v>1158</v>
      </c>
      <c r="B56" s="59">
        <v>7</v>
      </c>
      <c r="C56" s="59">
        <v>79.95</v>
      </c>
      <c r="D56" s="59">
        <v>49.74</v>
      </c>
      <c r="E56" s="59">
        <v>3.82</v>
      </c>
      <c r="F56" s="59">
        <v>2.33</v>
      </c>
      <c r="G56" s="59">
        <v>73.13</v>
      </c>
      <c r="H56" s="59">
        <v>29.95</v>
      </c>
      <c r="I56" s="59">
        <v>0.43</v>
      </c>
      <c r="J56" s="59">
        <v>0.75</v>
      </c>
      <c r="K56" s="59">
        <v>67.25</v>
      </c>
      <c r="L56" s="59">
        <v>24.9</v>
      </c>
      <c r="M56" s="59">
        <v>40</v>
      </c>
      <c r="N56" s="59">
        <v>208.9</v>
      </c>
      <c r="O56" s="59">
        <v>0</v>
      </c>
      <c r="P56" s="59">
        <v>1.3</v>
      </c>
      <c r="Q56" s="59">
        <v>41.07</v>
      </c>
      <c r="R56" s="197"/>
      <c r="S56" s="197"/>
      <c r="T56" s="197"/>
      <c r="U56" s="197"/>
    </row>
    <row r="57" spans="1:21" s="12" customFormat="1" x14ac:dyDescent="0.25">
      <c r="A57" s="200" t="s">
        <v>1159</v>
      </c>
      <c r="B57" s="59">
        <v>5.94</v>
      </c>
      <c r="C57" s="59">
        <v>81.38</v>
      </c>
      <c r="D57" s="59">
        <v>49.68</v>
      </c>
      <c r="E57" s="59">
        <v>6.36</v>
      </c>
      <c r="F57" s="59">
        <v>1.89</v>
      </c>
      <c r="G57" s="59">
        <v>73.13</v>
      </c>
      <c r="H57" s="59">
        <v>29.95</v>
      </c>
      <c r="I57" s="59">
        <v>0.42</v>
      </c>
      <c r="J57" s="59">
        <v>0.67</v>
      </c>
      <c r="K57" s="59">
        <v>48.34</v>
      </c>
      <c r="L57" s="59">
        <v>25.64</v>
      </c>
      <c r="M57" s="59">
        <v>38</v>
      </c>
      <c r="N57" s="59">
        <v>259.39999999999998</v>
      </c>
      <c r="O57" s="59">
        <v>0</v>
      </c>
      <c r="P57" s="59">
        <v>1.29</v>
      </c>
      <c r="Q57" s="59">
        <v>41.07</v>
      </c>
      <c r="R57" s="197"/>
      <c r="S57" s="197"/>
      <c r="T57" s="197"/>
      <c r="U57" s="197"/>
    </row>
    <row r="58" spans="1:21" s="12" customFormat="1" x14ac:dyDescent="0.25">
      <c r="A58" s="200" t="s">
        <v>1160</v>
      </c>
      <c r="B58" s="59">
        <v>5.42</v>
      </c>
      <c r="C58" s="59">
        <v>79.69</v>
      </c>
      <c r="D58" s="59">
        <v>48.33</v>
      </c>
      <c r="E58" s="59">
        <v>6.79</v>
      </c>
      <c r="F58" s="59">
        <v>1.94</v>
      </c>
      <c r="G58" s="59">
        <v>73.13</v>
      </c>
      <c r="H58" s="59">
        <v>29.95</v>
      </c>
      <c r="I58" s="59">
        <v>0.41</v>
      </c>
      <c r="J58" s="59">
        <v>0.68</v>
      </c>
      <c r="K58" s="59">
        <v>68.13</v>
      </c>
      <c r="L58" s="59">
        <v>25.51</v>
      </c>
      <c r="M58" s="59">
        <v>38</v>
      </c>
      <c r="N58" s="59">
        <v>236.8</v>
      </c>
      <c r="O58" s="59">
        <v>0</v>
      </c>
      <c r="P58" s="59">
        <v>1.28</v>
      </c>
      <c r="Q58" s="59">
        <v>41.12</v>
      </c>
      <c r="R58" s="197"/>
      <c r="S58" s="197"/>
      <c r="T58" s="197"/>
      <c r="U58" s="197"/>
    </row>
    <row r="59" spans="1:21" s="12" customFormat="1" x14ac:dyDescent="0.25">
      <c r="A59" s="200" t="s">
        <v>1161</v>
      </c>
      <c r="B59" s="59">
        <v>4.78</v>
      </c>
      <c r="C59" s="59">
        <v>78.63</v>
      </c>
      <c r="D59" s="59">
        <v>47.22</v>
      </c>
      <c r="E59" s="59">
        <v>6.58</v>
      </c>
      <c r="F59" s="59">
        <v>2.97</v>
      </c>
      <c r="G59" s="59">
        <v>68.78</v>
      </c>
      <c r="H59" s="59">
        <v>30.45</v>
      </c>
      <c r="I59" s="59">
        <v>0.4</v>
      </c>
      <c r="J59" s="59">
        <v>0.84</v>
      </c>
      <c r="K59" s="59">
        <v>62.65</v>
      </c>
      <c r="L59" s="59">
        <v>25.79</v>
      </c>
      <c r="M59" s="59">
        <v>37</v>
      </c>
      <c r="N59" s="59">
        <v>272.5</v>
      </c>
      <c r="O59" s="59">
        <v>0</v>
      </c>
      <c r="P59" s="59">
        <v>1.27</v>
      </c>
      <c r="Q59" s="59">
        <v>41.08</v>
      </c>
      <c r="R59" s="197"/>
      <c r="S59" s="197"/>
      <c r="T59" s="197"/>
      <c r="U59" s="197"/>
    </row>
    <row r="60" spans="1:21" s="12" customFormat="1" x14ac:dyDescent="0.25">
      <c r="A60" s="200" t="s">
        <v>1162</v>
      </c>
      <c r="B60" s="59">
        <v>4.12</v>
      </c>
      <c r="C60" s="59">
        <v>76.989999999999995</v>
      </c>
      <c r="D60" s="59">
        <v>45.79</v>
      </c>
      <c r="E60" s="59">
        <v>6.66</v>
      </c>
      <c r="F60" s="59">
        <v>2.67</v>
      </c>
      <c r="G60" s="59">
        <v>54.86</v>
      </c>
      <c r="H60" s="59">
        <v>31.24</v>
      </c>
      <c r="I60" s="59">
        <v>0.39</v>
      </c>
      <c r="J60" s="59">
        <v>0.76</v>
      </c>
      <c r="K60" s="59">
        <v>73.37</v>
      </c>
      <c r="L60" s="59">
        <v>26.24</v>
      </c>
      <c r="M60" s="59">
        <v>36</v>
      </c>
      <c r="N60" s="59">
        <v>299</v>
      </c>
      <c r="O60" s="59">
        <v>0</v>
      </c>
      <c r="P60" s="59">
        <v>1.25</v>
      </c>
      <c r="Q60" s="59">
        <v>40.72</v>
      </c>
      <c r="R60" s="197"/>
      <c r="S60" s="197"/>
      <c r="T60" s="197"/>
      <c r="U60" s="197"/>
    </row>
    <row r="61" spans="1:21" s="12" customFormat="1" x14ac:dyDescent="0.25">
      <c r="A61" s="200" t="s">
        <v>1163</v>
      </c>
      <c r="B61" s="59">
        <v>3.88</v>
      </c>
      <c r="C61" s="59">
        <v>75.95</v>
      </c>
      <c r="D61" s="59">
        <v>45.03</v>
      </c>
      <c r="E61" s="59">
        <v>6.89</v>
      </c>
      <c r="F61" s="59">
        <v>3.27</v>
      </c>
      <c r="G61" s="59">
        <v>54.86</v>
      </c>
      <c r="H61" s="59">
        <v>31.24</v>
      </c>
      <c r="I61" s="59">
        <v>0.39</v>
      </c>
      <c r="J61" s="59">
        <v>1.0900000000000001</v>
      </c>
      <c r="K61" s="59">
        <v>91.27</v>
      </c>
      <c r="L61" s="59">
        <v>25.92</v>
      </c>
      <c r="M61" s="59">
        <v>36</v>
      </c>
      <c r="N61" s="59">
        <v>211.9</v>
      </c>
      <c r="O61" s="59">
        <v>0</v>
      </c>
      <c r="P61" s="59">
        <v>1.21</v>
      </c>
      <c r="Q61" s="59">
        <v>40.58</v>
      </c>
      <c r="R61" s="197"/>
      <c r="S61" s="197"/>
      <c r="T61" s="197"/>
      <c r="U61" s="197"/>
    </row>
    <row r="62" spans="1:21" s="12" customFormat="1" x14ac:dyDescent="0.25">
      <c r="A62" s="200" t="s">
        <v>1164</v>
      </c>
      <c r="B62" s="59">
        <v>4.3600000000000003</v>
      </c>
      <c r="C62" s="59">
        <v>74.86</v>
      </c>
      <c r="D62" s="59">
        <v>44.81</v>
      </c>
      <c r="E62" s="59">
        <v>8.1</v>
      </c>
      <c r="F62" s="59">
        <v>3.91</v>
      </c>
      <c r="G62" s="59">
        <v>54.86</v>
      </c>
      <c r="H62" s="59">
        <v>31.24</v>
      </c>
      <c r="I62" s="59">
        <v>0.38</v>
      </c>
      <c r="J62" s="59">
        <v>1.1000000000000001</v>
      </c>
      <c r="K62" s="59">
        <v>92.37</v>
      </c>
      <c r="L62" s="59">
        <v>25.47</v>
      </c>
      <c r="M62" s="59">
        <v>37</v>
      </c>
      <c r="N62" s="59">
        <v>184.9</v>
      </c>
      <c r="O62" s="59">
        <v>0</v>
      </c>
      <c r="P62" s="59">
        <v>1.25</v>
      </c>
      <c r="Q62" s="59">
        <v>40.15</v>
      </c>
      <c r="R62" s="197"/>
      <c r="S62" s="197"/>
      <c r="T62" s="197"/>
      <c r="U62" s="197"/>
    </row>
    <row r="63" spans="1:21" s="12" customFormat="1" x14ac:dyDescent="0.25">
      <c r="A63" s="200" t="s">
        <v>1165</v>
      </c>
      <c r="B63" s="59">
        <v>3.64</v>
      </c>
      <c r="C63" s="59">
        <v>72.150000000000006</v>
      </c>
      <c r="D63" s="59">
        <v>42.73</v>
      </c>
      <c r="E63" s="59">
        <v>6.73</v>
      </c>
      <c r="F63" s="59">
        <v>3.72</v>
      </c>
      <c r="G63" s="59">
        <v>44.27</v>
      </c>
      <c r="H63" s="59">
        <v>30.52</v>
      </c>
      <c r="I63" s="59">
        <v>0.37</v>
      </c>
      <c r="J63" s="59">
        <v>0.95</v>
      </c>
      <c r="K63" s="59">
        <v>101.26</v>
      </c>
      <c r="L63" s="59">
        <v>25.65</v>
      </c>
      <c r="M63" s="59">
        <v>37</v>
      </c>
      <c r="N63" s="59">
        <v>181.9</v>
      </c>
      <c r="O63" s="59">
        <v>0</v>
      </c>
      <c r="P63" s="59">
        <v>1.21</v>
      </c>
      <c r="Q63" s="59">
        <v>40.06</v>
      </c>
      <c r="R63" s="197"/>
      <c r="S63" s="197"/>
      <c r="T63" s="197"/>
      <c r="U63" s="197"/>
    </row>
    <row r="64" spans="1:21" s="12" customFormat="1" x14ac:dyDescent="0.25">
      <c r="A64" s="200" t="s">
        <v>1166</v>
      </c>
      <c r="B64" s="59">
        <v>3.68</v>
      </c>
      <c r="C64" s="59">
        <v>70.099999999999994</v>
      </c>
      <c r="D64" s="59">
        <v>41.64</v>
      </c>
      <c r="E64" s="59">
        <v>6.86</v>
      </c>
      <c r="F64" s="59">
        <v>3.12</v>
      </c>
      <c r="G64" s="59">
        <v>33.99</v>
      </c>
      <c r="H64" s="59">
        <v>29.39</v>
      </c>
      <c r="I64" s="59">
        <v>0.37</v>
      </c>
      <c r="J64" s="59">
        <v>0.88</v>
      </c>
      <c r="K64" s="59">
        <v>89.35</v>
      </c>
      <c r="L64" s="59">
        <v>25.6</v>
      </c>
      <c r="M64" s="59">
        <v>37</v>
      </c>
      <c r="N64" s="59">
        <v>161.6</v>
      </c>
      <c r="O64" s="59">
        <v>0</v>
      </c>
      <c r="P64" s="59">
        <v>1.2</v>
      </c>
      <c r="Q64" s="59">
        <v>40.04</v>
      </c>
      <c r="R64" s="197"/>
      <c r="S64" s="197"/>
      <c r="T64" s="197"/>
      <c r="U64" s="197"/>
    </row>
    <row r="65" spans="1:21" s="12" customFormat="1" x14ac:dyDescent="0.25">
      <c r="A65" s="200" t="s">
        <v>1167</v>
      </c>
      <c r="B65" s="59">
        <v>4.4400000000000004</v>
      </c>
      <c r="C65" s="59">
        <v>69.73</v>
      </c>
      <c r="D65" s="59">
        <v>42.04</v>
      </c>
      <c r="E65" s="59">
        <v>7.26</v>
      </c>
      <c r="F65" s="59">
        <v>3.63</v>
      </c>
      <c r="G65" s="59">
        <v>33.99</v>
      </c>
      <c r="H65" s="59">
        <v>29.39</v>
      </c>
      <c r="I65" s="59">
        <v>0.37</v>
      </c>
      <c r="J65" s="59">
        <v>0.68</v>
      </c>
      <c r="K65" s="59">
        <v>86.32</v>
      </c>
      <c r="L65" s="59">
        <v>25.76</v>
      </c>
      <c r="M65" s="59">
        <v>36</v>
      </c>
      <c r="N65" s="59">
        <v>129.9</v>
      </c>
      <c r="O65" s="59">
        <v>0</v>
      </c>
      <c r="P65" s="59">
        <v>1.18</v>
      </c>
      <c r="Q65" s="59">
        <v>40.29</v>
      </c>
      <c r="R65" s="197"/>
      <c r="S65" s="197"/>
      <c r="T65" s="197"/>
      <c r="U65" s="197"/>
    </row>
    <row r="66" spans="1:21" s="12" customFormat="1" x14ac:dyDescent="0.25">
      <c r="A66" s="200" t="s">
        <v>1168</v>
      </c>
      <c r="B66" s="59">
        <v>3.97</v>
      </c>
      <c r="C66" s="59">
        <v>68.099999999999994</v>
      </c>
      <c r="D66" s="59">
        <v>40.770000000000003</v>
      </c>
      <c r="E66" s="59">
        <v>6.69</v>
      </c>
      <c r="F66" s="59">
        <v>2.74</v>
      </c>
      <c r="G66" s="59">
        <v>33.99</v>
      </c>
      <c r="H66" s="59">
        <v>29.39</v>
      </c>
      <c r="I66" s="59">
        <v>0.36</v>
      </c>
      <c r="J66" s="59">
        <v>0.64</v>
      </c>
      <c r="K66" s="59">
        <v>76.16</v>
      </c>
      <c r="L66" s="59">
        <v>25.62</v>
      </c>
      <c r="M66" s="59">
        <v>37</v>
      </c>
      <c r="N66" s="59">
        <v>104.7</v>
      </c>
      <c r="O66" s="59">
        <v>0</v>
      </c>
      <c r="P66" s="59">
        <v>1.18</v>
      </c>
      <c r="Q66" s="59">
        <v>40.72</v>
      </c>
      <c r="R66" s="197"/>
      <c r="S66" s="197"/>
      <c r="T66" s="197"/>
      <c r="U66" s="197"/>
    </row>
    <row r="67" spans="1:21" s="12" customFormat="1" x14ac:dyDescent="0.25">
      <c r="A67" s="200" t="s">
        <v>1169</v>
      </c>
      <c r="B67" s="59">
        <v>5.85</v>
      </c>
      <c r="C67" s="59">
        <v>74.88</v>
      </c>
      <c r="D67" s="59">
        <v>46.01</v>
      </c>
      <c r="E67" s="59">
        <v>7.55</v>
      </c>
      <c r="F67" s="59">
        <v>3.71</v>
      </c>
      <c r="G67" s="59">
        <v>53.54</v>
      </c>
      <c r="H67" s="59">
        <v>29.53</v>
      </c>
      <c r="I67" s="59">
        <v>0.36</v>
      </c>
      <c r="J67" s="59">
        <v>0.48</v>
      </c>
      <c r="K67" s="59">
        <v>54.31</v>
      </c>
      <c r="L67" s="59">
        <v>25.87</v>
      </c>
      <c r="M67" s="59">
        <v>36</v>
      </c>
      <c r="N67" s="59">
        <v>85.7</v>
      </c>
      <c r="O67" s="59">
        <v>0</v>
      </c>
      <c r="P67" s="59">
        <v>1.21</v>
      </c>
      <c r="Q67" s="59">
        <v>41.24</v>
      </c>
      <c r="R67" s="197"/>
      <c r="S67" s="197"/>
      <c r="T67" s="197"/>
      <c r="U67" s="197"/>
    </row>
    <row r="68" spans="1:21" s="12" customFormat="1" x14ac:dyDescent="0.25">
      <c r="A68" s="200" t="s">
        <v>1170</v>
      </c>
      <c r="B68" s="59">
        <v>4.63</v>
      </c>
      <c r="C68" s="59">
        <v>69.510000000000005</v>
      </c>
      <c r="D68" s="59">
        <v>42.07</v>
      </c>
      <c r="E68" s="59">
        <v>6.84</v>
      </c>
      <c r="F68" s="59">
        <v>3.06</v>
      </c>
      <c r="G68" s="59">
        <v>71.930000000000007</v>
      </c>
      <c r="H68" s="59">
        <v>29.76</v>
      </c>
      <c r="I68" s="59">
        <v>0.36</v>
      </c>
      <c r="J68" s="59">
        <v>1.1299999999999999</v>
      </c>
      <c r="K68" s="59">
        <v>104.64</v>
      </c>
      <c r="L68" s="59">
        <v>25.41</v>
      </c>
      <c r="M68" s="59">
        <v>37</v>
      </c>
      <c r="N68" s="59">
        <v>74.900000000000006</v>
      </c>
      <c r="O68" s="59">
        <v>0</v>
      </c>
      <c r="P68" s="59">
        <v>1.17</v>
      </c>
      <c r="Q68" s="59">
        <v>41.69</v>
      </c>
      <c r="R68" s="197"/>
      <c r="S68" s="197"/>
      <c r="T68" s="197"/>
      <c r="U68" s="197"/>
    </row>
    <row r="69" spans="1:21" s="12" customFormat="1" x14ac:dyDescent="0.25">
      <c r="A69" s="200" t="s">
        <v>1171</v>
      </c>
      <c r="B69" s="59">
        <v>3.83</v>
      </c>
      <c r="C69" s="59">
        <v>67.47</v>
      </c>
      <c r="D69" s="59">
        <v>40.31</v>
      </c>
      <c r="E69" s="59">
        <v>6.04</v>
      </c>
      <c r="F69" s="59">
        <v>2.15</v>
      </c>
      <c r="G69" s="59">
        <v>71.930000000000007</v>
      </c>
      <c r="H69" s="59">
        <v>29.76</v>
      </c>
      <c r="I69" s="59">
        <v>0.37</v>
      </c>
      <c r="J69" s="59">
        <v>1</v>
      </c>
      <c r="K69" s="59">
        <v>98.7</v>
      </c>
      <c r="L69" s="59">
        <v>25.34</v>
      </c>
      <c r="M69" s="59">
        <v>38</v>
      </c>
      <c r="N69" s="59">
        <v>80.2</v>
      </c>
      <c r="O69" s="59">
        <v>0</v>
      </c>
      <c r="P69" s="59">
        <v>1.1599999999999999</v>
      </c>
      <c r="Q69" s="59">
        <v>42.74</v>
      </c>
      <c r="R69" s="197"/>
      <c r="S69" s="197"/>
      <c r="T69" s="197"/>
      <c r="U69" s="197"/>
    </row>
    <row r="70" spans="1:21" s="12" customFormat="1" x14ac:dyDescent="0.25">
      <c r="A70" s="200" t="s">
        <v>1172</v>
      </c>
      <c r="B70" s="59">
        <v>3.19</v>
      </c>
      <c r="C70" s="59">
        <v>66.260000000000005</v>
      </c>
      <c r="D70" s="59">
        <v>39.119999999999997</v>
      </c>
      <c r="E70" s="59">
        <v>5.9</v>
      </c>
      <c r="F70" s="59">
        <v>2.27</v>
      </c>
      <c r="G70" s="59">
        <v>71.930000000000007</v>
      </c>
      <c r="H70" s="59">
        <v>29.76</v>
      </c>
      <c r="I70" s="59">
        <v>0.38</v>
      </c>
      <c r="J70" s="59">
        <v>1.39</v>
      </c>
      <c r="K70" s="59">
        <v>107.4</v>
      </c>
      <c r="L70" s="59">
        <v>25.28</v>
      </c>
      <c r="M70" s="59">
        <v>38</v>
      </c>
      <c r="N70" s="59">
        <v>74.400000000000006</v>
      </c>
      <c r="O70" s="59">
        <v>0</v>
      </c>
      <c r="P70" s="59">
        <v>1.1299999999999999</v>
      </c>
      <c r="Q70" s="59">
        <v>43.02</v>
      </c>
      <c r="R70" s="197"/>
      <c r="S70" s="197"/>
      <c r="T70" s="197"/>
      <c r="U70" s="197"/>
    </row>
    <row r="71" spans="1:21" s="12" customFormat="1" x14ac:dyDescent="0.25">
      <c r="A71" s="200" t="s">
        <v>1173</v>
      </c>
      <c r="B71" s="59">
        <v>2.75</v>
      </c>
      <c r="C71" s="59">
        <v>64.66</v>
      </c>
      <c r="D71" s="59">
        <v>37.89</v>
      </c>
      <c r="E71" s="59">
        <v>5.43</v>
      </c>
      <c r="F71" s="59">
        <v>2.62</v>
      </c>
      <c r="G71" s="59">
        <v>62.15</v>
      </c>
      <c r="H71" s="59">
        <v>29.28</v>
      </c>
      <c r="I71" s="59">
        <v>0.38</v>
      </c>
      <c r="J71" s="59">
        <v>1.19</v>
      </c>
      <c r="K71" s="59">
        <v>110.88</v>
      </c>
      <c r="L71" s="59">
        <v>25.17</v>
      </c>
      <c r="M71" s="59">
        <v>38</v>
      </c>
      <c r="N71" s="59">
        <v>78.900000000000006</v>
      </c>
      <c r="O71" s="59">
        <v>0</v>
      </c>
      <c r="P71" s="59">
        <v>1.1000000000000001</v>
      </c>
      <c r="Q71" s="59">
        <v>42.67</v>
      </c>
      <c r="R71" s="197"/>
      <c r="S71" s="197"/>
      <c r="T71" s="197"/>
      <c r="U71" s="197"/>
    </row>
    <row r="72" spans="1:21" s="12" customFormat="1" x14ac:dyDescent="0.25">
      <c r="A72" s="200" t="s">
        <v>1174</v>
      </c>
      <c r="B72" s="59">
        <v>2.5299999999999998</v>
      </c>
      <c r="C72" s="59">
        <v>63.14</v>
      </c>
      <c r="D72" s="59">
        <v>36.869999999999997</v>
      </c>
      <c r="E72" s="59">
        <v>2.11</v>
      </c>
      <c r="F72" s="59">
        <v>2.27</v>
      </c>
      <c r="G72" s="59">
        <v>52.95</v>
      </c>
      <c r="H72" s="59">
        <v>28.48</v>
      </c>
      <c r="I72" s="59">
        <v>0.36</v>
      </c>
      <c r="J72" s="59">
        <v>1.21</v>
      </c>
      <c r="K72" s="59">
        <v>105.1</v>
      </c>
      <c r="L72" s="59">
        <v>24.98</v>
      </c>
      <c r="M72" s="59">
        <v>38</v>
      </c>
      <c r="N72" s="59">
        <v>74.7</v>
      </c>
      <c r="O72" s="59">
        <v>0</v>
      </c>
      <c r="P72" s="59">
        <v>1.08</v>
      </c>
      <c r="Q72" s="59">
        <v>42.28</v>
      </c>
      <c r="R72" s="197"/>
      <c r="S72" s="197"/>
      <c r="T72" s="197"/>
      <c r="U72" s="197"/>
    </row>
    <row r="73" spans="1:21" s="12" customFormat="1" x14ac:dyDescent="0.25">
      <c r="A73" s="200" t="s">
        <v>1175</v>
      </c>
      <c r="B73" s="59">
        <v>2.38</v>
      </c>
      <c r="C73" s="59">
        <v>61.91</v>
      </c>
      <c r="D73" s="59">
        <v>36.08</v>
      </c>
      <c r="E73" s="59">
        <v>3.87</v>
      </c>
      <c r="F73" s="59">
        <v>2.08</v>
      </c>
      <c r="G73" s="59">
        <v>52.95</v>
      </c>
      <c r="H73" s="59">
        <v>28.48</v>
      </c>
      <c r="I73" s="59">
        <v>0.36</v>
      </c>
      <c r="J73" s="59">
        <v>1.22</v>
      </c>
      <c r="K73" s="59">
        <v>107.53</v>
      </c>
      <c r="L73" s="59">
        <v>24.76</v>
      </c>
      <c r="M73" s="59">
        <v>39</v>
      </c>
      <c r="N73" s="59">
        <v>57.7</v>
      </c>
      <c r="O73" s="59">
        <v>0</v>
      </c>
      <c r="P73" s="59">
        <v>1.06</v>
      </c>
      <c r="Q73" s="59">
        <v>41.91</v>
      </c>
      <c r="R73" s="197"/>
      <c r="S73" s="197"/>
      <c r="T73" s="197"/>
      <c r="U73" s="197"/>
    </row>
    <row r="74" spans="1:21" s="12" customFormat="1" x14ac:dyDescent="0.25">
      <c r="A74" s="200" t="s">
        <v>1176</v>
      </c>
      <c r="B74" s="59">
        <v>2.31</v>
      </c>
      <c r="C74" s="59">
        <v>61.15</v>
      </c>
      <c r="D74" s="59">
        <v>35.6</v>
      </c>
      <c r="E74" s="59">
        <v>4.03</v>
      </c>
      <c r="F74" s="59">
        <v>2.02</v>
      </c>
      <c r="G74" s="59">
        <v>52.95</v>
      </c>
      <c r="H74" s="59">
        <v>28.48</v>
      </c>
      <c r="I74" s="59">
        <v>0.35</v>
      </c>
      <c r="J74" s="59">
        <v>0.93</v>
      </c>
      <c r="K74" s="59">
        <v>109.56</v>
      </c>
      <c r="L74" s="59">
        <v>24.51</v>
      </c>
      <c r="M74" s="59">
        <v>41</v>
      </c>
      <c r="N74" s="59">
        <v>46.7</v>
      </c>
      <c r="O74" s="59">
        <v>0</v>
      </c>
      <c r="P74" s="59">
        <v>1.04</v>
      </c>
      <c r="Q74" s="59">
        <v>41.65</v>
      </c>
      <c r="R74" s="197"/>
      <c r="S74" s="197"/>
      <c r="T74" s="197"/>
      <c r="U74" s="197"/>
    </row>
    <row r="75" spans="1:21" s="12" customFormat="1" x14ac:dyDescent="0.25">
      <c r="A75" s="200" t="s">
        <v>1177</v>
      </c>
      <c r="B75" s="59">
        <v>2.6</v>
      </c>
      <c r="C75" s="59">
        <v>61.95</v>
      </c>
      <c r="D75" s="59">
        <v>36.270000000000003</v>
      </c>
      <c r="E75" s="59">
        <v>4.09</v>
      </c>
      <c r="F75" s="59">
        <v>2.27</v>
      </c>
      <c r="G75" s="59">
        <v>52.3</v>
      </c>
      <c r="H75" s="59">
        <v>27.41</v>
      </c>
      <c r="I75" s="59">
        <v>0.34</v>
      </c>
      <c r="J75" s="59">
        <v>0.35</v>
      </c>
      <c r="K75" s="59">
        <v>106.94</v>
      </c>
      <c r="L75" s="59">
        <v>24.31</v>
      </c>
      <c r="M75" s="59">
        <v>42</v>
      </c>
      <c r="N75" s="59">
        <v>38.200000000000003</v>
      </c>
      <c r="O75" s="59">
        <v>0</v>
      </c>
      <c r="P75" s="59">
        <v>1.07</v>
      </c>
      <c r="Q75" s="59">
        <v>41.33</v>
      </c>
      <c r="R75" s="197"/>
      <c r="S75" s="197"/>
      <c r="T75" s="197"/>
      <c r="U75" s="197"/>
    </row>
    <row r="76" spans="1:21" s="12" customFormat="1" x14ac:dyDescent="0.25">
      <c r="A76" s="200" t="s">
        <v>1178</v>
      </c>
      <c r="B76" s="59">
        <v>4.07</v>
      </c>
      <c r="C76" s="59">
        <v>67.28</v>
      </c>
      <c r="D76" s="59">
        <v>40.39</v>
      </c>
      <c r="E76" s="59">
        <v>4.63</v>
      </c>
      <c r="F76" s="59">
        <v>3.15</v>
      </c>
      <c r="G76" s="59">
        <v>50.15</v>
      </c>
      <c r="H76" s="59">
        <v>25.73</v>
      </c>
      <c r="I76" s="59">
        <v>0.34</v>
      </c>
      <c r="J76" s="59">
        <v>0.28999999999999998</v>
      </c>
      <c r="K76" s="59">
        <v>60.02</v>
      </c>
      <c r="L76" s="59">
        <v>24.16</v>
      </c>
      <c r="M76" s="59">
        <v>44</v>
      </c>
      <c r="N76" s="59">
        <v>33.6</v>
      </c>
      <c r="O76" s="59">
        <v>0</v>
      </c>
      <c r="P76" s="59">
        <v>1.1299999999999999</v>
      </c>
      <c r="Q76" s="59">
        <v>40.6</v>
      </c>
      <c r="R76" s="197"/>
      <c r="S76" s="197"/>
      <c r="T76" s="197"/>
      <c r="U76" s="197"/>
    </row>
    <row r="77" spans="1:21" s="12" customFormat="1" x14ac:dyDescent="0.25">
      <c r="A77" s="200" t="s">
        <v>1179</v>
      </c>
      <c r="B77" s="59">
        <v>3.74</v>
      </c>
      <c r="C77" s="59">
        <v>66.010000000000005</v>
      </c>
      <c r="D77" s="59">
        <v>39.43</v>
      </c>
      <c r="E77" s="59">
        <v>4.76</v>
      </c>
      <c r="F77" s="59">
        <v>2.5</v>
      </c>
      <c r="G77" s="59">
        <v>50.15</v>
      </c>
      <c r="H77" s="59">
        <v>25.73</v>
      </c>
      <c r="I77" s="59">
        <v>0.34</v>
      </c>
      <c r="J77" s="59">
        <v>0.78</v>
      </c>
      <c r="K77" s="59">
        <v>94.78</v>
      </c>
      <c r="L77" s="59">
        <v>23.8</v>
      </c>
      <c r="M77" s="59">
        <v>45</v>
      </c>
      <c r="N77" s="59">
        <v>28.4</v>
      </c>
      <c r="O77" s="59">
        <v>0</v>
      </c>
      <c r="P77" s="59">
        <v>1.1399999999999999</v>
      </c>
      <c r="Q77" s="59">
        <v>40.74</v>
      </c>
      <c r="R77" s="197"/>
      <c r="S77" s="197"/>
      <c r="T77" s="197"/>
      <c r="U77" s="197"/>
    </row>
    <row r="78" spans="1:21" s="12" customFormat="1" x14ac:dyDescent="0.25">
      <c r="A78" s="200" t="s">
        <v>1180</v>
      </c>
      <c r="B78" s="59">
        <v>4.07</v>
      </c>
      <c r="C78" s="59">
        <v>66.010000000000005</v>
      </c>
      <c r="D78" s="59">
        <v>39.69</v>
      </c>
      <c r="E78" s="59">
        <v>4.72</v>
      </c>
      <c r="F78" s="59">
        <v>2.44</v>
      </c>
      <c r="G78" s="59">
        <v>50.15</v>
      </c>
      <c r="H78" s="59">
        <v>25.73</v>
      </c>
      <c r="I78" s="59">
        <v>0.35</v>
      </c>
      <c r="J78" s="59">
        <v>1</v>
      </c>
      <c r="K78" s="59">
        <v>106.59</v>
      </c>
      <c r="L78" s="59">
        <v>23.56</v>
      </c>
      <c r="M78" s="59">
        <v>45</v>
      </c>
      <c r="N78" s="59">
        <v>25.7</v>
      </c>
      <c r="O78" s="59">
        <v>0</v>
      </c>
      <c r="P78" s="59">
        <v>1.1499999999999999</v>
      </c>
      <c r="Q78" s="59">
        <v>41.26</v>
      </c>
      <c r="R78" s="197"/>
      <c r="S78" s="197"/>
      <c r="T78" s="197"/>
      <c r="U78" s="197"/>
    </row>
    <row r="79" spans="1:21" s="12" customFormat="1" x14ac:dyDescent="0.25">
      <c r="A79" s="200" t="s">
        <v>1181</v>
      </c>
      <c r="B79" s="59">
        <v>4.2300000000000004</v>
      </c>
      <c r="C79" s="59">
        <v>65.94</v>
      </c>
      <c r="D79" s="59">
        <v>39.79</v>
      </c>
      <c r="E79" s="59">
        <v>4.34</v>
      </c>
      <c r="F79" s="59">
        <v>1.93</v>
      </c>
      <c r="G79" s="59">
        <v>54.62</v>
      </c>
      <c r="H79" s="59">
        <v>27.31</v>
      </c>
      <c r="I79" s="59">
        <v>0.36</v>
      </c>
      <c r="J79" s="59">
        <v>0.94</v>
      </c>
      <c r="K79" s="59">
        <v>99.47</v>
      </c>
      <c r="L79" s="59">
        <v>23.32</v>
      </c>
      <c r="M79" s="59">
        <v>46</v>
      </c>
      <c r="N79" s="59">
        <v>25.2</v>
      </c>
      <c r="O79" s="59">
        <v>0</v>
      </c>
      <c r="P79" s="59">
        <v>1.1599999999999999</v>
      </c>
      <c r="Q79" s="59">
        <v>41.75</v>
      </c>
      <c r="R79" s="197"/>
      <c r="S79" s="197"/>
      <c r="T79" s="197"/>
      <c r="U79" s="197"/>
    </row>
    <row r="80" spans="1:21" s="12" customFormat="1" x14ac:dyDescent="0.25">
      <c r="A80" s="200" t="s">
        <v>1182</v>
      </c>
      <c r="B80" s="59">
        <v>5.25</v>
      </c>
      <c r="C80" s="59">
        <v>68.06</v>
      </c>
      <c r="D80" s="59">
        <v>41.77</v>
      </c>
      <c r="E80" s="59">
        <v>5.21</v>
      </c>
      <c r="F80" s="59">
        <v>2.04</v>
      </c>
      <c r="G80" s="59">
        <v>58.82</v>
      </c>
      <c r="H80" s="59">
        <v>29.8</v>
      </c>
      <c r="I80" s="59">
        <v>0.37</v>
      </c>
      <c r="J80" s="59">
        <v>0.35</v>
      </c>
      <c r="K80" s="59">
        <v>81.2</v>
      </c>
      <c r="L80" s="59">
        <v>23.13</v>
      </c>
      <c r="M80" s="59">
        <v>48</v>
      </c>
      <c r="N80" s="59">
        <v>25</v>
      </c>
      <c r="O80" s="59">
        <v>0</v>
      </c>
      <c r="P80" s="59">
        <v>1.22</v>
      </c>
      <c r="Q80" s="59">
        <v>42.02</v>
      </c>
      <c r="R80" s="197"/>
      <c r="S80" s="197"/>
      <c r="T80" s="197"/>
      <c r="U80" s="197"/>
    </row>
    <row r="81" spans="1:26" s="12" customFormat="1" x14ac:dyDescent="0.25">
      <c r="A81" s="200" t="s">
        <v>1183</v>
      </c>
      <c r="B81" s="59">
        <v>4.96</v>
      </c>
      <c r="C81" s="59">
        <v>68.62</v>
      </c>
      <c r="D81" s="59">
        <v>41.85</v>
      </c>
      <c r="E81" s="59">
        <v>4.6900000000000004</v>
      </c>
      <c r="F81" s="59">
        <v>1.19</v>
      </c>
      <c r="G81" s="59">
        <v>58.82</v>
      </c>
      <c r="H81" s="59">
        <v>29.8</v>
      </c>
      <c r="I81" s="59">
        <v>0.38</v>
      </c>
      <c r="J81" s="59">
        <v>0.4</v>
      </c>
      <c r="K81" s="59">
        <v>81.790000000000006</v>
      </c>
      <c r="L81" s="59">
        <v>22.96</v>
      </c>
      <c r="M81" s="59">
        <v>48</v>
      </c>
      <c r="N81" s="59">
        <v>25</v>
      </c>
      <c r="O81" s="59">
        <v>0</v>
      </c>
      <c r="P81" s="59">
        <v>1.24</v>
      </c>
      <c r="Q81" s="59">
        <v>42.47</v>
      </c>
      <c r="R81" s="197"/>
      <c r="S81" s="197"/>
      <c r="T81" s="197"/>
      <c r="U81" s="197"/>
    </row>
    <row r="82" spans="1:26" s="12" customFormat="1" x14ac:dyDescent="0.25">
      <c r="A82" s="200" t="s">
        <v>1184</v>
      </c>
      <c r="B82" s="59">
        <v>6.78</v>
      </c>
      <c r="C82" s="59">
        <v>73.75</v>
      </c>
      <c r="D82" s="59">
        <v>46.14</v>
      </c>
      <c r="E82" s="59">
        <v>4.82</v>
      </c>
      <c r="F82" s="59">
        <v>1.22</v>
      </c>
      <c r="G82" s="59">
        <v>58.82</v>
      </c>
      <c r="H82" s="59">
        <v>29.8</v>
      </c>
      <c r="I82" s="59">
        <v>0.4</v>
      </c>
      <c r="J82" s="59">
        <v>0.25</v>
      </c>
      <c r="K82" s="59">
        <v>24.93</v>
      </c>
      <c r="L82" s="59">
        <v>22.78</v>
      </c>
      <c r="M82" s="59">
        <v>50</v>
      </c>
      <c r="N82" s="59">
        <v>25</v>
      </c>
      <c r="O82" s="59">
        <v>0</v>
      </c>
      <c r="P82" s="59">
        <v>1.33</v>
      </c>
      <c r="Q82" s="59">
        <v>43.01</v>
      </c>
      <c r="R82" s="197"/>
      <c r="S82" s="197"/>
      <c r="T82" s="197"/>
      <c r="U82" s="197"/>
    </row>
    <row r="83" spans="1:26" s="12" customFormat="1" x14ac:dyDescent="0.25">
      <c r="A83" s="200" t="s">
        <v>1185</v>
      </c>
      <c r="B83" s="59">
        <v>7.81</v>
      </c>
      <c r="C83" s="59">
        <v>75.98</v>
      </c>
      <c r="D83" s="59">
        <v>48.19</v>
      </c>
      <c r="E83" s="59">
        <v>4.97</v>
      </c>
      <c r="F83" s="59">
        <v>1.1100000000000001</v>
      </c>
      <c r="G83" s="59">
        <v>73.94</v>
      </c>
      <c r="H83" s="59">
        <v>29.9</v>
      </c>
      <c r="I83" s="59">
        <v>0.42</v>
      </c>
      <c r="J83" s="59">
        <v>0.33</v>
      </c>
      <c r="K83" s="59">
        <v>14.99</v>
      </c>
      <c r="L83" s="59">
        <v>22.59</v>
      </c>
      <c r="M83" s="59">
        <v>50</v>
      </c>
      <c r="N83" s="59">
        <v>24.7</v>
      </c>
      <c r="O83" s="59">
        <v>0</v>
      </c>
      <c r="P83" s="59">
        <v>1.41</v>
      </c>
      <c r="Q83" s="59">
        <v>43.72</v>
      </c>
      <c r="R83" s="197"/>
      <c r="S83" s="197"/>
      <c r="T83" s="197"/>
      <c r="U83" s="197"/>
    </row>
    <row r="84" spans="1:26" s="12" customFormat="1" x14ac:dyDescent="0.25">
      <c r="A84" s="200" t="s">
        <v>1186</v>
      </c>
      <c r="B84" s="59">
        <v>8.49</v>
      </c>
      <c r="C84" s="59">
        <v>79.19</v>
      </c>
      <c r="D84" s="59">
        <v>50.52</v>
      </c>
      <c r="E84" s="59">
        <v>4.62</v>
      </c>
      <c r="F84" s="59">
        <v>0.86</v>
      </c>
      <c r="G84" s="59">
        <v>88.16</v>
      </c>
      <c r="H84" s="59">
        <v>30.07</v>
      </c>
      <c r="I84" s="59">
        <v>0.44</v>
      </c>
      <c r="J84" s="59">
        <v>0.34</v>
      </c>
      <c r="K84" s="59">
        <v>40.53</v>
      </c>
      <c r="L84" s="59">
        <v>22.41</v>
      </c>
      <c r="M84" s="59">
        <v>50</v>
      </c>
      <c r="N84" s="59">
        <v>24.6</v>
      </c>
      <c r="O84" s="59">
        <v>0</v>
      </c>
      <c r="P84" s="59">
        <v>1.51</v>
      </c>
      <c r="Q84" s="59">
        <v>44.75</v>
      </c>
      <c r="R84" s="197"/>
      <c r="S84" s="197"/>
      <c r="T84" s="197"/>
      <c r="U84" s="197"/>
    </row>
    <row r="85" spans="1:26" s="12" customFormat="1" x14ac:dyDescent="0.25">
      <c r="A85" s="200" t="s">
        <v>1187</v>
      </c>
      <c r="B85" s="59">
        <v>10.46</v>
      </c>
      <c r="C85" s="59">
        <v>83.15</v>
      </c>
      <c r="D85" s="59">
        <v>54.27</v>
      </c>
      <c r="E85" s="59">
        <v>4.49</v>
      </c>
      <c r="F85" s="59">
        <v>0.75</v>
      </c>
      <c r="G85" s="59">
        <v>88.16</v>
      </c>
      <c r="H85" s="59">
        <v>30.07</v>
      </c>
      <c r="I85" s="59">
        <v>0.46</v>
      </c>
      <c r="J85" s="59">
        <v>0.41</v>
      </c>
      <c r="K85" s="59">
        <v>60.57</v>
      </c>
      <c r="L85" s="59">
        <v>22.32</v>
      </c>
      <c r="M85" s="59">
        <v>51</v>
      </c>
      <c r="N85" s="59">
        <v>24.7</v>
      </c>
      <c r="O85" s="59">
        <v>0</v>
      </c>
      <c r="P85" s="59">
        <v>1.51</v>
      </c>
      <c r="Q85" s="59">
        <v>44.98</v>
      </c>
      <c r="R85" s="197"/>
      <c r="S85" s="197"/>
      <c r="T85" s="197"/>
      <c r="U85" s="197"/>
    </row>
    <row r="86" spans="1:26" s="12" customFormat="1" x14ac:dyDescent="0.25">
      <c r="A86" s="200" t="s">
        <v>1188</v>
      </c>
      <c r="B86" s="59">
        <v>11.91</v>
      </c>
      <c r="C86" s="59">
        <v>85.44</v>
      </c>
      <c r="D86" s="59">
        <v>56.7</v>
      </c>
      <c r="E86" s="59">
        <v>5.1100000000000003</v>
      </c>
      <c r="F86" s="59">
        <v>0.72</v>
      </c>
      <c r="G86" s="59">
        <v>88.16</v>
      </c>
      <c r="H86" s="59">
        <v>30.07</v>
      </c>
      <c r="I86" s="59">
        <v>0.47</v>
      </c>
      <c r="J86" s="59">
        <v>0.41</v>
      </c>
      <c r="K86" s="59">
        <v>38.76</v>
      </c>
      <c r="L86" s="59">
        <v>22.2</v>
      </c>
      <c r="M86" s="59">
        <v>51</v>
      </c>
      <c r="N86" s="59">
        <v>24.7</v>
      </c>
      <c r="O86" s="59">
        <v>0</v>
      </c>
      <c r="P86" s="59">
        <v>1.63</v>
      </c>
      <c r="Q86" s="59">
        <v>44.95</v>
      </c>
      <c r="R86" s="197"/>
      <c r="S86" s="197"/>
      <c r="T86" s="197"/>
      <c r="U86" s="197"/>
    </row>
    <row r="87" spans="1:26" s="12" customFormat="1" x14ac:dyDescent="0.25">
      <c r="A87" s="200" t="s">
        <v>1189</v>
      </c>
      <c r="B87" s="59">
        <v>12.75</v>
      </c>
      <c r="C87" s="59">
        <v>88.59</v>
      </c>
      <c r="D87" s="59">
        <v>59.12</v>
      </c>
      <c r="E87" s="59">
        <v>4.8600000000000003</v>
      </c>
      <c r="F87" s="59">
        <v>0.91</v>
      </c>
      <c r="G87" s="59">
        <v>88.85</v>
      </c>
      <c r="H87" s="59">
        <v>31.12</v>
      </c>
      <c r="I87" s="59">
        <v>0.48</v>
      </c>
      <c r="J87" s="59">
        <v>0.51</v>
      </c>
      <c r="K87" s="59">
        <v>11.32</v>
      </c>
      <c r="L87" s="59">
        <v>22.13</v>
      </c>
      <c r="M87" s="59">
        <v>51</v>
      </c>
      <c r="N87" s="59">
        <v>24.6</v>
      </c>
      <c r="O87" s="59">
        <v>0</v>
      </c>
      <c r="P87" s="59">
        <v>1.76</v>
      </c>
      <c r="Q87" s="59">
        <v>44.7</v>
      </c>
      <c r="R87" s="197"/>
      <c r="S87" s="197"/>
      <c r="T87" s="197"/>
      <c r="U87" s="197"/>
    </row>
    <row r="88" spans="1:26" s="12" customFormat="1" x14ac:dyDescent="0.25">
      <c r="A88" s="200" t="s">
        <v>1190</v>
      </c>
      <c r="B88" s="59">
        <v>12.52</v>
      </c>
      <c r="C88" s="59">
        <v>89.33</v>
      </c>
      <c r="D88" s="59">
        <v>59.34</v>
      </c>
      <c r="E88" s="59">
        <v>3</v>
      </c>
      <c r="F88" s="59">
        <v>0.94</v>
      </c>
      <c r="G88" s="59">
        <v>89.5</v>
      </c>
      <c r="H88" s="59">
        <v>32.85</v>
      </c>
      <c r="I88" s="59">
        <v>0.48</v>
      </c>
      <c r="J88" s="59">
        <v>0.56000000000000005</v>
      </c>
      <c r="K88" s="59">
        <v>71.17</v>
      </c>
      <c r="L88" s="59">
        <v>22.07</v>
      </c>
      <c r="M88" s="59">
        <v>50</v>
      </c>
      <c r="N88" s="59">
        <v>24.7</v>
      </c>
      <c r="O88" s="59">
        <v>0</v>
      </c>
      <c r="P88" s="59">
        <v>1.87</v>
      </c>
      <c r="Q88" s="59">
        <v>44.31</v>
      </c>
      <c r="R88" s="197"/>
      <c r="S88" s="197"/>
      <c r="T88" s="197"/>
      <c r="U88" s="197"/>
    </row>
    <row r="89" spans="1:26" s="12" customFormat="1" x14ac:dyDescent="0.25">
      <c r="A89" s="200" t="s">
        <v>1191</v>
      </c>
      <c r="B89" s="59">
        <v>12.51</v>
      </c>
      <c r="C89" s="59">
        <v>90.04</v>
      </c>
      <c r="D89" s="59">
        <v>59.72</v>
      </c>
      <c r="E89" s="59">
        <v>5.95</v>
      </c>
      <c r="F89" s="59">
        <v>0.72</v>
      </c>
      <c r="G89" s="59">
        <v>89.5</v>
      </c>
      <c r="H89" s="59">
        <v>32.85</v>
      </c>
      <c r="I89" s="59">
        <v>0.48</v>
      </c>
      <c r="J89" s="59">
        <v>0.4</v>
      </c>
      <c r="K89" s="59">
        <v>51.16</v>
      </c>
      <c r="L89" s="59">
        <v>21.93</v>
      </c>
      <c r="M89" s="59">
        <v>51</v>
      </c>
      <c r="N89" s="59">
        <v>24.6</v>
      </c>
      <c r="O89" s="59">
        <v>0</v>
      </c>
      <c r="P89" s="59">
        <v>1.86</v>
      </c>
      <c r="Q89" s="59">
        <v>44.05</v>
      </c>
      <c r="R89" s="197"/>
      <c r="S89" s="197"/>
      <c r="T89" s="197"/>
      <c r="U89" s="197"/>
    </row>
    <row r="90" spans="1:26" s="12" customFormat="1" x14ac:dyDescent="0.25">
      <c r="A90" s="200" t="s">
        <v>1192</v>
      </c>
      <c r="B90" s="59">
        <v>12.66</v>
      </c>
      <c r="C90" s="59">
        <v>90.39</v>
      </c>
      <c r="D90" s="59">
        <v>60.04</v>
      </c>
      <c r="E90" s="59">
        <v>6.87</v>
      </c>
      <c r="F90" s="59">
        <v>0.79</v>
      </c>
      <c r="G90" s="59">
        <v>89.5</v>
      </c>
      <c r="H90" s="59">
        <v>32.85</v>
      </c>
      <c r="I90" s="59">
        <v>0.48</v>
      </c>
      <c r="J90" s="59">
        <v>0.35</v>
      </c>
      <c r="K90" s="59">
        <v>68.91</v>
      </c>
      <c r="L90" s="59">
        <v>21.78</v>
      </c>
      <c r="M90" s="59">
        <v>52</v>
      </c>
      <c r="N90" s="59">
        <v>24.8</v>
      </c>
      <c r="O90" s="59">
        <v>0</v>
      </c>
      <c r="P90" s="59">
        <v>1.88</v>
      </c>
      <c r="Q90" s="59">
        <v>43.49</v>
      </c>
      <c r="R90" s="197"/>
      <c r="S90" s="197"/>
      <c r="T90" s="197"/>
      <c r="U90" s="197"/>
    </row>
    <row r="91" spans="1:26" s="12" customFormat="1" x14ac:dyDescent="0.25">
      <c r="A91" s="200" t="s">
        <v>1193</v>
      </c>
      <c r="B91" s="59">
        <v>13.63</v>
      </c>
      <c r="C91" s="59">
        <v>89.27</v>
      </c>
      <c r="D91" s="59">
        <v>60.19</v>
      </c>
      <c r="E91" s="59">
        <v>6.96</v>
      </c>
      <c r="F91" s="59">
        <v>0.91</v>
      </c>
      <c r="G91" s="59">
        <v>91.29</v>
      </c>
      <c r="H91" s="59">
        <v>33.28</v>
      </c>
      <c r="I91" s="59">
        <v>0.48</v>
      </c>
      <c r="J91" s="59">
        <v>0.27</v>
      </c>
      <c r="K91" s="59">
        <v>37.630000000000003</v>
      </c>
      <c r="L91" s="59">
        <v>21.67</v>
      </c>
      <c r="M91" s="59">
        <v>53</v>
      </c>
      <c r="N91" s="59">
        <v>24.8</v>
      </c>
      <c r="O91" s="59">
        <v>0</v>
      </c>
      <c r="P91" s="59">
        <v>1.89</v>
      </c>
      <c r="Q91" s="59">
        <v>42.98</v>
      </c>
      <c r="R91" s="197"/>
      <c r="S91" s="197"/>
      <c r="T91" s="197"/>
      <c r="U91" s="197"/>
    </row>
    <row r="92" spans="1:26" s="12" customFormat="1" x14ac:dyDescent="0.25">
      <c r="A92" s="200" t="s">
        <v>1194</v>
      </c>
      <c r="B92" s="59">
        <v>13.5</v>
      </c>
      <c r="C92" s="59">
        <v>90.03</v>
      </c>
      <c r="D92" s="59">
        <v>60.51</v>
      </c>
      <c r="E92" s="59">
        <v>6.83</v>
      </c>
      <c r="F92" s="59">
        <v>0.91</v>
      </c>
      <c r="G92" s="59">
        <v>97.01</v>
      </c>
      <c r="H92" s="59">
        <v>33.96</v>
      </c>
      <c r="I92" s="59">
        <v>0.48</v>
      </c>
      <c r="J92" s="59">
        <v>0.48</v>
      </c>
      <c r="K92" s="59">
        <v>87.84</v>
      </c>
      <c r="L92" s="59">
        <v>21.63</v>
      </c>
      <c r="M92" s="59">
        <v>53</v>
      </c>
      <c r="N92" s="59">
        <v>24.7</v>
      </c>
      <c r="O92" s="59">
        <v>0</v>
      </c>
      <c r="P92" s="59">
        <v>1.9</v>
      </c>
      <c r="Q92" s="59">
        <v>43</v>
      </c>
      <c r="R92" s="197"/>
      <c r="S92" s="197"/>
      <c r="T92" s="197"/>
      <c r="U92" s="197"/>
    </row>
    <row r="93" spans="1:26" s="12" customFormat="1" x14ac:dyDescent="0.25">
      <c r="A93" s="200" t="s">
        <v>1195</v>
      </c>
      <c r="B93" s="59">
        <v>13.78</v>
      </c>
      <c r="C93" s="59">
        <v>89.36</v>
      </c>
      <c r="D93" s="59">
        <v>60.36</v>
      </c>
      <c r="E93" s="59">
        <v>6.52</v>
      </c>
      <c r="F93" s="59">
        <v>0.98</v>
      </c>
      <c r="G93" s="59">
        <v>97.01</v>
      </c>
      <c r="H93" s="59">
        <v>33.96</v>
      </c>
      <c r="I93" s="59">
        <v>0.5</v>
      </c>
      <c r="J93" s="59">
        <v>0.33</v>
      </c>
      <c r="K93" s="59">
        <v>76.069999999999993</v>
      </c>
      <c r="L93" s="59">
        <v>21.56</v>
      </c>
      <c r="M93" s="59">
        <v>54</v>
      </c>
      <c r="N93" s="59">
        <v>24.8</v>
      </c>
      <c r="O93" s="59">
        <v>0</v>
      </c>
      <c r="P93" s="59">
        <v>1.88</v>
      </c>
      <c r="Q93" s="59">
        <v>43.36</v>
      </c>
      <c r="R93" s="197"/>
      <c r="S93" s="197"/>
      <c r="T93" s="197"/>
      <c r="U93" s="197"/>
    </row>
    <row r="94" spans="1:26" s="12" customFormat="1" x14ac:dyDescent="0.25">
      <c r="A94" s="200" t="s">
        <v>1196</v>
      </c>
      <c r="B94" s="59">
        <v>14.07</v>
      </c>
      <c r="C94" s="59">
        <v>86</v>
      </c>
      <c r="D94" s="59">
        <v>58.74</v>
      </c>
      <c r="E94" s="59">
        <v>6.91</v>
      </c>
      <c r="F94" s="59">
        <v>0.74</v>
      </c>
      <c r="G94" s="59">
        <v>97.01</v>
      </c>
      <c r="H94" s="59">
        <v>33.96</v>
      </c>
      <c r="I94" s="59">
        <v>0.52</v>
      </c>
      <c r="J94" s="59">
        <v>0.23</v>
      </c>
      <c r="K94" s="59">
        <v>64.7</v>
      </c>
      <c r="L94" s="59">
        <v>21.5</v>
      </c>
      <c r="M94" s="59">
        <v>54</v>
      </c>
      <c r="N94" s="59">
        <v>25</v>
      </c>
      <c r="O94" s="59">
        <v>0</v>
      </c>
      <c r="P94" s="59">
        <v>1.88</v>
      </c>
      <c r="Q94" s="59">
        <v>43.74</v>
      </c>
      <c r="R94" s="197"/>
      <c r="S94" s="197"/>
      <c r="T94" s="197"/>
      <c r="U94" s="197"/>
    </row>
    <row r="95" spans="1:26" s="12" customFormat="1" x14ac:dyDescent="0.25">
      <c r="A95" s="200" t="s">
        <v>1197</v>
      </c>
      <c r="B95" s="59">
        <v>14.38</v>
      </c>
      <c r="C95" s="59">
        <v>85.5</v>
      </c>
      <c r="D95" s="59">
        <v>58.72</v>
      </c>
      <c r="E95" s="59">
        <v>6.73</v>
      </c>
      <c r="F95" s="59">
        <v>0.62</v>
      </c>
      <c r="G95" s="59">
        <v>95.68</v>
      </c>
      <c r="H95" s="59">
        <v>34.15</v>
      </c>
      <c r="I95" s="59">
        <v>0.52</v>
      </c>
      <c r="J95" s="59">
        <v>0.39</v>
      </c>
      <c r="K95" s="59">
        <v>81.8</v>
      </c>
      <c r="L95" s="59">
        <v>21.31</v>
      </c>
      <c r="M95" s="59">
        <v>55</v>
      </c>
      <c r="N95" s="59">
        <v>24.9</v>
      </c>
      <c r="O95" s="59">
        <v>0</v>
      </c>
      <c r="P95" s="59">
        <v>1.88</v>
      </c>
      <c r="Q95" s="59">
        <v>43.95</v>
      </c>
      <c r="R95" s="197"/>
      <c r="S95" s="197"/>
      <c r="T95" s="197"/>
      <c r="U95" s="197"/>
    </row>
    <row r="96" spans="1:26" s="12" customFormat="1" x14ac:dyDescent="0.25">
      <c r="A96" s="200" t="s">
        <v>1198</v>
      </c>
      <c r="B96" s="59">
        <v>13.92</v>
      </c>
      <c r="C96" s="59">
        <v>85.61</v>
      </c>
      <c r="D96" s="59">
        <v>58.41</v>
      </c>
      <c r="E96" s="59">
        <v>7.1</v>
      </c>
      <c r="F96" s="59">
        <v>0.74</v>
      </c>
      <c r="G96" s="59">
        <v>94.42</v>
      </c>
      <c r="H96" s="59">
        <v>34.450000000000003</v>
      </c>
      <c r="I96" s="59">
        <v>0.54</v>
      </c>
      <c r="J96" s="59">
        <v>0.48</v>
      </c>
      <c r="K96" s="59">
        <v>77.31</v>
      </c>
      <c r="L96" s="59">
        <v>21.24</v>
      </c>
      <c r="M96" s="59">
        <v>55</v>
      </c>
      <c r="N96" s="59">
        <v>24.8</v>
      </c>
      <c r="O96" s="59">
        <v>0</v>
      </c>
      <c r="P96" s="59">
        <v>1.86</v>
      </c>
      <c r="Q96" s="59">
        <v>44.28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1199</v>
      </c>
      <c r="B97" s="59">
        <v>13.62</v>
      </c>
      <c r="C97" s="59">
        <v>84.62</v>
      </c>
      <c r="D97" s="59">
        <v>57.62</v>
      </c>
      <c r="E97" s="59">
        <v>7.02</v>
      </c>
      <c r="F97" s="59">
        <v>1.05</v>
      </c>
      <c r="G97" s="59">
        <v>94.42</v>
      </c>
      <c r="H97" s="59">
        <v>34.450000000000003</v>
      </c>
      <c r="I97" s="59">
        <v>0.55000000000000004</v>
      </c>
      <c r="J97" s="59">
        <v>0.65</v>
      </c>
      <c r="K97" s="59">
        <v>82.12</v>
      </c>
      <c r="L97" s="59">
        <v>21.17</v>
      </c>
      <c r="M97" s="59">
        <v>55</v>
      </c>
      <c r="N97" s="59">
        <v>24.8</v>
      </c>
      <c r="O97" s="59">
        <v>0</v>
      </c>
      <c r="P97" s="59">
        <v>1.84</v>
      </c>
      <c r="Q97" s="59">
        <v>44.62</v>
      </c>
      <c r="R97" s="197"/>
      <c r="S97" s="197"/>
      <c r="T97" s="197"/>
      <c r="U97" s="197"/>
    </row>
    <row r="98" spans="1:33" s="12" customFormat="1" x14ac:dyDescent="0.25">
      <c r="A98" s="200" t="s">
        <v>1200</v>
      </c>
      <c r="B98" s="59">
        <v>12.75</v>
      </c>
      <c r="C98" s="59">
        <v>83.4</v>
      </c>
      <c r="D98" s="59">
        <v>56.26</v>
      </c>
      <c r="E98" s="59">
        <v>6.61</v>
      </c>
      <c r="F98" s="59">
        <v>0.79</v>
      </c>
      <c r="G98" s="59">
        <v>94.42</v>
      </c>
      <c r="H98" s="59">
        <v>34.450000000000003</v>
      </c>
      <c r="I98" s="59">
        <v>0.55000000000000004</v>
      </c>
      <c r="J98" s="59">
        <v>0.64</v>
      </c>
      <c r="K98" s="59">
        <v>92.28</v>
      </c>
      <c r="L98" s="59">
        <v>21.2</v>
      </c>
      <c r="M98" s="59">
        <v>54</v>
      </c>
      <c r="N98" s="59">
        <v>24.8</v>
      </c>
      <c r="O98" s="59">
        <v>0</v>
      </c>
      <c r="P98" s="59">
        <v>1.81</v>
      </c>
      <c r="Q98" s="59">
        <v>45.57</v>
      </c>
      <c r="R98" s="197"/>
      <c r="S98" s="197"/>
      <c r="T98" s="197"/>
      <c r="U98" s="197"/>
    </row>
    <row r="99" spans="1:33" s="12" customFormat="1" x14ac:dyDescent="0.25">
      <c r="A99" s="200" t="s">
        <v>1201</v>
      </c>
      <c r="B99" s="59">
        <v>11.74</v>
      </c>
      <c r="C99" s="59">
        <v>82.51</v>
      </c>
      <c r="D99" s="59">
        <v>54.94</v>
      </c>
      <c r="E99" s="59">
        <v>5.97</v>
      </c>
      <c r="F99" s="59">
        <v>0.7</v>
      </c>
      <c r="G99" s="59">
        <v>99.13</v>
      </c>
      <c r="H99" s="59">
        <v>35.119999999999997</v>
      </c>
      <c r="I99" s="59">
        <v>0.55000000000000004</v>
      </c>
      <c r="J99" s="59">
        <v>0.34</v>
      </c>
      <c r="K99" s="59">
        <v>70.19</v>
      </c>
      <c r="L99" s="59">
        <v>21.19</v>
      </c>
      <c r="M99" s="59">
        <v>54</v>
      </c>
      <c r="N99" s="59">
        <v>24.9</v>
      </c>
      <c r="O99" s="59">
        <v>0</v>
      </c>
      <c r="P99" s="59">
        <v>1.76</v>
      </c>
      <c r="Q99" s="59">
        <v>45.47</v>
      </c>
      <c r="R99" s="197"/>
      <c r="S99" s="197"/>
      <c r="T99" s="197"/>
      <c r="U99" s="197"/>
    </row>
    <row r="100" spans="1:33" s="12" customFormat="1" x14ac:dyDescent="0.25">
      <c r="A100" s="200" t="s">
        <v>1202</v>
      </c>
      <c r="B100" s="59">
        <v>11.1</v>
      </c>
      <c r="C100" s="59">
        <v>82.03</v>
      </c>
      <c r="D100" s="59">
        <v>54.17</v>
      </c>
      <c r="E100" s="59">
        <v>5.86</v>
      </c>
      <c r="F100" s="59">
        <v>0.45</v>
      </c>
      <c r="G100" s="59">
        <v>103.55</v>
      </c>
      <c r="H100" s="59">
        <v>36.17</v>
      </c>
      <c r="I100" s="59">
        <v>0.54</v>
      </c>
      <c r="J100" s="59">
        <v>0.67</v>
      </c>
      <c r="K100" s="59">
        <v>97.15</v>
      </c>
      <c r="L100" s="59">
        <v>21.16</v>
      </c>
      <c r="M100" s="59">
        <v>54</v>
      </c>
      <c r="N100" s="59">
        <v>24.8</v>
      </c>
      <c r="O100" s="59">
        <v>0</v>
      </c>
      <c r="P100" s="59">
        <v>1.72</v>
      </c>
      <c r="Q100" s="59">
        <v>45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1203</v>
      </c>
      <c r="B101" s="59">
        <v>9.81</v>
      </c>
      <c r="C101" s="59">
        <v>80.87</v>
      </c>
      <c r="D101" s="59">
        <v>52.5</v>
      </c>
      <c r="E101" s="59">
        <v>6.29</v>
      </c>
      <c r="F101" s="59">
        <v>0.67</v>
      </c>
      <c r="G101" s="59">
        <v>103.55</v>
      </c>
      <c r="H101" s="59">
        <v>36.17</v>
      </c>
      <c r="I101" s="59">
        <v>0.52</v>
      </c>
      <c r="J101" s="59">
        <v>0.82</v>
      </c>
      <c r="K101" s="59">
        <v>115.33</v>
      </c>
      <c r="L101" s="59">
        <v>21.11</v>
      </c>
      <c r="M101" s="59">
        <v>54</v>
      </c>
      <c r="N101" s="59">
        <v>24.8</v>
      </c>
      <c r="O101" s="59">
        <v>0</v>
      </c>
      <c r="P101" s="59">
        <v>1.66</v>
      </c>
      <c r="Q101" s="59">
        <v>44.46</v>
      </c>
      <c r="R101" s="197"/>
      <c r="S101" s="197"/>
      <c r="T101" s="197"/>
      <c r="U101" s="197"/>
    </row>
    <row r="102" spans="1:33" s="12" customFormat="1" x14ac:dyDescent="0.25">
      <c r="A102" s="200" t="s">
        <v>1204</v>
      </c>
      <c r="B102" s="59">
        <v>8.43</v>
      </c>
      <c r="C102" s="59">
        <v>79.37</v>
      </c>
      <c r="D102" s="59">
        <v>50.56</v>
      </c>
      <c r="E102" s="59">
        <v>6.08</v>
      </c>
      <c r="F102" s="59">
        <v>0.62</v>
      </c>
      <c r="G102" s="59">
        <v>103.55</v>
      </c>
      <c r="H102" s="59">
        <v>36.17</v>
      </c>
      <c r="I102" s="59">
        <v>0.51</v>
      </c>
      <c r="J102" s="59">
        <v>1</v>
      </c>
      <c r="K102" s="59">
        <v>105.71</v>
      </c>
      <c r="L102" s="59">
        <v>21.17</v>
      </c>
      <c r="M102" s="59">
        <v>53</v>
      </c>
      <c r="N102" s="59">
        <v>24.7</v>
      </c>
      <c r="O102" s="59">
        <v>0</v>
      </c>
      <c r="P102" s="59">
        <v>1.63</v>
      </c>
      <c r="Q102" s="59">
        <v>44.12</v>
      </c>
      <c r="R102" s="197"/>
      <c r="S102" s="197"/>
      <c r="T102" s="197"/>
      <c r="U102" s="197"/>
    </row>
    <row r="103" spans="1:33" s="12" customFormat="1" x14ac:dyDescent="0.25">
      <c r="A103" s="200" t="s">
        <v>1205</v>
      </c>
      <c r="B103" s="59">
        <v>7.27</v>
      </c>
      <c r="C103" s="59">
        <v>77.89</v>
      </c>
      <c r="D103" s="59">
        <v>48.81</v>
      </c>
      <c r="E103" s="59">
        <v>5.87</v>
      </c>
      <c r="F103" s="59">
        <v>0.57999999999999996</v>
      </c>
      <c r="G103" s="59">
        <v>90.47</v>
      </c>
      <c r="H103" s="59">
        <v>34.06</v>
      </c>
      <c r="I103" s="59">
        <v>0.49</v>
      </c>
      <c r="J103" s="59">
        <v>0.21</v>
      </c>
      <c r="K103" s="59">
        <v>84.63</v>
      </c>
      <c r="L103" s="59">
        <v>21.08</v>
      </c>
      <c r="M103" s="59">
        <v>54</v>
      </c>
      <c r="N103" s="59">
        <v>25</v>
      </c>
      <c r="O103" s="59">
        <v>0</v>
      </c>
      <c r="P103" s="59">
        <v>1.58</v>
      </c>
      <c r="Q103" s="59">
        <v>43.81</v>
      </c>
      <c r="R103" s="197"/>
      <c r="S103" s="197"/>
      <c r="T103" s="197"/>
      <c r="U103" s="197"/>
    </row>
    <row r="104" spans="1:33" s="12" customFormat="1" x14ac:dyDescent="0.25">
      <c r="A104" s="200" t="s">
        <v>1206</v>
      </c>
      <c r="B104" s="59">
        <v>6.51</v>
      </c>
      <c r="C104" s="59">
        <v>76.569999999999993</v>
      </c>
      <c r="D104" s="59">
        <v>47.48</v>
      </c>
      <c r="E104" s="59">
        <v>3.67</v>
      </c>
      <c r="F104" s="59">
        <v>0.76</v>
      </c>
      <c r="G104" s="59">
        <v>78.16</v>
      </c>
      <c r="H104" s="59">
        <v>30.73</v>
      </c>
      <c r="I104" s="59">
        <v>0.48</v>
      </c>
      <c r="J104" s="59">
        <v>0.95</v>
      </c>
      <c r="K104" s="59">
        <v>111.41</v>
      </c>
      <c r="L104" s="59">
        <v>20.99</v>
      </c>
      <c r="M104" s="59">
        <v>53</v>
      </c>
      <c r="N104" s="59">
        <v>24.7</v>
      </c>
      <c r="O104" s="59">
        <v>0</v>
      </c>
      <c r="P104" s="59">
        <v>1.55</v>
      </c>
      <c r="Q104" s="59">
        <v>43.17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2.31</v>
      </c>
      <c r="C106" s="66">
        <f>MIN(C9:C104)</f>
        <v>61.15</v>
      </c>
      <c r="D106" s="66">
        <f t="shared" ref="D106:Q106" si="0">MIN(D9:D104)</f>
        <v>35.6</v>
      </c>
      <c r="E106" s="66">
        <f t="shared" si="0"/>
        <v>2.11</v>
      </c>
      <c r="F106" s="66">
        <f t="shared" si="0"/>
        <v>0.45</v>
      </c>
      <c r="G106" s="66">
        <f t="shared" si="0"/>
        <v>33.99</v>
      </c>
      <c r="H106" s="66">
        <f t="shared" si="0"/>
        <v>25.73</v>
      </c>
      <c r="I106" s="66">
        <f t="shared" si="0"/>
        <v>0.34</v>
      </c>
      <c r="J106" s="66">
        <f t="shared" si="0"/>
        <v>0.06</v>
      </c>
      <c r="K106" s="66">
        <f t="shared" si="0"/>
        <v>1.86</v>
      </c>
      <c r="L106" s="66">
        <f t="shared" si="0"/>
        <v>17.559999999999999</v>
      </c>
      <c r="M106" s="66">
        <f t="shared" si="0"/>
        <v>36</v>
      </c>
      <c r="N106" s="66">
        <f t="shared" si="0"/>
        <v>24.1</v>
      </c>
      <c r="O106" s="66">
        <f t="shared" si="0"/>
        <v>0</v>
      </c>
      <c r="P106" s="66">
        <f t="shared" si="0"/>
        <v>1.04</v>
      </c>
      <c r="Q106" s="66">
        <f t="shared" si="0"/>
        <v>39.159999999999997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41.06</v>
      </c>
      <c r="C107" s="65">
        <f t="shared" ref="C107:Q107" si="1">MAX(C9:C104)</f>
        <v>105.12</v>
      </c>
      <c r="D107" s="65">
        <f t="shared" si="1"/>
        <v>90.94</v>
      </c>
      <c r="E107" s="65">
        <f t="shared" si="1"/>
        <v>8.1</v>
      </c>
      <c r="F107" s="65">
        <f t="shared" si="1"/>
        <v>3.91</v>
      </c>
      <c r="G107" s="65">
        <f t="shared" si="1"/>
        <v>118.07</v>
      </c>
      <c r="H107" s="65">
        <f t="shared" si="1"/>
        <v>41.45</v>
      </c>
      <c r="I107" s="65">
        <f t="shared" si="1"/>
        <v>1</v>
      </c>
      <c r="J107" s="65">
        <f t="shared" si="1"/>
        <v>1.39</v>
      </c>
      <c r="K107" s="65">
        <f t="shared" si="1"/>
        <v>356.7</v>
      </c>
      <c r="L107" s="65">
        <f t="shared" si="1"/>
        <v>26.24</v>
      </c>
      <c r="M107" s="65">
        <f t="shared" si="1"/>
        <v>63</v>
      </c>
      <c r="N107" s="65">
        <f t="shared" si="1"/>
        <v>299</v>
      </c>
      <c r="O107" s="65">
        <f t="shared" si="1"/>
        <v>0</v>
      </c>
      <c r="P107" s="65">
        <f t="shared" si="1"/>
        <v>2.68</v>
      </c>
      <c r="Q107" s="65">
        <f t="shared" si="1"/>
        <v>45.57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10.414895833333333</v>
      </c>
      <c r="C108" s="66">
        <f t="shared" ref="C108:Q108" si="2">AVERAGE(C9:C104)</f>
        <v>76.984895833333312</v>
      </c>
      <c r="D108" s="66">
        <f t="shared" si="2"/>
        <v>50.837916666666644</v>
      </c>
      <c r="E108" s="66">
        <f t="shared" si="2"/>
        <v>5.2827083333333347</v>
      </c>
      <c r="F108" s="66">
        <f t="shared" si="2"/>
        <v>1.4239583333333332</v>
      </c>
      <c r="G108" s="66">
        <f t="shared" si="2"/>
        <v>78.520624999999981</v>
      </c>
      <c r="H108" s="66">
        <f t="shared" si="2"/>
        <v>33.058437500000011</v>
      </c>
      <c r="I108" s="66">
        <f t="shared" si="2"/>
        <v>0.49489583333333348</v>
      </c>
      <c r="J108" s="66">
        <f t="shared" si="2"/>
        <v>0.60239583333333335</v>
      </c>
      <c r="K108" s="66">
        <f t="shared" si="2"/>
        <v>67.699166666666656</v>
      </c>
      <c r="L108" s="66">
        <f t="shared" si="2"/>
        <v>21.470000000000002</v>
      </c>
      <c r="M108" s="66">
        <f t="shared" si="2"/>
        <v>50.4375</v>
      </c>
      <c r="N108" s="66">
        <f t="shared" si="2"/>
        <v>73.8020833333333</v>
      </c>
      <c r="O108" s="66">
        <f t="shared" si="2"/>
        <v>0</v>
      </c>
      <c r="P108" s="66">
        <f t="shared" si="2"/>
        <v>1.4859375000000001</v>
      </c>
      <c r="Q108" s="66">
        <f t="shared" si="2"/>
        <v>42.013854166666654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7.0105696134354591</v>
      </c>
      <c r="C109" s="66">
        <f t="shared" ref="C109:Q109" si="3">STDEV(C9:C104)</f>
        <v>8.9682233169522192</v>
      </c>
      <c r="D109" s="66">
        <f t="shared" si="3"/>
        <v>10.053813617012006</v>
      </c>
      <c r="E109" s="66">
        <f t="shared" si="3"/>
        <v>1.2352238059870657</v>
      </c>
      <c r="F109" s="66">
        <f t="shared" si="3"/>
        <v>0.91599986114302168</v>
      </c>
      <c r="G109" s="66">
        <f t="shared" si="3"/>
        <v>20.515796625630148</v>
      </c>
      <c r="H109" s="66">
        <f t="shared" si="3"/>
        <v>3.5502119516044632</v>
      </c>
      <c r="I109" s="66">
        <f t="shared" si="3"/>
        <v>0.15091297451575453</v>
      </c>
      <c r="J109" s="66">
        <f t="shared" si="3"/>
        <v>0.32617962371954601</v>
      </c>
      <c r="K109" s="66">
        <f t="shared" si="3"/>
        <v>60.075657381543181</v>
      </c>
      <c r="L109" s="66">
        <f t="shared" si="3"/>
        <v>2.7984202310363426</v>
      </c>
      <c r="M109" s="66">
        <f t="shared" si="3"/>
        <v>8.1328605700965753</v>
      </c>
      <c r="N109" s="66">
        <f t="shared" si="3"/>
        <v>73.913794708739061</v>
      </c>
      <c r="O109" s="66">
        <f t="shared" si="3"/>
        <v>0</v>
      </c>
      <c r="P109" s="66">
        <f t="shared" si="3"/>
        <v>0.3443577641593748</v>
      </c>
      <c r="Q109" s="66">
        <f t="shared" si="3"/>
        <v>1.7534857733828755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P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>COUNT(H9:H104)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>COUNT(Q9:Q104)</f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11-12-2022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1207</v>
      </c>
      <c r="B9" s="59">
        <v>6.01</v>
      </c>
      <c r="C9" s="59">
        <v>74.75</v>
      </c>
      <c r="D9" s="59">
        <v>46.08</v>
      </c>
      <c r="E9" s="59">
        <v>6.23</v>
      </c>
      <c r="F9" s="59">
        <v>1.05</v>
      </c>
      <c r="G9" s="59">
        <v>78.16</v>
      </c>
      <c r="H9" s="59">
        <v>30.73</v>
      </c>
      <c r="I9" s="59">
        <v>0.46</v>
      </c>
      <c r="J9" s="59">
        <v>0.96</v>
      </c>
      <c r="K9" s="59">
        <v>95.26</v>
      </c>
      <c r="L9" s="59">
        <v>21.15</v>
      </c>
      <c r="M9" s="59">
        <v>51</v>
      </c>
      <c r="N9" s="59">
        <v>24.7</v>
      </c>
      <c r="O9" s="59">
        <v>0</v>
      </c>
      <c r="P9" s="59">
        <v>1.51</v>
      </c>
      <c r="Q9" s="59">
        <v>42.56</v>
      </c>
      <c r="R9" s="197"/>
      <c r="S9" s="197"/>
      <c r="T9" s="197"/>
      <c r="U9" s="197"/>
    </row>
    <row r="10" spans="1:21" s="12" customFormat="1" x14ac:dyDescent="0.25">
      <c r="A10" s="200" t="s">
        <v>1208</v>
      </c>
      <c r="B10" s="59">
        <v>5.72</v>
      </c>
      <c r="C10" s="59">
        <v>73</v>
      </c>
      <c r="D10" s="59">
        <v>44.88</v>
      </c>
      <c r="E10" s="59">
        <v>6.43</v>
      </c>
      <c r="F10" s="59">
        <v>1.04</v>
      </c>
      <c r="G10" s="59">
        <v>78.16</v>
      </c>
      <c r="H10" s="59">
        <v>30.73</v>
      </c>
      <c r="I10" s="59">
        <v>0.45</v>
      </c>
      <c r="J10" s="59">
        <v>0.35</v>
      </c>
      <c r="K10" s="59">
        <v>118.68</v>
      </c>
      <c r="L10" s="59">
        <v>21.06</v>
      </c>
      <c r="M10" s="59">
        <v>51</v>
      </c>
      <c r="N10" s="59">
        <v>25</v>
      </c>
      <c r="O10" s="59">
        <v>0</v>
      </c>
      <c r="P10" s="59">
        <v>1.47</v>
      </c>
      <c r="Q10" s="59">
        <v>42.45</v>
      </c>
      <c r="R10" s="197"/>
      <c r="S10" s="197"/>
      <c r="T10" s="197"/>
      <c r="U10" s="197"/>
    </row>
    <row r="11" spans="1:21" s="12" customFormat="1" x14ac:dyDescent="0.25">
      <c r="A11" s="200" t="s">
        <v>1209</v>
      </c>
      <c r="B11" s="59">
        <v>5.52</v>
      </c>
      <c r="C11" s="59">
        <v>71.56</v>
      </c>
      <c r="D11" s="59">
        <v>43.92</v>
      </c>
      <c r="E11" s="59">
        <v>6.5</v>
      </c>
      <c r="F11" s="59">
        <v>0.89</v>
      </c>
      <c r="G11" s="59">
        <v>76.260000000000005</v>
      </c>
      <c r="H11" s="59">
        <v>31.28</v>
      </c>
      <c r="I11" s="59">
        <v>0.45</v>
      </c>
      <c r="J11" s="59">
        <v>0.28000000000000003</v>
      </c>
      <c r="K11" s="59">
        <v>149.03</v>
      </c>
      <c r="L11" s="59">
        <v>20.91</v>
      </c>
      <c r="M11" s="59">
        <v>51</v>
      </c>
      <c r="N11" s="59">
        <v>25</v>
      </c>
      <c r="O11" s="59">
        <v>0</v>
      </c>
      <c r="P11" s="59">
        <v>1.44</v>
      </c>
      <c r="Q11" s="59">
        <v>42.49</v>
      </c>
      <c r="R11" s="197"/>
      <c r="S11" s="197"/>
      <c r="T11" s="197"/>
      <c r="U11" s="197"/>
    </row>
    <row r="12" spans="1:21" s="12" customFormat="1" x14ac:dyDescent="0.25">
      <c r="A12" s="200" t="s">
        <v>1210</v>
      </c>
      <c r="B12" s="59">
        <v>5.41</v>
      </c>
      <c r="C12" s="59">
        <v>70.17</v>
      </c>
      <c r="D12" s="59">
        <v>43.06</v>
      </c>
      <c r="E12" s="59">
        <v>6.13</v>
      </c>
      <c r="F12" s="59">
        <v>0.64</v>
      </c>
      <c r="G12" s="59">
        <v>69.52</v>
      </c>
      <c r="H12" s="59">
        <v>32.14</v>
      </c>
      <c r="I12" s="59">
        <v>0.45</v>
      </c>
      <c r="J12" s="59">
        <v>0.2</v>
      </c>
      <c r="K12" s="59">
        <v>187.1</v>
      </c>
      <c r="L12" s="59">
        <v>20.78</v>
      </c>
      <c r="M12" s="59">
        <v>52</v>
      </c>
      <c r="N12" s="59">
        <v>25</v>
      </c>
      <c r="O12" s="59">
        <v>0</v>
      </c>
      <c r="P12" s="59">
        <v>1.4</v>
      </c>
      <c r="Q12" s="59">
        <v>42.4</v>
      </c>
      <c r="R12" s="197"/>
      <c r="S12" s="197"/>
      <c r="T12" s="197"/>
      <c r="U12" s="197"/>
    </row>
    <row r="13" spans="1:21" s="12" customFormat="1" x14ac:dyDescent="0.25">
      <c r="A13" s="200" t="s">
        <v>1211</v>
      </c>
      <c r="B13" s="59">
        <v>5.36</v>
      </c>
      <c r="C13" s="59">
        <v>69.02</v>
      </c>
      <c r="D13" s="59">
        <v>42.39</v>
      </c>
      <c r="E13" s="59">
        <v>6.69</v>
      </c>
      <c r="F13" s="59">
        <v>0.68</v>
      </c>
      <c r="G13" s="59">
        <v>69.52</v>
      </c>
      <c r="H13" s="59">
        <v>32.14</v>
      </c>
      <c r="I13" s="59">
        <v>0.45</v>
      </c>
      <c r="J13" s="59">
        <v>0.08</v>
      </c>
      <c r="K13" s="59">
        <v>168.49</v>
      </c>
      <c r="L13" s="59">
        <v>20.73</v>
      </c>
      <c r="M13" s="59">
        <v>52</v>
      </c>
      <c r="N13" s="59">
        <v>25</v>
      </c>
      <c r="O13" s="59">
        <v>0</v>
      </c>
      <c r="P13" s="59">
        <v>1.32</v>
      </c>
      <c r="Q13" s="59">
        <v>42.59</v>
      </c>
      <c r="R13" s="197"/>
      <c r="S13" s="197"/>
      <c r="T13" s="197"/>
      <c r="U13" s="197"/>
    </row>
    <row r="14" spans="1:21" s="12" customFormat="1" x14ac:dyDescent="0.25">
      <c r="A14" s="200" t="s">
        <v>1212</v>
      </c>
      <c r="B14" s="59">
        <v>5.33</v>
      </c>
      <c r="C14" s="59">
        <v>68.099999999999994</v>
      </c>
      <c r="D14" s="59">
        <v>41.86</v>
      </c>
      <c r="E14" s="59">
        <v>6.87</v>
      </c>
      <c r="F14" s="59">
        <v>0.7</v>
      </c>
      <c r="G14" s="59">
        <v>69.52</v>
      </c>
      <c r="H14" s="59">
        <v>32.14</v>
      </c>
      <c r="I14" s="59">
        <v>0.45</v>
      </c>
      <c r="J14" s="59">
        <v>0.13</v>
      </c>
      <c r="K14" s="59">
        <v>315.39999999999998</v>
      </c>
      <c r="L14" s="59">
        <v>20.58</v>
      </c>
      <c r="M14" s="59">
        <v>54</v>
      </c>
      <c r="N14" s="59">
        <v>25.2</v>
      </c>
      <c r="O14" s="59">
        <v>0</v>
      </c>
      <c r="P14" s="59">
        <v>1.34</v>
      </c>
      <c r="Q14" s="59">
        <v>42.85</v>
      </c>
      <c r="R14" s="197"/>
      <c r="S14" s="197"/>
      <c r="T14" s="197"/>
      <c r="U14" s="197"/>
    </row>
    <row r="15" spans="1:21" s="12" customFormat="1" x14ac:dyDescent="0.25">
      <c r="A15" s="200" t="s">
        <v>1213</v>
      </c>
      <c r="B15" s="59">
        <v>5.46</v>
      </c>
      <c r="C15" s="59">
        <v>67.48</v>
      </c>
      <c r="D15" s="59">
        <v>41.62</v>
      </c>
      <c r="E15" s="59">
        <v>6.41</v>
      </c>
      <c r="F15" s="59">
        <v>0.66</v>
      </c>
      <c r="G15" s="59">
        <v>61.68</v>
      </c>
      <c r="H15" s="59">
        <v>30.97</v>
      </c>
      <c r="I15" s="59">
        <v>0.46</v>
      </c>
      <c r="J15" s="59">
        <v>0.03</v>
      </c>
      <c r="K15" s="59">
        <v>0.55000000000000004</v>
      </c>
      <c r="L15" s="59">
        <v>20.16</v>
      </c>
      <c r="M15" s="59">
        <v>57</v>
      </c>
      <c r="N15" s="59">
        <v>25.3</v>
      </c>
      <c r="O15" s="59">
        <v>0</v>
      </c>
      <c r="P15" s="59">
        <v>1.31</v>
      </c>
      <c r="Q15" s="59">
        <v>43.02</v>
      </c>
      <c r="R15" s="197"/>
      <c r="S15" s="197"/>
      <c r="T15" s="197"/>
      <c r="U15" s="197"/>
    </row>
    <row r="16" spans="1:21" s="12" customFormat="1" x14ac:dyDescent="0.25">
      <c r="A16" s="200" t="s">
        <v>1214</v>
      </c>
      <c r="B16" s="59">
        <v>5.71</v>
      </c>
      <c r="C16" s="59">
        <v>66.98</v>
      </c>
      <c r="D16" s="59">
        <v>41.54</v>
      </c>
      <c r="E16" s="59">
        <v>6.76</v>
      </c>
      <c r="F16" s="59">
        <v>0.51</v>
      </c>
      <c r="G16" s="59">
        <v>53.84</v>
      </c>
      <c r="H16" s="59">
        <v>29.13</v>
      </c>
      <c r="I16" s="59">
        <v>0.46</v>
      </c>
      <c r="J16" s="59">
        <v>0.15</v>
      </c>
      <c r="K16" s="59">
        <v>14.91</v>
      </c>
      <c r="L16" s="59">
        <v>20.05</v>
      </c>
      <c r="M16" s="59">
        <v>58</v>
      </c>
      <c r="N16" s="59">
        <v>25</v>
      </c>
      <c r="O16" s="59">
        <v>0</v>
      </c>
      <c r="P16" s="59">
        <v>1.27</v>
      </c>
      <c r="Q16" s="59">
        <v>43.65</v>
      </c>
      <c r="R16" s="197"/>
      <c r="S16" s="197"/>
      <c r="T16" s="197"/>
      <c r="U16" s="197"/>
    </row>
    <row r="17" spans="1:21" s="12" customFormat="1" x14ac:dyDescent="0.25">
      <c r="A17" s="200" t="s">
        <v>1215</v>
      </c>
      <c r="B17" s="59">
        <v>6.02</v>
      </c>
      <c r="C17" s="59">
        <v>66.7</v>
      </c>
      <c r="D17" s="59">
        <v>41.64</v>
      </c>
      <c r="E17" s="59">
        <v>6.36</v>
      </c>
      <c r="F17" s="59">
        <v>0.63</v>
      </c>
      <c r="G17" s="59">
        <v>53.84</v>
      </c>
      <c r="H17" s="59">
        <v>29.13</v>
      </c>
      <c r="I17" s="59">
        <v>0.47</v>
      </c>
      <c r="J17" s="59">
        <v>0.13</v>
      </c>
      <c r="K17" s="59">
        <v>27.38</v>
      </c>
      <c r="L17" s="59">
        <v>20.12</v>
      </c>
      <c r="M17" s="59">
        <v>57</v>
      </c>
      <c r="N17" s="59">
        <v>24.9</v>
      </c>
      <c r="O17" s="59">
        <v>0</v>
      </c>
      <c r="P17" s="59">
        <v>1.24</v>
      </c>
      <c r="Q17" s="59">
        <v>43.87</v>
      </c>
      <c r="R17" s="197"/>
      <c r="S17" s="197"/>
      <c r="T17" s="197"/>
      <c r="U17" s="197"/>
    </row>
    <row r="18" spans="1:21" s="12" customFormat="1" x14ac:dyDescent="0.25">
      <c r="A18" s="200" t="s">
        <v>1216</v>
      </c>
      <c r="B18" s="59">
        <v>6.12</v>
      </c>
      <c r="C18" s="59">
        <v>66.400000000000006</v>
      </c>
      <c r="D18" s="59">
        <v>41.55</v>
      </c>
      <c r="E18" s="59">
        <v>6.25</v>
      </c>
      <c r="F18" s="59">
        <v>0.65</v>
      </c>
      <c r="G18" s="59">
        <v>53.84</v>
      </c>
      <c r="H18" s="59">
        <v>29.13</v>
      </c>
      <c r="I18" s="59">
        <v>0.47</v>
      </c>
      <c r="J18" s="59">
        <v>0.2</v>
      </c>
      <c r="K18" s="59">
        <v>35.14</v>
      </c>
      <c r="L18" s="59">
        <v>20.34</v>
      </c>
      <c r="M18" s="59">
        <v>55</v>
      </c>
      <c r="N18" s="59">
        <v>24.8</v>
      </c>
      <c r="O18" s="59">
        <v>0</v>
      </c>
      <c r="P18" s="59">
        <v>1.21</v>
      </c>
      <c r="Q18" s="59">
        <v>43.51</v>
      </c>
      <c r="R18" s="197"/>
      <c r="S18" s="197"/>
      <c r="T18" s="197"/>
      <c r="U18" s="197"/>
    </row>
    <row r="19" spans="1:21" s="12" customFormat="1" x14ac:dyDescent="0.25">
      <c r="A19" s="200" t="s">
        <v>1217</v>
      </c>
      <c r="B19" s="59">
        <v>5.84</v>
      </c>
      <c r="C19" s="59">
        <v>65.739999999999995</v>
      </c>
      <c r="D19" s="59">
        <v>40.97</v>
      </c>
      <c r="E19" s="59">
        <v>5.99</v>
      </c>
      <c r="F19" s="59">
        <v>0.56999999999999995</v>
      </c>
      <c r="G19" s="59">
        <v>56.97</v>
      </c>
      <c r="H19" s="59">
        <v>29.16</v>
      </c>
      <c r="I19" s="59">
        <v>0.45</v>
      </c>
      <c r="J19" s="59">
        <v>0.23</v>
      </c>
      <c r="K19" s="59">
        <v>357.05</v>
      </c>
      <c r="L19" s="59">
        <v>20.329999999999998</v>
      </c>
      <c r="M19" s="59">
        <v>56</v>
      </c>
      <c r="N19" s="59">
        <v>25</v>
      </c>
      <c r="O19" s="59">
        <v>0</v>
      </c>
      <c r="P19" s="59">
        <v>1.18</v>
      </c>
      <c r="Q19" s="59">
        <v>42.95</v>
      </c>
      <c r="R19" s="197"/>
      <c r="S19" s="197"/>
      <c r="T19" s="197"/>
      <c r="U19" s="197"/>
    </row>
    <row r="20" spans="1:21" s="12" customFormat="1" x14ac:dyDescent="0.25">
      <c r="A20" s="200" t="s">
        <v>1218</v>
      </c>
      <c r="B20" s="59">
        <v>5.48</v>
      </c>
      <c r="C20" s="59">
        <v>65.319999999999993</v>
      </c>
      <c r="D20" s="59">
        <v>40.450000000000003</v>
      </c>
      <c r="E20" s="59">
        <v>6.14</v>
      </c>
      <c r="F20" s="59">
        <v>0.74</v>
      </c>
      <c r="G20" s="59">
        <v>60.09</v>
      </c>
      <c r="H20" s="59">
        <v>29.22</v>
      </c>
      <c r="I20" s="59">
        <v>0.44</v>
      </c>
      <c r="J20" s="59">
        <v>0.21</v>
      </c>
      <c r="K20" s="59">
        <v>74.44</v>
      </c>
      <c r="L20" s="59">
        <v>20.3</v>
      </c>
      <c r="M20" s="59">
        <v>55</v>
      </c>
      <c r="N20" s="59">
        <v>24.9</v>
      </c>
      <c r="O20" s="59">
        <v>0</v>
      </c>
      <c r="P20" s="59">
        <v>1.1499999999999999</v>
      </c>
      <c r="Q20" s="59">
        <v>42.54</v>
      </c>
      <c r="R20" s="197"/>
      <c r="S20" s="197"/>
      <c r="T20" s="197"/>
      <c r="U20" s="197"/>
    </row>
    <row r="21" spans="1:21" s="12" customFormat="1" x14ac:dyDescent="0.25">
      <c r="A21" s="200" t="s">
        <v>1219</v>
      </c>
      <c r="B21" s="59">
        <v>5.28</v>
      </c>
      <c r="C21" s="59">
        <v>64.95</v>
      </c>
      <c r="D21" s="59">
        <v>40.07</v>
      </c>
      <c r="E21" s="59">
        <v>6.47</v>
      </c>
      <c r="F21" s="59">
        <v>0.84</v>
      </c>
      <c r="G21" s="59">
        <v>60.09</v>
      </c>
      <c r="H21" s="59">
        <v>29.22</v>
      </c>
      <c r="I21" s="59">
        <v>0.43</v>
      </c>
      <c r="J21" s="59">
        <v>0.31</v>
      </c>
      <c r="K21" s="59">
        <v>12.69</v>
      </c>
      <c r="L21" s="59">
        <v>20.399999999999999</v>
      </c>
      <c r="M21" s="59">
        <v>56</v>
      </c>
      <c r="N21" s="59">
        <v>25</v>
      </c>
      <c r="O21" s="59">
        <v>0</v>
      </c>
      <c r="P21" s="59">
        <v>1.1200000000000001</v>
      </c>
      <c r="Q21" s="59">
        <v>42.27</v>
      </c>
      <c r="R21" s="197"/>
      <c r="S21" s="197"/>
      <c r="T21" s="197"/>
      <c r="U21" s="197"/>
    </row>
    <row r="22" spans="1:21" s="12" customFormat="1" x14ac:dyDescent="0.25">
      <c r="A22" s="200" t="s">
        <v>1220</v>
      </c>
      <c r="B22" s="59">
        <v>5.1100000000000003</v>
      </c>
      <c r="C22" s="59">
        <v>64.77</v>
      </c>
      <c r="D22" s="59">
        <v>39.840000000000003</v>
      </c>
      <c r="E22" s="59">
        <v>6.17</v>
      </c>
      <c r="F22" s="59">
        <v>0.8</v>
      </c>
      <c r="G22" s="59">
        <v>60.09</v>
      </c>
      <c r="H22" s="59">
        <v>29.22</v>
      </c>
      <c r="I22" s="59">
        <v>0.42</v>
      </c>
      <c r="J22" s="59">
        <v>0.44</v>
      </c>
      <c r="K22" s="59">
        <v>93.99</v>
      </c>
      <c r="L22" s="59">
        <v>20.25</v>
      </c>
      <c r="M22" s="59">
        <v>57</v>
      </c>
      <c r="N22" s="59">
        <v>25.2</v>
      </c>
      <c r="O22" s="59">
        <v>0</v>
      </c>
      <c r="P22" s="59">
        <v>1.1000000000000001</v>
      </c>
      <c r="Q22" s="59">
        <v>41.89</v>
      </c>
      <c r="R22" s="197"/>
      <c r="S22" s="197"/>
      <c r="T22" s="197"/>
      <c r="U22" s="197"/>
    </row>
    <row r="23" spans="1:21" s="12" customFormat="1" x14ac:dyDescent="0.25">
      <c r="A23" s="200" t="s">
        <v>1221</v>
      </c>
      <c r="B23" s="59">
        <v>5.05</v>
      </c>
      <c r="C23" s="59">
        <v>64.34</v>
      </c>
      <c r="D23" s="59">
        <v>39.56</v>
      </c>
      <c r="E23" s="59">
        <v>6.11</v>
      </c>
      <c r="F23" s="59">
        <v>0.68</v>
      </c>
      <c r="G23" s="59">
        <v>53.85</v>
      </c>
      <c r="H23" s="59">
        <v>29.62</v>
      </c>
      <c r="I23" s="59">
        <v>0.41</v>
      </c>
      <c r="J23" s="59">
        <v>0.15</v>
      </c>
      <c r="K23" s="59">
        <v>51.88</v>
      </c>
      <c r="L23" s="59">
        <v>20.16</v>
      </c>
      <c r="M23" s="59">
        <v>58</v>
      </c>
      <c r="N23" s="59">
        <v>25.1</v>
      </c>
      <c r="O23" s="59">
        <v>0</v>
      </c>
      <c r="P23" s="59">
        <v>1.08</v>
      </c>
      <c r="Q23" s="59">
        <v>41.23</v>
      </c>
      <c r="R23" s="197"/>
      <c r="S23" s="197"/>
      <c r="T23" s="197"/>
      <c r="U23" s="197"/>
    </row>
    <row r="24" spans="1:21" s="12" customFormat="1" x14ac:dyDescent="0.25">
      <c r="A24" s="200" t="s">
        <v>1222</v>
      </c>
      <c r="B24" s="59">
        <v>5.31</v>
      </c>
      <c r="C24" s="59">
        <v>64.11</v>
      </c>
      <c r="D24" s="59">
        <v>39.64</v>
      </c>
      <c r="E24" s="59">
        <v>2.73</v>
      </c>
      <c r="F24" s="59">
        <v>0.61</v>
      </c>
      <c r="G24" s="59">
        <v>47.78</v>
      </c>
      <c r="H24" s="59">
        <v>30.3</v>
      </c>
      <c r="I24" s="59">
        <v>0.41</v>
      </c>
      <c r="J24" s="59">
        <v>0.47</v>
      </c>
      <c r="K24" s="59">
        <v>104.28</v>
      </c>
      <c r="L24" s="59">
        <v>20.149999999999999</v>
      </c>
      <c r="M24" s="59">
        <v>58</v>
      </c>
      <c r="N24" s="59">
        <v>24.9</v>
      </c>
      <c r="O24" s="59">
        <v>0</v>
      </c>
      <c r="P24" s="59">
        <v>1.07</v>
      </c>
      <c r="Q24" s="59">
        <v>41.17</v>
      </c>
      <c r="R24" s="197"/>
      <c r="S24" s="197"/>
      <c r="T24" s="197"/>
      <c r="U24" s="197"/>
    </row>
    <row r="25" spans="1:21" s="12" customFormat="1" x14ac:dyDescent="0.25">
      <c r="A25" s="200" t="s">
        <v>1223</v>
      </c>
      <c r="B25" s="59">
        <v>5.4</v>
      </c>
      <c r="C25" s="59">
        <v>63.63</v>
      </c>
      <c r="D25" s="59">
        <v>39.450000000000003</v>
      </c>
      <c r="E25" s="59">
        <v>5.12</v>
      </c>
      <c r="F25" s="59">
        <v>0.67</v>
      </c>
      <c r="G25" s="59">
        <v>47.78</v>
      </c>
      <c r="H25" s="59">
        <v>30.3</v>
      </c>
      <c r="I25" s="59">
        <v>0.41</v>
      </c>
      <c r="J25" s="59">
        <v>0.37</v>
      </c>
      <c r="K25" s="59">
        <v>106.54</v>
      </c>
      <c r="L25" s="59">
        <v>20.3</v>
      </c>
      <c r="M25" s="59">
        <v>57</v>
      </c>
      <c r="N25" s="59">
        <v>24.9</v>
      </c>
      <c r="O25" s="59">
        <v>0</v>
      </c>
      <c r="P25" s="59">
        <v>1.06</v>
      </c>
      <c r="Q25" s="59">
        <v>41.56</v>
      </c>
      <c r="R25" s="197"/>
      <c r="S25" s="197"/>
      <c r="T25" s="197"/>
      <c r="U25" s="197"/>
    </row>
    <row r="26" spans="1:21" s="12" customFormat="1" x14ac:dyDescent="0.25">
      <c r="A26" s="200" t="s">
        <v>1224</v>
      </c>
      <c r="B26" s="59">
        <v>5.55</v>
      </c>
      <c r="C26" s="59">
        <v>63.27</v>
      </c>
      <c r="D26" s="59">
        <v>39.369999999999997</v>
      </c>
      <c r="E26" s="59">
        <v>5.66</v>
      </c>
      <c r="F26" s="59">
        <v>0.63</v>
      </c>
      <c r="G26" s="59">
        <v>47.78</v>
      </c>
      <c r="H26" s="59">
        <v>30.3</v>
      </c>
      <c r="I26" s="59">
        <v>0.42</v>
      </c>
      <c r="J26" s="59">
        <v>0.2</v>
      </c>
      <c r="K26" s="59">
        <v>359.78</v>
      </c>
      <c r="L26" s="59">
        <v>20.37</v>
      </c>
      <c r="M26" s="59">
        <v>57</v>
      </c>
      <c r="N26" s="59">
        <v>25.2</v>
      </c>
      <c r="O26" s="59">
        <v>0</v>
      </c>
      <c r="P26" s="59">
        <v>1.06</v>
      </c>
      <c r="Q26" s="59">
        <v>41.81</v>
      </c>
      <c r="R26" s="197"/>
      <c r="S26" s="197"/>
      <c r="T26" s="197"/>
      <c r="U26" s="197"/>
    </row>
    <row r="27" spans="1:21" s="12" customFormat="1" x14ac:dyDescent="0.25">
      <c r="A27" s="200" t="s">
        <v>1225</v>
      </c>
      <c r="B27" s="59">
        <v>5.93</v>
      </c>
      <c r="C27" s="59">
        <v>63.51</v>
      </c>
      <c r="D27" s="59">
        <v>39.81</v>
      </c>
      <c r="E27" s="59">
        <v>5.42</v>
      </c>
      <c r="F27" s="59">
        <v>0.65</v>
      </c>
      <c r="G27" s="59">
        <v>49.34</v>
      </c>
      <c r="H27" s="59">
        <v>29.92</v>
      </c>
      <c r="I27" s="59">
        <v>0.43</v>
      </c>
      <c r="J27" s="59">
        <v>0.48</v>
      </c>
      <c r="K27" s="59">
        <v>4.87</v>
      </c>
      <c r="L27" s="59">
        <v>20.309999999999999</v>
      </c>
      <c r="M27" s="59">
        <v>58</v>
      </c>
      <c r="N27" s="59">
        <v>25.1</v>
      </c>
      <c r="O27" s="59">
        <v>0</v>
      </c>
      <c r="P27" s="59">
        <v>1.05</v>
      </c>
      <c r="Q27" s="59">
        <v>42.01</v>
      </c>
      <c r="R27" s="197"/>
      <c r="S27" s="197"/>
      <c r="T27" s="197"/>
      <c r="U27" s="197"/>
    </row>
    <row r="28" spans="1:21" s="12" customFormat="1" x14ac:dyDescent="0.25">
      <c r="A28" s="200" t="s">
        <v>1226</v>
      </c>
      <c r="B28" s="59">
        <v>6.55</v>
      </c>
      <c r="C28" s="59">
        <v>63.97</v>
      </c>
      <c r="D28" s="59">
        <v>40.56</v>
      </c>
      <c r="E28" s="59">
        <v>5.26</v>
      </c>
      <c r="F28" s="59">
        <v>0.74</v>
      </c>
      <c r="G28" s="59">
        <v>54.48</v>
      </c>
      <c r="H28" s="59">
        <v>29.3</v>
      </c>
      <c r="I28" s="59">
        <v>0.43</v>
      </c>
      <c r="J28" s="59">
        <v>0.64</v>
      </c>
      <c r="K28" s="59">
        <v>1.74</v>
      </c>
      <c r="L28" s="59">
        <v>20.29</v>
      </c>
      <c r="M28" s="59">
        <v>58</v>
      </c>
      <c r="N28" s="59">
        <v>25</v>
      </c>
      <c r="O28" s="59">
        <v>0</v>
      </c>
      <c r="P28" s="59">
        <v>1.04</v>
      </c>
      <c r="Q28" s="59">
        <v>41.95</v>
      </c>
      <c r="R28" s="197"/>
      <c r="S28" s="197"/>
      <c r="T28" s="197"/>
      <c r="U28" s="197"/>
    </row>
    <row r="29" spans="1:21" s="12" customFormat="1" x14ac:dyDescent="0.25">
      <c r="A29" s="200" t="s">
        <v>1227</v>
      </c>
      <c r="B29" s="59">
        <v>7.4</v>
      </c>
      <c r="C29" s="59">
        <v>64.45</v>
      </c>
      <c r="D29" s="59">
        <v>41.51</v>
      </c>
      <c r="E29" s="59">
        <v>5.69</v>
      </c>
      <c r="F29" s="59">
        <v>0.56999999999999995</v>
      </c>
      <c r="G29" s="59">
        <v>54.48</v>
      </c>
      <c r="H29" s="59">
        <v>29.3</v>
      </c>
      <c r="I29" s="59">
        <v>0.43</v>
      </c>
      <c r="J29" s="59">
        <v>0.64</v>
      </c>
      <c r="K29" s="59">
        <v>358.25</v>
      </c>
      <c r="L29" s="59">
        <v>20.260000000000002</v>
      </c>
      <c r="M29" s="59">
        <v>60</v>
      </c>
      <c r="N29" s="59">
        <v>25.4</v>
      </c>
      <c r="O29" s="59">
        <v>0</v>
      </c>
      <c r="P29" s="59">
        <v>1.04</v>
      </c>
      <c r="Q29" s="59">
        <v>42.16</v>
      </c>
      <c r="R29" s="197"/>
      <c r="S29" s="197"/>
      <c r="T29" s="197"/>
      <c r="U29" s="197"/>
    </row>
    <row r="30" spans="1:21" s="12" customFormat="1" x14ac:dyDescent="0.25">
      <c r="A30" s="200" t="s">
        <v>1228</v>
      </c>
      <c r="B30" s="59">
        <v>8.2799999999999994</v>
      </c>
      <c r="C30" s="59">
        <v>65.239999999999995</v>
      </c>
      <c r="D30" s="59">
        <v>42.65</v>
      </c>
      <c r="E30" s="59">
        <v>5.13</v>
      </c>
      <c r="F30" s="59">
        <v>0.44</v>
      </c>
      <c r="G30" s="59">
        <v>54.48</v>
      </c>
      <c r="H30" s="59">
        <v>29.3</v>
      </c>
      <c r="I30" s="59">
        <v>0.44</v>
      </c>
      <c r="J30" s="59">
        <v>0.46</v>
      </c>
      <c r="K30" s="59">
        <v>355.68</v>
      </c>
      <c r="L30" s="59">
        <v>20.11</v>
      </c>
      <c r="M30" s="59">
        <v>60</v>
      </c>
      <c r="N30" s="59">
        <v>25.2</v>
      </c>
      <c r="O30" s="59">
        <v>0</v>
      </c>
      <c r="P30" s="59">
        <v>1.05</v>
      </c>
      <c r="Q30" s="59">
        <v>42.83</v>
      </c>
      <c r="R30" s="197"/>
      <c r="S30" s="197"/>
      <c r="T30" s="197"/>
      <c r="U30" s="197"/>
    </row>
    <row r="31" spans="1:21" s="12" customFormat="1" x14ac:dyDescent="0.25">
      <c r="A31" s="200" t="s">
        <v>1229</v>
      </c>
      <c r="B31" s="59">
        <v>9.36</v>
      </c>
      <c r="C31" s="59">
        <v>66.19</v>
      </c>
      <c r="D31" s="59">
        <v>44.03</v>
      </c>
      <c r="E31" s="59">
        <v>5.36</v>
      </c>
      <c r="F31" s="59">
        <v>0.7</v>
      </c>
      <c r="G31" s="59">
        <v>57.58</v>
      </c>
      <c r="H31" s="59">
        <v>29.4</v>
      </c>
      <c r="I31" s="59">
        <v>0.44</v>
      </c>
      <c r="J31" s="59">
        <v>0.3</v>
      </c>
      <c r="K31" s="59">
        <v>346.21</v>
      </c>
      <c r="L31" s="59">
        <v>20.14</v>
      </c>
      <c r="M31" s="59">
        <v>61</v>
      </c>
      <c r="N31" s="59">
        <v>25.2</v>
      </c>
      <c r="O31" s="59">
        <v>0</v>
      </c>
      <c r="P31" s="59">
        <v>1.06</v>
      </c>
      <c r="Q31" s="59">
        <v>43.48</v>
      </c>
      <c r="R31" s="197"/>
      <c r="S31" s="197"/>
      <c r="T31" s="197"/>
      <c r="U31" s="197"/>
    </row>
    <row r="32" spans="1:21" s="12" customFormat="1" x14ac:dyDescent="0.25">
      <c r="A32" s="200" t="s">
        <v>1230</v>
      </c>
      <c r="B32" s="59">
        <v>10.8</v>
      </c>
      <c r="C32" s="59">
        <v>67.680000000000007</v>
      </c>
      <c r="D32" s="59">
        <v>46.01</v>
      </c>
      <c r="E32" s="59">
        <v>5.15</v>
      </c>
      <c r="F32" s="59">
        <v>0.44</v>
      </c>
      <c r="G32" s="59">
        <v>60.58</v>
      </c>
      <c r="H32" s="59">
        <v>29.57</v>
      </c>
      <c r="I32" s="59">
        <v>0.44</v>
      </c>
      <c r="J32" s="59">
        <v>0.11</v>
      </c>
      <c r="K32" s="59">
        <v>353.28</v>
      </c>
      <c r="L32" s="59">
        <v>19.96</v>
      </c>
      <c r="M32" s="59">
        <v>62</v>
      </c>
      <c r="N32" s="59">
        <v>25.1</v>
      </c>
      <c r="O32" s="59">
        <v>0</v>
      </c>
      <c r="P32" s="59">
        <v>1.08</v>
      </c>
      <c r="Q32" s="59">
        <v>43.15</v>
      </c>
      <c r="R32" s="197"/>
      <c r="S32" s="197"/>
      <c r="T32" s="197"/>
      <c r="U32" s="197"/>
    </row>
    <row r="33" spans="1:21" s="12" customFormat="1" x14ac:dyDescent="0.25">
      <c r="A33" s="200" t="s">
        <v>1231</v>
      </c>
      <c r="B33" s="59">
        <v>12.39</v>
      </c>
      <c r="C33" s="59">
        <v>69.47</v>
      </c>
      <c r="D33" s="59">
        <v>48.28</v>
      </c>
      <c r="E33" s="59">
        <v>4.9400000000000004</v>
      </c>
      <c r="F33" s="59">
        <v>0.48</v>
      </c>
      <c r="G33" s="59">
        <v>60.58</v>
      </c>
      <c r="H33" s="59">
        <v>29.57</v>
      </c>
      <c r="I33" s="59">
        <v>0.43</v>
      </c>
      <c r="J33" s="59">
        <v>0.73</v>
      </c>
      <c r="K33" s="59">
        <v>2.44</v>
      </c>
      <c r="L33" s="59">
        <v>20.13</v>
      </c>
      <c r="M33" s="59">
        <v>62</v>
      </c>
      <c r="N33" s="59">
        <v>25.1</v>
      </c>
      <c r="O33" s="59">
        <v>0</v>
      </c>
      <c r="P33" s="59">
        <v>1.1200000000000001</v>
      </c>
      <c r="Q33" s="59">
        <v>42.97</v>
      </c>
      <c r="R33" s="197"/>
      <c r="S33" s="197"/>
      <c r="T33" s="197"/>
      <c r="U33" s="197"/>
    </row>
    <row r="34" spans="1:21" s="12" customFormat="1" x14ac:dyDescent="0.25">
      <c r="A34" s="200" t="s">
        <v>1232</v>
      </c>
      <c r="B34" s="59">
        <v>14.08</v>
      </c>
      <c r="C34" s="59">
        <v>71.23</v>
      </c>
      <c r="D34" s="59">
        <v>50.6</v>
      </c>
      <c r="E34" s="59">
        <v>5.59</v>
      </c>
      <c r="F34" s="59">
        <v>0.42</v>
      </c>
      <c r="G34" s="59">
        <v>60.58</v>
      </c>
      <c r="H34" s="59">
        <v>29.57</v>
      </c>
      <c r="I34" s="59">
        <v>0.42</v>
      </c>
      <c r="J34" s="59">
        <v>0.39</v>
      </c>
      <c r="K34" s="59">
        <v>359.35</v>
      </c>
      <c r="L34" s="59">
        <v>20.13</v>
      </c>
      <c r="M34" s="59">
        <v>63</v>
      </c>
      <c r="N34" s="59">
        <v>25.8</v>
      </c>
      <c r="O34" s="59">
        <v>0</v>
      </c>
      <c r="P34" s="59">
        <v>1.2</v>
      </c>
      <c r="Q34" s="59">
        <v>42.74</v>
      </c>
      <c r="R34" s="197"/>
      <c r="S34" s="197"/>
      <c r="T34" s="197"/>
      <c r="U34" s="197"/>
    </row>
    <row r="35" spans="1:21" s="12" customFormat="1" x14ac:dyDescent="0.25">
      <c r="A35" s="200" t="s">
        <v>1233</v>
      </c>
      <c r="B35" s="59">
        <v>17.190000000000001</v>
      </c>
      <c r="C35" s="59">
        <v>73.36</v>
      </c>
      <c r="D35" s="59">
        <v>54.28</v>
      </c>
      <c r="E35" s="59">
        <v>5.89</v>
      </c>
      <c r="F35" s="59">
        <v>0.59</v>
      </c>
      <c r="G35" s="59">
        <v>72.010000000000005</v>
      </c>
      <c r="H35" s="59">
        <v>32.08</v>
      </c>
      <c r="I35" s="59">
        <v>0.41</v>
      </c>
      <c r="J35" s="59">
        <v>0.59</v>
      </c>
      <c r="K35" s="59">
        <v>1.04</v>
      </c>
      <c r="L35" s="59">
        <v>20.03</v>
      </c>
      <c r="M35" s="59">
        <v>65</v>
      </c>
      <c r="N35" s="59">
        <v>28.1</v>
      </c>
      <c r="O35" s="59">
        <v>0</v>
      </c>
      <c r="P35" s="59">
        <v>1.3</v>
      </c>
      <c r="Q35" s="59">
        <v>42.42</v>
      </c>
      <c r="R35" s="197"/>
      <c r="S35" s="197"/>
      <c r="T35" s="197"/>
      <c r="U35" s="197"/>
    </row>
    <row r="36" spans="1:21" s="12" customFormat="1" x14ac:dyDescent="0.25">
      <c r="A36" s="200" t="s">
        <v>1234</v>
      </c>
      <c r="B36" s="59">
        <v>19.97</v>
      </c>
      <c r="C36" s="59">
        <v>74.91</v>
      </c>
      <c r="D36" s="59">
        <v>57.36</v>
      </c>
      <c r="E36" s="59">
        <v>5.9</v>
      </c>
      <c r="F36" s="59">
        <v>0.47</v>
      </c>
      <c r="G36" s="59">
        <v>83.44</v>
      </c>
      <c r="H36" s="59">
        <v>36.21</v>
      </c>
      <c r="I36" s="59">
        <v>0.41</v>
      </c>
      <c r="J36" s="59">
        <v>0.75</v>
      </c>
      <c r="K36" s="59">
        <v>1.82</v>
      </c>
      <c r="L36" s="59">
        <v>19.97</v>
      </c>
      <c r="M36" s="59">
        <v>65</v>
      </c>
      <c r="N36" s="59">
        <v>32</v>
      </c>
      <c r="O36" s="59">
        <v>0</v>
      </c>
      <c r="P36" s="59">
        <v>1.4</v>
      </c>
      <c r="Q36" s="59">
        <v>42.3</v>
      </c>
      <c r="R36" s="197"/>
      <c r="S36" s="197"/>
      <c r="T36" s="197"/>
      <c r="U36" s="197"/>
    </row>
    <row r="37" spans="1:21" s="12" customFormat="1" x14ac:dyDescent="0.25">
      <c r="A37" s="200" t="s">
        <v>1235</v>
      </c>
      <c r="B37" s="59">
        <v>22.11</v>
      </c>
      <c r="C37" s="59">
        <v>76.48</v>
      </c>
      <c r="D37" s="59">
        <v>59.94</v>
      </c>
      <c r="E37" s="59">
        <v>6</v>
      </c>
      <c r="F37" s="59">
        <v>0.66</v>
      </c>
      <c r="G37" s="59">
        <v>83.44</v>
      </c>
      <c r="H37" s="59">
        <v>36.21</v>
      </c>
      <c r="I37" s="59">
        <v>0.4</v>
      </c>
      <c r="J37" s="59">
        <v>0.87</v>
      </c>
      <c r="K37" s="59">
        <v>2.78</v>
      </c>
      <c r="L37" s="59">
        <v>19.97</v>
      </c>
      <c r="M37" s="59">
        <v>64</v>
      </c>
      <c r="N37" s="59">
        <v>37.200000000000003</v>
      </c>
      <c r="O37" s="59">
        <v>0</v>
      </c>
      <c r="P37" s="59">
        <v>1.38</v>
      </c>
      <c r="Q37" s="59">
        <v>42.12</v>
      </c>
      <c r="R37" s="197"/>
      <c r="S37" s="197"/>
      <c r="T37" s="197"/>
      <c r="U37" s="197"/>
    </row>
    <row r="38" spans="1:21" s="12" customFormat="1" x14ac:dyDescent="0.25">
      <c r="A38" s="200" t="s">
        <v>1236</v>
      </c>
      <c r="B38" s="59">
        <v>22.97</v>
      </c>
      <c r="C38" s="59">
        <v>77.319999999999993</v>
      </c>
      <c r="D38" s="59">
        <v>61.1</v>
      </c>
      <c r="E38" s="59">
        <v>5.65</v>
      </c>
      <c r="F38" s="59">
        <v>0.66</v>
      </c>
      <c r="G38" s="59">
        <v>83.44</v>
      </c>
      <c r="H38" s="59">
        <v>36.21</v>
      </c>
      <c r="I38" s="59">
        <v>0.4</v>
      </c>
      <c r="J38" s="59">
        <v>0.65</v>
      </c>
      <c r="K38" s="59">
        <v>0.36</v>
      </c>
      <c r="L38" s="59">
        <v>20.14</v>
      </c>
      <c r="M38" s="59">
        <v>63</v>
      </c>
      <c r="N38" s="59">
        <v>43.4</v>
      </c>
      <c r="O38" s="59">
        <v>0</v>
      </c>
      <c r="P38" s="59">
        <v>1.55</v>
      </c>
      <c r="Q38" s="59">
        <v>42.09</v>
      </c>
      <c r="R38" s="197"/>
      <c r="S38" s="197"/>
      <c r="T38" s="197"/>
      <c r="U38" s="197"/>
    </row>
    <row r="39" spans="1:21" s="12" customFormat="1" x14ac:dyDescent="0.25">
      <c r="A39" s="200" t="s">
        <v>1237</v>
      </c>
      <c r="B39" s="59">
        <v>23.75</v>
      </c>
      <c r="C39" s="59">
        <v>78.2</v>
      </c>
      <c r="D39" s="59">
        <v>62.2</v>
      </c>
      <c r="E39" s="59">
        <v>5.81</v>
      </c>
      <c r="F39" s="59">
        <v>0.6</v>
      </c>
      <c r="G39" s="59">
        <v>94.69</v>
      </c>
      <c r="H39" s="59">
        <v>38.81</v>
      </c>
      <c r="I39" s="59">
        <v>0.4</v>
      </c>
      <c r="J39" s="59">
        <v>0.71</v>
      </c>
      <c r="K39" s="59">
        <v>1.99</v>
      </c>
      <c r="L39" s="59">
        <v>20.399999999999999</v>
      </c>
      <c r="M39" s="59">
        <v>62</v>
      </c>
      <c r="N39" s="59">
        <v>47.6</v>
      </c>
      <c r="O39" s="59">
        <v>0</v>
      </c>
      <c r="P39" s="59">
        <v>1.62</v>
      </c>
      <c r="Q39" s="59">
        <v>41.97</v>
      </c>
      <c r="R39" s="197"/>
      <c r="S39" s="197"/>
      <c r="T39" s="197"/>
      <c r="U39" s="197"/>
    </row>
    <row r="40" spans="1:21" s="12" customFormat="1" x14ac:dyDescent="0.25">
      <c r="A40" s="200" t="s">
        <v>1238</v>
      </c>
      <c r="B40" s="59">
        <v>24.83</v>
      </c>
      <c r="C40" s="59">
        <v>78.92</v>
      </c>
      <c r="D40" s="59">
        <v>63.47</v>
      </c>
      <c r="E40" s="59">
        <v>2.68</v>
      </c>
      <c r="F40" s="59">
        <v>0.51</v>
      </c>
      <c r="G40" s="59">
        <v>105.27</v>
      </c>
      <c r="H40" s="59">
        <v>43.09</v>
      </c>
      <c r="I40" s="59">
        <v>0.42</v>
      </c>
      <c r="J40" s="59">
        <v>0.8</v>
      </c>
      <c r="K40" s="59">
        <v>0.52</v>
      </c>
      <c r="L40" s="59">
        <v>20.64</v>
      </c>
      <c r="M40" s="59">
        <v>62</v>
      </c>
      <c r="N40" s="59">
        <v>58.6</v>
      </c>
      <c r="O40" s="59">
        <v>0</v>
      </c>
      <c r="P40" s="59">
        <v>1.67</v>
      </c>
      <c r="Q40" s="59">
        <v>42.15</v>
      </c>
      <c r="R40" s="197"/>
      <c r="S40" s="197"/>
      <c r="T40" s="197"/>
      <c r="U40" s="197"/>
    </row>
    <row r="41" spans="1:21" s="12" customFormat="1" x14ac:dyDescent="0.25">
      <c r="A41" s="200" t="s">
        <v>1239</v>
      </c>
      <c r="B41" s="59">
        <v>25.35</v>
      </c>
      <c r="C41" s="59">
        <v>79.08</v>
      </c>
      <c r="D41" s="59">
        <v>63.97</v>
      </c>
      <c r="E41" s="59">
        <v>5.03</v>
      </c>
      <c r="F41" s="59">
        <v>0.56999999999999995</v>
      </c>
      <c r="G41" s="59">
        <v>105.27</v>
      </c>
      <c r="H41" s="59">
        <v>43.09</v>
      </c>
      <c r="I41" s="59">
        <v>0.43</v>
      </c>
      <c r="J41" s="59">
        <v>0.64</v>
      </c>
      <c r="K41" s="59">
        <v>3.59</v>
      </c>
      <c r="L41" s="59">
        <v>20.86</v>
      </c>
      <c r="M41" s="59">
        <v>62</v>
      </c>
      <c r="N41" s="59">
        <v>78.5</v>
      </c>
      <c r="O41" s="59">
        <v>0</v>
      </c>
      <c r="P41" s="59">
        <v>1.7</v>
      </c>
      <c r="Q41" s="59">
        <v>42.12</v>
      </c>
      <c r="R41" s="197"/>
      <c r="S41" s="197"/>
      <c r="T41" s="197"/>
      <c r="U41" s="197"/>
    </row>
    <row r="42" spans="1:21" s="12" customFormat="1" x14ac:dyDescent="0.25">
      <c r="A42" s="200" t="s">
        <v>1240</v>
      </c>
      <c r="B42" s="59">
        <v>25.88</v>
      </c>
      <c r="C42" s="59">
        <v>79.290000000000006</v>
      </c>
      <c r="D42" s="59">
        <v>64.510000000000005</v>
      </c>
      <c r="E42" s="59">
        <v>5.43</v>
      </c>
      <c r="F42" s="59">
        <v>0.61</v>
      </c>
      <c r="G42" s="59">
        <v>105.27</v>
      </c>
      <c r="H42" s="59">
        <v>43.09</v>
      </c>
      <c r="I42" s="59">
        <v>0.44</v>
      </c>
      <c r="J42" s="59">
        <v>0.48</v>
      </c>
      <c r="K42" s="59">
        <v>20.29</v>
      </c>
      <c r="L42" s="59">
        <v>21.15</v>
      </c>
      <c r="M42" s="59">
        <v>61</v>
      </c>
      <c r="N42" s="59">
        <v>95.6</v>
      </c>
      <c r="O42" s="59">
        <v>0</v>
      </c>
      <c r="P42" s="59">
        <v>1.71</v>
      </c>
      <c r="Q42" s="59">
        <v>42.11</v>
      </c>
      <c r="R42" s="197"/>
      <c r="S42" s="197"/>
      <c r="T42" s="197"/>
      <c r="U42" s="197"/>
    </row>
    <row r="43" spans="1:21" s="12" customFormat="1" x14ac:dyDescent="0.25">
      <c r="A43" s="200" t="s">
        <v>1241</v>
      </c>
      <c r="B43" s="59">
        <v>26.03</v>
      </c>
      <c r="C43" s="59">
        <v>79.19</v>
      </c>
      <c r="D43" s="59">
        <v>64.569999999999993</v>
      </c>
      <c r="E43" s="59">
        <v>5.39</v>
      </c>
      <c r="F43" s="59">
        <v>0.57999999999999996</v>
      </c>
      <c r="G43" s="59">
        <v>104.42</v>
      </c>
      <c r="H43" s="59">
        <v>41.69</v>
      </c>
      <c r="I43" s="59">
        <v>0.45</v>
      </c>
      <c r="J43" s="59">
        <v>0.71</v>
      </c>
      <c r="K43" s="59">
        <v>78.150000000000006</v>
      </c>
      <c r="L43" s="59">
        <v>21.09</v>
      </c>
      <c r="M43" s="59">
        <v>61</v>
      </c>
      <c r="N43" s="59">
        <v>111.6</v>
      </c>
      <c r="O43" s="59">
        <v>0</v>
      </c>
      <c r="P43" s="59">
        <v>1.71</v>
      </c>
      <c r="Q43" s="59">
        <v>42.19</v>
      </c>
      <c r="R43" s="197"/>
      <c r="S43" s="197"/>
      <c r="T43" s="197"/>
      <c r="U43" s="197"/>
    </row>
    <row r="44" spans="1:21" s="12" customFormat="1" x14ac:dyDescent="0.25">
      <c r="A44" s="200" t="s">
        <v>1242</v>
      </c>
      <c r="B44" s="59">
        <v>25.32</v>
      </c>
      <c r="C44" s="59">
        <v>78.23</v>
      </c>
      <c r="D44" s="59">
        <v>63.48</v>
      </c>
      <c r="E44" s="59">
        <v>5.04</v>
      </c>
      <c r="F44" s="59">
        <v>0.5</v>
      </c>
      <c r="G44" s="59">
        <v>101.59</v>
      </c>
      <c r="H44" s="59">
        <v>39.39</v>
      </c>
      <c r="I44" s="59">
        <v>0.46</v>
      </c>
      <c r="J44" s="59">
        <v>0.95</v>
      </c>
      <c r="K44" s="59">
        <v>91.99</v>
      </c>
      <c r="L44" s="59">
        <v>21.18</v>
      </c>
      <c r="M44" s="59">
        <v>61</v>
      </c>
      <c r="N44" s="59">
        <v>126.6</v>
      </c>
      <c r="O44" s="59">
        <v>0</v>
      </c>
      <c r="P44" s="59">
        <v>1.7</v>
      </c>
      <c r="Q44" s="59">
        <v>42.35</v>
      </c>
      <c r="R44" s="197"/>
      <c r="S44" s="197"/>
      <c r="T44" s="197"/>
      <c r="U44" s="197"/>
    </row>
    <row r="45" spans="1:21" s="12" customFormat="1" x14ac:dyDescent="0.25">
      <c r="A45" s="200" t="s">
        <v>1243</v>
      </c>
      <c r="B45" s="59">
        <v>23.86</v>
      </c>
      <c r="C45" s="59">
        <v>77.52</v>
      </c>
      <c r="D45" s="59">
        <v>61.91</v>
      </c>
      <c r="E45" s="59">
        <v>5.55</v>
      </c>
      <c r="F45" s="59">
        <v>0.57999999999999996</v>
      </c>
      <c r="G45" s="59">
        <v>101.59</v>
      </c>
      <c r="H45" s="59">
        <v>39.39</v>
      </c>
      <c r="I45" s="59">
        <v>0.47</v>
      </c>
      <c r="J45" s="59">
        <v>0.63</v>
      </c>
      <c r="K45" s="59">
        <v>85.67</v>
      </c>
      <c r="L45" s="59">
        <v>21.86</v>
      </c>
      <c r="M45" s="59">
        <v>60</v>
      </c>
      <c r="N45" s="59">
        <v>138.6</v>
      </c>
      <c r="O45" s="59">
        <v>0</v>
      </c>
      <c r="P45" s="59">
        <v>1.67</v>
      </c>
      <c r="Q45" s="59">
        <v>43.36</v>
      </c>
      <c r="R45" s="197"/>
      <c r="S45" s="197"/>
      <c r="T45" s="197"/>
      <c r="U45" s="197"/>
    </row>
    <row r="46" spans="1:21" s="12" customFormat="1" x14ac:dyDescent="0.25">
      <c r="A46" s="200" t="s">
        <v>1244</v>
      </c>
      <c r="B46" s="59">
        <v>21.92</v>
      </c>
      <c r="C46" s="59">
        <v>77.599999999999994</v>
      </c>
      <c r="D46" s="59">
        <v>60.4</v>
      </c>
      <c r="E46" s="59">
        <v>5.14</v>
      </c>
      <c r="F46" s="59">
        <v>0.77</v>
      </c>
      <c r="G46" s="59">
        <v>101.59</v>
      </c>
      <c r="H46" s="59">
        <v>39.39</v>
      </c>
      <c r="I46" s="59">
        <v>0.48</v>
      </c>
      <c r="J46" s="59">
        <v>0.62</v>
      </c>
      <c r="K46" s="59">
        <v>72.66</v>
      </c>
      <c r="L46" s="59">
        <v>22.23</v>
      </c>
      <c r="M46" s="59">
        <v>60</v>
      </c>
      <c r="N46" s="59">
        <v>154.5</v>
      </c>
      <c r="O46" s="59">
        <v>0</v>
      </c>
      <c r="P46" s="59">
        <v>1.66</v>
      </c>
      <c r="Q46" s="59">
        <v>43.47</v>
      </c>
      <c r="R46" s="197"/>
      <c r="S46" s="197"/>
      <c r="T46" s="197"/>
      <c r="U46" s="197"/>
    </row>
    <row r="47" spans="1:21" s="12" customFormat="1" x14ac:dyDescent="0.25">
      <c r="A47" s="200" t="s">
        <v>1245</v>
      </c>
      <c r="B47" s="59">
        <v>19.78</v>
      </c>
      <c r="C47" s="59">
        <v>77.77</v>
      </c>
      <c r="D47" s="59">
        <v>58.78</v>
      </c>
      <c r="E47" s="59">
        <v>4.92</v>
      </c>
      <c r="F47" s="59">
        <v>0.65</v>
      </c>
      <c r="G47" s="59">
        <v>98.63</v>
      </c>
      <c r="H47" s="59">
        <v>37.78</v>
      </c>
      <c r="I47" s="59">
        <v>0.48</v>
      </c>
      <c r="J47" s="59">
        <v>0.48</v>
      </c>
      <c r="K47" s="59">
        <v>67.680000000000007</v>
      </c>
      <c r="L47" s="59">
        <v>22.86</v>
      </c>
      <c r="M47" s="59">
        <v>59</v>
      </c>
      <c r="N47" s="59">
        <v>158.30000000000001</v>
      </c>
      <c r="O47" s="59">
        <v>0</v>
      </c>
      <c r="P47" s="59">
        <v>1.64</v>
      </c>
      <c r="Q47" s="59">
        <v>43.15</v>
      </c>
      <c r="R47" s="197"/>
      <c r="S47" s="197"/>
      <c r="T47" s="197"/>
      <c r="U47" s="197"/>
    </row>
    <row r="48" spans="1:21" s="12" customFormat="1" x14ac:dyDescent="0.25">
      <c r="A48" s="200" t="s">
        <v>1246</v>
      </c>
      <c r="B48" s="59">
        <v>17.600000000000001</v>
      </c>
      <c r="C48" s="59">
        <v>77.94</v>
      </c>
      <c r="D48" s="59">
        <v>57.13</v>
      </c>
      <c r="E48" s="59">
        <v>5.12</v>
      </c>
      <c r="F48" s="59">
        <v>0.51</v>
      </c>
      <c r="G48" s="59">
        <v>95.67</v>
      </c>
      <c r="H48" s="59">
        <v>35.26</v>
      </c>
      <c r="I48" s="59">
        <v>0.46</v>
      </c>
      <c r="J48" s="59">
        <v>0.51</v>
      </c>
      <c r="K48" s="59">
        <v>78.05</v>
      </c>
      <c r="L48" s="59">
        <v>23.22</v>
      </c>
      <c r="M48" s="59">
        <v>59</v>
      </c>
      <c r="N48" s="59">
        <v>168.8</v>
      </c>
      <c r="O48" s="59">
        <v>0</v>
      </c>
      <c r="P48" s="59">
        <v>1.63</v>
      </c>
      <c r="Q48" s="59">
        <v>42.62</v>
      </c>
      <c r="R48" s="197"/>
      <c r="S48" s="197"/>
      <c r="T48" s="197"/>
      <c r="U48" s="197"/>
    </row>
    <row r="49" spans="1:21" s="12" customFormat="1" x14ac:dyDescent="0.25">
      <c r="A49" s="200" t="s">
        <v>1247</v>
      </c>
      <c r="B49" s="59">
        <v>15.57</v>
      </c>
      <c r="C49" s="59">
        <v>78.27</v>
      </c>
      <c r="D49" s="59">
        <v>55.69</v>
      </c>
      <c r="E49" s="59">
        <v>5.28</v>
      </c>
      <c r="F49" s="59">
        <v>1.2</v>
      </c>
      <c r="G49" s="59">
        <v>95.67</v>
      </c>
      <c r="H49" s="59">
        <v>35.26</v>
      </c>
      <c r="I49" s="59">
        <v>0.45</v>
      </c>
      <c r="J49" s="59">
        <v>0.66</v>
      </c>
      <c r="K49" s="59">
        <v>88.19</v>
      </c>
      <c r="L49" s="59">
        <v>23.8</v>
      </c>
      <c r="M49" s="59">
        <v>58</v>
      </c>
      <c r="N49" s="59">
        <v>189</v>
      </c>
      <c r="O49" s="59">
        <v>0</v>
      </c>
      <c r="P49" s="59">
        <v>1.62</v>
      </c>
      <c r="Q49" s="59">
        <v>42.56</v>
      </c>
      <c r="R49" s="197"/>
      <c r="S49" s="197"/>
      <c r="T49" s="197"/>
      <c r="U49" s="197"/>
    </row>
    <row r="50" spans="1:21" s="12" customFormat="1" x14ac:dyDescent="0.25">
      <c r="A50" s="200" t="s">
        <v>1248</v>
      </c>
      <c r="B50" s="59">
        <v>13.76</v>
      </c>
      <c r="C50" s="59">
        <v>78.61</v>
      </c>
      <c r="D50" s="59">
        <v>54.42</v>
      </c>
      <c r="E50" s="59">
        <v>5.08</v>
      </c>
      <c r="F50" s="59">
        <v>1.1499999999999999</v>
      </c>
      <c r="G50" s="59">
        <v>95.67</v>
      </c>
      <c r="H50" s="59">
        <v>35.26</v>
      </c>
      <c r="I50" s="59">
        <v>0.44</v>
      </c>
      <c r="J50" s="59">
        <v>1.08</v>
      </c>
      <c r="K50" s="59">
        <v>103.5</v>
      </c>
      <c r="L50" s="59">
        <v>23.97</v>
      </c>
      <c r="M50" s="59">
        <v>58</v>
      </c>
      <c r="N50" s="59">
        <v>198.6</v>
      </c>
      <c r="O50" s="59">
        <v>0</v>
      </c>
      <c r="P50" s="59">
        <v>1.59</v>
      </c>
      <c r="Q50" s="59">
        <v>42.61</v>
      </c>
      <c r="R50" s="197"/>
      <c r="S50" s="197"/>
      <c r="T50" s="197"/>
      <c r="U50" s="197"/>
    </row>
    <row r="51" spans="1:21" s="12" customFormat="1" x14ac:dyDescent="0.25">
      <c r="A51" s="200" t="s">
        <v>1249</v>
      </c>
      <c r="B51" s="59">
        <v>11.84</v>
      </c>
      <c r="C51" s="59">
        <v>77.86</v>
      </c>
      <c r="D51" s="59">
        <v>52.47</v>
      </c>
      <c r="E51" s="59">
        <v>5.31</v>
      </c>
      <c r="F51" s="59">
        <v>1.1299999999999999</v>
      </c>
      <c r="G51" s="59">
        <v>90.23</v>
      </c>
      <c r="H51" s="59">
        <v>35.409999999999997</v>
      </c>
      <c r="I51" s="59">
        <v>0.43</v>
      </c>
      <c r="J51" s="59">
        <v>0.54</v>
      </c>
      <c r="K51" s="59">
        <v>72.930000000000007</v>
      </c>
      <c r="L51" s="59">
        <v>24.58</v>
      </c>
      <c r="M51" s="59">
        <v>57</v>
      </c>
      <c r="N51" s="59">
        <v>204.5</v>
      </c>
      <c r="O51" s="59">
        <v>0</v>
      </c>
      <c r="P51" s="59">
        <v>1.56</v>
      </c>
      <c r="Q51" s="59">
        <v>42.39</v>
      </c>
      <c r="R51" s="197"/>
      <c r="S51" s="197"/>
      <c r="T51" s="197"/>
      <c r="U51" s="197"/>
    </row>
    <row r="52" spans="1:21" s="12" customFormat="1" x14ac:dyDescent="0.25">
      <c r="A52" s="200" t="s">
        <v>1250</v>
      </c>
      <c r="B52" s="59">
        <v>10.41</v>
      </c>
      <c r="C52" s="59">
        <v>77.209999999999994</v>
      </c>
      <c r="D52" s="59">
        <v>50.96</v>
      </c>
      <c r="E52" s="59">
        <v>4.6900000000000004</v>
      </c>
      <c r="F52" s="59">
        <v>1.21</v>
      </c>
      <c r="G52" s="59">
        <v>85.11</v>
      </c>
      <c r="H52" s="59">
        <v>35.65</v>
      </c>
      <c r="I52" s="59">
        <v>0.43</v>
      </c>
      <c r="J52" s="59">
        <v>0.69</v>
      </c>
      <c r="K52" s="59">
        <v>100.29</v>
      </c>
      <c r="L52" s="59">
        <v>25.02</v>
      </c>
      <c r="M52" s="59">
        <v>56</v>
      </c>
      <c r="N52" s="59">
        <v>233.7</v>
      </c>
      <c r="O52" s="59">
        <v>0</v>
      </c>
      <c r="P52" s="59">
        <v>1.55</v>
      </c>
      <c r="Q52" s="59">
        <v>42.01</v>
      </c>
      <c r="R52" s="197"/>
      <c r="S52" s="197"/>
      <c r="T52" s="197"/>
      <c r="U52" s="197"/>
    </row>
    <row r="53" spans="1:21" s="12" customFormat="1" x14ac:dyDescent="0.25">
      <c r="A53" s="200" t="s">
        <v>1251</v>
      </c>
      <c r="B53" s="59">
        <v>9.51</v>
      </c>
      <c r="C53" s="59">
        <v>76.62</v>
      </c>
      <c r="D53" s="59">
        <v>49.91</v>
      </c>
      <c r="E53" s="59">
        <v>5</v>
      </c>
      <c r="F53" s="59">
        <v>1.02</v>
      </c>
      <c r="G53" s="59">
        <v>85.11</v>
      </c>
      <c r="H53" s="59">
        <v>35.65</v>
      </c>
      <c r="I53" s="59">
        <v>0.42</v>
      </c>
      <c r="J53" s="59">
        <v>1.36</v>
      </c>
      <c r="K53" s="59">
        <v>107.69</v>
      </c>
      <c r="L53" s="59">
        <v>25.04</v>
      </c>
      <c r="M53" s="59">
        <v>57</v>
      </c>
      <c r="N53" s="59">
        <v>237.4</v>
      </c>
      <c r="O53" s="59">
        <v>0</v>
      </c>
      <c r="P53" s="59">
        <v>1.51</v>
      </c>
      <c r="Q53" s="59">
        <v>42.3</v>
      </c>
      <c r="R53" s="197"/>
      <c r="S53" s="197"/>
      <c r="T53" s="197"/>
      <c r="U53" s="197"/>
    </row>
    <row r="54" spans="1:21" s="12" customFormat="1" x14ac:dyDescent="0.25">
      <c r="A54" s="200" t="s">
        <v>1252</v>
      </c>
      <c r="B54" s="59">
        <v>8.34</v>
      </c>
      <c r="C54" s="59">
        <v>74.3</v>
      </c>
      <c r="D54" s="59">
        <v>47.7</v>
      </c>
      <c r="E54" s="59">
        <v>4.88</v>
      </c>
      <c r="F54" s="59">
        <v>0.96</v>
      </c>
      <c r="G54" s="59">
        <v>85.11</v>
      </c>
      <c r="H54" s="59">
        <v>35.65</v>
      </c>
      <c r="I54" s="59">
        <v>0.42</v>
      </c>
      <c r="J54" s="59">
        <v>1.1499999999999999</v>
      </c>
      <c r="K54" s="59">
        <v>112.63</v>
      </c>
      <c r="L54" s="59">
        <v>25.12</v>
      </c>
      <c r="M54" s="59">
        <v>57</v>
      </c>
      <c r="N54" s="59">
        <v>255.7</v>
      </c>
      <c r="O54" s="59">
        <v>0</v>
      </c>
      <c r="P54" s="59">
        <v>1.46</v>
      </c>
      <c r="Q54" s="59">
        <v>42.56</v>
      </c>
      <c r="R54" s="197"/>
      <c r="S54" s="197"/>
      <c r="T54" s="197"/>
      <c r="U54" s="197"/>
    </row>
    <row r="55" spans="1:21" s="12" customFormat="1" x14ac:dyDescent="0.25">
      <c r="A55" s="200" t="s">
        <v>1253</v>
      </c>
      <c r="B55" s="59">
        <v>7.68</v>
      </c>
      <c r="C55" s="59">
        <v>71.319999999999993</v>
      </c>
      <c r="D55" s="59">
        <v>45.52</v>
      </c>
      <c r="E55" s="59">
        <v>5.93</v>
      </c>
      <c r="F55" s="59">
        <v>2.62</v>
      </c>
      <c r="G55" s="59">
        <v>80.41</v>
      </c>
      <c r="H55" s="59">
        <v>33.94</v>
      </c>
      <c r="I55" s="59">
        <v>0.43</v>
      </c>
      <c r="J55" s="59">
        <v>0.48</v>
      </c>
      <c r="K55" s="59">
        <v>36.72</v>
      </c>
      <c r="L55" s="59">
        <v>27.49</v>
      </c>
      <c r="M55" s="59">
        <v>51</v>
      </c>
      <c r="N55" s="59">
        <v>318.7</v>
      </c>
      <c r="O55" s="59">
        <v>0</v>
      </c>
      <c r="P55" s="59">
        <v>1.43</v>
      </c>
      <c r="Q55" s="59">
        <v>42.6</v>
      </c>
      <c r="R55" s="197"/>
      <c r="S55" s="197"/>
      <c r="T55" s="197"/>
      <c r="U55" s="197"/>
    </row>
    <row r="56" spans="1:21" s="12" customFormat="1" x14ac:dyDescent="0.25">
      <c r="A56" s="200" t="s">
        <v>1254</v>
      </c>
      <c r="B56" s="59">
        <v>8.31</v>
      </c>
      <c r="C56" s="59">
        <v>71.92</v>
      </c>
      <c r="D56" s="59">
        <v>46.35</v>
      </c>
      <c r="E56" s="59">
        <v>2.94</v>
      </c>
      <c r="F56" s="59">
        <v>2.37</v>
      </c>
      <c r="G56" s="59">
        <v>75.86</v>
      </c>
      <c r="H56" s="59">
        <v>31.26</v>
      </c>
      <c r="I56" s="59">
        <v>0.42</v>
      </c>
      <c r="J56" s="59">
        <v>0.56999999999999995</v>
      </c>
      <c r="K56" s="59">
        <v>37.36</v>
      </c>
      <c r="L56" s="59">
        <v>26.84</v>
      </c>
      <c r="M56" s="59">
        <v>55</v>
      </c>
      <c r="N56" s="59">
        <v>217.7</v>
      </c>
      <c r="O56" s="59">
        <v>0</v>
      </c>
      <c r="P56" s="59">
        <v>1.4</v>
      </c>
      <c r="Q56" s="59">
        <v>42.65</v>
      </c>
      <c r="R56" s="197"/>
      <c r="S56" s="197"/>
      <c r="T56" s="197"/>
      <c r="U56" s="197"/>
    </row>
    <row r="57" spans="1:21" s="12" customFormat="1" x14ac:dyDescent="0.25">
      <c r="A57" s="200" t="s">
        <v>1255</v>
      </c>
      <c r="B57" s="59">
        <v>7.86</v>
      </c>
      <c r="C57" s="59">
        <v>71.61</v>
      </c>
      <c r="D57" s="59">
        <v>45.82</v>
      </c>
      <c r="E57" s="59">
        <v>5.86</v>
      </c>
      <c r="F57" s="59">
        <v>1.88</v>
      </c>
      <c r="G57" s="59">
        <v>75.86</v>
      </c>
      <c r="H57" s="59">
        <v>31.26</v>
      </c>
      <c r="I57" s="59">
        <v>0.41</v>
      </c>
      <c r="J57" s="59">
        <v>1.2</v>
      </c>
      <c r="K57" s="59">
        <v>118.96</v>
      </c>
      <c r="L57" s="59">
        <v>26.44</v>
      </c>
      <c r="M57" s="59">
        <v>57</v>
      </c>
      <c r="N57" s="59">
        <v>205.8</v>
      </c>
      <c r="O57" s="59">
        <v>0</v>
      </c>
      <c r="P57" s="59">
        <v>1.37</v>
      </c>
      <c r="Q57" s="59">
        <v>42.92</v>
      </c>
      <c r="R57" s="197"/>
      <c r="S57" s="197"/>
      <c r="T57" s="197"/>
      <c r="U57" s="197"/>
    </row>
    <row r="58" spans="1:21" s="12" customFormat="1" x14ac:dyDescent="0.25">
      <c r="A58" s="200" t="s">
        <v>1256</v>
      </c>
      <c r="B58" s="59">
        <v>7.55</v>
      </c>
      <c r="C58" s="59">
        <v>71.75</v>
      </c>
      <c r="D58" s="59">
        <v>45.65</v>
      </c>
      <c r="E58" s="59">
        <v>5.9</v>
      </c>
      <c r="F58" s="59">
        <v>1.63</v>
      </c>
      <c r="G58" s="59">
        <v>75.86</v>
      </c>
      <c r="H58" s="59">
        <v>31.26</v>
      </c>
      <c r="I58" s="59">
        <v>0.41</v>
      </c>
      <c r="J58" s="59">
        <v>0.48</v>
      </c>
      <c r="K58" s="59">
        <v>356.13</v>
      </c>
      <c r="L58" s="59">
        <v>27.05</v>
      </c>
      <c r="M58" s="59">
        <v>55</v>
      </c>
      <c r="N58" s="59">
        <v>179.3</v>
      </c>
      <c r="O58" s="59">
        <v>0</v>
      </c>
      <c r="P58" s="59">
        <v>1.36</v>
      </c>
      <c r="Q58" s="59">
        <v>43.34</v>
      </c>
      <c r="R58" s="197"/>
      <c r="S58" s="197"/>
      <c r="T58" s="197"/>
      <c r="U58" s="197"/>
    </row>
    <row r="59" spans="1:21" s="12" customFormat="1" x14ac:dyDescent="0.25">
      <c r="A59" s="200" t="s">
        <v>1257</v>
      </c>
      <c r="B59" s="59">
        <v>7.67</v>
      </c>
      <c r="C59" s="59">
        <v>74.97</v>
      </c>
      <c r="D59" s="59">
        <v>47.52</v>
      </c>
      <c r="E59" s="59">
        <v>6.69</v>
      </c>
      <c r="F59" s="59">
        <v>1.1200000000000001</v>
      </c>
      <c r="G59" s="59">
        <v>75.58</v>
      </c>
      <c r="H59" s="59">
        <v>31.56</v>
      </c>
      <c r="I59" s="59">
        <v>0.41</v>
      </c>
      <c r="J59" s="59">
        <v>0.91</v>
      </c>
      <c r="K59" s="59">
        <v>327.43</v>
      </c>
      <c r="L59" s="59">
        <v>27.99</v>
      </c>
      <c r="M59" s="59">
        <v>52</v>
      </c>
      <c r="N59" s="59">
        <v>167.5</v>
      </c>
      <c r="O59" s="59">
        <v>0</v>
      </c>
      <c r="P59" s="59">
        <v>1.44</v>
      </c>
      <c r="Q59" s="59">
        <v>44.39</v>
      </c>
      <c r="R59" s="197"/>
      <c r="S59" s="197"/>
      <c r="T59" s="197"/>
      <c r="U59" s="197"/>
    </row>
    <row r="60" spans="1:21" s="12" customFormat="1" x14ac:dyDescent="0.25">
      <c r="A60" s="200" t="s">
        <v>1258</v>
      </c>
      <c r="B60" s="59">
        <v>7.38</v>
      </c>
      <c r="C60" s="59">
        <v>80.13</v>
      </c>
      <c r="D60" s="59">
        <v>50.14</v>
      </c>
      <c r="E60" s="59">
        <v>7.02</v>
      </c>
      <c r="F60" s="59">
        <v>1.18</v>
      </c>
      <c r="G60" s="59">
        <v>74.680000000000007</v>
      </c>
      <c r="H60" s="59">
        <v>32.049999999999997</v>
      </c>
      <c r="I60" s="59">
        <v>0.42</v>
      </c>
      <c r="J60" s="59">
        <v>0.9</v>
      </c>
      <c r="K60" s="59">
        <v>336.72</v>
      </c>
      <c r="L60" s="59">
        <v>28.3</v>
      </c>
      <c r="M60" s="59">
        <v>51</v>
      </c>
      <c r="N60" s="59">
        <v>155.30000000000001</v>
      </c>
      <c r="O60" s="59">
        <v>0</v>
      </c>
      <c r="P60" s="59">
        <v>1.54</v>
      </c>
      <c r="Q60" s="59">
        <v>44.71</v>
      </c>
      <c r="R60" s="197"/>
      <c r="S60" s="197"/>
      <c r="T60" s="197"/>
      <c r="U60" s="197"/>
    </row>
    <row r="61" spans="1:21" s="12" customFormat="1" x14ac:dyDescent="0.25">
      <c r="A61" s="200" t="s">
        <v>1259</v>
      </c>
      <c r="B61" s="59">
        <v>7.07</v>
      </c>
      <c r="C61" s="59">
        <v>85.51</v>
      </c>
      <c r="D61" s="59">
        <v>52.87</v>
      </c>
      <c r="E61" s="59">
        <v>7.05</v>
      </c>
      <c r="F61" s="59">
        <v>1.04</v>
      </c>
      <c r="G61" s="59">
        <v>74.680000000000007</v>
      </c>
      <c r="H61" s="59">
        <v>32.049999999999997</v>
      </c>
      <c r="I61" s="59">
        <v>0.42</v>
      </c>
      <c r="J61" s="59">
        <v>0.98</v>
      </c>
      <c r="K61" s="59">
        <v>341.15</v>
      </c>
      <c r="L61" s="59">
        <v>28.18</v>
      </c>
      <c r="M61" s="59">
        <v>51</v>
      </c>
      <c r="N61" s="59">
        <v>145.1</v>
      </c>
      <c r="O61" s="59">
        <v>0</v>
      </c>
      <c r="P61" s="59">
        <v>1.56</v>
      </c>
      <c r="Q61" s="59">
        <v>44.93</v>
      </c>
      <c r="R61" s="197"/>
      <c r="S61" s="197"/>
      <c r="T61" s="197"/>
      <c r="U61" s="197"/>
    </row>
    <row r="62" spans="1:21" s="12" customFormat="1" x14ac:dyDescent="0.25">
      <c r="A62" s="200" t="s">
        <v>1260</v>
      </c>
      <c r="B62" s="59">
        <v>6.56</v>
      </c>
      <c r="C62" s="59">
        <v>90</v>
      </c>
      <c r="D62" s="59">
        <v>54.93</v>
      </c>
      <c r="E62" s="59">
        <v>7.32</v>
      </c>
      <c r="F62" s="59">
        <v>1.27</v>
      </c>
      <c r="G62" s="59">
        <v>74.680000000000007</v>
      </c>
      <c r="H62" s="59">
        <v>32.049999999999997</v>
      </c>
      <c r="I62" s="59">
        <v>0.43</v>
      </c>
      <c r="J62" s="59">
        <v>1.2</v>
      </c>
      <c r="K62" s="59">
        <v>338.07</v>
      </c>
      <c r="L62" s="59">
        <v>28.37</v>
      </c>
      <c r="M62" s="59">
        <v>50</v>
      </c>
      <c r="N62" s="59">
        <v>216.8</v>
      </c>
      <c r="O62" s="59">
        <v>0</v>
      </c>
      <c r="P62" s="59">
        <v>1.68</v>
      </c>
      <c r="Q62" s="59">
        <v>45.04</v>
      </c>
      <c r="R62" s="197"/>
      <c r="S62" s="197"/>
      <c r="T62" s="197"/>
      <c r="U62" s="197"/>
    </row>
    <row r="63" spans="1:21" s="12" customFormat="1" x14ac:dyDescent="0.25">
      <c r="A63" s="200" t="s">
        <v>1261</v>
      </c>
      <c r="B63" s="59">
        <v>5.49</v>
      </c>
      <c r="C63" s="59">
        <v>93.18</v>
      </c>
      <c r="D63" s="59">
        <v>55.83</v>
      </c>
      <c r="E63" s="59">
        <v>8.15</v>
      </c>
      <c r="F63" s="59">
        <v>1.56</v>
      </c>
      <c r="G63" s="59">
        <v>116.79</v>
      </c>
      <c r="H63" s="59">
        <v>36.74</v>
      </c>
      <c r="I63" s="59">
        <v>0.42</v>
      </c>
      <c r="J63" s="59">
        <v>1.18</v>
      </c>
      <c r="K63" s="59">
        <v>340.18</v>
      </c>
      <c r="L63" s="59">
        <v>29.2</v>
      </c>
      <c r="M63" s="59">
        <v>50</v>
      </c>
      <c r="N63" s="59">
        <v>228.5</v>
      </c>
      <c r="O63" s="59">
        <v>0</v>
      </c>
      <c r="P63" s="59">
        <v>1.72</v>
      </c>
      <c r="Q63" s="59">
        <v>44.79</v>
      </c>
      <c r="R63" s="197"/>
      <c r="S63" s="197"/>
      <c r="T63" s="197"/>
      <c r="U63" s="197"/>
    </row>
    <row r="64" spans="1:21" s="12" customFormat="1" x14ac:dyDescent="0.25">
      <c r="A64" s="200" t="s">
        <v>1262</v>
      </c>
      <c r="B64" s="59">
        <v>4.6500000000000004</v>
      </c>
      <c r="C64" s="59">
        <v>95.39</v>
      </c>
      <c r="D64" s="59">
        <v>56.37</v>
      </c>
      <c r="E64" s="59">
        <v>6.99</v>
      </c>
      <c r="F64" s="59">
        <v>1.86</v>
      </c>
      <c r="G64" s="59">
        <v>156.43</v>
      </c>
      <c r="H64" s="59">
        <v>44.1</v>
      </c>
      <c r="I64" s="59">
        <v>0.41</v>
      </c>
      <c r="J64" s="59">
        <v>1.21</v>
      </c>
      <c r="K64" s="59">
        <v>354.34</v>
      </c>
      <c r="L64" s="59">
        <v>28.74</v>
      </c>
      <c r="M64" s="59">
        <v>51</v>
      </c>
      <c r="N64" s="59">
        <v>198.1</v>
      </c>
      <c r="O64" s="59">
        <v>0</v>
      </c>
      <c r="P64" s="59">
        <v>1.75</v>
      </c>
      <c r="Q64" s="59">
        <v>44.27</v>
      </c>
      <c r="R64" s="197"/>
      <c r="S64" s="197"/>
      <c r="T64" s="197"/>
      <c r="U64" s="197"/>
    </row>
    <row r="65" spans="1:21" s="12" customFormat="1" x14ac:dyDescent="0.25">
      <c r="A65" s="200" t="s">
        <v>1263</v>
      </c>
      <c r="B65" s="59">
        <v>4.51</v>
      </c>
      <c r="C65" s="59">
        <v>97.33</v>
      </c>
      <c r="D65" s="59">
        <v>57.33</v>
      </c>
      <c r="E65" s="59">
        <v>7.79</v>
      </c>
      <c r="F65" s="59">
        <v>3.48</v>
      </c>
      <c r="G65" s="59">
        <v>156.43</v>
      </c>
      <c r="H65" s="59">
        <v>44.1</v>
      </c>
      <c r="I65" s="59">
        <v>0.4</v>
      </c>
      <c r="J65" s="59">
        <v>1.0900000000000001</v>
      </c>
      <c r="K65" s="59">
        <v>0.63</v>
      </c>
      <c r="L65" s="59">
        <v>28.96</v>
      </c>
      <c r="M65" s="59">
        <v>49</v>
      </c>
      <c r="N65" s="59">
        <v>174.2</v>
      </c>
      <c r="O65" s="59">
        <v>0</v>
      </c>
      <c r="P65" s="59">
        <v>1.79</v>
      </c>
      <c r="Q65" s="59">
        <v>43.98</v>
      </c>
      <c r="R65" s="197"/>
      <c r="S65" s="197"/>
      <c r="T65" s="197"/>
      <c r="U65" s="197"/>
    </row>
    <row r="66" spans="1:21" s="12" customFormat="1" x14ac:dyDescent="0.25">
      <c r="A66" s="200" t="s">
        <v>1264</v>
      </c>
      <c r="B66" s="59">
        <v>4.0599999999999996</v>
      </c>
      <c r="C66" s="59">
        <v>96.2</v>
      </c>
      <c r="D66" s="59">
        <v>56.34</v>
      </c>
      <c r="E66" s="59">
        <v>9.49</v>
      </c>
      <c r="F66" s="59">
        <v>3.91</v>
      </c>
      <c r="G66" s="59">
        <v>156.43</v>
      </c>
      <c r="H66" s="59">
        <v>44.1</v>
      </c>
      <c r="I66" s="59">
        <v>0.4</v>
      </c>
      <c r="J66" s="59">
        <v>1.42</v>
      </c>
      <c r="K66" s="59">
        <v>355.04</v>
      </c>
      <c r="L66" s="59">
        <v>28.84</v>
      </c>
      <c r="M66" s="59">
        <v>49</v>
      </c>
      <c r="N66" s="59">
        <v>155.5</v>
      </c>
      <c r="O66" s="59">
        <v>0</v>
      </c>
      <c r="P66" s="59">
        <v>1.82</v>
      </c>
      <c r="Q66" s="59">
        <v>43.5</v>
      </c>
      <c r="R66" s="197"/>
      <c r="S66" s="197"/>
      <c r="T66" s="197"/>
      <c r="U66" s="197"/>
    </row>
    <row r="67" spans="1:21" s="12" customFormat="1" x14ac:dyDescent="0.25">
      <c r="A67" s="200" t="s">
        <v>1265</v>
      </c>
      <c r="B67" s="59">
        <v>5.56</v>
      </c>
      <c r="C67" s="59">
        <v>94.01</v>
      </c>
      <c r="D67" s="59">
        <v>56.34</v>
      </c>
      <c r="E67" s="59">
        <v>10.3</v>
      </c>
      <c r="F67" s="59">
        <v>4.22</v>
      </c>
      <c r="G67" s="59">
        <v>141.19999999999999</v>
      </c>
      <c r="H67" s="59">
        <v>43.68</v>
      </c>
      <c r="I67" s="59">
        <v>0.39</v>
      </c>
      <c r="J67" s="59">
        <v>1.4</v>
      </c>
      <c r="K67" s="59">
        <v>354.58</v>
      </c>
      <c r="L67" s="59">
        <v>28.85</v>
      </c>
      <c r="M67" s="59">
        <v>48</v>
      </c>
      <c r="N67" s="59">
        <v>189.4</v>
      </c>
      <c r="O67" s="59">
        <v>0</v>
      </c>
      <c r="P67" s="59">
        <v>1.85</v>
      </c>
      <c r="Q67" s="59">
        <v>42.53</v>
      </c>
      <c r="R67" s="197"/>
      <c r="S67" s="197"/>
      <c r="T67" s="197"/>
      <c r="U67" s="197"/>
    </row>
    <row r="68" spans="1:21" s="12" customFormat="1" x14ac:dyDescent="0.25">
      <c r="A68" s="200" t="s">
        <v>1266</v>
      </c>
      <c r="B68" s="59">
        <v>4.37</v>
      </c>
      <c r="C68" s="59">
        <v>96.81</v>
      </c>
      <c r="D68" s="59">
        <v>56.93</v>
      </c>
      <c r="E68" s="59">
        <v>11.92</v>
      </c>
      <c r="F68" s="59">
        <v>4.6100000000000003</v>
      </c>
      <c r="G68" s="59">
        <v>126.41</v>
      </c>
      <c r="H68" s="59">
        <v>43.01</v>
      </c>
      <c r="I68" s="59">
        <v>0.39</v>
      </c>
      <c r="J68" s="59">
        <v>1.6</v>
      </c>
      <c r="K68" s="59">
        <v>355.28</v>
      </c>
      <c r="L68" s="59">
        <v>29.3</v>
      </c>
      <c r="M68" s="59">
        <v>47</v>
      </c>
      <c r="N68" s="59">
        <v>206.7</v>
      </c>
      <c r="O68" s="59">
        <v>0</v>
      </c>
      <c r="P68" s="59">
        <v>1.87</v>
      </c>
      <c r="Q68" s="59">
        <v>42.24</v>
      </c>
      <c r="R68" s="197"/>
      <c r="S68" s="197"/>
      <c r="T68" s="197"/>
      <c r="U68" s="197"/>
    </row>
    <row r="69" spans="1:21" s="12" customFormat="1" x14ac:dyDescent="0.25">
      <c r="A69" s="200" t="s">
        <v>1267</v>
      </c>
      <c r="B69" s="59">
        <v>3.72</v>
      </c>
      <c r="C69" s="59">
        <v>97.01</v>
      </c>
      <c r="D69" s="59">
        <v>56.52</v>
      </c>
      <c r="E69" s="59">
        <v>8.94</v>
      </c>
      <c r="F69" s="59">
        <v>3.67</v>
      </c>
      <c r="G69" s="59">
        <v>126.41</v>
      </c>
      <c r="H69" s="59">
        <v>43.01</v>
      </c>
      <c r="I69" s="59">
        <v>0.39</v>
      </c>
      <c r="J69" s="59">
        <v>1.6</v>
      </c>
      <c r="K69" s="59">
        <v>350.72</v>
      </c>
      <c r="L69" s="59">
        <v>29.08</v>
      </c>
      <c r="M69" s="59">
        <v>48</v>
      </c>
      <c r="N69" s="59">
        <v>172.6</v>
      </c>
      <c r="O69" s="59">
        <v>0</v>
      </c>
      <c r="P69" s="59">
        <v>1.88</v>
      </c>
      <c r="Q69" s="59">
        <v>42.41</v>
      </c>
      <c r="R69" s="197"/>
      <c r="S69" s="197"/>
      <c r="T69" s="197"/>
      <c r="U69" s="197"/>
    </row>
    <row r="70" spans="1:21" s="12" customFormat="1" x14ac:dyDescent="0.25">
      <c r="A70" s="200" t="s">
        <v>1268</v>
      </c>
      <c r="B70" s="59">
        <v>3.87</v>
      </c>
      <c r="C70" s="59">
        <v>97.49</v>
      </c>
      <c r="D70" s="59">
        <v>56.91</v>
      </c>
      <c r="E70" s="59">
        <v>9.94</v>
      </c>
      <c r="F70" s="59">
        <v>6.02</v>
      </c>
      <c r="G70" s="59">
        <v>126.41</v>
      </c>
      <c r="H70" s="59">
        <v>43.01</v>
      </c>
      <c r="I70" s="59">
        <v>0.4</v>
      </c>
      <c r="J70" s="59">
        <v>1.44</v>
      </c>
      <c r="K70" s="59">
        <v>6.59</v>
      </c>
      <c r="L70" s="59">
        <v>28.47</v>
      </c>
      <c r="M70" s="59">
        <v>50</v>
      </c>
      <c r="N70" s="59">
        <v>135.9</v>
      </c>
      <c r="O70" s="59">
        <v>0</v>
      </c>
      <c r="P70" s="59">
        <v>1.9</v>
      </c>
      <c r="Q70" s="59">
        <v>42.42</v>
      </c>
      <c r="R70" s="197"/>
      <c r="S70" s="197"/>
      <c r="T70" s="197"/>
      <c r="U70" s="197"/>
    </row>
    <row r="71" spans="1:21" s="12" customFormat="1" x14ac:dyDescent="0.25">
      <c r="A71" s="200" t="s">
        <v>1269</v>
      </c>
      <c r="B71" s="59">
        <v>3.63</v>
      </c>
      <c r="C71" s="59">
        <v>95.3</v>
      </c>
      <c r="D71" s="59">
        <v>55.5</v>
      </c>
      <c r="E71" s="59">
        <v>10.039999999999999</v>
      </c>
      <c r="F71" s="59">
        <v>4.84</v>
      </c>
      <c r="G71" s="59">
        <v>124.3</v>
      </c>
      <c r="H71" s="59">
        <v>44.33</v>
      </c>
      <c r="I71" s="59">
        <v>0.4</v>
      </c>
      <c r="J71" s="59">
        <v>1.41</v>
      </c>
      <c r="K71" s="59">
        <v>357.18</v>
      </c>
      <c r="L71" s="59">
        <v>28.09</v>
      </c>
      <c r="M71" s="59">
        <v>51</v>
      </c>
      <c r="N71" s="59">
        <v>95.1</v>
      </c>
      <c r="O71" s="59">
        <v>0</v>
      </c>
      <c r="P71" s="59">
        <v>1.92</v>
      </c>
      <c r="Q71" s="59">
        <v>42.35</v>
      </c>
      <c r="R71" s="197"/>
      <c r="S71" s="197"/>
      <c r="T71" s="197"/>
      <c r="U71" s="197"/>
    </row>
    <row r="72" spans="1:21" s="12" customFormat="1" x14ac:dyDescent="0.25">
      <c r="A72" s="200" t="s">
        <v>1270</v>
      </c>
      <c r="B72" s="59">
        <v>3.25</v>
      </c>
      <c r="C72" s="59">
        <v>94.75</v>
      </c>
      <c r="D72" s="59">
        <v>54.9</v>
      </c>
      <c r="E72" s="59">
        <v>3.87</v>
      </c>
      <c r="F72" s="59">
        <v>3.56</v>
      </c>
      <c r="G72" s="59">
        <v>122.31</v>
      </c>
      <c r="H72" s="59">
        <v>46.39</v>
      </c>
      <c r="I72" s="59">
        <v>0.4</v>
      </c>
      <c r="J72" s="59">
        <v>1.25</v>
      </c>
      <c r="K72" s="59">
        <v>357.79</v>
      </c>
      <c r="L72" s="59">
        <v>27.69</v>
      </c>
      <c r="M72" s="59">
        <v>53</v>
      </c>
      <c r="N72" s="59">
        <v>74.7</v>
      </c>
      <c r="O72" s="59">
        <v>0</v>
      </c>
      <c r="P72" s="59">
        <v>1.93</v>
      </c>
      <c r="Q72" s="59">
        <v>42.27</v>
      </c>
      <c r="R72" s="197"/>
      <c r="S72" s="197"/>
      <c r="T72" s="197"/>
      <c r="U72" s="197"/>
    </row>
    <row r="73" spans="1:21" s="12" customFormat="1" x14ac:dyDescent="0.25">
      <c r="A73" s="200" t="s">
        <v>1271</v>
      </c>
      <c r="B73" s="59">
        <v>3.39</v>
      </c>
      <c r="C73" s="59">
        <v>94.53</v>
      </c>
      <c r="D73" s="59">
        <v>54.89</v>
      </c>
      <c r="E73" s="59">
        <v>7.04</v>
      </c>
      <c r="F73" s="59">
        <v>2.42</v>
      </c>
      <c r="G73" s="59">
        <v>122.31</v>
      </c>
      <c r="H73" s="59">
        <v>46.39</v>
      </c>
      <c r="I73" s="59">
        <v>0.41</v>
      </c>
      <c r="J73" s="59">
        <v>1.57</v>
      </c>
      <c r="K73" s="59">
        <v>8.93</v>
      </c>
      <c r="L73" s="59">
        <v>27.36</v>
      </c>
      <c r="M73" s="59">
        <v>53</v>
      </c>
      <c r="N73" s="59">
        <v>57.6</v>
      </c>
      <c r="O73" s="59">
        <v>0</v>
      </c>
      <c r="P73" s="59">
        <v>1.95</v>
      </c>
      <c r="Q73" s="59">
        <v>43.01</v>
      </c>
      <c r="R73" s="197"/>
      <c r="S73" s="197"/>
      <c r="T73" s="197"/>
      <c r="U73" s="197"/>
    </row>
    <row r="74" spans="1:21" s="12" customFormat="1" x14ac:dyDescent="0.25">
      <c r="A74" s="200" t="s">
        <v>1272</v>
      </c>
      <c r="B74" s="59">
        <v>3.45</v>
      </c>
      <c r="C74" s="59">
        <v>96.01</v>
      </c>
      <c r="D74" s="59">
        <v>55.75</v>
      </c>
      <c r="E74" s="59">
        <v>7.33</v>
      </c>
      <c r="F74" s="59">
        <v>2.2200000000000002</v>
      </c>
      <c r="G74" s="59">
        <v>122.31</v>
      </c>
      <c r="H74" s="59">
        <v>46.39</v>
      </c>
      <c r="I74" s="59">
        <v>0.42</v>
      </c>
      <c r="J74" s="59">
        <v>1.2</v>
      </c>
      <c r="K74" s="59">
        <v>16.149999999999999</v>
      </c>
      <c r="L74" s="59">
        <v>27.02</v>
      </c>
      <c r="M74" s="59">
        <v>53</v>
      </c>
      <c r="N74" s="59">
        <v>45.3</v>
      </c>
      <c r="O74" s="59">
        <v>0</v>
      </c>
      <c r="P74" s="59">
        <v>1.99</v>
      </c>
      <c r="Q74" s="59">
        <v>44.19</v>
      </c>
      <c r="R74" s="197"/>
      <c r="S74" s="197"/>
      <c r="T74" s="197"/>
      <c r="U74" s="197"/>
    </row>
    <row r="75" spans="1:21" s="12" customFormat="1" x14ac:dyDescent="0.25">
      <c r="A75" s="200" t="s">
        <v>1273</v>
      </c>
      <c r="B75" s="59">
        <v>3.56</v>
      </c>
      <c r="C75" s="59">
        <v>97.8</v>
      </c>
      <c r="D75" s="59">
        <v>56.83</v>
      </c>
      <c r="E75" s="59">
        <v>7.05</v>
      </c>
      <c r="F75" s="59">
        <v>2.25</v>
      </c>
      <c r="G75" s="59">
        <v>118.31</v>
      </c>
      <c r="H75" s="59">
        <v>46.31</v>
      </c>
      <c r="I75" s="59">
        <v>0.42</v>
      </c>
      <c r="J75" s="59">
        <v>1.07</v>
      </c>
      <c r="K75" s="59">
        <v>11.77</v>
      </c>
      <c r="L75" s="59">
        <v>26.76</v>
      </c>
      <c r="M75" s="59">
        <v>54</v>
      </c>
      <c r="N75" s="59">
        <v>37.5</v>
      </c>
      <c r="O75" s="59">
        <v>0</v>
      </c>
      <c r="P75" s="59">
        <v>2.06</v>
      </c>
      <c r="Q75" s="59">
        <v>44.14</v>
      </c>
      <c r="R75" s="197"/>
      <c r="S75" s="197"/>
      <c r="T75" s="197"/>
      <c r="U75" s="197"/>
    </row>
    <row r="76" spans="1:21" s="12" customFormat="1" x14ac:dyDescent="0.25">
      <c r="A76" s="200" t="s">
        <v>1274</v>
      </c>
      <c r="B76" s="59">
        <v>3.75</v>
      </c>
      <c r="C76" s="59">
        <v>97.22</v>
      </c>
      <c r="D76" s="59">
        <v>56.66</v>
      </c>
      <c r="E76" s="59">
        <v>6.1</v>
      </c>
      <c r="F76" s="59">
        <v>1.91</v>
      </c>
      <c r="G76" s="59">
        <v>105.48</v>
      </c>
      <c r="H76" s="59">
        <v>46.18</v>
      </c>
      <c r="I76" s="59">
        <v>0.42</v>
      </c>
      <c r="J76" s="59">
        <v>1.35</v>
      </c>
      <c r="K76" s="59">
        <v>10.98</v>
      </c>
      <c r="L76" s="59">
        <v>26.41</v>
      </c>
      <c r="M76" s="59">
        <v>56</v>
      </c>
      <c r="N76" s="59">
        <v>32.1</v>
      </c>
      <c r="O76" s="59">
        <v>0</v>
      </c>
      <c r="P76" s="59">
        <v>2.13</v>
      </c>
      <c r="Q76" s="59">
        <v>43.81</v>
      </c>
      <c r="R76" s="197"/>
      <c r="S76" s="197"/>
      <c r="T76" s="197"/>
      <c r="U76" s="197"/>
    </row>
    <row r="77" spans="1:21" s="12" customFormat="1" x14ac:dyDescent="0.25">
      <c r="A77" s="200" t="s">
        <v>1275</v>
      </c>
      <c r="B77" s="59">
        <v>4.03</v>
      </c>
      <c r="C77" s="59">
        <v>96.8</v>
      </c>
      <c r="D77" s="59">
        <v>56.65</v>
      </c>
      <c r="E77" s="59">
        <v>5.82</v>
      </c>
      <c r="F77" s="59">
        <v>1.57</v>
      </c>
      <c r="G77" s="59">
        <v>105.48</v>
      </c>
      <c r="H77" s="59">
        <v>46.18</v>
      </c>
      <c r="I77" s="59">
        <v>0.42</v>
      </c>
      <c r="J77" s="59">
        <v>1.18</v>
      </c>
      <c r="K77" s="59">
        <v>18.350000000000001</v>
      </c>
      <c r="L77" s="59">
        <v>26.03</v>
      </c>
      <c r="M77" s="59">
        <v>58</v>
      </c>
      <c r="N77" s="59">
        <v>28.7</v>
      </c>
      <c r="O77" s="59">
        <v>0</v>
      </c>
      <c r="P77" s="59">
        <v>2.15</v>
      </c>
      <c r="Q77" s="59">
        <v>43.05</v>
      </c>
      <c r="R77" s="197"/>
      <c r="S77" s="197"/>
      <c r="T77" s="197"/>
      <c r="U77" s="197"/>
    </row>
    <row r="78" spans="1:21" s="12" customFormat="1" x14ac:dyDescent="0.25">
      <c r="A78" s="200" t="s">
        <v>1276</v>
      </c>
      <c r="B78" s="59">
        <v>5.07</v>
      </c>
      <c r="C78" s="59">
        <v>98.79</v>
      </c>
      <c r="D78" s="59">
        <v>58.59</v>
      </c>
      <c r="E78" s="59">
        <v>5.61</v>
      </c>
      <c r="F78" s="59">
        <v>1.1499999999999999</v>
      </c>
      <c r="G78" s="59">
        <v>105.48</v>
      </c>
      <c r="H78" s="59">
        <v>46.18</v>
      </c>
      <c r="I78" s="59">
        <v>0.42</v>
      </c>
      <c r="J78" s="59">
        <v>0.97</v>
      </c>
      <c r="K78" s="59">
        <v>10.14</v>
      </c>
      <c r="L78" s="59">
        <v>25.78</v>
      </c>
      <c r="M78" s="59">
        <v>59</v>
      </c>
      <c r="N78" s="59">
        <v>25.8</v>
      </c>
      <c r="O78" s="59">
        <v>0</v>
      </c>
      <c r="P78" s="59">
        <v>2.19</v>
      </c>
      <c r="Q78" s="59">
        <v>42.92</v>
      </c>
      <c r="R78" s="197"/>
      <c r="S78" s="197"/>
      <c r="T78" s="197"/>
      <c r="U78" s="197"/>
    </row>
    <row r="79" spans="1:21" s="12" customFormat="1" x14ac:dyDescent="0.25">
      <c r="A79" s="200" t="s">
        <v>1277</v>
      </c>
      <c r="B79" s="59">
        <v>5.8</v>
      </c>
      <c r="C79" s="59">
        <v>97.98</v>
      </c>
      <c r="D79" s="59">
        <v>58.72</v>
      </c>
      <c r="E79" s="59">
        <v>5.4</v>
      </c>
      <c r="F79" s="59">
        <v>1.0900000000000001</v>
      </c>
      <c r="G79" s="59">
        <v>107.39</v>
      </c>
      <c r="H79" s="59">
        <v>46.43</v>
      </c>
      <c r="I79" s="59">
        <v>0.42</v>
      </c>
      <c r="J79" s="59">
        <v>0.96</v>
      </c>
      <c r="K79" s="59">
        <v>4.03</v>
      </c>
      <c r="L79" s="59">
        <v>25.56</v>
      </c>
      <c r="M79" s="59">
        <v>59</v>
      </c>
      <c r="N79" s="59">
        <v>25.1</v>
      </c>
      <c r="O79" s="59">
        <v>0</v>
      </c>
      <c r="P79" s="59">
        <v>2.27</v>
      </c>
      <c r="Q79" s="59">
        <v>42.82</v>
      </c>
      <c r="R79" s="197"/>
      <c r="S79" s="197"/>
      <c r="T79" s="197"/>
      <c r="U79" s="197"/>
    </row>
    <row r="80" spans="1:21" s="12" customFormat="1" x14ac:dyDescent="0.25">
      <c r="A80" s="200" t="s">
        <v>1278</v>
      </c>
      <c r="B80" s="59">
        <v>7.11</v>
      </c>
      <c r="C80" s="59">
        <v>97.87</v>
      </c>
      <c r="D80" s="59">
        <v>59.71</v>
      </c>
      <c r="E80" s="59">
        <v>7.08</v>
      </c>
      <c r="F80" s="59">
        <v>3.04</v>
      </c>
      <c r="G80" s="59">
        <v>109.18</v>
      </c>
      <c r="H80" s="59">
        <v>46.83</v>
      </c>
      <c r="I80" s="59">
        <v>0.43</v>
      </c>
      <c r="J80" s="59">
        <v>1.21</v>
      </c>
      <c r="K80" s="59">
        <v>2.95</v>
      </c>
      <c r="L80" s="59">
        <v>25.35</v>
      </c>
      <c r="M80" s="59">
        <v>60</v>
      </c>
      <c r="N80" s="59">
        <v>25</v>
      </c>
      <c r="O80" s="59">
        <v>0</v>
      </c>
      <c r="P80" s="59">
        <v>2.37</v>
      </c>
      <c r="Q80" s="59">
        <v>42.44</v>
      </c>
      <c r="R80" s="197"/>
      <c r="S80" s="197"/>
      <c r="T80" s="197"/>
      <c r="U80" s="197"/>
    </row>
    <row r="81" spans="1:26" s="12" customFormat="1" x14ac:dyDescent="0.25">
      <c r="A81" s="200" t="s">
        <v>1279</v>
      </c>
      <c r="B81" s="59">
        <v>8.36</v>
      </c>
      <c r="C81" s="59">
        <v>99.52</v>
      </c>
      <c r="D81" s="59">
        <v>61.63</v>
      </c>
      <c r="E81" s="59">
        <v>9.4</v>
      </c>
      <c r="F81" s="59">
        <v>3.57</v>
      </c>
      <c r="G81" s="59">
        <v>109.18</v>
      </c>
      <c r="H81" s="59">
        <v>46.83</v>
      </c>
      <c r="I81" s="59">
        <v>0.45</v>
      </c>
      <c r="J81" s="59">
        <v>0.78</v>
      </c>
      <c r="K81" s="59">
        <v>0.75</v>
      </c>
      <c r="L81" s="59">
        <v>25.2</v>
      </c>
      <c r="M81" s="59">
        <v>60</v>
      </c>
      <c r="N81" s="59">
        <v>25</v>
      </c>
      <c r="O81" s="59">
        <v>0</v>
      </c>
      <c r="P81" s="59">
        <v>2.4900000000000002</v>
      </c>
      <c r="Q81" s="59">
        <v>42.06</v>
      </c>
      <c r="R81" s="197"/>
      <c r="S81" s="197"/>
      <c r="T81" s="197"/>
      <c r="U81" s="197"/>
    </row>
    <row r="82" spans="1:26" s="12" customFormat="1" x14ac:dyDescent="0.25">
      <c r="A82" s="200" t="s">
        <v>1280</v>
      </c>
      <c r="B82" s="59">
        <v>8.67</v>
      </c>
      <c r="C82" s="59">
        <v>93.77</v>
      </c>
      <c r="D82" s="59">
        <v>58.7</v>
      </c>
      <c r="E82" s="59">
        <v>9.9700000000000006</v>
      </c>
      <c r="F82" s="59">
        <v>4.5</v>
      </c>
      <c r="G82" s="59">
        <v>109.18</v>
      </c>
      <c r="H82" s="59">
        <v>46.83</v>
      </c>
      <c r="I82" s="59">
        <v>0.47</v>
      </c>
      <c r="J82" s="59">
        <v>0.71</v>
      </c>
      <c r="K82" s="59">
        <v>2.04</v>
      </c>
      <c r="L82" s="59">
        <v>25.07</v>
      </c>
      <c r="M82" s="59">
        <v>61</v>
      </c>
      <c r="N82" s="59">
        <v>25</v>
      </c>
      <c r="O82" s="59">
        <v>0</v>
      </c>
      <c r="P82" s="59">
        <v>2.46</v>
      </c>
      <c r="Q82" s="59">
        <v>42.25</v>
      </c>
      <c r="R82" s="197"/>
      <c r="S82" s="197"/>
      <c r="T82" s="197"/>
      <c r="U82" s="197"/>
    </row>
    <row r="83" spans="1:26" s="12" customFormat="1" x14ac:dyDescent="0.25">
      <c r="A83" s="200" t="s">
        <v>1281</v>
      </c>
      <c r="B83" s="59">
        <v>8.58</v>
      </c>
      <c r="C83" s="59">
        <v>93.7</v>
      </c>
      <c r="D83" s="59">
        <v>58.59</v>
      </c>
      <c r="E83" s="59">
        <v>8.39</v>
      </c>
      <c r="F83" s="59">
        <v>2.88</v>
      </c>
      <c r="G83" s="59">
        <v>111.83</v>
      </c>
      <c r="H83" s="59">
        <v>45.56</v>
      </c>
      <c r="I83" s="59">
        <v>0.48</v>
      </c>
      <c r="J83" s="59">
        <v>0.51</v>
      </c>
      <c r="K83" s="59">
        <v>357.94</v>
      </c>
      <c r="L83" s="59">
        <v>24.92</v>
      </c>
      <c r="M83" s="59">
        <v>62</v>
      </c>
      <c r="N83" s="59">
        <v>25</v>
      </c>
      <c r="O83" s="59">
        <v>0</v>
      </c>
      <c r="P83" s="59">
        <v>2.4700000000000002</v>
      </c>
      <c r="Q83" s="59">
        <v>42.45</v>
      </c>
      <c r="R83" s="197"/>
      <c r="S83" s="197"/>
      <c r="T83" s="197"/>
      <c r="U83" s="197"/>
    </row>
    <row r="84" spans="1:26" s="12" customFormat="1" x14ac:dyDescent="0.25">
      <c r="A84" s="200" t="s">
        <v>1282</v>
      </c>
      <c r="B84" s="59">
        <v>8.06</v>
      </c>
      <c r="C84" s="59">
        <v>94.19</v>
      </c>
      <c r="D84" s="59">
        <v>58.45</v>
      </c>
      <c r="E84" s="59">
        <v>7.43</v>
      </c>
      <c r="F84" s="59">
        <v>2.4700000000000002</v>
      </c>
      <c r="G84" s="59">
        <v>114.33</v>
      </c>
      <c r="H84" s="59">
        <v>43.48</v>
      </c>
      <c r="I84" s="59">
        <v>0.49</v>
      </c>
      <c r="J84" s="59">
        <v>0.39</v>
      </c>
      <c r="K84" s="59">
        <v>47.68</v>
      </c>
      <c r="L84" s="59">
        <v>24.7</v>
      </c>
      <c r="M84" s="59">
        <v>63</v>
      </c>
      <c r="N84" s="59">
        <v>25.1</v>
      </c>
      <c r="O84" s="59">
        <v>0</v>
      </c>
      <c r="P84" s="59">
        <v>2.44</v>
      </c>
      <c r="Q84" s="59">
        <v>43.01</v>
      </c>
      <c r="R84" s="197"/>
      <c r="S84" s="197"/>
      <c r="T84" s="197"/>
      <c r="U84" s="197"/>
    </row>
    <row r="85" spans="1:26" s="12" customFormat="1" x14ac:dyDescent="0.25">
      <c r="A85" s="200" t="s">
        <v>1283</v>
      </c>
      <c r="B85" s="59">
        <v>8.93</v>
      </c>
      <c r="C85" s="59">
        <v>90.87</v>
      </c>
      <c r="D85" s="59">
        <v>57.31</v>
      </c>
      <c r="E85" s="59">
        <v>6.71</v>
      </c>
      <c r="F85" s="59">
        <v>1.78</v>
      </c>
      <c r="G85" s="59">
        <v>114.33</v>
      </c>
      <c r="H85" s="59">
        <v>43.48</v>
      </c>
      <c r="I85" s="59">
        <v>0.51</v>
      </c>
      <c r="J85" s="59">
        <v>0.38</v>
      </c>
      <c r="K85" s="59">
        <v>70.22</v>
      </c>
      <c r="L85" s="59">
        <v>24.48</v>
      </c>
      <c r="M85" s="59">
        <v>63</v>
      </c>
      <c r="N85" s="59">
        <v>25</v>
      </c>
      <c r="O85" s="59">
        <v>0</v>
      </c>
      <c r="P85" s="59">
        <v>2.33</v>
      </c>
      <c r="Q85" s="59">
        <v>43.65</v>
      </c>
      <c r="R85" s="197"/>
      <c r="S85" s="197"/>
      <c r="T85" s="197"/>
      <c r="U85" s="197"/>
    </row>
    <row r="86" spans="1:26" s="12" customFormat="1" x14ac:dyDescent="0.25">
      <c r="A86" s="200" t="s">
        <v>1284</v>
      </c>
      <c r="B86" s="59">
        <v>8.6300000000000008</v>
      </c>
      <c r="C86" s="59">
        <v>90.16</v>
      </c>
      <c r="D86" s="59">
        <v>56.68</v>
      </c>
      <c r="E86" s="59">
        <v>6.12</v>
      </c>
      <c r="F86" s="59">
        <v>1.21</v>
      </c>
      <c r="G86" s="59">
        <v>114.33</v>
      </c>
      <c r="H86" s="59">
        <v>43.48</v>
      </c>
      <c r="I86" s="59">
        <v>0.52</v>
      </c>
      <c r="J86" s="59">
        <v>0.31</v>
      </c>
      <c r="K86" s="59">
        <v>47.96</v>
      </c>
      <c r="L86" s="59">
        <v>24.38</v>
      </c>
      <c r="M86" s="59">
        <v>64</v>
      </c>
      <c r="N86" s="59">
        <v>25</v>
      </c>
      <c r="O86" s="59">
        <v>0</v>
      </c>
      <c r="P86" s="59">
        <v>2.41</v>
      </c>
      <c r="Q86" s="59">
        <v>44.24</v>
      </c>
      <c r="R86" s="197"/>
      <c r="S86" s="197"/>
      <c r="T86" s="197"/>
      <c r="U86" s="197"/>
    </row>
    <row r="87" spans="1:26" s="12" customFormat="1" x14ac:dyDescent="0.25">
      <c r="A87" s="200" t="s">
        <v>1285</v>
      </c>
      <c r="B87" s="59">
        <v>10.63</v>
      </c>
      <c r="C87" s="59">
        <v>89.34</v>
      </c>
      <c r="D87" s="59">
        <v>57.83</v>
      </c>
      <c r="E87" s="59">
        <v>6.49</v>
      </c>
      <c r="F87" s="59">
        <v>1.1599999999999999</v>
      </c>
      <c r="G87" s="59">
        <v>98.92</v>
      </c>
      <c r="H87" s="59">
        <v>42.41</v>
      </c>
      <c r="I87" s="59">
        <v>0.53</v>
      </c>
      <c r="J87" s="59">
        <v>0.28999999999999998</v>
      </c>
      <c r="K87" s="59">
        <v>29</v>
      </c>
      <c r="L87" s="59">
        <v>24.39</v>
      </c>
      <c r="M87" s="59">
        <v>63</v>
      </c>
      <c r="N87" s="59">
        <v>25</v>
      </c>
      <c r="O87" s="59">
        <v>0</v>
      </c>
      <c r="P87" s="59">
        <v>2.42</v>
      </c>
      <c r="Q87" s="59">
        <v>44.86</v>
      </c>
      <c r="R87" s="197"/>
      <c r="S87" s="197"/>
      <c r="T87" s="197"/>
      <c r="U87" s="197"/>
    </row>
    <row r="88" spans="1:26" s="12" customFormat="1" x14ac:dyDescent="0.25">
      <c r="A88" s="200" t="s">
        <v>1286</v>
      </c>
      <c r="B88" s="59">
        <v>9.64</v>
      </c>
      <c r="C88" s="59">
        <v>87.92</v>
      </c>
      <c r="D88" s="59">
        <v>56.25</v>
      </c>
      <c r="E88" s="59">
        <v>3.34</v>
      </c>
      <c r="F88" s="59">
        <v>0.81</v>
      </c>
      <c r="G88" s="59">
        <v>84.41</v>
      </c>
      <c r="H88" s="59">
        <v>40.74</v>
      </c>
      <c r="I88" s="59">
        <v>0.55000000000000004</v>
      </c>
      <c r="J88" s="59">
        <v>0.23</v>
      </c>
      <c r="K88" s="59">
        <v>39.99</v>
      </c>
      <c r="L88" s="59">
        <v>24.24</v>
      </c>
      <c r="M88" s="59">
        <v>63</v>
      </c>
      <c r="N88" s="59">
        <v>25</v>
      </c>
      <c r="O88" s="59">
        <v>0</v>
      </c>
      <c r="P88" s="59">
        <v>2.42</v>
      </c>
      <c r="Q88" s="59">
        <v>46.86</v>
      </c>
      <c r="R88" s="197"/>
      <c r="S88" s="197"/>
      <c r="T88" s="197"/>
      <c r="U88" s="197"/>
    </row>
    <row r="89" spans="1:26" s="12" customFormat="1" x14ac:dyDescent="0.25">
      <c r="A89" s="200" t="s">
        <v>1287</v>
      </c>
      <c r="B89" s="59">
        <v>12.58</v>
      </c>
      <c r="C89" s="59">
        <v>90.77</v>
      </c>
      <c r="D89" s="59">
        <v>60.18</v>
      </c>
      <c r="E89" s="59">
        <v>5.7</v>
      </c>
      <c r="F89" s="59">
        <v>0.56999999999999995</v>
      </c>
      <c r="G89" s="59">
        <v>84.41</v>
      </c>
      <c r="H89" s="59">
        <v>40.74</v>
      </c>
      <c r="I89" s="59">
        <v>0.56999999999999995</v>
      </c>
      <c r="J89" s="59">
        <v>0.25</v>
      </c>
      <c r="K89" s="59">
        <v>358.39</v>
      </c>
      <c r="L89" s="59">
        <v>24.25</v>
      </c>
      <c r="M89" s="59">
        <v>63</v>
      </c>
      <c r="N89" s="59">
        <v>25</v>
      </c>
      <c r="O89" s="59">
        <v>0</v>
      </c>
      <c r="P89" s="59">
        <v>2.4500000000000002</v>
      </c>
      <c r="Q89" s="59">
        <v>46.62</v>
      </c>
      <c r="R89" s="197"/>
      <c r="S89" s="197"/>
      <c r="T89" s="197"/>
      <c r="U89" s="197"/>
    </row>
    <row r="90" spans="1:26" s="12" customFormat="1" x14ac:dyDescent="0.25">
      <c r="A90" s="200" t="s">
        <v>1288</v>
      </c>
      <c r="B90" s="59">
        <v>16.41</v>
      </c>
      <c r="C90" s="59">
        <v>91.43</v>
      </c>
      <c r="D90" s="59">
        <v>63.62</v>
      </c>
      <c r="E90" s="59">
        <v>5.6</v>
      </c>
      <c r="F90" s="59">
        <v>0.37</v>
      </c>
      <c r="G90" s="59">
        <v>84.41</v>
      </c>
      <c r="H90" s="59">
        <v>40.74</v>
      </c>
      <c r="I90" s="59">
        <v>0.57999999999999996</v>
      </c>
      <c r="J90" s="59">
        <v>0.36</v>
      </c>
      <c r="K90" s="59">
        <v>0.51</v>
      </c>
      <c r="L90" s="59">
        <v>24.29</v>
      </c>
      <c r="M90" s="59">
        <v>61</v>
      </c>
      <c r="N90" s="59">
        <v>25</v>
      </c>
      <c r="O90" s="59">
        <v>0</v>
      </c>
      <c r="P90" s="59">
        <v>2.5</v>
      </c>
      <c r="Q90" s="59">
        <v>47.03</v>
      </c>
      <c r="R90" s="197"/>
      <c r="S90" s="197"/>
      <c r="T90" s="197"/>
      <c r="U90" s="197"/>
    </row>
    <row r="91" spans="1:26" s="12" customFormat="1" x14ac:dyDescent="0.25">
      <c r="A91" s="200" t="s">
        <v>1289</v>
      </c>
      <c r="B91" s="59">
        <v>17.899999999999999</v>
      </c>
      <c r="C91" s="59">
        <v>91.01</v>
      </c>
      <c r="D91" s="59">
        <v>64.59</v>
      </c>
      <c r="E91" s="59">
        <v>5.85</v>
      </c>
      <c r="F91" s="59">
        <v>0.53</v>
      </c>
      <c r="G91" s="59">
        <v>83.58</v>
      </c>
      <c r="H91" s="59">
        <v>40.14</v>
      </c>
      <c r="I91" s="59">
        <v>0.6</v>
      </c>
      <c r="J91" s="59">
        <v>0.24</v>
      </c>
      <c r="K91" s="59">
        <v>57.24</v>
      </c>
      <c r="L91" s="59">
        <v>24.02</v>
      </c>
      <c r="M91" s="59">
        <v>61</v>
      </c>
      <c r="N91" s="59">
        <v>25</v>
      </c>
      <c r="O91" s="59">
        <v>0</v>
      </c>
      <c r="P91" s="59">
        <v>2.5</v>
      </c>
      <c r="Q91" s="59">
        <v>46.81</v>
      </c>
      <c r="R91" s="197"/>
      <c r="S91" s="197"/>
      <c r="T91" s="197"/>
      <c r="U91" s="197"/>
    </row>
    <row r="92" spans="1:26" s="12" customFormat="1" x14ac:dyDescent="0.25">
      <c r="A92" s="200" t="s">
        <v>1290</v>
      </c>
      <c r="B92" s="59">
        <v>19.54</v>
      </c>
      <c r="C92" s="59">
        <v>91.12</v>
      </c>
      <c r="D92" s="59">
        <v>65.95</v>
      </c>
      <c r="E92" s="59">
        <v>5.75</v>
      </c>
      <c r="F92" s="59">
        <v>0.55000000000000004</v>
      </c>
      <c r="G92" s="59">
        <v>80.900000000000006</v>
      </c>
      <c r="H92" s="59">
        <v>39.21</v>
      </c>
      <c r="I92" s="59">
        <v>0.61</v>
      </c>
      <c r="J92" s="59">
        <v>0.34</v>
      </c>
      <c r="K92" s="59">
        <v>72.260000000000005</v>
      </c>
      <c r="L92" s="59">
        <v>23.69</v>
      </c>
      <c r="M92" s="59">
        <v>61</v>
      </c>
      <c r="N92" s="59">
        <v>24.9</v>
      </c>
      <c r="O92" s="59">
        <v>0</v>
      </c>
      <c r="P92" s="59">
        <v>2.4700000000000002</v>
      </c>
      <c r="Q92" s="59">
        <v>46.45</v>
      </c>
      <c r="R92" s="197"/>
      <c r="S92" s="197"/>
      <c r="T92" s="197"/>
      <c r="U92" s="197"/>
    </row>
    <row r="93" spans="1:26" s="12" customFormat="1" x14ac:dyDescent="0.25">
      <c r="A93" s="200" t="s">
        <v>1291</v>
      </c>
      <c r="B93" s="59">
        <v>20.64</v>
      </c>
      <c r="C93" s="59">
        <v>90.78</v>
      </c>
      <c r="D93" s="59">
        <v>66.650000000000006</v>
      </c>
      <c r="E93" s="59">
        <v>5.83</v>
      </c>
      <c r="F93" s="59">
        <v>0.56000000000000005</v>
      </c>
      <c r="G93" s="59">
        <v>80.900000000000006</v>
      </c>
      <c r="H93" s="59">
        <v>39.21</v>
      </c>
      <c r="I93" s="59">
        <v>0.61</v>
      </c>
      <c r="J93" s="59">
        <v>0.17</v>
      </c>
      <c r="K93" s="59">
        <v>48.35</v>
      </c>
      <c r="L93" s="59">
        <v>23.45</v>
      </c>
      <c r="M93" s="59">
        <v>62</v>
      </c>
      <c r="N93" s="59">
        <v>24.9</v>
      </c>
      <c r="O93" s="59">
        <v>0</v>
      </c>
      <c r="P93" s="59">
        <v>2.4300000000000002</v>
      </c>
      <c r="Q93" s="59">
        <v>46.59</v>
      </c>
      <c r="R93" s="197"/>
      <c r="S93" s="197"/>
      <c r="T93" s="197"/>
      <c r="U93" s="197"/>
    </row>
    <row r="94" spans="1:26" s="12" customFormat="1" x14ac:dyDescent="0.25">
      <c r="A94" s="200" t="s">
        <v>1292</v>
      </c>
      <c r="B94" s="59">
        <v>24.01</v>
      </c>
      <c r="C94" s="59">
        <v>91.04</v>
      </c>
      <c r="D94" s="59">
        <v>69.5</v>
      </c>
      <c r="E94" s="59">
        <v>6.34</v>
      </c>
      <c r="F94" s="59">
        <v>0.5</v>
      </c>
      <c r="G94" s="59">
        <v>80.900000000000006</v>
      </c>
      <c r="H94" s="59">
        <v>39.21</v>
      </c>
      <c r="I94" s="59">
        <v>0.62</v>
      </c>
      <c r="J94" s="59">
        <v>0.3</v>
      </c>
      <c r="K94" s="59">
        <v>88.57</v>
      </c>
      <c r="L94" s="59">
        <v>23.25</v>
      </c>
      <c r="M94" s="59">
        <v>62</v>
      </c>
      <c r="N94" s="59">
        <v>24.7</v>
      </c>
      <c r="O94" s="59">
        <v>0</v>
      </c>
      <c r="P94" s="59">
        <v>2.41</v>
      </c>
      <c r="Q94" s="59">
        <v>46.63</v>
      </c>
      <c r="R94" s="197"/>
      <c r="S94" s="197"/>
      <c r="T94" s="197"/>
      <c r="U94" s="197"/>
    </row>
    <row r="95" spans="1:26" s="12" customFormat="1" x14ac:dyDescent="0.25">
      <c r="A95" s="200" t="s">
        <v>1293</v>
      </c>
      <c r="B95" s="59">
        <v>26.18</v>
      </c>
      <c r="C95" s="59">
        <v>93.29</v>
      </c>
      <c r="D95" s="59">
        <v>72.48</v>
      </c>
      <c r="E95" s="59">
        <v>6.85</v>
      </c>
      <c r="F95" s="59">
        <v>0.42</v>
      </c>
      <c r="G95" s="59">
        <v>77.680000000000007</v>
      </c>
      <c r="H95" s="59">
        <v>37.99</v>
      </c>
      <c r="I95" s="59">
        <v>0.62</v>
      </c>
      <c r="J95" s="59">
        <v>0.15</v>
      </c>
      <c r="K95" s="59">
        <v>62.44</v>
      </c>
      <c r="L95" s="59">
        <v>23.05</v>
      </c>
      <c r="M95" s="59">
        <v>62</v>
      </c>
      <c r="N95" s="59">
        <v>24.6</v>
      </c>
      <c r="O95" s="59">
        <v>0</v>
      </c>
      <c r="P95" s="59">
        <v>2.36</v>
      </c>
      <c r="Q95" s="59">
        <v>46.22</v>
      </c>
      <c r="R95" s="197"/>
      <c r="S95" s="197"/>
      <c r="T95" s="197"/>
      <c r="U95" s="197"/>
    </row>
    <row r="96" spans="1:26" s="12" customFormat="1" x14ac:dyDescent="0.25">
      <c r="A96" s="200" t="s">
        <v>1294</v>
      </c>
      <c r="B96" s="59">
        <v>29.21</v>
      </c>
      <c r="C96" s="59">
        <v>94.11</v>
      </c>
      <c r="D96" s="59">
        <v>75.36</v>
      </c>
      <c r="E96" s="59">
        <v>6.36</v>
      </c>
      <c r="F96" s="59">
        <v>0.4</v>
      </c>
      <c r="G96" s="59">
        <v>74.650000000000006</v>
      </c>
      <c r="H96" s="59">
        <v>36.08</v>
      </c>
      <c r="I96" s="59">
        <v>0.63</v>
      </c>
      <c r="J96" s="59">
        <v>0.21</v>
      </c>
      <c r="K96" s="59">
        <v>350.6</v>
      </c>
      <c r="L96" s="59">
        <v>22.92</v>
      </c>
      <c r="M96" s="59">
        <v>62</v>
      </c>
      <c r="N96" s="59">
        <v>24.8</v>
      </c>
      <c r="O96" s="59">
        <v>0</v>
      </c>
      <c r="P96" s="59">
        <v>2.39</v>
      </c>
      <c r="Q96" s="59">
        <v>46.54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1295</v>
      </c>
      <c r="B97" s="59">
        <v>30.63</v>
      </c>
      <c r="C97" s="59">
        <v>92.38</v>
      </c>
      <c r="D97" s="59">
        <v>75.55</v>
      </c>
      <c r="E97" s="59">
        <v>6.6</v>
      </c>
      <c r="F97" s="59">
        <v>0.45</v>
      </c>
      <c r="G97" s="59">
        <v>74.650000000000006</v>
      </c>
      <c r="H97" s="59">
        <v>36.08</v>
      </c>
      <c r="I97" s="59">
        <v>0.63</v>
      </c>
      <c r="J97" s="59">
        <v>0.22</v>
      </c>
      <c r="K97" s="59">
        <v>76.52</v>
      </c>
      <c r="L97" s="59">
        <v>22.86</v>
      </c>
      <c r="M97" s="59">
        <v>61</v>
      </c>
      <c r="N97" s="59">
        <v>24.9</v>
      </c>
      <c r="O97" s="59">
        <v>0</v>
      </c>
      <c r="P97" s="59">
        <v>2.38</v>
      </c>
      <c r="Q97" s="59">
        <v>47.33</v>
      </c>
      <c r="R97" s="197"/>
      <c r="S97" s="197"/>
      <c r="T97" s="197"/>
      <c r="U97" s="197"/>
    </row>
    <row r="98" spans="1:33" s="12" customFormat="1" x14ac:dyDescent="0.25">
      <c r="A98" s="200" t="s">
        <v>1296</v>
      </c>
      <c r="B98" s="59">
        <v>31.23</v>
      </c>
      <c r="C98" s="59">
        <v>90.4</v>
      </c>
      <c r="D98" s="59">
        <v>74.94</v>
      </c>
      <c r="E98" s="59">
        <v>6.69</v>
      </c>
      <c r="F98" s="59">
        <v>0.53</v>
      </c>
      <c r="G98" s="59">
        <v>74.650000000000006</v>
      </c>
      <c r="H98" s="59">
        <v>36.08</v>
      </c>
      <c r="I98" s="59">
        <v>0.65</v>
      </c>
      <c r="J98" s="59">
        <v>0.51</v>
      </c>
      <c r="K98" s="59">
        <v>98.73</v>
      </c>
      <c r="L98" s="59">
        <v>22.87</v>
      </c>
      <c r="M98" s="59">
        <v>60</v>
      </c>
      <c r="N98" s="59">
        <v>24.6</v>
      </c>
      <c r="O98" s="59">
        <v>0</v>
      </c>
      <c r="P98" s="59">
        <v>2.36</v>
      </c>
      <c r="Q98" s="59">
        <v>48.06</v>
      </c>
      <c r="R98" s="197"/>
      <c r="S98" s="197"/>
      <c r="T98" s="197"/>
      <c r="U98" s="197"/>
    </row>
    <row r="99" spans="1:33" s="12" customFormat="1" x14ac:dyDescent="0.25">
      <c r="A99" s="200" t="s">
        <v>1297</v>
      </c>
      <c r="B99" s="59">
        <v>32.270000000000003</v>
      </c>
      <c r="C99" s="59">
        <v>89.42</v>
      </c>
      <c r="D99" s="59">
        <v>75.23</v>
      </c>
      <c r="E99" s="59">
        <v>7.36</v>
      </c>
      <c r="F99" s="59">
        <v>0.6</v>
      </c>
      <c r="G99" s="59">
        <v>80.47</v>
      </c>
      <c r="H99" s="59">
        <v>34.94</v>
      </c>
      <c r="I99" s="59">
        <v>0.67</v>
      </c>
      <c r="J99" s="59">
        <v>0.62</v>
      </c>
      <c r="K99" s="59">
        <v>89.73</v>
      </c>
      <c r="L99" s="59">
        <v>23.03</v>
      </c>
      <c r="M99" s="59">
        <v>57</v>
      </c>
      <c r="N99" s="59">
        <v>24.5</v>
      </c>
      <c r="O99" s="59">
        <v>0</v>
      </c>
      <c r="P99" s="59">
        <v>2.31</v>
      </c>
      <c r="Q99" s="59">
        <v>48.48</v>
      </c>
      <c r="R99" s="197"/>
      <c r="S99" s="197"/>
      <c r="T99" s="197"/>
      <c r="U99" s="197"/>
    </row>
    <row r="100" spans="1:33" s="12" customFormat="1" x14ac:dyDescent="0.25">
      <c r="A100" s="200" t="s">
        <v>1298</v>
      </c>
      <c r="B100" s="59">
        <v>33.049999999999997</v>
      </c>
      <c r="C100" s="59">
        <v>86.51</v>
      </c>
      <c r="D100" s="59">
        <v>74.239999999999995</v>
      </c>
      <c r="E100" s="59">
        <v>7.63</v>
      </c>
      <c r="F100" s="59">
        <v>0.56999999999999995</v>
      </c>
      <c r="G100" s="59">
        <v>85.95</v>
      </c>
      <c r="H100" s="59">
        <v>33.15</v>
      </c>
      <c r="I100" s="59">
        <v>0.67</v>
      </c>
      <c r="J100" s="59">
        <v>0.48</v>
      </c>
      <c r="K100" s="59">
        <v>75.150000000000006</v>
      </c>
      <c r="L100" s="59">
        <v>23.1</v>
      </c>
      <c r="M100" s="59">
        <v>55</v>
      </c>
      <c r="N100" s="59">
        <v>24.7</v>
      </c>
      <c r="O100" s="59">
        <v>0</v>
      </c>
      <c r="P100" s="59">
        <v>2.2599999999999998</v>
      </c>
      <c r="Q100" s="59">
        <v>48.73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1299</v>
      </c>
      <c r="B101" s="59">
        <v>32.82</v>
      </c>
      <c r="C101" s="59">
        <v>87.49</v>
      </c>
      <c r="D101" s="59">
        <v>74.599999999999994</v>
      </c>
      <c r="E101" s="59">
        <v>7.38</v>
      </c>
      <c r="F101" s="59">
        <v>0.6</v>
      </c>
      <c r="G101" s="59">
        <v>85.95</v>
      </c>
      <c r="H101" s="59">
        <v>33.15</v>
      </c>
      <c r="I101" s="59">
        <v>0.68</v>
      </c>
      <c r="J101" s="59">
        <v>0.32</v>
      </c>
      <c r="K101" s="59">
        <v>58.08</v>
      </c>
      <c r="L101" s="59">
        <v>23.13</v>
      </c>
      <c r="M101" s="59">
        <v>53</v>
      </c>
      <c r="N101" s="59">
        <v>24.9</v>
      </c>
      <c r="O101" s="59">
        <v>0</v>
      </c>
      <c r="P101" s="59">
        <v>2.1800000000000002</v>
      </c>
      <c r="Q101" s="59">
        <v>49.23</v>
      </c>
      <c r="R101" s="197"/>
      <c r="S101" s="197"/>
      <c r="T101" s="197"/>
      <c r="U101" s="197"/>
    </row>
    <row r="102" spans="1:33" s="12" customFormat="1" x14ac:dyDescent="0.25">
      <c r="A102" s="200" t="s">
        <v>1300</v>
      </c>
      <c r="B102" s="59">
        <v>33.61</v>
      </c>
      <c r="C102" s="59">
        <v>84.79</v>
      </c>
      <c r="D102" s="59">
        <v>73.75</v>
      </c>
      <c r="E102" s="59">
        <v>6.46</v>
      </c>
      <c r="F102" s="59">
        <v>0.51</v>
      </c>
      <c r="G102" s="59">
        <v>85.95</v>
      </c>
      <c r="H102" s="59">
        <v>33.15</v>
      </c>
      <c r="I102" s="59">
        <v>0.68</v>
      </c>
      <c r="J102" s="59">
        <v>0.33</v>
      </c>
      <c r="K102" s="59">
        <v>69.650000000000006</v>
      </c>
      <c r="L102" s="59">
        <v>23.02</v>
      </c>
      <c r="M102" s="59">
        <v>54</v>
      </c>
      <c r="N102" s="59">
        <v>25</v>
      </c>
      <c r="O102" s="59">
        <v>0</v>
      </c>
      <c r="P102" s="59">
        <v>2.12</v>
      </c>
      <c r="Q102" s="59">
        <v>50.49</v>
      </c>
      <c r="R102" s="197"/>
      <c r="S102" s="197"/>
      <c r="T102" s="197"/>
      <c r="U102" s="197"/>
    </row>
    <row r="103" spans="1:33" s="12" customFormat="1" x14ac:dyDescent="0.25">
      <c r="A103" s="200" t="s">
        <v>1301</v>
      </c>
      <c r="B103" s="59">
        <v>33.840000000000003</v>
      </c>
      <c r="C103" s="59">
        <v>86.4</v>
      </c>
      <c r="D103" s="59">
        <v>74.819999999999993</v>
      </c>
      <c r="E103" s="59">
        <v>6.43</v>
      </c>
      <c r="F103" s="59">
        <v>0.54</v>
      </c>
      <c r="G103" s="59">
        <v>80.39</v>
      </c>
      <c r="H103" s="59">
        <v>32.44</v>
      </c>
      <c r="I103" s="59">
        <v>0.68</v>
      </c>
      <c r="J103" s="59">
        <v>0.37</v>
      </c>
      <c r="K103" s="59">
        <v>73.84</v>
      </c>
      <c r="L103" s="59">
        <v>22.84</v>
      </c>
      <c r="M103" s="59">
        <v>54</v>
      </c>
      <c r="N103" s="59">
        <v>25</v>
      </c>
      <c r="O103" s="59">
        <v>0</v>
      </c>
      <c r="P103" s="59">
        <v>2.04</v>
      </c>
      <c r="Q103" s="59">
        <v>50.33</v>
      </c>
      <c r="R103" s="197"/>
      <c r="S103" s="197"/>
      <c r="T103" s="197"/>
      <c r="U103" s="197"/>
    </row>
    <row r="104" spans="1:33" s="12" customFormat="1" x14ac:dyDescent="0.25">
      <c r="A104" s="200" t="s">
        <v>1302</v>
      </c>
      <c r="B104" s="59">
        <v>32.85</v>
      </c>
      <c r="C104" s="59">
        <v>87.01</v>
      </c>
      <c r="D104" s="59">
        <v>74.36</v>
      </c>
      <c r="E104" s="59">
        <v>2.83</v>
      </c>
      <c r="F104" s="59">
        <v>0.41</v>
      </c>
      <c r="G104" s="59">
        <v>75.16</v>
      </c>
      <c r="H104" s="59">
        <v>31.34</v>
      </c>
      <c r="I104" s="59">
        <v>0.66</v>
      </c>
      <c r="J104" s="59">
        <v>0.27</v>
      </c>
      <c r="K104" s="59">
        <v>23.93</v>
      </c>
      <c r="L104" s="59">
        <v>22.67</v>
      </c>
      <c r="M104" s="59">
        <v>55</v>
      </c>
      <c r="N104" s="59">
        <v>24.9</v>
      </c>
      <c r="O104" s="59">
        <v>0</v>
      </c>
      <c r="P104" s="59">
        <v>1.96</v>
      </c>
      <c r="Q104" s="59">
        <v>49.6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3.25</v>
      </c>
      <c r="C106" s="66">
        <f>MIN(C9:C104)</f>
        <v>63.27</v>
      </c>
      <c r="D106" s="66">
        <f t="shared" ref="D106:Q106" si="0">MIN(D9:D104)</f>
        <v>39.369999999999997</v>
      </c>
      <c r="E106" s="66">
        <f t="shared" si="0"/>
        <v>2.68</v>
      </c>
      <c r="F106" s="66">
        <f t="shared" si="0"/>
        <v>0.37</v>
      </c>
      <c r="G106" s="66">
        <f t="shared" si="0"/>
        <v>47.78</v>
      </c>
      <c r="H106" s="66">
        <f t="shared" si="0"/>
        <v>29.13</v>
      </c>
      <c r="I106" s="66">
        <f t="shared" si="0"/>
        <v>0.39</v>
      </c>
      <c r="J106" s="66">
        <f t="shared" si="0"/>
        <v>0.03</v>
      </c>
      <c r="K106" s="66">
        <f t="shared" si="0"/>
        <v>0.36</v>
      </c>
      <c r="L106" s="66">
        <f t="shared" si="0"/>
        <v>19.96</v>
      </c>
      <c r="M106" s="66">
        <f t="shared" si="0"/>
        <v>47</v>
      </c>
      <c r="N106" s="66">
        <f t="shared" si="0"/>
        <v>24.5</v>
      </c>
      <c r="O106" s="66">
        <f t="shared" si="0"/>
        <v>0</v>
      </c>
      <c r="P106" s="66">
        <f t="shared" si="0"/>
        <v>1.04</v>
      </c>
      <c r="Q106" s="66">
        <f t="shared" si="0"/>
        <v>41.17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33.840000000000003</v>
      </c>
      <c r="C107" s="65">
        <f t="shared" ref="C107:Q107" si="1">MAX(C9:C104)</f>
        <v>99.52</v>
      </c>
      <c r="D107" s="65">
        <f t="shared" si="1"/>
        <v>75.55</v>
      </c>
      <c r="E107" s="65">
        <f t="shared" si="1"/>
        <v>11.92</v>
      </c>
      <c r="F107" s="65">
        <f t="shared" si="1"/>
        <v>6.02</v>
      </c>
      <c r="G107" s="65">
        <f t="shared" si="1"/>
        <v>156.43</v>
      </c>
      <c r="H107" s="65">
        <f t="shared" si="1"/>
        <v>46.83</v>
      </c>
      <c r="I107" s="65">
        <f t="shared" si="1"/>
        <v>0.68</v>
      </c>
      <c r="J107" s="65">
        <f t="shared" si="1"/>
        <v>1.6</v>
      </c>
      <c r="K107" s="65">
        <f t="shared" si="1"/>
        <v>359.78</v>
      </c>
      <c r="L107" s="65">
        <f t="shared" si="1"/>
        <v>29.3</v>
      </c>
      <c r="M107" s="65">
        <f t="shared" si="1"/>
        <v>65</v>
      </c>
      <c r="N107" s="65">
        <f t="shared" si="1"/>
        <v>318.7</v>
      </c>
      <c r="O107" s="65">
        <f t="shared" si="1"/>
        <v>0</v>
      </c>
      <c r="P107" s="65">
        <f t="shared" si="1"/>
        <v>2.5</v>
      </c>
      <c r="Q107" s="65">
        <f t="shared" si="1"/>
        <v>50.49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12.479999999999992</v>
      </c>
      <c r="C108" s="66">
        <f t="shared" ref="C108:Q108" si="2">AVERAGE(C9:C104)</f>
        <v>81.456354166666685</v>
      </c>
      <c r="D108" s="66">
        <f t="shared" si="2"/>
        <v>54.962708333333296</v>
      </c>
      <c r="E108" s="66">
        <f t="shared" si="2"/>
        <v>6.2544791666666697</v>
      </c>
      <c r="F108" s="66">
        <f t="shared" si="2"/>
        <v>1.3056249999999998</v>
      </c>
      <c r="G108" s="66">
        <f t="shared" si="2"/>
        <v>87.790312500000013</v>
      </c>
      <c r="H108" s="66">
        <f t="shared" si="2"/>
        <v>36.777187499999989</v>
      </c>
      <c r="I108" s="66">
        <f t="shared" si="2"/>
        <v>0.46864583333333343</v>
      </c>
      <c r="J108" s="66">
        <f t="shared" si="2"/>
        <v>0.64666666666666661</v>
      </c>
      <c r="K108" s="66">
        <f t="shared" si="2"/>
        <v>126.60385416666669</v>
      </c>
      <c r="L108" s="66">
        <f t="shared" si="2"/>
        <v>23.547604166666673</v>
      </c>
      <c r="M108" s="66">
        <f t="shared" si="2"/>
        <v>57.239583333333336</v>
      </c>
      <c r="N108" s="66">
        <f t="shared" si="2"/>
        <v>76.685416666666669</v>
      </c>
      <c r="O108" s="66">
        <f t="shared" si="2"/>
        <v>0</v>
      </c>
      <c r="P108" s="66">
        <f t="shared" si="2"/>
        <v>1.7341666666666669</v>
      </c>
      <c r="Q108" s="66">
        <f t="shared" si="2"/>
        <v>43.720729166666665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9.2257798985691366</v>
      </c>
      <c r="C109" s="66">
        <f t="shared" ref="C109:Q109" si="3">STDEV(C9:C104)</f>
        <v>11.65508609282398</v>
      </c>
      <c r="D109" s="66">
        <f t="shared" si="3"/>
        <v>10.344579102034505</v>
      </c>
      <c r="E109" s="66">
        <f t="shared" si="3"/>
        <v>1.5756675242352978</v>
      </c>
      <c r="F109" s="66">
        <f t="shared" si="3"/>
        <v>1.1930040036108764</v>
      </c>
      <c r="G109" s="66">
        <f t="shared" si="3"/>
        <v>25.328689764069477</v>
      </c>
      <c r="H109" s="66">
        <f t="shared" si="3"/>
        <v>6.0112073755479818</v>
      </c>
      <c r="I109" s="66">
        <f t="shared" si="3"/>
        <v>8.1520030366021318E-2</v>
      </c>
      <c r="J109" s="66">
        <f t="shared" si="3"/>
        <v>0.41661206659803773</v>
      </c>
      <c r="K109" s="66">
        <f t="shared" si="3"/>
        <v>135.52106623865797</v>
      </c>
      <c r="L109" s="66">
        <f t="shared" si="3"/>
        <v>3.0011674026132202</v>
      </c>
      <c r="M109" s="66">
        <f t="shared" si="3"/>
        <v>4.5670324158822533</v>
      </c>
      <c r="N109" s="66">
        <f t="shared" si="3"/>
        <v>76.291050698405428</v>
      </c>
      <c r="O109" s="66">
        <f t="shared" si="3"/>
        <v>0</v>
      </c>
      <c r="P109" s="66">
        <f t="shared" si="3"/>
        <v>0.4699130192003983</v>
      </c>
      <c r="Q109" s="66">
        <f t="shared" si="3"/>
        <v>2.1257302125160447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P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>COUNT(H9:H104)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>COUNT(Q9:Q104)</f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4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12-12-2022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1303</v>
      </c>
      <c r="B9" s="59">
        <v>31.35</v>
      </c>
      <c r="C9" s="59">
        <v>86.16</v>
      </c>
      <c r="D9" s="59">
        <v>72.69</v>
      </c>
      <c r="E9" s="59">
        <v>5.25</v>
      </c>
      <c r="F9" s="59">
        <v>0.38</v>
      </c>
      <c r="G9" s="59">
        <v>75.16</v>
      </c>
      <c r="H9" s="59">
        <v>31.34</v>
      </c>
      <c r="I9" s="59">
        <v>0.63</v>
      </c>
      <c r="J9" s="59">
        <v>0.27</v>
      </c>
      <c r="K9" s="59">
        <v>65.08</v>
      </c>
      <c r="L9" s="59">
        <v>22.31</v>
      </c>
      <c r="M9" s="59">
        <v>56</v>
      </c>
      <c r="N9" s="59">
        <v>24.9</v>
      </c>
      <c r="O9" s="59">
        <v>0</v>
      </c>
      <c r="P9" s="59">
        <v>1.88</v>
      </c>
      <c r="Q9" s="59">
        <v>49.14</v>
      </c>
      <c r="R9" s="197"/>
      <c r="S9" s="197"/>
      <c r="T9" s="197"/>
      <c r="U9" s="197"/>
    </row>
    <row r="10" spans="1:21" s="12" customFormat="1" x14ac:dyDescent="0.25">
      <c r="A10" s="200" t="s">
        <v>1304</v>
      </c>
      <c r="B10" s="59">
        <v>29.57</v>
      </c>
      <c r="C10" s="59">
        <v>85.61</v>
      </c>
      <c r="D10" s="59">
        <v>70.959999999999994</v>
      </c>
      <c r="E10" s="59">
        <v>5.3</v>
      </c>
      <c r="F10" s="59">
        <v>0.39</v>
      </c>
      <c r="G10" s="59">
        <v>75.16</v>
      </c>
      <c r="H10" s="59">
        <v>31.34</v>
      </c>
      <c r="I10" s="59">
        <v>0.61</v>
      </c>
      <c r="J10" s="59">
        <v>0.18</v>
      </c>
      <c r="K10" s="59">
        <v>79.38</v>
      </c>
      <c r="L10" s="59">
        <v>22.07</v>
      </c>
      <c r="M10" s="59">
        <v>57</v>
      </c>
      <c r="N10" s="59">
        <v>24.7</v>
      </c>
      <c r="O10" s="59">
        <v>0</v>
      </c>
      <c r="P10" s="59">
        <v>1.8</v>
      </c>
      <c r="Q10" s="59">
        <v>48.52</v>
      </c>
      <c r="R10" s="197"/>
      <c r="S10" s="197"/>
      <c r="T10" s="197"/>
      <c r="U10" s="197"/>
    </row>
    <row r="11" spans="1:21" s="12" customFormat="1" x14ac:dyDescent="0.25">
      <c r="A11" s="200" t="s">
        <v>1305</v>
      </c>
      <c r="B11" s="59">
        <v>27.8</v>
      </c>
      <c r="C11" s="59">
        <v>84.83</v>
      </c>
      <c r="D11" s="59">
        <v>69.11</v>
      </c>
      <c r="E11" s="59">
        <v>5.68</v>
      </c>
      <c r="F11" s="59">
        <v>0.42</v>
      </c>
      <c r="G11" s="59">
        <v>76.099999999999994</v>
      </c>
      <c r="H11" s="59">
        <v>31.05</v>
      </c>
      <c r="I11" s="59">
        <v>0.57999999999999996</v>
      </c>
      <c r="J11" s="59">
        <v>0.21</v>
      </c>
      <c r="K11" s="59">
        <v>349.3</v>
      </c>
      <c r="L11" s="59">
        <v>21.85</v>
      </c>
      <c r="M11" s="59">
        <v>59</v>
      </c>
      <c r="N11" s="59">
        <v>24.8</v>
      </c>
      <c r="O11" s="59">
        <v>0</v>
      </c>
      <c r="P11" s="59">
        <v>1.74</v>
      </c>
      <c r="Q11" s="59">
        <v>47.97</v>
      </c>
      <c r="R11" s="197"/>
      <c r="S11" s="197"/>
      <c r="T11" s="197"/>
      <c r="U11" s="197"/>
    </row>
    <row r="12" spans="1:21" s="12" customFormat="1" x14ac:dyDescent="0.25">
      <c r="A12" s="200" t="s">
        <v>1306</v>
      </c>
      <c r="B12" s="59">
        <v>26.49</v>
      </c>
      <c r="C12" s="59">
        <v>83.98</v>
      </c>
      <c r="D12" s="59">
        <v>67.59</v>
      </c>
      <c r="E12" s="59">
        <v>5.9</v>
      </c>
      <c r="F12" s="59">
        <v>0.5</v>
      </c>
      <c r="G12" s="59">
        <v>79.11</v>
      </c>
      <c r="H12" s="59">
        <v>30.6</v>
      </c>
      <c r="I12" s="59">
        <v>0.56000000000000005</v>
      </c>
      <c r="J12" s="59">
        <v>0.09</v>
      </c>
      <c r="K12" s="59">
        <v>333.58</v>
      </c>
      <c r="L12" s="59">
        <v>21.3</v>
      </c>
      <c r="M12" s="59">
        <v>61</v>
      </c>
      <c r="N12" s="59">
        <v>24.9</v>
      </c>
      <c r="O12" s="59">
        <v>0</v>
      </c>
      <c r="P12" s="59">
        <v>1.68</v>
      </c>
      <c r="Q12" s="59">
        <v>46.96</v>
      </c>
      <c r="R12" s="197"/>
      <c r="S12" s="197"/>
      <c r="T12" s="197"/>
      <c r="U12" s="197"/>
    </row>
    <row r="13" spans="1:21" s="12" customFormat="1" x14ac:dyDescent="0.25">
      <c r="A13" s="200" t="s">
        <v>1307</v>
      </c>
      <c r="B13" s="59">
        <v>25.52</v>
      </c>
      <c r="C13" s="59">
        <v>82.84</v>
      </c>
      <c r="D13" s="59">
        <v>66.180000000000007</v>
      </c>
      <c r="E13" s="59">
        <v>5.31</v>
      </c>
      <c r="F13" s="59">
        <v>0.44</v>
      </c>
      <c r="G13" s="59">
        <v>79.11</v>
      </c>
      <c r="H13" s="59">
        <v>30.6</v>
      </c>
      <c r="I13" s="59">
        <v>0.53</v>
      </c>
      <c r="J13" s="59">
        <v>0.06</v>
      </c>
      <c r="K13" s="59">
        <v>231.52</v>
      </c>
      <c r="L13" s="59">
        <v>21</v>
      </c>
      <c r="M13" s="59">
        <v>63</v>
      </c>
      <c r="N13" s="59">
        <v>24.8</v>
      </c>
      <c r="O13" s="59">
        <v>0</v>
      </c>
      <c r="P13" s="59">
        <v>1.58</v>
      </c>
      <c r="Q13" s="59">
        <v>46.56</v>
      </c>
      <c r="R13" s="197"/>
      <c r="S13" s="197"/>
      <c r="T13" s="197"/>
      <c r="U13" s="197"/>
    </row>
    <row r="14" spans="1:21" s="12" customFormat="1" x14ac:dyDescent="0.25">
      <c r="A14" s="200" t="s">
        <v>1308</v>
      </c>
      <c r="B14" s="59">
        <v>25.12</v>
      </c>
      <c r="C14" s="59">
        <v>81.95</v>
      </c>
      <c r="D14" s="59">
        <v>65.37</v>
      </c>
      <c r="E14" s="59">
        <v>5.35</v>
      </c>
      <c r="F14" s="59">
        <v>0.47</v>
      </c>
      <c r="G14" s="59">
        <v>79.11</v>
      </c>
      <c r="H14" s="59">
        <v>30.6</v>
      </c>
      <c r="I14" s="59">
        <v>0.52</v>
      </c>
      <c r="J14" s="59">
        <v>0.08</v>
      </c>
      <c r="K14" s="59">
        <v>313.70999999999998</v>
      </c>
      <c r="L14" s="59">
        <v>20.61</v>
      </c>
      <c r="M14" s="59">
        <v>67</v>
      </c>
      <c r="N14" s="59">
        <v>25</v>
      </c>
      <c r="O14" s="59">
        <v>0</v>
      </c>
      <c r="P14" s="59">
        <v>1.6</v>
      </c>
      <c r="Q14" s="59">
        <v>46.49</v>
      </c>
      <c r="R14" s="197"/>
      <c r="S14" s="197"/>
      <c r="T14" s="197"/>
      <c r="U14" s="197"/>
    </row>
    <row r="15" spans="1:21" s="12" customFormat="1" x14ac:dyDescent="0.25">
      <c r="A15" s="200" t="s">
        <v>1309</v>
      </c>
      <c r="B15" s="59">
        <v>24.99</v>
      </c>
      <c r="C15" s="59">
        <v>80.989999999999995</v>
      </c>
      <c r="D15" s="59">
        <v>64.739999999999995</v>
      </c>
      <c r="E15" s="59">
        <v>5.26</v>
      </c>
      <c r="F15" s="59">
        <v>0.52</v>
      </c>
      <c r="G15" s="59">
        <v>71.45</v>
      </c>
      <c r="H15" s="59">
        <v>30.03</v>
      </c>
      <c r="I15" s="59">
        <v>0.52</v>
      </c>
      <c r="J15" s="59">
        <v>0.12</v>
      </c>
      <c r="K15" s="59">
        <v>0.93</v>
      </c>
      <c r="L15" s="59">
        <v>20.2</v>
      </c>
      <c r="M15" s="59">
        <v>69</v>
      </c>
      <c r="N15" s="59">
        <v>24.7</v>
      </c>
      <c r="O15" s="59">
        <v>0</v>
      </c>
      <c r="P15" s="59">
        <v>1.58</v>
      </c>
      <c r="Q15" s="59">
        <v>46.63</v>
      </c>
      <c r="R15" s="197"/>
      <c r="S15" s="197"/>
      <c r="T15" s="197"/>
      <c r="U15" s="197"/>
    </row>
    <row r="16" spans="1:21" s="12" customFormat="1" x14ac:dyDescent="0.25">
      <c r="A16" s="200" t="s">
        <v>1310</v>
      </c>
      <c r="B16" s="59">
        <v>25</v>
      </c>
      <c r="C16" s="59">
        <v>79.930000000000007</v>
      </c>
      <c r="D16" s="59">
        <v>64.16</v>
      </c>
      <c r="E16" s="59">
        <v>5.08</v>
      </c>
      <c r="F16" s="59">
        <v>0.57999999999999996</v>
      </c>
      <c r="G16" s="59">
        <v>63.78</v>
      </c>
      <c r="H16" s="59">
        <v>29.09</v>
      </c>
      <c r="I16" s="59">
        <v>0.52</v>
      </c>
      <c r="J16" s="59">
        <v>0.06</v>
      </c>
      <c r="K16" s="59">
        <v>76.33</v>
      </c>
      <c r="L16" s="59">
        <v>20.53</v>
      </c>
      <c r="M16" s="59">
        <v>66</v>
      </c>
      <c r="N16" s="59">
        <v>24.4</v>
      </c>
      <c r="O16" s="59">
        <v>0</v>
      </c>
      <c r="P16" s="59">
        <v>1.54</v>
      </c>
      <c r="Q16" s="59">
        <v>46.67</v>
      </c>
      <c r="R16" s="197"/>
      <c r="S16" s="197"/>
      <c r="T16" s="197"/>
      <c r="U16" s="197"/>
    </row>
    <row r="17" spans="1:21" s="12" customFormat="1" x14ac:dyDescent="0.25">
      <c r="A17" s="200" t="s">
        <v>1311</v>
      </c>
      <c r="B17" s="59">
        <v>24.66</v>
      </c>
      <c r="C17" s="59">
        <v>78.98</v>
      </c>
      <c r="D17" s="59">
        <v>63.36</v>
      </c>
      <c r="E17" s="59">
        <v>4.97</v>
      </c>
      <c r="F17" s="59">
        <v>0.64</v>
      </c>
      <c r="G17" s="59">
        <v>63.78</v>
      </c>
      <c r="H17" s="59">
        <v>29.09</v>
      </c>
      <c r="I17" s="59">
        <v>0.53</v>
      </c>
      <c r="J17" s="59">
        <v>7.0000000000000007E-2</v>
      </c>
      <c r="K17" s="59">
        <v>20.16</v>
      </c>
      <c r="L17" s="59">
        <v>20.41</v>
      </c>
      <c r="M17" s="59">
        <v>67</v>
      </c>
      <c r="N17" s="59">
        <v>24.5</v>
      </c>
      <c r="O17" s="59">
        <v>0</v>
      </c>
      <c r="P17" s="59">
        <v>1.52</v>
      </c>
      <c r="Q17" s="59">
        <v>46.93</v>
      </c>
      <c r="R17" s="197"/>
      <c r="S17" s="197"/>
      <c r="T17" s="197"/>
      <c r="U17" s="197"/>
    </row>
    <row r="18" spans="1:21" s="12" customFormat="1" x14ac:dyDescent="0.25">
      <c r="A18" s="200" t="s">
        <v>1312</v>
      </c>
      <c r="B18" s="59">
        <v>24.22</v>
      </c>
      <c r="C18" s="59">
        <v>78.069999999999993</v>
      </c>
      <c r="D18" s="59">
        <v>62.51</v>
      </c>
      <c r="E18" s="59">
        <v>5.37</v>
      </c>
      <c r="F18" s="59">
        <v>0.52</v>
      </c>
      <c r="G18" s="59">
        <v>63.78</v>
      </c>
      <c r="H18" s="59">
        <v>29.09</v>
      </c>
      <c r="I18" s="59">
        <v>0.54</v>
      </c>
      <c r="J18" s="59">
        <v>0.26</v>
      </c>
      <c r="K18" s="59">
        <v>344.79</v>
      </c>
      <c r="L18" s="59">
        <v>20.47</v>
      </c>
      <c r="M18" s="59">
        <v>66</v>
      </c>
      <c r="N18" s="59">
        <v>24.3</v>
      </c>
      <c r="O18" s="59">
        <v>0</v>
      </c>
      <c r="P18" s="59">
        <v>1.49</v>
      </c>
      <c r="Q18" s="59">
        <v>47.25</v>
      </c>
      <c r="R18" s="197"/>
      <c r="S18" s="197"/>
      <c r="T18" s="197"/>
      <c r="U18" s="197"/>
    </row>
    <row r="19" spans="1:21" s="12" customFormat="1" x14ac:dyDescent="0.25">
      <c r="A19" s="200" t="s">
        <v>1313</v>
      </c>
      <c r="B19" s="59">
        <v>23.69</v>
      </c>
      <c r="C19" s="59">
        <v>77.17</v>
      </c>
      <c r="D19" s="59">
        <v>61.59</v>
      </c>
      <c r="E19" s="59">
        <v>4.79</v>
      </c>
      <c r="F19" s="59">
        <v>0.53</v>
      </c>
      <c r="G19" s="59">
        <v>65.11</v>
      </c>
      <c r="H19" s="59">
        <v>29.35</v>
      </c>
      <c r="I19" s="59">
        <v>0.54</v>
      </c>
      <c r="J19" s="59">
        <v>0.04</v>
      </c>
      <c r="K19" s="59">
        <v>276.44</v>
      </c>
      <c r="L19" s="59">
        <v>20.420000000000002</v>
      </c>
      <c r="M19" s="59">
        <v>66</v>
      </c>
      <c r="N19" s="59">
        <v>24.6</v>
      </c>
      <c r="O19" s="59">
        <v>0</v>
      </c>
      <c r="P19" s="59">
        <v>1.45</v>
      </c>
      <c r="Q19" s="59">
        <v>47.32</v>
      </c>
      <c r="R19" s="197"/>
      <c r="S19" s="197"/>
      <c r="T19" s="197"/>
      <c r="U19" s="197"/>
    </row>
    <row r="20" spans="1:21" s="12" customFormat="1" x14ac:dyDescent="0.25">
      <c r="A20" s="200" t="s">
        <v>1314</v>
      </c>
      <c r="B20" s="59">
        <v>22.97</v>
      </c>
      <c r="C20" s="59">
        <v>75.97</v>
      </c>
      <c r="D20" s="59">
        <v>60.35</v>
      </c>
      <c r="E20" s="59">
        <v>5.26</v>
      </c>
      <c r="F20" s="59">
        <v>0.52</v>
      </c>
      <c r="G20" s="59">
        <v>66.39</v>
      </c>
      <c r="H20" s="59">
        <v>29.76</v>
      </c>
      <c r="I20" s="59">
        <v>0.55000000000000004</v>
      </c>
      <c r="J20" s="59">
        <v>0.08</v>
      </c>
      <c r="K20" s="59">
        <v>249.54</v>
      </c>
      <c r="L20" s="59">
        <v>20.07</v>
      </c>
      <c r="M20" s="59">
        <v>68</v>
      </c>
      <c r="N20" s="59">
        <v>24.6</v>
      </c>
      <c r="O20" s="59">
        <v>0</v>
      </c>
      <c r="P20" s="59">
        <v>1.42</v>
      </c>
      <c r="Q20" s="59">
        <v>47.93</v>
      </c>
      <c r="R20" s="197"/>
      <c r="S20" s="197"/>
      <c r="T20" s="197"/>
      <c r="U20" s="197"/>
    </row>
    <row r="21" spans="1:21" s="12" customFormat="1" x14ac:dyDescent="0.25">
      <c r="A21" s="200" t="s">
        <v>1315</v>
      </c>
      <c r="B21" s="59">
        <v>21.83</v>
      </c>
      <c r="C21" s="59">
        <v>74.930000000000007</v>
      </c>
      <c r="D21" s="59">
        <v>58.85</v>
      </c>
      <c r="E21" s="59">
        <v>5</v>
      </c>
      <c r="F21" s="59">
        <v>0.56000000000000005</v>
      </c>
      <c r="G21" s="59">
        <v>66.39</v>
      </c>
      <c r="H21" s="59">
        <v>29.76</v>
      </c>
      <c r="I21" s="59">
        <v>0.54</v>
      </c>
      <c r="J21" s="59">
        <v>0.04</v>
      </c>
      <c r="K21" s="59">
        <v>67.16</v>
      </c>
      <c r="L21" s="59">
        <v>19.809999999999999</v>
      </c>
      <c r="M21" s="59">
        <v>70</v>
      </c>
      <c r="N21" s="59">
        <v>24.6</v>
      </c>
      <c r="O21" s="59">
        <v>0</v>
      </c>
      <c r="P21" s="59">
        <v>1.38</v>
      </c>
      <c r="Q21" s="59">
        <v>48.27</v>
      </c>
      <c r="R21" s="197"/>
      <c r="S21" s="197"/>
      <c r="T21" s="197"/>
      <c r="U21" s="197"/>
    </row>
    <row r="22" spans="1:21" s="12" customFormat="1" x14ac:dyDescent="0.25">
      <c r="A22" s="200" t="s">
        <v>1316</v>
      </c>
      <c r="B22" s="59">
        <v>20.8</v>
      </c>
      <c r="C22" s="59">
        <v>74.14</v>
      </c>
      <c r="D22" s="59">
        <v>57.59</v>
      </c>
      <c r="E22" s="59">
        <v>5.22</v>
      </c>
      <c r="F22" s="59">
        <v>0.43</v>
      </c>
      <c r="G22" s="59">
        <v>66.39</v>
      </c>
      <c r="H22" s="59">
        <v>29.76</v>
      </c>
      <c r="I22" s="59">
        <v>0.53</v>
      </c>
      <c r="J22" s="59">
        <v>0.13</v>
      </c>
      <c r="K22" s="59">
        <v>46.93</v>
      </c>
      <c r="L22" s="59">
        <v>19.559999999999999</v>
      </c>
      <c r="M22" s="59">
        <v>73</v>
      </c>
      <c r="N22" s="59">
        <v>24.6</v>
      </c>
      <c r="O22" s="59">
        <v>0</v>
      </c>
      <c r="P22" s="59">
        <v>1.35</v>
      </c>
      <c r="Q22" s="59">
        <v>47.76</v>
      </c>
      <c r="R22" s="197"/>
      <c r="S22" s="197"/>
      <c r="T22" s="197"/>
      <c r="U22" s="197"/>
    </row>
    <row r="23" spans="1:21" s="12" customFormat="1" x14ac:dyDescent="0.25">
      <c r="A23" s="200" t="s">
        <v>1317</v>
      </c>
      <c r="B23" s="59">
        <v>20.41</v>
      </c>
      <c r="C23" s="59">
        <v>73.87</v>
      </c>
      <c r="D23" s="59">
        <v>57.13</v>
      </c>
      <c r="E23" s="59">
        <v>5.15</v>
      </c>
      <c r="F23" s="59">
        <v>0.43</v>
      </c>
      <c r="G23" s="59">
        <v>73.58</v>
      </c>
      <c r="H23" s="59">
        <v>29.64</v>
      </c>
      <c r="I23" s="59">
        <v>0.52</v>
      </c>
      <c r="J23" s="59">
        <v>0.09</v>
      </c>
      <c r="K23" s="59">
        <v>34.57</v>
      </c>
      <c r="L23" s="59">
        <v>19.77</v>
      </c>
      <c r="M23" s="59">
        <v>72</v>
      </c>
      <c r="N23" s="59">
        <v>24.5</v>
      </c>
      <c r="O23" s="59">
        <v>0</v>
      </c>
      <c r="P23" s="59">
        <v>1.33</v>
      </c>
      <c r="Q23" s="59">
        <v>47.06</v>
      </c>
      <c r="R23" s="197"/>
      <c r="S23" s="197"/>
      <c r="T23" s="197"/>
      <c r="U23" s="197"/>
    </row>
    <row r="24" spans="1:21" s="12" customFormat="1" x14ac:dyDescent="0.25">
      <c r="A24" s="200" t="s">
        <v>1318</v>
      </c>
      <c r="B24" s="59">
        <v>20.9</v>
      </c>
      <c r="C24" s="59">
        <v>74.39</v>
      </c>
      <c r="D24" s="59">
        <v>57.81</v>
      </c>
      <c r="E24" s="59">
        <v>3.52</v>
      </c>
      <c r="F24" s="59">
        <v>0.53</v>
      </c>
      <c r="G24" s="59">
        <v>80.77</v>
      </c>
      <c r="H24" s="59">
        <v>29.43</v>
      </c>
      <c r="I24" s="59">
        <v>0.5</v>
      </c>
      <c r="J24" s="59">
        <v>0.15</v>
      </c>
      <c r="K24" s="59">
        <v>99.51</v>
      </c>
      <c r="L24" s="59">
        <v>19.88</v>
      </c>
      <c r="M24" s="59">
        <v>70</v>
      </c>
      <c r="N24" s="59">
        <v>24.3</v>
      </c>
      <c r="O24" s="59">
        <v>0</v>
      </c>
      <c r="P24" s="59">
        <v>1.31</v>
      </c>
      <c r="Q24" s="59">
        <v>46.53</v>
      </c>
      <c r="R24" s="197"/>
      <c r="S24" s="197"/>
      <c r="T24" s="197"/>
      <c r="U24" s="197"/>
    </row>
    <row r="25" spans="1:21" s="12" customFormat="1" x14ac:dyDescent="0.25">
      <c r="A25" s="200" t="s">
        <v>1319</v>
      </c>
      <c r="B25" s="59">
        <v>21.22</v>
      </c>
      <c r="C25" s="59">
        <v>75.12</v>
      </c>
      <c r="D25" s="59">
        <v>58.47</v>
      </c>
      <c r="E25" s="59">
        <v>5.36</v>
      </c>
      <c r="F25" s="59">
        <v>0.59</v>
      </c>
      <c r="G25" s="59">
        <v>80.77</v>
      </c>
      <c r="H25" s="59">
        <v>29.43</v>
      </c>
      <c r="I25" s="59">
        <v>0.49</v>
      </c>
      <c r="J25" s="59">
        <v>0.14000000000000001</v>
      </c>
      <c r="K25" s="59">
        <v>73.06</v>
      </c>
      <c r="L25" s="59">
        <v>20.18</v>
      </c>
      <c r="M25" s="59">
        <v>68</v>
      </c>
      <c r="N25" s="59">
        <v>24.3</v>
      </c>
      <c r="O25" s="59">
        <v>0</v>
      </c>
      <c r="P25" s="59">
        <v>1.3</v>
      </c>
      <c r="Q25" s="59">
        <v>46.1</v>
      </c>
      <c r="R25" s="197"/>
      <c r="S25" s="197"/>
      <c r="T25" s="197"/>
      <c r="U25" s="197"/>
    </row>
    <row r="26" spans="1:21" s="12" customFormat="1" x14ac:dyDescent="0.25">
      <c r="A26" s="200" t="s">
        <v>1320</v>
      </c>
      <c r="B26" s="59">
        <v>22.38</v>
      </c>
      <c r="C26" s="59">
        <v>76.39</v>
      </c>
      <c r="D26" s="59">
        <v>60.11</v>
      </c>
      <c r="E26" s="59">
        <v>5.42</v>
      </c>
      <c r="F26" s="59">
        <v>0.52</v>
      </c>
      <c r="G26" s="59">
        <v>80.77</v>
      </c>
      <c r="H26" s="59">
        <v>29.43</v>
      </c>
      <c r="I26" s="59">
        <v>0.48</v>
      </c>
      <c r="J26" s="59">
        <v>0.14000000000000001</v>
      </c>
      <c r="K26" s="59">
        <v>82.76</v>
      </c>
      <c r="L26" s="59">
        <v>20.02</v>
      </c>
      <c r="M26" s="59">
        <v>69</v>
      </c>
      <c r="N26" s="59">
        <v>24.6</v>
      </c>
      <c r="O26" s="59">
        <v>0</v>
      </c>
      <c r="P26" s="59">
        <v>1.3</v>
      </c>
      <c r="Q26" s="59">
        <v>45.71</v>
      </c>
      <c r="R26" s="197"/>
      <c r="S26" s="197"/>
      <c r="T26" s="197"/>
      <c r="U26" s="197"/>
    </row>
    <row r="27" spans="1:21" s="12" customFormat="1" x14ac:dyDescent="0.25">
      <c r="A27" s="200" t="s">
        <v>1321</v>
      </c>
      <c r="B27" s="59">
        <v>23.12</v>
      </c>
      <c r="C27" s="59">
        <v>76.75</v>
      </c>
      <c r="D27" s="59">
        <v>60.9</v>
      </c>
      <c r="E27" s="59">
        <v>5.8</v>
      </c>
      <c r="F27" s="59">
        <v>0.45</v>
      </c>
      <c r="G27" s="59">
        <v>83.75</v>
      </c>
      <c r="H27" s="59">
        <v>29.89</v>
      </c>
      <c r="I27" s="59">
        <v>0.48</v>
      </c>
      <c r="J27" s="59">
        <v>0.19</v>
      </c>
      <c r="K27" s="59">
        <v>91.47</v>
      </c>
      <c r="L27" s="59">
        <v>20.03</v>
      </c>
      <c r="M27" s="59">
        <v>69</v>
      </c>
      <c r="N27" s="59">
        <v>24.3</v>
      </c>
      <c r="O27" s="59">
        <v>0</v>
      </c>
      <c r="P27" s="59">
        <v>1.31</v>
      </c>
      <c r="Q27" s="59">
        <v>44.94</v>
      </c>
      <c r="R27" s="197"/>
      <c r="S27" s="197"/>
      <c r="T27" s="197"/>
      <c r="U27" s="197"/>
    </row>
    <row r="28" spans="1:21" s="12" customFormat="1" x14ac:dyDescent="0.25">
      <c r="A28" s="200" t="s">
        <v>1322</v>
      </c>
      <c r="B28" s="59">
        <v>22.97</v>
      </c>
      <c r="C28" s="59">
        <v>76.19</v>
      </c>
      <c r="D28" s="59">
        <v>60.47</v>
      </c>
      <c r="E28" s="59">
        <v>5.8</v>
      </c>
      <c r="F28" s="59">
        <v>0.48</v>
      </c>
      <c r="G28" s="59">
        <v>94.68</v>
      </c>
      <c r="H28" s="59">
        <v>30.65</v>
      </c>
      <c r="I28" s="59">
        <v>0.48</v>
      </c>
      <c r="J28" s="59">
        <v>0.14000000000000001</v>
      </c>
      <c r="K28" s="59">
        <v>85.01</v>
      </c>
      <c r="L28" s="59">
        <v>20.03</v>
      </c>
      <c r="M28" s="59">
        <v>68</v>
      </c>
      <c r="N28" s="59">
        <v>24.5</v>
      </c>
      <c r="O28" s="59">
        <v>0</v>
      </c>
      <c r="P28" s="59">
        <v>1.3</v>
      </c>
      <c r="Q28" s="59">
        <v>44.62</v>
      </c>
      <c r="R28" s="197"/>
      <c r="S28" s="197"/>
      <c r="T28" s="197"/>
      <c r="U28" s="197"/>
    </row>
    <row r="29" spans="1:21" s="12" customFormat="1" x14ac:dyDescent="0.25">
      <c r="A29" s="200" t="s">
        <v>1323</v>
      </c>
      <c r="B29" s="59">
        <v>22.5</v>
      </c>
      <c r="C29" s="59">
        <v>75.239999999999995</v>
      </c>
      <c r="D29" s="59">
        <v>59.57</v>
      </c>
      <c r="E29" s="59">
        <v>5.85</v>
      </c>
      <c r="F29" s="59">
        <v>0.5</v>
      </c>
      <c r="G29" s="59">
        <v>94.68</v>
      </c>
      <c r="H29" s="59">
        <v>30.65</v>
      </c>
      <c r="I29" s="59">
        <v>0.48</v>
      </c>
      <c r="J29" s="59">
        <v>0.38</v>
      </c>
      <c r="K29" s="59">
        <v>108.47</v>
      </c>
      <c r="L29" s="59">
        <v>20.100000000000001</v>
      </c>
      <c r="M29" s="59">
        <v>67</v>
      </c>
      <c r="N29" s="59">
        <v>24.2</v>
      </c>
      <c r="O29" s="59">
        <v>0</v>
      </c>
      <c r="P29" s="59">
        <v>1.28</v>
      </c>
      <c r="Q29" s="59">
        <v>44.98</v>
      </c>
      <c r="R29" s="197"/>
      <c r="S29" s="197"/>
      <c r="T29" s="197"/>
      <c r="U29" s="197"/>
    </row>
    <row r="30" spans="1:21" s="12" customFormat="1" x14ac:dyDescent="0.25">
      <c r="A30" s="200" t="s">
        <v>1324</v>
      </c>
      <c r="B30" s="59">
        <v>21.83</v>
      </c>
      <c r="C30" s="59">
        <v>74.400000000000006</v>
      </c>
      <c r="D30" s="59">
        <v>58.57</v>
      </c>
      <c r="E30" s="59">
        <v>5.77</v>
      </c>
      <c r="F30" s="59">
        <v>0.47</v>
      </c>
      <c r="G30" s="59">
        <v>94.68</v>
      </c>
      <c r="H30" s="59">
        <v>30.65</v>
      </c>
      <c r="I30" s="59">
        <v>0.48</v>
      </c>
      <c r="J30" s="59">
        <v>0.62</v>
      </c>
      <c r="K30" s="59">
        <v>103.15</v>
      </c>
      <c r="L30" s="59">
        <v>20.53</v>
      </c>
      <c r="M30" s="59">
        <v>65</v>
      </c>
      <c r="N30" s="59">
        <v>24</v>
      </c>
      <c r="O30" s="59">
        <v>0</v>
      </c>
      <c r="P30" s="59">
        <v>1.26</v>
      </c>
      <c r="Q30" s="59">
        <v>45.39</v>
      </c>
      <c r="R30" s="197"/>
      <c r="S30" s="197"/>
      <c r="T30" s="197"/>
      <c r="U30" s="197"/>
    </row>
    <row r="31" spans="1:21" s="12" customFormat="1" x14ac:dyDescent="0.25">
      <c r="A31" s="200" t="s">
        <v>1325</v>
      </c>
      <c r="B31" s="59">
        <v>21.36</v>
      </c>
      <c r="C31" s="59">
        <v>73.790000000000006</v>
      </c>
      <c r="D31" s="59">
        <v>57.85</v>
      </c>
      <c r="E31" s="59">
        <v>5.86</v>
      </c>
      <c r="F31" s="59">
        <v>0.5</v>
      </c>
      <c r="G31" s="59">
        <v>84.45</v>
      </c>
      <c r="H31" s="59">
        <v>31.14</v>
      </c>
      <c r="I31" s="59">
        <v>0.49</v>
      </c>
      <c r="J31" s="59">
        <v>0.22</v>
      </c>
      <c r="K31" s="59">
        <v>57.31</v>
      </c>
      <c r="L31" s="59">
        <v>20.61</v>
      </c>
      <c r="M31" s="59">
        <v>65</v>
      </c>
      <c r="N31" s="59">
        <v>24.6</v>
      </c>
      <c r="O31" s="59">
        <v>0</v>
      </c>
      <c r="P31" s="59">
        <v>1.25</v>
      </c>
      <c r="Q31" s="59">
        <v>45.62</v>
      </c>
      <c r="R31" s="197"/>
      <c r="S31" s="197"/>
      <c r="T31" s="197"/>
      <c r="U31" s="197"/>
    </row>
    <row r="32" spans="1:21" s="12" customFormat="1" x14ac:dyDescent="0.25">
      <c r="A32" s="200" t="s">
        <v>1326</v>
      </c>
      <c r="B32" s="59">
        <v>21.66</v>
      </c>
      <c r="C32" s="59">
        <v>73</v>
      </c>
      <c r="D32" s="59">
        <v>57.66</v>
      </c>
      <c r="E32" s="59">
        <v>6.01</v>
      </c>
      <c r="F32" s="59">
        <v>0.51</v>
      </c>
      <c r="G32" s="59">
        <v>74.83</v>
      </c>
      <c r="H32" s="59">
        <v>31.95</v>
      </c>
      <c r="I32" s="59">
        <v>0.5</v>
      </c>
      <c r="J32" s="59">
        <v>0.25</v>
      </c>
      <c r="K32" s="59">
        <v>45.3</v>
      </c>
      <c r="L32" s="59">
        <v>20.65</v>
      </c>
      <c r="M32" s="59">
        <v>64</v>
      </c>
      <c r="N32" s="59">
        <v>24.8</v>
      </c>
      <c r="O32" s="59">
        <v>0</v>
      </c>
      <c r="P32" s="59">
        <v>1.23</v>
      </c>
      <c r="Q32" s="59">
        <v>45.53</v>
      </c>
      <c r="R32" s="197"/>
      <c r="S32" s="197"/>
      <c r="T32" s="197"/>
      <c r="U32" s="197"/>
    </row>
    <row r="33" spans="1:21" s="12" customFormat="1" x14ac:dyDescent="0.25">
      <c r="A33" s="200" t="s">
        <v>1327</v>
      </c>
      <c r="B33" s="59">
        <v>21.7</v>
      </c>
      <c r="C33" s="59">
        <v>73.27</v>
      </c>
      <c r="D33" s="59">
        <v>57.84</v>
      </c>
      <c r="E33" s="59">
        <v>6.11</v>
      </c>
      <c r="F33" s="59">
        <v>0.44</v>
      </c>
      <c r="G33" s="59">
        <v>74.83</v>
      </c>
      <c r="H33" s="59">
        <v>31.95</v>
      </c>
      <c r="I33" s="59">
        <v>0.5</v>
      </c>
      <c r="J33" s="59">
        <v>0.19</v>
      </c>
      <c r="K33" s="59">
        <v>47.96</v>
      </c>
      <c r="L33" s="59">
        <v>20.61</v>
      </c>
      <c r="M33" s="59">
        <v>65</v>
      </c>
      <c r="N33" s="59">
        <v>25.1</v>
      </c>
      <c r="O33" s="59">
        <v>0</v>
      </c>
      <c r="P33" s="59">
        <v>1.22</v>
      </c>
      <c r="Q33" s="59">
        <v>45.84</v>
      </c>
      <c r="R33" s="197"/>
      <c r="S33" s="197"/>
      <c r="T33" s="197"/>
      <c r="U33" s="197"/>
    </row>
    <row r="34" spans="1:21" s="12" customFormat="1" x14ac:dyDescent="0.25">
      <c r="A34" s="200" t="s">
        <v>1328</v>
      </c>
      <c r="B34" s="59">
        <v>21.76</v>
      </c>
      <c r="C34" s="59">
        <v>72.73</v>
      </c>
      <c r="D34" s="59">
        <v>57.58</v>
      </c>
      <c r="E34" s="59">
        <v>6.21</v>
      </c>
      <c r="F34" s="59">
        <v>0.44</v>
      </c>
      <c r="G34" s="59">
        <v>74.83</v>
      </c>
      <c r="H34" s="59">
        <v>31.95</v>
      </c>
      <c r="I34" s="59">
        <v>0.5</v>
      </c>
      <c r="J34" s="59">
        <v>0.23</v>
      </c>
      <c r="K34" s="59">
        <v>65.5</v>
      </c>
      <c r="L34" s="59">
        <v>20.54</v>
      </c>
      <c r="M34" s="59">
        <v>65</v>
      </c>
      <c r="N34" s="59">
        <v>26.6</v>
      </c>
      <c r="O34" s="59">
        <v>0</v>
      </c>
      <c r="P34" s="59">
        <v>1.21</v>
      </c>
      <c r="Q34" s="59">
        <v>46.33</v>
      </c>
      <c r="R34" s="197"/>
      <c r="S34" s="197"/>
      <c r="T34" s="197"/>
      <c r="U34" s="197"/>
    </row>
    <row r="35" spans="1:21" s="12" customFormat="1" x14ac:dyDescent="0.25">
      <c r="A35" s="200" t="s">
        <v>1329</v>
      </c>
      <c r="B35" s="59">
        <v>21.83</v>
      </c>
      <c r="C35" s="59">
        <v>72.290000000000006</v>
      </c>
      <c r="D35" s="59">
        <v>57.4</v>
      </c>
      <c r="E35" s="59">
        <v>6.24</v>
      </c>
      <c r="F35" s="59">
        <v>0.5</v>
      </c>
      <c r="G35" s="59">
        <v>74.77</v>
      </c>
      <c r="H35" s="59">
        <v>31.46</v>
      </c>
      <c r="I35" s="59">
        <v>0.5</v>
      </c>
      <c r="J35" s="59">
        <v>0.19</v>
      </c>
      <c r="K35" s="59">
        <v>20.38</v>
      </c>
      <c r="L35" s="59">
        <v>20.61</v>
      </c>
      <c r="M35" s="59">
        <v>66</v>
      </c>
      <c r="N35" s="59">
        <v>33.700000000000003</v>
      </c>
      <c r="O35" s="59">
        <v>0</v>
      </c>
      <c r="P35" s="59">
        <v>1.21</v>
      </c>
      <c r="Q35" s="59">
        <v>47.26</v>
      </c>
      <c r="R35" s="197"/>
      <c r="S35" s="197"/>
      <c r="T35" s="197"/>
      <c r="U35" s="197"/>
    </row>
    <row r="36" spans="1:21" s="12" customFormat="1" x14ac:dyDescent="0.25">
      <c r="A36" s="200" t="s">
        <v>1330</v>
      </c>
      <c r="B36" s="59">
        <v>22.19</v>
      </c>
      <c r="C36" s="59">
        <v>73.010000000000005</v>
      </c>
      <c r="D36" s="59">
        <v>58.09</v>
      </c>
      <c r="E36" s="59">
        <v>5.76</v>
      </c>
      <c r="F36" s="59">
        <v>0.53</v>
      </c>
      <c r="G36" s="59">
        <v>74.7</v>
      </c>
      <c r="H36" s="59">
        <v>30.64</v>
      </c>
      <c r="I36" s="59">
        <v>0.5</v>
      </c>
      <c r="J36" s="59">
        <v>0.12</v>
      </c>
      <c r="K36" s="59">
        <v>60.29</v>
      </c>
      <c r="L36" s="59">
        <v>20.77</v>
      </c>
      <c r="M36" s="59">
        <v>67</v>
      </c>
      <c r="N36" s="59">
        <v>37.4</v>
      </c>
      <c r="O36" s="59">
        <v>0</v>
      </c>
      <c r="P36" s="59">
        <v>1.22</v>
      </c>
      <c r="Q36" s="59">
        <v>46.75</v>
      </c>
      <c r="R36" s="197"/>
      <c r="S36" s="197"/>
      <c r="T36" s="197"/>
      <c r="U36" s="197"/>
    </row>
    <row r="37" spans="1:21" s="12" customFormat="1" x14ac:dyDescent="0.25">
      <c r="A37" s="200" t="s">
        <v>1331</v>
      </c>
      <c r="B37" s="59">
        <v>22.8</v>
      </c>
      <c r="C37" s="59">
        <v>73.540000000000006</v>
      </c>
      <c r="D37" s="59">
        <v>58.87</v>
      </c>
      <c r="E37" s="59">
        <v>6.07</v>
      </c>
      <c r="F37" s="59">
        <v>0.59</v>
      </c>
      <c r="G37" s="59">
        <v>74.7</v>
      </c>
      <c r="H37" s="59">
        <v>30.64</v>
      </c>
      <c r="I37" s="59">
        <v>0.5</v>
      </c>
      <c r="J37" s="59">
        <v>0.35</v>
      </c>
      <c r="K37" s="59">
        <v>1.26</v>
      </c>
      <c r="L37" s="59">
        <v>21.08</v>
      </c>
      <c r="M37" s="59">
        <v>66</v>
      </c>
      <c r="N37" s="59">
        <v>46.8</v>
      </c>
      <c r="O37" s="59">
        <v>0</v>
      </c>
      <c r="P37" s="59">
        <v>1.21</v>
      </c>
      <c r="Q37" s="59">
        <v>46.27</v>
      </c>
      <c r="R37" s="197"/>
      <c r="S37" s="197"/>
      <c r="T37" s="197"/>
      <c r="U37" s="197"/>
    </row>
    <row r="38" spans="1:21" s="12" customFormat="1" x14ac:dyDescent="0.25">
      <c r="A38" s="200" t="s">
        <v>1332</v>
      </c>
      <c r="B38" s="59">
        <v>25.5</v>
      </c>
      <c r="C38" s="59">
        <v>75.290000000000006</v>
      </c>
      <c r="D38" s="59">
        <v>62</v>
      </c>
      <c r="E38" s="59">
        <v>5.93</v>
      </c>
      <c r="F38" s="59">
        <v>0.49</v>
      </c>
      <c r="G38" s="59">
        <v>74.7</v>
      </c>
      <c r="H38" s="59">
        <v>30.64</v>
      </c>
      <c r="I38" s="59">
        <v>0.49</v>
      </c>
      <c r="J38" s="59">
        <v>0.39</v>
      </c>
      <c r="K38" s="59">
        <v>4.8899999999999997</v>
      </c>
      <c r="L38" s="59">
        <v>21.5</v>
      </c>
      <c r="M38" s="59">
        <v>64</v>
      </c>
      <c r="N38" s="59">
        <v>54.4</v>
      </c>
      <c r="O38" s="59">
        <v>0</v>
      </c>
      <c r="P38" s="59">
        <v>1.29</v>
      </c>
      <c r="Q38" s="59">
        <v>46.05</v>
      </c>
      <c r="R38" s="197"/>
      <c r="S38" s="197"/>
      <c r="T38" s="197"/>
      <c r="U38" s="197"/>
    </row>
    <row r="39" spans="1:21" s="12" customFormat="1" x14ac:dyDescent="0.25">
      <c r="A39" s="200" t="s">
        <v>1333</v>
      </c>
      <c r="B39" s="59">
        <v>27.59</v>
      </c>
      <c r="C39" s="59">
        <v>77.3</v>
      </c>
      <c r="D39" s="59">
        <v>64.78</v>
      </c>
      <c r="E39" s="59">
        <v>5.35</v>
      </c>
      <c r="F39" s="59">
        <v>0.34</v>
      </c>
      <c r="G39" s="59">
        <v>79.709999999999994</v>
      </c>
      <c r="H39" s="59">
        <v>31.43</v>
      </c>
      <c r="I39" s="59">
        <v>0.48</v>
      </c>
      <c r="J39" s="59">
        <v>0.27</v>
      </c>
      <c r="K39" s="59">
        <v>21.78</v>
      </c>
      <c r="L39" s="59">
        <v>21.59</v>
      </c>
      <c r="M39" s="59">
        <v>65</v>
      </c>
      <c r="N39" s="59">
        <v>66.900000000000006</v>
      </c>
      <c r="O39" s="59">
        <v>0</v>
      </c>
      <c r="P39" s="59">
        <v>1.34</v>
      </c>
      <c r="Q39" s="59">
        <v>45.78</v>
      </c>
      <c r="R39" s="197"/>
      <c r="S39" s="197"/>
      <c r="T39" s="197"/>
      <c r="U39" s="197"/>
    </row>
    <row r="40" spans="1:21" s="12" customFormat="1" x14ac:dyDescent="0.25">
      <c r="A40" s="200" t="s">
        <v>1334</v>
      </c>
      <c r="B40" s="59">
        <v>30.29</v>
      </c>
      <c r="C40" s="59">
        <v>79.33</v>
      </c>
      <c r="D40" s="59">
        <v>68.069999999999993</v>
      </c>
      <c r="E40" s="59">
        <v>3.5</v>
      </c>
      <c r="F40" s="59">
        <v>0.44</v>
      </c>
      <c r="G40" s="59">
        <v>84.72</v>
      </c>
      <c r="H40" s="59">
        <v>32.72</v>
      </c>
      <c r="I40" s="59">
        <v>0.48</v>
      </c>
      <c r="J40" s="59">
        <v>0.78</v>
      </c>
      <c r="K40" s="59">
        <v>3.06</v>
      </c>
      <c r="L40" s="59">
        <v>22.17</v>
      </c>
      <c r="M40" s="59">
        <v>64</v>
      </c>
      <c r="N40" s="59">
        <v>76.5</v>
      </c>
      <c r="O40" s="59">
        <v>0</v>
      </c>
      <c r="P40" s="59">
        <v>1.4</v>
      </c>
      <c r="Q40" s="59">
        <v>45.52</v>
      </c>
      <c r="R40" s="197"/>
      <c r="S40" s="197"/>
      <c r="T40" s="197"/>
      <c r="U40" s="197"/>
    </row>
    <row r="41" spans="1:21" s="12" customFormat="1" x14ac:dyDescent="0.25">
      <c r="A41" s="200" t="s">
        <v>1335</v>
      </c>
      <c r="B41" s="59">
        <v>32.35</v>
      </c>
      <c r="C41" s="59">
        <v>81.31</v>
      </c>
      <c r="D41" s="59">
        <v>70.81</v>
      </c>
      <c r="E41" s="59">
        <v>5.67</v>
      </c>
      <c r="F41" s="59">
        <v>0.63</v>
      </c>
      <c r="G41" s="59">
        <v>84.72</v>
      </c>
      <c r="H41" s="59">
        <v>32.72</v>
      </c>
      <c r="I41" s="59">
        <v>0.48</v>
      </c>
      <c r="J41" s="59">
        <v>0.36</v>
      </c>
      <c r="K41" s="59">
        <v>355.31</v>
      </c>
      <c r="L41" s="59">
        <v>22.34</v>
      </c>
      <c r="M41" s="59">
        <v>62</v>
      </c>
      <c r="N41" s="59">
        <v>80.400000000000006</v>
      </c>
      <c r="O41" s="59">
        <v>0</v>
      </c>
      <c r="P41" s="59">
        <v>1.45</v>
      </c>
      <c r="Q41" s="59">
        <v>44.92</v>
      </c>
      <c r="R41" s="197"/>
      <c r="S41" s="197"/>
      <c r="T41" s="197"/>
      <c r="U41" s="197"/>
    </row>
    <row r="42" spans="1:21" s="12" customFormat="1" x14ac:dyDescent="0.25">
      <c r="A42" s="200" t="s">
        <v>1336</v>
      </c>
      <c r="B42" s="59">
        <v>32.86</v>
      </c>
      <c r="C42" s="59">
        <v>81.99</v>
      </c>
      <c r="D42" s="59">
        <v>71.599999999999994</v>
      </c>
      <c r="E42" s="59">
        <v>5.94</v>
      </c>
      <c r="F42" s="59">
        <v>0.7</v>
      </c>
      <c r="G42" s="59">
        <v>84.72</v>
      </c>
      <c r="H42" s="59">
        <v>32.72</v>
      </c>
      <c r="I42" s="59">
        <v>0.48</v>
      </c>
      <c r="J42" s="59">
        <v>0.41</v>
      </c>
      <c r="K42" s="59">
        <v>93.51</v>
      </c>
      <c r="L42" s="59">
        <v>22.01</v>
      </c>
      <c r="M42" s="59">
        <v>64</v>
      </c>
      <c r="N42" s="59">
        <v>91.1</v>
      </c>
      <c r="O42" s="59">
        <v>0</v>
      </c>
      <c r="P42" s="59">
        <v>1.47</v>
      </c>
      <c r="Q42" s="59">
        <v>44.69</v>
      </c>
      <c r="R42" s="197"/>
      <c r="S42" s="197"/>
      <c r="T42" s="197"/>
      <c r="U42" s="197"/>
    </row>
    <row r="43" spans="1:21" s="12" customFormat="1" x14ac:dyDescent="0.25">
      <c r="A43" s="200" t="s">
        <v>1337</v>
      </c>
      <c r="B43" s="59">
        <v>33.43</v>
      </c>
      <c r="C43" s="59">
        <v>81.739999999999995</v>
      </c>
      <c r="D43" s="59">
        <v>71.91</v>
      </c>
      <c r="E43" s="59">
        <v>6.11</v>
      </c>
      <c r="F43" s="59">
        <v>0.63</v>
      </c>
      <c r="G43" s="59">
        <v>86.7</v>
      </c>
      <c r="H43" s="59">
        <v>33.46</v>
      </c>
      <c r="I43" s="59">
        <v>0.49</v>
      </c>
      <c r="J43" s="59">
        <v>0.24</v>
      </c>
      <c r="K43" s="59">
        <v>16.11</v>
      </c>
      <c r="L43" s="59">
        <v>22.38</v>
      </c>
      <c r="M43" s="59">
        <v>64</v>
      </c>
      <c r="N43" s="59">
        <v>106.2</v>
      </c>
      <c r="O43" s="59">
        <v>0</v>
      </c>
      <c r="P43" s="59">
        <v>1.48</v>
      </c>
      <c r="Q43" s="59">
        <v>45.11</v>
      </c>
      <c r="R43" s="197"/>
      <c r="S43" s="197"/>
      <c r="T43" s="197"/>
      <c r="U43" s="197"/>
    </row>
    <row r="44" spans="1:21" s="12" customFormat="1" x14ac:dyDescent="0.25">
      <c r="A44" s="200" t="s">
        <v>1338</v>
      </c>
      <c r="B44" s="59">
        <v>33.71</v>
      </c>
      <c r="C44" s="59">
        <v>83.57</v>
      </c>
      <c r="D44" s="59">
        <v>73.150000000000006</v>
      </c>
      <c r="E44" s="59">
        <v>6.2</v>
      </c>
      <c r="F44" s="59">
        <v>0.55000000000000004</v>
      </c>
      <c r="G44" s="59">
        <v>93.93</v>
      </c>
      <c r="H44" s="59">
        <v>34.68</v>
      </c>
      <c r="I44" s="59">
        <v>0.5</v>
      </c>
      <c r="J44" s="59">
        <v>0.48</v>
      </c>
      <c r="K44" s="59">
        <v>4.76</v>
      </c>
      <c r="L44" s="59">
        <v>23.32</v>
      </c>
      <c r="M44" s="59">
        <v>62</v>
      </c>
      <c r="N44" s="59">
        <v>119.5</v>
      </c>
      <c r="O44" s="59">
        <v>0</v>
      </c>
      <c r="P44" s="59">
        <v>1.52</v>
      </c>
      <c r="Q44" s="59">
        <v>45.2</v>
      </c>
      <c r="R44" s="197"/>
      <c r="S44" s="197"/>
      <c r="T44" s="197"/>
      <c r="U44" s="197"/>
    </row>
    <row r="45" spans="1:21" s="12" customFormat="1" x14ac:dyDescent="0.25">
      <c r="A45" s="200" t="s">
        <v>1339</v>
      </c>
      <c r="B45" s="59">
        <v>32.96</v>
      </c>
      <c r="C45" s="59">
        <v>83.8</v>
      </c>
      <c r="D45" s="59">
        <v>72.680000000000007</v>
      </c>
      <c r="E45" s="59">
        <v>6.33</v>
      </c>
      <c r="F45" s="59">
        <v>0.51</v>
      </c>
      <c r="G45" s="59">
        <v>93.93</v>
      </c>
      <c r="H45" s="59">
        <v>34.68</v>
      </c>
      <c r="I45" s="59">
        <v>0.51</v>
      </c>
      <c r="J45" s="59">
        <v>0.7</v>
      </c>
      <c r="K45" s="59">
        <v>354.66</v>
      </c>
      <c r="L45" s="59">
        <v>24.51</v>
      </c>
      <c r="M45" s="59">
        <v>58</v>
      </c>
      <c r="N45" s="59">
        <v>160.6</v>
      </c>
      <c r="O45" s="59">
        <v>0</v>
      </c>
      <c r="P45" s="59">
        <v>1.56</v>
      </c>
      <c r="Q45" s="59">
        <v>45.67</v>
      </c>
      <c r="R45" s="197"/>
      <c r="S45" s="197"/>
      <c r="T45" s="197"/>
      <c r="U45" s="197"/>
    </row>
    <row r="46" spans="1:21" s="12" customFormat="1" x14ac:dyDescent="0.25">
      <c r="A46" s="200" t="s">
        <v>1340</v>
      </c>
      <c r="B46" s="59">
        <v>32.24</v>
      </c>
      <c r="C46" s="59">
        <v>84.64</v>
      </c>
      <c r="D46" s="59">
        <v>72.569999999999993</v>
      </c>
      <c r="E46" s="59">
        <v>6.77</v>
      </c>
      <c r="F46" s="59">
        <v>0.79</v>
      </c>
      <c r="G46" s="59">
        <v>93.93</v>
      </c>
      <c r="H46" s="59">
        <v>34.68</v>
      </c>
      <c r="I46" s="59">
        <v>0.52</v>
      </c>
      <c r="J46" s="59">
        <v>0.3</v>
      </c>
      <c r="K46" s="59">
        <v>55.54</v>
      </c>
      <c r="L46" s="59">
        <v>25.4</v>
      </c>
      <c r="M46" s="59">
        <v>56</v>
      </c>
      <c r="N46" s="59">
        <v>215.9</v>
      </c>
      <c r="O46" s="59">
        <v>0</v>
      </c>
      <c r="P46" s="59">
        <v>1.59</v>
      </c>
      <c r="Q46" s="59">
        <v>46.13</v>
      </c>
      <c r="R46" s="197"/>
      <c r="S46" s="197"/>
      <c r="T46" s="197"/>
      <c r="U46" s="197"/>
    </row>
    <row r="47" spans="1:21" s="12" customFormat="1" x14ac:dyDescent="0.25">
      <c r="A47" s="200" t="s">
        <v>1341</v>
      </c>
      <c r="B47" s="59">
        <v>30.26</v>
      </c>
      <c r="C47" s="59">
        <v>84.69</v>
      </c>
      <c r="D47" s="59">
        <v>71</v>
      </c>
      <c r="E47" s="59">
        <v>6.73</v>
      </c>
      <c r="F47" s="59">
        <v>1.1399999999999999</v>
      </c>
      <c r="G47" s="59">
        <v>95.76</v>
      </c>
      <c r="H47" s="59">
        <v>35.020000000000003</v>
      </c>
      <c r="I47" s="59">
        <v>0.53</v>
      </c>
      <c r="J47" s="59">
        <v>0.43</v>
      </c>
      <c r="K47" s="59">
        <v>122.12</v>
      </c>
      <c r="L47" s="59">
        <v>24.99</v>
      </c>
      <c r="M47" s="59">
        <v>58</v>
      </c>
      <c r="N47" s="59">
        <v>222.4</v>
      </c>
      <c r="O47" s="59">
        <v>0</v>
      </c>
      <c r="P47" s="59">
        <v>1.6</v>
      </c>
      <c r="Q47" s="59">
        <v>46.6</v>
      </c>
      <c r="R47" s="197"/>
      <c r="S47" s="197"/>
      <c r="T47" s="197"/>
      <c r="U47" s="197"/>
    </row>
    <row r="48" spans="1:21" s="12" customFormat="1" x14ac:dyDescent="0.25">
      <c r="A48" s="200" t="s">
        <v>1342</v>
      </c>
      <c r="B48" s="59">
        <v>28.56</v>
      </c>
      <c r="C48" s="59">
        <v>85.28</v>
      </c>
      <c r="D48" s="59">
        <v>69.97</v>
      </c>
      <c r="E48" s="59">
        <v>7.4</v>
      </c>
      <c r="F48" s="59">
        <v>1.61</v>
      </c>
      <c r="G48" s="59">
        <v>97.59</v>
      </c>
      <c r="H48" s="59">
        <v>35.590000000000003</v>
      </c>
      <c r="I48" s="59">
        <v>0.55000000000000004</v>
      </c>
      <c r="J48" s="59">
        <v>0.41</v>
      </c>
      <c r="K48" s="59">
        <v>91.42</v>
      </c>
      <c r="L48" s="59">
        <v>25.52</v>
      </c>
      <c r="M48" s="59">
        <v>57</v>
      </c>
      <c r="N48" s="59">
        <v>204.2</v>
      </c>
      <c r="O48" s="59">
        <v>0</v>
      </c>
      <c r="P48" s="59">
        <v>1.61</v>
      </c>
      <c r="Q48" s="59">
        <v>47.11</v>
      </c>
      <c r="R48" s="197"/>
      <c r="S48" s="197"/>
      <c r="T48" s="197"/>
      <c r="U48" s="197"/>
    </row>
    <row r="49" spans="1:21" s="12" customFormat="1" x14ac:dyDescent="0.25">
      <c r="A49" s="200" t="s">
        <v>1343</v>
      </c>
      <c r="B49" s="59">
        <v>26.53</v>
      </c>
      <c r="C49" s="59">
        <v>84.83</v>
      </c>
      <c r="D49" s="59">
        <v>68.09</v>
      </c>
      <c r="E49" s="59">
        <v>6.41</v>
      </c>
      <c r="F49" s="59">
        <v>1.05</v>
      </c>
      <c r="G49" s="59">
        <v>97.59</v>
      </c>
      <c r="H49" s="59">
        <v>35.590000000000003</v>
      </c>
      <c r="I49" s="59">
        <v>0.55000000000000004</v>
      </c>
      <c r="J49" s="59">
        <v>0.54</v>
      </c>
      <c r="K49" s="59">
        <v>104.64</v>
      </c>
      <c r="L49" s="59">
        <v>25.37</v>
      </c>
      <c r="M49" s="59">
        <v>58</v>
      </c>
      <c r="N49" s="59">
        <v>210</v>
      </c>
      <c r="O49" s="59">
        <v>0</v>
      </c>
      <c r="P49" s="59">
        <v>1.6</v>
      </c>
      <c r="Q49" s="59">
        <v>48.54</v>
      </c>
      <c r="R49" s="197"/>
      <c r="S49" s="197"/>
      <c r="T49" s="197"/>
      <c r="U49" s="197"/>
    </row>
    <row r="50" spans="1:21" s="12" customFormat="1" x14ac:dyDescent="0.25">
      <c r="A50" s="200" t="s">
        <v>1344</v>
      </c>
      <c r="B50" s="59">
        <v>23.35</v>
      </c>
      <c r="C50" s="59">
        <v>85.56</v>
      </c>
      <c r="D50" s="59">
        <v>65.95</v>
      </c>
      <c r="E50" s="59">
        <v>6.04</v>
      </c>
      <c r="F50" s="59">
        <v>0.72</v>
      </c>
      <c r="G50" s="59">
        <v>97.59</v>
      </c>
      <c r="H50" s="59">
        <v>35.590000000000003</v>
      </c>
      <c r="I50" s="59">
        <v>0.56000000000000005</v>
      </c>
      <c r="J50" s="59">
        <v>0.26</v>
      </c>
      <c r="K50" s="59">
        <v>56.81</v>
      </c>
      <c r="L50" s="59">
        <v>26.04</v>
      </c>
      <c r="M50" s="59">
        <v>57</v>
      </c>
      <c r="N50" s="59">
        <v>192.6</v>
      </c>
      <c r="O50" s="59">
        <v>0</v>
      </c>
      <c r="P50" s="59">
        <v>1.58</v>
      </c>
      <c r="Q50" s="59">
        <v>48.37</v>
      </c>
      <c r="R50" s="197"/>
      <c r="S50" s="197"/>
      <c r="T50" s="197"/>
      <c r="U50" s="197"/>
    </row>
    <row r="51" spans="1:21" s="12" customFormat="1" x14ac:dyDescent="0.25">
      <c r="A51" s="200" t="s">
        <v>1345</v>
      </c>
      <c r="B51" s="59">
        <v>20.02</v>
      </c>
      <c r="C51" s="59">
        <v>87.93</v>
      </c>
      <c r="D51" s="59">
        <v>64.58</v>
      </c>
      <c r="E51" s="59">
        <v>5.99</v>
      </c>
      <c r="F51" s="59">
        <v>0.71</v>
      </c>
      <c r="G51" s="59">
        <v>93.4</v>
      </c>
      <c r="H51" s="59">
        <v>34.630000000000003</v>
      </c>
      <c r="I51" s="59">
        <v>0.56000000000000005</v>
      </c>
      <c r="J51" s="59">
        <v>0.23</v>
      </c>
      <c r="K51" s="59">
        <v>81.87</v>
      </c>
      <c r="L51" s="59">
        <v>27.16</v>
      </c>
      <c r="M51" s="59">
        <v>54</v>
      </c>
      <c r="N51" s="59">
        <v>197.3</v>
      </c>
      <c r="O51" s="59">
        <v>0</v>
      </c>
      <c r="P51" s="59">
        <v>1.62</v>
      </c>
      <c r="Q51" s="59">
        <v>47.57</v>
      </c>
      <c r="R51" s="197"/>
      <c r="S51" s="197"/>
      <c r="T51" s="197"/>
      <c r="U51" s="197"/>
    </row>
    <row r="52" spans="1:21" s="12" customFormat="1" x14ac:dyDescent="0.25">
      <c r="A52" s="200" t="s">
        <v>1346</v>
      </c>
      <c r="B52" s="59">
        <v>14.44</v>
      </c>
      <c r="C52" s="59">
        <v>86.64</v>
      </c>
      <c r="D52" s="59">
        <v>59.39</v>
      </c>
      <c r="E52" s="59">
        <v>11.65</v>
      </c>
      <c r="F52" s="59">
        <v>313.2</v>
      </c>
      <c r="G52" s="59">
        <v>89.07</v>
      </c>
      <c r="H52" s="59">
        <v>33.049999999999997</v>
      </c>
      <c r="I52" s="59">
        <v>0.55000000000000004</v>
      </c>
      <c r="J52" s="59">
        <v>0.38</v>
      </c>
      <c r="K52" s="59">
        <v>24.1</v>
      </c>
      <c r="L52" s="59">
        <v>26.8</v>
      </c>
      <c r="M52" s="59">
        <v>55</v>
      </c>
      <c r="N52" s="59">
        <v>222.6</v>
      </c>
      <c r="O52" s="59">
        <v>0</v>
      </c>
      <c r="P52" s="59">
        <v>1.53</v>
      </c>
      <c r="Q52" s="59">
        <v>45.79</v>
      </c>
      <c r="R52" s="197"/>
      <c r="S52" s="197"/>
      <c r="T52" s="197"/>
      <c r="U52" s="197"/>
    </row>
    <row r="53" spans="1:21" s="12" customFormat="1" x14ac:dyDescent="0.25">
      <c r="A53" s="200" t="s">
        <v>1347</v>
      </c>
      <c r="B53" s="59">
        <v>9.5500000000000007</v>
      </c>
      <c r="C53" s="59">
        <v>85.13</v>
      </c>
      <c r="D53" s="59">
        <v>54.64</v>
      </c>
      <c r="E53" s="59">
        <v>34.5</v>
      </c>
      <c r="F53" s="59">
        <v>309.31</v>
      </c>
      <c r="G53" s="59">
        <v>89.07</v>
      </c>
      <c r="H53" s="59">
        <v>33.049999999999997</v>
      </c>
      <c r="I53" s="59">
        <v>0.53</v>
      </c>
      <c r="J53" s="59">
        <v>0.55000000000000004</v>
      </c>
      <c r="K53" s="59">
        <v>349.53</v>
      </c>
      <c r="L53" s="59">
        <v>28.95</v>
      </c>
      <c r="M53" s="59">
        <v>50</v>
      </c>
      <c r="N53" s="59">
        <v>270.3</v>
      </c>
      <c r="O53" s="59">
        <v>0</v>
      </c>
      <c r="P53" s="59">
        <v>1.62</v>
      </c>
      <c r="Q53" s="59">
        <v>42.65</v>
      </c>
      <c r="R53" s="197"/>
      <c r="S53" s="197"/>
      <c r="T53" s="197"/>
      <c r="U53" s="197"/>
    </row>
    <row r="54" spans="1:21" s="12" customFormat="1" x14ac:dyDescent="0.25">
      <c r="A54" s="200" t="s">
        <v>1348</v>
      </c>
      <c r="B54" s="59">
        <v>7.08</v>
      </c>
      <c r="C54" s="59">
        <v>84.04</v>
      </c>
      <c r="D54" s="59">
        <v>52.06</v>
      </c>
      <c r="E54" s="59">
        <v>67.819999999999993</v>
      </c>
      <c r="F54" s="59">
        <v>306.66000000000003</v>
      </c>
      <c r="G54" s="59">
        <v>89.07</v>
      </c>
      <c r="H54" s="59">
        <v>33.049999999999997</v>
      </c>
      <c r="I54" s="59">
        <v>0.48</v>
      </c>
      <c r="J54" s="59">
        <v>0.79</v>
      </c>
      <c r="K54" s="59">
        <v>354.76</v>
      </c>
      <c r="L54" s="59">
        <v>30.97</v>
      </c>
      <c r="M54" s="59">
        <v>45</v>
      </c>
      <c r="N54" s="59">
        <v>341.2</v>
      </c>
      <c r="O54" s="59">
        <v>0</v>
      </c>
      <c r="P54" s="59">
        <v>1.67</v>
      </c>
      <c r="Q54" s="59">
        <v>41.56</v>
      </c>
      <c r="R54" s="197"/>
      <c r="S54" s="197"/>
      <c r="T54" s="197"/>
      <c r="U54" s="197"/>
    </row>
    <row r="55" spans="1:21" s="12" customFormat="1" x14ac:dyDescent="0.25">
      <c r="A55" s="200" t="s">
        <v>1349</v>
      </c>
      <c r="B55" s="59">
        <v>5.6</v>
      </c>
      <c r="C55" s="59">
        <v>84.94</v>
      </c>
      <c r="D55" s="59">
        <v>51.37</v>
      </c>
      <c r="E55" s="59">
        <v>92.03</v>
      </c>
      <c r="F55" s="59">
        <v>305.12</v>
      </c>
      <c r="G55" s="59">
        <v>89.11</v>
      </c>
      <c r="H55" s="59">
        <v>33.83</v>
      </c>
      <c r="I55" s="59">
        <v>0.45</v>
      </c>
      <c r="J55" s="59">
        <v>0.28999999999999998</v>
      </c>
      <c r="K55" s="59">
        <v>45.13</v>
      </c>
      <c r="L55" s="59">
        <v>29.73</v>
      </c>
      <c r="M55" s="59">
        <v>49</v>
      </c>
      <c r="N55" s="59">
        <v>255.9</v>
      </c>
      <c r="O55" s="59">
        <v>0</v>
      </c>
      <c r="P55" s="59">
        <v>1.69</v>
      </c>
      <c r="Q55" s="59">
        <v>41.41</v>
      </c>
      <c r="R55" s="197"/>
      <c r="S55" s="197"/>
      <c r="T55" s="197"/>
      <c r="U55" s="197"/>
    </row>
    <row r="56" spans="1:21" s="12" customFormat="1" x14ac:dyDescent="0.25">
      <c r="A56" s="200" t="s">
        <v>1350</v>
      </c>
      <c r="B56" s="59">
        <v>4.09</v>
      </c>
      <c r="C56" s="59">
        <v>72.989999999999995</v>
      </c>
      <c r="D56" s="59">
        <v>43.56</v>
      </c>
      <c r="E56" s="59">
        <v>4.83</v>
      </c>
      <c r="F56" s="59">
        <v>42.92</v>
      </c>
      <c r="G56" s="59">
        <v>89.15</v>
      </c>
      <c r="H56" s="59">
        <v>35.119999999999997</v>
      </c>
      <c r="I56" s="59">
        <v>0.44</v>
      </c>
      <c r="J56" s="59">
        <v>0.45</v>
      </c>
      <c r="K56" s="59">
        <v>132.83000000000001</v>
      </c>
      <c r="L56" s="59">
        <v>28.66</v>
      </c>
      <c r="M56" s="59">
        <v>52</v>
      </c>
      <c r="N56" s="59">
        <v>332.9</v>
      </c>
      <c r="O56" s="59">
        <v>0</v>
      </c>
      <c r="P56" s="59">
        <v>1.66</v>
      </c>
      <c r="Q56" s="59">
        <v>38.57</v>
      </c>
      <c r="R56" s="197"/>
      <c r="S56" s="197"/>
      <c r="T56" s="197"/>
      <c r="U56" s="197"/>
    </row>
    <row r="57" spans="1:21" s="12" customFormat="1" x14ac:dyDescent="0.25">
      <c r="A57" s="200" t="s">
        <v>1351</v>
      </c>
      <c r="B57" s="59">
        <v>5.64</v>
      </c>
      <c r="C57" s="59">
        <v>69.06</v>
      </c>
      <c r="D57" s="59">
        <v>42.64</v>
      </c>
      <c r="E57" s="59">
        <v>9.75</v>
      </c>
      <c r="F57" s="59">
        <v>12.28</v>
      </c>
      <c r="G57" s="59">
        <v>89.15</v>
      </c>
      <c r="H57" s="59">
        <v>35.119999999999997</v>
      </c>
      <c r="I57" s="59">
        <v>0.43</v>
      </c>
      <c r="J57" s="59">
        <v>0.92</v>
      </c>
      <c r="K57" s="59">
        <v>352.81</v>
      </c>
      <c r="L57" s="59">
        <v>31.71</v>
      </c>
      <c r="M57" s="59">
        <v>45</v>
      </c>
      <c r="N57" s="59">
        <v>492.2</v>
      </c>
      <c r="O57" s="59">
        <v>0</v>
      </c>
      <c r="P57" s="59">
        <v>1.62</v>
      </c>
      <c r="Q57" s="59">
        <v>37.46</v>
      </c>
      <c r="R57" s="197"/>
      <c r="S57" s="197"/>
      <c r="T57" s="197"/>
      <c r="U57" s="197"/>
    </row>
    <row r="58" spans="1:21" s="12" customFormat="1" x14ac:dyDescent="0.25">
      <c r="A58" s="200" t="s">
        <v>1352</v>
      </c>
      <c r="B58" s="59">
        <v>3.66</v>
      </c>
      <c r="C58" s="59">
        <v>73.16</v>
      </c>
      <c r="D58" s="59">
        <v>43.31</v>
      </c>
      <c r="E58" s="59">
        <v>10.9</v>
      </c>
      <c r="F58" s="59">
        <v>12.8</v>
      </c>
      <c r="G58" s="59">
        <v>89.15</v>
      </c>
      <c r="H58" s="59">
        <v>35.119999999999997</v>
      </c>
      <c r="I58" s="59">
        <v>0.41</v>
      </c>
      <c r="J58" s="59">
        <v>1.1399999999999999</v>
      </c>
      <c r="K58" s="59">
        <v>350.99</v>
      </c>
      <c r="L58" s="59">
        <v>34.04</v>
      </c>
      <c r="M58" s="59">
        <v>40</v>
      </c>
      <c r="N58" s="59">
        <v>398.9</v>
      </c>
      <c r="O58" s="59">
        <v>0</v>
      </c>
      <c r="P58" s="59">
        <v>1.62</v>
      </c>
      <c r="Q58" s="59">
        <v>35.69</v>
      </c>
      <c r="R58" s="197"/>
      <c r="S58" s="197"/>
      <c r="T58" s="197"/>
      <c r="U58" s="197"/>
    </row>
    <row r="59" spans="1:21" s="12" customFormat="1" x14ac:dyDescent="0.25">
      <c r="A59" s="200" t="s">
        <v>1353</v>
      </c>
      <c r="B59" s="59">
        <v>4.01</v>
      </c>
      <c r="C59" s="59">
        <v>72.08</v>
      </c>
      <c r="D59" s="59">
        <v>42.99</v>
      </c>
      <c r="E59" s="59">
        <v>9.2200000000000006</v>
      </c>
      <c r="F59" s="59">
        <v>12.2</v>
      </c>
      <c r="G59" s="59">
        <v>86.62</v>
      </c>
      <c r="H59" s="59">
        <v>33.68</v>
      </c>
      <c r="I59" s="59">
        <v>0.41</v>
      </c>
      <c r="J59" s="59">
        <v>0.56000000000000005</v>
      </c>
      <c r="K59" s="59">
        <v>349.66</v>
      </c>
      <c r="L59" s="59">
        <v>33.26</v>
      </c>
      <c r="M59" s="59">
        <v>41</v>
      </c>
      <c r="N59" s="59">
        <v>304.39999999999998</v>
      </c>
      <c r="O59" s="59">
        <v>0</v>
      </c>
      <c r="P59" s="59">
        <v>1.59</v>
      </c>
      <c r="Q59" s="59">
        <v>35.159999999999997</v>
      </c>
      <c r="R59" s="197"/>
      <c r="S59" s="197"/>
      <c r="T59" s="197"/>
      <c r="U59" s="197"/>
    </row>
    <row r="60" spans="1:21" s="12" customFormat="1" x14ac:dyDescent="0.25">
      <c r="A60" s="200" t="s">
        <v>1354</v>
      </c>
      <c r="B60" s="59">
        <v>3.09</v>
      </c>
      <c r="C60" s="59">
        <v>75.31</v>
      </c>
      <c r="D60" s="59">
        <v>44.04</v>
      </c>
      <c r="E60" s="59">
        <v>7.2</v>
      </c>
      <c r="F60" s="59">
        <v>7.67</v>
      </c>
      <c r="G60" s="59">
        <v>78.239999999999995</v>
      </c>
      <c r="H60" s="59">
        <v>31.32</v>
      </c>
      <c r="I60" s="59">
        <v>0.4</v>
      </c>
      <c r="J60" s="59">
        <v>0.57999999999999996</v>
      </c>
      <c r="K60" s="59">
        <v>3.27</v>
      </c>
      <c r="L60" s="59">
        <v>31.88</v>
      </c>
      <c r="M60" s="59">
        <v>45</v>
      </c>
      <c r="N60" s="59">
        <v>359.1</v>
      </c>
      <c r="O60" s="59">
        <v>0</v>
      </c>
      <c r="P60" s="59">
        <v>1.56</v>
      </c>
      <c r="Q60" s="59">
        <v>35.6</v>
      </c>
      <c r="R60" s="197"/>
      <c r="S60" s="197"/>
      <c r="T60" s="197"/>
      <c r="U60" s="197"/>
    </row>
    <row r="61" spans="1:21" s="12" customFormat="1" x14ac:dyDescent="0.25">
      <c r="A61" s="200" t="s">
        <v>1355</v>
      </c>
      <c r="B61" s="59">
        <v>2.93</v>
      </c>
      <c r="C61" s="59">
        <v>73.72</v>
      </c>
      <c r="D61" s="59">
        <v>43.04</v>
      </c>
      <c r="E61" s="59">
        <v>6.05</v>
      </c>
      <c r="F61" s="59">
        <v>4.93</v>
      </c>
      <c r="G61" s="59">
        <v>78.239999999999995</v>
      </c>
      <c r="H61" s="59">
        <v>31.32</v>
      </c>
      <c r="I61" s="59">
        <v>0.41</v>
      </c>
      <c r="J61" s="59">
        <v>1.38</v>
      </c>
      <c r="K61" s="59">
        <v>352.97</v>
      </c>
      <c r="L61" s="59">
        <v>33.49</v>
      </c>
      <c r="M61" s="59">
        <v>42</v>
      </c>
      <c r="N61" s="59">
        <v>377.1</v>
      </c>
      <c r="O61" s="59">
        <v>0</v>
      </c>
      <c r="P61" s="59">
        <v>1.52</v>
      </c>
      <c r="Q61" s="59">
        <v>35.950000000000003</v>
      </c>
      <c r="R61" s="197"/>
      <c r="S61" s="197"/>
      <c r="T61" s="197"/>
      <c r="U61" s="197"/>
    </row>
    <row r="62" spans="1:21" s="12" customFormat="1" x14ac:dyDescent="0.25">
      <c r="A62" s="200" t="s">
        <v>1356</v>
      </c>
      <c r="B62" s="59">
        <v>3.77</v>
      </c>
      <c r="C62" s="59">
        <v>65.680000000000007</v>
      </c>
      <c r="D62" s="59">
        <v>39.270000000000003</v>
      </c>
      <c r="E62" s="59">
        <v>5.37</v>
      </c>
      <c r="F62" s="59">
        <v>7.79</v>
      </c>
      <c r="G62" s="59">
        <v>78.239999999999995</v>
      </c>
      <c r="H62" s="59">
        <v>31.32</v>
      </c>
      <c r="I62" s="59">
        <v>0.43</v>
      </c>
      <c r="J62" s="59">
        <v>0.87</v>
      </c>
      <c r="K62" s="59">
        <v>345.37</v>
      </c>
      <c r="L62" s="59">
        <v>33.78</v>
      </c>
      <c r="M62" s="59">
        <v>41</v>
      </c>
      <c r="N62" s="59">
        <v>368.2</v>
      </c>
      <c r="O62" s="59">
        <v>0</v>
      </c>
      <c r="P62" s="59">
        <v>1.5</v>
      </c>
      <c r="Q62" s="59">
        <v>34.9</v>
      </c>
      <c r="R62" s="197"/>
      <c r="S62" s="197"/>
      <c r="T62" s="197"/>
      <c r="U62" s="197"/>
    </row>
    <row r="63" spans="1:21" s="12" customFormat="1" x14ac:dyDescent="0.25">
      <c r="A63" s="200" t="s">
        <v>1357</v>
      </c>
      <c r="B63" s="59">
        <v>3.46</v>
      </c>
      <c r="C63" s="59">
        <v>76.42</v>
      </c>
      <c r="D63" s="59">
        <v>44.95</v>
      </c>
      <c r="E63" s="59">
        <v>5.61</v>
      </c>
      <c r="F63" s="59">
        <v>3.71</v>
      </c>
      <c r="G63" s="59">
        <v>71.09</v>
      </c>
      <c r="H63" s="59">
        <v>31.81</v>
      </c>
      <c r="I63" s="59">
        <v>0.42</v>
      </c>
      <c r="J63" s="59">
        <v>0.46</v>
      </c>
      <c r="K63" s="59">
        <v>332.49</v>
      </c>
      <c r="L63" s="59">
        <v>33.93</v>
      </c>
      <c r="M63" s="59">
        <v>41</v>
      </c>
      <c r="N63" s="59">
        <v>358.9</v>
      </c>
      <c r="O63" s="59">
        <v>0</v>
      </c>
      <c r="P63" s="59">
        <v>1.47</v>
      </c>
      <c r="Q63" s="59">
        <v>34.53</v>
      </c>
      <c r="R63" s="197"/>
      <c r="S63" s="197"/>
      <c r="T63" s="197"/>
      <c r="U63" s="197"/>
    </row>
    <row r="64" spans="1:21" s="12" customFormat="1" x14ac:dyDescent="0.25">
      <c r="A64" s="200" t="s">
        <v>1358</v>
      </c>
      <c r="B64" s="59">
        <v>5.41</v>
      </c>
      <c r="C64" s="59">
        <v>56.55</v>
      </c>
      <c r="D64" s="59">
        <v>35.549999999999997</v>
      </c>
      <c r="E64" s="59">
        <v>6.2</v>
      </c>
      <c r="F64" s="59">
        <v>8.48</v>
      </c>
      <c r="G64" s="59">
        <v>64.150000000000006</v>
      </c>
      <c r="H64" s="59">
        <v>32.619999999999997</v>
      </c>
      <c r="I64" s="59">
        <v>0.41</v>
      </c>
      <c r="J64" s="59">
        <v>0.94</v>
      </c>
      <c r="K64" s="59">
        <v>355.48</v>
      </c>
      <c r="L64" s="59">
        <v>33.89</v>
      </c>
      <c r="M64" s="59">
        <v>40</v>
      </c>
      <c r="N64" s="59">
        <v>337.2</v>
      </c>
      <c r="O64" s="59">
        <v>0</v>
      </c>
      <c r="P64" s="59">
        <v>1.35</v>
      </c>
      <c r="Q64" s="59">
        <v>38.299999999999997</v>
      </c>
      <c r="R64" s="197"/>
      <c r="S64" s="197"/>
      <c r="T64" s="197"/>
      <c r="U64" s="197"/>
    </row>
    <row r="65" spans="1:21" s="12" customFormat="1" x14ac:dyDescent="0.25">
      <c r="A65" s="200" t="s">
        <v>1359</v>
      </c>
      <c r="B65" s="59">
        <v>4.12</v>
      </c>
      <c r="C65" s="59">
        <v>53.46</v>
      </c>
      <c r="D65" s="59">
        <v>32.81</v>
      </c>
      <c r="E65" s="59">
        <v>7.11</v>
      </c>
      <c r="F65" s="59">
        <v>5.47</v>
      </c>
      <c r="G65" s="59">
        <v>64.150000000000006</v>
      </c>
      <c r="H65" s="59">
        <v>32.619999999999997</v>
      </c>
      <c r="I65" s="59">
        <v>0.39</v>
      </c>
      <c r="J65" s="59">
        <v>0.32</v>
      </c>
      <c r="K65" s="59">
        <v>338.86</v>
      </c>
      <c r="L65" s="59">
        <v>33.200000000000003</v>
      </c>
      <c r="M65" s="59">
        <v>41</v>
      </c>
      <c r="N65" s="59">
        <v>284.2</v>
      </c>
      <c r="O65" s="59">
        <v>0</v>
      </c>
      <c r="P65" s="59">
        <v>1.35</v>
      </c>
      <c r="Q65" s="59">
        <v>35.44</v>
      </c>
      <c r="R65" s="197"/>
      <c r="S65" s="197"/>
      <c r="T65" s="197"/>
      <c r="U65" s="197"/>
    </row>
    <row r="66" spans="1:21" s="12" customFormat="1" x14ac:dyDescent="0.25">
      <c r="A66" s="200" t="s">
        <v>1360</v>
      </c>
      <c r="B66" s="59">
        <v>4.01</v>
      </c>
      <c r="C66" s="59">
        <v>72.19</v>
      </c>
      <c r="D66" s="59">
        <v>43.06</v>
      </c>
      <c r="E66" s="59">
        <v>13.72</v>
      </c>
      <c r="F66" s="59">
        <v>12.11</v>
      </c>
      <c r="G66" s="59">
        <v>64.150000000000006</v>
      </c>
      <c r="H66" s="59">
        <v>32.619999999999997</v>
      </c>
      <c r="I66" s="59">
        <v>0.28000000000000003</v>
      </c>
      <c r="J66" s="59">
        <v>1.33</v>
      </c>
      <c r="K66" s="59">
        <v>357.2</v>
      </c>
      <c r="L66" s="59">
        <v>32.93</v>
      </c>
      <c r="M66" s="59">
        <v>41</v>
      </c>
      <c r="N66" s="59">
        <v>193.7</v>
      </c>
      <c r="O66" s="59">
        <v>0</v>
      </c>
      <c r="P66" s="59">
        <v>1.39</v>
      </c>
      <c r="Q66" s="59">
        <v>35.85</v>
      </c>
      <c r="R66" s="197"/>
      <c r="S66" s="197"/>
      <c r="T66" s="197"/>
      <c r="U66" s="197"/>
    </row>
    <row r="67" spans="1:21" s="12" customFormat="1" x14ac:dyDescent="0.25">
      <c r="A67" s="200" t="s">
        <v>1361</v>
      </c>
      <c r="B67" s="59">
        <v>3.85</v>
      </c>
      <c r="C67" s="59">
        <v>65.430000000000007</v>
      </c>
      <c r="D67" s="59">
        <v>39.200000000000003</v>
      </c>
      <c r="E67" s="59">
        <v>10.220000000000001</v>
      </c>
      <c r="F67" s="59">
        <v>6.77</v>
      </c>
      <c r="G67" s="59">
        <v>70.27</v>
      </c>
      <c r="H67" s="59">
        <v>31.69</v>
      </c>
      <c r="I67" s="59">
        <v>0</v>
      </c>
      <c r="J67" s="59">
        <v>1.03</v>
      </c>
      <c r="K67" s="59">
        <v>358.73</v>
      </c>
      <c r="L67" s="59">
        <v>32.6</v>
      </c>
      <c r="M67" s="59">
        <v>42</v>
      </c>
      <c r="N67" s="59">
        <v>208.8</v>
      </c>
      <c r="O67" s="59">
        <v>0</v>
      </c>
      <c r="P67" s="59">
        <v>1.44</v>
      </c>
      <c r="Q67" s="59">
        <v>34.72</v>
      </c>
      <c r="R67" s="197"/>
      <c r="S67" s="197"/>
      <c r="T67" s="197"/>
      <c r="U67" s="197"/>
    </row>
    <row r="68" spans="1:21" s="12" customFormat="1" x14ac:dyDescent="0.25">
      <c r="A68" s="200" t="s">
        <v>1362</v>
      </c>
      <c r="B68" s="59">
        <v>3.4</v>
      </c>
      <c r="C68" s="59">
        <v>77.849999999999994</v>
      </c>
      <c r="D68" s="59">
        <v>45.69</v>
      </c>
      <c r="E68" s="59">
        <v>6.76</v>
      </c>
      <c r="F68" s="59">
        <v>2.88</v>
      </c>
      <c r="G68" s="59">
        <v>76.2</v>
      </c>
      <c r="H68" s="59">
        <v>30.17</v>
      </c>
      <c r="I68" s="59">
        <v>0.15</v>
      </c>
      <c r="J68" s="59">
        <v>1</v>
      </c>
      <c r="K68" s="59">
        <v>348.84</v>
      </c>
      <c r="L68" s="59">
        <v>32.229999999999997</v>
      </c>
      <c r="M68" s="59">
        <v>42</v>
      </c>
      <c r="N68" s="59">
        <v>160.6</v>
      </c>
      <c r="O68" s="59">
        <v>0</v>
      </c>
      <c r="P68" s="59">
        <v>1.47</v>
      </c>
      <c r="Q68" s="59">
        <v>35.35</v>
      </c>
      <c r="R68" s="197"/>
      <c r="S68" s="197"/>
      <c r="T68" s="197"/>
      <c r="U68" s="197"/>
    </row>
    <row r="69" spans="1:21" s="12" customFormat="1" x14ac:dyDescent="0.25">
      <c r="A69" s="200" t="s">
        <v>1363</v>
      </c>
      <c r="B69" s="59">
        <v>4.21</v>
      </c>
      <c r="C69" s="59">
        <v>71.37</v>
      </c>
      <c r="D69" s="59">
        <v>42.76</v>
      </c>
      <c r="E69" s="59">
        <v>7.76</v>
      </c>
      <c r="F69" s="59">
        <v>4.51</v>
      </c>
      <c r="G69" s="59">
        <v>76.2</v>
      </c>
      <c r="H69" s="59">
        <v>30.17</v>
      </c>
      <c r="I69" s="59">
        <v>0.3</v>
      </c>
      <c r="J69" s="59">
        <v>0.63</v>
      </c>
      <c r="K69" s="59">
        <v>9.41</v>
      </c>
      <c r="L69" s="59">
        <v>30.8</v>
      </c>
      <c r="M69" s="59">
        <v>45</v>
      </c>
      <c r="N69" s="59">
        <v>106.7</v>
      </c>
      <c r="O69" s="59">
        <v>0</v>
      </c>
      <c r="P69" s="59">
        <v>1.5</v>
      </c>
      <c r="Q69" s="59">
        <v>34.69</v>
      </c>
      <c r="R69" s="197"/>
      <c r="S69" s="197"/>
      <c r="T69" s="197"/>
      <c r="U69" s="197"/>
    </row>
    <row r="70" spans="1:21" s="12" customFormat="1" x14ac:dyDescent="0.25">
      <c r="A70" s="200" t="s">
        <v>1364</v>
      </c>
      <c r="B70" s="59">
        <v>6.4</v>
      </c>
      <c r="C70" s="59">
        <v>79.41</v>
      </c>
      <c r="D70" s="59">
        <v>48.96</v>
      </c>
      <c r="E70" s="59">
        <v>14.42</v>
      </c>
      <c r="F70" s="59">
        <v>11.17</v>
      </c>
      <c r="G70" s="59">
        <v>76.2</v>
      </c>
      <c r="H70" s="59">
        <v>30.17</v>
      </c>
      <c r="I70" s="59">
        <v>0.31</v>
      </c>
      <c r="J70" s="59">
        <v>0.89</v>
      </c>
      <c r="K70" s="59">
        <v>1.26</v>
      </c>
      <c r="L70" s="59">
        <v>30.51</v>
      </c>
      <c r="M70" s="59">
        <v>46</v>
      </c>
      <c r="N70" s="59">
        <v>117.5</v>
      </c>
      <c r="O70" s="59">
        <v>0</v>
      </c>
      <c r="P70" s="59">
        <v>1.54</v>
      </c>
      <c r="Q70" s="59">
        <v>35.86</v>
      </c>
      <c r="R70" s="197"/>
      <c r="S70" s="197"/>
      <c r="T70" s="197"/>
      <c r="U70" s="197"/>
    </row>
    <row r="71" spans="1:21" s="12" customFormat="1" x14ac:dyDescent="0.25">
      <c r="A71" s="200" t="s">
        <v>1365</v>
      </c>
      <c r="B71" s="59">
        <v>6.41</v>
      </c>
      <c r="C71" s="59">
        <v>78.61</v>
      </c>
      <c r="D71" s="59">
        <v>48.53</v>
      </c>
      <c r="E71" s="59">
        <v>21.59</v>
      </c>
      <c r="F71" s="59">
        <v>8.61</v>
      </c>
      <c r="G71" s="59">
        <v>78.040000000000006</v>
      </c>
      <c r="H71" s="59">
        <v>30.69</v>
      </c>
      <c r="I71" s="59">
        <v>0.31</v>
      </c>
      <c r="J71" s="59">
        <v>0.72</v>
      </c>
      <c r="K71" s="59">
        <v>3.84</v>
      </c>
      <c r="L71" s="59">
        <v>30.5</v>
      </c>
      <c r="M71" s="59">
        <v>45</v>
      </c>
      <c r="N71" s="59">
        <v>142</v>
      </c>
      <c r="O71" s="59">
        <v>0</v>
      </c>
      <c r="P71" s="59">
        <v>1.6</v>
      </c>
      <c r="Q71" s="59">
        <v>35.15</v>
      </c>
      <c r="R71" s="197"/>
      <c r="S71" s="197"/>
      <c r="T71" s="197"/>
      <c r="U71" s="197"/>
    </row>
    <row r="72" spans="1:21" s="12" customFormat="1" x14ac:dyDescent="0.25">
      <c r="A72" s="200" t="s">
        <v>1366</v>
      </c>
      <c r="B72" s="59">
        <v>6.75</v>
      </c>
      <c r="C72" s="59">
        <v>76.930000000000007</v>
      </c>
      <c r="D72" s="59">
        <v>47.87</v>
      </c>
      <c r="E72" s="59">
        <v>10.64</v>
      </c>
      <c r="F72" s="59">
        <v>7.27</v>
      </c>
      <c r="G72" s="59">
        <v>79.78</v>
      </c>
      <c r="H72" s="59">
        <v>31.51</v>
      </c>
      <c r="I72" s="59">
        <v>0.31</v>
      </c>
      <c r="J72" s="59">
        <v>0.48</v>
      </c>
      <c r="K72" s="59">
        <v>33.15</v>
      </c>
      <c r="L72" s="59">
        <v>29.77</v>
      </c>
      <c r="M72" s="59">
        <v>47</v>
      </c>
      <c r="N72" s="59">
        <v>80.3</v>
      </c>
      <c r="O72" s="59">
        <v>0</v>
      </c>
      <c r="P72" s="59">
        <v>1.6</v>
      </c>
      <c r="Q72" s="59">
        <v>36.22</v>
      </c>
      <c r="R72" s="197"/>
      <c r="S72" s="197"/>
      <c r="T72" s="197"/>
      <c r="U72" s="197"/>
    </row>
    <row r="73" spans="1:21" s="12" customFormat="1" x14ac:dyDescent="0.25">
      <c r="A73" s="200" t="s">
        <v>1367</v>
      </c>
      <c r="B73" s="59">
        <v>6.32</v>
      </c>
      <c r="C73" s="59">
        <v>74.39</v>
      </c>
      <c r="D73" s="59">
        <v>46.12</v>
      </c>
      <c r="E73" s="59">
        <v>16.690000000000001</v>
      </c>
      <c r="F73" s="59">
        <v>7.4</v>
      </c>
      <c r="G73" s="59">
        <v>79.78</v>
      </c>
      <c r="H73" s="59">
        <v>31.51</v>
      </c>
      <c r="I73" s="59">
        <v>0.31</v>
      </c>
      <c r="J73" s="59">
        <v>0.35</v>
      </c>
      <c r="K73" s="59">
        <v>32</v>
      </c>
      <c r="L73" s="59">
        <v>29.15</v>
      </c>
      <c r="M73" s="59">
        <v>48</v>
      </c>
      <c r="N73" s="59">
        <v>65.900000000000006</v>
      </c>
      <c r="O73" s="59">
        <v>0</v>
      </c>
      <c r="P73" s="59">
        <v>1.61</v>
      </c>
      <c r="Q73" s="59">
        <v>37.53</v>
      </c>
      <c r="R73" s="197"/>
      <c r="S73" s="197"/>
      <c r="T73" s="197"/>
      <c r="U73" s="197"/>
    </row>
    <row r="74" spans="1:21" s="12" customFormat="1" x14ac:dyDescent="0.25">
      <c r="A74" s="200" t="s">
        <v>1368</v>
      </c>
      <c r="B74" s="59">
        <v>9.86</v>
      </c>
      <c r="C74" s="59">
        <v>83.64</v>
      </c>
      <c r="D74" s="59">
        <v>54.06</v>
      </c>
      <c r="E74" s="59">
        <v>24.26</v>
      </c>
      <c r="F74" s="59">
        <v>7.48</v>
      </c>
      <c r="G74" s="59">
        <v>79.78</v>
      </c>
      <c r="H74" s="59">
        <v>31.51</v>
      </c>
      <c r="I74" s="59">
        <v>0.32</v>
      </c>
      <c r="J74" s="59">
        <v>0.4</v>
      </c>
      <c r="K74" s="59">
        <v>11.24</v>
      </c>
      <c r="L74" s="59">
        <v>29.06</v>
      </c>
      <c r="M74" s="59">
        <v>48</v>
      </c>
      <c r="N74" s="59">
        <v>53.2</v>
      </c>
      <c r="O74" s="59">
        <v>0</v>
      </c>
      <c r="P74" s="59">
        <v>1.73</v>
      </c>
      <c r="Q74" s="59">
        <v>37.840000000000003</v>
      </c>
      <c r="R74" s="197"/>
      <c r="S74" s="197"/>
      <c r="T74" s="197"/>
      <c r="U74" s="197"/>
    </row>
    <row r="75" spans="1:21" s="12" customFormat="1" x14ac:dyDescent="0.25">
      <c r="A75" s="200" t="s">
        <v>1369</v>
      </c>
      <c r="B75" s="59">
        <v>15.36</v>
      </c>
      <c r="C75" s="59">
        <v>97.34</v>
      </c>
      <c r="D75" s="59">
        <v>66.040000000000006</v>
      </c>
      <c r="E75" s="59">
        <v>35.69</v>
      </c>
      <c r="F75" s="59">
        <v>10.3</v>
      </c>
      <c r="G75" s="59">
        <v>79.17</v>
      </c>
      <c r="H75" s="59">
        <v>30.35</v>
      </c>
      <c r="I75" s="59">
        <v>0.34</v>
      </c>
      <c r="J75" s="59">
        <v>0.39</v>
      </c>
      <c r="K75" s="59">
        <v>357.74</v>
      </c>
      <c r="L75" s="59">
        <v>28.73</v>
      </c>
      <c r="M75" s="59">
        <v>51</v>
      </c>
      <c r="N75" s="59">
        <v>39</v>
      </c>
      <c r="O75" s="59">
        <v>0</v>
      </c>
      <c r="P75" s="59">
        <v>1.96</v>
      </c>
      <c r="Q75" s="59">
        <v>37.94</v>
      </c>
      <c r="R75" s="197"/>
      <c r="S75" s="197"/>
      <c r="T75" s="197"/>
      <c r="U75" s="197"/>
    </row>
    <row r="76" spans="1:21" s="12" customFormat="1" x14ac:dyDescent="0.25">
      <c r="A76" s="200" t="s">
        <v>1370</v>
      </c>
      <c r="B76" s="59">
        <v>14.22</v>
      </c>
      <c r="C76" s="59">
        <v>93.61</v>
      </c>
      <c r="D76" s="59">
        <v>63.07</v>
      </c>
      <c r="E76" s="59">
        <v>26.12</v>
      </c>
      <c r="F76" s="59">
        <v>8.92</v>
      </c>
      <c r="G76" s="59">
        <v>77.010000000000005</v>
      </c>
      <c r="H76" s="59">
        <v>28.45</v>
      </c>
      <c r="I76" s="59">
        <v>0.38</v>
      </c>
      <c r="J76" s="59">
        <v>0.45</v>
      </c>
      <c r="K76" s="59">
        <v>352.52</v>
      </c>
      <c r="L76" s="59">
        <v>27.81</v>
      </c>
      <c r="M76" s="59">
        <v>58</v>
      </c>
      <c r="N76" s="59">
        <v>31.7</v>
      </c>
      <c r="O76" s="59">
        <v>0</v>
      </c>
      <c r="P76" s="59">
        <v>2.08</v>
      </c>
      <c r="Q76" s="59">
        <v>38.659999999999997</v>
      </c>
      <c r="R76" s="197"/>
      <c r="S76" s="197"/>
      <c r="T76" s="197"/>
      <c r="U76" s="197"/>
    </row>
    <row r="77" spans="1:21" s="12" customFormat="1" x14ac:dyDescent="0.25">
      <c r="A77" s="200" t="s">
        <v>1371</v>
      </c>
      <c r="B77" s="59">
        <v>16.52</v>
      </c>
      <c r="C77" s="59">
        <v>103.15</v>
      </c>
      <c r="D77" s="59">
        <v>70.17</v>
      </c>
      <c r="E77" s="59">
        <v>20.100000000000001</v>
      </c>
      <c r="F77" s="59">
        <v>3.74</v>
      </c>
      <c r="G77" s="59">
        <v>77.010000000000005</v>
      </c>
      <c r="H77" s="59">
        <v>28.45</v>
      </c>
      <c r="I77" s="59">
        <v>0.45</v>
      </c>
      <c r="J77" s="59">
        <v>0.37</v>
      </c>
      <c r="K77" s="59">
        <v>349.32</v>
      </c>
      <c r="L77" s="59">
        <v>27.36</v>
      </c>
      <c r="M77" s="59">
        <v>59</v>
      </c>
      <c r="N77" s="59">
        <v>28.9</v>
      </c>
      <c r="O77" s="59">
        <v>0</v>
      </c>
      <c r="P77" s="59">
        <v>2.0299999999999998</v>
      </c>
      <c r="Q77" s="59">
        <v>37.89</v>
      </c>
      <c r="R77" s="197"/>
      <c r="S77" s="197"/>
      <c r="T77" s="197"/>
      <c r="U77" s="197"/>
    </row>
    <row r="78" spans="1:21" s="12" customFormat="1" x14ac:dyDescent="0.25">
      <c r="A78" s="200" t="s">
        <v>1372</v>
      </c>
      <c r="B78" s="59">
        <v>16.02</v>
      </c>
      <c r="C78" s="59">
        <v>85.91</v>
      </c>
      <c r="D78" s="59">
        <v>60.26</v>
      </c>
      <c r="E78" s="59">
        <v>9.44</v>
      </c>
      <c r="F78" s="59">
        <v>1.54</v>
      </c>
      <c r="G78" s="59">
        <v>77.010000000000005</v>
      </c>
      <c r="H78" s="59">
        <v>28.45</v>
      </c>
      <c r="I78" s="59">
        <v>0.47</v>
      </c>
      <c r="J78" s="59">
        <v>0.38</v>
      </c>
      <c r="K78" s="59">
        <v>352.92</v>
      </c>
      <c r="L78" s="59">
        <v>27.02</v>
      </c>
      <c r="M78" s="59">
        <v>60</v>
      </c>
      <c r="N78" s="59">
        <v>26.3</v>
      </c>
      <c r="O78" s="59">
        <v>0</v>
      </c>
      <c r="P78" s="59">
        <v>2.0699999999999998</v>
      </c>
      <c r="Q78" s="59">
        <v>43.08</v>
      </c>
      <c r="R78" s="197"/>
      <c r="S78" s="197"/>
      <c r="T78" s="197"/>
      <c r="U78" s="197"/>
    </row>
    <row r="79" spans="1:21" s="12" customFormat="1" x14ac:dyDescent="0.25">
      <c r="A79" s="200" t="s">
        <v>1373</v>
      </c>
      <c r="B79" s="59">
        <v>16.600000000000001</v>
      </c>
      <c r="C79" s="59">
        <v>97.47</v>
      </c>
      <c r="D79" s="59">
        <v>67.099999999999994</v>
      </c>
      <c r="E79" s="59">
        <v>7.72</v>
      </c>
      <c r="F79" s="59">
        <v>1.07</v>
      </c>
      <c r="G79" s="59">
        <v>78.03</v>
      </c>
      <c r="H79" s="59">
        <v>29.04</v>
      </c>
      <c r="I79" s="59">
        <v>0.5</v>
      </c>
      <c r="J79" s="59">
        <v>0.22</v>
      </c>
      <c r="K79" s="59">
        <v>349.75</v>
      </c>
      <c r="L79" s="59">
        <v>26.71</v>
      </c>
      <c r="M79" s="59">
        <v>60</v>
      </c>
      <c r="N79" s="59">
        <v>25</v>
      </c>
      <c r="O79" s="59">
        <v>0</v>
      </c>
      <c r="P79" s="59">
        <v>2.2200000000000002</v>
      </c>
      <c r="Q79" s="59">
        <v>40.479999999999997</v>
      </c>
      <c r="R79" s="197"/>
      <c r="S79" s="197"/>
      <c r="T79" s="197"/>
      <c r="U79" s="197"/>
    </row>
    <row r="80" spans="1:21" s="12" customFormat="1" x14ac:dyDescent="0.25">
      <c r="A80" s="200" t="s">
        <v>1374</v>
      </c>
      <c r="B80" s="59">
        <v>18.739999999999998</v>
      </c>
      <c r="C80" s="59">
        <v>101.58</v>
      </c>
      <c r="D80" s="59">
        <v>71.09</v>
      </c>
      <c r="E80" s="59">
        <v>7.47</v>
      </c>
      <c r="F80" s="59">
        <v>0.7</v>
      </c>
      <c r="G80" s="59">
        <v>79.02</v>
      </c>
      <c r="H80" s="59">
        <v>29.98</v>
      </c>
      <c r="I80" s="59">
        <v>0.54</v>
      </c>
      <c r="J80" s="59">
        <v>0.12</v>
      </c>
      <c r="K80" s="59">
        <v>358.79</v>
      </c>
      <c r="L80" s="59">
        <v>26.78</v>
      </c>
      <c r="M80" s="59">
        <v>56</v>
      </c>
      <c r="N80" s="59">
        <v>24.9</v>
      </c>
      <c r="O80" s="59">
        <v>0</v>
      </c>
      <c r="P80" s="59">
        <v>2.37</v>
      </c>
      <c r="Q80" s="59">
        <v>42.11</v>
      </c>
      <c r="R80" s="197"/>
      <c r="S80" s="197"/>
      <c r="T80" s="197"/>
      <c r="U80" s="197"/>
    </row>
    <row r="81" spans="1:26" s="12" customFormat="1" x14ac:dyDescent="0.25">
      <c r="A81" s="200" t="s">
        <v>1375</v>
      </c>
      <c r="B81" s="59">
        <v>24.26</v>
      </c>
      <c r="C81" s="59">
        <v>103.11</v>
      </c>
      <c r="D81" s="59">
        <v>76.36</v>
      </c>
      <c r="E81" s="59">
        <v>6.99</v>
      </c>
      <c r="F81" s="59">
        <v>0.6</v>
      </c>
      <c r="G81" s="59">
        <v>79.02</v>
      </c>
      <c r="H81" s="59">
        <v>29.98</v>
      </c>
      <c r="I81" s="59">
        <v>0.54</v>
      </c>
      <c r="J81" s="59">
        <v>0.1</v>
      </c>
      <c r="K81" s="59">
        <v>74.13</v>
      </c>
      <c r="L81" s="59">
        <v>26.65</v>
      </c>
      <c r="M81" s="59">
        <v>56</v>
      </c>
      <c r="N81" s="59">
        <v>24.9</v>
      </c>
      <c r="O81" s="59">
        <v>0</v>
      </c>
      <c r="P81" s="59">
        <v>2.56</v>
      </c>
      <c r="Q81" s="59">
        <v>43.07</v>
      </c>
      <c r="R81" s="197"/>
      <c r="S81" s="197"/>
      <c r="T81" s="197"/>
      <c r="U81" s="197"/>
    </row>
    <row r="82" spans="1:26" s="12" customFormat="1" x14ac:dyDescent="0.25">
      <c r="A82" s="200" t="s">
        <v>1376</v>
      </c>
      <c r="B82" s="59">
        <v>27</v>
      </c>
      <c r="C82" s="59">
        <v>106.37</v>
      </c>
      <c r="D82" s="59">
        <v>80.36</v>
      </c>
      <c r="E82" s="59">
        <v>6.49</v>
      </c>
      <c r="F82" s="59">
        <v>0.49</v>
      </c>
      <c r="G82" s="59">
        <v>79.02</v>
      </c>
      <c r="H82" s="59">
        <v>29.98</v>
      </c>
      <c r="I82" s="59">
        <v>0.6</v>
      </c>
      <c r="J82" s="59">
        <v>0.19</v>
      </c>
      <c r="K82" s="59">
        <v>63.89</v>
      </c>
      <c r="L82" s="59">
        <v>26.4</v>
      </c>
      <c r="M82" s="59">
        <v>57</v>
      </c>
      <c r="N82" s="59">
        <v>24.8</v>
      </c>
      <c r="O82" s="59">
        <v>0</v>
      </c>
      <c r="P82" s="59">
        <v>2.72</v>
      </c>
      <c r="Q82" s="59">
        <v>43.76</v>
      </c>
      <c r="R82" s="197"/>
      <c r="S82" s="197"/>
      <c r="T82" s="197"/>
      <c r="U82" s="197"/>
    </row>
    <row r="83" spans="1:26" s="12" customFormat="1" x14ac:dyDescent="0.25">
      <c r="A83" s="200" t="s">
        <v>1377</v>
      </c>
      <c r="B83" s="59">
        <v>29.1</v>
      </c>
      <c r="C83" s="59">
        <v>105.53</v>
      </c>
      <c r="D83" s="59">
        <v>81.58</v>
      </c>
      <c r="E83" s="59">
        <v>6.24</v>
      </c>
      <c r="F83" s="59">
        <v>0.52</v>
      </c>
      <c r="G83" s="59">
        <v>115.35</v>
      </c>
      <c r="H83" s="59">
        <v>32.409999999999997</v>
      </c>
      <c r="I83" s="59">
        <v>0.66</v>
      </c>
      <c r="J83" s="59">
        <v>0.32</v>
      </c>
      <c r="K83" s="59">
        <v>4.1500000000000004</v>
      </c>
      <c r="L83" s="59">
        <v>26.25</v>
      </c>
      <c r="M83" s="59">
        <v>58</v>
      </c>
      <c r="N83" s="59">
        <v>24.6</v>
      </c>
      <c r="O83" s="59">
        <v>0</v>
      </c>
      <c r="P83" s="59">
        <v>2.81</v>
      </c>
      <c r="Q83" s="59">
        <v>44.12</v>
      </c>
      <c r="R83" s="197"/>
      <c r="S83" s="197"/>
      <c r="T83" s="197"/>
      <c r="U83" s="197"/>
    </row>
    <row r="84" spans="1:26" s="12" customFormat="1" x14ac:dyDescent="0.25">
      <c r="A84" s="200" t="s">
        <v>1378</v>
      </c>
      <c r="B84" s="59">
        <v>32.270000000000003</v>
      </c>
      <c r="C84" s="59">
        <v>110.27</v>
      </c>
      <c r="D84" s="59">
        <v>86.73</v>
      </c>
      <c r="E84" s="59">
        <v>7.27</v>
      </c>
      <c r="F84" s="59">
        <v>0.67</v>
      </c>
      <c r="G84" s="59">
        <v>149.55000000000001</v>
      </c>
      <c r="H84" s="59">
        <v>36.229999999999997</v>
      </c>
      <c r="I84" s="59">
        <v>0.72</v>
      </c>
      <c r="J84" s="59">
        <v>0.41</v>
      </c>
      <c r="K84" s="59">
        <v>5.56</v>
      </c>
      <c r="L84" s="59">
        <v>26.17</v>
      </c>
      <c r="M84" s="59">
        <v>57</v>
      </c>
      <c r="N84" s="59">
        <v>24.6</v>
      </c>
      <c r="O84" s="59">
        <v>0</v>
      </c>
      <c r="P84" s="59">
        <v>3.07</v>
      </c>
      <c r="Q84" s="59">
        <v>43.91</v>
      </c>
      <c r="R84" s="197"/>
      <c r="S84" s="197"/>
      <c r="T84" s="197"/>
      <c r="U84" s="197"/>
    </row>
    <row r="85" spans="1:26" s="12" customFormat="1" x14ac:dyDescent="0.25">
      <c r="A85" s="200" t="s">
        <v>1379</v>
      </c>
      <c r="B85" s="59">
        <v>32.56</v>
      </c>
      <c r="C85" s="59">
        <v>105.88</v>
      </c>
      <c r="D85" s="59">
        <v>84.54</v>
      </c>
      <c r="E85" s="59">
        <v>8.91</v>
      </c>
      <c r="F85" s="59">
        <v>1.0900000000000001</v>
      </c>
      <c r="G85" s="59">
        <v>149.55000000000001</v>
      </c>
      <c r="H85" s="59">
        <v>36.229999999999997</v>
      </c>
      <c r="I85" s="59">
        <v>0.76</v>
      </c>
      <c r="J85" s="59">
        <v>0.24</v>
      </c>
      <c r="K85" s="59">
        <v>11.7</v>
      </c>
      <c r="L85" s="59">
        <v>26.1</v>
      </c>
      <c r="M85" s="59">
        <v>57</v>
      </c>
      <c r="N85" s="59">
        <v>24.8</v>
      </c>
      <c r="O85" s="59">
        <v>0</v>
      </c>
      <c r="P85" s="59">
        <v>3.01</v>
      </c>
      <c r="Q85" s="59">
        <v>43.98</v>
      </c>
      <c r="R85" s="197"/>
      <c r="S85" s="197"/>
      <c r="T85" s="197"/>
      <c r="U85" s="197"/>
    </row>
    <row r="86" spans="1:26" s="12" customFormat="1" x14ac:dyDescent="0.25">
      <c r="A86" s="200" t="s">
        <v>1380</v>
      </c>
      <c r="B86" s="59">
        <v>33</v>
      </c>
      <c r="C86" s="59">
        <v>103.76</v>
      </c>
      <c r="D86" s="59">
        <v>83.72</v>
      </c>
      <c r="E86" s="59">
        <v>9.14</v>
      </c>
      <c r="F86" s="59">
        <v>1.33</v>
      </c>
      <c r="G86" s="59">
        <v>149.55000000000001</v>
      </c>
      <c r="H86" s="59">
        <v>36.229999999999997</v>
      </c>
      <c r="I86" s="59">
        <v>0.79</v>
      </c>
      <c r="J86" s="59">
        <v>0.36</v>
      </c>
      <c r="K86" s="59">
        <v>1.92</v>
      </c>
      <c r="L86" s="59">
        <v>25.99</v>
      </c>
      <c r="M86" s="59">
        <v>57</v>
      </c>
      <c r="N86" s="59">
        <v>24.8</v>
      </c>
      <c r="O86" s="59">
        <v>0</v>
      </c>
      <c r="P86" s="59">
        <v>3.17</v>
      </c>
      <c r="Q86" s="59">
        <v>44.94</v>
      </c>
      <c r="R86" s="197"/>
      <c r="S86" s="197"/>
      <c r="T86" s="197"/>
      <c r="U86" s="197"/>
    </row>
    <row r="87" spans="1:26" s="12" customFormat="1" x14ac:dyDescent="0.25">
      <c r="A87" s="200" t="s">
        <v>1381</v>
      </c>
      <c r="B87" s="59">
        <v>35.4</v>
      </c>
      <c r="C87" s="59">
        <v>105.01</v>
      </c>
      <c r="D87" s="59">
        <v>86.34</v>
      </c>
      <c r="E87" s="59">
        <v>8.66</v>
      </c>
      <c r="F87" s="59">
        <v>1.36</v>
      </c>
      <c r="G87" s="59">
        <v>135.69999999999999</v>
      </c>
      <c r="H87" s="59">
        <v>36.200000000000003</v>
      </c>
      <c r="I87" s="59">
        <v>0.79</v>
      </c>
      <c r="J87" s="59">
        <v>0.06</v>
      </c>
      <c r="K87" s="59">
        <v>26.91</v>
      </c>
      <c r="L87" s="59">
        <v>25.9</v>
      </c>
      <c r="M87" s="59">
        <v>56</v>
      </c>
      <c r="N87" s="59">
        <v>25</v>
      </c>
      <c r="O87" s="59">
        <v>0</v>
      </c>
      <c r="P87" s="59">
        <v>3.16</v>
      </c>
      <c r="Q87" s="59">
        <v>45.78</v>
      </c>
      <c r="R87" s="197"/>
      <c r="S87" s="197"/>
      <c r="T87" s="197"/>
      <c r="U87" s="197"/>
    </row>
    <row r="88" spans="1:26" s="12" customFormat="1" x14ac:dyDescent="0.25">
      <c r="A88" s="200" t="s">
        <v>1382</v>
      </c>
      <c r="B88" s="59">
        <v>33.049999999999997</v>
      </c>
      <c r="C88" s="59">
        <v>103.29</v>
      </c>
      <c r="D88" s="59">
        <v>83.51</v>
      </c>
      <c r="E88" s="59">
        <v>3.36</v>
      </c>
      <c r="F88" s="59">
        <v>0.8</v>
      </c>
      <c r="G88" s="59">
        <v>122.67</v>
      </c>
      <c r="H88" s="59">
        <v>36.17</v>
      </c>
      <c r="I88" s="59">
        <v>0.82</v>
      </c>
      <c r="J88" s="59">
        <v>0.61</v>
      </c>
      <c r="K88" s="59">
        <v>181.14</v>
      </c>
      <c r="L88" s="59">
        <v>25.88</v>
      </c>
      <c r="M88" s="59">
        <v>57</v>
      </c>
      <c r="N88" s="59">
        <v>24.7</v>
      </c>
      <c r="O88" s="59">
        <v>0</v>
      </c>
      <c r="P88" s="59">
        <v>3.08</v>
      </c>
      <c r="Q88" s="59">
        <v>46.94</v>
      </c>
      <c r="R88" s="197"/>
      <c r="S88" s="197"/>
      <c r="T88" s="197"/>
      <c r="U88" s="197"/>
    </row>
    <row r="89" spans="1:26" s="12" customFormat="1" x14ac:dyDescent="0.25">
      <c r="A89" s="200" t="s">
        <v>1383</v>
      </c>
      <c r="B89" s="59">
        <v>33.380000000000003</v>
      </c>
      <c r="C89" s="59">
        <v>103.8</v>
      </c>
      <c r="D89" s="59">
        <v>84.05</v>
      </c>
      <c r="E89" s="59">
        <v>6.76</v>
      </c>
      <c r="F89" s="59">
        <v>0.92</v>
      </c>
      <c r="G89" s="59">
        <v>122.67</v>
      </c>
      <c r="H89" s="59">
        <v>36.17</v>
      </c>
      <c r="I89" s="59">
        <v>0.84</v>
      </c>
      <c r="J89" s="59">
        <v>0.22</v>
      </c>
      <c r="K89" s="59">
        <v>127.41</v>
      </c>
      <c r="L89" s="59">
        <v>25.65</v>
      </c>
      <c r="M89" s="59">
        <v>59</v>
      </c>
      <c r="N89" s="59">
        <v>25</v>
      </c>
      <c r="O89" s="59">
        <v>0</v>
      </c>
      <c r="P89" s="59">
        <v>3.05</v>
      </c>
      <c r="Q89" s="59">
        <v>47.56</v>
      </c>
      <c r="R89" s="197"/>
      <c r="S89" s="197"/>
      <c r="T89" s="197"/>
      <c r="U89" s="197"/>
    </row>
    <row r="90" spans="1:26" s="12" customFormat="1" x14ac:dyDescent="0.25">
      <c r="A90" s="200" t="s">
        <v>1384</v>
      </c>
      <c r="B90" s="59">
        <v>33.090000000000003</v>
      </c>
      <c r="C90" s="59">
        <v>103.68</v>
      </c>
      <c r="D90" s="59">
        <v>83.75</v>
      </c>
      <c r="E90" s="59">
        <v>7.16</v>
      </c>
      <c r="F90" s="59">
        <v>0.69</v>
      </c>
      <c r="G90" s="59">
        <v>122.67</v>
      </c>
      <c r="H90" s="59">
        <v>36.17</v>
      </c>
      <c r="I90" s="59">
        <v>0.86</v>
      </c>
      <c r="J90" s="59">
        <v>0.06</v>
      </c>
      <c r="K90" s="59">
        <v>304.51</v>
      </c>
      <c r="L90" s="59">
        <v>25.27</v>
      </c>
      <c r="M90" s="59">
        <v>61</v>
      </c>
      <c r="N90" s="59">
        <v>25.2</v>
      </c>
      <c r="O90" s="59">
        <v>0</v>
      </c>
      <c r="P90" s="59">
        <v>3.01</v>
      </c>
      <c r="Q90" s="59">
        <v>48.38</v>
      </c>
      <c r="R90" s="197"/>
      <c r="S90" s="197"/>
      <c r="T90" s="197"/>
      <c r="U90" s="197"/>
    </row>
    <row r="91" spans="1:26" s="12" customFormat="1" x14ac:dyDescent="0.25">
      <c r="A91" s="200" t="s">
        <v>1385</v>
      </c>
      <c r="B91" s="59">
        <v>36.74</v>
      </c>
      <c r="C91" s="59">
        <v>101.81</v>
      </c>
      <c r="D91" s="59">
        <v>85.65</v>
      </c>
      <c r="E91" s="59">
        <v>6.05</v>
      </c>
      <c r="F91" s="59">
        <v>0.28000000000000003</v>
      </c>
      <c r="G91" s="59">
        <v>121.17</v>
      </c>
      <c r="H91" s="59">
        <v>36.56</v>
      </c>
      <c r="I91" s="59">
        <v>0.85</v>
      </c>
      <c r="J91" s="59">
        <v>0.12</v>
      </c>
      <c r="K91" s="59">
        <v>41.58</v>
      </c>
      <c r="L91" s="59">
        <v>24.82</v>
      </c>
      <c r="M91" s="59">
        <v>65</v>
      </c>
      <c r="N91" s="59">
        <v>25.1</v>
      </c>
      <c r="O91" s="59">
        <v>0</v>
      </c>
      <c r="P91" s="59">
        <v>3.15</v>
      </c>
      <c r="Q91" s="59">
        <v>48.82</v>
      </c>
      <c r="R91" s="197"/>
      <c r="S91" s="197"/>
      <c r="T91" s="197"/>
      <c r="U91" s="197"/>
    </row>
    <row r="92" spans="1:26" s="12" customFormat="1" x14ac:dyDescent="0.25">
      <c r="A92" s="200" t="s">
        <v>1386</v>
      </c>
      <c r="B92" s="59">
        <v>37.81</v>
      </c>
      <c r="C92" s="59">
        <v>97.25</v>
      </c>
      <c r="D92" s="59">
        <v>83.99</v>
      </c>
      <c r="E92" s="59">
        <v>5.57</v>
      </c>
      <c r="F92" s="59">
        <v>0.55000000000000004</v>
      </c>
      <c r="G92" s="59">
        <v>116.37</v>
      </c>
      <c r="H92" s="59">
        <v>37.18</v>
      </c>
      <c r="I92" s="59">
        <v>0.87</v>
      </c>
      <c r="J92" s="59">
        <v>0.11</v>
      </c>
      <c r="K92" s="59">
        <v>217.21</v>
      </c>
      <c r="L92" s="59">
        <v>24.53</v>
      </c>
      <c r="M92" s="59">
        <v>66</v>
      </c>
      <c r="N92" s="59">
        <v>24.9</v>
      </c>
      <c r="O92" s="59">
        <v>0</v>
      </c>
      <c r="P92" s="59">
        <v>3.12</v>
      </c>
      <c r="Q92" s="59">
        <v>50.47</v>
      </c>
      <c r="R92" s="197"/>
      <c r="S92" s="197"/>
      <c r="T92" s="197"/>
      <c r="U92" s="197"/>
    </row>
    <row r="93" spans="1:26" s="12" customFormat="1" x14ac:dyDescent="0.25">
      <c r="A93" s="200" t="s">
        <v>1387</v>
      </c>
      <c r="B93" s="59">
        <v>39.67</v>
      </c>
      <c r="C93" s="59">
        <v>100.97</v>
      </c>
      <c r="D93" s="59">
        <v>87.54</v>
      </c>
      <c r="E93" s="59">
        <v>6.05</v>
      </c>
      <c r="F93" s="59">
        <v>0.31</v>
      </c>
      <c r="G93" s="59">
        <v>116.37</v>
      </c>
      <c r="H93" s="59">
        <v>37.18</v>
      </c>
      <c r="I93" s="59">
        <v>0.91</v>
      </c>
      <c r="J93" s="59">
        <v>0.15</v>
      </c>
      <c r="K93" s="59">
        <v>230.87</v>
      </c>
      <c r="L93" s="59">
        <v>24.53</v>
      </c>
      <c r="M93" s="59">
        <v>66</v>
      </c>
      <c r="N93" s="59">
        <v>24.6</v>
      </c>
      <c r="O93" s="59">
        <v>0</v>
      </c>
      <c r="P93" s="59">
        <v>3.16</v>
      </c>
      <c r="Q93" s="59">
        <v>51.59</v>
      </c>
      <c r="R93" s="197"/>
      <c r="S93" s="197"/>
      <c r="T93" s="197"/>
      <c r="U93" s="197"/>
    </row>
    <row r="94" spans="1:26" s="12" customFormat="1" x14ac:dyDescent="0.25">
      <c r="A94" s="200" t="s">
        <v>1388</v>
      </c>
      <c r="B94" s="59">
        <v>43.92</v>
      </c>
      <c r="C94" s="59">
        <v>103.16</v>
      </c>
      <c r="D94" s="59">
        <v>92.15</v>
      </c>
      <c r="E94" s="59">
        <v>5.8</v>
      </c>
      <c r="F94" s="59">
        <v>0.45</v>
      </c>
      <c r="G94" s="59">
        <v>116.37</v>
      </c>
      <c r="H94" s="59">
        <v>37.18</v>
      </c>
      <c r="I94" s="59">
        <v>0.93</v>
      </c>
      <c r="J94" s="59">
        <v>0.24</v>
      </c>
      <c r="K94" s="59">
        <v>5.75</v>
      </c>
      <c r="L94" s="59">
        <v>24.45</v>
      </c>
      <c r="M94" s="59">
        <v>69</v>
      </c>
      <c r="N94" s="59">
        <v>25</v>
      </c>
      <c r="O94" s="59">
        <v>0</v>
      </c>
      <c r="P94" s="59">
        <v>3.25</v>
      </c>
      <c r="Q94" s="59">
        <v>50.86</v>
      </c>
      <c r="R94" s="197"/>
      <c r="S94" s="197"/>
      <c r="T94" s="197"/>
      <c r="U94" s="197"/>
    </row>
    <row r="95" spans="1:26" s="12" customFormat="1" x14ac:dyDescent="0.25">
      <c r="A95" s="200" t="s">
        <v>1389</v>
      </c>
      <c r="B95" s="59">
        <v>49.25</v>
      </c>
      <c r="C95" s="59">
        <v>104.41</v>
      </c>
      <c r="D95" s="59">
        <v>97.11</v>
      </c>
      <c r="E95" s="59">
        <v>5.41</v>
      </c>
      <c r="F95" s="59">
        <v>0.49</v>
      </c>
      <c r="G95" s="59">
        <v>139.82</v>
      </c>
      <c r="H95" s="59">
        <v>37.49</v>
      </c>
      <c r="I95" s="59">
        <v>0.94</v>
      </c>
      <c r="J95" s="59">
        <v>0.04</v>
      </c>
      <c r="K95" s="59">
        <v>278.42</v>
      </c>
      <c r="L95" s="59">
        <v>24.32</v>
      </c>
      <c r="M95" s="59">
        <v>68</v>
      </c>
      <c r="N95" s="59">
        <v>24.9</v>
      </c>
      <c r="O95" s="59">
        <v>0</v>
      </c>
      <c r="P95" s="59">
        <v>3.4</v>
      </c>
      <c r="Q95" s="59">
        <v>51.72</v>
      </c>
      <c r="R95" s="197"/>
      <c r="S95" s="197"/>
      <c r="T95" s="197"/>
      <c r="U95" s="197"/>
    </row>
    <row r="96" spans="1:26" s="12" customFormat="1" x14ac:dyDescent="0.25">
      <c r="A96" s="200" t="s">
        <v>1390</v>
      </c>
      <c r="B96" s="59">
        <v>56.14</v>
      </c>
      <c r="C96" s="59">
        <v>107.11</v>
      </c>
      <c r="D96" s="59">
        <v>104.13</v>
      </c>
      <c r="E96" s="59">
        <v>5.4</v>
      </c>
      <c r="F96" s="59">
        <v>0.67</v>
      </c>
      <c r="G96" s="59">
        <v>163.28</v>
      </c>
      <c r="H96" s="59">
        <v>37.979999999999997</v>
      </c>
      <c r="I96" s="59">
        <v>0.98</v>
      </c>
      <c r="J96" s="59">
        <v>0.1</v>
      </c>
      <c r="K96" s="59">
        <v>347.46</v>
      </c>
      <c r="L96" s="59">
        <v>24.27</v>
      </c>
      <c r="M96" s="59">
        <v>71</v>
      </c>
      <c r="N96" s="59">
        <v>25</v>
      </c>
      <c r="O96" s="59">
        <v>0</v>
      </c>
      <c r="P96" s="59">
        <v>3.56</v>
      </c>
      <c r="Q96" s="59">
        <v>51.4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1391</v>
      </c>
      <c r="B97" s="59">
        <v>64.239999999999995</v>
      </c>
      <c r="C97" s="59">
        <v>108.21</v>
      </c>
      <c r="D97" s="59">
        <v>111.23</v>
      </c>
      <c r="E97" s="59">
        <v>5.54</v>
      </c>
      <c r="F97" s="59">
        <v>0.26</v>
      </c>
      <c r="G97" s="59">
        <v>163.28</v>
      </c>
      <c r="H97" s="59">
        <v>37.979999999999997</v>
      </c>
      <c r="I97" s="59">
        <v>1.02</v>
      </c>
      <c r="J97" s="59">
        <v>0.12</v>
      </c>
      <c r="K97" s="59">
        <v>16.22</v>
      </c>
      <c r="L97" s="59">
        <v>24.15</v>
      </c>
      <c r="M97" s="59">
        <v>71</v>
      </c>
      <c r="N97" s="59">
        <v>25</v>
      </c>
      <c r="O97" s="59">
        <v>0</v>
      </c>
      <c r="P97" s="59">
        <v>3.73</v>
      </c>
      <c r="Q97" s="59">
        <v>53.1</v>
      </c>
      <c r="R97" s="197"/>
      <c r="S97" s="197"/>
      <c r="T97" s="197"/>
      <c r="U97" s="197"/>
    </row>
    <row r="98" spans="1:33" s="12" customFormat="1" x14ac:dyDescent="0.25">
      <c r="A98" s="200" t="s">
        <v>1392</v>
      </c>
      <c r="B98" s="59">
        <v>69.97</v>
      </c>
      <c r="C98" s="59">
        <v>106.99</v>
      </c>
      <c r="D98" s="59">
        <v>115.16</v>
      </c>
      <c r="E98" s="59">
        <v>5.53</v>
      </c>
      <c r="F98" s="59">
        <v>0.41</v>
      </c>
      <c r="G98" s="59">
        <v>163.28</v>
      </c>
      <c r="H98" s="59">
        <v>37.979999999999997</v>
      </c>
      <c r="I98" s="59">
        <v>1.07</v>
      </c>
      <c r="J98" s="59">
        <v>0.12</v>
      </c>
      <c r="K98" s="59">
        <v>23.58</v>
      </c>
      <c r="L98" s="59">
        <v>24.06</v>
      </c>
      <c r="M98" s="59">
        <v>71</v>
      </c>
      <c r="N98" s="59">
        <v>24.6</v>
      </c>
      <c r="O98" s="59">
        <v>0</v>
      </c>
      <c r="P98" s="59">
        <v>3.86</v>
      </c>
      <c r="Q98" s="59">
        <v>52.32</v>
      </c>
      <c r="R98" s="197"/>
      <c r="S98" s="197"/>
      <c r="T98" s="197"/>
      <c r="U98" s="197"/>
    </row>
    <row r="99" spans="1:33" s="12" customFormat="1" x14ac:dyDescent="0.25">
      <c r="A99" s="200" t="s">
        <v>1393</v>
      </c>
      <c r="B99" s="59">
        <v>69.66</v>
      </c>
      <c r="C99" s="59">
        <v>103.34</v>
      </c>
      <c r="D99" s="59">
        <v>112.89</v>
      </c>
      <c r="E99" s="59">
        <v>5.88</v>
      </c>
      <c r="F99" s="59">
        <v>0.73</v>
      </c>
      <c r="G99" s="59">
        <v>166.04</v>
      </c>
      <c r="H99" s="59">
        <v>38.68</v>
      </c>
      <c r="I99" s="59">
        <v>1.1100000000000001</v>
      </c>
      <c r="J99" s="59">
        <v>0.15</v>
      </c>
      <c r="K99" s="59">
        <v>16.27</v>
      </c>
      <c r="L99" s="59">
        <v>23.99</v>
      </c>
      <c r="M99" s="59">
        <v>73</v>
      </c>
      <c r="N99" s="59">
        <v>24.9</v>
      </c>
      <c r="O99" s="59">
        <v>0</v>
      </c>
      <c r="P99" s="59">
        <v>3.86</v>
      </c>
      <c r="Q99" s="59">
        <v>51.75</v>
      </c>
      <c r="R99" s="197"/>
      <c r="S99" s="197"/>
      <c r="T99" s="197"/>
      <c r="U99" s="197"/>
    </row>
    <row r="100" spans="1:33" s="12" customFormat="1" x14ac:dyDescent="0.25">
      <c r="A100" s="200" t="s">
        <v>1394</v>
      </c>
      <c r="B100" s="59">
        <v>65.59</v>
      </c>
      <c r="C100" s="59">
        <v>107.53</v>
      </c>
      <c r="D100" s="59">
        <v>111.94</v>
      </c>
      <c r="E100" s="59">
        <v>6.03</v>
      </c>
      <c r="F100" s="59">
        <v>0.39</v>
      </c>
      <c r="G100" s="59">
        <v>168.64</v>
      </c>
      <c r="H100" s="59">
        <v>39.79</v>
      </c>
      <c r="I100" s="59">
        <v>1.1499999999999999</v>
      </c>
      <c r="J100" s="59">
        <v>0.06</v>
      </c>
      <c r="K100" s="59">
        <v>343.68</v>
      </c>
      <c r="L100" s="59">
        <v>24.22</v>
      </c>
      <c r="M100" s="59">
        <v>64</v>
      </c>
      <c r="N100" s="59">
        <v>24.8</v>
      </c>
      <c r="O100" s="59">
        <v>0</v>
      </c>
      <c r="P100" s="59">
        <v>3.86</v>
      </c>
      <c r="Q100" s="59">
        <v>52.62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1395</v>
      </c>
      <c r="B101" s="59">
        <v>67.98</v>
      </c>
      <c r="C101" s="59">
        <v>107.62</v>
      </c>
      <c r="D101" s="59">
        <v>113.91</v>
      </c>
      <c r="E101" s="59">
        <v>6.07</v>
      </c>
      <c r="F101" s="59">
        <v>0.55000000000000004</v>
      </c>
      <c r="G101" s="59">
        <v>168.64</v>
      </c>
      <c r="H101" s="59">
        <v>39.79</v>
      </c>
      <c r="I101" s="59">
        <v>1.1599999999999999</v>
      </c>
      <c r="J101" s="59">
        <v>0.02</v>
      </c>
      <c r="K101" s="59">
        <v>78.19</v>
      </c>
      <c r="L101" s="59">
        <v>24.5</v>
      </c>
      <c r="M101" s="59">
        <v>61</v>
      </c>
      <c r="N101" s="59">
        <v>24.9</v>
      </c>
      <c r="O101" s="59">
        <v>0</v>
      </c>
      <c r="P101" s="59">
        <v>3.83</v>
      </c>
      <c r="Q101" s="59">
        <v>53.52</v>
      </c>
      <c r="R101" s="197"/>
      <c r="S101" s="197"/>
      <c r="T101" s="197"/>
      <c r="U101" s="197"/>
    </row>
    <row r="102" spans="1:33" s="12" customFormat="1" x14ac:dyDescent="0.25">
      <c r="A102" s="200" t="s">
        <v>1396</v>
      </c>
      <c r="B102" s="59">
        <v>65.31</v>
      </c>
      <c r="C102" s="59">
        <v>108.49</v>
      </c>
      <c r="D102" s="59">
        <v>112.25</v>
      </c>
      <c r="E102" s="59">
        <v>6.31</v>
      </c>
      <c r="F102" s="59">
        <v>0.51</v>
      </c>
      <c r="G102" s="59">
        <v>168.64</v>
      </c>
      <c r="H102" s="59">
        <v>39.79</v>
      </c>
      <c r="I102" s="59">
        <v>1.2</v>
      </c>
      <c r="J102" s="59">
        <v>0.17</v>
      </c>
      <c r="K102" s="59">
        <v>178.57</v>
      </c>
      <c r="L102" s="59">
        <v>24.49</v>
      </c>
      <c r="M102" s="59">
        <v>61</v>
      </c>
      <c r="N102" s="59">
        <v>24.9</v>
      </c>
      <c r="O102" s="59">
        <v>0</v>
      </c>
      <c r="P102" s="59">
        <v>3.75</v>
      </c>
      <c r="Q102" s="59">
        <v>54.43</v>
      </c>
      <c r="R102" s="197"/>
      <c r="S102" s="197"/>
      <c r="T102" s="197"/>
      <c r="U102" s="197"/>
    </row>
    <row r="103" spans="1:33" s="12" customFormat="1" x14ac:dyDescent="0.25">
      <c r="A103" s="200" t="s">
        <v>1397</v>
      </c>
      <c r="B103" s="59">
        <v>63.66</v>
      </c>
      <c r="C103" s="59">
        <v>105.09</v>
      </c>
      <c r="D103" s="59">
        <v>109.05</v>
      </c>
      <c r="E103" s="59">
        <v>6.5</v>
      </c>
      <c r="F103" s="59">
        <v>0.53</v>
      </c>
      <c r="G103" s="59">
        <v>137.65</v>
      </c>
      <c r="H103" s="59">
        <v>39.31</v>
      </c>
      <c r="I103" s="59">
        <v>1.21</v>
      </c>
      <c r="J103" s="59">
        <v>0.08</v>
      </c>
      <c r="K103" s="59">
        <v>116.61</v>
      </c>
      <c r="L103" s="59">
        <v>24.65</v>
      </c>
      <c r="M103" s="59">
        <v>56</v>
      </c>
      <c r="N103" s="59">
        <v>24.8</v>
      </c>
      <c r="O103" s="59">
        <v>0</v>
      </c>
      <c r="P103" s="59">
        <v>3.68</v>
      </c>
      <c r="Q103" s="59">
        <v>54.63</v>
      </c>
      <c r="R103" s="197"/>
      <c r="S103" s="197"/>
      <c r="T103" s="197"/>
      <c r="U103" s="197"/>
    </row>
    <row r="104" spans="1:33" s="12" customFormat="1" x14ac:dyDescent="0.25">
      <c r="A104" s="200" t="s">
        <v>1398</v>
      </c>
      <c r="B104" s="59">
        <v>63.67</v>
      </c>
      <c r="C104" s="59">
        <v>99.97</v>
      </c>
      <c r="D104" s="59">
        <v>106.23</v>
      </c>
      <c r="E104" s="59">
        <v>3.8</v>
      </c>
      <c r="F104" s="59">
        <v>0.68</v>
      </c>
      <c r="G104" s="59">
        <v>108.5</v>
      </c>
      <c r="H104" s="59">
        <v>38.549999999999997</v>
      </c>
      <c r="I104" s="59">
        <v>1.21</v>
      </c>
      <c r="J104" s="59">
        <v>0.13</v>
      </c>
      <c r="K104" s="59">
        <v>108.88</v>
      </c>
      <c r="L104" s="59">
        <v>25.01</v>
      </c>
      <c r="M104" s="59">
        <v>49</v>
      </c>
      <c r="N104" s="59">
        <v>24.7</v>
      </c>
      <c r="O104" s="59">
        <v>0</v>
      </c>
      <c r="P104" s="59">
        <v>3.59</v>
      </c>
      <c r="Q104" s="59">
        <v>55.23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2.93</v>
      </c>
      <c r="C106" s="66">
        <f>MIN(C9:C104)</f>
        <v>53.46</v>
      </c>
      <c r="D106" s="66">
        <f t="shared" ref="D106:Q106" si="0">MIN(D9:D104)</f>
        <v>32.81</v>
      </c>
      <c r="E106" s="66">
        <f t="shared" si="0"/>
        <v>3.36</v>
      </c>
      <c r="F106" s="66">
        <f t="shared" si="0"/>
        <v>0.26</v>
      </c>
      <c r="G106" s="66">
        <f t="shared" si="0"/>
        <v>63.78</v>
      </c>
      <c r="H106" s="66">
        <f t="shared" si="0"/>
        <v>28.45</v>
      </c>
      <c r="I106" s="66">
        <f t="shared" si="0"/>
        <v>0</v>
      </c>
      <c r="J106" s="66">
        <f t="shared" si="0"/>
        <v>0.02</v>
      </c>
      <c r="K106" s="66">
        <f t="shared" si="0"/>
        <v>0.93</v>
      </c>
      <c r="L106" s="66">
        <f t="shared" si="0"/>
        <v>19.559999999999999</v>
      </c>
      <c r="M106" s="66">
        <f t="shared" si="0"/>
        <v>40</v>
      </c>
      <c r="N106" s="66">
        <f t="shared" si="0"/>
        <v>24</v>
      </c>
      <c r="O106" s="66">
        <f t="shared" si="0"/>
        <v>0</v>
      </c>
      <c r="P106" s="66">
        <f t="shared" si="0"/>
        <v>1.21</v>
      </c>
      <c r="Q106" s="66">
        <f t="shared" si="0"/>
        <v>34.53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69.97</v>
      </c>
      <c r="C107" s="65">
        <f t="shared" ref="C107:Q107" si="1">MAX(C9:C104)</f>
        <v>110.27</v>
      </c>
      <c r="D107" s="65">
        <f t="shared" si="1"/>
        <v>115.16</v>
      </c>
      <c r="E107" s="65">
        <f t="shared" si="1"/>
        <v>92.03</v>
      </c>
      <c r="F107" s="65">
        <f t="shared" si="1"/>
        <v>313.2</v>
      </c>
      <c r="G107" s="65">
        <f t="shared" si="1"/>
        <v>168.64</v>
      </c>
      <c r="H107" s="65">
        <f t="shared" si="1"/>
        <v>39.79</v>
      </c>
      <c r="I107" s="65">
        <f t="shared" si="1"/>
        <v>1.21</v>
      </c>
      <c r="J107" s="65">
        <f t="shared" si="1"/>
        <v>1.38</v>
      </c>
      <c r="K107" s="65">
        <f t="shared" si="1"/>
        <v>358.79</v>
      </c>
      <c r="L107" s="65">
        <f t="shared" si="1"/>
        <v>34.04</v>
      </c>
      <c r="M107" s="65">
        <f t="shared" si="1"/>
        <v>73</v>
      </c>
      <c r="N107" s="65">
        <f t="shared" si="1"/>
        <v>492.2</v>
      </c>
      <c r="O107" s="65">
        <f t="shared" si="1"/>
        <v>0</v>
      </c>
      <c r="P107" s="65">
        <f t="shared" si="1"/>
        <v>3.86</v>
      </c>
      <c r="Q107" s="65">
        <f t="shared" si="1"/>
        <v>55.23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25.255520833333332</v>
      </c>
      <c r="C108" s="66">
        <f t="shared" ref="C108:Q108" si="2">AVERAGE(C9:C104)</f>
        <v>85.390625000000014</v>
      </c>
      <c r="D108" s="66">
        <f t="shared" si="2"/>
        <v>67.378124999999969</v>
      </c>
      <c r="E108" s="66">
        <f t="shared" si="2"/>
        <v>9.4249999999999972</v>
      </c>
      <c r="F108" s="66">
        <f t="shared" si="2"/>
        <v>15.489375000000003</v>
      </c>
      <c r="G108" s="66">
        <f t="shared" si="2"/>
        <v>93.776562499999969</v>
      </c>
      <c r="H108" s="66">
        <f t="shared" si="2"/>
        <v>32.855312499999982</v>
      </c>
      <c r="I108" s="66">
        <f t="shared" si="2"/>
        <v>0.57708333333333328</v>
      </c>
      <c r="J108" s="66">
        <f t="shared" si="2"/>
        <v>0.34854166666666669</v>
      </c>
      <c r="K108" s="66">
        <f t="shared" si="2"/>
        <v>151.73854166666669</v>
      </c>
      <c r="L108" s="66">
        <f t="shared" si="2"/>
        <v>25.196041666666673</v>
      </c>
      <c r="M108" s="66">
        <f t="shared" si="2"/>
        <v>58.520833333333336</v>
      </c>
      <c r="N108" s="66">
        <f t="shared" si="2"/>
        <v>97.512499999999974</v>
      </c>
      <c r="O108" s="66">
        <f t="shared" si="2"/>
        <v>0</v>
      </c>
      <c r="P108" s="66">
        <f t="shared" si="2"/>
        <v>1.9777083333333341</v>
      </c>
      <c r="Q108" s="66">
        <f t="shared" si="2"/>
        <v>44.602812499999999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16.750827088443422</v>
      </c>
      <c r="C109" s="66">
        <f t="shared" ref="C109:Q109" si="3">STDEV(C9:C104)</f>
        <v>13.452571799708636</v>
      </c>
      <c r="D109" s="66">
        <f t="shared" si="3"/>
        <v>19.418643256444518</v>
      </c>
      <c r="E109" s="66">
        <f t="shared" si="3"/>
        <v>11.890194190791711</v>
      </c>
      <c r="F109" s="66">
        <f t="shared" si="3"/>
        <v>61.665763440161008</v>
      </c>
      <c r="G109" s="66">
        <f t="shared" si="3"/>
        <v>28.576176784835432</v>
      </c>
      <c r="H109" s="66">
        <f t="shared" si="3"/>
        <v>3.097852890776891</v>
      </c>
      <c r="I109" s="66">
        <f t="shared" si="3"/>
        <v>0.2359791099883152</v>
      </c>
      <c r="J109" s="66">
        <f t="shared" si="3"/>
        <v>0.29615422428424593</v>
      </c>
      <c r="K109" s="66">
        <f t="shared" si="3"/>
        <v>139.22719850721217</v>
      </c>
      <c r="L109" s="66">
        <f t="shared" si="3"/>
        <v>4.2709672216924917</v>
      </c>
      <c r="M109" s="66">
        <f t="shared" si="3"/>
        <v>9.3041916605441948</v>
      </c>
      <c r="N109" s="66">
        <f t="shared" si="3"/>
        <v>115.64031827406177</v>
      </c>
      <c r="O109" s="66">
        <f t="shared" si="3"/>
        <v>0</v>
      </c>
      <c r="P109" s="66">
        <f t="shared" si="3"/>
        <v>0.8229682850788429</v>
      </c>
      <c r="Q109" s="66">
        <f t="shared" si="3"/>
        <v>5.3500462768535488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P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>COUNT(H9:H104)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>COUNT(Q9:Q104)</f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3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13-12-2022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1399</v>
      </c>
      <c r="B9" s="59">
        <v>60.5</v>
      </c>
      <c r="C9" s="59">
        <v>98.72</v>
      </c>
      <c r="D9" s="59">
        <v>103</v>
      </c>
      <c r="E9" s="59">
        <v>7.02</v>
      </c>
      <c r="F9" s="59">
        <v>1.1100000000000001</v>
      </c>
      <c r="G9" s="59">
        <v>108.5</v>
      </c>
      <c r="H9" s="59">
        <v>38.549999999999997</v>
      </c>
      <c r="I9" s="59">
        <v>1.21</v>
      </c>
      <c r="J9" s="59">
        <v>0.39</v>
      </c>
      <c r="K9" s="59">
        <v>356.5</v>
      </c>
      <c r="L9" s="59">
        <v>24.92</v>
      </c>
      <c r="M9" s="59">
        <v>51</v>
      </c>
      <c r="N9" s="59">
        <v>25.3</v>
      </c>
      <c r="O9" s="59">
        <v>0</v>
      </c>
      <c r="P9" s="59">
        <v>3.48</v>
      </c>
      <c r="Q9" s="59">
        <v>55.45</v>
      </c>
      <c r="R9" s="197"/>
      <c r="S9" s="197"/>
      <c r="T9" s="197"/>
      <c r="U9" s="197"/>
    </row>
    <row r="10" spans="1:21" s="12" customFormat="1" x14ac:dyDescent="0.25">
      <c r="A10" s="200" t="s">
        <v>1400</v>
      </c>
      <c r="B10" s="59">
        <v>62.08</v>
      </c>
      <c r="C10" s="59">
        <v>90.08</v>
      </c>
      <c r="D10" s="59">
        <v>99.49</v>
      </c>
      <c r="E10" s="59">
        <v>5.77</v>
      </c>
      <c r="F10" s="59">
        <v>0.44</v>
      </c>
      <c r="G10" s="59">
        <v>108.5</v>
      </c>
      <c r="H10" s="59">
        <v>38.549999999999997</v>
      </c>
      <c r="I10" s="59">
        <v>1.21</v>
      </c>
      <c r="J10" s="59">
        <v>0.19</v>
      </c>
      <c r="K10" s="59">
        <v>131.22</v>
      </c>
      <c r="L10" s="59">
        <v>24.51</v>
      </c>
      <c r="M10" s="59">
        <v>52</v>
      </c>
      <c r="N10" s="59">
        <v>25.2</v>
      </c>
      <c r="O10" s="59">
        <v>0</v>
      </c>
      <c r="P10" s="59">
        <v>3.44</v>
      </c>
      <c r="Q10" s="59">
        <v>57.08</v>
      </c>
      <c r="R10" s="197"/>
      <c r="S10" s="197"/>
      <c r="T10" s="197"/>
      <c r="U10" s="197"/>
    </row>
    <row r="11" spans="1:21" s="12" customFormat="1" x14ac:dyDescent="0.25">
      <c r="A11" s="200" t="s">
        <v>1401</v>
      </c>
      <c r="B11" s="59">
        <v>59.83</v>
      </c>
      <c r="C11" s="59">
        <v>86.45</v>
      </c>
      <c r="D11" s="59">
        <v>95.69</v>
      </c>
      <c r="E11" s="59">
        <v>5.81</v>
      </c>
      <c r="F11" s="59">
        <v>0.26</v>
      </c>
      <c r="G11" s="59">
        <v>101.67</v>
      </c>
      <c r="H11" s="59">
        <v>36.25</v>
      </c>
      <c r="I11" s="59">
        <v>1.18</v>
      </c>
      <c r="J11" s="59">
        <v>0.18</v>
      </c>
      <c r="K11" s="59">
        <v>55.1</v>
      </c>
      <c r="L11" s="59">
        <v>24.45</v>
      </c>
      <c r="M11" s="59">
        <v>53</v>
      </c>
      <c r="N11" s="59">
        <v>25.2</v>
      </c>
      <c r="O11" s="59">
        <v>0</v>
      </c>
      <c r="P11" s="59">
        <v>3.3</v>
      </c>
      <c r="Q11" s="59">
        <v>55.84</v>
      </c>
      <c r="R11" s="197"/>
      <c r="S11" s="197"/>
      <c r="T11" s="197"/>
      <c r="U11" s="197"/>
    </row>
    <row r="12" spans="1:21" s="12" customFormat="1" x14ac:dyDescent="0.25">
      <c r="A12" s="200" t="s">
        <v>1402</v>
      </c>
      <c r="B12" s="59">
        <v>56.37</v>
      </c>
      <c r="C12" s="59">
        <v>88.35</v>
      </c>
      <c r="D12" s="59">
        <v>93.96</v>
      </c>
      <c r="E12" s="59">
        <v>5.4</v>
      </c>
      <c r="F12" s="59">
        <v>0.54</v>
      </c>
      <c r="G12" s="59">
        <v>79.84</v>
      </c>
      <c r="H12" s="59">
        <v>32.47</v>
      </c>
      <c r="I12" s="59">
        <v>1.18</v>
      </c>
      <c r="J12" s="59">
        <v>0.08</v>
      </c>
      <c r="K12" s="59">
        <v>269.18</v>
      </c>
      <c r="L12" s="59">
        <v>23.57</v>
      </c>
      <c r="M12" s="59">
        <v>59</v>
      </c>
      <c r="N12" s="59">
        <v>25.2</v>
      </c>
      <c r="O12" s="59">
        <v>0</v>
      </c>
      <c r="P12" s="59">
        <v>3.14</v>
      </c>
      <c r="Q12" s="59">
        <v>55.54</v>
      </c>
      <c r="R12" s="197"/>
      <c r="S12" s="197"/>
      <c r="T12" s="197"/>
      <c r="U12" s="197"/>
    </row>
    <row r="13" spans="1:21" s="12" customFormat="1" x14ac:dyDescent="0.25">
      <c r="A13" s="200" t="s">
        <v>1403</v>
      </c>
      <c r="B13" s="59">
        <v>52.84</v>
      </c>
      <c r="C13" s="59">
        <v>89.24</v>
      </c>
      <c r="D13" s="59">
        <v>91.62</v>
      </c>
      <c r="E13" s="59">
        <v>5.48</v>
      </c>
      <c r="F13" s="59">
        <v>0.64</v>
      </c>
      <c r="G13" s="59">
        <v>79.84</v>
      </c>
      <c r="H13" s="59">
        <v>32.47</v>
      </c>
      <c r="I13" s="59">
        <v>1.1299999999999999</v>
      </c>
      <c r="J13" s="59">
        <v>0.06</v>
      </c>
      <c r="K13" s="59">
        <v>337.34</v>
      </c>
      <c r="L13" s="59">
        <v>23.29</v>
      </c>
      <c r="M13" s="59">
        <v>59</v>
      </c>
      <c r="N13" s="59">
        <v>25.1</v>
      </c>
      <c r="O13" s="59">
        <v>0</v>
      </c>
      <c r="P13" s="59">
        <v>2.87</v>
      </c>
      <c r="Q13" s="59">
        <v>54.77</v>
      </c>
      <c r="R13" s="197"/>
      <c r="S13" s="197"/>
      <c r="T13" s="197"/>
      <c r="U13" s="197"/>
    </row>
    <row r="14" spans="1:21" s="12" customFormat="1" x14ac:dyDescent="0.25">
      <c r="A14" s="200" t="s">
        <v>1404</v>
      </c>
      <c r="B14" s="59">
        <v>49.32</v>
      </c>
      <c r="C14" s="59">
        <v>89.36</v>
      </c>
      <c r="D14" s="59">
        <v>88.87</v>
      </c>
      <c r="E14" s="59">
        <v>5.52</v>
      </c>
      <c r="F14" s="59">
        <v>0.37</v>
      </c>
      <c r="G14" s="59">
        <v>79.84</v>
      </c>
      <c r="H14" s="59">
        <v>32.47</v>
      </c>
      <c r="I14" s="59">
        <v>1.08</v>
      </c>
      <c r="J14" s="59">
        <v>0.37</v>
      </c>
      <c r="K14" s="59">
        <v>335.29</v>
      </c>
      <c r="L14" s="59">
        <v>22.89</v>
      </c>
      <c r="M14" s="59">
        <v>63</v>
      </c>
      <c r="N14" s="59">
        <v>24.7</v>
      </c>
      <c r="O14" s="59">
        <v>0</v>
      </c>
      <c r="P14" s="59">
        <v>2.9</v>
      </c>
      <c r="Q14" s="59">
        <v>53.92</v>
      </c>
      <c r="R14" s="197"/>
      <c r="S14" s="197"/>
      <c r="T14" s="197"/>
      <c r="U14" s="197"/>
    </row>
    <row r="15" spans="1:21" s="12" customFormat="1" x14ac:dyDescent="0.25">
      <c r="A15" s="200" t="s">
        <v>1405</v>
      </c>
      <c r="B15" s="59">
        <v>46.07</v>
      </c>
      <c r="C15" s="59">
        <v>87.09</v>
      </c>
      <c r="D15" s="59">
        <v>85.01</v>
      </c>
      <c r="E15" s="59">
        <v>4.51</v>
      </c>
      <c r="F15" s="59">
        <v>0.44</v>
      </c>
      <c r="G15" s="59">
        <v>79.81</v>
      </c>
      <c r="H15" s="59">
        <v>32.43</v>
      </c>
      <c r="I15" s="59">
        <v>1.04</v>
      </c>
      <c r="J15" s="59">
        <v>0.46</v>
      </c>
      <c r="K15" s="59">
        <v>357.53</v>
      </c>
      <c r="L15" s="59">
        <v>23.02</v>
      </c>
      <c r="M15" s="59">
        <v>60</v>
      </c>
      <c r="N15" s="59">
        <v>24.4</v>
      </c>
      <c r="O15" s="59">
        <v>0</v>
      </c>
      <c r="P15" s="59">
        <v>2.77</v>
      </c>
      <c r="Q15" s="59">
        <v>52.6</v>
      </c>
      <c r="R15" s="197"/>
      <c r="S15" s="197"/>
      <c r="T15" s="197"/>
      <c r="U15" s="197"/>
    </row>
    <row r="16" spans="1:21" s="12" customFormat="1" x14ac:dyDescent="0.25">
      <c r="A16" s="200" t="s">
        <v>1406</v>
      </c>
      <c r="B16" s="59">
        <v>43.27</v>
      </c>
      <c r="C16" s="59">
        <v>86.68</v>
      </c>
      <c r="D16" s="59">
        <v>82.54</v>
      </c>
      <c r="E16" s="59">
        <v>5.07</v>
      </c>
      <c r="F16" s="59">
        <v>0.35</v>
      </c>
      <c r="G16" s="59">
        <v>79.790000000000006</v>
      </c>
      <c r="H16" s="59">
        <v>32.380000000000003</v>
      </c>
      <c r="I16" s="59">
        <v>0.99</v>
      </c>
      <c r="J16" s="59">
        <v>0.47</v>
      </c>
      <c r="K16" s="59">
        <v>0.97</v>
      </c>
      <c r="L16" s="59">
        <v>23.3</v>
      </c>
      <c r="M16" s="59">
        <v>57</v>
      </c>
      <c r="N16" s="59">
        <v>24.6</v>
      </c>
      <c r="O16" s="59">
        <v>0</v>
      </c>
      <c r="P16" s="59">
        <v>2.65</v>
      </c>
      <c r="Q16" s="59">
        <v>52.36</v>
      </c>
      <c r="R16" s="197"/>
      <c r="S16" s="197"/>
      <c r="T16" s="197"/>
      <c r="U16" s="197"/>
    </row>
    <row r="17" spans="1:21" s="12" customFormat="1" x14ac:dyDescent="0.25">
      <c r="A17" s="200" t="s">
        <v>1407</v>
      </c>
      <c r="B17" s="59">
        <v>40.1</v>
      </c>
      <c r="C17" s="59">
        <v>85.7</v>
      </c>
      <c r="D17" s="59">
        <v>79.459999999999994</v>
      </c>
      <c r="E17" s="59">
        <v>5.25</v>
      </c>
      <c r="F17" s="59">
        <v>0.44</v>
      </c>
      <c r="G17" s="59">
        <v>79.790000000000006</v>
      </c>
      <c r="H17" s="59">
        <v>32.380000000000003</v>
      </c>
      <c r="I17" s="59">
        <v>0.95</v>
      </c>
      <c r="J17" s="59">
        <v>0.54</v>
      </c>
      <c r="K17" s="59">
        <v>349.4</v>
      </c>
      <c r="L17" s="59">
        <v>23.14</v>
      </c>
      <c r="M17" s="59">
        <v>59</v>
      </c>
      <c r="N17" s="59">
        <v>24.7</v>
      </c>
      <c r="O17" s="59">
        <v>0</v>
      </c>
      <c r="P17" s="59">
        <v>2.5499999999999998</v>
      </c>
      <c r="Q17" s="59">
        <v>51.25</v>
      </c>
      <c r="R17" s="197"/>
      <c r="S17" s="197"/>
      <c r="T17" s="197"/>
      <c r="U17" s="197"/>
    </row>
    <row r="18" spans="1:21" s="12" customFormat="1" x14ac:dyDescent="0.25">
      <c r="A18" s="200" t="s">
        <v>1408</v>
      </c>
      <c r="B18" s="59">
        <v>38.18</v>
      </c>
      <c r="C18" s="59">
        <v>84.7</v>
      </c>
      <c r="D18" s="59">
        <v>77.36</v>
      </c>
      <c r="E18" s="59">
        <v>5.66</v>
      </c>
      <c r="F18" s="59">
        <v>0.15</v>
      </c>
      <c r="G18" s="59">
        <v>79.790000000000006</v>
      </c>
      <c r="H18" s="59">
        <v>32.380000000000003</v>
      </c>
      <c r="I18" s="59">
        <v>0.91</v>
      </c>
      <c r="J18" s="59">
        <v>0.65</v>
      </c>
      <c r="K18" s="59">
        <v>4.55</v>
      </c>
      <c r="L18" s="59">
        <v>23.15</v>
      </c>
      <c r="M18" s="59">
        <v>59</v>
      </c>
      <c r="N18" s="59">
        <v>24.7</v>
      </c>
      <c r="O18" s="59">
        <v>0</v>
      </c>
      <c r="P18" s="59">
        <v>2.48</v>
      </c>
      <c r="Q18" s="59">
        <v>51.46</v>
      </c>
      <c r="R18" s="197"/>
      <c r="S18" s="197"/>
      <c r="T18" s="197"/>
      <c r="U18" s="197"/>
    </row>
    <row r="19" spans="1:21" s="12" customFormat="1" x14ac:dyDescent="0.25">
      <c r="A19" s="200" t="s">
        <v>1409</v>
      </c>
      <c r="B19" s="59">
        <v>37.1</v>
      </c>
      <c r="C19" s="59">
        <v>83.31</v>
      </c>
      <c r="D19" s="59">
        <v>75.73</v>
      </c>
      <c r="E19" s="59">
        <v>5.31</v>
      </c>
      <c r="F19" s="59">
        <v>0.34</v>
      </c>
      <c r="G19" s="59">
        <v>90.21</v>
      </c>
      <c r="H19" s="59">
        <v>33.049999999999997</v>
      </c>
      <c r="I19" s="59">
        <v>0.9</v>
      </c>
      <c r="J19" s="59">
        <v>0.51</v>
      </c>
      <c r="K19" s="59">
        <v>1.89</v>
      </c>
      <c r="L19" s="59">
        <v>23.13</v>
      </c>
      <c r="M19" s="59">
        <v>60</v>
      </c>
      <c r="N19" s="59">
        <v>24.9</v>
      </c>
      <c r="O19" s="59">
        <v>0</v>
      </c>
      <c r="P19" s="59">
        <v>2.4300000000000002</v>
      </c>
      <c r="Q19" s="59">
        <v>51.39</v>
      </c>
      <c r="R19" s="197"/>
      <c r="S19" s="197"/>
      <c r="T19" s="197"/>
      <c r="U19" s="197"/>
    </row>
    <row r="20" spans="1:21" s="12" customFormat="1" x14ac:dyDescent="0.25">
      <c r="A20" s="200" t="s">
        <v>1410</v>
      </c>
      <c r="B20" s="59">
        <v>36.520000000000003</v>
      </c>
      <c r="C20" s="59">
        <v>82.21</v>
      </c>
      <c r="D20" s="59">
        <v>74.66</v>
      </c>
      <c r="E20" s="59">
        <v>5.82</v>
      </c>
      <c r="F20" s="59">
        <v>0.54</v>
      </c>
      <c r="G20" s="59">
        <v>100.64</v>
      </c>
      <c r="H20" s="59">
        <v>34.15</v>
      </c>
      <c r="I20" s="59">
        <v>0.87</v>
      </c>
      <c r="J20" s="59">
        <v>0.28000000000000003</v>
      </c>
      <c r="K20" s="59">
        <v>31.9</v>
      </c>
      <c r="L20" s="59">
        <v>22.94</v>
      </c>
      <c r="M20" s="59">
        <v>61</v>
      </c>
      <c r="N20" s="59">
        <v>24.9</v>
      </c>
      <c r="O20" s="59">
        <v>0</v>
      </c>
      <c r="P20" s="59">
        <v>2.36</v>
      </c>
      <c r="Q20" s="59">
        <v>51.9</v>
      </c>
      <c r="R20" s="197"/>
      <c r="S20" s="197"/>
      <c r="T20" s="197"/>
      <c r="U20" s="197"/>
    </row>
    <row r="21" spans="1:21" s="12" customFormat="1" x14ac:dyDescent="0.25">
      <c r="A21" s="200" t="s">
        <v>1411</v>
      </c>
      <c r="B21" s="59">
        <v>35.450000000000003</v>
      </c>
      <c r="C21" s="59">
        <v>81.040000000000006</v>
      </c>
      <c r="D21" s="59">
        <v>73.150000000000006</v>
      </c>
      <c r="E21" s="59">
        <v>5.3</v>
      </c>
      <c r="F21" s="59">
        <v>0.42</v>
      </c>
      <c r="G21" s="59">
        <v>100.64</v>
      </c>
      <c r="H21" s="59">
        <v>34.15</v>
      </c>
      <c r="I21" s="59">
        <v>0.86</v>
      </c>
      <c r="J21" s="59">
        <v>0.48</v>
      </c>
      <c r="K21" s="59">
        <v>3.68</v>
      </c>
      <c r="L21" s="59">
        <v>22.85</v>
      </c>
      <c r="M21" s="59">
        <v>61</v>
      </c>
      <c r="N21" s="59">
        <v>25</v>
      </c>
      <c r="O21" s="59">
        <v>0</v>
      </c>
      <c r="P21" s="59">
        <v>2.3199999999999998</v>
      </c>
      <c r="Q21" s="59">
        <v>52.29</v>
      </c>
      <c r="R21" s="197"/>
      <c r="S21" s="197"/>
      <c r="T21" s="197"/>
      <c r="U21" s="197"/>
    </row>
    <row r="22" spans="1:21" s="12" customFormat="1" x14ac:dyDescent="0.25">
      <c r="A22" s="200" t="s">
        <v>1412</v>
      </c>
      <c r="B22" s="59">
        <v>34.51</v>
      </c>
      <c r="C22" s="59">
        <v>79.900000000000006</v>
      </c>
      <c r="D22" s="59">
        <v>71.77</v>
      </c>
      <c r="E22" s="59">
        <v>6.09</v>
      </c>
      <c r="F22" s="59">
        <v>0.35</v>
      </c>
      <c r="G22" s="59">
        <v>100.64</v>
      </c>
      <c r="H22" s="59">
        <v>34.15</v>
      </c>
      <c r="I22" s="59">
        <v>0.84</v>
      </c>
      <c r="J22" s="59">
        <v>0.26</v>
      </c>
      <c r="K22" s="59">
        <v>9.23</v>
      </c>
      <c r="L22" s="59">
        <v>22.74</v>
      </c>
      <c r="M22" s="59">
        <v>61</v>
      </c>
      <c r="N22" s="59">
        <v>25</v>
      </c>
      <c r="O22" s="59">
        <v>0</v>
      </c>
      <c r="P22" s="59">
        <v>2.29</v>
      </c>
      <c r="Q22" s="59">
        <v>52.53</v>
      </c>
      <c r="R22" s="197"/>
      <c r="S22" s="197"/>
      <c r="T22" s="197"/>
      <c r="U22" s="197"/>
    </row>
    <row r="23" spans="1:21" s="12" customFormat="1" x14ac:dyDescent="0.25">
      <c r="A23" s="200" t="s">
        <v>1413</v>
      </c>
      <c r="B23" s="59">
        <v>34.130000000000003</v>
      </c>
      <c r="C23" s="59">
        <v>78.540000000000006</v>
      </c>
      <c r="D23" s="59">
        <v>70.709999999999994</v>
      </c>
      <c r="E23" s="59">
        <v>5.39</v>
      </c>
      <c r="F23" s="59">
        <v>0.32</v>
      </c>
      <c r="G23" s="59">
        <v>104.73</v>
      </c>
      <c r="H23" s="59">
        <v>35.17</v>
      </c>
      <c r="I23" s="59">
        <v>0.83</v>
      </c>
      <c r="J23" s="59">
        <v>0.27</v>
      </c>
      <c r="K23" s="59">
        <v>46</v>
      </c>
      <c r="L23" s="59">
        <v>22.65</v>
      </c>
      <c r="M23" s="59">
        <v>58</v>
      </c>
      <c r="N23" s="59">
        <v>24.8</v>
      </c>
      <c r="O23" s="59">
        <v>0</v>
      </c>
      <c r="P23" s="59">
        <v>2.2599999999999998</v>
      </c>
      <c r="Q23" s="59">
        <v>52.48</v>
      </c>
      <c r="R23" s="197"/>
      <c r="S23" s="197"/>
      <c r="T23" s="197"/>
      <c r="U23" s="197"/>
    </row>
    <row r="24" spans="1:21" s="12" customFormat="1" x14ac:dyDescent="0.25">
      <c r="A24" s="200" t="s">
        <v>1414</v>
      </c>
      <c r="B24" s="59">
        <v>33.49</v>
      </c>
      <c r="C24" s="59">
        <v>75.16</v>
      </c>
      <c r="D24" s="59">
        <v>68.33</v>
      </c>
      <c r="E24" s="59">
        <v>3.16</v>
      </c>
      <c r="F24" s="59">
        <v>0.43</v>
      </c>
      <c r="G24" s="59">
        <v>108.69</v>
      </c>
      <c r="H24" s="59">
        <v>36.85</v>
      </c>
      <c r="I24" s="59">
        <v>0.82</v>
      </c>
      <c r="J24" s="59">
        <v>0.23</v>
      </c>
      <c r="K24" s="59">
        <v>76.14</v>
      </c>
      <c r="L24" s="59">
        <v>22.52</v>
      </c>
      <c r="M24" s="59">
        <v>58</v>
      </c>
      <c r="N24" s="59">
        <v>24.8</v>
      </c>
      <c r="O24" s="59">
        <v>0</v>
      </c>
      <c r="P24" s="59">
        <v>2.2000000000000002</v>
      </c>
      <c r="Q24" s="59">
        <v>53.7</v>
      </c>
      <c r="R24" s="197"/>
      <c r="S24" s="197"/>
      <c r="T24" s="197"/>
      <c r="U24" s="197"/>
    </row>
    <row r="25" spans="1:21" s="12" customFormat="1" x14ac:dyDescent="0.25">
      <c r="A25" s="200" t="s">
        <v>1415</v>
      </c>
      <c r="B25" s="59">
        <v>32.35</v>
      </c>
      <c r="C25" s="59">
        <v>70.7</v>
      </c>
      <c r="D25" s="59">
        <v>64.959999999999994</v>
      </c>
      <c r="E25" s="59">
        <v>4.79</v>
      </c>
      <c r="F25" s="59">
        <v>0.53</v>
      </c>
      <c r="G25" s="59">
        <v>108.69</v>
      </c>
      <c r="H25" s="59">
        <v>36.85</v>
      </c>
      <c r="I25" s="59">
        <v>0.8</v>
      </c>
      <c r="J25" s="59">
        <v>0.44</v>
      </c>
      <c r="K25" s="59">
        <v>0.66</v>
      </c>
      <c r="L25" s="59">
        <v>22.46</v>
      </c>
      <c r="M25" s="59">
        <v>59</v>
      </c>
      <c r="N25" s="59">
        <v>24.9</v>
      </c>
      <c r="O25" s="59">
        <v>0</v>
      </c>
      <c r="P25" s="59">
        <v>2.11</v>
      </c>
      <c r="Q25" s="59">
        <v>54.3</v>
      </c>
      <c r="R25" s="197"/>
      <c r="S25" s="197"/>
      <c r="T25" s="197"/>
      <c r="U25" s="197"/>
    </row>
    <row r="26" spans="1:21" s="12" customFormat="1" x14ac:dyDescent="0.25">
      <c r="A26" s="200" t="s">
        <v>1416</v>
      </c>
      <c r="B26" s="59">
        <v>30.89</v>
      </c>
      <c r="C26" s="59">
        <v>72.92</v>
      </c>
      <c r="D26" s="59">
        <v>65.02</v>
      </c>
      <c r="E26" s="59">
        <v>5.29</v>
      </c>
      <c r="F26" s="59">
        <v>0.53</v>
      </c>
      <c r="G26" s="59">
        <v>108.69</v>
      </c>
      <c r="H26" s="59">
        <v>36.85</v>
      </c>
      <c r="I26" s="59">
        <v>0.79</v>
      </c>
      <c r="J26" s="59">
        <v>0.27</v>
      </c>
      <c r="K26" s="59">
        <v>42.79</v>
      </c>
      <c r="L26" s="59">
        <v>22.49</v>
      </c>
      <c r="M26" s="59">
        <v>59</v>
      </c>
      <c r="N26" s="59">
        <v>24.9</v>
      </c>
      <c r="O26" s="59">
        <v>0</v>
      </c>
      <c r="P26" s="59">
        <v>2.02</v>
      </c>
      <c r="Q26" s="59">
        <v>53.49</v>
      </c>
      <c r="R26" s="197"/>
      <c r="S26" s="197"/>
      <c r="T26" s="197"/>
      <c r="U26" s="197"/>
    </row>
    <row r="27" spans="1:21" s="12" customFormat="1" x14ac:dyDescent="0.25">
      <c r="A27" s="200" t="s">
        <v>1417</v>
      </c>
      <c r="B27" s="59">
        <v>29.69</v>
      </c>
      <c r="C27" s="59">
        <v>74.400000000000006</v>
      </c>
      <c r="D27" s="59">
        <v>64.87</v>
      </c>
      <c r="E27" s="59">
        <v>4.67</v>
      </c>
      <c r="F27" s="59">
        <v>0.56999999999999995</v>
      </c>
      <c r="G27" s="59">
        <v>103.84</v>
      </c>
      <c r="H27" s="59">
        <v>35.78</v>
      </c>
      <c r="I27" s="59">
        <v>0.76</v>
      </c>
      <c r="J27" s="59">
        <v>0.23</v>
      </c>
      <c r="K27" s="59">
        <v>1.44</v>
      </c>
      <c r="L27" s="59">
        <v>22.47</v>
      </c>
      <c r="M27" s="59">
        <v>59</v>
      </c>
      <c r="N27" s="59">
        <v>25</v>
      </c>
      <c r="O27" s="59">
        <v>0</v>
      </c>
      <c r="P27" s="59">
        <v>1.94</v>
      </c>
      <c r="Q27" s="59">
        <v>52.59</v>
      </c>
      <c r="R27" s="197"/>
      <c r="S27" s="197"/>
      <c r="T27" s="197"/>
      <c r="U27" s="197"/>
    </row>
    <row r="28" spans="1:21" s="12" customFormat="1" x14ac:dyDescent="0.25">
      <c r="A28" s="200" t="s">
        <v>1418</v>
      </c>
      <c r="B28" s="59">
        <v>28.88</v>
      </c>
      <c r="C28" s="59">
        <v>74.38</v>
      </c>
      <c r="D28" s="59">
        <v>64.209999999999994</v>
      </c>
      <c r="E28" s="59">
        <v>4.6900000000000004</v>
      </c>
      <c r="F28" s="59">
        <v>0.44</v>
      </c>
      <c r="G28" s="59">
        <v>86.04</v>
      </c>
      <c r="H28" s="59">
        <v>34.01</v>
      </c>
      <c r="I28" s="59">
        <v>0.71</v>
      </c>
      <c r="J28" s="59">
        <v>0.46</v>
      </c>
      <c r="K28" s="59">
        <v>1.1000000000000001</v>
      </c>
      <c r="L28" s="59">
        <v>22.42</v>
      </c>
      <c r="M28" s="59">
        <v>60</v>
      </c>
      <c r="N28" s="59">
        <v>24.9</v>
      </c>
      <c r="O28" s="59">
        <v>0</v>
      </c>
      <c r="P28" s="59">
        <v>1.88</v>
      </c>
      <c r="Q28" s="59">
        <v>51.85</v>
      </c>
      <c r="R28" s="197"/>
      <c r="S28" s="197"/>
      <c r="T28" s="197"/>
      <c r="U28" s="197"/>
    </row>
    <row r="29" spans="1:21" s="12" customFormat="1" x14ac:dyDescent="0.25">
      <c r="A29" s="200" t="s">
        <v>1419</v>
      </c>
      <c r="B29" s="59">
        <v>27.95</v>
      </c>
      <c r="C29" s="59">
        <v>73.569999999999993</v>
      </c>
      <c r="D29" s="59">
        <v>63.02</v>
      </c>
      <c r="E29" s="59">
        <v>4.54</v>
      </c>
      <c r="F29" s="59">
        <v>0.37</v>
      </c>
      <c r="G29" s="59">
        <v>86.04</v>
      </c>
      <c r="H29" s="59">
        <v>34.01</v>
      </c>
      <c r="I29" s="59">
        <v>0.68</v>
      </c>
      <c r="J29" s="59">
        <v>0.23</v>
      </c>
      <c r="K29" s="59">
        <v>12.26</v>
      </c>
      <c r="L29" s="59">
        <v>22.23</v>
      </c>
      <c r="M29" s="59">
        <v>61</v>
      </c>
      <c r="N29" s="59">
        <v>25</v>
      </c>
      <c r="O29" s="59">
        <v>0</v>
      </c>
      <c r="P29" s="59">
        <v>1.81</v>
      </c>
      <c r="Q29" s="59">
        <v>51.4</v>
      </c>
      <c r="R29" s="197"/>
      <c r="S29" s="197"/>
      <c r="T29" s="197"/>
      <c r="U29" s="197"/>
    </row>
    <row r="30" spans="1:21" s="12" customFormat="1" x14ac:dyDescent="0.25">
      <c r="A30" s="200" t="s">
        <v>1420</v>
      </c>
      <c r="B30" s="59">
        <v>27.23</v>
      </c>
      <c r="C30" s="59">
        <v>73.05</v>
      </c>
      <c r="D30" s="59">
        <v>62.15</v>
      </c>
      <c r="E30" s="59">
        <v>4.5599999999999996</v>
      </c>
      <c r="F30" s="59">
        <v>0.31</v>
      </c>
      <c r="G30" s="59">
        <v>86.04</v>
      </c>
      <c r="H30" s="59">
        <v>34.01</v>
      </c>
      <c r="I30" s="59">
        <v>0.65</v>
      </c>
      <c r="J30" s="59">
        <v>0.21</v>
      </c>
      <c r="K30" s="59">
        <v>59.7</v>
      </c>
      <c r="L30" s="59">
        <v>22.11</v>
      </c>
      <c r="M30" s="59">
        <v>61</v>
      </c>
      <c r="N30" s="59">
        <v>25</v>
      </c>
      <c r="O30" s="59">
        <v>0</v>
      </c>
      <c r="P30" s="59">
        <v>1.75</v>
      </c>
      <c r="Q30" s="59">
        <v>50.88</v>
      </c>
      <c r="R30" s="197"/>
      <c r="S30" s="197"/>
      <c r="T30" s="197"/>
      <c r="U30" s="197"/>
    </row>
    <row r="31" spans="1:21" s="12" customFormat="1" x14ac:dyDescent="0.25">
      <c r="A31" s="200" t="s">
        <v>1421</v>
      </c>
      <c r="B31" s="59">
        <v>27.48</v>
      </c>
      <c r="C31" s="59">
        <v>72.56</v>
      </c>
      <c r="D31" s="59">
        <v>62.08</v>
      </c>
      <c r="E31" s="59">
        <v>4.92</v>
      </c>
      <c r="F31" s="59">
        <v>0.38</v>
      </c>
      <c r="G31" s="59">
        <v>82.51</v>
      </c>
      <c r="H31" s="59">
        <v>33.5</v>
      </c>
      <c r="I31" s="59">
        <v>0.62</v>
      </c>
      <c r="J31" s="59">
        <v>0.25</v>
      </c>
      <c r="K31" s="59">
        <v>22.18</v>
      </c>
      <c r="L31" s="59">
        <v>22.03</v>
      </c>
      <c r="M31" s="59">
        <v>62</v>
      </c>
      <c r="N31" s="59">
        <v>25</v>
      </c>
      <c r="O31" s="59">
        <v>0</v>
      </c>
      <c r="P31" s="59">
        <v>1.69</v>
      </c>
      <c r="Q31" s="59">
        <v>49.24</v>
      </c>
      <c r="R31" s="197"/>
      <c r="S31" s="197"/>
      <c r="T31" s="197"/>
      <c r="U31" s="197"/>
    </row>
    <row r="32" spans="1:21" s="12" customFormat="1" x14ac:dyDescent="0.25">
      <c r="A32" s="200" t="s">
        <v>1422</v>
      </c>
      <c r="B32" s="59">
        <v>28.08</v>
      </c>
      <c r="C32" s="59">
        <v>72.63</v>
      </c>
      <c r="D32" s="59">
        <v>62.6</v>
      </c>
      <c r="E32" s="59">
        <v>5.23</v>
      </c>
      <c r="F32" s="59">
        <v>0.39</v>
      </c>
      <c r="G32" s="59">
        <v>78.97</v>
      </c>
      <c r="H32" s="59">
        <v>32.65</v>
      </c>
      <c r="I32" s="59">
        <v>0.6</v>
      </c>
      <c r="J32" s="59">
        <v>0.59</v>
      </c>
      <c r="K32" s="59">
        <v>3.95</v>
      </c>
      <c r="L32" s="59">
        <v>22.04</v>
      </c>
      <c r="M32" s="59">
        <v>62</v>
      </c>
      <c r="N32" s="59">
        <v>24.7</v>
      </c>
      <c r="O32" s="59">
        <v>0</v>
      </c>
      <c r="P32" s="59">
        <v>1.67</v>
      </c>
      <c r="Q32" s="59">
        <v>49.04</v>
      </c>
      <c r="R32" s="197"/>
      <c r="S32" s="197"/>
      <c r="T32" s="197"/>
      <c r="U32" s="197"/>
    </row>
    <row r="33" spans="1:21" s="12" customFormat="1" x14ac:dyDescent="0.25">
      <c r="A33" s="200" t="s">
        <v>1423</v>
      </c>
      <c r="B33" s="59">
        <v>28.1</v>
      </c>
      <c r="C33" s="59">
        <v>72.67</v>
      </c>
      <c r="D33" s="59">
        <v>62.64</v>
      </c>
      <c r="E33" s="59">
        <v>4.8600000000000003</v>
      </c>
      <c r="F33" s="59">
        <v>0.42</v>
      </c>
      <c r="G33" s="59">
        <v>78.97</v>
      </c>
      <c r="H33" s="59">
        <v>32.65</v>
      </c>
      <c r="I33" s="59">
        <v>0.59</v>
      </c>
      <c r="J33" s="59">
        <v>0.39</v>
      </c>
      <c r="K33" s="59">
        <v>10</v>
      </c>
      <c r="L33" s="59">
        <v>21.97</v>
      </c>
      <c r="M33" s="59">
        <v>62</v>
      </c>
      <c r="N33" s="59">
        <v>24.9</v>
      </c>
      <c r="O33" s="59">
        <v>0</v>
      </c>
      <c r="P33" s="59">
        <v>1.64</v>
      </c>
      <c r="Q33" s="59">
        <v>49.03</v>
      </c>
      <c r="R33" s="197"/>
      <c r="S33" s="197"/>
      <c r="T33" s="197"/>
      <c r="U33" s="197"/>
    </row>
    <row r="34" spans="1:21" s="12" customFormat="1" x14ac:dyDescent="0.25">
      <c r="A34" s="200" t="s">
        <v>1424</v>
      </c>
      <c r="B34" s="59">
        <v>28.28</v>
      </c>
      <c r="C34" s="59">
        <v>73.17</v>
      </c>
      <c r="D34" s="59">
        <v>63.05</v>
      </c>
      <c r="E34" s="59">
        <v>4.57</v>
      </c>
      <c r="F34" s="59">
        <v>0.55000000000000004</v>
      </c>
      <c r="G34" s="59">
        <v>78.97</v>
      </c>
      <c r="H34" s="59">
        <v>32.65</v>
      </c>
      <c r="I34" s="59">
        <v>0.57999999999999996</v>
      </c>
      <c r="J34" s="59">
        <v>0.67</v>
      </c>
      <c r="K34" s="59">
        <v>14.15</v>
      </c>
      <c r="L34" s="59">
        <v>21.92</v>
      </c>
      <c r="M34" s="59">
        <v>62</v>
      </c>
      <c r="N34" s="59">
        <v>26.1</v>
      </c>
      <c r="O34" s="59">
        <v>0</v>
      </c>
      <c r="P34" s="59">
        <v>1.62</v>
      </c>
      <c r="Q34" s="59">
        <v>49.06</v>
      </c>
      <c r="R34" s="197"/>
      <c r="S34" s="197"/>
      <c r="T34" s="197"/>
      <c r="U34" s="197"/>
    </row>
    <row r="35" spans="1:21" s="12" customFormat="1" x14ac:dyDescent="0.25">
      <c r="A35" s="200" t="s">
        <v>1425</v>
      </c>
      <c r="B35" s="59">
        <v>30.19</v>
      </c>
      <c r="C35" s="59">
        <v>74.13</v>
      </c>
      <c r="D35" s="59">
        <v>65.12</v>
      </c>
      <c r="E35" s="59">
        <v>5.17</v>
      </c>
      <c r="F35" s="59">
        <v>0.2</v>
      </c>
      <c r="G35" s="59">
        <v>83.11</v>
      </c>
      <c r="H35" s="59">
        <v>31.94</v>
      </c>
      <c r="I35" s="59">
        <v>0.57999999999999996</v>
      </c>
      <c r="J35" s="59">
        <v>0.54</v>
      </c>
      <c r="K35" s="59">
        <v>7.99</v>
      </c>
      <c r="L35" s="59">
        <v>21.84</v>
      </c>
      <c r="M35" s="59">
        <v>61</v>
      </c>
      <c r="N35" s="59">
        <v>29.1</v>
      </c>
      <c r="O35" s="59">
        <v>0</v>
      </c>
      <c r="P35" s="59">
        <v>1.6</v>
      </c>
      <c r="Q35" s="59">
        <v>49.15</v>
      </c>
      <c r="R35" s="197"/>
      <c r="S35" s="197"/>
      <c r="T35" s="197"/>
      <c r="U35" s="197"/>
    </row>
    <row r="36" spans="1:21" s="12" customFormat="1" x14ac:dyDescent="0.25">
      <c r="A36" s="200" t="s">
        <v>1426</v>
      </c>
      <c r="B36" s="59">
        <v>30.35</v>
      </c>
      <c r="C36" s="59">
        <v>72.819999999999993</v>
      </c>
      <c r="D36" s="59">
        <v>64.52</v>
      </c>
      <c r="E36" s="59">
        <v>5.44</v>
      </c>
      <c r="F36" s="59">
        <v>0.28000000000000003</v>
      </c>
      <c r="G36" s="59">
        <v>87</v>
      </c>
      <c r="H36" s="59">
        <v>30.82</v>
      </c>
      <c r="I36" s="59">
        <v>0.57999999999999996</v>
      </c>
      <c r="J36" s="59">
        <v>0.26</v>
      </c>
      <c r="K36" s="59">
        <v>32.9</v>
      </c>
      <c r="L36" s="59">
        <v>21.68</v>
      </c>
      <c r="M36" s="59">
        <v>62</v>
      </c>
      <c r="N36" s="59">
        <v>38.6</v>
      </c>
      <c r="O36" s="59">
        <v>0</v>
      </c>
      <c r="P36" s="59">
        <v>1.58</v>
      </c>
      <c r="Q36" s="59">
        <v>49.33</v>
      </c>
      <c r="R36" s="197"/>
      <c r="S36" s="197"/>
      <c r="T36" s="197"/>
      <c r="U36" s="197"/>
    </row>
    <row r="37" spans="1:21" s="12" customFormat="1" x14ac:dyDescent="0.25">
      <c r="A37" s="200" t="s">
        <v>1427</v>
      </c>
      <c r="B37" s="59">
        <v>30.39</v>
      </c>
      <c r="C37" s="59">
        <v>72.400000000000006</v>
      </c>
      <c r="D37" s="59">
        <v>64.319999999999993</v>
      </c>
      <c r="E37" s="59">
        <v>5.3</v>
      </c>
      <c r="F37" s="59">
        <v>0.46</v>
      </c>
      <c r="G37" s="59">
        <v>87</v>
      </c>
      <c r="H37" s="59">
        <v>30.82</v>
      </c>
      <c r="I37" s="59">
        <v>0.57999999999999996</v>
      </c>
      <c r="J37" s="59">
        <v>0.43</v>
      </c>
      <c r="K37" s="59">
        <v>56.54</v>
      </c>
      <c r="L37" s="59">
        <v>21.98</v>
      </c>
      <c r="M37" s="59">
        <v>59</v>
      </c>
      <c r="N37" s="59">
        <v>56.6</v>
      </c>
      <c r="O37" s="59">
        <v>0</v>
      </c>
      <c r="P37" s="59">
        <v>1.51</v>
      </c>
      <c r="Q37" s="59">
        <v>49.63</v>
      </c>
      <c r="R37" s="197"/>
      <c r="S37" s="197"/>
      <c r="T37" s="197"/>
      <c r="U37" s="197"/>
    </row>
    <row r="38" spans="1:21" s="12" customFormat="1" x14ac:dyDescent="0.25">
      <c r="A38" s="200" t="s">
        <v>1428</v>
      </c>
      <c r="B38" s="59">
        <v>30.35</v>
      </c>
      <c r="C38" s="59">
        <v>71.25</v>
      </c>
      <c r="D38" s="59">
        <v>63.66</v>
      </c>
      <c r="E38" s="59">
        <v>4.8099999999999996</v>
      </c>
      <c r="F38" s="59">
        <v>0.57999999999999996</v>
      </c>
      <c r="G38" s="59">
        <v>87</v>
      </c>
      <c r="H38" s="59">
        <v>30.82</v>
      </c>
      <c r="I38" s="59">
        <v>0.59</v>
      </c>
      <c r="J38" s="59">
        <v>0.86</v>
      </c>
      <c r="K38" s="59">
        <v>101.16</v>
      </c>
      <c r="L38" s="59">
        <v>22.26</v>
      </c>
      <c r="M38" s="59">
        <v>57</v>
      </c>
      <c r="N38" s="59">
        <v>68.7</v>
      </c>
      <c r="O38" s="59">
        <v>0</v>
      </c>
      <c r="P38" s="59">
        <v>1.53</v>
      </c>
      <c r="Q38" s="59">
        <v>50.18</v>
      </c>
      <c r="R38" s="197"/>
      <c r="S38" s="197"/>
      <c r="T38" s="197"/>
      <c r="U38" s="197"/>
    </row>
    <row r="39" spans="1:21" s="12" customFormat="1" x14ac:dyDescent="0.25">
      <c r="A39" s="200" t="s">
        <v>1429</v>
      </c>
      <c r="B39" s="59">
        <v>30.26</v>
      </c>
      <c r="C39" s="59">
        <v>67.91</v>
      </c>
      <c r="D39" s="59">
        <v>61.74</v>
      </c>
      <c r="E39" s="59">
        <v>5.25</v>
      </c>
      <c r="F39" s="59">
        <v>0.49</v>
      </c>
      <c r="G39" s="59">
        <v>80.739999999999995</v>
      </c>
      <c r="H39" s="59">
        <v>30.21</v>
      </c>
      <c r="I39" s="59">
        <v>0.6</v>
      </c>
      <c r="J39" s="59">
        <v>0.81</v>
      </c>
      <c r="K39" s="59">
        <v>109.48</v>
      </c>
      <c r="L39" s="59">
        <v>22.68</v>
      </c>
      <c r="M39" s="59">
        <v>56</v>
      </c>
      <c r="N39" s="59">
        <v>105.3</v>
      </c>
      <c r="O39" s="59">
        <v>0</v>
      </c>
      <c r="P39" s="59">
        <v>1.5</v>
      </c>
      <c r="Q39" s="59">
        <v>51.69</v>
      </c>
      <c r="R39" s="197"/>
      <c r="S39" s="197"/>
      <c r="T39" s="197"/>
      <c r="U39" s="197"/>
    </row>
    <row r="40" spans="1:21" s="12" customFormat="1" x14ac:dyDescent="0.25">
      <c r="A40" s="200" t="s">
        <v>1430</v>
      </c>
      <c r="B40" s="59">
        <v>30.07</v>
      </c>
      <c r="C40" s="59">
        <v>71.180000000000007</v>
      </c>
      <c r="D40" s="59">
        <v>63.4</v>
      </c>
      <c r="E40" s="59">
        <v>2.5499999999999998</v>
      </c>
      <c r="F40" s="59">
        <v>0.16</v>
      </c>
      <c r="G40" s="59">
        <v>74.66</v>
      </c>
      <c r="H40" s="59">
        <v>29.21</v>
      </c>
      <c r="I40" s="59">
        <v>0.6</v>
      </c>
      <c r="J40" s="59">
        <v>0.53</v>
      </c>
      <c r="K40" s="59">
        <v>106.14</v>
      </c>
      <c r="L40" s="59">
        <v>23.66</v>
      </c>
      <c r="M40" s="59">
        <v>53</v>
      </c>
      <c r="N40" s="59">
        <v>143.5</v>
      </c>
      <c r="O40" s="59">
        <v>0</v>
      </c>
      <c r="P40" s="59">
        <v>1.48</v>
      </c>
      <c r="Q40" s="59">
        <v>51.34</v>
      </c>
      <c r="R40" s="197"/>
      <c r="S40" s="197"/>
      <c r="T40" s="197"/>
      <c r="U40" s="197"/>
    </row>
    <row r="41" spans="1:21" s="12" customFormat="1" x14ac:dyDescent="0.25">
      <c r="A41" s="200" t="s">
        <v>1431</v>
      </c>
      <c r="B41" s="59">
        <v>31.05</v>
      </c>
      <c r="C41" s="59">
        <v>74.260000000000005</v>
      </c>
      <c r="D41" s="59">
        <v>65.88</v>
      </c>
      <c r="E41" s="59">
        <v>4.62</v>
      </c>
      <c r="F41" s="59">
        <v>0.63</v>
      </c>
      <c r="G41" s="59">
        <v>74.66</v>
      </c>
      <c r="H41" s="59">
        <v>29.21</v>
      </c>
      <c r="I41" s="59">
        <v>0.57999999999999996</v>
      </c>
      <c r="J41" s="59">
        <v>0.4</v>
      </c>
      <c r="K41" s="59">
        <v>54.93</v>
      </c>
      <c r="L41" s="59">
        <v>24.97</v>
      </c>
      <c r="M41" s="59">
        <v>49</v>
      </c>
      <c r="N41" s="59">
        <v>171.5</v>
      </c>
      <c r="O41" s="59">
        <v>0</v>
      </c>
      <c r="P41" s="59">
        <v>1.48</v>
      </c>
      <c r="Q41" s="59">
        <v>51.27</v>
      </c>
      <c r="R41" s="197"/>
      <c r="S41" s="197"/>
      <c r="T41" s="197"/>
      <c r="U41" s="197"/>
    </row>
    <row r="42" spans="1:21" s="12" customFormat="1" x14ac:dyDescent="0.25">
      <c r="A42" s="200" t="s">
        <v>1432</v>
      </c>
      <c r="B42" s="59">
        <v>31.75</v>
      </c>
      <c r="C42" s="59">
        <v>75.87</v>
      </c>
      <c r="D42" s="59">
        <v>67.33</v>
      </c>
      <c r="E42" s="59">
        <v>4.8</v>
      </c>
      <c r="F42" s="59">
        <v>0.71</v>
      </c>
      <c r="G42" s="59">
        <v>74.66</v>
      </c>
      <c r="H42" s="59">
        <v>29.21</v>
      </c>
      <c r="I42" s="59">
        <v>0.56999999999999995</v>
      </c>
      <c r="J42" s="59">
        <v>0.5</v>
      </c>
      <c r="K42" s="59">
        <v>78.45</v>
      </c>
      <c r="L42" s="59">
        <v>25.23</v>
      </c>
      <c r="M42" s="59">
        <v>49</v>
      </c>
      <c r="N42" s="59">
        <v>206.8</v>
      </c>
      <c r="O42" s="59">
        <v>0</v>
      </c>
      <c r="P42" s="59">
        <v>1.47</v>
      </c>
      <c r="Q42" s="59">
        <v>51.01</v>
      </c>
      <c r="R42" s="197"/>
      <c r="S42" s="197"/>
      <c r="T42" s="197"/>
      <c r="U42" s="197"/>
    </row>
    <row r="43" spans="1:21" s="12" customFormat="1" x14ac:dyDescent="0.25">
      <c r="A43" s="200" t="s">
        <v>1433</v>
      </c>
      <c r="B43" s="59">
        <v>32.04</v>
      </c>
      <c r="C43" s="59">
        <v>77.56</v>
      </c>
      <c r="D43" s="59">
        <v>68.489999999999995</v>
      </c>
      <c r="E43" s="59">
        <v>4.6500000000000004</v>
      </c>
      <c r="F43" s="59">
        <v>0.68</v>
      </c>
      <c r="G43" s="59">
        <v>77.180000000000007</v>
      </c>
      <c r="H43" s="59">
        <v>29.43</v>
      </c>
      <c r="I43" s="59">
        <v>0.56000000000000005</v>
      </c>
      <c r="J43" s="59">
        <v>0.61</v>
      </c>
      <c r="K43" s="59">
        <v>33.94</v>
      </c>
      <c r="L43" s="59">
        <v>26.98</v>
      </c>
      <c r="M43" s="59">
        <v>44</v>
      </c>
      <c r="N43" s="59">
        <v>252.8</v>
      </c>
      <c r="O43" s="59">
        <v>0</v>
      </c>
      <c r="P43" s="59">
        <v>1.48</v>
      </c>
      <c r="Q43" s="59">
        <v>50.19</v>
      </c>
      <c r="R43" s="197"/>
      <c r="S43" s="197"/>
      <c r="T43" s="197"/>
      <c r="U43" s="197"/>
    </row>
    <row r="44" spans="1:21" s="12" customFormat="1" x14ac:dyDescent="0.25">
      <c r="A44" s="200" t="s">
        <v>1434</v>
      </c>
      <c r="B44" s="59">
        <v>31.95</v>
      </c>
      <c r="C44" s="59">
        <v>79.12</v>
      </c>
      <c r="D44" s="59">
        <v>69.28</v>
      </c>
      <c r="E44" s="59">
        <v>5.3</v>
      </c>
      <c r="F44" s="59">
        <v>0.89</v>
      </c>
      <c r="G44" s="59">
        <v>85.22</v>
      </c>
      <c r="H44" s="59">
        <v>29.79</v>
      </c>
      <c r="I44" s="59">
        <v>0.55000000000000004</v>
      </c>
      <c r="J44" s="59">
        <v>0.83</v>
      </c>
      <c r="K44" s="59">
        <v>100.89</v>
      </c>
      <c r="L44" s="59">
        <v>26.52</v>
      </c>
      <c r="M44" s="59">
        <v>43</v>
      </c>
      <c r="N44" s="59">
        <v>262.2</v>
      </c>
      <c r="O44" s="59">
        <v>0</v>
      </c>
      <c r="P44" s="59">
        <v>1.46</v>
      </c>
      <c r="Q44" s="59">
        <v>49.47</v>
      </c>
      <c r="R44" s="197"/>
      <c r="S44" s="197"/>
      <c r="T44" s="197"/>
      <c r="U44" s="197"/>
    </row>
    <row r="45" spans="1:21" s="12" customFormat="1" x14ac:dyDescent="0.25">
      <c r="A45" s="200" t="s">
        <v>1435</v>
      </c>
      <c r="B45" s="59">
        <v>34.5</v>
      </c>
      <c r="C45" s="59">
        <v>79.47</v>
      </c>
      <c r="D45" s="59">
        <v>71.52</v>
      </c>
      <c r="E45" s="59">
        <v>5.61</v>
      </c>
      <c r="F45" s="59">
        <v>0.69</v>
      </c>
      <c r="G45" s="59">
        <v>85.22</v>
      </c>
      <c r="H45" s="59">
        <v>29.79</v>
      </c>
      <c r="I45" s="59">
        <v>0.54</v>
      </c>
      <c r="J45" s="59">
        <v>0.74</v>
      </c>
      <c r="K45" s="59">
        <v>42.69</v>
      </c>
      <c r="L45" s="59">
        <v>27.44</v>
      </c>
      <c r="M45" s="59">
        <v>41</v>
      </c>
      <c r="N45" s="59">
        <v>279.10000000000002</v>
      </c>
      <c r="O45" s="59">
        <v>0</v>
      </c>
      <c r="P45" s="59">
        <v>1.43</v>
      </c>
      <c r="Q45" s="59">
        <v>48.75</v>
      </c>
      <c r="R45" s="197"/>
      <c r="S45" s="197"/>
      <c r="T45" s="197"/>
      <c r="U45" s="197"/>
    </row>
    <row r="46" spans="1:21" s="12" customFormat="1" x14ac:dyDescent="0.25">
      <c r="A46" s="200" t="s">
        <v>1436</v>
      </c>
      <c r="B46" s="59">
        <v>35.96</v>
      </c>
      <c r="C46" s="59">
        <v>83.3</v>
      </c>
      <c r="D46" s="59">
        <v>74.81</v>
      </c>
      <c r="E46" s="59">
        <v>6.33</v>
      </c>
      <c r="F46" s="59">
        <v>0.73</v>
      </c>
      <c r="G46" s="59">
        <v>85.22</v>
      </c>
      <c r="H46" s="59">
        <v>29.79</v>
      </c>
      <c r="I46" s="59">
        <v>0.52</v>
      </c>
      <c r="J46" s="59">
        <v>0.77</v>
      </c>
      <c r="K46" s="59">
        <v>66.739999999999995</v>
      </c>
      <c r="L46" s="59">
        <v>27.91</v>
      </c>
      <c r="M46" s="59">
        <v>40</v>
      </c>
      <c r="N46" s="59">
        <v>311.5</v>
      </c>
      <c r="O46" s="59">
        <v>0</v>
      </c>
      <c r="P46" s="59">
        <v>1.41</v>
      </c>
      <c r="Q46" s="59">
        <v>48.01</v>
      </c>
      <c r="R46" s="197"/>
      <c r="S46" s="197"/>
      <c r="T46" s="197"/>
      <c r="U46" s="197"/>
    </row>
    <row r="47" spans="1:21" s="12" customFormat="1" x14ac:dyDescent="0.25">
      <c r="A47" s="200" t="s">
        <v>1437</v>
      </c>
      <c r="B47" s="59">
        <v>33.729999999999997</v>
      </c>
      <c r="C47" s="59">
        <v>85.22</v>
      </c>
      <c r="D47" s="59">
        <v>74.08</v>
      </c>
      <c r="E47" s="59">
        <v>7.58</v>
      </c>
      <c r="F47" s="59">
        <v>1.37</v>
      </c>
      <c r="G47" s="59">
        <v>84.91</v>
      </c>
      <c r="H47" s="59">
        <v>30.38</v>
      </c>
      <c r="I47" s="59">
        <v>0.51</v>
      </c>
      <c r="J47" s="59">
        <v>1.1000000000000001</v>
      </c>
      <c r="K47" s="59">
        <v>12.4</v>
      </c>
      <c r="L47" s="59">
        <v>29.9</v>
      </c>
      <c r="M47" s="59">
        <v>34</v>
      </c>
      <c r="N47" s="59">
        <v>311.7</v>
      </c>
      <c r="O47" s="59">
        <v>0</v>
      </c>
      <c r="P47" s="59">
        <v>1.4</v>
      </c>
      <c r="Q47" s="59">
        <v>47.45</v>
      </c>
      <c r="R47" s="197"/>
      <c r="S47" s="197"/>
      <c r="T47" s="197"/>
      <c r="U47" s="197"/>
    </row>
    <row r="48" spans="1:21" s="12" customFormat="1" x14ac:dyDescent="0.25">
      <c r="A48" s="200" t="s">
        <v>1438</v>
      </c>
      <c r="B48" s="59">
        <v>32.72</v>
      </c>
      <c r="C48" s="59">
        <v>86.16</v>
      </c>
      <c r="D48" s="59">
        <v>73.790000000000006</v>
      </c>
      <c r="E48" s="59">
        <v>8.59</v>
      </c>
      <c r="F48" s="59">
        <v>2.0299999999999998</v>
      </c>
      <c r="G48" s="59">
        <v>84.59</v>
      </c>
      <c r="H48" s="59">
        <v>31.29</v>
      </c>
      <c r="I48" s="59">
        <v>0.5</v>
      </c>
      <c r="J48" s="59">
        <v>0.82</v>
      </c>
      <c r="K48" s="59">
        <v>16.649999999999999</v>
      </c>
      <c r="L48" s="59">
        <v>30.46</v>
      </c>
      <c r="M48" s="59">
        <v>34</v>
      </c>
      <c r="N48" s="59">
        <v>331.6</v>
      </c>
      <c r="O48" s="59">
        <v>0</v>
      </c>
      <c r="P48" s="59">
        <v>1.39</v>
      </c>
      <c r="Q48" s="59">
        <v>47.09</v>
      </c>
      <c r="R48" s="197"/>
      <c r="S48" s="197"/>
      <c r="T48" s="197"/>
      <c r="U48" s="197"/>
    </row>
    <row r="49" spans="1:21" s="12" customFormat="1" x14ac:dyDescent="0.25">
      <c r="A49" s="200" t="s">
        <v>1439</v>
      </c>
      <c r="B49" s="59">
        <v>32.03</v>
      </c>
      <c r="C49" s="59">
        <v>85.73</v>
      </c>
      <c r="D49" s="59">
        <v>73</v>
      </c>
      <c r="E49" s="59">
        <v>8.75</v>
      </c>
      <c r="F49" s="59">
        <v>2.12</v>
      </c>
      <c r="G49" s="59">
        <v>84.59</v>
      </c>
      <c r="H49" s="59">
        <v>31.29</v>
      </c>
      <c r="I49" s="59">
        <v>0.47</v>
      </c>
      <c r="J49" s="59">
        <v>1.06</v>
      </c>
      <c r="K49" s="59">
        <v>14.3</v>
      </c>
      <c r="L49" s="59">
        <v>31.78</v>
      </c>
      <c r="M49" s="59">
        <v>31</v>
      </c>
      <c r="N49" s="59">
        <v>348.2</v>
      </c>
      <c r="O49" s="59">
        <v>0</v>
      </c>
      <c r="P49" s="59">
        <v>1.39</v>
      </c>
      <c r="Q49" s="59">
        <v>47</v>
      </c>
      <c r="R49" s="197"/>
      <c r="S49" s="197"/>
      <c r="T49" s="197"/>
      <c r="U49" s="197"/>
    </row>
    <row r="50" spans="1:21" s="12" customFormat="1" x14ac:dyDescent="0.25">
      <c r="A50" s="200" t="s">
        <v>1440</v>
      </c>
      <c r="B50" s="59">
        <v>32.82</v>
      </c>
      <c r="C50" s="59">
        <v>87</v>
      </c>
      <c r="D50" s="59">
        <v>74.33</v>
      </c>
      <c r="E50" s="59">
        <v>8.73</v>
      </c>
      <c r="F50" s="59">
        <v>1.67</v>
      </c>
      <c r="G50" s="59">
        <v>84.59</v>
      </c>
      <c r="H50" s="59">
        <v>31.29</v>
      </c>
      <c r="I50" s="59">
        <v>0.47</v>
      </c>
      <c r="J50" s="59">
        <v>0.69</v>
      </c>
      <c r="K50" s="59">
        <v>38.630000000000003</v>
      </c>
      <c r="L50" s="59">
        <v>32</v>
      </c>
      <c r="M50" s="59">
        <v>30</v>
      </c>
      <c r="N50" s="59">
        <v>367.7</v>
      </c>
      <c r="O50" s="59">
        <v>0</v>
      </c>
      <c r="P50" s="59">
        <v>1.39</v>
      </c>
      <c r="Q50" s="59">
        <v>46.86</v>
      </c>
      <c r="R50" s="197"/>
      <c r="S50" s="197"/>
      <c r="T50" s="197"/>
      <c r="U50" s="197"/>
    </row>
    <row r="51" spans="1:21" s="12" customFormat="1" x14ac:dyDescent="0.25">
      <c r="A51" s="200" t="s">
        <v>1441</v>
      </c>
      <c r="B51" s="59">
        <v>32.93</v>
      </c>
      <c r="C51" s="59">
        <v>85.97</v>
      </c>
      <c r="D51" s="59">
        <v>73.86</v>
      </c>
      <c r="E51" s="59">
        <v>7.58</v>
      </c>
      <c r="F51" s="59">
        <v>1.32</v>
      </c>
      <c r="G51" s="59">
        <v>78.180000000000007</v>
      </c>
      <c r="H51" s="59">
        <v>31.07</v>
      </c>
      <c r="I51" s="59">
        <v>0.47</v>
      </c>
      <c r="J51" s="59">
        <v>1.2</v>
      </c>
      <c r="K51" s="59">
        <v>91.66</v>
      </c>
      <c r="L51" s="59">
        <v>29.88</v>
      </c>
      <c r="M51" s="59">
        <v>33</v>
      </c>
      <c r="N51" s="59">
        <v>378.2</v>
      </c>
      <c r="O51" s="59">
        <v>0</v>
      </c>
      <c r="P51" s="59">
        <v>1.36</v>
      </c>
      <c r="Q51" s="59">
        <v>46.84</v>
      </c>
      <c r="R51" s="197"/>
      <c r="S51" s="197"/>
      <c r="T51" s="197"/>
      <c r="U51" s="197"/>
    </row>
    <row r="52" spans="1:21" s="12" customFormat="1" x14ac:dyDescent="0.25">
      <c r="A52" s="200" t="s">
        <v>1442</v>
      </c>
      <c r="B52" s="59">
        <v>33.479999999999997</v>
      </c>
      <c r="C52" s="59">
        <v>85.85</v>
      </c>
      <c r="D52" s="59">
        <v>74.23</v>
      </c>
      <c r="E52" s="59">
        <v>10.56</v>
      </c>
      <c r="F52" s="59">
        <v>1.24</v>
      </c>
      <c r="G52" s="59">
        <v>70.63</v>
      </c>
      <c r="H52" s="59">
        <v>30.71</v>
      </c>
      <c r="I52" s="59">
        <v>0.47</v>
      </c>
      <c r="J52" s="59">
        <v>0.87</v>
      </c>
      <c r="K52" s="59">
        <v>29.4</v>
      </c>
      <c r="L52" s="59">
        <v>30.87</v>
      </c>
      <c r="M52" s="59">
        <v>32</v>
      </c>
      <c r="N52" s="59">
        <v>377.6</v>
      </c>
      <c r="O52" s="59">
        <v>0</v>
      </c>
      <c r="P52" s="59">
        <v>1.35</v>
      </c>
      <c r="Q52" s="59">
        <v>46.74</v>
      </c>
      <c r="R52" s="197"/>
      <c r="S52" s="197"/>
      <c r="T52" s="197"/>
      <c r="U52" s="197"/>
    </row>
    <row r="53" spans="1:21" s="12" customFormat="1" x14ac:dyDescent="0.25">
      <c r="A53" s="200" t="s">
        <v>1443</v>
      </c>
      <c r="B53" s="59">
        <v>33.46</v>
      </c>
      <c r="C53" s="59">
        <v>85.79</v>
      </c>
      <c r="D53" s="59">
        <v>74.180000000000007</v>
      </c>
      <c r="E53" s="59">
        <v>8.14</v>
      </c>
      <c r="F53" s="59">
        <v>1.28</v>
      </c>
      <c r="G53" s="59">
        <v>70.63</v>
      </c>
      <c r="H53" s="59">
        <v>30.71</v>
      </c>
      <c r="I53" s="59">
        <v>0.48</v>
      </c>
      <c r="J53" s="59">
        <v>1.08</v>
      </c>
      <c r="K53" s="59">
        <v>9.73</v>
      </c>
      <c r="L53" s="59">
        <v>32.9</v>
      </c>
      <c r="M53" s="59">
        <v>29</v>
      </c>
      <c r="N53" s="59">
        <v>372.8</v>
      </c>
      <c r="O53" s="59">
        <v>0</v>
      </c>
      <c r="P53" s="59">
        <v>1.32</v>
      </c>
      <c r="Q53" s="59">
        <v>47.58</v>
      </c>
      <c r="R53" s="197"/>
      <c r="S53" s="197"/>
      <c r="T53" s="197"/>
      <c r="U53" s="197"/>
    </row>
    <row r="54" spans="1:21" s="12" customFormat="1" x14ac:dyDescent="0.25">
      <c r="A54" s="200" t="s">
        <v>1444</v>
      </c>
      <c r="B54" s="59">
        <v>33.75</v>
      </c>
      <c r="C54" s="59">
        <v>89.38</v>
      </c>
      <c r="D54" s="59">
        <v>76.39</v>
      </c>
      <c r="E54" s="59">
        <v>6.89</v>
      </c>
      <c r="F54" s="59">
        <v>1.21</v>
      </c>
      <c r="G54" s="59">
        <v>70.63</v>
      </c>
      <c r="H54" s="59">
        <v>30.71</v>
      </c>
      <c r="I54" s="59">
        <v>0.46</v>
      </c>
      <c r="J54" s="59">
        <v>0.95</v>
      </c>
      <c r="K54" s="59">
        <v>9.3000000000000007</v>
      </c>
      <c r="L54" s="59">
        <v>33.51</v>
      </c>
      <c r="M54" s="59">
        <v>28</v>
      </c>
      <c r="N54" s="59">
        <v>377.3</v>
      </c>
      <c r="O54" s="59">
        <v>0</v>
      </c>
      <c r="P54" s="59">
        <v>1.3</v>
      </c>
      <c r="Q54" s="59">
        <v>48.63</v>
      </c>
      <c r="R54" s="197"/>
      <c r="S54" s="197"/>
      <c r="T54" s="197"/>
      <c r="U54" s="197"/>
    </row>
    <row r="55" spans="1:21" s="12" customFormat="1" x14ac:dyDescent="0.25">
      <c r="A55" s="200" t="s">
        <v>1445</v>
      </c>
      <c r="B55" s="59">
        <v>33.630000000000003</v>
      </c>
      <c r="C55" s="59">
        <v>89.86</v>
      </c>
      <c r="D55" s="59">
        <v>76.56</v>
      </c>
      <c r="E55" s="59">
        <v>8</v>
      </c>
      <c r="F55" s="59">
        <v>1.1100000000000001</v>
      </c>
      <c r="G55" s="59">
        <v>69.7</v>
      </c>
      <c r="H55" s="59">
        <v>30.66</v>
      </c>
      <c r="I55" s="59">
        <v>0.46</v>
      </c>
      <c r="J55" s="59">
        <v>1.17</v>
      </c>
      <c r="K55" s="59">
        <v>4.55</v>
      </c>
      <c r="L55" s="59">
        <v>34.200000000000003</v>
      </c>
      <c r="M55" s="59">
        <v>27</v>
      </c>
      <c r="N55" s="59">
        <v>385.2</v>
      </c>
      <c r="O55" s="59">
        <v>0</v>
      </c>
      <c r="P55" s="59">
        <v>1.3</v>
      </c>
      <c r="Q55" s="59">
        <v>47.91</v>
      </c>
      <c r="R55" s="197"/>
      <c r="S55" s="197"/>
      <c r="T55" s="197"/>
      <c r="U55" s="197"/>
    </row>
    <row r="56" spans="1:21" s="12" customFormat="1" x14ac:dyDescent="0.25">
      <c r="A56" s="200" t="s">
        <v>1446</v>
      </c>
      <c r="B56" s="59">
        <v>33.79</v>
      </c>
      <c r="C56" s="59">
        <v>89.98</v>
      </c>
      <c r="D56" s="59">
        <v>76.760000000000005</v>
      </c>
      <c r="E56" s="59">
        <v>3.69</v>
      </c>
      <c r="F56" s="59">
        <v>0.97</v>
      </c>
      <c r="G56" s="59">
        <v>68.790000000000006</v>
      </c>
      <c r="H56" s="59">
        <v>30.58</v>
      </c>
      <c r="I56" s="59">
        <v>0.44</v>
      </c>
      <c r="J56" s="59">
        <v>0.85</v>
      </c>
      <c r="K56" s="59">
        <v>31.81</v>
      </c>
      <c r="L56" s="59">
        <v>33.53</v>
      </c>
      <c r="M56" s="59">
        <v>29</v>
      </c>
      <c r="N56" s="59">
        <v>384.8</v>
      </c>
      <c r="O56" s="59">
        <v>0</v>
      </c>
      <c r="P56" s="59">
        <v>1.29</v>
      </c>
      <c r="Q56" s="59">
        <v>47.02</v>
      </c>
      <c r="R56" s="197"/>
      <c r="S56" s="197"/>
      <c r="T56" s="197"/>
      <c r="U56" s="197"/>
    </row>
    <row r="57" spans="1:21" s="12" customFormat="1" x14ac:dyDescent="0.25">
      <c r="A57" s="200" t="s">
        <v>1447</v>
      </c>
      <c r="B57" s="59">
        <v>33.74</v>
      </c>
      <c r="C57" s="59">
        <v>90.57</v>
      </c>
      <c r="D57" s="59">
        <v>77.040000000000006</v>
      </c>
      <c r="E57" s="59">
        <v>7.69</v>
      </c>
      <c r="F57" s="59">
        <v>1.1000000000000001</v>
      </c>
      <c r="G57" s="59">
        <v>68.790000000000006</v>
      </c>
      <c r="H57" s="59">
        <v>30.58</v>
      </c>
      <c r="I57" s="59">
        <v>0.43</v>
      </c>
      <c r="J57" s="59">
        <v>0.97</v>
      </c>
      <c r="K57" s="59">
        <v>9.89</v>
      </c>
      <c r="L57" s="59">
        <v>34.11</v>
      </c>
      <c r="M57" s="59">
        <v>27</v>
      </c>
      <c r="N57" s="59">
        <v>377.5</v>
      </c>
      <c r="O57" s="59">
        <v>0</v>
      </c>
      <c r="P57" s="59">
        <v>1.27</v>
      </c>
      <c r="Q57" s="59">
        <v>46.59</v>
      </c>
      <c r="R57" s="197"/>
      <c r="S57" s="197"/>
      <c r="T57" s="197"/>
      <c r="U57" s="197"/>
    </row>
    <row r="58" spans="1:21" s="12" customFormat="1" x14ac:dyDescent="0.25">
      <c r="A58" s="200" t="s">
        <v>1448</v>
      </c>
      <c r="B58" s="59">
        <v>33.17</v>
      </c>
      <c r="C58" s="59">
        <v>92.02</v>
      </c>
      <c r="D58" s="59">
        <v>77.39</v>
      </c>
      <c r="E58" s="59">
        <v>8</v>
      </c>
      <c r="F58" s="59">
        <v>1.19</v>
      </c>
      <c r="G58" s="59">
        <v>68.790000000000006</v>
      </c>
      <c r="H58" s="59">
        <v>30.58</v>
      </c>
      <c r="I58" s="59">
        <v>0.42</v>
      </c>
      <c r="J58" s="59">
        <v>0.7</v>
      </c>
      <c r="K58" s="59">
        <v>73.83</v>
      </c>
      <c r="L58" s="59">
        <v>32.520000000000003</v>
      </c>
      <c r="M58" s="59">
        <v>31</v>
      </c>
      <c r="N58" s="59">
        <v>362.5</v>
      </c>
      <c r="O58" s="59">
        <v>0</v>
      </c>
      <c r="P58" s="59">
        <v>1.25</v>
      </c>
      <c r="Q58" s="59">
        <v>46.37</v>
      </c>
      <c r="R58" s="197"/>
      <c r="S58" s="197"/>
      <c r="T58" s="197"/>
      <c r="U58" s="197"/>
    </row>
    <row r="59" spans="1:21" s="12" customFormat="1" x14ac:dyDescent="0.25">
      <c r="A59" s="200" t="s">
        <v>1449</v>
      </c>
      <c r="B59" s="59">
        <v>32.89</v>
      </c>
      <c r="C59" s="59">
        <v>93.57</v>
      </c>
      <c r="D59" s="59">
        <v>78.010000000000005</v>
      </c>
      <c r="E59" s="59">
        <v>7.8</v>
      </c>
      <c r="F59" s="59">
        <v>1.1200000000000001</v>
      </c>
      <c r="G59" s="59">
        <v>67.650000000000006</v>
      </c>
      <c r="H59" s="59">
        <v>30.23</v>
      </c>
      <c r="I59" s="59">
        <v>0.41</v>
      </c>
      <c r="J59" s="59">
        <v>1.2</v>
      </c>
      <c r="K59" s="59">
        <v>7.22</v>
      </c>
      <c r="L59" s="59">
        <v>33.81</v>
      </c>
      <c r="M59" s="59">
        <v>29</v>
      </c>
      <c r="N59" s="59">
        <v>348.9</v>
      </c>
      <c r="O59" s="59">
        <v>0</v>
      </c>
      <c r="P59" s="59">
        <v>1.23</v>
      </c>
      <c r="Q59" s="59">
        <v>45.91</v>
      </c>
      <c r="R59" s="197"/>
      <c r="S59" s="197"/>
      <c r="T59" s="197"/>
      <c r="U59" s="197"/>
    </row>
    <row r="60" spans="1:21" s="12" customFormat="1" x14ac:dyDescent="0.25">
      <c r="A60" s="200" t="s">
        <v>1450</v>
      </c>
      <c r="B60" s="59">
        <v>32.799999999999997</v>
      </c>
      <c r="C60" s="59">
        <v>94.5</v>
      </c>
      <c r="D60" s="59">
        <v>78.45</v>
      </c>
      <c r="E60" s="59">
        <v>22.56</v>
      </c>
      <c r="F60" s="59">
        <v>3.11</v>
      </c>
      <c r="G60" s="59">
        <v>64.010000000000005</v>
      </c>
      <c r="H60" s="59">
        <v>29.67</v>
      </c>
      <c r="I60" s="59">
        <v>0.4</v>
      </c>
      <c r="J60" s="59">
        <v>1.39</v>
      </c>
      <c r="K60" s="59">
        <v>8.64</v>
      </c>
      <c r="L60" s="59">
        <v>34.18</v>
      </c>
      <c r="M60" s="59">
        <v>28</v>
      </c>
      <c r="N60" s="59">
        <v>352.5</v>
      </c>
      <c r="O60" s="59">
        <v>0</v>
      </c>
      <c r="P60" s="59">
        <v>1.21</v>
      </c>
      <c r="Q60" s="59">
        <v>44.59</v>
      </c>
      <c r="R60" s="197"/>
      <c r="S60" s="197"/>
      <c r="T60" s="197"/>
      <c r="U60" s="197"/>
    </row>
    <row r="61" spans="1:21" s="12" customFormat="1" x14ac:dyDescent="0.25">
      <c r="A61" s="200" t="s">
        <v>1451</v>
      </c>
      <c r="B61" s="59">
        <v>32.67</v>
      </c>
      <c r="C61" s="59">
        <v>92.47</v>
      </c>
      <c r="D61" s="59">
        <v>77.23</v>
      </c>
      <c r="E61" s="59">
        <v>16.32</v>
      </c>
      <c r="F61" s="59">
        <v>4.01</v>
      </c>
      <c r="G61" s="59">
        <v>64.010000000000005</v>
      </c>
      <c r="H61" s="59">
        <v>29.67</v>
      </c>
      <c r="I61" s="59">
        <v>0.39</v>
      </c>
      <c r="J61" s="59">
        <v>1.1499999999999999</v>
      </c>
      <c r="K61" s="59">
        <v>2.39</v>
      </c>
      <c r="L61" s="59">
        <v>34.4</v>
      </c>
      <c r="M61" s="59">
        <v>27</v>
      </c>
      <c r="N61" s="59">
        <v>282.5</v>
      </c>
      <c r="O61" s="59">
        <v>0</v>
      </c>
      <c r="P61" s="59">
        <v>1.1499999999999999</v>
      </c>
      <c r="Q61" s="59">
        <v>44.72</v>
      </c>
      <c r="R61" s="197"/>
      <c r="S61" s="197"/>
      <c r="T61" s="197"/>
      <c r="U61" s="197"/>
    </row>
    <row r="62" spans="1:21" s="12" customFormat="1" x14ac:dyDescent="0.25">
      <c r="A62" s="200" t="s">
        <v>1452</v>
      </c>
      <c r="B62" s="59">
        <v>30.66</v>
      </c>
      <c r="C62" s="59">
        <v>95.31</v>
      </c>
      <c r="D62" s="59">
        <v>77.19</v>
      </c>
      <c r="E62" s="59">
        <v>15.34</v>
      </c>
      <c r="F62" s="59">
        <v>3.6</v>
      </c>
      <c r="G62" s="59">
        <v>64.010000000000005</v>
      </c>
      <c r="H62" s="59">
        <v>29.67</v>
      </c>
      <c r="I62" s="59">
        <v>0.37</v>
      </c>
      <c r="J62" s="59">
        <v>1.05</v>
      </c>
      <c r="K62" s="59">
        <v>0.59</v>
      </c>
      <c r="L62" s="59">
        <v>34.51</v>
      </c>
      <c r="M62" s="59">
        <v>27</v>
      </c>
      <c r="N62" s="59">
        <v>280.3</v>
      </c>
      <c r="O62" s="59">
        <v>0</v>
      </c>
      <c r="P62" s="59">
        <v>1.21</v>
      </c>
      <c r="Q62" s="59">
        <v>44.69</v>
      </c>
      <c r="R62" s="197"/>
      <c r="S62" s="197"/>
      <c r="T62" s="197"/>
      <c r="U62" s="197"/>
    </row>
    <row r="63" spans="1:21" s="12" customFormat="1" x14ac:dyDescent="0.25">
      <c r="A63" s="200" t="s">
        <v>1453</v>
      </c>
      <c r="B63" s="59">
        <v>28.07</v>
      </c>
      <c r="C63" s="59">
        <v>93.62</v>
      </c>
      <c r="D63" s="59">
        <v>74.17</v>
      </c>
      <c r="E63" s="59">
        <v>41.53</v>
      </c>
      <c r="F63" s="59">
        <v>6.09</v>
      </c>
      <c r="G63" s="59">
        <v>61.54</v>
      </c>
      <c r="H63" s="59">
        <v>30.51</v>
      </c>
      <c r="I63" s="59">
        <v>0.38</v>
      </c>
      <c r="J63" s="59">
        <v>0.95</v>
      </c>
      <c r="K63" s="59">
        <v>11.62</v>
      </c>
      <c r="L63" s="59">
        <v>33.61</v>
      </c>
      <c r="M63" s="59">
        <v>27</v>
      </c>
      <c r="N63" s="59">
        <v>315.7</v>
      </c>
      <c r="O63" s="59">
        <v>0</v>
      </c>
      <c r="P63" s="59">
        <v>1.19</v>
      </c>
      <c r="Q63" s="59">
        <v>44.73</v>
      </c>
      <c r="R63" s="197"/>
      <c r="S63" s="197"/>
      <c r="T63" s="197"/>
      <c r="U63" s="197"/>
    </row>
    <row r="64" spans="1:21" s="12" customFormat="1" x14ac:dyDescent="0.25">
      <c r="A64" s="200" t="s">
        <v>1454</v>
      </c>
      <c r="B64" s="59">
        <v>26.07</v>
      </c>
      <c r="C64" s="59">
        <v>92.26</v>
      </c>
      <c r="D64" s="59">
        <v>71.819999999999993</v>
      </c>
      <c r="E64" s="59">
        <v>19.05</v>
      </c>
      <c r="F64" s="59">
        <v>4.22</v>
      </c>
      <c r="G64" s="59">
        <v>59.15</v>
      </c>
      <c r="H64" s="59">
        <v>31.83</v>
      </c>
      <c r="I64" s="59">
        <v>0.37</v>
      </c>
      <c r="J64" s="59">
        <v>1.1399999999999999</v>
      </c>
      <c r="K64" s="59">
        <v>2.81</v>
      </c>
      <c r="L64" s="59">
        <v>33.85</v>
      </c>
      <c r="M64" s="59">
        <v>26</v>
      </c>
      <c r="N64" s="59">
        <v>299.10000000000002</v>
      </c>
      <c r="O64" s="59">
        <v>0</v>
      </c>
      <c r="P64" s="59">
        <v>1.21</v>
      </c>
      <c r="Q64" s="59">
        <v>45.22</v>
      </c>
      <c r="R64" s="197"/>
      <c r="S64" s="197"/>
      <c r="T64" s="197"/>
      <c r="U64" s="197"/>
    </row>
    <row r="65" spans="1:21" s="12" customFormat="1" x14ac:dyDescent="0.25">
      <c r="A65" s="200" t="s">
        <v>1455</v>
      </c>
      <c r="B65" s="59">
        <v>24.97</v>
      </c>
      <c r="C65" s="59">
        <v>91.96</v>
      </c>
      <c r="D65" s="59">
        <v>70.78</v>
      </c>
      <c r="E65" s="59">
        <v>15.23</v>
      </c>
      <c r="F65" s="59">
        <v>5.05</v>
      </c>
      <c r="G65" s="59">
        <v>59.15</v>
      </c>
      <c r="H65" s="59">
        <v>31.83</v>
      </c>
      <c r="I65" s="59">
        <v>0.36</v>
      </c>
      <c r="J65" s="59">
        <v>1.55</v>
      </c>
      <c r="K65" s="59">
        <v>0.34</v>
      </c>
      <c r="L65" s="59">
        <v>33.79</v>
      </c>
      <c r="M65" s="59">
        <v>27</v>
      </c>
      <c r="N65" s="59">
        <v>278.39999999999998</v>
      </c>
      <c r="O65" s="59">
        <v>0</v>
      </c>
      <c r="P65" s="59">
        <v>1.22</v>
      </c>
      <c r="Q65" s="59">
        <v>45.88</v>
      </c>
      <c r="R65" s="197"/>
      <c r="S65" s="197"/>
      <c r="T65" s="197"/>
      <c r="U65" s="197"/>
    </row>
    <row r="66" spans="1:21" s="12" customFormat="1" x14ac:dyDescent="0.25">
      <c r="A66" s="200" t="s">
        <v>1456</v>
      </c>
      <c r="B66" s="59">
        <v>21.2</v>
      </c>
      <c r="C66" s="59">
        <v>89.58</v>
      </c>
      <c r="D66" s="59">
        <v>66.44</v>
      </c>
      <c r="E66" s="59">
        <v>30.41</v>
      </c>
      <c r="F66" s="59">
        <v>7.53</v>
      </c>
      <c r="G66" s="59">
        <v>59.15</v>
      </c>
      <c r="H66" s="59">
        <v>31.83</v>
      </c>
      <c r="I66" s="59">
        <v>0.38</v>
      </c>
      <c r="J66" s="59">
        <v>1.26</v>
      </c>
      <c r="K66" s="59">
        <v>12.94</v>
      </c>
      <c r="L66" s="59">
        <v>33.200000000000003</v>
      </c>
      <c r="M66" s="59">
        <v>27</v>
      </c>
      <c r="N66" s="59">
        <v>207.7</v>
      </c>
      <c r="O66" s="59">
        <v>0</v>
      </c>
      <c r="P66" s="59">
        <v>1.23</v>
      </c>
      <c r="Q66" s="59">
        <v>45.99</v>
      </c>
      <c r="R66" s="197"/>
      <c r="S66" s="197"/>
      <c r="T66" s="197"/>
      <c r="U66" s="197"/>
    </row>
    <row r="67" spans="1:21" s="12" customFormat="1" x14ac:dyDescent="0.25">
      <c r="A67" s="200" t="s">
        <v>1457</v>
      </c>
      <c r="B67" s="59">
        <v>18.600000000000001</v>
      </c>
      <c r="C67" s="59">
        <v>92.32</v>
      </c>
      <c r="D67" s="59">
        <v>65.87</v>
      </c>
      <c r="E67" s="59">
        <v>16.37</v>
      </c>
      <c r="F67" s="59">
        <v>3.86</v>
      </c>
      <c r="G67" s="59">
        <v>61.4</v>
      </c>
      <c r="H67" s="59">
        <v>32.06</v>
      </c>
      <c r="I67" s="59">
        <v>0.39</v>
      </c>
      <c r="J67" s="59">
        <v>1.38</v>
      </c>
      <c r="K67" s="59">
        <v>359.35</v>
      </c>
      <c r="L67" s="59">
        <v>32.86</v>
      </c>
      <c r="M67" s="59">
        <v>28</v>
      </c>
      <c r="N67" s="59">
        <v>200.9</v>
      </c>
      <c r="O67" s="59">
        <v>0</v>
      </c>
      <c r="P67" s="59">
        <v>1.22</v>
      </c>
      <c r="Q67" s="59">
        <v>46.38</v>
      </c>
      <c r="R67" s="197"/>
      <c r="S67" s="197"/>
      <c r="T67" s="197"/>
      <c r="U67" s="197"/>
    </row>
    <row r="68" spans="1:21" s="12" customFormat="1" x14ac:dyDescent="0.25">
      <c r="A68" s="200" t="s">
        <v>1458</v>
      </c>
      <c r="B68" s="59">
        <v>15.97</v>
      </c>
      <c r="C68" s="59">
        <v>94.23</v>
      </c>
      <c r="D68" s="59">
        <v>64.81</v>
      </c>
      <c r="E68" s="59">
        <v>12.06</v>
      </c>
      <c r="F68" s="59">
        <v>3.43</v>
      </c>
      <c r="G68" s="59">
        <v>63.66</v>
      </c>
      <c r="H68" s="59">
        <v>32.42</v>
      </c>
      <c r="I68" s="59">
        <v>0.35</v>
      </c>
      <c r="J68" s="59">
        <v>0.97</v>
      </c>
      <c r="K68" s="59">
        <v>20.29</v>
      </c>
      <c r="L68" s="59">
        <v>32.07</v>
      </c>
      <c r="M68" s="59">
        <v>30</v>
      </c>
      <c r="N68" s="59">
        <v>158.9</v>
      </c>
      <c r="O68" s="59">
        <v>0</v>
      </c>
      <c r="P68" s="59">
        <v>1.25</v>
      </c>
      <c r="Q68" s="59">
        <v>47.71</v>
      </c>
      <c r="R68" s="197"/>
      <c r="S68" s="197"/>
      <c r="T68" s="197"/>
      <c r="U68" s="197"/>
    </row>
    <row r="69" spans="1:21" s="12" customFormat="1" x14ac:dyDescent="0.25">
      <c r="A69" s="200" t="s">
        <v>1459</v>
      </c>
      <c r="B69" s="59">
        <v>13.09</v>
      </c>
      <c r="C69" s="59">
        <v>94.91</v>
      </c>
      <c r="D69" s="59">
        <v>62.88</v>
      </c>
      <c r="E69" s="59">
        <v>9.8699999999999992</v>
      </c>
      <c r="F69" s="59">
        <v>4.26</v>
      </c>
      <c r="G69" s="59">
        <v>63.66</v>
      </c>
      <c r="H69" s="59">
        <v>32.42</v>
      </c>
      <c r="I69" s="59">
        <v>0.38</v>
      </c>
      <c r="J69" s="59">
        <v>1.39</v>
      </c>
      <c r="K69" s="59">
        <v>7.5</v>
      </c>
      <c r="L69" s="59">
        <v>31.61</v>
      </c>
      <c r="M69" s="59">
        <v>31</v>
      </c>
      <c r="N69" s="59">
        <v>167.3</v>
      </c>
      <c r="O69" s="59">
        <v>0</v>
      </c>
      <c r="P69" s="59">
        <v>1.24</v>
      </c>
      <c r="Q69" s="59">
        <v>47.18</v>
      </c>
      <c r="R69" s="197"/>
      <c r="S69" s="197"/>
      <c r="T69" s="197"/>
      <c r="U69" s="197"/>
    </row>
    <row r="70" spans="1:21" s="12" customFormat="1" x14ac:dyDescent="0.25">
      <c r="A70" s="200" t="s">
        <v>1460</v>
      </c>
      <c r="B70" s="59">
        <v>10.14</v>
      </c>
      <c r="C70" s="59">
        <v>95.31</v>
      </c>
      <c r="D70" s="59">
        <v>60.73</v>
      </c>
      <c r="E70" s="59">
        <v>7.28</v>
      </c>
      <c r="F70" s="59">
        <v>3.25</v>
      </c>
      <c r="G70" s="59">
        <v>63.66</v>
      </c>
      <c r="H70" s="59">
        <v>32.42</v>
      </c>
      <c r="I70" s="59">
        <v>0.37</v>
      </c>
      <c r="J70" s="59">
        <v>1.68</v>
      </c>
      <c r="K70" s="59">
        <v>0.62</v>
      </c>
      <c r="L70" s="59">
        <v>31.16</v>
      </c>
      <c r="M70" s="59">
        <v>32</v>
      </c>
      <c r="N70" s="59">
        <v>119.1</v>
      </c>
      <c r="O70" s="59">
        <v>0</v>
      </c>
      <c r="P70" s="59">
        <v>1.25</v>
      </c>
      <c r="Q70" s="59">
        <v>46.23</v>
      </c>
      <c r="R70" s="197"/>
      <c r="S70" s="197"/>
      <c r="T70" s="197"/>
      <c r="U70" s="197"/>
    </row>
    <row r="71" spans="1:21" s="12" customFormat="1" x14ac:dyDescent="0.25">
      <c r="A71" s="200" t="s">
        <v>1461</v>
      </c>
      <c r="B71" s="59">
        <v>7.52</v>
      </c>
      <c r="C71" s="59">
        <v>95.78</v>
      </c>
      <c r="D71" s="59">
        <v>58.89</v>
      </c>
      <c r="E71" s="59">
        <v>7.15</v>
      </c>
      <c r="F71" s="59">
        <v>3.64</v>
      </c>
      <c r="G71" s="59">
        <v>70.430000000000007</v>
      </c>
      <c r="H71" s="59">
        <v>32.35</v>
      </c>
      <c r="I71" s="59">
        <v>0.36</v>
      </c>
      <c r="J71" s="59">
        <v>1.64</v>
      </c>
      <c r="K71" s="59">
        <v>2.41</v>
      </c>
      <c r="L71" s="59">
        <v>30.6</v>
      </c>
      <c r="M71" s="59">
        <v>32</v>
      </c>
      <c r="N71" s="59">
        <v>94.5</v>
      </c>
      <c r="O71" s="59">
        <v>0</v>
      </c>
      <c r="P71" s="59">
        <v>1.24</v>
      </c>
      <c r="Q71" s="59">
        <v>45.07</v>
      </c>
      <c r="R71" s="197"/>
      <c r="S71" s="197"/>
      <c r="T71" s="197"/>
      <c r="U71" s="197"/>
    </row>
    <row r="72" spans="1:21" s="12" customFormat="1" x14ac:dyDescent="0.25">
      <c r="A72" s="200" t="s">
        <v>1462</v>
      </c>
      <c r="B72" s="59">
        <v>5.57</v>
      </c>
      <c r="C72" s="59">
        <v>94.34</v>
      </c>
      <c r="D72" s="59">
        <v>56.53</v>
      </c>
      <c r="E72" s="59">
        <v>3.13</v>
      </c>
      <c r="F72" s="59">
        <v>3.01</v>
      </c>
      <c r="G72" s="59">
        <v>76.989999999999995</v>
      </c>
      <c r="H72" s="59">
        <v>32.24</v>
      </c>
      <c r="I72" s="59">
        <v>0.36</v>
      </c>
      <c r="J72" s="59">
        <v>1.63</v>
      </c>
      <c r="K72" s="59">
        <v>7.55</v>
      </c>
      <c r="L72" s="59">
        <v>30.28</v>
      </c>
      <c r="M72" s="59">
        <v>32</v>
      </c>
      <c r="N72" s="59">
        <v>80</v>
      </c>
      <c r="O72" s="59">
        <v>0</v>
      </c>
      <c r="P72" s="59">
        <v>1.23</v>
      </c>
      <c r="Q72" s="59">
        <v>44.39</v>
      </c>
      <c r="R72" s="197"/>
      <c r="S72" s="197"/>
      <c r="T72" s="197"/>
      <c r="U72" s="197"/>
    </row>
    <row r="73" spans="1:21" s="12" customFormat="1" x14ac:dyDescent="0.25">
      <c r="A73" s="200" t="s">
        <v>1463</v>
      </c>
      <c r="B73" s="59">
        <v>4.6399999999999997</v>
      </c>
      <c r="C73" s="59">
        <v>92.77</v>
      </c>
      <c r="D73" s="59">
        <v>54.92</v>
      </c>
      <c r="E73" s="59">
        <v>6.48</v>
      </c>
      <c r="F73" s="59">
        <v>2.41</v>
      </c>
      <c r="G73" s="59">
        <v>76.989999999999995</v>
      </c>
      <c r="H73" s="59">
        <v>32.24</v>
      </c>
      <c r="I73" s="59">
        <v>0.35</v>
      </c>
      <c r="J73" s="59">
        <v>1.35</v>
      </c>
      <c r="K73" s="59">
        <v>6.16</v>
      </c>
      <c r="L73" s="59">
        <v>30.13</v>
      </c>
      <c r="M73" s="59">
        <v>32</v>
      </c>
      <c r="N73" s="59">
        <v>70.099999999999994</v>
      </c>
      <c r="O73" s="59">
        <v>0</v>
      </c>
      <c r="P73" s="59">
        <v>1.26</v>
      </c>
      <c r="Q73" s="59">
        <v>43.94</v>
      </c>
      <c r="R73" s="197"/>
      <c r="S73" s="197"/>
      <c r="T73" s="197"/>
      <c r="U73" s="197"/>
    </row>
    <row r="74" spans="1:21" s="12" customFormat="1" x14ac:dyDescent="0.25">
      <c r="A74" s="200" t="s">
        <v>1464</v>
      </c>
      <c r="B74" s="59">
        <v>5.55</v>
      </c>
      <c r="C74" s="59">
        <v>90.89</v>
      </c>
      <c r="D74" s="59">
        <v>54.61</v>
      </c>
      <c r="E74" s="59">
        <v>8.52</v>
      </c>
      <c r="F74" s="59">
        <v>4.38</v>
      </c>
      <c r="G74" s="59">
        <v>76.989999999999995</v>
      </c>
      <c r="H74" s="59">
        <v>32.24</v>
      </c>
      <c r="I74" s="59">
        <v>0.34</v>
      </c>
      <c r="J74" s="59">
        <v>1.49</v>
      </c>
      <c r="K74" s="59">
        <v>8.17</v>
      </c>
      <c r="L74" s="59">
        <v>29.62</v>
      </c>
      <c r="M74" s="59">
        <v>32</v>
      </c>
      <c r="N74" s="59">
        <v>59.4</v>
      </c>
      <c r="O74" s="59">
        <v>0</v>
      </c>
      <c r="P74" s="59">
        <v>1.27</v>
      </c>
      <c r="Q74" s="59">
        <v>42.9</v>
      </c>
      <c r="R74" s="197"/>
      <c r="S74" s="197"/>
      <c r="T74" s="197"/>
      <c r="U74" s="197"/>
    </row>
    <row r="75" spans="1:21" s="12" customFormat="1" x14ac:dyDescent="0.25">
      <c r="A75" s="200" t="s">
        <v>1465</v>
      </c>
      <c r="B75" s="59">
        <v>5.62</v>
      </c>
      <c r="C75" s="59">
        <v>90.07</v>
      </c>
      <c r="D75" s="59">
        <v>54.22</v>
      </c>
      <c r="E75" s="59">
        <v>9.48</v>
      </c>
      <c r="F75" s="59">
        <v>4.8499999999999996</v>
      </c>
      <c r="G75" s="59">
        <v>79.239999999999995</v>
      </c>
      <c r="H75" s="59">
        <v>32.58</v>
      </c>
      <c r="I75" s="59">
        <v>0.34</v>
      </c>
      <c r="J75" s="59">
        <v>1.45</v>
      </c>
      <c r="K75" s="59">
        <v>9.84</v>
      </c>
      <c r="L75" s="59">
        <v>29.13</v>
      </c>
      <c r="M75" s="59">
        <v>32</v>
      </c>
      <c r="N75" s="59">
        <v>46</v>
      </c>
      <c r="O75" s="59">
        <v>0</v>
      </c>
      <c r="P75" s="59">
        <v>1.28</v>
      </c>
      <c r="Q75" s="59">
        <v>42.05</v>
      </c>
      <c r="R75" s="197"/>
      <c r="S75" s="197"/>
      <c r="T75" s="197"/>
      <c r="U75" s="197"/>
    </row>
    <row r="76" spans="1:21" s="12" customFormat="1" x14ac:dyDescent="0.25">
      <c r="A76" s="200" t="s">
        <v>1466</v>
      </c>
      <c r="B76" s="59">
        <v>5.3</v>
      </c>
      <c r="C76" s="59">
        <v>85.73</v>
      </c>
      <c r="D76" s="59">
        <v>51.57</v>
      </c>
      <c r="E76" s="59">
        <v>7.8</v>
      </c>
      <c r="F76" s="59">
        <v>5.48</v>
      </c>
      <c r="G76" s="59">
        <v>86.44</v>
      </c>
      <c r="H76" s="59">
        <v>33.119999999999997</v>
      </c>
      <c r="I76" s="59">
        <v>0.34</v>
      </c>
      <c r="J76" s="59">
        <v>1.47</v>
      </c>
      <c r="K76" s="59">
        <v>11.72</v>
      </c>
      <c r="L76" s="59">
        <v>28.67</v>
      </c>
      <c r="M76" s="59">
        <v>33</v>
      </c>
      <c r="N76" s="59">
        <v>36.799999999999997</v>
      </c>
      <c r="O76" s="59">
        <v>0</v>
      </c>
      <c r="P76" s="59">
        <v>1.29</v>
      </c>
      <c r="Q76" s="59">
        <v>41.46</v>
      </c>
      <c r="R76" s="197"/>
      <c r="S76" s="197"/>
      <c r="T76" s="197"/>
      <c r="U76" s="197"/>
    </row>
    <row r="77" spans="1:21" s="12" customFormat="1" x14ac:dyDescent="0.25">
      <c r="A77" s="200" t="s">
        <v>1467</v>
      </c>
      <c r="B77" s="59">
        <v>7.31</v>
      </c>
      <c r="C77" s="59">
        <v>84.51</v>
      </c>
      <c r="D77" s="59">
        <v>52.5</v>
      </c>
      <c r="E77" s="59">
        <v>11.66</v>
      </c>
      <c r="F77" s="59">
        <v>6.1</v>
      </c>
      <c r="G77" s="59">
        <v>86.44</v>
      </c>
      <c r="H77" s="59">
        <v>33.119999999999997</v>
      </c>
      <c r="I77" s="59">
        <v>0.34</v>
      </c>
      <c r="J77" s="59">
        <v>1.0900000000000001</v>
      </c>
      <c r="K77" s="59">
        <v>9.98</v>
      </c>
      <c r="L77" s="59">
        <v>28.16</v>
      </c>
      <c r="M77" s="59">
        <v>34</v>
      </c>
      <c r="N77" s="59">
        <v>29.1</v>
      </c>
      <c r="O77" s="59">
        <v>0</v>
      </c>
      <c r="P77" s="59">
        <v>1.34</v>
      </c>
      <c r="Q77" s="59">
        <v>41.62</v>
      </c>
      <c r="R77" s="197"/>
      <c r="S77" s="197"/>
      <c r="T77" s="197"/>
      <c r="U77" s="197"/>
    </row>
    <row r="78" spans="1:21" s="12" customFormat="1" x14ac:dyDescent="0.25">
      <c r="A78" s="200" t="s">
        <v>1468</v>
      </c>
      <c r="B78" s="59">
        <v>9.42</v>
      </c>
      <c r="C78" s="59">
        <v>90.54</v>
      </c>
      <c r="D78" s="59">
        <v>57.53</v>
      </c>
      <c r="E78" s="59">
        <v>15.58</v>
      </c>
      <c r="F78" s="59">
        <v>4.0599999999999996</v>
      </c>
      <c r="G78" s="59">
        <v>86.44</v>
      </c>
      <c r="H78" s="59">
        <v>33.119999999999997</v>
      </c>
      <c r="I78" s="59">
        <v>0.35</v>
      </c>
      <c r="J78" s="59">
        <v>0.77</v>
      </c>
      <c r="K78" s="59">
        <v>8.35</v>
      </c>
      <c r="L78" s="59">
        <v>27.69</v>
      </c>
      <c r="M78" s="59">
        <v>36</v>
      </c>
      <c r="N78" s="59">
        <v>25.8</v>
      </c>
      <c r="O78" s="59">
        <v>0</v>
      </c>
      <c r="P78" s="59">
        <v>1.47</v>
      </c>
      <c r="Q78" s="59">
        <v>42.01</v>
      </c>
      <c r="R78" s="197"/>
      <c r="S78" s="197"/>
      <c r="T78" s="197"/>
      <c r="U78" s="197"/>
    </row>
    <row r="79" spans="1:21" s="12" customFormat="1" x14ac:dyDescent="0.25">
      <c r="A79" s="200" t="s">
        <v>1469</v>
      </c>
      <c r="B79" s="59">
        <v>11.26</v>
      </c>
      <c r="C79" s="59">
        <v>93.09</v>
      </c>
      <c r="D79" s="59">
        <v>60.4</v>
      </c>
      <c r="E79" s="59">
        <v>11.97</v>
      </c>
      <c r="F79" s="59">
        <v>4.01</v>
      </c>
      <c r="G79" s="59">
        <v>83.33</v>
      </c>
      <c r="H79" s="59">
        <v>32.119999999999997</v>
      </c>
      <c r="I79" s="59">
        <v>0.36</v>
      </c>
      <c r="J79" s="59">
        <v>0.74</v>
      </c>
      <c r="K79" s="59">
        <v>10.07</v>
      </c>
      <c r="L79" s="59">
        <v>27.21</v>
      </c>
      <c r="M79" s="59">
        <v>38</v>
      </c>
      <c r="N79" s="59">
        <v>24.7</v>
      </c>
      <c r="O79" s="59">
        <v>0</v>
      </c>
      <c r="P79" s="59">
        <v>1.54</v>
      </c>
      <c r="Q79" s="59">
        <v>42.48</v>
      </c>
      <c r="R79" s="197"/>
      <c r="S79" s="197"/>
      <c r="T79" s="197"/>
      <c r="U79" s="197"/>
    </row>
    <row r="80" spans="1:21" s="12" customFormat="1" x14ac:dyDescent="0.25">
      <c r="A80" s="200" t="s">
        <v>1470</v>
      </c>
      <c r="B80" s="59">
        <v>14.87</v>
      </c>
      <c r="C80" s="59">
        <v>93.46</v>
      </c>
      <c r="D80" s="59">
        <v>63.51</v>
      </c>
      <c r="E80" s="59">
        <v>15.36</v>
      </c>
      <c r="F80" s="59">
        <v>3.41</v>
      </c>
      <c r="G80" s="59">
        <v>80.41</v>
      </c>
      <c r="H80" s="59">
        <v>30.57</v>
      </c>
      <c r="I80" s="59">
        <v>0.39</v>
      </c>
      <c r="J80" s="59">
        <v>0.48</v>
      </c>
      <c r="K80" s="59">
        <v>7.74</v>
      </c>
      <c r="L80" s="59">
        <v>26.81</v>
      </c>
      <c r="M80" s="59">
        <v>40</v>
      </c>
      <c r="N80" s="59">
        <v>24.6</v>
      </c>
      <c r="O80" s="59">
        <v>0</v>
      </c>
      <c r="P80" s="59">
        <v>1.71</v>
      </c>
      <c r="Q80" s="59">
        <v>42.89</v>
      </c>
      <c r="R80" s="197"/>
      <c r="S80" s="197"/>
      <c r="T80" s="197"/>
      <c r="U80" s="197"/>
    </row>
    <row r="81" spans="1:26" s="12" customFormat="1" x14ac:dyDescent="0.25">
      <c r="A81" s="200" t="s">
        <v>1471</v>
      </c>
      <c r="B81" s="59">
        <v>14.92</v>
      </c>
      <c r="C81" s="59">
        <v>91.57</v>
      </c>
      <c r="D81" s="59">
        <v>62.5</v>
      </c>
      <c r="E81" s="59">
        <v>12.24</v>
      </c>
      <c r="F81" s="59">
        <v>2.5099999999999998</v>
      </c>
      <c r="G81" s="59">
        <v>80.41</v>
      </c>
      <c r="H81" s="59">
        <v>30.57</v>
      </c>
      <c r="I81" s="59">
        <v>0.42</v>
      </c>
      <c r="J81" s="59">
        <v>0.35</v>
      </c>
      <c r="K81" s="59">
        <v>7.63</v>
      </c>
      <c r="L81" s="59">
        <v>26.26</v>
      </c>
      <c r="M81" s="59">
        <v>41</v>
      </c>
      <c r="N81" s="59">
        <v>24.6</v>
      </c>
      <c r="O81" s="59">
        <v>0</v>
      </c>
      <c r="P81" s="59">
        <v>1.69</v>
      </c>
      <c r="Q81" s="59">
        <v>43.92</v>
      </c>
      <c r="R81" s="197"/>
      <c r="S81" s="197"/>
      <c r="T81" s="197"/>
      <c r="U81" s="197"/>
    </row>
    <row r="82" spans="1:26" s="12" customFormat="1" x14ac:dyDescent="0.25">
      <c r="A82" s="200" t="s">
        <v>1472</v>
      </c>
      <c r="B82" s="59">
        <v>16.059999999999999</v>
      </c>
      <c r="C82" s="59">
        <v>91.31</v>
      </c>
      <c r="D82" s="59">
        <v>63.27</v>
      </c>
      <c r="E82" s="59">
        <v>6.92</v>
      </c>
      <c r="F82" s="59">
        <v>1.1399999999999999</v>
      </c>
      <c r="G82" s="59">
        <v>80.41</v>
      </c>
      <c r="H82" s="59">
        <v>30.57</v>
      </c>
      <c r="I82" s="59">
        <v>0.44</v>
      </c>
      <c r="J82" s="59">
        <v>0.63</v>
      </c>
      <c r="K82" s="59">
        <v>23.86</v>
      </c>
      <c r="L82" s="59">
        <v>26.12</v>
      </c>
      <c r="M82" s="59">
        <v>42</v>
      </c>
      <c r="N82" s="59">
        <v>24.3</v>
      </c>
      <c r="O82" s="59">
        <v>0</v>
      </c>
      <c r="P82" s="59">
        <v>1.76</v>
      </c>
      <c r="Q82" s="59">
        <v>46.64</v>
      </c>
      <c r="R82" s="197"/>
      <c r="S82" s="197"/>
      <c r="T82" s="197"/>
      <c r="U82" s="197"/>
    </row>
    <row r="83" spans="1:26" s="12" customFormat="1" x14ac:dyDescent="0.25">
      <c r="A83" s="200" t="s">
        <v>1473</v>
      </c>
      <c r="B83" s="59">
        <v>18.41</v>
      </c>
      <c r="C83" s="59">
        <v>93.61</v>
      </c>
      <c r="D83" s="59">
        <v>66.42</v>
      </c>
      <c r="E83" s="59">
        <v>6.53</v>
      </c>
      <c r="F83" s="59">
        <v>0.88</v>
      </c>
      <c r="G83" s="59">
        <v>86.44</v>
      </c>
      <c r="H83" s="59">
        <v>31.12</v>
      </c>
      <c r="I83" s="59">
        <v>0.47</v>
      </c>
      <c r="J83" s="59">
        <v>0.49</v>
      </c>
      <c r="K83" s="59">
        <v>27.65</v>
      </c>
      <c r="L83" s="59">
        <v>26.1</v>
      </c>
      <c r="M83" s="59">
        <v>42</v>
      </c>
      <c r="N83" s="59">
        <v>24.4</v>
      </c>
      <c r="O83" s="59">
        <v>0</v>
      </c>
      <c r="P83" s="59">
        <v>1.91</v>
      </c>
      <c r="Q83" s="59">
        <v>47.9</v>
      </c>
      <c r="R83" s="197"/>
      <c r="S83" s="197"/>
      <c r="T83" s="197"/>
      <c r="U83" s="197"/>
    </row>
    <row r="84" spans="1:26" s="12" customFormat="1" x14ac:dyDescent="0.25">
      <c r="A84" s="200" t="s">
        <v>1474</v>
      </c>
      <c r="B84" s="59">
        <v>20.55</v>
      </c>
      <c r="C84" s="59">
        <v>96.47</v>
      </c>
      <c r="D84" s="59">
        <v>69.72</v>
      </c>
      <c r="E84" s="59">
        <v>6.36</v>
      </c>
      <c r="F84" s="59">
        <v>0.82</v>
      </c>
      <c r="G84" s="59">
        <v>92.13</v>
      </c>
      <c r="H84" s="59">
        <v>31.98</v>
      </c>
      <c r="I84" s="59">
        <v>0.49</v>
      </c>
      <c r="J84" s="59">
        <v>0.3</v>
      </c>
      <c r="K84" s="59">
        <v>22.24</v>
      </c>
      <c r="L84" s="59">
        <v>25.98</v>
      </c>
      <c r="M84" s="59">
        <v>42</v>
      </c>
      <c r="N84" s="59">
        <v>24.5</v>
      </c>
      <c r="O84" s="59">
        <v>0</v>
      </c>
      <c r="P84" s="59">
        <v>2.0299999999999998</v>
      </c>
      <c r="Q84" s="59">
        <v>48.03</v>
      </c>
      <c r="R84" s="197"/>
      <c r="S84" s="197"/>
      <c r="T84" s="197"/>
      <c r="U84" s="197"/>
    </row>
    <row r="85" spans="1:26" s="12" customFormat="1" x14ac:dyDescent="0.25">
      <c r="A85" s="200" t="s">
        <v>1475</v>
      </c>
      <c r="B85" s="59">
        <v>23.5</v>
      </c>
      <c r="C85" s="59">
        <v>98.79</v>
      </c>
      <c r="D85" s="59">
        <v>73.37</v>
      </c>
      <c r="E85" s="59">
        <v>6.25</v>
      </c>
      <c r="F85" s="59">
        <v>0.64</v>
      </c>
      <c r="G85" s="59">
        <v>92.13</v>
      </c>
      <c r="H85" s="59">
        <v>31.98</v>
      </c>
      <c r="I85" s="59">
        <v>0.5</v>
      </c>
      <c r="J85" s="59">
        <v>0.22</v>
      </c>
      <c r="K85" s="59">
        <v>38.33</v>
      </c>
      <c r="L85" s="59">
        <v>25.65</v>
      </c>
      <c r="M85" s="59">
        <v>43</v>
      </c>
      <c r="N85" s="59">
        <v>24.6</v>
      </c>
      <c r="O85" s="59">
        <v>0</v>
      </c>
      <c r="P85" s="59">
        <v>2.09</v>
      </c>
      <c r="Q85" s="59">
        <v>48.31</v>
      </c>
      <c r="R85" s="197"/>
      <c r="S85" s="197"/>
      <c r="T85" s="197"/>
      <c r="U85" s="197"/>
    </row>
    <row r="86" spans="1:26" s="12" customFormat="1" x14ac:dyDescent="0.25">
      <c r="A86" s="200" t="s">
        <v>1476</v>
      </c>
      <c r="B86" s="59">
        <v>23.94</v>
      </c>
      <c r="C86" s="59">
        <v>98.75</v>
      </c>
      <c r="D86" s="59">
        <v>73.7</v>
      </c>
      <c r="E86" s="59">
        <v>5.54</v>
      </c>
      <c r="F86" s="59">
        <v>0.67</v>
      </c>
      <c r="G86" s="59">
        <v>92.13</v>
      </c>
      <c r="H86" s="59">
        <v>31.98</v>
      </c>
      <c r="I86" s="59">
        <v>0.53</v>
      </c>
      <c r="J86" s="59">
        <v>0.23</v>
      </c>
      <c r="K86" s="59">
        <v>48.37</v>
      </c>
      <c r="L86" s="59">
        <v>25.48</v>
      </c>
      <c r="M86" s="59">
        <v>44</v>
      </c>
      <c r="N86" s="59">
        <v>24.4</v>
      </c>
      <c r="O86" s="59">
        <v>0</v>
      </c>
      <c r="P86" s="59">
        <v>2.2599999999999998</v>
      </c>
      <c r="Q86" s="59">
        <v>48.51</v>
      </c>
      <c r="R86" s="197"/>
      <c r="S86" s="197"/>
      <c r="T86" s="197"/>
      <c r="U86" s="197"/>
    </row>
    <row r="87" spans="1:26" s="12" customFormat="1" x14ac:dyDescent="0.25">
      <c r="A87" s="200" t="s">
        <v>1477</v>
      </c>
      <c r="B87" s="59">
        <v>23.53</v>
      </c>
      <c r="C87" s="59">
        <v>98.98</v>
      </c>
      <c r="D87" s="59">
        <v>73.5</v>
      </c>
      <c r="E87" s="59">
        <v>5.76</v>
      </c>
      <c r="F87" s="59">
        <v>0.85</v>
      </c>
      <c r="G87" s="59">
        <v>91.68</v>
      </c>
      <c r="H87" s="59">
        <v>31.45</v>
      </c>
      <c r="I87" s="59">
        <v>0.56000000000000005</v>
      </c>
      <c r="J87" s="59">
        <v>0.31</v>
      </c>
      <c r="K87" s="59">
        <v>76.069999999999993</v>
      </c>
      <c r="L87" s="59">
        <v>25.49</v>
      </c>
      <c r="M87" s="59">
        <v>43</v>
      </c>
      <c r="N87" s="59">
        <v>24.4</v>
      </c>
      <c r="O87" s="59">
        <v>0</v>
      </c>
      <c r="P87" s="59">
        <v>2.2999999999999998</v>
      </c>
      <c r="Q87" s="59">
        <v>48.41</v>
      </c>
      <c r="R87" s="197"/>
      <c r="S87" s="197"/>
      <c r="T87" s="197"/>
      <c r="U87" s="197"/>
    </row>
    <row r="88" spans="1:26" s="12" customFormat="1" x14ac:dyDescent="0.25">
      <c r="A88" s="200" t="s">
        <v>1478</v>
      </c>
      <c r="B88" s="59">
        <v>21.54</v>
      </c>
      <c r="C88" s="59">
        <v>97.81</v>
      </c>
      <c r="D88" s="59">
        <v>71.25</v>
      </c>
      <c r="E88" s="59">
        <v>3.14</v>
      </c>
      <c r="F88" s="59">
        <v>1.95</v>
      </c>
      <c r="G88" s="59">
        <v>91.25</v>
      </c>
      <c r="H88" s="59">
        <v>30.63</v>
      </c>
      <c r="I88" s="59">
        <v>0.59</v>
      </c>
      <c r="J88" s="59">
        <v>0.27</v>
      </c>
      <c r="K88" s="59">
        <v>75.510000000000005</v>
      </c>
      <c r="L88" s="59">
        <v>25.44</v>
      </c>
      <c r="M88" s="59">
        <v>43</v>
      </c>
      <c r="N88" s="59">
        <v>24.6</v>
      </c>
      <c r="O88" s="59">
        <v>0</v>
      </c>
      <c r="P88" s="59">
        <v>2.2799999999999998</v>
      </c>
      <c r="Q88" s="59">
        <v>47.73</v>
      </c>
      <c r="R88" s="197"/>
      <c r="S88" s="197"/>
      <c r="T88" s="197"/>
      <c r="U88" s="197"/>
    </row>
    <row r="89" spans="1:26" s="12" customFormat="1" x14ac:dyDescent="0.25">
      <c r="A89" s="200" t="s">
        <v>1479</v>
      </c>
      <c r="B89" s="59">
        <v>20.04</v>
      </c>
      <c r="C89" s="59">
        <v>95.05</v>
      </c>
      <c r="D89" s="59">
        <v>68.53</v>
      </c>
      <c r="E89" s="59">
        <v>6.82</v>
      </c>
      <c r="F89" s="59">
        <v>3.18</v>
      </c>
      <c r="G89" s="59">
        <v>91.25</v>
      </c>
      <c r="H89" s="59">
        <v>30.63</v>
      </c>
      <c r="I89" s="59">
        <v>0.61</v>
      </c>
      <c r="J89" s="59">
        <v>0.41</v>
      </c>
      <c r="K89" s="59">
        <v>86.23</v>
      </c>
      <c r="L89" s="59">
        <v>25.51</v>
      </c>
      <c r="M89" s="59">
        <v>42</v>
      </c>
      <c r="N89" s="59">
        <v>24.6</v>
      </c>
      <c r="O89" s="59">
        <v>0</v>
      </c>
      <c r="P89" s="59">
        <v>2.25</v>
      </c>
      <c r="Q89" s="59">
        <v>46.65</v>
      </c>
      <c r="R89" s="197"/>
      <c r="S89" s="197"/>
      <c r="T89" s="197"/>
      <c r="U89" s="197"/>
    </row>
    <row r="90" spans="1:26" s="12" customFormat="1" x14ac:dyDescent="0.25">
      <c r="A90" s="200" t="s">
        <v>1480</v>
      </c>
      <c r="B90" s="59">
        <v>19.600000000000001</v>
      </c>
      <c r="C90" s="59">
        <v>91.21</v>
      </c>
      <c r="D90" s="59">
        <v>66.06</v>
      </c>
      <c r="E90" s="59">
        <v>7.11</v>
      </c>
      <c r="F90" s="59">
        <v>2.4900000000000002</v>
      </c>
      <c r="G90" s="59">
        <v>91.25</v>
      </c>
      <c r="H90" s="59">
        <v>30.63</v>
      </c>
      <c r="I90" s="59">
        <v>0.62</v>
      </c>
      <c r="J90" s="59">
        <v>0.28999999999999998</v>
      </c>
      <c r="K90" s="59">
        <v>44.69</v>
      </c>
      <c r="L90" s="59">
        <v>25.5</v>
      </c>
      <c r="M90" s="59">
        <v>40</v>
      </c>
      <c r="N90" s="59">
        <v>24.6</v>
      </c>
      <c r="O90" s="59">
        <v>0</v>
      </c>
      <c r="P90" s="59">
        <v>2.23</v>
      </c>
      <c r="Q90" s="59">
        <v>46.34</v>
      </c>
      <c r="R90" s="197"/>
      <c r="S90" s="197"/>
      <c r="T90" s="197"/>
      <c r="U90" s="197"/>
    </row>
    <row r="91" spans="1:26" s="12" customFormat="1" x14ac:dyDescent="0.25">
      <c r="A91" s="200" t="s">
        <v>1481</v>
      </c>
      <c r="B91" s="59">
        <v>25.68</v>
      </c>
      <c r="C91" s="59">
        <v>93.97</v>
      </c>
      <c r="D91" s="59">
        <v>72.45</v>
      </c>
      <c r="E91" s="59">
        <v>10.029999999999999</v>
      </c>
      <c r="F91" s="59">
        <v>1.48</v>
      </c>
      <c r="G91" s="59">
        <v>89.73</v>
      </c>
      <c r="H91" s="59">
        <v>31.51</v>
      </c>
      <c r="I91" s="59">
        <v>0.62</v>
      </c>
      <c r="J91" s="59">
        <v>0.25</v>
      </c>
      <c r="K91" s="59">
        <v>56.22</v>
      </c>
      <c r="L91" s="59">
        <v>25.58</v>
      </c>
      <c r="M91" s="59">
        <v>39</v>
      </c>
      <c r="N91" s="59">
        <v>24.8</v>
      </c>
      <c r="O91" s="59">
        <v>0</v>
      </c>
      <c r="P91" s="59">
        <v>2.31</v>
      </c>
      <c r="Q91" s="59">
        <v>45.88</v>
      </c>
      <c r="R91" s="197"/>
      <c r="S91" s="197"/>
      <c r="T91" s="197"/>
      <c r="U91" s="197"/>
    </row>
    <row r="92" spans="1:26" s="12" customFormat="1" x14ac:dyDescent="0.25">
      <c r="A92" s="200" t="s">
        <v>1482</v>
      </c>
      <c r="B92" s="59">
        <v>21.75</v>
      </c>
      <c r="C92" s="59">
        <v>90.96</v>
      </c>
      <c r="D92" s="59">
        <v>67.64</v>
      </c>
      <c r="E92" s="59">
        <v>11.14</v>
      </c>
      <c r="F92" s="59">
        <v>1.36</v>
      </c>
      <c r="G92" s="59">
        <v>84.84</v>
      </c>
      <c r="H92" s="59">
        <v>32.9</v>
      </c>
      <c r="I92" s="59">
        <v>0.63</v>
      </c>
      <c r="J92" s="59">
        <v>0.32</v>
      </c>
      <c r="K92" s="59">
        <v>65.81</v>
      </c>
      <c r="L92" s="59">
        <v>25.47</v>
      </c>
      <c r="M92" s="59">
        <v>39</v>
      </c>
      <c r="N92" s="59">
        <v>24.6</v>
      </c>
      <c r="O92" s="59">
        <v>0</v>
      </c>
      <c r="P92" s="59">
        <v>2.23</v>
      </c>
      <c r="Q92" s="59">
        <v>46.52</v>
      </c>
      <c r="R92" s="197"/>
      <c r="S92" s="197"/>
      <c r="T92" s="197"/>
      <c r="U92" s="197"/>
    </row>
    <row r="93" spans="1:26" s="12" customFormat="1" x14ac:dyDescent="0.25">
      <c r="A93" s="200" t="s">
        <v>1483</v>
      </c>
      <c r="B93" s="59">
        <v>22.33</v>
      </c>
      <c r="C93" s="59">
        <v>87.9</v>
      </c>
      <c r="D93" s="59">
        <v>66.42</v>
      </c>
      <c r="E93" s="59">
        <v>9.92</v>
      </c>
      <c r="F93" s="59">
        <v>0.98</v>
      </c>
      <c r="G93" s="59">
        <v>84.84</v>
      </c>
      <c r="H93" s="59">
        <v>32.9</v>
      </c>
      <c r="I93" s="59">
        <v>0.66</v>
      </c>
      <c r="J93" s="59">
        <v>0.36</v>
      </c>
      <c r="K93" s="59">
        <v>70.38</v>
      </c>
      <c r="L93" s="59">
        <v>25.4</v>
      </c>
      <c r="M93" s="59">
        <v>38</v>
      </c>
      <c r="N93" s="59">
        <v>24.7</v>
      </c>
      <c r="O93" s="59">
        <v>0</v>
      </c>
      <c r="P93" s="59">
        <v>2.2200000000000002</v>
      </c>
      <c r="Q93" s="59">
        <v>47.47</v>
      </c>
      <c r="R93" s="197"/>
      <c r="S93" s="197"/>
      <c r="T93" s="197"/>
      <c r="U93" s="197"/>
    </row>
    <row r="94" spans="1:26" s="12" customFormat="1" x14ac:dyDescent="0.25">
      <c r="A94" s="200" t="s">
        <v>1484</v>
      </c>
      <c r="B94" s="59">
        <v>25.37</v>
      </c>
      <c r="C94" s="59">
        <v>88.62</v>
      </c>
      <c r="D94" s="59">
        <v>69.25</v>
      </c>
      <c r="E94" s="59">
        <v>10.17</v>
      </c>
      <c r="F94" s="59">
        <v>1.08</v>
      </c>
      <c r="G94" s="59">
        <v>84.84</v>
      </c>
      <c r="H94" s="59">
        <v>32.9</v>
      </c>
      <c r="I94" s="59">
        <v>0.66</v>
      </c>
      <c r="J94" s="59">
        <v>0.27</v>
      </c>
      <c r="K94" s="59">
        <v>62.44</v>
      </c>
      <c r="L94" s="59">
        <v>25.31</v>
      </c>
      <c r="M94" s="59">
        <v>38</v>
      </c>
      <c r="N94" s="59">
        <v>24.9</v>
      </c>
      <c r="O94" s="59">
        <v>0</v>
      </c>
      <c r="P94" s="59">
        <v>2.21</v>
      </c>
      <c r="Q94" s="59">
        <v>48.02</v>
      </c>
      <c r="R94" s="197"/>
      <c r="S94" s="197"/>
      <c r="T94" s="197"/>
      <c r="U94" s="197"/>
    </row>
    <row r="95" spans="1:26" s="12" customFormat="1" x14ac:dyDescent="0.25">
      <c r="A95" s="200" t="s">
        <v>1485</v>
      </c>
      <c r="B95" s="59">
        <v>24.56</v>
      </c>
      <c r="C95" s="59">
        <v>87.61</v>
      </c>
      <c r="D95" s="59">
        <v>68.040000000000006</v>
      </c>
      <c r="E95" s="59">
        <v>9.6</v>
      </c>
      <c r="F95" s="59">
        <v>1.03</v>
      </c>
      <c r="G95" s="59">
        <v>84.68</v>
      </c>
      <c r="H95" s="59">
        <v>31.83</v>
      </c>
      <c r="I95" s="59">
        <v>0.67</v>
      </c>
      <c r="J95" s="59">
        <v>0.4</v>
      </c>
      <c r="K95" s="59">
        <v>78.989999999999995</v>
      </c>
      <c r="L95" s="59">
        <v>25.24</v>
      </c>
      <c r="M95" s="59">
        <v>39</v>
      </c>
      <c r="N95" s="59">
        <v>24.8</v>
      </c>
      <c r="O95" s="59">
        <v>0</v>
      </c>
      <c r="P95" s="59">
        <v>2.19</v>
      </c>
      <c r="Q95" s="59">
        <v>48.7</v>
      </c>
      <c r="R95" s="197"/>
      <c r="S95" s="197"/>
      <c r="T95" s="197"/>
      <c r="U95" s="197"/>
    </row>
    <row r="96" spans="1:26" s="12" customFormat="1" x14ac:dyDescent="0.25">
      <c r="A96" s="200" t="s">
        <v>1486</v>
      </c>
      <c r="B96" s="59">
        <v>25.6</v>
      </c>
      <c r="C96" s="59">
        <v>86.49</v>
      </c>
      <c r="D96" s="59">
        <v>68.260000000000005</v>
      </c>
      <c r="E96" s="59">
        <v>6.69</v>
      </c>
      <c r="F96" s="59">
        <v>0.9</v>
      </c>
      <c r="G96" s="59">
        <v>84.53</v>
      </c>
      <c r="H96" s="59">
        <v>30.14</v>
      </c>
      <c r="I96" s="59">
        <v>0.67</v>
      </c>
      <c r="J96" s="59">
        <v>0.34</v>
      </c>
      <c r="K96" s="59">
        <v>20.16</v>
      </c>
      <c r="L96" s="59">
        <v>25.13</v>
      </c>
      <c r="M96" s="59">
        <v>39</v>
      </c>
      <c r="N96" s="59">
        <v>24.8</v>
      </c>
      <c r="O96" s="59">
        <v>0</v>
      </c>
      <c r="P96" s="59">
        <v>2.19</v>
      </c>
      <c r="Q96" s="59">
        <v>50.21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1487</v>
      </c>
      <c r="B97" s="59">
        <v>27.62</v>
      </c>
      <c r="C97" s="59">
        <v>87.42</v>
      </c>
      <c r="D97" s="59">
        <v>70.39</v>
      </c>
      <c r="E97" s="59">
        <v>6.29</v>
      </c>
      <c r="F97" s="59">
        <v>0.73</v>
      </c>
      <c r="G97" s="59">
        <v>84.53</v>
      </c>
      <c r="H97" s="59">
        <v>30.14</v>
      </c>
      <c r="I97" s="59">
        <v>0.68</v>
      </c>
      <c r="J97" s="59">
        <v>0.28000000000000003</v>
      </c>
      <c r="K97" s="59">
        <v>62.95</v>
      </c>
      <c r="L97" s="59">
        <v>24.87</v>
      </c>
      <c r="M97" s="59">
        <v>39</v>
      </c>
      <c r="N97" s="59">
        <v>24.9</v>
      </c>
      <c r="O97" s="59">
        <v>0</v>
      </c>
      <c r="P97" s="59">
        <v>2.15</v>
      </c>
      <c r="Q97" s="59">
        <v>50.83</v>
      </c>
      <c r="R97" s="197"/>
      <c r="S97" s="197"/>
      <c r="T97" s="197"/>
      <c r="U97" s="197"/>
    </row>
    <row r="98" spans="1:33" s="12" customFormat="1" x14ac:dyDescent="0.25">
      <c r="A98" s="200" t="s">
        <v>1488</v>
      </c>
      <c r="B98" s="59">
        <v>28.56</v>
      </c>
      <c r="C98" s="59">
        <v>86.62</v>
      </c>
      <c r="D98" s="59">
        <v>70.709999999999994</v>
      </c>
      <c r="E98" s="59">
        <v>5.64</v>
      </c>
      <c r="F98" s="59">
        <v>0.71</v>
      </c>
      <c r="G98" s="59">
        <v>84.53</v>
      </c>
      <c r="H98" s="59">
        <v>30.14</v>
      </c>
      <c r="I98" s="59">
        <v>0.69</v>
      </c>
      <c r="J98" s="59">
        <v>0.18</v>
      </c>
      <c r="K98" s="59">
        <v>34.57</v>
      </c>
      <c r="L98" s="59">
        <v>24.64</v>
      </c>
      <c r="M98" s="59">
        <v>40</v>
      </c>
      <c r="N98" s="59">
        <v>24.9</v>
      </c>
      <c r="O98" s="59">
        <v>0</v>
      </c>
      <c r="P98" s="59">
        <v>2.12</v>
      </c>
      <c r="Q98" s="59">
        <v>50.52</v>
      </c>
      <c r="R98" s="197"/>
      <c r="S98" s="197"/>
      <c r="T98" s="197"/>
      <c r="U98" s="197"/>
    </row>
    <row r="99" spans="1:33" s="12" customFormat="1" x14ac:dyDescent="0.25">
      <c r="A99" s="200" t="s">
        <v>1489</v>
      </c>
      <c r="B99" s="59">
        <v>29.52</v>
      </c>
      <c r="C99" s="59">
        <v>86.64</v>
      </c>
      <c r="D99" s="59">
        <v>71.489999999999995</v>
      </c>
      <c r="E99" s="59">
        <v>5.83</v>
      </c>
      <c r="F99" s="59">
        <v>0.57999999999999996</v>
      </c>
      <c r="G99" s="59">
        <v>87.92</v>
      </c>
      <c r="H99" s="59">
        <v>30.32</v>
      </c>
      <c r="I99" s="59">
        <v>0.67</v>
      </c>
      <c r="J99" s="59">
        <v>0.12</v>
      </c>
      <c r="K99" s="59">
        <v>69.290000000000006</v>
      </c>
      <c r="L99" s="59">
        <v>24.18</v>
      </c>
      <c r="M99" s="59">
        <v>41</v>
      </c>
      <c r="N99" s="59">
        <v>24.8</v>
      </c>
      <c r="O99" s="59">
        <v>0</v>
      </c>
      <c r="P99" s="59">
        <v>2.11</v>
      </c>
      <c r="Q99" s="59">
        <v>49.82</v>
      </c>
      <c r="R99" s="197"/>
      <c r="S99" s="197"/>
      <c r="T99" s="197"/>
      <c r="U99" s="197"/>
    </row>
    <row r="100" spans="1:33" s="12" customFormat="1" x14ac:dyDescent="0.25">
      <c r="A100" s="200" t="s">
        <v>1490</v>
      </c>
      <c r="B100" s="59">
        <v>30.19</v>
      </c>
      <c r="C100" s="59">
        <v>86.54</v>
      </c>
      <c r="D100" s="59">
        <v>71.97</v>
      </c>
      <c r="E100" s="59">
        <v>5.49</v>
      </c>
      <c r="F100" s="59">
        <v>0.7</v>
      </c>
      <c r="G100" s="59">
        <v>91.12</v>
      </c>
      <c r="H100" s="59">
        <v>30.6</v>
      </c>
      <c r="I100" s="59">
        <v>0.66</v>
      </c>
      <c r="J100" s="59">
        <v>0.08</v>
      </c>
      <c r="K100" s="59">
        <v>147.77000000000001</v>
      </c>
      <c r="L100" s="59">
        <v>24.02</v>
      </c>
      <c r="M100" s="59">
        <v>42</v>
      </c>
      <c r="N100" s="59">
        <v>24.6</v>
      </c>
      <c r="O100" s="59">
        <v>0</v>
      </c>
      <c r="P100" s="59">
        <v>2.08</v>
      </c>
      <c r="Q100" s="59">
        <v>49.62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1491</v>
      </c>
      <c r="B101" s="59">
        <v>29.86</v>
      </c>
      <c r="C101" s="59">
        <v>86.11</v>
      </c>
      <c r="D101" s="59">
        <v>71.459999999999994</v>
      </c>
      <c r="E101" s="59">
        <v>5.59</v>
      </c>
      <c r="F101" s="59">
        <v>0.64</v>
      </c>
      <c r="G101" s="59">
        <v>91.12</v>
      </c>
      <c r="H101" s="59">
        <v>30.6</v>
      </c>
      <c r="I101" s="59">
        <v>0.65</v>
      </c>
      <c r="J101" s="59">
        <v>0.28999999999999998</v>
      </c>
      <c r="K101" s="59">
        <v>21.07</v>
      </c>
      <c r="L101" s="59">
        <v>23.73</v>
      </c>
      <c r="M101" s="59">
        <v>47</v>
      </c>
      <c r="N101" s="59">
        <v>24.9</v>
      </c>
      <c r="O101" s="59">
        <v>0</v>
      </c>
      <c r="P101" s="59">
        <v>2.02</v>
      </c>
      <c r="Q101" s="59">
        <v>49.4</v>
      </c>
      <c r="R101" s="197"/>
      <c r="S101" s="197"/>
      <c r="T101" s="197"/>
      <c r="U101" s="197"/>
    </row>
    <row r="102" spans="1:33" s="12" customFormat="1" x14ac:dyDescent="0.25">
      <c r="A102" s="200" t="s">
        <v>1492</v>
      </c>
      <c r="B102" s="59">
        <v>31.17</v>
      </c>
      <c r="C102" s="59">
        <v>86.3</v>
      </c>
      <c r="D102" s="59">
        <v>72.62</v>
      </c>
      <c r="E102" s="59">
        <v>5.21</v>
      </c>
      <c r="F102" s="59">
        <v>0.74</v>
      </c>
      <c r="G102" s="59">
        <v>91.12</v>
      </c>
      <c r="H102" s="59">
        <v>30.6</v>
      </c>
      <c r="I102" s="59">
        <v>0.64</v>
      </c>
      <c r="J102" s="59">
        <v>0.2</v>
      </c>
      <c r="K102" s="59">
        <v>21.14</v>
      </c>
      <c r="L102" s="59">
        <v>23.31</v>
      </c>
      <c r="M102" s="59">
        <v>48</v>
      </c>
      <c r="N102" s="59">
        <v>24.8</v>
      </c>
      <c r="O102" s="59">
        <v>0</v>
      </c>
      <c r="P102" s="59">
        <v>1.99</v>
      </c>
      <c r="Q102" s="59">
        <v>48.82</v>
      </c>
      <c r="R102" s="197"/>
      <c r="S102" s="197"/>
      <c r="T102" s="197"/>
      <c r="U102" s="197"/>
    </row>
    <row r="103" spans="1:33" s="12" customFormat="1" x14ac:dyDescent="0.25">
      <c r="A103" s="200" t="s">
        <v>1493</v>
      </c>
      <c r="B103" s="59">
        <v>33.76</v>
      </c>
      <c r="C103" s="59">
        <v>87.27</v>
      </c>
      <c r="D103" s="59">
        <v>75.239999999999995</v>
      </c>
      <c r="E103" s="59">
        <v>6.96</v>
      </c>
      <c r="F103" s="59">
        <v>0.78</v>
      </c>
      <c r="G103" s="59">
        <v>87.15</v>
      </c>
      <c r="H103" s="59">
        <v>30.08</v>
      </c>
      <c r="I103" s="59">
        <v>0.62</v>
      </c>
      <c r="J103" s="59">
        <v>0.38</v>
      </c>
      <c r="K103" s="59">
        <v>16.47</v>
      </c>
      <c r="L103" s="59">
        <v>23.49</v>
      </c>
      <c r="M103" s="59">
        <v>46</v>
      </c>
      <c r="N103" s="59">
        <v>24.5</v>
      </c>
      <c r="O103" s="59">
        <v>0</v>
      </c>
      <c r="P103" s="59">
        <v>1.94</v>
      </c>
      <c r="Q103" s="59">
        <v>47.73</v>
      </c>
      <c r="R103" s="197"/>
      <c r="S103" s="197"/>
      <c r="T103" s="197"/>
      <c r="U103" s="197"/>
    </row>
    <row r="104" spans="1:33" s="12" customFormat="1" x14ac:dyDescent="0.25">
      <c r="A104" s="200" t="s">
        <v>1494</v>
      </c>
      <c r="B104" s="59">
        <v>31.97</v>
      </c>
      <c r="C104" s="59">
        <v>84.52</v>
      </c>
      <c r="D104" s="59">
        <v>72.28</v>
      </c>
      <c r="E104" s="59">
        <v>6.07</v>
      </c>
      <c r="F104" s="59">
        <v>0.73</v>
      </c>
      <c r="G104" s="59">
        <v>83.41</v>
      </c>
      <c r="H104" s="59">
        <v>29.25</v>
      </c>
      <c r="I104" s="59">
        <v>0.61</v>
      </c>
      <c r="J104" s="59">
        <v>0.36</v>
      </c>
      <c r="K104" s="59">
        <v>15.89</v>
      </c>
      <c r="L104" s="59">
        <v>23.54</v>
      </c>
      <c r="M104" s="59">
        <v>45</v>
      </c>
      <c r="N104" s="59">
        <v>24.3</v>
      </c>
      <c r="O104" s="59">
        <v>0</v>
      </c>
      <c r="P104" s="59">
        <v>1.89</v>
      </c>
      <c r="Q104" s="59">
        <v>47.36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4.6399999999999997</v>
      </c>
      <c r="C106" s="66">
        <f>MIN(C9:C104)</f>
        <v>67.91</v>
      </c>
      <c r="D106" s="66">
        <f t="shared" ref="D106:Q106" si="0">MIN(D9:D104)</f>
        <v>51.57</v>
      </c>
      <c r="E106" s="66">
        <f t="shared" si="0"/>
        <v>2.5499999999999998</v>
      </c>
      <c r="F106" s="66">
        <f t="shared" si="0"/>
        <v>0.15</v>
      </c>
      <c r="G106" s="66">
        <f t="shared" si="0"/>
        <v>59.15</v>
      </c>
      <c r="H106" s="66">
        <f t="shared" si="0"/>
        <v>29.21</v>
      </c>
      <c r="I106" s="66">
        <f t="shared" si="0"/>
        <v>0.34</v>
      </c>
      <c r="J106" s="66">
        <f t="shared" si="0"/>
        <v>0.06</v>
      </c>
      <c r="K106" s="66">
        <f t="shared" si="0"/>
        <v>0.34</v>
      </c>
      <c r="L106" s="66">
        <f t="shared" si="0"/>
        <v>21.68</v>
      </c>
      <c r="M106" s="66">
        <f t="shared" si="0"/>
        <v>26</v>
      </c>
      <c r="N106" s="66">
        <f t="shared" si="0"/>
        <v>24.3</v>
      </c>
      <c r="O106" s="66">
        <f t="shared" si="0"/>
        <v>0</v>
      </c>
      <c r="P106" s="66">
        <f t="shared" si="0"/>
        <v>1.1499999999999999</v>
      </c>
      <c r="Q106" s="66">
        <f t="shared" si="0"/>
        <v>41.46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62.08</v>
      </c>
      <c r="C107" s="65">
        <f t="shared" ref="C107:Q107" si="1">MAX(C9:C104)</f>
        <v>98.98</v>
      </c>
      <c r="D107" s="65">
        <f t="shared" si="1"/>
        <v>103</v>
      </c>
      <c r="E107" s="65">
        <f t="shared" si="1"/>
        <v>41.53</v>
      </c>
      <c r="F107" s="65">
        <f t="shared" si="1"/>
        <v>7.53</v>
      </c>
      <c r="G107" s="65">
        <f t="shared" si="1"/>
        <v>108.69</v>
      </c>
      <c r="H107" s="65">
        <f t="shared" si="1"/>
        <v>38.549999999999997</v>
      </c>
      <c r="I107" s="65">
        <f t="shared" si="1"/>
        <v>1.21</v>
      </c>
      <c r="J107" s="65">
        <f t="shared" si="1"/>
        <v>1.68</v>
      </c>
      <c r="K107" s="65">
        <f t="shared" si="1"/>
        <v>359.35</v>
      </c>
      <c r="L107" s="65">
        <f t="shared" si="1"/>
        <v>34.51</v>
      </c>
      <c r="M107" s="65">
        <f t="shared" si="1"/>
        <v>63</v>
      </c>
      <c r="N107" s="65">
        <f t="shared" si="1"/>
        <v>385.2</v>
      </c>
      <c r="O107" s="65">
        <f t="shared" si="1"/>
        <v>0</v>
      </c>
      <c r="P107" s="65">
        <f t="shared" si="1"/>
        <v>3.48</v>
      </c>
      <c r="Q107" s="65">
        <f t="shared" si="1"/>
        <v>57.08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28.552291666666672</v>
      </c>
      <c r="C108" s="66">
        <f t="shared" ref="C108:Q108" si="2">AVERAGE(C9:C104)</f>
        <v>86.053333333333342</v>
      </c>
      <c r="D108" s="66">
        <f t="shared" si="2"/>
        <v>70.387812499999995</v>
      </c>
      <c r="E108" s="66">
        <f t="shared" si="2"/>
        <v>8.0308333333333355</v>
      </c>
      <c r="F108" s="66">
        <f t="shared" si="2"/>
        <v>1.595729166666666</v>
      </c>
      <c r="G108" s="66">
        <f t="shared" si="2"/>
        <v>82.56624999999994</v>
      </c>
      <c r="H108" s="66">
        <f t="shared" si="2"/>
        <v>31.931354166666662</v>
      </c>
      <c r="I108" s="66">
        <f t="shared" si="2"/>
        <v>0.60052083333333328</v>
      </c>
      <c r="J108" s="66">
        <f t="shared" si="2"/>
        <v>0.65052083333333355</v>
      </c>
      <c r="K108" s="66">
        <f t="shared" si="2"/>
        <v>56.022708333333298</v>
      </c>
      <c r="L108" s="66">
        <f t="shared" si="2"/>
        <v>26.695937499999985</v>
      </c>
      <c r="M108" s="66">
        <f t="shared" si="2"/>
        <v>43.739583333333336</v>
      </c>
      <c r="N108" s="66">
        <f t="shared" si="2"/>
        <v>115.03437499999995</v>
      </c>
      <c r="O108" s="66">
        <f t="shared" si="2"/>
        <v>0</v>
      </c>
      <c r="P108" s="66">
        <f t="shared" si="2"/>
        <v>1.8145833333333339</v>
      </c>
      <c r="Q108" s="66">
        <f t="shared" si="2"/>
        <v>48.572083333333332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11.588283691017779</v>
      </c>
      <c r="C109" s="66">
        <f t="shared" ref="C109:Q109" si="3">STDEV(C9:C104)</f>
        <v>7.9963541253652357</v>
      </c>
      <c r="D109" s="66">
        <f t="shared" si="3"/>
        <v>9.3648935929128267</v>
      </c>
      <c r="E109" s="66">
        <f t="shared" si="3"/>
        <v>5.5159503960722684</v>
      </c>
      <c r="F109" s="66">
        <f t="shared" si="3"/>
        <v>1.6140675944833927</v>
      </c>
      <c r="G109" s="66">
        <f t="shared" si="3"/>
        <v>11.917610432509544</v>
      </c>
      <c r="H109" s="66">
        <f t="shared" si="3"/>
        <v>1.9803846621522094</v>
      </c>
      <c r="I109" s="66">
        <f t="shared" si="3"/>
        <v>0.22002569128299931</v>
      </c>
      <c r="J109" s="66">
        <f t="shared" si="3"/>
        <v>0.4321144336537831</v>
      </c>
      <c r="K109" s="66">
        <f t="shared" si="3"/>
        <v>86.230861009747869</v>
      </c>
      <c r="L109" s="66">
        <f t="shared" si="3"/>
        <v>4.0667371061811375</v>
      </c>
      <c r="M109" s="66">
        <f t="shared" si="3"/>
        <v>12.207197869476905</v>
      </c>
      <c r="N109" s="66">
        <f t="shared" si="3"/>
        <v>131.18401124344794</v>
      </c>
      <c r="O109" s="66">
        <f t="shared" si="3"/>
        <v>0</v>
      </c>
      <c r="P109" s="66">
        <f t="shared" si="3"/>
        <v>0.55525037816838885</v>
      </c>
      <c r="Q109" s="66">
        <f t="shared" si="3"/>
        <v>3.3999337196841952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>COUNT(H9:H104)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239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14-12-2022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1495</v>
      </c>
      <c r="B9" s="59">
        <v>31.42</v>
      </c>
      <c r="C9" s="59">
        <v>83.25</v>
      </c>
      <c r="D9" s="59">
        <v>71.14</v>
      </c>
      <c r="E9" s="59">
        <v>6.9</v>
      </c>
      <c r="F9" s="59">
        <v>0.97</v>
      </c>
      <c r="G9" s="59">
        <v>83.41</v>
      </c>
      <c r="H9" s="59">
        <v>29.25</v>
      </c>
      <c r="I9" s="59">
        <v>0.59</v>
      </c>
      <c r="J9" s="59">
        <v>0.22</v>
      </c>
      <c r="K9" s="59">
        <v>71</v>
      </c>
      <c r="L9" s="59">
        <v>23.54</v>
      </c>
      <c r="M9" s="59">
        <v>43</v>
      </c>
      <c r="N9" s="59">
        <v>24.4</v>
      </c>
      <c r="O9" s="59">
        <v>0</v>
      </c>
      <c r="P9" s="59">
        <v>1.86</v>
      </c>
      <c r="Q9" s="59">
        <v>47.45</v>
      </c>
      <c r="R9" s="197"/>
      <c r="S9" s="197"/>
      <c r="T9" s="197"/>
      <c r="U9" s="197"/>
    </row>
    <row r="10" spans="1:21" s="12" customFormat="1" x14ac:dyDescent="0.25">
      <c r="A10" s="200" t="s">
        <v>1496</v>
      </c>
      <c r="B10" s="59">
        <v>29.66</v>
      </c>
      <c r="C10" s="59">
        <v>80.739999999999995</v>
      </c>
      <c r="D10" s="59">
        <v>68.34</v>
      </c>
      <c r="E10" s="59">
        <v>6.42</v>
      </c>
      <c r="F10" s="59">
        <v>1.1100000000000001</v>
      </c>
      <c r="G10" s="59">
        <v>83.41</v>
      </c>
      <c r="H10" s="59">
        <v>29.25</v>
      </c>
      <c r="I10" s="59">
        <v>0.6</v>
      </c>
      <c r="J10" s="59">
        <v>0.3</v>
      </c>
      <c r="K10" s="59">
        <v>68.09</v>
      </c>
      <c r="L10" s="59">
        <v>23.45</v>
      </c>
      <c r="M10" s="59">
        <v>44</v>
      </c>
      <c r="N10" s="59">
        <v>24.5</v>
      </c>
      <c r="O10" s="59">
        <v>0</v>
      </c>
      <c r="P10" s="59">
        <v>1.8</v>
      </c>
      <c r="Q10" s="59">
        <v>47.61</v>
      </c>
      <c r="R10" s="197"/>
      <c r="S10" s="197"/>
      <c r="T10" s="197"/>
      <c r="U10" s="197"/>
    </row>
    <row r="11" spans="1:21" s="12" customFormat="1" x14ac:dyDescent="0.25">
      <c r="A11" s="200" t="s">
        <v>1497</v>
      </c>
      <c r="B11" s="59">
        <v>29.17</v>
      </c>
      <c r="C11" s="59">
        <v>78.11</v>
      </c>
      <c r="D11" s="59">
        <v>66.5</v>
      </c>
      <c r="E11" s="59">
        <v>6.56</v>
      </c>
      <c r="F11" s="59">
        <v>1.34</v>
      </c>
      <c r="G11" s="59">
        <v>81.56</v>
      </c>
      <c r="H11" s="59">
        <v>27.88</v>
      </c>
      <c r="I11" s="59">
        <v>0.6</v>
      </c>
      <c r="J11" s="59">
        <v>0.3</v>
      </c>
      <c r="K11" s="59">
        <v>70.739999999999995</v>
      </c>
      <c r="L11" s="59">
        <v>23.45</v>
      </c>
      <c r="M11" s="59">
        <v>42</v>
      </c>
      <c r="N11" s="59">
        <v>24.4</v>
      </c>
      <c r="O11" s="59">
        <v>0</v>
      </c>
      <c r="P11" s="59">
        <v>1.77</v>
      </c>
      <c r="Q11" s="59">
        <v>47.84</v>
      </c>
      <c r="R11" s="197"/>
      <c r="S11" s="197"/>
      <c r="T11" s="197"/>
      <c r="U11" s="197"/>
    </row>
    <row r="12" spans="1:21" s="12" customFormat="1" x14ac:dyDescent="0.25">
      <c r="A12" s="200" t="s">
        <v>1498</v>
      </c>
      <c r="B12" s="59">
        <v>26.96</v>
      </c>
      <c r="C12" s="59">
        <v>73.760000000000005</v>
      </c>
      <c r="D12" s="59">
        <v>62.33</v>
      </c>
      <c r="E12" s="59">
        <v>6.84</v>
      </c>
      <c r="F12" s="59">
        <v>2.1</v>
      </c>
      <c r="G12" s="59">
        <v>75.63</v>
      </c>
      <c r="H12" s="59">
        <v>25.74</v>
      </c>
      <c r="I12" s="59">
        <v>0.6</v>
      </c>
      <c r="J12" s="59">
        <v>0.22</v>
      </c>
      <c r="K12" s="59">
        <v>24.24</v>
      </c>
      <c r="L12" s="59">
        <v>23.33</v>
      </c>
      <c r="M12" s="59">
        <v>42</v>
      </c>
      <c r="N12" s="59">
        <v>24.6</v>
      </c>
      <c r="O12" s="59">
        <v>0</v>
      </c>
      <c r="P12" s="59">
        <v>1.7</v>
      </c>
      <c r="Q12" s="59">
        <v>47.88</v>
      </c>
      <c r="R12" s="197"/>
      <c r="S12" s="197"/>
      <c r="T12" s="197"/>
      <c r="U12" s="197"/>
    </row>
    <row r="13" spans="1:21" s="12" customFormat="1" x14ac:dyDescent="0.25">
      <c r="A13" s="200" t="s">
        <v>1499</v>
      </c>
      <c r="B13" s="59">
        <v>27.09</v>
      </c>
      <c r="C13" s="59">
        <v>72.900000000000006</v>
      </c>
      <c r="D13" s="59">
        <v>61.96</v>
      </c>
      <c r="E13" s="59">
        <v>6.48</v>
      </c>
      <c r="F13" s="59">
        <v>1.49</v>
      </c>
      <c r="G13" s="59">
        <v>75.63</v>
      </c>
      <c r="H13" s="59">
        <v>25.74</v>
      </c>
      <c r="I13" s="59">
        <v>0.59</v>
      </c>
      <c r="J13" s="59">
        <v>0.45</v>
      </c>
      <c r="K13" s="59">
        <v>146.38</v>
      </c>
      <c r="L13" s="59">
        <v>23.35</v>
      </c>
      <c r="M13" s="59">
        <v>42</v>
      </c>
      <c r="N13" s="59">
        <v>24</v>
      </c>
      <c r="O13" s="59">
        <v>0</v>
      </c>
      <c r="P13" s="59">
        <v>1.59</v>
      </c>
      <c r="Q13" s="59">
        <v>48.27</v>
      </c>
      <c r="R13" s="197"/>
      <c r="S13" s="197"/>
      <c r="T13" s="197"/>
      <c r="U13" s="197"/>
    </row>
    <row r="14" spans="1:21" s="12" customFormat="1" x14ac:dyDescent="0.25">
      <c r="A14" s="200" t="s">
        <v>1500</v>
      </c>
      <c r="B14" s="59">
        <v>27.27</v>
      </c>
      <c r="C14" s="59">
        <v>73.400000000000006</v>
      </c>
      <c r="D14" s="59">
        <v>62.37</v>
      </c>
      <c r="E14" s="59">
        <v>5.5</v>
      </c>
      <c r="F14" s="59">
        <v>0.86</v>
      </c>
      <c r="G14" s="59">
        <v>75.63</v>
      </c>
      <c r="H14" s="59">
        <v>25.74</v>
      </c>
      <c r="I14" s="59">
        <v>0.57999999999999996</v>
      </c>
      <c r="J14" s="59">
        <v>0.15</v>
      </c>
      <c r="K14" s="59">
        <v>210.78</v>
      </c>
      <c r="L14" s="59">
        <v>23.32</v>
      </c>
      <c r="M14" s="59">
        <v>43</v>
      </c>
      <c r="N14" s="59">
        <v>24.7</v>
      </c>
      <c r="O14" s="59">
        <v>0</v>
      </c>
      <c r="P14" s="59">
        <v>1.63</v>
      </c>
      <c r="Q14" s="59">
        <v>49.27</v>
      </c>
      <c r="R14" s="197"/>
      <c r="S14" s="197"/>
      <c r="T14" s="197"/>
      <c r="U14" s="197"/>
    </row>
    <row r="15" spans="1:21" s="12" customFormat="1" x14ac:dyDescent="0.25">
      <c r="A15" s="200" t="s">
        <v>1501</v>
      </c>
      <c r="B15" s="59">
        <v>25.73</v>
      </c>
      <c r="C15" s="59">
        <v>72.760000000000005</v>
      </c>
      <c r="D15" s="59">
        <v>60.79</v>
      </c>
      <c r="E15" s="59">
        <v>5.61</v>
      </c>
      <c r="F15" s="59">
        <v>0.61</v>
      </c>
      <c r="G15" s="59">
        <v>65.94</v>
      </c>
      <c r="H15" s="59">
        <v>24.6</v>
      </c>
      <c r="I15" s="59">
        <v>0.6</v>
      </c>
      <c r="J15" s="59">
        <v>0.24</v>
      </c>
      <c r="K15" s="59">
        <v>350.34</v>
      </c>
      <c r="L15" s="59">
        <v>22.58</v>
      </c>
      <c r="M15" s="59">
        <v>50</v>
      </c>
      <c r="N15" s="59">
        <v>25.2</v>
      </c>
      <c r="O15" s="59">
        <v>0</v>
      </c>
      <c r="P15" s="59">
        <v>1.55</v>
      </c>
      <c r="Q15" s="59">
        <v>49.65</v>
      </c>
      <c r="R15" s="197"/>
      <c r="S15" s="197"/>
      <c r="T15" s="197"/>
      <c r="U15" s="197"/>
    </row>
    <row r="16" spans="1:21" s="12" customFormat="1" x14ac:dyDescent="0.25">
      <c r="A16" s="200" t="s">
        <v>1502</v>
      </c>
      <c r="B16" s="59">
        <v>23.87</v>
      </c>
      <c r="C16" s="59">
        <v>71.400000000000006</v>
      </c>
      <c r="D16" s="59">
        <v>58.54</v>
      </c>
      <c r="E16" s="59">
        <v>5.47</v>
      </c>
      <c r="F16" s="59">
        <v>0.65</v>
      </c>
      <c r="G16" s="59">
        <v>56.24</v>
      </c>
      <c r="H16" s="59">
        <v>22.72</v>
      </c>
      <c r="I16" s="59">
        <v>0.59</v>
      </c>
      <c r="J16" s="59">
        <v>0.08</v>
      </c>
      <c r="K16" s="59">
        <v>65.849999999999994</v>
      </c>
      <c r="L16" s="59">
        <v>21.86</v>
      </c>
      <c r="M16" s="59">
        <v>50</v>
      </c>
      <c r="N16" s="59">
        <v>24.7</v>
      </c>
      <c r="O16" s="59">
        <v>0</v>
      </c>
      <c r="P16" s="59">
        <v>1.47</v>
      </c>
      <c r="Q16" s="59">
        <v>49.24</v>
      </c>
      <c r="R16" s="197"/>
      <c r="S16" s="197"/>
      <c r="T16" s="197"/>
      <c r="U16" s="197"/>
    </row>
    <row r="17" spans="1:21" s="12" customFormat="1" x14ac:dyDescent="0.25">
      <c r="A17" s="200" t="s">
        <v>1503</v>
      </c>
      <c r="B17" s="59">
        <v>22.17</v>
      </c>
      <c r="C17" s="59">
        <v>70.36</v>
      </c>
      <c r="D17" s="59">
        <v>56.61</v>
      </c>
      <c r="E17" s="59">
        <v>5.27</v>
      </c>
      <c r="F17" s="59">
        <v>0.52</v>
      </c>
      <c r="G17" s="59">
        <v>56.24</v>
      </c>
      <c r="H17" s="59">
        <v>22.72</v>
      </c>
      <c r="I17" s="59">
        <v>0.56000000000000005</v>
      </c>
      <c r="J17" s="59">
        <v>7.0000000000000007E-2</v>
      </c>
      <c r="K17" s="59">
        <v>114.52</v>
      </c>
      <c r="L17" s="59">
        <v>22.23</v>
      </c>
      <c r="M17" s="59">
        <v>46</v>
      </c>
      <c r="N17" s="59">
        <v>24.5</v>
      </c>
      <c r="O17" s="59">
        <v>0</v>
      </c>
      <c r="P17" s="59">
        <v>1.39</v>
      </c>
      <c r="Q17" s="59">
        <v>48.85</v>
      </c>
      <c r="R17" s="197"/>
      <c r="S17" s="197"/>
      <c r="T17" s="197"/>
      <c r="U17" s="197"/>
    </row>
    <row r="18" spans="1:21" s="12" customFormat="1" x14ac:dyDescent="0.25">
      <c r="A18" s="200" t="s">
        <v>1504</v>
      </c>
      <c r="B18" s="59">
        <v>20.61</v>
      </c>
      <c r="C18" s="59">
        <v>69.31</v>
      </c>
      <c r="D18" s="59">
        <v>54.78</v>
      </c>
      <c r="E18" s="59">
        <v>5.37</v>
      </c>
      <c r="F18" s="59">
        <v>0.66</v>
      </c>
      <c r="G18" s="59">
        <v>56.24</v>
      </c>
      <c r="H18" s="59">
        <v>22.72</v>
      </c>
      <c r="I18" s="59">
        <v>0.54</v>
      </c>
      <c r="J18" s="59">
        <v>0.18</v>
      </c>
      <c r="K18" s="59">
        <v>110.63</v>
      </c>
      <c r="L18" s="59">
        <v>22.1</v>
      </c>
      <c r="M18" s="59">
        <v>47</v>
      </c>
      <c r="N18" s="59">
        <v>24.4</v>
      </c>
      <c r="O18" s="59">
        <v>0</v>
      </c>
      <c r="P18" s="59">
        <v>1.33</v>
      </c>
      <c r="Q18" s="59">
        <v>48.46</v>
      </c>
      <c r="R18" s="197"/>
      <c r="S18" s="197"/>
      <c r="T18" s="197"/>
      <c r="U18" s="197"/>
    </row>
    <row r="19" spans="1:21" s="12" customFormat="1" x14ac:dyDescent="0.25">
      <c r="A19" s="200" t="s">
        <v>1505</v>
      </c>
      <c r="B19" s="59">
        <v>19.12</v>
      </c>
      <c r="C19" s="59">
        <v>68.16</v>
      </c>
      <c r="D19" s="59">
        <v>52.95</v>
      </c>
      <c r="E19" s="59">
        <v>5.4</v>
      </c>
      <c r="F19" s="59">
        <v>0.65</v>
      </c>
      <c r="G19" s="59">
        <v>54.06</v>
      </c>
      <c r="H19" s="59">
        <v>21.13</v>
      </c>
      <c r="I19" s="59">
        <v>0.52</v>
      </c>
      <c r="J19" s="59">
        <v>0.26</v>
      </c>
      <c r="K19" s="59">
        <v>42.26</v>
      </c>
      <c r="L19" s="59">
        <v>22.1</v>
      </c>
      <c r="M19" s="59">
        <v>47</v>
      </c>
      <c r="N19" s="59">
        <v>24.5</v>
      </c>
      <c r="O19" s="59">
        <v>0</v>
      </c>
      <c r="P19" s="59">
        <v>1.27</v>
      </c>
      <c r="Q19" s="59">
        <v>47.67</v>
      </c>
      <c r="R19" s="197"/>
      <c r="S19" s="197"/>
      <c r="T19" s="197"/>
      <c r="U19" s="197"/>
    </row>
    <row r="20" spans="1:21" s="12" customFormat="1" x14ac:dyDescent="0.25">
      <c r="A20" s="200" t="s">
        <v>1506</v>
      </c>
      <c r="B20" s="59">
        <v>17.78</v>
      </c>
      <c r="C20" s="59">
        <v>67.17</v>
      </c>
      <c r="D20" s="59">
        <v>51.33</v>
      </c>
      <c r="E20" s="59">
        <v>5.55</v>
      </c>
      <c r="F20" s="59">
        <v>0.53</v>
      </c>
      <c r="G20" s="59">
        <v>51.88</v>
      </c>
      <c r="H20" s="59">
        <v>18.510000000000002</v>
      </c>
      <c r="I20" s="59">
        <v>0.5</v>
      </c>
      <c r="J20" s="59">
        <v>0.1</v>
      </c>
      <c r="K20" s="59">
        <v>265.08999999999997</v>
      </c>
      <c r="L20" s="59">
        <v>21.64</v>
      </c>
      <c r="M20" s="59">
        <v>49</v>
      </c>
      <c r="N20" s="59">
        <v>24.6</v>
      </c>
      <c r="O20" s="59">
        <v>0</v>
      </c>
      <c r="P20" s="59">
        <v>1.21</v>
      </c>
      <c r="Q20" s="59">
        <v>47.12</v>
      </c>
      <c r="R20" s="197"/>
      <c r="S20" s="197"/>
      <c r="T20" s="197"/>
      <c r="U20" s="197"/>
    </row>
    <row r="21" spans="1:21" s="12" customFormat="1" x14ac:dyDescent="0.25">
      <c r="A21" s="200" t="s">
        <v>1507</v>
      </c>
      <c r="B21" s="59">
        <v>16.579999999999998</v>
      </c>
      <c r="C21" s="59">
        <v>65.77</v>
      </c>
      <c r="D21" s="59">
        <v>49.59</v>
      </c>
      <c r="E21" s="59">
        <v>5.13</v>
      </c>
      <c r="F21" s="59">
        <v>0.6</v>
      </c>
      <c r="G21" s="59">
        <v>51.88</v>
      </c>
      <c r="H21" s="59">
        <v>18.510000000000002</v>
      </c>
      <c r="I21" s="59">
        <v>0.48</v>
      </c>
      <c r="J21" s="59">
        <v>0.19</v>
      </c>
      <c r="K21" s="59">
        <v>2.92</v>
      </c>
      <c r="L21" s="59">
        <v>21.26</v>
      </c>
      <c r="M21" s="59">
        <v>53</v>
      </c>
      <c r="N21" s="59">
        <v>24.7</v>
      </c>
      <c r="O21" s="59">
        <v>0</v>
      </c>
      <c r="P21" s="59">
        <v>1.1599999999999999</v>
      </c>
      <c r="Q21" s="59">
        <v>45.96</v>
      </c>
      <c r="R21" s="197"/>
      <c r="S21" s="197"/>
      <c r="T21" s="197"/>
      <c r="U21" s="197"/>
    </row>
    <row r="22" spans="1:21" s="12" customFormat="1" x14ac:dyDescent="0.25">
      <c r="A22" s="200" t="s">
        <v>1508</v>
      </c>
      <c r="B22" s="59">
        <v>16.12</v>
      </c>
      <c r="C22" s="59">
        <v>64.62</v>
      </c>
      <c r="D22" s="59">
        <v>48.59</v>
      </c>
      <c r="E22" s="59">
        <v>4.8899999999999997</v>
      </c>
      <c r="F22" s="59">
        <v>0.55000000000000004</v>
      </c>
      <c r="G22" s="59">
        <v>51.88</v>
      </c>
      <c r="H22" s="59">
        <v>18.510000000000002</v>
      </c>
      <c r="I22" s="59">
        <v>0.46</v>
      </c>
      <c r="J22" s="59">
        <v>0.13</v>
      </c>
      <c r="K22" s="59">
        <v>37.46</v>
      </c>
      <c r="L22" s="59">
        <v>20.74</v>
      </c>
      <c r="M22" s="59">
        <v>55</v>
      </c>
      <c r="N22" s="59">
        <v>24.6</v>
      </c>
      <c r="O22" s="59">
        <v>0</v>
      </c>
      <c r="P22" s="59">
        <v>1.1200000000000001</v>
      </c>
      <c r="Q22" s="59">
        <v>45.12</v>
      </c>
      <c r="R22" s="197"/>
      <c r="S22" s="197"/>
      <c r="T22" s="197"/>
      <c r="U22" s="197"/>
    </row>
    <row r="23" spans="1:21" s="12" customFormat="1" x14ac:dyDescent="0.25">
      <c r="A23" s="200" t="s">
        <v>1509</v>
      </c>
      <c r="B23" s="59">
        <v>15.85</v>
      </c>
      <c r="C23" s="59">
        <v>63.71</v>
      </c>
      <c r="D23" s="59">
        <v>47.87</v>
      </c>
      <c r="E23" s="59">
        <v>5.21</v>
      </c>
      <c r="F23" s="59">
        <v>0.6</v>
      </c>
      <c r="G23" s="59">
        <v>47.79</v>
      </c>
      <c r="H23" s="59">
        <v>18.27</v>
      </c>
      <c r="I23" s="59">
        <v>0.46</v>
      </c>
      <c r="J23" s="59">
        <v>0.15</v>
      </c>
      <c r="K23" s="59">
        <v>3.37</v>
      </c>
      <c r="L23" s="59">
        <v>21.06</v>
      </c>
      <c r="M23" s="59">
        <v>52</v>
      </c>
      <c r="N23" s="59">
        <v>24.5</v>
      </c>
      <c r="O23" s="59">
        <v>0</v>
      </c>
      <c r="P23" s="59">
        <v>1.0900000000000001</v>
      </c>
      <c r="Q23" s="59">
        <v>44.87</v>
      </c>
      <c r="R23" s="197"/>
      <c r="S23" s="197"/>
      <c r="T23" s="197"/>
      <c r="U23" s="197"/>
    </row>
    <row r="24" spans="1:21" s="12" customFormat="1" x14ac:dyDescent="0.25">
      <c r="A24" s="200" t="s">
        <v>1510</v>
      </c>
      <c r="B24" s="59">
        <v>15.81</v>
      </c>
      <c r="C24" s="59">
        <v>62.83</v>
      </c>
      <c r="D24" s="59">
        <v>47.36</v>
      </c>
      <c r="E24" s="59">
        <v>2.67</v>
      </c>
      <c r="F24" s="59">
        <v>0.68</v>
      </c>
      <c r="G24" s="59">
        <v>43.69</v>
      </c>
      <c r="H24" s="59">
        <v>17.89</v>
      </c>
      <c r="I24" s="59">
        <v>0.46</v>
      </c>
      <c r="J24" s="59">
        <v>0.12</v>
      </c>
      <c r="K24" s="59">
        <v>330.63</v>
      </c>
      <c r="L24" s="59">
        <v>20.62</v>
      </c>
      <c r="M24" s="59">
        <v>55</v>
      </c>
      <c r="N24" s="59">
        <v>24.6</v>
      </c>
      <c r="O24" s="59">
        <v>0</v>
      </c>
      <c r="P24" s="59">
        <v>1.06</v>
      </c>
      <c r="Q24" s="59">
        <v>44.9</v>
      </c>
      <c r="R24" s="197"/>
      <c r="S24" s="197"/>
      <c r="T24" s="197"/>
      <c r="U24" s="197"/>
    </row>
    <row r="25" spans="1:21" s="12" customFormat="1" x14ac:dyDescent="0.25">
      <c r="A25" s="200" t="s">
        <v>1511</v>
      </c>
      <c r="B25" s="59">
        <v>15.96</v>
      </c>
      <c r="C25" s="59">
        <v>62.48</v>
      </c>
      <c r="D25" s="59">
        <v>47.28</v>
      </c>
      <c r="E25" s="59">
        <v>4.67</v>
      </c>
      <c r="F25" s="59">
        <v>0.59</v>
      </c>
      <c r="G25" s="59">
        <v>43.69</v>
      </c>
      <c r="H25" s="59">
        <v>17.89</v>
      </c>
      <c r="I25" s="59">
        <v>0.46</v>
      </c>
      <c r="J25" s="59">
        <v>0.24</v>
      </c>
      <c r="K25" s="59">
        <v>353.43</v>
      </c>
      <c r="L25" s="59">
        <v>20.3</v>
      </c>
      <c r="M25" s="59">
        <v>56</v>
      </c>
      <c r="N25" s="59">
        <v>24.5</v>
      </c>
      <c r="O25" s="59">
        <v>0</v>
      </c>
      <c r="P25" s="59">
        <v>1.03</v>
      </c>
      <c r="Q25" s="59">
        <v>45.15</v>
      </c>
      <c r="R25" s="197"/>
      <c r="S25" s="197"/>
      <c r="T25" s="197"/>
      <c r="U25" s="197"/>
    </row>
    <row r="26" spans="1:21" s="12" customFormat="1" x14ac:dyDescent="0.25">
      <c r="A26" s="200" t="s">
        <v>1512</v>
      </c>
      <c r="B26" s="59">
        <v>16.28</v>
      </c>
      <c r="C26" s="59">
        <v>62.54</v>
      </c>
      <c r="D26" s="59">
        <v>47.57</v>
      </c>
      <c r="E26" s="59">
        <v>5.08</v>
      </c>
      <c r="F26" s="59">
        <v>0.52</v>
      </c>
      <c r="G26" s="59">
        <v>43.69</v>
      </c>
      <c r="H26" s="59">
        <v>17.89</v>
      </c>
      <c r="I26" s="59">
        <v>0.46</v>
      </c>
      <c r="J26" s="59">
        <v>0.08</v>
      </c>
      <c r="K26" s="59">
        <v>216.89</v>
      </c>
      <c r="L26" s="59">
        <v>20.43</v>
      </c>
      <c r="M26" s="59">
        <v>54</v>
      </c>
      <c r="N26" s="59">
        <v>24.4</v>
      </c>
      <c r="O26" s="59">
        <v>0</v>
      </c>
      <c r="P26" s="59">
        <v>1.01</v>
      </c>
      <c r="Q26" s="59">
        <v>45.34</v>
      </c>
      <c r="R26" s="197"/>
      <c r="S26" s="197"/>
      <c r="T26" s="197"/>
      <c r="U26" s="197"/>
    </row>
    <row r="27" spans="1:21" s="12" customFormat="1" x14ac:dyDescent="0.25">
      <c r="A27" s="200" t="s">
        <v>1513</v>
      </c>
      <c r="B27" s="59">
        <v>16.18</v>
      </c>
      <c r="C27" s="59">
        <v>62.27</v>
      </c>
      <c r="D27" s="59">
        <v>47.34</v>
      </c>
      <c r="E27" s="59">
        <v>4.91</v>
      </c>
      <c r="F27" s="59">
        <v>0.52</v>
      </c>
      <c r="G27" s="59">
        <v>43.43</v>
      </c>
      <c r="H27" s="59">
        <v>16.489999999999998</v>
      </c>
      <c r="I27" s="59">
        <v>0.47</v>
      </c>
      <c r="J27" s="59">
        <v>0.2</v>
      </c>
      <c r="K27" s="59">
        <v>17.010000000000002</v>
      </c>
      <c r="L27" s="59">
        <v>20.57</v>
      </c>
      <c r="M27" s="59">
        <v>54</v>
      </c>
      <c r="N27" s="59">
        <v>24.4</v>
      </c>
      <c r="O27" s="59">
        <v>0</v>
      </c>
      <c r="P27" s="59">
        <v>0.98</v>
      </c>
      <c r="Q27" s="59">
        <v>45.61</v>
      </c>
      <c r="R27" s="197"/>
      <c r="S27" s="197"/>
      <c r="T27" s="197"/>
      <c r="U27" s="197"/>
    </row>
    <row r="28" spans="1:21" s="12" customFormat="1" x14ac:dyDescent="0.25">
      <c r="A28" s="200" t="s">
        <v>1514</v>
      </c>
      <c r="B28" s="59">
        <v>16.190000000000001</v>
      </c>
      <c r="C28" s="59">
        <v>62.12</v>
      </c>
      <c r="D28" s="59">
        <v>47.27</v>
      </c>
      <c r="E28" s="59">
        <v>4.9800000000000004</v>
      </c>
      <c r="F28" s="59">
        <v>0.51</v>
      </c>
      <c r="G28" s="59">
        <v>42.49</v>
      </c>
      <c r="H28" s="59">
        <v>14.17</v>
      </c>
      <c r="I28" s="59">
        <v>0.47</v>
      </c>
      <c r="J28" s="59">
        <v>0.17</v>
      </c>
      <c r="K28" s="59">
        <v>71.39</v>
      </c>
      <c r="L28" s="59">
        <v>20.79</v>
      </c>
      <c r="M28" s="59">
        <v>50</v>
      </c>
      <c r="N28" s="59">
        <v>24.1</v>
      </c>
      <c r="O28" s="59">
        <v>0</v>
      </c>
      <c r="P28" s="59">
        <v>0.96</v>
      </c>
      <c r="Q28" s="59">
        <v>46.25</v>
      </c>
      <c r="R28" s="197"/>
      <c r="S28" s="197"/>
      <c r="T28" s="197"/>
      <c r="U28" s="197"/>
    </row>
    <row r="29" spans="1:21" s="12" customFormat="1" x14ac:dyDescent="0.25">
      <c r="A29" s="200" t="s">
        <v>1515</v>
      </c>
      <c r="B29" s="59">
        <v>15.79</v>
      </c>
      <c r="C29" s="59">
        <v>62.28</v>
      </c>
      <c r="D29" s="59">
        <v>47.04</v>
      </c>
      <c r="E29" s="59">
        <v>4.91</v>
      </c>
      <c r="F29" s="59">
        <v>0.4</v>
      </c>
      <c r="G29" s="59">
        <v>42.49</v>
      </c>
      <c r="H29" s="59">
        <v>14.17</v>
      </c>
      <c r="I29" s="59">
        <v>0.47</v>
      </c>
      <c r="J29" s="59">
        <v>0.14000000000000001</v>
      </c>
      <c r="K29" s="59">
        <v>46.68</v>
      </c>
      <c r="L29" s="59">
        <v>20.85</v>
      </c>
      <c r="M29" s="59">
        <v>50</v>
      </c>
      <c r="N29" s="59">
        <v>24.5</v>
      </c>
      <c r="O29" s="59">
        <v>0</v>
      </c>
      <c r="P29" s="59">
        <v>0.93</v>
      </c>
      <c r="Q29" s="59">
        <v>47.62</v>
      </c>
      <c r="R29" s="197"/>
      <c r="S29" s="197"/>
      <c r="T29" s="197"/>
      <c r="U29" s="197"/>
    </row>
    <row r="30" spans="1:21" s="12" customFormat="1" x14ac:dyDescent="0.25">
      <c r="A30" s="200" t="s">
        <v>1516</v>
      </c>
      <c r="B30" s="59">
        <v>16.13</v>
      </c>
      <c r="C30" s="59">
        <v>63.32</v>
      </c>
      <c r="D30" s="59">
        <v>47.88</v>
      </c>
      <c r="E30" s="59">
        <v>4.6900000000000004</v>
      </c>
      <c r="F30" s="59">
        <v>0.66</v>
      </c>
      <c r="G30" s="59">
        <v>42.49</v>
      </c>
      <c r="H30" s="59">
        <v>14.17</v>
      </c>
      <c r="I30" s="59">
        <v>0.48</v>
      </c>
      <c r="J30" s="59">
        <v>0.2</v>
      </c>
      <c r="K30" s="59">
        <v>71.64</v>
      </c>
      <c r="L30" s="59">
        <v>20.8</v>
      </c>
      <c r="M30" s="59">
        <v>50</v>
      </c>
      <c r="N30" s="59">
        <v>24.3</v>
      </c>
      <c r="O30" s="59">
        <v>0</v>
      </c>
      <c r="P30" s="59">
        <v>0.92</v>
      </c>
      <c r="Q30" s="59">
        <v>47.61</v>
      </c>
      <c r="R30" s="197"/>
      <c r="S30" s="197"/>
      <c r="T30" s="197"/>
      <c r="U30" s="197"/>
    </row>
    <row r="31" spans="1:21" s="12" customFormat="1" x14ac:dyDescent="0.25">
      <c r="A31" s="200" t="s">
        <v>1517</v>
      </c>
      <c r="B31" s="59">
        <v>15.93</v>
      </c>
      <c r="C31" s="59">
        <v>63.74</v>
      </c>
      <c r="D31" s="59">
        <v>47.95</v>
      </c>
      <c r="E31" s="59">
        <v>4.8</v>
      </c>
      <c r="F31" s="59">
        <v>0.68</v>
      </c>
      <c r="G31" s="59">
        <v>42.27</v>
      </c>
      <c r="H31" s="59">
        <v>13.45</v>
      </c>
      <c r="I31" s="59">
        <v>0.46</v>
      </c>
      <c r="J31" s="59">
        <v>0.19</v>
      </c>
      <c r="K31" s="59">
        <v>61.67</v>
      </c>
      <c r="L31" s="59">
        <v>20.72</v>
      </c>
      <c r="M31" s="59">
        <v>51</v>
      </c>
      <c r="N31" s="59">
        <v>24.5</v>
      </c>
      <c r="O31" s="59">
        <v>0</v>
      </c>
      <c r="P31" s="59">
        <v>0.89</v>
      </c>
      <c r="Q31" s="59">
        <v>47.04</v>
      </c>
      <c r="R31" s="197"/>
      <c r="S31" s="197"/>
      <c r="T31" s="197"/>
      <c r="U31" s="197"/>
    </row>
    <row r="32" spans="1:21" s="12" customFormat="1" x14ac:dyDescent="0.25">
      <c r="A32" s="200" t="s">
        <v>1518</v>
      </c>
      <c r="B32" s="59">
        <v>15.76</v>
      </c>
      <c r="C32" s="59">
        <v>63.94</v>
      </c>
      <c r="D32" s="59">
        <v>47.92</v>
      </c>
      <c r="E32" s="59">
        <v>4.84</v>
      </c>
      <c r="F32" s="59">
        <v>0.75</v>
      </c>
      <c r="G32" s="59">
        <v>42.06</v>
      </c>
      <c r="H32" s="59">
        <v>12.27</v>
      </c>
      <c r="I32" s="59">
        <v>0.46</v>
      </c>
      <c r="J32" s="59">
        <v>0.17</v>
      </c>
      <c r="K32" s="59">
        <v>70.03</v>
      </c>
      <c r="L32" s="59">
        <v>20.71</v>
      </c>
      <c r="M32" s="59">
        <v>50</v>
      </c>
      <c r="N32" s="59">
        <v>24</v>
      </c>
      <c r="O32" s="59">
        <v>0</v>
      </c>
      <c r="P32" s="59">
        <v>0.86</v>
      </c>
      <c r="Q32" s="59">
        <v>46.45</v>
      </c>
      <c r="R32" s="197"/>
      <c r="S32" s="197"/>
      <c r="T32" s="197"/>
      <c r="U32" s="197"/>
    </row>
    <row r="33" spans="1:21" s="12" customFormat="1" x14ac:dyDescent="0.25">
      <c r="A33" s="200" t="s">
        <v>1519</v>
      </c>
      <c r="B33" s="59">
        <v>15.3</v>
      </c>
      <c r="C33" s="59">
        <v>63.93</v>
      </c>
      <c r="D33" s="59">
        <v>47.55</v>
      </c>
      <c r="E33" s="59">
        <v>4.83</v>
      </c>
      <c r="F33" s="59">
        <v>0.78</v>
      </c>
      <c r="G33" s="59">
        <v>42.06</v>
      </c>
      <c r="H33" s="59">
        <v>12.27</v>
      </c>
      <c r="I33" s="59">
        <v>0.45</v>
      </c>
      <c r="J33" s="59">
        <v>0.13</v>
      </c>
      <c r="K33" s="59">
        <v>86.92</v>
      </c>
      <c r="L33" s="59">
        <v>20.62</v>
      </c>
      <c r="M33" s="59">
        <v>51</v>
      </c>
      <c r="N33" s="59">
        <v>24.3</v>
      </c>
      <c r="O33" s="59">
        <v>0</v>
      </c>
      <c r="P33" s="59">
        <v>0.83</v>
      </c>
      <c r="Q33" s="59">
        <v>46.23</v>
      </c>
      <c r="R33" s="197"/>
      <c r="S33" s="197"/>
      <c r="T33" s="197"/>
      <c r="U33" s="197"/>
    </row>
    <row r="34" spans="1:21" s="12" customFormat="1" x14ac:dyDescent="0.25">
      <c r="A34" s="200" t="s">
        <v>1520</v>
      </c>
      <c r="B34" s="59">
        <v>15.26</v>
      </c>
      <c r="C34" s="59">
        <v>63.82</v>
      </c>
      <c r="D34" s="59">
        <v>47.46</v>
      </c>
      <c r="E34" s="59">
        <v>4.5999999999999996</v>
      </c>
      <c r="F34" s="59">
        <v>0.71</v>
      </c>
      <c r="G34" s="59">
        <v>42.06</v>
      </c>
      <c r="H34" s="59">
        <v>12.27</v>
      </c>
      <c r="I34" s="59">
        <v>0.44</v>
      </c>
      <c r="J34" s="59">
        <v>0.24</v>
      </c>
      <c r="K34" s="59">
        <v>8.3699999999999992</v>
      </c>
      <c r="L34" s="59">
        <v>20.36</v>
      </c>
      <c r="M34" s="59">
        <v>57</v>
      </c>
      <c r="N34" s="59">
        <v>26.4</v>
      </c>
      <c r="O34" s="59">
        <v>0</v>
      </c>
      <c r="P34" s="59">
        <v>0.84</v>
      </c>
      <c r="Q34" s="59">
        <v>45.73</v>
      </c>
      <c r="R34" s="197"/>
      <c r="S34" s="197"/>
      <c r="T34" s="197"/>
      <c r="U34" s="197"/>
    </row>
    <row r="35" spans="1:21" s="12" customFormat="1" x14ac:dyDescent="0.25">
      <c r="A35" s="200" t="s">
        <v>1521</v>
      </c>
      <c r="B35" s="59">
        <v>20.74</v>
      </c>
      <c r="C35" s="59">
        <v>66.930000000000007</v>
      </c>
      <c r="D35" s="59">
        <v>53.57</v>
      </c>
      <c r="E35" s="59">
        <v>4.26</v>
      </c>
      <c r="F35" s="59">
        <v>0.44</v>
      </c>
      <c r="G35" s="59">
        <v>40.44</v>
      </c>
      <c r="H35" s="59">
        <v>11.99</v>
      </c>
      <c r="I35" s="59">
        <v>0.42</v>
      </c>
      <c r="J35" s="59">
        <v>0.18</v>
      </c>
      <c r="K35" s="59">
        <v>5.78</v>
      </c>
      <c r="L35" s="59">
        <v>20.07</v>
      </c>
      <c r="M35" s="59">
        <v>56</v>
      </c>
      <c r="N35" s="59">
        <v>31.5</v>
      </c>
      <c r="O35" s="59">
        <v>0</v>
      </c>
      <c r="P35" s="59">
        <v>0.88</v>
      </c>
      <c r="Q35" s="59">
        <v>44.88</v>
      </c>
      <c r="R35" s="197"/>
      <c r="S35" s="197"/>
      <c r="T35" s="197"/>
      <c r="U35" s="197"/>
    </row>
    <row r="36" spans="1:21" s="12" customFormat="1" x14ac:dyDescent="0.25">
      <c r="A36" s="200" t="s">
        <v>1522</v>
      </c>
      <c r="B36" s="59">
        <v>22.63</v>
      </c>
      <c r="C36" s="59">
        <v>67.53</v>
      </c>
      <c r="D36" s="59">
        <v>55.41</v>
      </c>
      <c r="E36" s="59">
        <v>4.1100000000000003</v>
      </c>
      <c r="F36" s="59">
        <v>0.57999999999999996</v>
      </c>
      <c r="G36" s="59">
        <v>38.86</v>
      </c>
      <c r="H36" s="59">
        <v>11.53</v>
      </c>
      <c r="I36" s="59">
        <v>0.42</v>
      </c>
      <c r="J36" s="59">
        <v>0.27</v>
      </c>
      <c r="K36" s="59">
        <v>18.63</v>
      </c>
      <c r="L36" s="59">
        <v>20.54</v>
      </c>
      <c r="M36" s="59">
        <v>53</v>
      </c>
      <c r="N36" s="59">
        <v>39.200000000000003</v>
      </c>
      <c r="O36" s="59">
        <v>0</v>
      </c>
      <c r="P36" s="59">
        <v>0.89</v>
      </c>
      <c r="Q36" s="59">
        <v>44.25</v>
      </c>
      <c r="R36" s="197"/>
      <c r="S36" s="197"/>
      <c r="T36" s="197"/>
      <c r="U36" s="197"/>
    </row>
    <row r="37" spans="1:21" s="12" customFormat="1" x14ac:dyDescent="0.25">
      <c r="A37" s="200" t="s">
        <v>1523</v>
      </c>
      <c r="B37" s="59">
        <v>24.55</v>
      </c>
      <c r="C37" s="59">
        <v>69.16</v>
      </c>
      <c r="D37" s="59">
        <v>57.85</v>
      </c>
      <c r="E37" s="59">
        <v>4.7699999999999996</v>
      </c>
      <c r="F37" s="59">
        <v>0.77</v>
      </c>
      <c r="G37" s="59">
        <v>38.86</v>
      </c>
      <c r="H37" s="59">
        <v>11.53</v>
      </c>
      <c r="I37" s="59">
        <v>0.42</v>
      </c>
      <c r="J37" s="59">
        <v>0.18</v>
      </c>
      <c r="K37" s="59">
        <v>4.8499999999999996</v>
      </c>
      <c r="L37" s="59">
        <v>21.01</v>
      </c>
      <c r="M37" s="59">
        <v>52</v>
      </c>
      <c r="N37" s="59">
        <v>48.1</v>
      </c>
      <c r="O37" s="59">
        <v>0</v>
      </c>
      <c r="P37" s="59">
        <v>0.87</v>
      </c>
      <c r="Q37" s="59">
        <v>44.36</v>
      </c>
      <c r="R37" s="197"/>
      <c r="S37" s="197"/>
      <c r="T37" s="197"/>
      <c r="U37" s="197"/>
    </row>
    <row r="38" spans="1:21" s="12" customFormat="1" x14ac:dyDescent="0.25">
      <c r="A38" s="200" t="s">
        <v>1524</v>
      </c>
      <c r="B38" s="59">
        <v>24.2</v>
      </c>
      <c r="C38" s="59">
        <v>68.349999999999994</v>
      </c>
      <c r="D38" s="59">
        <v>57.13</v>
      </c>
      <c r="E38" s="59">
        <v>4.97</v>
      </c>
      <c r="F38" s="59">
        <v>0.99</v>
      </c>
      <c r="G38" s="59">
        <v>38.86</v>
      </c>
      <c r="H38" s="59">
        <v>11.53</v>
      </c>
      <c r="I38" s="59">
        <v>0.43</v>
      </c>
      <c r="J38" s="59">
        <v>0.61</v>
      </c>
      <c r="K38" s="59">
        <v>13.13</v>
      </c>
      <c r="L38" s="59">
        <v>21.57</v>
      </c>
      <c r="M38" s="59">
        <v>49</v>
      </c>
      <c r="N38" s="59">
        <v>57.9</v>
      </c>
      <c r="O38" s="59">
        <v>0</v>
      </c>
      <c r="P38" s="59">
        <v>0.91</v>
      </c>
      <c r="Q38" s="59">
        <v>44.48</v>
      </c>
      <c r="R38" s="197"/>
      <c r="S38" s="197"/>
      <c r="T38" s="197"/>
      <c r="U38" s="197"/>
    </row>
    <row r="39" spans="1:21" s="12" customFormat="1" x14ac:dyDescent="0.25">
      <c r="A39" s="200" t="s">
        <v>1525</v>
      </c>
      <c r="B39" s="59">
        <v>24.84</v>
      </c>
      <c r="C39" s="59">
        <v>69.489999999999995</v>
      </c>
      <c r="D39" s="59">
        <v>58.27</v>
      </c>
      <c r="E39" s="59">
        <v>4.9000000000000004</v>
      </c>
      <c r="F39" s="59">
        <v>0.9</v>
      </c>
      <c r="G39" s="59">
        <v>40.75</v>
      </c>
      <c r="H39" s="59">
        <v>11.83</v>
      </c>
      <c r="I39" s="59">
        <v>0.44</v>
      </c>
      <c r="J39" s="59">
        <v>0.43</v>
      </c>
      <c r="K39" s="59">
        <v>40.99</v>
      </c>
      <c r="L39" s="59">
        <v>22.36</v>
      </c>
      <c r="M39" s="59">
        <v>47</v>
      </c>
      <c r="N39" s="59">
        <v>141.80000000000001</v>
      </c>
      <c r="O39" s="59">
        <v>0</v>
      </c>
      <c r="P39" s="59">
        <v>0.92</v>
      </c>
      <c r="Q39" s="59">
        <v>44.54</v>
      </c>
      <c r="R39" s="197"/>
      <c r="S39" s="197"/>
      <c r="T39" s="197"/>
      <c r="U39" s="197"/>
    </row>
    <row r="40" spans="1:21" s="12" customFormat="1" x14ac:dyDescent="0.25">
      <c r="A40" s="200" t="s">
        <v>1526</v>
      </c>
      <c r="B40" s="59">
        <v>24.97</v>
      </c>
      <c r="C40" s="59">
        <v>69.739999999999995</v>
      </c>
      <c r="D40" s="59">
        <v>58.52</v>
      </c>
      <c r="E40" s="59">
        <v>3.24</v>
      </c>
      <c r="F40" s="59">
        <v>0.85</v>
      </c>
      <c r="G40" s="59">
        <v>42.58</v>
      </c>
      <c r="H40" s="59">
        <v>12.32</v>
      </c>
      <c r="I40" s="59">
        <v>0.45</v>
      </c>
      <c r="J40" s="59">
        <v>0.39</v>
      </c>
      <c r="K40" s="59">
        <v>81.2</v>
      </c>
      <c r="L40" s="59">
        <v>23.97</v>
      </c>
      <c r="M40" s="59">
        <v>43</v>
      </c>
      <c r="N40" s="59">
        <v>202.9</v>
      </c>
      <c r="O40" s="59">
        <v>0</v>
      </c>
      <c r="P40" s="59">
        <v>0.93</v>
      </c>
      <c r="Q40" s="59">
        <v>44.64</v>
      </c>
      <c r="R40" s="197"/>
      <c r="S40" s="197"/>
      <c r="T40" s="197"/>
      <c r="U40" s="197"/>
    </row>
    <row r="41" spans="1:21" s="12" customFormat="1" x14ac:dyDescent="0.25">
      <c r="A41" s="200" t="s">
        <v>1527</v>
      </c>
      <c r="B41" s="59">
        <v>26.95</v>
      </c>
      <c r="C41" s="59">
        <v>71.42</v>
      </c>
      <c r="D41" s="59">
        <v>61.02</v>
      </c>
      <c r="E41" s="59">
        <v>5.65</v>
      </c>
      <c r="F41" s="59">
        <v>1.02</v>
      </c>
      <c r="G41" s="59">
        <v>42.58</v>
      </c>
      <c r="H41" s="59">
        <v>12.32</v>
      </c>
      <c r="I41" s="59">
        <v>0.46</v>
      </c>
      <c r="J41" s="59">
        <v>0.82</v>
      </c>
      <c r="K41" s="59">
        <v>15.68</v>
      </c>
      <c r="L41" s="59">
        <v>26.06</v>
      </c>
      <c r="M41" s="59">
        <v>39</v>
      </c>
      <c r="N41" s="59">
        <v>235.1</v>
      </c>
      <c r="O41" s="59">
        <v>0</v>
      </c>
      <c r="P41" s="59">
        <v>0.94</v>
      </c>
      <c r="Q41" s="59">
        <v>45.25</v>
      </c>
      <c r="R41" s="197"/>
      <c r="S41" s="197"/>
      <c r="T41" s="197"/>
      <c r="U41" s="197"/>
    </row>
    <row r="42" spans="1:21" s="12" customFormat="1" x14ac:dyDescent="0.25">
      <c r="A42" s="200" t="s">
        <v>1528</v>
      </c>
      <c r="B42" s="59">
        <v>26.98</v>
      </c>
      <c r="C42" s="59">
        <v>72.03</v>
      </c>
      <c r="D42" s="59">
        <v>61.39</v>
      </c>
      <c r="E42" s="59">
        <v>5.95</v>
      </c>
      <c r="F42" s="59">
        <v>1.62</v>
      </c>
      <c r="G42" s="59">
        <v>42.58</v>
      </c>
      <c r="H42" s="59">
        <v>12.32</v>
      </c>
      <c r="I42" s="59">
        <v>0.47</v>
      </c>
      <c r="J42" s="59">
        <v>0.97</v>
      </c>
      <c r="K42" s="59">
        <v>12.4</v>
      </c>
      <c r="L42" s="59">
        <v>27.95</v>
      </c>
      <c r="M42" s="59">
        <v>34</v>
      </c>
      <c r="N42" s="59">
        <v>269.10000000000002</v>
      </c>
      <c r="O42" s="59">
        <v>0</v>
      </c>
      <c r="P42" s="59">
        <v>0.95</v>
      </c>
      <c r="Q42" s="59">
        <v>45.42</v>
      </c>
      <c r="R42" s="197"/>
      <c r="S42" s="197"/>
      <c r="T42" s="197"/>
      <c r="U42" s="197"/>
    </row>
    <row r="43" spans="1:21" s="12" customFormat="1" x14ac:dyDescent="0.25">
      <c r="A43" s="200" t="s">
        <v>1529</v>
      </c>
      <c r="B43" s="59">
        <v>25.74</v>
      </c>
      <c r="C43" s="59">
        <v>73.33</v>
      </c>
      <c r="D43" s="59">
        <v>61.11</v>
      </c>
      <c r="E43" s="59">
        <v>5.0599999999999996</v>
      </c>
      <c r="F43" s="59">
        <v>1.18</v>
      </c>
      <c r="G43" s="59">
        <v>43.17</v>
      </c>
      <c r="H43" s="59">
        <v>14.76</v>
      </c>
      <c r="I43" s="59">
        <v>0.46</v>
      </c>
      <c r="J43" s="59">
        <v>0.41</v>
      </c>
      <c r="K43" s="59">
        <v>39.74</v>
      </c>
      <c r="L43" s="59">
        <v>28.45</v>
      </c>
      <c r="M43" s="59">
        <v>34</v>
      </c>
      <c r="N43" s="59">
        <v>294.39999999999998</v>
      </c>
      <c r="O43" s="59">
        <v>0</v>
      </c>
      <c r="P43" s="59">
        <v>0.95</v>
      </c>
      <c r="Q43" s="59">
        <v>46.16</v>
      </c>
      <c r="R43" s="197"/>
      <c r="S43" s="197"/>
      <c r="T43" s="197"/>
      <c r="U43" s="197"/>
    </row>
    <row r="44" spans="1:21" s="12" customFormat="1" x14ac:dyDescent="0.25">
      <c r="A44" s="200" t="s">
        <v>1530</v>
      </c>
      <c r="B44" s="59">
        <v>24.96</v>
      </c>
      <c r="C44" s="59">
        <v>74.680000000000007</v>
      </c>
      <c r="D44" s="59">
        <v>61.23</v>
      </c>
      <c r="E44" s="59">
        <v>5.31</v>
      </c>
      <c r="F44" s="59">
        <v>0.95</v>
      </c>
      <c r="G44" s="59">
        <v>45.37</v>
      </c>
      <c r="H44" s="59">
        <v>18.78</v>
      </c>
      <c r="I44" s="59">
        <v>0.46</v>
      </c>
      <c r="J44" s="59">
        <v>1.01</v>
      </c>
      <c r="K44" s="59">
        <v>12.66</v>
      </c>
      <c r="L44" s="59">
        <v>28.92</v>
      </c>
      <c r="M44" s="59">
        <v>32</v>
      </c>
      <c r="N44" s="59">
        <v>321.5</v>
      </c>
      <c r="O44" s="59">
        <v>0</v>
      </c>
      <c r="P44" s="59">
        <v>0.97</v>
      </c>
      <c r="Q44" s="59">
        <v>46.08</v>
      </c>
      <c r="R44" s="197"/>
      <c r="S44" s="197"/>
      <c r="T44" s="197"/>
      <c r="U44" s="197"/>
    </row>
    <row r="45" spans="1:21" s="12" customFormat="1" x14ac:dyDescent="0.25">
      <c r="A45" s="200" t="s">
        <v>1531</v>
      </c>
      <c r="B45" s="59">
        <v>22.56</v>
      </c>
      <c r="C45" s="59">
        <v>75.989999999999995</v>
      </c>
      <c r="D45" s="59">
        <v>60.03</v>
      </c>
      <c r="E45" s="59">
        <v>6.04</v>
      </c>
      <c r="F45" s="59">
        <v>1.54</v>
      </c>
      <c r="G45" s="59">
        <v>45.37</v>
      </c>
      <c r="H45" s="59">
        <v>18.78</v>
      </c>
      <c r="I45" s="59">
        <v>0.46</v>
      </c>
      <c r="J45" s="59">
        <v>0.88</v>
      </c>
      <c r="K45" s="59">
        <v>21.39</v>
      </c>
      <c r="L45" s="59">
        <v>29.01</v>
      </c>
      <c r="M45" s="59">
        <v>31</v>
      </c>
      <c r="N45" s="59">
        <v>343.8</v>
      </c>
      <c r="O45" s="59">
        <v>0</v>
      </c>
      <c r="P45" s="59">
        <v>0.97</v>
      </c>
      <c r="Q45" s="59">
        <v>45.24</v>
      </c>
      <c r="R45" s="197"/>
      <c r="S45" s="197"/>
      <c r="T45" s="197"/>
      <c r="U45" s="197"/>
    </row>
    <row r="46" spans="1:21" s="12" customFormat="1" x14ac:dyDescent="0.25">
      <c r="A46" s="200" t="s">
        <v>1532</v>
      </c>
      <c r="B46" s="59">
        <v>21.43</v>
      </c>
      <c r="C46" s="59">
        <v>76.790000000000006</v>
      </c>
      <c r="D46" s="59">
        <v>59.56</v>
      </c>
      <c r="E46" s="59">
        <v>5.44</v>
      </c>
      <c r="F46" s="59">
        <v>1.27</v>
      </c>
      <c r="G46" s="59">
        <v>45.37</v>
      </c>
      <c r="H46" s="59">
        <v>18.78</v>
      </c>
      <c r="I46" s="59">
        <v>0.45</v>
      </c>
      <c r="J46" s="59">
        <v>0.81</v>
      </c>
      <c r="K46" s="59">
        <v>80.05</v>
      </c>
      <c r="L46" s="59">
        <v>28.09</v>
      </c>
      <c r="M46" s="59">
        <v>34</v>
      </c>
      <c r="N46" s="59">
        <v>359.1</v>
      </c>
      <c r="O46" s="59">
        <v>0</v>
      </c>
      <c r="P46" s="59">
        <v>0.96</v>
      </c>
      <c r="Q46" s="59">
        <v>45.05</v>
      </c>
      <c r="R46" s="197"/>
      <c r="S46" s="197"/>
      <c r="T46" s="197"/>
      <c r="U46" s="197"/>
    </row>
    <row r="47" spans="1:21" s="12" customFormat="1" x14ac:dyDescent="0.25">
      <c r="A47" s="200" t="s">
        <v>1533</v>
      </c>
      <c r="B47" s="59">
        <v>19.559999999999999</v>
      </c>
      <c r="C47" s="59">
        <v>75.92</v>
      </c>
      <c r="D47" s="59">
        <v>57.59</v>
      </c>
      <c r="E47" s="59">
        <v>5.19</v>
      </c>
      <c r="F47" s="59">
        <v>1.28</v>
      </c>
      <c r="G47" s="59">
        <v>45.74</v>
      </c>
      <c r="H47" s="59">
        <v>19.2</v>
      </c>
      <c r="I47" s="59">
        <v>0.43</v>
      </c>
      <c r="J47" s="59">
        <v>0.66</v>
      </c>
      <c r="K47" s="59">
        <v>61.43</v>
      </c>
      <c r="L47" s="59">
        <v>28.8</v>
      </c>
      <c r="M47" s="59">
        <v>32</v>
      </c>
      <c r="N47" s="59">
        <v>369.7</v>
      </c>
      <c r="O47" s="59">
        <v>0</v>
      </c>
      <c r="P47" s="59">
        <v>0.96</v>
      </c>
      <c r="Q47" s="59">
        <v>44.86</v>
      </c>
      <c r="R47" s="197"/>
      <c r="S47" s="197"/>
      <c r="T47" s="197"/>
      <c r="U47" s="197"/>
    </row>
    <row r="48" spans="1:21" s="12" customFormat="1" x14ac:dyDescent="0.25">
      <c r="A48" s="200" t="s">
        <v>1534</v>
      </c>
      <c r="B48" s="59">
        <v>17.91</v>
      </c>
      <c r="C48" s="59">
        <v>75.72</v>
      </c>
      <c r="D48" s="59">
        <v>56.15</v>
      </c>
      <c r="E48" s="59">
        <v>5.3</v>
      </c>
      <c r="F48" s="59">
        <v>1.31</v>
      </c>
      <c r="G48" s="59">
        <v>46.1</v>
      </c>
      <c r="H48" s="59">
        <v>19.89</v>
      </c>
      <c r="I48" s="59">
        <v>0.42</v>
      </c>
      <c r="J48" s="59">
        <v>0.99</v>
      </c>
      <c r="K48" s="59">
        <v>17.5</v>
      </c>
      <c r="L48" s="59">
        <v>29.67</v>
      </c>
      <c r="M48" s="59">
        <v>30</v>
      </c>
      <c r="N48" s="59">
        <v>379.3</v>
      </c>
      <c r="O48" s="59">
        <v>0</v>
      </c>
      <c r="P48" s="59">
        <v>0.95</v>
      </c>
      <c r="Q48" s="59">
        <v>44.56</v>
      </c>
      <c r="R48" s="197"/>
      <c r="S48" s="197"/>
      <c r="T48" s="197"/>
      <c r="U48" s="197"/>
    </row>
    <row r="49" spans="1:21" s="12" customFormat="1" x14ac:dyDescent="0.25">
      <c r="A49" s="200" t="s">
        <v>1535</v>
      </c>
      <c r="B49" s="59">
        <v>16.16</v>
      </c>
      <c r="C49" s="59">
        <v>75.8</v>
      </c>
      <c r="D49" s="59">
        <v>54.79</v>
      </c>
      <c r="E49" s="59">
        <v>4.7699999999999996</v>
      </c>
      <c r="F49" s="59">
        <v>1.33</v>
      </c>
      <c r="G49" s="59">
        <v>46.1</v>
      </c>
      <c r="H49" s="59">
        <v>19.89</v>
      </c>
      <c r="I49" s="59">
        <v>0.42</v>
      </c>
      <c r="J49" s="59">
        <v>0.7</v>
      </c>
      <c r="K49" s="59">
        <v>35.159999999999997</v>
      </c>
      <c r="L49" s="59">
        <v>30.73</v>
      </c>
      <c r="M49" s="59">
        <v>30</v>
      </c>
      <c r="N49" s="59">
        <v>392.9</v>
      </c>
      <c r="O49" s="59">
        <v>0</v>
      </c>
      <c r="P49" s="59">
        <v>0.95</v>
      </c>
      <c r="Q49" s="59">
        <v>43.9</v>
      </c>
      <c r="R49" s="197"/>
      <c r="S49" s="197"/>
      <c r="T49" s="197"/>
      <c r="U49" s="197"/>
    </row>
    <row r="50" spans="1:21" s="12" customFormat="1" x14ac:dyDescent="0.25">
      <c r="A50" s="200" t="s">
        <v>1536</v>
      </c>
      <c r="B50" s="59">
        <v>17.71</v>
      </c>
      <c r="C50" s="59">
        <v>73.14</v>
      </c>
      <c r="D50" s="59">
        <v>54.57</v>
      </c>
      <c r="E50" s="59">
        <v>5.83</v>
      </c>
      <c r="F50" s="59">
        <v>2.92</v>
      </c>
      <c r="G50" s="59">
        <v>46.1</v>
      </c>
      <c r="H50" s="59">
        <v>19.89</v>
      </c>
      <c r="I50" s="59">
        <v>0.41</v>
      </c>
      <c r="J50" s="59">
        <v>0.96</v>
      </c>
      <c r="K50" s="59">
        <v>11</v>
      </c>
      <c r="L50" s="59">
        <v>31.82</v>
      </c>
      <c r="M50" s="59">
        <v>27</v>
      </c>
      <c r="N50" s="59">
        <v>409.9</v>
      </c>
      <c r="O50" s="59">
        <v>0</v>
      </c>
      <c r="P50" s="59">
        <v>0.96</v>
      </c>
      <c r="Q50" s="59">
        <v>42.67</v>
      </c>
      <c r="R50" s="197"/>
      <c r="S50" s="197"/>
      <c r="T50" s="197"/>
      <c r="U50" s="197"/>
    </row>
    <row r="51" spans="1:21" s="12" customFormat="1" x14ac:dyDescent="0.25">
      <c r="A51" s="200" t="s">
        <v>1537</v>
      </c>
      <c r="B51" s="59">
        <v>16.45</v>
      </c>
      <c r="C51" s="59">
        <v>76.739999999999995</v>
      </c>
      <c r="D51" s="59">
        <v>55.54</v>
      </c>
      <c r="E51" s="59">
        <v>10.23</v>
      </c>
      <c r="F51" s="59">
        <v>4.13</v>
      </c>
      <c r="G51" s="59">
        <v>42.99</v>
      </c>
      <c r="H51" s="59">
        <v>21.55</v>
      </c>
      <c r="I51" s="59">
        <v>0.4</v>
      </c>
      <c r="J51" s="59">
        <v>1.05</v>
      </c>
      <c r="K51" s="59">
        <v>63.63</v>
      </c>
      <c r="L51" s="59">
        <v>31.56</v>
      </c>
      <c r="M51" s="59">
        <v>27</v>
      </c>
      <c r="N51" s="59">
        <v>421.2</v>
      </c>
      <c r="O51" s="59">
        <v>0</v>
      </c>
      <c r="P51" s="59">
        <v>0.91</v>
      </c>
      <c r="Q51" s="59">
        <v>40.42</v>
      </c>
      <c r="R51" s="197"/>
      <c r="S51" s="197"/>
      <c r="T51" s="197"/>
      <c r="U51" s="197"/>
    </row>
    <row r="52" spans="1:21" s="12" customFormat="1" x14ac:dyDescent="0.25">
      <c r="A52" s="200" t="s">
        <v>1538</v>
      </c>
      <c r="B52" s="59">
        <v>25.64</v>
      </c>
      <c r="C52" s="59">
        <v>75.510000000000005</v>
      </c>
      <c r="D52" s="59">
        <v>62.23</v>
      </c>
      <c r="E52" s="59">
        <v>38.229999999999997</v>
      </c>
      <c r="F52" s="59">
        <v>2.8</v>
      </c>
      <c r="G52" s="59">
        <v>39.880000000000003</v>
      </c>
      <c r="H52" s="59">
        <v>24.29</v>
      </c>
      <c r="I52" s="59">
        <v>0.38</v>
      </c>
      <c r="J52" s="59">
        <v>0.79</v>
      </c>
      <c r="K52" s="59">
        <v>43.12</v>
      </c>
      <c r="L52" s="59">
        <v>30.51</v>
      </c>
      <c r="M52" s="59">
        <v>29</v>
      </c>
      <c r="N52" s="59">
        <v>424.3</v>
      </c>
      <c r="O52" s="59">
        <v>0</v>
      </c>
      <c r="P52" s="59">
        <v>0.84</v>
      </c>
      <c r="Q52" s="59">
        <v>37.79</v>
      </c>
      <c r="R52" s="197"/>
      <c r="S52" s="197"/>
      <c r="T52" s="197"/>
      <c r="U52" s="197"/>
    </row>
    <row r="53" spans="1:21" s="12" customFormat="1" x14ac:dyDescent="0.25">
      <c r="A53" s="200" t="s">
        <v>1539</v>
      </c>
      <c r="B53" s="59">
        <v>24.1</v>
      </c>
      <c r="C53" s="59">
        <v>83.64</v>
      </c>
      <c r="D53" s="59">
        <v>65.48</v>
      </c>
      <c r="E53" s="59">
        <v>34.04</v>
      </c>
      <c r="F53" s="59">
        <v>2.96</v>
      </c>
      <c r="G53" s="59">
        <v>39.880000000000003</v>
      </c>
      <c r="H53" s="59">
        <v>24.29</v>
      </c>
      <c r="I53" s="59">
        <v>0.34</v>
      </c>
      <c r="J53" s="59">
        <v>0.79</v>
      </c>
      <c r="K53" s="59">
        <v>88.87</v>
      </c>
      <c r="L53" s="59">
        <v>31.4</v>
      </c>
      <c r="M53" s="59">
        <v>28</v>
      </c>
      <c r="N53" s="59">
        <v>426.6</v>
      </c>
      <c r="O53" s="59">
        <v>0</v>
      </c>
      <c r="P53" s="59">
        <v>0.83</v>
      </c>
      <c r="Q53" s="59">
        <v>35.979999999999997</v>
      </c>
      <c r="R53" s="197"/>
      <c r="S53" s="197"/>
      <c r="T53" s="197"/>
      <c r="U53" s="197"/>
    </row>
    <row r="54" spans="1:21" s="12" customFormat="1" x14ac:dyDescent="0.25">
      <c r="A54" s="200" t="s">
        <v>1540</v>
      </c>
      <c r="B54" s="59">
        <v>19.96</v>
      </c>
      <c r="C54" s="59">
        <v>79.650000000000006</v>
      </c>
      <c r="D54" s="59">
        <v>59.97</v>
      </c>
      <c r="E54" s="59">
        <v>17.73</v>
      </c>
      <c r="F54" s="59">
        <v>3.78</v>
      </c>
      <c r="G54" s="59">
        <v>39.880000000000003</v>
      </c>
      <c r="H54" s="59">
        <v>24.29</v>
      </c>
      <c r="I54" s="59">
        <v>0.3</v>
      </c>
      <c r="J54" s="59">
        <v>1.47</v>
      </c>
      <c r="K54" s="59">
        <v>110.62</v>
      </c>
      <c r="L54" s="59">
        <v>29.69</v>
      </c>
      <c r="M54" s="59">
        <v>30</v>
      </c>
      <c r="N54" s="59">
        <v>430.6</v>
      </c>
      <c r="O54" s="59">
        <v>0</v>
      </c>
      <c r="P54" s="59">
        <v>0.75</v>
      </c>
      <c r="Q54" s="59">
        <v>35.69</v>
      </c>
      <c r="R54" s="197"/>
      <c r="S54" s="197"/>
      <c r="T54" s="197"/>
      <c r="U54" s="197"/>
    </row>
    <row r="55" spans="1:21" s="12" customFormat="1" x14ac:dyDescent="0.25">
      <c r="A55" s="200" t="s">
        <v>1541</v>
      </c>
      <c r="B55" s="59">
        <v>17.16</v>
      </c>
      <c r="C55" s="59">
        <v>77.290000000000006</v>
      </c>
      <c r="D55" s="59">
        <v>56.42</v>
      </c>
      <c r="E55" s="59">
        <v>13.58</v>
      </c>
      <c r="F55" s="59">
        <v>2.91</v>
      </c>
      <c r="G55" s="59">
        <v>41.2</v>
      </c>
      <c r="H55" s="59">
        <v>23.77</v>
      </c>
      <c r="I55" s="59">
        <v>0.28999999999999998</v>
      </c>
      <c r="J55" s="59">
        <v>1.35</v>
      </c>
      <c r="K55" s="59">
        <v>106.85</v>
      </c>
      <c r="L55" s="59">
        <v>29.62</v>
      </c>
      <c r="M55" s="59">
        <v>31</v>
      </c>
      <c r="N55" s="59">
        <v>428.1</v>
      </c>
      <c r="O55" s="59">
        <v>0</v>
      </c>
      <c r="P55" s="59">
        <v>0.69</v>
      </c>
      <c r="Q55" s="59">
        <v>34.44</v>
      </c>
      <c r="R55" s="197"/>
      <c r="S55" s="197"/>
      <c r="T55" s="197"/>
      <c r="U55" s="197"/>
    </row>
    <row r="56" spans="1:21" s="12" customFormat="1" x14ac:dyDescent="0.25">
      <c r="A56" s="200" t="s">
        <v>1542</v>
      </c>
      <c r="B56" s="59">
        <v>12.86</v>
      </c>
      <c r="C56" s="59">
        <v>76.599999999999994</v>
      </c>
      <c r="D56" s="59">
        <v>52.59</v>
      </c>
      <c r="E56" s="59">
        <v>10.199999999999999</v>
      </c>
      <c r="F56" s="59">
        <v>3.73</v>
      </c>
      <c r="G56" s="59">
        <v>42.48</v>
      </c>
      <c r="H56" s="59">
        <v>22.95</v>
      </c>
      <c r="I56" s="59">
        <v>0.28000000000000003</v>
      </c>
      <c r="J56" s="59">
        <v>0.67</v>
      </c>
      <c r="K56" s="59">
        <v>61.87</v>
      </c>
      <c r="L56" s="59">
        <v>30.78</v>
      </c>
      <c r="M56" s="59">
        <v>29</v>
      </c>
      <c r="N56" s="59">
        <v>420.9</v>
      </c>
      <c r="O56" s="59">
        <v>0</v>
      </c>
      <c r="P56" s="59">
        <v>0.63</v>
      </c>
      <c r="Q56" s="59">
        <v>32.880000000000003</v>
      </c>
      <c r="R56" s="197"/>
      <c r="S56" s="197"/>
      <c r="T56" s="197"/>
      <c r="U56" s="197"/>
    </row>
    <row r="57" spans="1:21" s="12" customFormat="1" x14ac:dyDescent="0.25">
      <c r="A57" s="200" t="s">
        <v>1543</v>
      </c>
      <c r="B57" s="59">
        <v>15.17</v>
      </c>
      <c r="C57" s="59">
        <v>79.849999999999994</v>
      </c>
      <c r="D57" s="59">
        <v>56.24</v>
      </c>
      <c r="E57" s="59">
        <v>13.93</v>
      </c>
      <c r="F57" s="59">
        <v>3.1</v>
      </c>
      <c r="G57" s="59">
        <v>42.48</v>
      </c>
      <c r="H57" s="59">
        <v>22.95</v>
      </c>
      <c r="I57" s="59">
        <v>0.26</v>
      </c>
      <c r="J57" s="59">
        <v>0.7</v>
      </c>
      <c r="K57" s="59">
        <v>43.22</v>
      </c>
      <c r="L57" s="59">
        <v>32.15</v>
      </c>
      <c r="M57" s="59">
        <v>28</v>
      </c>
      <c r="N57" s="59">
        <v>417.5</v>
      </c>
      <c r="O57" s="59">
        <v>0</v>
      </c>
      <c r="P57" s="59">
        <v>0.63</v>
      </c>
      <c r="Q57" s="59">
        <v>33.28</v>
      </c>
      <c r="R57" s="197"/>
      <c r="S57" s="197"/>
      <c r="T57" s="197"/>
      <c r="U57" s="197"/>
    </row>
    <row r="58" spans="1:21" s="12" customFormat="1" x14ac:dyDescent="0.25">
      <c r="A58" s="200" t="s">
        <v>1544</v>
      </c>
      <c r="B58" s="59">
        <v>15.73</v>
      </c>
      <c r="C58" s="59">
        <v>82.74</v>
      </c>
      <c r="D58" s="59">
        <v>58.27</v>
      </c>
      <c r="E58" s="59">
        <v>20.079999999999998</v>
      </c>
      <c r="F58" s="59">
        <v>5.14</v>
      </c>
      <c r="G58" s="59">
        <v>42.48</v>
      </c>
      <c r="H58" s="59">
        <v>22.95</v>
      </c>
      <c r="I58" s="59">
        <v>0.26</v>
      </c>
      <c r="J58" s="59">
        <v>0.79</v>
      </c>
      <c r="K58" s="59">
        <v>64.930000000000007</v>
      </c>
      <c r="L58" s="59">
        <v>32.17</v>
      </c>
      <c r="M58" s="59">
        <v>28</v>
      </c>
      <c r="N58" s="59">
        <v>413.5</v>
      </c>
      <c r="O58" s="59">
        <v>0</v>
      </c>
      <c r="P58" s="59">
        <v>0.65</v>
      </c>
      <c r="Q58" s="59">
        <v>33.49</v>
      </c>
      <c r="R58" s="197"/>
      <c r="S58" s="197"/>
      <c r="T58" s="197"/>
      <c r="U58" s="197"/>
    </row>
    <row r="59" spans="1:21" s="12" customFormat="1" x14ac:dyDescent="0.25">
      <c r="A59" s="200" t="s">
        <v>1545</v>
      </c>
      <c r="B59" s="59">
        <v>18.46</v>
      </c>
      <c r="C59" s="59">
        <v>91.98</v>
      </c>
      <c r="D59" s="59">
        <v>65.56</v>
      </c>
      <c r="E59" s="59">
        <v>17.18</v>
      </c>
      <c r="F59" s="59">
        <v>4.55</v>
      </c>
      <c r="G59" s="59">
        <v>41.66</v>
      </c>
      <c r="H59" s="59">
        <v>21.63</v>
      </c>
      <c r="I59" s="59">
        <v>0.22</v>
      </c>
      <c r="J59" s="59">
        <v>1.03</v>
      </c>
      <c r="K59" s="59">
        <v>106.94</v>
      </c>
      <c r="L59" s="59">
        <v>31.32</v>
      </c>
      <c r="M59" s="59">
        <v>30</v>
      </c>
      <c r="N59" s="59">
        <v>413.2</v>
      </c>
      <c r="O59" s="59">
        <v>0</v>
      </c>
      <c r="P59" s="59">
        <v>0.72</v>
      </c>
      <c r="Q59" s="59">
        <v>30.24</v>
      </c>
      <c r="R59" s="197"/>
      <c r="S59" s="197"/>
      <c r="T59" s="197"/>
      <c r="U59" s="197"/>
    </row>
    <row r="60" spans="1:21" s="12" customFormat="1" x14ac:dyDescent="0.25">
      <c r="A60" s="200" t="s">
        <v>1546</v>
      </c>
      <c r="B60" s="59">
        <v>12.74</v>
      </c>
      <c r="C60" s="59">
        <v>90.99</v>
      </c>
      <c r="D60" s="59">
        <v>60.43</v>
      </c>
      <c r="E60" s="59">
        <v>12.54</v>
      </c>
      <c r="F60" s="59">
        <v>3.84</v>
      </c>
      <c r="G60" s="59">
        <v>38.75</v>
      </c>
      <c r="H60" s="59">
        <v>19.46</v>
      </c>
      <c r="I60" s="59">
        <v>0.2</v>
      </c>
      <c r="J60" s="59">
        <v>1.52</v>
      </c>
      <c r="K60" s="59">
        <v>110.78</v>
      </c>
      <c r="L60" s="59">
        <v>30.22</v>
      </c>
      <c r="M60" s="59">
        <v>31</v>
      </c>
      <c r="N60" s="59">
        <v>406.5</v>
      </c>
      <c r="O60" s="59">
        <v>0</v>
      </c>
      <c r="P60" s="59">
        <v>0.63</v>
      </c>
      <c r="Q60" s="59">
        <v>26.91</v>
      </c>
      <c r="R60" s="197"/>
      <c r="S60" s="197"/>
      <c r="T60" s="197"/>
      <c r="U60" s="197"/>
    </row>
    <row r="61" spans="1:21" s="12" customFormat="1" x14ac:dyDescent="0.25">
      <c r="A61" s="200" t="s">
        <v>1547</v>
      </c>
      <c r="B61" s="59">
        <v>8.09</v>
      </c>
      <c r="C61" s="59">
        <v>88.13</v>
      </c>
      <c r="D61" s="59">
        <v>55.13</v>
      </c>
      <c r="E61" s="59">
        <v>9.92</v>
      </c>
      <c r="F61" s="59">
        <v>3.69</v>
      </c>
      <c r="G61" s="59">
        <v>38.75</v>
      </c>
      <c r="H61" s="59">
        <v>19.46</v>
      </c>
      <c r="I61" s="59">
        <v>0.17</v>
      </c>
      <c r="J61" s="59">
        <v>0.76</v>
      </c>
      <c r="K61" s="59">
        <v>109.56</v>
      </c>
      <c r="L61" s="59">
        <v>30.62</v>
      </c>
      <c r="M61" s="59">
        <v>31</v>
      </c>
      <c r="N61" s="59">
        <v>390.4</v>
      </c>
      <c r="O61" s="59">
        <v>0</v>
      </c>
      <c r="P61" s="59">
        <v>0.5</v>
      </c>
      <c r="Q61" s="59">
        <v>26.33</v>
      </c>
      <c r="R61" s="197"/>
      <c r="S61" s="197"/>
      <c r="T61" s="197"/>
      <c r="U61" s="197"/>
    </row>
    <row r="62" spans="1:21" s="12" customFormat="1" x14ac:dyDescent="0.25">
      <c r="A62" s="200" t="s">
        <v>1548</v>
      </c>
      <c r="B62" s="59">
        <v>6.96</v>
      </c>
      <c r="C62" s="59">
        <v>84.45</v>
      </c>
      <c r="D62" s="59">
        <v>52.19</v>
      </c>
      <c r="E62" s="59">
        <v>9.0399999999999991</v>
      </c>
      <c r="F62" s="59">
        <v>3.68</v>
      </c>
      <c r="G62" s="59">
        <v>38.75</v>
      </c>
      <c r="H62" s="59">
        <v>19.46</v>
      </c>
      <c r="I62" s="59">
        <v>0.15</v>
      </c>
      <c r="J62" s="59">
        <v>0.98</v>
      </c>
      <c r="K62" s="59">
        <v>118.31</v>
      </c>
      <c r="L62" s="59">
        <v>31.18</v>
      </c>
      <c r="M62" s="59">
        <v>30</v>
      </c>
      <c r="N62" s="59">
        <v>380.9</v>
      </c>
      <c r="O62" s="59">
        <v>0</v>
      </c>
      <c r="P62" s="59">
        <v>0.54</v>
      </c>
      <c r="Q62" s="59">
        <v>27.07</v>
      </c>
      <c r="R62" s="197"/>
      <c r="S62" s="197"/>
      <c r="T62" s="197"/>
      <c r="U62" s="197"/>
    </row>
    <row r="63" spans="1:21" s="12" customFormat="1" x14ac:dyDescent="0.25">
      <c r="A63" s="200" t="s">
        <v>1549</v>
      </c>
      <c r="B63" s="59">
        <v>6.79</v>
      </c>
      <c r="C63" s="59">
        <v>73.260000000000005</v>
      </c>
      <c r="D63" s="59">
        <v>45.88</v>
      </c>
      <c r="E63" s="59">
        <v>7.08</v>
      </c>
      <c r="F63" s="59">
        <v>9.15</v>
      </c>
      <c r="G63" s="59">
        <v>36.83</v>
      </c>
      <c r="H63" s="59">
        <v>18.39</v>
      </c>
      <c r="I63" s="59">
        <v>0.15</v>
      </c>
      <c r="J63" s="59">
        <v>0.43</v>
      </c>
      <c r="K63" s="59">
        <v>53.3</v>
      </c>
      <c r="L63" s="59">
        <v>32.090000000000003</v>
      </c>
      <c r="M63" s="59">
        <v>29</v>
      </c>
      <c r="N63" s="59">
        <v>367</v>
      </c>
      <c r="O63" s="59">
        <v>0</v>
      </c>
      <c r="P63" s="59">
        <v>0.56000000000000005</v>
      </c>
      <c r="Q63" s="59">
        <v>27.07</v>
      </c>
      <c r="R63" s="197"/>
      <c r="S63" s="197"/>
      <c r="T63" s="197"/>
      <c r="U63" s="197"/>
    </row>
    <row r="64" spans="1:21" s="12" customFormat="1" x14ac:dyDescent="0.25">
      <c r="A64" s="200" t="s">
        <v>1550</v>
      </c>
      <c r="B64" s="59">
        <v>4.5199999999999996</v>
      </c>
      <c r="C64" s="59">
        <v>64.06</v>
      </c>
      <c r="D64" s="59">
        <v>38.979999999999997</v>
      </c>
      <c r="E64" s="59">
        <v>14.65</v>
      </c>
      <c r="F64" s="59">
        <v>16.05</v>
      </c>
      <c r="G64" s="59">
        <v>35.020000000000003</v>
      </c>
      <c r="H64" s="59">
        <v>16.72</v>
      </c>
      <c r="I64" s="59">
        <v>0.14000000000000001</v>
      </c>
      <c r="J64" s="59">
        <v>0.5</v>
      </c>
      <c r="K64" s="59">
        <v>81.86</v>
      </c>
      <c r="L64" s="59">
        <v>32.15</v>
      </c>
      <c r="M64" s="59">
        <v>29</v>
      </c>
      <c r="N64" s="59">
        <v>347.9</v>
      </c>
      <c r="O64" s="59">
        <v>0</v>
      </c>
      <c r="P64" s="59">
        <v>0.59</v>
      </c>
      <c r="Q64" s="59">
        <v>26.89</v>
      </c>
      <c r="R64" s="197"/>
      <c r="S64" s="197"/>
      <c r="T64" s="197"/>
      <c r="U64" s="197"/>
    </row>
    <row r="65" spans="1:21" s="12" customFormat="1" x14ac:dyDescent="0.25">
      <c r="A65" s="200" t="s">
        <v>1551</v>
      </c>
      <c r="B65" s="59">
        <v>3.79</v>
      </c>
      <c r="C65" s="59">
        <v>60.87</v>
      </c>
      <c r="D65" s="59">
        <v>36.630000000000003</v>
      </c>
      <c r="E65" s="59">
        <v>12.23</v>
      </c>
      <c r="F65" s="59">
        <v>15.91</v>
      </c>
      <c r="G65" s="59">
        <v>35.020000000000003</v>
      </c>
      <c r="H65" s="59">
        <v>16.72</v>
      </c>
      <c r="I65" s="59">
        <v>0.13</v>
      </c>
      <c r="J65" s="59">
        <v>0.8</v>
      </c>
      <c r="K65" s="59">
        <v>114.48</v>
      </c>
      <c r="L65" s="59">
        <v>31.28</v>
      </c>
      <c r="M65" s="59">
        <v>31</v>
      </c>
      <c r="N65" s="59">
        <v>322.89999999999998</v>
      </c>
      <c r="O65" s="59">
        <v>0</v>
      </c>
      <c r="P65" s="59">
        <v>0.53</v>
      </c>
      <c r="Q65" s="59">
        <v>29.33</v>
      </c>
      <c r="R65" s="197"/>
      <c r="S65" s="197"/>
      <c r="T65" s="197"/>
      <c r="U65" s="197"/>
    </row>
    <row r="66" spans="1:21" s="12" customFormat="1" x14ac:dyDescent="0.25">
      <c r="A66" s="200" t="s">
        <v>1552</v>
      </c>
      <c r="B66" s="59">
        <v>2.37</v>
      </c>
      <c r="C66" s="59">
        <v>54.44</v>
      </c>
      <c r="D66" s="59">
        <v>31.94</v>
      </c>
      <c r="E66" s="59">
        <v>10.42</v>
      </c>
      <c r="F66" s="59">
        <v>16.18</v>
      </c>
      <c r="G66" s="59">
        <v>35.020000000000003</v>
      </c>
      <c r="H66" s="59">
        <v>16.72</v>
      </c>
      <c r="I66" s="59">
        <v>0.14000000000000001</v>
      </c>
      <c r="J66" s="59">
        <v>0.99</v>
      </c>
      <c r="K66" s="59">
        <v>114.92</v>
      </c>
      <c r="L66" s="59">
        <v>30.67</v>
      </c>
      <c r="M66" s="59">
        <v>32</v>
      </c>
      <c r="N66" s="59">
        <v>190.6</v>
      </c>
      <c r="O66" s="59">
        <v>0</v>
      </c>
      <c r="P66" s="59">
        <v>0.49</v>
      </c>
      <c r="Q66" s="59">
        <v>30.16</v>
      </c>
      <c r="R66" s="197"/>
      <c r="S66" s="197"/>
      <c r="T66" s="197"/>
      <c r="U66" s="197"/>
    </row>
    <row r="67" spans="1:21" s="12" customFormat="1" x14ac:dyDescent="0.25">
      <c r="A67" s="200" t="s">
        <v>1553</v>
      </c>
      <c r="B67" s="59">
        <v>3.75</v>
      </c>
      <c r="C67" s="59">
        <v>61.85</v>
      </c>
      <c r="D67" s="59">
        <v>37.14</v>
      </c>
      <c r="E67" s="59">
        <v>8.36</v>
      </c>
      <c r="F67" s="59">
        <v>12.87</v>
      </c>
      <c r="G67" s="59">
        <v>34.06</v>
      </c>
      <c r="H67" s="59">
        <v>16.100000000000001</v>
      </c>
      <c r="I67" s="59">
        <v>0.14000000000000001</v>
      </c>
      <c r="J67" s="59">
        <v>0.59</v>
      </c>
      <c r="K67" s="59">
        <v>5.38</v>
      </c>
      <c r="L67" s="59">
        <v>32.11</v>
      </c>
      <c r="M67" s="59">
        <v>29</v>
      </c>
      <c r="N67" s="59">
        <v>153.30000000000001</v>
      </c>
      <c r="O67" s="59">
        <v>0</v>
      </c>
      <c r="P67" s="59">
        <v>0.56000000000000005</v>
      </c>
      <c r="Q67" s="59">
        <v>30.26</v>
      </c>
      <c r="R67" s="197"/>
      <c r="S67" s="197"/>
      <c r="T67" s="197"/>
      <c r="U67" s="197"/>
    </row>
    <row r="68" spans="1:21" s="12" customFormat="1" x14ac:dyDescent="0.25">
      <c r="A68" s="200" t="s">
        <v>1554</v>
      </c>
      <c r="B68" s="59">
        <v>3.36</v>
      </c>
      <c r="C68" s="59">
        <v>60.88</v>
      </c>
      <c r="D68" s="59">
        <v>36.29</v>
      </c>
      <c r="E68" s="59">
        <v>7.07</v>
      </c>
      <c r="F68" s="59">
        <v>5.68</v>
      </c>
      <c r="G68" s="59">
        <v>33.130000000000003</v>
      </c>
      <c r="H68" s="59">
        <v>15.08</v>
      </c>
      <c r="I68" s="59">
        <v>0.14000000000000001</v>
      </c>
      <c r="J68" s="59">
        <v>1.1399999999999999</v>
      </c>
      <c r="K68" s="59">
        <v>114.84</v>
      </c>
      <c r="L68" s="59">
        <v>31.17</v>
      </c>
      <c r="M68" s="59">
        <v>31</v>
      </c>
      <c r="N68" s="59">
        <v>242.9</v>
      </c>
      <c r="O68" s="59">
        <v>0</v>
      </c>
      <c r="P68" s="59">
        <v>0.54</v>
      </c>
      <c r="Q68" s="59">
        <v>30.87</v>
      </c>
      <c r="R68" s="197"/>
      <c r="S68" s="197"/>
      <c r="T68" s="197"/>
      <c r="U68" s="197"/>
    </row>
    <row r="69" spans="1:21" s="12" customFormat="1" x14ac:dyDescent="0.25">
      <c r="A69" s="200" t="s">
        <v>1555</v>
      </c>
      <c r="B69" s="59">
        <v>4.4400000000000004</v>
      </c>
      <c r="C69" s="59">
        <v>58.26</v>
      </c>
      <c r="D69" s="59">
        <v>35.71</v>
      </c>
      <c r="E69" s="59">
        <v>7.62</v>
      </c>
      <c r="F69" s="59">
        <v>14.09</v>
      </c>
      <c r="G69" s="59">
        <v>33.130000000000003</v>
      </c>
      <c r="H69" s="59">
        <v>15.08</v>
      </c>
      <c r="I69" s="59">
        <v>0.16</v>
      </c>
      <c r="J69" s="59">
        <v>0.47</v>
      </c>
      <c r="K69" s="59">
        <v>28.05</v>
      </c>
      <c r="L69" s="59">
        <v>30.88</v>
      </c>
      <c r="M69" s="59">
        <v>32</v>
      </c>
      <c r="N69" s="59">
        <v>183.1</v>
      </c>
      <c r="O69" s="59">
        <v>0</v>
      </c>
      <c r="P69" s="59">
        <v>0.59</v>
      </c>
      <c r="Q69" s="59">
        <v>32.36</v>
      </c>
      <c r="R69" s="197"/>
      <c r="S69" s="197"/>
      <c r="T69" s="197"/>
      <c r="U69" s="197"/>
    </row>
    <row r="70" spans="1:21" s="12" customFormat="1" x14ac:dyDescent="0.25">
      <c r="A70" s="200" t="s">
        <v>1556</v>
      </c>
      <c r="B70" s="59">
        <v>5.79</v>
      </c>
      <c r="C70" s="59">
        <v>60.64</v>
      </c>
      <c r="D70" s="59">
        <v>38.11</v>
      </c>
      <c r="E70" s="59">
        <v>9.77</v>
      </c>
      <c r="F70" s="59">
        <v>12.09</v>
      </c>
      <c r="G70" s="59">
        <v>33.130000000000003</v>
      </c>
      <c r="H70" s="59">
        <v>15.08</v>
      </c>
      <c r="I70" s="59">
        <v>0.18</v>
      </c>
      <c r="J70" s="59">
        <v>0.75</v>
      </c>
      <c r="K70" s="59">
        <v>74.58</v>
      </c>
      <c r="L70" s="59">
        <v>30.97</v>
      </c>
      <c r="M70" s="59">
        <v>31</v>
      </c>
      <c r="N70" s="59">
        <v>136.19999999999999</v>
      </c>
      <c r="O70" s="59">
        <v>0</v>
      </c>
      <c r="P70" s="59">
        <v>0.63</v>
      </c>
      <c r="Q70" s="59">
        <v>33.35</v>
      </c>
      <c r="R70" s="197"/>
      <c r="S70" s="197"/>
      <c r="T70" s="197"/>
      <c r="U70" s="197"/>
    </row>
    <row r="71" spans="1:21" s="12" customFormat="1" x14ac:dyDescent="0.25">
      <c r="A71" s="200" t="s">
        <v>1557</v>
      </c>
      <c r="B71" s="59">
        <v>6.43</v>
      </c>
      <c r="C71" s="59">
        <v>63.43</v>
      </c>
      <c r="D71" s="59">
        <v>40.159999999999997</v>
      </c>
      <c r="E71" s="59">
        <v>9.56</v>
      </c>
      <c r="F71" s="59">
        <v>8.7799999999999994</v>
      </c>
      <c r="G71" s="59">
        <v>33.46</v>
      </c>
      <c r="H71" s="59">
        <v>15.28</v>
      </c>
      <c r="I71" s="59">
        <v>0.22</v>
      </c>
      <c r="J71" s="59">
        <v>0.57999999999999996</v>
      </c>
      <c r="K71" s="59">
        <v>7.85</v>
      </c>
      <c r="L71" s="59">
        <v>30.62</v>
      </c>
      <c r="M71" s="59">
        <v>32</v>
      </c>
      <c r="N71" s="59">
        <v>121.4</v>
      </c>
      <c r="O71" s="59">
        <v>0</v>
      </c>
      <c r="P71" s="59">
        <v>0.64</v>
      </c>
      <c r="Q71" s="59">
        <v>35.6</v>
      </c>
      <c r="R71" s="197"/>
      <c r="S71" s="197"/>
      <c r="T71" s="197"/>
      <c r="U71" s="197"/>
    </row>
    <row r="72" spans="1:21" s="12" customFormat="1" x14ac:dyDescent="0.25">
      <c r="A72" s="200" t="s">
        <v>1558</v>
      </c>
      <c r="B72" s="59">
        <v>5.38</v>
      </c>
      <c r="C72" s="59">
        <v>69.14</v>
      </c>
      <c r="D72" s="59">
        <v>42.47</v>
      </c>
      <c r="E72" s="59">
        <v>3.29</v>
      </c>
      <c r="F72" s="59">
        <v>4.99</v>
      </c>
      <c r="G72" s="59">
        <v>33.770000000000003</v>
      </c>
      <c r="H72" s="59">
        <v>15.62</v>
      </c>
      <c r="I72" s="59">
        <v>0.24</v>
      </c>
      <c r="J72" s="59">
        <v>0.72</v>
      </c>
      <c r="K72" s="59">
        <v>7.51</v>
      </c>
      <c r="L72" s="59">
        <v>30.75</v>
      </c>
      <c r="M72" s="59">
        <v>33</v>
      </c>
      <c r="N72" s="59">
        <v>80.8</v>
      </c>
      <c r="O72" s="59">
        <v>0</v>
      </c>
      <c r="P72" s="59">
        <v>0.67</v>
      </c>
      <c r="Q72" s="59">
        <v>37.380000000000003</v>
      </c>
      <c r="R72" s="197"/>
      <c r="S72" s="197"/>
      <c r="T72" s="197"/>
      <c r="U72" s="197"/>
    </row>
    <row r="73" spans="1:21" s="12" customFormat="1" x14ac:dyDescent="0.25">
      <c r="A73" s="200" t="s">
        <v>1559</v>
      </c>
      <c r="B73" s="59">
        <v>5.84</v>
      </c>
      <c r="C73" s="59">
        <v>72.47</v>
      </c>
      <c r="D73" s="59">
        <v>44.67</v>
      </c>
      <c r="E73" s="59">
        <v>7.42</v>
      </c>
      <c r="F73" s="59">
        <v>6.21</v>
      </c>
      <c r="G73" s="59">
        <v>33.770000000000003</v>
      </c>
      <c r="H73" s="59">
        <v>15.62</v>
      </c>
      <c r="I73" s="59">
        <v>0.21</v>
      </c>
      <c r="J73" s="59">
        <v>0.32</v>
      </c>
      <c r="K73" s="59">
        <v>18.36</v>
      </c>
      <c r="L73" s="59">
        <v>30.31</v>
      </c>
      <c r="M73" s="59">
        <v>33</v>
      </c>
      <c r="N73" s="59">
        <v>62.7</v>
      </c>
      <c r="O73" s="59">
        <v>0</v>
      </c>
      <c r="P73" s="59">
        <v>0.78</v>
      </c>
      <c r="Q73" s="59">
        <v>37.53</v>
      </c>
      <c r="R73" s="197"/>
      <c r="S73" s="197"/>
      <c r="T73" s="197"/>
      <c r="U73" s="197"/>
    </row>
    <row r="74" spans="1:21" s="12" customFormat="1" x14ac:dyDescent="0.25">
      <c r="A74" s="200" t="s">
        <v>1560</v>
      </c>
      <c r="B74" s="59">
        <v>6.86</v>
      </c>
      <c r="C74" s="59">
        <v>74.58</v>
      </c>
      <c r="D74" s="59">
        <v>46.66</v>
      </c>
      <c r="E74" s="59">
        <v>6.66</v>
      </c>
      <c r="F74" s="59">
        <v>4.24</v>
      </c>
      <c r="G74" s="59">
        <v>33.770000000000003</v>
      </c>
      <c r="H74" s="59">
        <v>15.62</v>
      </c>
      <c r="I74" s="59">
        <v>0.22</v>
      </c>
      <c r="J74" s="59">
        <v>0.77</v>
      </c>
      <c r="K74" s="59">
        <v>4.95</v>
      </c>
      <c r="L74" s="59">
        <v>30</v>
      </c>
      <c r="M74" s="59">
        <v>34</v>
      </c>
      <c r="N74" s="59">
        <v>51.5</v>
      </c>
      <c r="O74" s="59">
        <v>0</v>
      </c>
      <c r="P74" s="59">
        <v>0.83</v>
      </c>
      <c r="Q74" s="59">
        <v>37.25</v>
      </c>
      <c r="R74" s="197"/>
      <c r="S74" s="197"/>
      <c r="T74" s="197"/>
      <c r="U74" s="197"/>
    </row>
    <row r="75" spans="1:21" s="12" customFormat="1" x14ac:dyDescent="0.25">
      <c r="A75" s="200" t="s">
        <v>1561</v>
      </c>
      <c r="B75" s="59">
        <v>6.83</v>
      </c>
      <c r="C75" s="59">
        <v>74.900000000000006</v>
      </c>
      <c r="D75" s="59">
        <v>46.81</v>
      </c>
      <c r="E75" s="59">
        <v>6.21</v>
      </c>
      <c r="F75" s="59">
        <v>4.6900000000000004</v>
      </c>
      <c r="G75" s="59">
        <v>36.33</v>
      </c>
      <c r="H75" s="59">
        <v>16.71</v>
      </c>
      <c r="I75" s="59">
        <v>0.23</v>
      </c>
      <c r="J75" s="59">
        <v>0.82</v>
      </c>
      <c r="K75" s="59">
        <v>6.31</v>
      </c>
      <c r="L75" s="59">
        <v>29.62</v>
      </c>
      <c r="M75" s="59">
        <v>35</v>
      </c>
      <c r="N75" s="59">
        <v>42.6</v>
      </c>
      <c r="O75" s="59">
        <v>0</v>
      </c>
      <c r="P75" s="59">
        <v>0.92</v>
      </c>
      <c r="Q75" s="59">
        <v>38.78</v>
      </c>
      <c r="R75" s="197"/>
      <c r="S75" s="197"/>
      <c r="T75" s="197"/>
      <c r="U75" s="197"/>
    </row>
    <row r="76" spans="1:21" s="12" customFormat="1" x14ac:dyDescent="0.25">
      <c r="A76" s="200" t="s">
        <v>1562</v>
      </c>
      <c r="B76" s="59">
        <v>8.74</v>
      </c>
      <c r="C76" s="59">
        <v>79.84</v>
      </c>
      <c r="D76" s="59">
        <v>51.07</v>
      </c>
      <c r="E76" s="59">
        <v>5.72</v>
      </c>
      <c r="F76" s="59">
        <v>3.53</v>
      </c>
      <c r="G76" s="59">
        <v>44.55</v>
      </c>
      <c r="H76" s="59">
        <v>18.52</v>
      </c>
      <c r="I76" s="59">
        <v>0.25</v>
      </c>
      <c r="J76" s="59">
        <v>0.79</v>
      </c>
      <c r="K76" s="59">
        <v>4.8499999999999996</v>
      </c>
      <c r="L76" s="59">
        <v>29.11</v>
      </c>
      <c r="M76" s="59">
        <v>39</v>
      </c>
      <c r="N76" s="59">
        <v>36.9</v>
      </c>
      <c r="O76" s="59">
        <v>0</v>
      </c>
      <c r="P76" s="59">
        <v>1.04</v>
      </c>
      <c r="Q76" s="59">
        <v>38.83</v>
      </c>
      <c r="R76" s="197"/>
      <c r="S76" s="197"/>
      <c r="T76" s="197"/>
      <c r="U76" s="197"/>
    </row>
    <row r="77" spans="1:21" s="12" customFormat="1" x14ac:dyDescent="0.25">
      <c r="A77" s="200" t="s">
        <v>1563</v>
      </c>
      <c r="B77" s="59">
        <v>11.24</v>
      </c>
      <c r="C77" s="59">
        <v>88.71</v>
      </c>
      <c r="D77" s="59">
        <v>57.97</v>
      </c>
      <c r="E77" s="59">
        <v>5.48</v>
      </c>
      <c r="F77" s="59">
        <v>3.61</v>
      </c>
      <c r="G77" s="59">
        <v>44.55</v>
      </c>
      <c r="H77" s="59">
        <v>18.52</v>
      </c>
      <c r="I77" s="59">
        <v>0.26</v>
      </c>
      <c r="J77" s="59">
        <v>0.67</v>
      </c>
      <c r="K77" s="59">
        <v>359.46</v>
      </c>
      <c r="L77" s="59">
        <v>27.86</v>
      </c>
      <c r="M77" s="59">
        <v>48</v>
      </c>
      <c r="N77" s="59">
        <v>29.5</v>
      </c>
      <c r="O77" s="59">
        <v>0</v>
      </c>
      <c r="P77" s="59">
        <v>1.22</v>
      </c>
      <c r="Q77" s="59">
        <v>37.92</v>
      </c>
      <c r="R77" s="197"/>
      <c r="S77" s="197"/>
      <c r="T77" s="197"/>
      <c r="U77" s="197"/>
    </row>
    <row r="78" spans="1:21" s="12" customFormat="1" x14ac:dyDescent="0.25">
      <c r="A78" s="200" t="s">
        <v>1564</v>
      </c>
      <c r="B78" s="59">
        <v>14.15</v>
      </c>
      <c r="C78" s="59">
        <v>96.44</v>
      </c>
      <c r="D78" s="59">
        <v>64.569999999999993</v>
      </c>
      <c r="E78" s="59">
        <v>5.89</v>
      </c>
      <c r="F78" s="59">
        <v>3.53</v>
      </c>
      <c r="G78" s="59">
        <v>44.55</v>
      </c>
      <c r="H78" s="59">
        <v>18.52</v>
      </c>
      <c r="I78" s="59">
        <v>0.28000000000000003</v>
      </c>
      <c r="J78" s="59">
        <v>0.3</v>
      </c>
      <c r="K78" s="59">
        <v>353.09</v>
      </c>
      <c r="L78" s="59">
        <v>27.37</v>
      </c>
      <c r="M78" s="59">
        <v>50</v>
      </c>
      <c r="N78" s="59">
        <v>26.1</v>
      </c>
      <c r="O78" s="59">
        <v>0</v>
      </c>
      <c r="P78" s="59">
        <v>1.49</v>
      </c>
      <c r="Q78" s="59">
        <v>36.93</v>
      </c>
      <c r="R78" s="197"/>
      <c r="S78" s="197"/>
      <c r="T78" s="197"/>
      <c r="U78" s="197"/>
    </row>
    <row r="79" spans="1:21" s="12" customFormat="1" x14ac:dyDescent="0.25">
      <c r="A79" s="200" t="s">
        <v>1565</v>
      </c>
      <c r="B79" s="59">
        <v>20.13</v>
      </c>
      <c r="C79" s="59">
        <v>105.63</v>
      </c>
      <c r="D79" s="59">
        <v>74.44</v>
      </c>
      <c r="E79" s="59">
        <v>6.88</v>
      </c>
      <c r="F79" s="59">
        <v>2.39</v>
      </c>
      <c r="G79" s="59">
        <v>50.94</v>
      </c>
      <c r="H79" s="59">
        <v>19.899999999999999</v>
      </c>
      <c r="I79" s="59">
        <v>0.3</v>
      </c>
      <c r="J79" s="59">
        <v>0.2</v>
      </c>
      <c r="K79" s="59">
        <v>351.24</v>
      </c>
      <c r="L79" s="59">
        <v>27.08</v>
      </c>
      <c r="M79" s="59">
        <v>50</v>
      </c>
      <c r="N79" s="59">
        <v>25</v>
      </c>
      <c r="O79" s="59">
        <v>0</v>
      </c>
      <c r="P79" s="59">
        <v>1.71</v>
      </c>
      <c r="Q79" s="59">
        <v>36.21</v>
      </c>
      <c r="R79" s="197"/>
      <c r="S79" s="197"/>
      <c r="T79" s="197"/>
      <c r="U79" s="197"/>
    </row>
    <row r="80" spans="1:21" s="12" customFormat="1" x14ac:dyDescent="0.25">
      <c r="A80" s="200" t="s">
        <v>1566</v>
      </c>
      <c r="B80" s="59">
        <v>16.98</v>
      </c>
      <c r="C80" s="59">
        <v>99.79</v>
      </c>
      <c r="D80" s="59">
        <v>68.680000000000007</v>
      </c>
      <c r="E80" s="59">
        <v>6.82</v>
      </c>
      <c r="F80" s="59">
        <v>2.2999999999999998</v>
      </c>
      <c r="G80" s="59">
        <v>56.96</v>
      </c>
      <c r="H80" s="59">
        <v>22.06</v>
      </c>
      <c r="I80" s="59">
        <v>0.34</v>
      </c>
      <c r="J80" s="59">
        <v>0.21</v>
      </c>
      <c r="K80" s="59">
        <v>357.26</v>
      </c>
      <c r="L80" s="59">
        <v>27.05</v>
      </c>
      <c r="M80" s="59">
        <v>51</v>
      </c>
      <c r="N80" s="59">
        <v>24.8</v>
      </c>
      <c r="O80" s="59">
        <v>0</v>
      </c>
      <c r="P80" s="59">
        <v>1.71</v>
      </c>
      <c r="Q80" s="59">
        <v>36.97</v>
      </c>
      <c r="R80" s="197"/>
      <c r="S80" s="197"/>
      <c r="T80" s="197"/>
      <c r="U80" s="197"/>
    </row>
    <row r="81" spans="1:26" s="12" customFormat="1" x14ac:dyDescent="0.25">
      <c r="A81" s="200" t="s">
        <v>1567</v>
      </c>
      <c r="B81" s="59">
        <v>26.95</v>
      </c>
      <c r="C81" s="59">
        <v>106.33</v>
      </c>
      <c r="D81" s="59">
        <v>80.290000000000006</v>
      </c>
      <c r="E81" s="59">
        <v>6.61</v>
      </c>
      <c r="F81" s="59">
        <v>1.83</v>
      </c>
      <c r="G81" s="59">
        <v>56.96</v>
      </c>
      <c r="H81" s="59">
        <v>22.06</v>
      </c>
      <c r="I81" s="59">
        <v>0.39</v>
      </c>
      <c r="J81" s="59">
        <v>0.15</v>
      </c>
      <c r="K81" s="59">
        <v>356.29</v>
      </c>
      <c r="L81" s="59">
        <v>27.05</v>
      </c>
      <c r="M81" s="59">
        <v>51</v>
      </c>
      <c r="N81" s="59">
        <v>24.8</v>
      </c>
      <c r="O81" s="59">
        <v>0</v>
      </c>
      <c r="P81" s="59">
        <v>1.99</v>
      </c>
      <c r="Q81" s="59">
        <v>38.26</v>
      </c>
      <c r="R81" s="197"/>
      <c r="S81" s="197"/>
      <c r="T81" s="197"/>
      <c r="U81" s="197"/>
    </row>
    <row r="82" spans="1:26" s="12" customFormat="1" x14ac:dyDescent="0.25">
      <c r="A82" s="200" t="s">
        <v>1568</v>
      </c>
      <c r="B82" s="59">
        <v>20.59</v>
      </c>
      <c r="C82" s="59">
        <v>105.38</v>
      </c>
      <c r="D82" s="59">
        <v>74.66</v>
      </c>
      <c r="E82" s="59">
        <v>8.31</v>
      </c>
      <c r="F82" s="59">
        <v>1.44</v>
      </c>
      <c r="G82" s="59">
        <v>56.96</v>
      </c>
      <c r="H82" s="59">
        <v>22.06</v>
      </c>
      <c r="I82" s="59">
        <v>0.44</v>
      </c>
      <c r="J82" s="59">
        <v>0.28000000000000003</v>
      </c>
      <c r="K82" s="59">
        <v>92.58</v>
      </c>
      <c r="L82" s="59">
        <v>27.37</v>
      </c>
      <c r="M82" s="59">
        <v>45</v>
      </c>
      <c r="N82" s="59">
        <v>24.8</v>
      </c>
      <c r="O82" s="59">
        <v>0</v>
      </c>
      <c r="P82" s="59">
        <v>2.0499999999999998</v>
      </c>
      <c r="Q82" s="59">
        <v>39.35</v>
      </c>
      <c r="R82" s="197"/>
      <c r="S82" s="197"/>
      <c r="T82" s="197"/>
      <c r="U82" s="197"/>
    </row>
    <row r="83" spans="1:26" s="12" customFormat="1" x14ac:dyDescent="0.25">
      <c r="A83" s="200" t="s">
        <v>1569</v>
      </c>
      <c r="B83" s="59">
        <v>20.59</v>
      </c>
      <c r="C83" s="59">
        <v>105.38</v>
      </c>
      <c r="D83" s="59">
        <v>74.66</v>
      </c>
      <c r="E83" s="59">
        <v>8.31</v>
      </c>
      <c r="F83" s="59">
        <v>1.44</v>
      </c>
      <c r="G83" s="59">
        <v>56.96</v>
      </c>
      <c r="H83" s="59">
        <v>22.06</v>
      </c>
      <c r="I83" s="59">
        <v>0.44</v>
      </c>
      <c r="J83" s="59">
        <v>0.28000000000000003</v>
      </c>
      <c r="K83" s="59">
        <v>92.58</v>
      </c>
      <c r="L83" s="59">
        <v>27.37</v>
      </c>
      <c r="M83" s="59">
        <v>45</v>
      </c>
      <c r="N83" s="59">
        <v>24.8</v>
      </c>
      <c r="O83" s="59">
        <v>0</v>
      </c>
      <c r="P83" s="59">
        <v>2.0499999999999998</v>
      </c>
      <c r="Q83" s="59">
        <v>39.35</v>
      </c>
      <c r="R83" s="197"/>
      <c r="S83" s="197"/>
      <c r="T83" s="197"/>
      <c r="U83" s="197"/>
    </row>
    <row r="84" spans="1:26" s="12" customFormat="1" x14ac:dyDescent="0.25">
      <c r="A84" s="200" t="s">
        <v>1570</v>
      </c>
      <c r="B84" s="59">
        <v>17.37</v>
      </c>
      <c r="C84" s="59">
        <v>101.8</v>
      </c>
      <c r="D84" s="59">
        <v>70.11</v>
      </c>
      <c r="E84" s="59">
        <v>10.26</v>
      </c>
      <c r="F84" s="59">
        <v>1.42</v>
      </c>
      <c r="G84" s="59">
        <v>75.989999999999995</v>
      </c>
      <c r="H84" s="59">
        <v>22.99</v>
      </c>
      <c r="I84" s="59">
        <v>0.53</v>
      </c>
      <c r="J84" s="59">
        <v>0.23</v>
      </c>
      <c r="K84" s="59">
        <v>86.13</v>
      </c>
      <c r="L84" s="59">
        <v>27.31</v>
      </c>
      <c r="M84" s="59">
        <v>46</v>
      </c>
      <c r="N84" s="59">
        <v>25</v>
      </c>
      <c r="O84" s="59">
        <v>0</v>
      </c>
      <c r="P84" s="59">
        <v>2</v>
      </c>
      <c r="Q84" s="59">
        <v>41.67</v>
      </c>
      <c r="R84" s="197"/>
      <c r="S84" s="197"/>
      <c r="T84" s="197"/>
      <c r="U84" s="197"/>
    </row>
    <row r="85" spans="1:26" s="12" customFormat="1" x14ac:dyDescent="0.25">
      <c r="A85" s="200" t="s">
        <v>1571</v>
      </c>
      <c r="B85" s="59">
        <v>19.59</v>
      </c>
      <c r="C85" s="59">
        <v>97.17</v>
      </c>
      <c r="D85" s="59">
        <v>69.34</v>
      </c>
      <c r="E85" s="59">
        <v>7.77</v>
      </c>
      <c r="F85" s="59">
        <v>1.1100000000000001</v>
      </c>
      <c r="G85" s="59">
        <v>81.900000000000006</v>
      </c>
      <c r="H85" s="59">
        <v>23.48</v>
      </c>
      <c r="I85" s="59">
        <v>0.61</v>
      </c>
      <c r="J85" s="59">
        <v>0.17</v>
      </c>
      <c r="K85" s="59">
        <v>39.979999999999997</v>
      </c>
      <c r="L85" s="59">
        <v>27.16</v>
      </c>
      <c r="M85" s="59">
        <v>45</v>
      </c>
      <c r="N85" s="59">
        <v>24.8</v>
      </c>
      <c r="O85" s="59">
        <v>0</v>
      </c>
      <c r="P85" s="59">
        <v>1.92</v>
      </c>
      <c r="Q85" s="59">
        <v>43.67</v>
      </c>
      <c r="R85" s="197"/>
      <c r="S85" s="197"/>
      <c r="T85" s="197"/>
      <c r="U85" s="197"/>
    </row>
    <row r="86" spans="1:26" s="12" customFormat="1" x14ac:dyDescent="0.25">
      <c r="A86" s="200" t="s">
        <v>1572</v>
      </c>
      <c r="B86" s="59">
        <v>23.4</v>
      </c>
      <c r="C86" s="59">
        <v>96.69</v>
      </c>
      <c r="D86" s="59">
        <v>72.12</v>
      </c>
      <c r="E86" s="59">
        <v>5.9</v>
      </c>
      <c r="F86" s="59">
        <v>0.88</v>
      </c>
      <c r="G86" s="59">
        <v>81.900000000000006</v>
      </c>
      <c r="H86" s="59">
        <v>23.48</v>
      </c>
      <c r="I86" s="59">
        <v>0.62</v>
      </c>
      <c r="J86" s="59">
        <v>0.13</v>
      </c>
      <c r="K86" s="59">
        <v>50.03</v>
      </c>
      <c r="L86" s="59">
        <v>27</v>
      </c>
      <c r="M86" s="59">
        <v>45</v>
      </c>
      <c r="N86" s="59">
        <v>24.8</v>
      </c>
      <c r="O86" s="59">
        <v>0</v>
      </c>
      <c r="P86" s="59">
        <v>2.0499999999999998</v>
      </c>
      <c r="Q86" s="59">
        <v>46.32</v>
      </c>
      <c r="R86" s="197"/>
      <c r="S86" s="197"/>
      <c r="T86" s="197"/>
      <c r="U86" s="197"/>
    </row>
    <row r="87" spans="1:26" s="12" customFormat="1" x14ac:dyDescent="0.25">
      <c r="A87" s="200" t="s">
        <v>1573</v>
      </c>
      <c r="B87" s="59">
        <v>23.02</v>
      </c>
      <c r="C87" s="59">
        <v>95.06</v>
      </c>
      <c r="D87" s="59">
        <v>70.92</v>
      </c>
      <c r="E87" s="59">
        <v>4.7</v>
      </c>
      <c r="F87" s="59">
        <v>0.68</v>
      </c>
      <c r="G87" s="59">
        <v>87.68</v>
      </c>
      <c r="H87" s="59">
        <v>24.66</v>
      </c>
      <c r="I87" s="59">
        <v>0.63</v>
      </c>
      <c r="J87" s="59">
        <v>0.24</v>
      </c>
      <c r="K87" s="59">
        <v>73.739999999999995</v>
      </c>
      <c r="L87" s="59">
        <v>26.9</v>
      </c>
      <c r="M87" s="59">
        <v>46</v>
      </c>
      <c r="N87" s="59">
        <v>24.8</v>
      </c>
      <c r="O87" s="59">
        <v>0</v>
      </c>
      <c r="P87" s="59">
        <v>2.12</v>
      </c>
      <c r="Q87" s="59">
        <v>47.2</v>
      </c>
      <c r="R87" s="197"/>
      <c r="S87" s="197"/>
      <c r="T87" s="197"/>
      <c r="U87" s="197"/>
    </row>
    <row r="88" spans="1:26" s="12" customFormat="1" x14ac:dyDescent="0.25">
      <c r="A88" s="200" t="s">
        <v>1574</v>
      </c>
      <c r="B88" s="59">
        <v>22.6</v>
      </c>
      <c r="C88" s="59">
        <v>93.89</v>
      </c>
      <c r="D88" s="59">
        <v>69.94</v>
      </c>
      <c r="E88" s="59">
        <v>2.86</v>
      </c>
      <c r="F88" s="59">
        <v>0.88</v>
      </c>
      <c r="G88" s="59">
        <v>93.47</v>
      </c>
      <c r="H88" s="59">
        <v>26.53</v>
      </c>
      <c r="I88" s="59">
        <v>0.67</v>
      </c>
      <c r="J88" s="59">
        <v>0.32</v>
      </c>
      <c r="K88" s="59">
        <v>76.05</v>
      </c>
      <c r="L88" s="59">
        <v>26.84</v>
      </c>
      <c r="M88" s="59">
        <v>45</v>
      </c>
      <c r="N88" s="59">
        <v>24.8</v>
      </c>
      <c r="O88" s="59">
        <v>0</v>
      </c>
      <c r="P88" s="59">
        <v>2.16</v>
      </c>
      <c r="Q88" s="59">
        <v>46.65</v>
      </c>
      <c r="R88" s="197"/>
      <c r="S88" s="197"/>
      <c r="T88" s="197"/>
      <c r="U88" s="197"/>
    </row>
    <row r="89" spans="1:26" s="12" customFormat="1" x14ac:dyDescent="0.25">
      <c r="A89" s="200" t="s">
        <v>1575</v>
      </c>
      <c r="B89" s="59">
        <v>21.2</v>
      </c>
      <c r="C89" s="59">
        <v>92.02</v>
      </c>
      <c r="D89" s="59">
        <v>67.790000000000006</v>
      </c>
      <c r="E89" s="59">
        <v>4.8499999999999996</v>
      </c>
      <c r="F89" s="59">
        <v>0.96</v>
      </c>
      <c r="G89" s="59">
        <v>93.47</v>
      </c>
      <c r="H89" s="59">
        <v>26.53</v>
      </c>
      <c r="I89" s="59">
        <v>0.69</v>
      </c>
      <c r="J89" s="59">
        <v>0.32</v>
      </c>
      <c r="K89" s="59">
        <v>67.12</v>
      </c>
      <c r="L89" s="59">
        <v>26.67</v>
      </c>
      <c r="M89" s="59">
        <v>44</v>
      </c>
      <c r="N89" s="59">
        <v>24.7</v>
      </c>
      <c r="O89" s="59">
        <v>0</v>
      </c>
      <c r="P89" s="59">
        <v>2.14</v>
      </c>
      <c r="Q89" s="59">
        <v>46.86</v>
      </c>
      <c r="R89" s="197"/>
      <c r="S89" s="197"/>
      <c r="T89" s="197"/>
      <c r="U89" s="197"/>
    </row>
    <row r="90" spans="1:26" s="12" customFormat="1" x14ac:dyDescent="0.25">
      <c r="A90" s="200" t="s">
        <v>1576</v>
      </c>
      <c r="B90" s="59">
        <v>20.64</v>
      </c>
      <c r="C90" s="59">
        <v>92.2</v>
      </c>
      <c r="D90" s="59">
        <v>67.44</v>
      </c>
      <c r="E90" s="59">
        <v>4.8099999999999996</v>
      </c>
      <c r="F90" s="59">
        <v>0.81</v>
      </c>
      <c r="G90" s="59">
        <v>93.47</v>
      </c>
      <c r="H90" s="59">
        <v>26.53</v>
      </c>
      <c r="I90" s="59">
        <v>0.7</v>
      </c>
      <c r="J90" s="59">
        <v>0.35</v>
      </c>
      <c r="K90" s="59">
        <v>72.48</v>
      </c>
      <c r="L90" s="59">
        <v>26.45</v>
      </c>
      <c r="M90" s="59">
        <v>43</v>
      </c>
      <c r="N90" s="59">
        <v>24.5</v>
      </c>
      <c r="O90" s="59">
        <v>0</v>
      </c>
      <c r="P90" s="59">
        <v>2.15</v>
      </c>
      <c r="Q90" s="59">
        <v>47.1</v>
      </c>
      <c r="R90" s="197"/>
      <c r="S90" s="197"/>
      <c r="T90" s="197"/>
      <c r="U90" s="197"/>
    </row>
    <row r="91" spans="1:26" s="12" customFormat="1" x14ac:dyDescent="0.25">
      <c r="A91" s="200" t="s">
        <v>1577</v>
      </c>
      <c r="B91" s="59">
        <v>20.97</v>
      </c>
      <c r="C91" s="59">
        <v>91.97</v>
      </c>
      <c r="D91" s="59">
        <v>67.58</v>
      </c>
      <c r="E91" s="59">
        <v>5.1100000000000003</v>
      </c>
      <c r="F91" s="59">
        <v>0.87</v>
      </c>
      <c r="G91" s="59">
        <v>90.48</v>
      </c>
      <c r="H91" s="59">
        <v>25.5</v>
      </c>
      <c r="I91" s="59">
        <v>0.7</v>
      </c>
      <c r="J91" s="59">
        <v>0.43</v>
      </c>
      <c r="K91" s="59">
        <v>84.73</v>
      </c>
      <c r="L91" s="59">
        <v>26.43</v>
      </c>
      <c r="M91" s="59">
        <v>43</v>
      </c>
      <c r="N91" s="59">
        <v>24.5</v>
      </c>
      <c r="O91" s="59">
        <v>0</v>
      </c>
      <c r="P91" s="59">
        <v>2.16</v>
      </c>
      <c r="Q91" s="59">
        <v>46.94</v>
      </c>
      <c r="R91" s="197"/>
      <c r="S91" s="197"/>
      <c r="T91" s="197"/>
      <c r="U91" s="197"/>
    </row>
    <row r="92" spans="1:26" s="12" customFormat="1" x14ac:dyDescent="0.25">
      <c r="A92" s="200" t="s">
        <v>1578</v>
      </c>
      <c r="B92" s="59">
        <v>21.53</v>
      </c>
      <c r="C92" s="59">
        <v>90.99</v>
      </c>
      <c r="D92" s="59">
        <v>67.48</v>
      </c>
      <c r="E92" s="59">
        <v>5.0999999999999996</v>
      </c>
      <c r="F92" s="59">
        <v>1.04</v>
      </c>
      <c r="G92" s="59">
        <v>79.510000000000005</v>
      </c>
      <c r="H92" s="59">
        <v>23.9</v>
      </c>
      <c r="I92" s="59">
        <v>0.7</v>
      </c>
      <c r="J92" s="59">
        <v>0.3</v>
      </c>
      <c r="K92" s="59">
        <v>59.01</v>
      </c>
      <c r="L92" s="59">
        <v>26.22</v>
      </c>
      <c r="M92" s="59">
        <v>43</v>
      </c>
      <c r="N92" s="59">
        <v>24.8</v>
      </c>
      <c r="O92" s="59">
        <v>0</v>
      </c>
      <c r="P92" s="59">
        <v>2.14</v>
      </c>
      <c r="Q92" s="59">
        <v>46.2</v>
      </c>
      <c r="R92" s="197"/>
      <c r="S92" s="197"/>
      <c r="T92" s="197"/>
      <c r="U92" s="197"/>
    </row>
    <row r="93" spans="1:26" s="12" customFormat="1" x14ac:dyDescent="0.25">
      <c r="A93" s="200" t="s">
        <v>1579</v>
      </c>
      <c r="B93" s="59">
        <v>22.18</v>
      </c>
      <c r="C93" s="59">
        <v>90.52</v>
      </c>
      <c r="D93" s="59">
        <v>67.739999999999995</v>
      </c>
      <c r="E93" s="59">
        <v>6.07</v>
      </c>
      <c r="F93" s="59">
        <v>1.5</v>
      </c>
      <c r="G93" s="59">
        <v>79.510000000000005</v>
      </c>
      <c r="H93" s="59">
        <v>23.9</v>
      </c>
      <c r="I93" s="59">
        <v>0.69</v>
      </c>
      <c r="J93" s="59">
        <v>0.23</v>
      </c>
      <c r="K93" s="59">
        <v>40.64</v>
      </c>
      <c r="L93" s="59">
        <v>25.95</v>
      </c>
      <c r="M93" s="59">
        <v>43</v>
      </c>
      <c r="N93" s="59">
        <v>24.7</v>
      </c>
      <c r="O93" s="59">
        <v>0</v>
      </c>
      <c r="P93" s="59">
        <v>2.14</v>
      </c>
      <c r="Q93" s="59">
        <v>45.28</v>
      </c>
      <c r="R93" s="197"/>
      <c r="S93" s="197"/>
      <c r="T93" s="197"/>
      <c r="U93" s="197"/>
    </row>
    <row r="94" spans="1:26" s="12" customFormat="1" x14ac:dyDescent="0.25">
      <c r="A94" s="200" t="s">
        <v>1580</v>
      </c>
      <c r="B94" s="59">
        <v>24.21</v>
      </c>
      <c r="C94" s="59">
        <v>88.7</v>
      </c>
      <c r="D94" s="59">
        <v>68.36</v>
      </c>
      <c r="E94" s="59">
        <v>6.41</v>
      </c>
      <c r="F94" s="59">
        <v>1.31</v>
      </c>
      <c r="G94" s="59">
        <v>79.510000000000005</v>
      </c>
      <c r="H94" s="59">
        <v>23.9</v>
      </c>
      <c r="I94" s="59">
        <v>0.69</v>
      </c>
      <c r="J94" s="59">
        <v>0.28999999999999998</v>
      </c>
      <c r="K94" s="59">
        <v>32.369999999999997</v>
      </c>
      <c r="L94" s="59">
        <v>25.65</v>
      </c>
      <c r="M94" s="59">
        <v>44</v>
      </c>
      <c r="N94" s="59">
        <v>24.6</v>
      </c>
      <c r="O94" s="59">
        <v>0</v>
      </c>
      <c r="P94" s="59">
        <v>2.15</v>
      </c>
      <c r="Q94" s="59">
        <v>45.09</v>
      </c>
      <c r="R94" s="197"/>
      <c r="S94" s="197"/>
      <c r="T94" s="197"/>
      <c r="U94" s="197"/>
    </row>
    <row r="95" spans="1:26" s="12" customFormat="1" x14ac:dyDescent="0.25">
      <c r="A95" s="200" t="s">
        <v>1581</v>
      </c>
      <c r="B95" s="59">
        <v>25.92</v>
      </c>
      <c r="C95" s="59">
        <v>88.62</v>
      </c>
      <c r="D95" s="59">
        <v>69.69</v>
      </c>
      <c r="E95" s="59">
        <v>7.22</v>
      </c>
      <c r="F95" s="59">
        <v>1.25</v>
      </c>
      <c r="G95" s="59">
        <v>75.599999999999994</v>
      </c>
      <c r="H95" s="59">
        <v>23.03</v>
      </c>
      <c r="I95" s="59">
        <v>0.68</v>
      </c>
      <c r="J95" s="59">
        <v>0.26</v>
      </c>
      <c r="K95" s="59">
        <v>7.6</v>
      </c>
      <c r="L95" s="59">
        <v>25.46</v>
      </c>
      <c r="M95" s="59">
        <v>44</v>
      </c>
      <c r="N95" s="59">
        <v>24.7</v>
      </c>
      <c r="O95" s="59">
        <v>0</v>
      </c>
      <c r="P95" s="59">
        <v>2.13</v>
      </c>
      <c r="Q95" s="59">
        <v>45.53</v>
      </c>
      <c r="R95" s="197"/>
      <c r="S95" s="197"/>
      <c r="T95" s="197"/>
      <c r="U95" s="197"/>
    </row>
    <row r="96" spans="1:26" s="12" customFormat="1" x14ac:dyDescent="0.25">
      <c r="A96" s="200" t="s">
        <v>1582</v>
      </c>
      <c r="B96" s="59">
        <v>25.86</v>
      </c>
      <c r="C96" s="59">
        <v>86.2</v>
      </c>
      <c r="D96" s="59">
        <v>68.31</v>
      </c>
      <c r="E96" s="59">
        <v>7.16</v>
      </c>
      <c r="F96" s="59">
        <v>0.93</v>
      </c>
      <c r="G96" s="59">
        <v>71.81</v>
      </c>
      <c r="H96" s="59">
        <v>21.6</v>
      </c>
      <c r="I96" s="59">
        <v>0.69</v>
      </c>
      <c r="J96" s="59">
        <v>0.36</v>
      </c>
      <c r="K96" s="59">
        <v>40.549999999999997</v>
      </c>
      <c r="L96" s="59">
        <v>25.31</v>
      </c>
      <c r="M96" s="59">
        <v>44</v>
      </c>
      <c r="N96" s="59">
        <v>24.6</v>
      </c>
      <c r="O96" s="59">
        <v>0</v>
      </c>
      <c r="P96" s="59">
        <v>2.12</v>
      </c>
      <c r="Q96" s="59">
        <v>45.81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1583</v>
      </c>
      <c r="B97" s="59">
        <v>24.83</v>
      </c>
      <c r="C97" s="59">
        <v>82.32</v>
      </c>
      <c r="D97" s="59">
        <v>65.34</v>
      </c>
      <c r="E97" s="59">
        <v>5.52</v>
      </c>
      <c r="F97" s="59">
        <v>1.1299999999999999</v>
      </c>
      <c r="G97" s="59">
        <v>71.81</v>
      </c>
      <c r="H97" s="59">
        <v>21.6</v>
      </c>
      <c r="I97" s="59">
        <v>0.69</v>
      </c>
      <c r="J97" s="59">
        <v>0.42</v>
      </c>
      <c r="K97" s="59">
        <v>75.849999999999994</v>
      </c>
      <c r="L97" s="59">
        <v>25.12</v>
      </c>
      <c r="M97" s="59">
        <v>43</v>
      </c>
      <c r="N97" s="59">
        <v>24.6</v>
      </c>
      <c r="O97" s="59">
        <v>0</v>
      </c>
      <c r="P97" s="59">
        <v>2.04</v>
      </c>
      <c r="Q97" s="59">
        <v>46.36</v>
      </c>
      <c r="R97" s="197"/>
      <c r="S97" s="197"/>
      <c r="T97" s="197"/>
      <c r="U97" s="197"/>
    </row>
    <row r="98" spans="1:33" s="12" customFormat="1" x14ac:dyDescent="0.25">
      <c r="A98" s="200" t="s">
        <v>1584</v>
      </c>
      <c r="B98" s="59">
        <v>24.58</v>
      </c>
      <c r="C98" s="59">
        <v>81.650000000000006</v>
      </c>
      <c r="D98" s="59">
        <v>64.77</v>
      </c>
      <c r="E98" s="59">
        <v>5.67</v>
      </c>
      <c r="F98" s="59">
        <v>1.18</v>
      </c>
      <c r="G98" s="59">
        <v>71.81</v>
      </c>
      <c r="H98" s="59">
        <v>21.6</v>
      </c>
      <c r="I98" s="59">
        <v>0.7</v>
      </c>
      <c r="J98" s="59">
        <v>0.34</v>
      </c>
      <c r="K98" s="59">
        <v>61.08</v>
      </c>
      <c r="L98" s="59">
        <v>24.8</v>
      </c>
      <c r="M98" s="59">
        <v>44</v>
      </c>
      <c r="N98" s="59">
        <v>24.5</v>
      </c>
      <c r="O98" s="59">
        <v>0</v>
      </c>
      <c r="P98" s="59">
        <v>1.99</v>
      </c>
      <c r="Q98" s="59">
        <v>46.89</v>
      </c>
      <c r="R98" s="197"/>
      <c r="S98" s="197"/>
      <c r="T98" s="197"/>
      <c r="U98" s="197"/>
    </row>
    <row r="99" spans="1:33" s="12" customFormat="1" x14ac:dyDescent="0.25">
      <c r="A99" s="200" t="s">
        <v>1585</v>
      </c>
      <c r="B99" s="59">
        <v>25.96</v>
      </c>
      <c r="C99" s="59">
        <v>82.1</v>
      </c>
      <c r="D99" s="59">
        <v>66.13</v>
      </c>
      <c r="E99" s="59">
        <v>6.02</v>
      </c>
      <c r="F99" s="59">
        <v>1.1499999999999999</v>
      </c>
      <c r="G99" s="59">
        <v>71.650000000000006</v>
      </c>
      <c r="H99" s="59">
        <v>22.28</v>
      </c>
      <c r="I99" s="59">
        <v>0.69</v>
      </c>
      <c r="J99" s="59">
        <v>0.28999999999999998</v>
      </c>
      <c r="K99" s="59">
        <v>42.95</v>
      </c>
      <c r="L99" s="59">
        <v>24.62</v>
      </c>
      <c r="M99" s="59">
        <v>44</v>
      </c>
      <c r="N99" s="59">
        <v>24.5</v>
      </c>
      <c r="O99" s="59">
        <v>0</v>
      </c>
      <c r="P99" s="59">
        <v>1.99</v>
      </c>
      <c r="Q99" s="59">
        <v>47.29</v>
      </c>
      <c r="R99" s="197"/>
      <c r="S99" s="197"/>
      <c r="T99" s="197"/>
      <c r="U99" s="197"/>
    </row>
    <row r="100" spans="1:33" s="12" customFormat="1" x14ac:dyDescent="0.25">
      <c r="A100" s="200" t="s">
        <v>1586</v>
      </c>
      <c r="B100" s="59">
        <v>25.59</v>
      </c>
      <c r="C100" s="59">
        <v>80.36</v>
      </c>
      <c r="D100" s="59">
        <v>64.87</v>
      </c>
      <c r="E100" s="59">
        <v>5.1100000000000003</v>
      </c>
      <c r="F100" s="59">
        <v>0.71</v>
      </c>
      <c r="G100" s="59">
        <v>71.5</v>
      </c>
      <c r="H100" s="59">
        <v>23.39</v>
      </c>
      <c r="I100" s="59">
        <v>0.67</v>
      </c>
      <c r="J100" s="59">
        <v>0.28000000000000003</v>
      </c>
      <c r="K100" s="59">
        <v>59.25</v>
      </c>
      <c r="L100" s="59">
        <v>24.38</v>
      </c>
      <c r="M100" s="59">
        <v>46</v>
      </c>
      <c r="N100" s="59">
        <v>24.6</v>
      </c>
      <c r="O100" s="59">
        <v>0</v>
      </c>
      <c r="P100" s="59">
        <v>1.96</v>
      </c>
      <c r="Q100" s="59">
        <v>48.89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1587</v>
      </c>
      <c r="B101" s="59">
        <v>24.99</v>
      </c>
      <c r="C101" s="59">
        <v>79.540000000000006</v>
      </c>
      <c r="D101" s="59">
        <v>63.94</v>
      </c>
      <c r="E101" s="59">
        <v>5.01</v>
      </c>
      <c r="F101" s="59">
        <v>0.52</v>
      </c>
      <c r="G101" s="59">
        <v>71.5</v>
      </c>
      <c r="H101" s="59">
        <v>23.39</v>
      </c>
      <c r="I101" s="59">
        <v>0.68</v>
      </c>
      <c r="J101" s="59">
        <v>0.24</v>
      </c>
      <c r="K101" s="59">
        <v>34.96</v>
      </c>
      <c r="L101" s="59">
        <v>24.16</v>
      </c>
      <c r="M101" s="59">
        <v>47</v>
      </c>
      <c r="N101" s="59">
        <v>24.5</v>
      </c>
      <c r="O101" s="59">
        <v>0</v>
      </c>
      <c r="P101" s="59">
        <v>1.89</v>
      </c>
      <c r="Q101" s="59">
        <v>49.88</v>
      </c>
      <c r="R101" s="197"/>
      <c r="S101" s="197"/>
      <c r="T101" s="197"/>
      <c r="U101" s="197"/>
    </row>
    <row r="102" spans="1:33" s="12" customFormat="1" x14ac:dyDescent="0.25">
      <c r="A102" s="200" t="s">
        <v>1588</v>
      </c>
      <c r="B102" s="59">
        <v>24.83</v>
      </c>
      <c r="C102" s="59">
        <v>79.2</v>
      </c>
      <c r="D102" s="59">
        <v>63.62</v>
      </c>
      <c r="E102" s="59">
        <v>5.0999999999999996</v>
      </c>
      <c r="F102" s="59">
        <v>0.37</v>
      </c>
      <c r="G102" s="59">
        <v>71.5</v>
      </c>
      <c r="H102" s="59">
        <v>23.39</v>
      </c>
      <c r="I102" s="59">
        <v>0.7</v>
      </c>
      <c r="J102" s="59">
        <v>0.28999999999999998</v>
      </c>
      <c r="K102" s="59">
        <v>47.12</v>
      </c>
      <c r="L102" s="59">
        <v>24.1</v>
      </c>
      <c r="M102" s="59">
        <v>46</v>
      </c>
      <c r="N102" s="59">
        <v>24.3</v>
      </c>
      <c r="O102" s="59">
        <v>0</v>
      </c>
      <c r="P102" s="59">
        <v>1.81</v>
      </c>
      <c r="Q102" s="59">
        <v>49.9</v>
      </c>
      <c r="R102" s="197"/>
      <c r="S102" s="197"/>
      <c r="T102" s="197"/>
      <c r="U102" s="197"/>
    </row>
    <row r="103" spans="1:33" s="12" customFormat="1" x14ac:dyDescent="0.25">
      <c r="A103" s="200" t="s">
        <v>1589</v>
      </c>
      <c r="B103" s="59">
        <v>24.2</v>
      </c>
      <c r="C103" s="59">
        <v>78.430000000000007</v>
      </c>
      <c r="D103" s="59">
        <v>62.69</v>
      </c>
      <c r="E103" s="59">
        <v>4.88</v>
      </c>
      <c r="F103" s="59">
        <v>0.53</v>
      </c>
      <c r="G103" s="59">
        <v>67.83</v>
      </c>
      <c r="H103" s="59">
        <v>23.01</v>
      </c>
      <c r="I103" s="59">
        <v>0.66</v>
      </c>
      <c r="J103" s="59">
        <v>0.37</v>
      </c>
      <c r="K103" s="59">
        <v>77.16</v>
      </c>
      <c r="L103" s="59">
        <v>24.04</v>
      </c>
      <c r="M103" s="59">
        <v>45</v>
      </c>
      <c r="N103" s="59">
        <v>24.2</v>
      </c>
      <c r="O103" s="59">
        <v>0</v>
      </c>
      <c r="P103" s="59">
        <v>1.74</v>
      </c>
      <c r="Q103" s="59">
        <v>49.38</v>
      </c>
      <c r="R103" s="197"/>
      <c r="S103" s="197"/>
      <c r="T103" s="197"/>
      <c r="U103" s="197"/>
    </row>
    <row r="104" spans="1:33" s="12" customFormat="1" x14ac:dyDescent="0.25">
      <c r="A104" s="200" t="s">
        <v>1590</v>
      </c>
      <c r="B104" s="59">
        <v>23.04</v>
      </c>
      <c r="C104" s="59">
        <v>77.23</v>
      </c>
      <c r="D104" s="59">
        <v>61.1</v>
      </c>
      <c r="E104" s="59">
        <v>2.91</v>
      </c>
      <c r="F104" s="59">
        <v>0.62</v>
      </c>
      <c r="G104" s="59">
        <v>64.38</v>
      </c>
      <c r="H104" s="59">
        <v>22.38</v>
      </c>
      <c r="I104" s="59">
        <v>0.64</v>
      </c>
      <c r="J104" s="59">
        <v>0.27</v>
      </c>
      <c r="K104" s="59">
        <v>37.42</v>
      </c>
      <c r="L104" s="59">
        <v>23.82</v>
      </c>
      <c r="M104" s="59">
        <v>46</v>
      </c>
      <c r="N104" s="59">
        <v>24.5</v>
      </c>
      <c r="O104" s="59">
        <v>0</v>
      </c>
      <c r="P104" s="59">
        <v>1.67</v>
      </c>
      <c r="Q104" s="59">
        <v>48.81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2.37</v>
      </c>
      <c r="C106" s="66">
        <f>MIN(C9:C104)</f>
        <v>54.44</v>
      </c>
      <c r="D106" s="66">
        <f t="shared" ref="D106:Q106" si="0">MIN(D9:D104)</f>
        <v>31.94</v>
      </c>
      <c r="E106" s="66">
        <f t="shared" si="0"/>
        <v>2.67</v>
      </c>
      <c r="F106" s="66">
        <f t="shared" si="0"/>
        <v>0.37</v>
      </c>
      <c r="G106" s="66">
        <f t="shared" si="0"/>
        <v>33.130000000000003</v>
      </c>
      <c r="H106" s="66">
        <f t="shared" si="0"/>
        <v>11.53</v>
      </c>
      <c r="I106" s="66">
        <f t="shared" si="0"/>
        <v>0.13</v>
      </c>
      <c r="J106" s="66">
        <f t="shared" si="0"/>
        <v>7.0000000000000007E-2</v>
      </c>
      <c r="K106" s="66">
        <f t="shared" si="0"/>
        <v>2.92</v>
      </c>
      <c r="L106" s="66">
        <f t="shared" si="0"/>
        <v>20.07</v>
      </c>
      <c r="M106" s="66">
        <f t="shared" si="0"/>
        <v>27</v>
      </c>
      <c r="N106" s="66">
        <f t="shared" si="0"/>
        <v>24</v>
      </c>
      <c r="O106" s="66">
        <f t="shared" si="0"/>
        <v>0</v>
      </c>
      <c r="P106" s="66">
        <f t="shared" si="0"/>
        <v>0.49</v>
      </c>
      <c r="Q106" s="66">
        <f t="shared" si="0"/>
        <v>26.33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31.42</v>
      </c>
      <c r="C107" s="65">
        <f t="shared" ref="C107:Q107" si="1">MAX(C9:C104)</f>
        <v>106.33</v>
      </c>
      <c r="D107" s="65">
        <f t="shared" si="1"/>
        <v>80.290000000000006</v>
      </c>
      <c r="E107" s="65">
        <f t="shared" si="1"/>
        <v>38.229999999999997</v>
      </c>
      <c r="F107" s="65">
        <f t="shared" si="1"/>
        <v>16.18</v>
      </c>
      <c r="G107" s="65">
        <f t="shared" si="1"/>
        <v>93.47</v>
      </c>
      <c r="H107" s="65">
        <f t="shared" si="1"/>
        <v>29.25</v>
      </c>
      <c r="I107" s="65">
        <f t="shared" si="1"/>
        <v>0.7</v>
      </c>
      <c r="J107" s="65">
        <f t="shared" si="1"/>
        <v>1.52</v>
      </c>
      <c r="K107" s="65">
        <f t="shared" si="1"/>
        <v>359.46</v>
      </c>
      <c r="L107" s="65">
        <f t="shared" si="1"/>
        <v>32.17</v>
      </c>
      <c r="M107" s="65">
        <f t="shared" si="1"/>
        <v>57</v>
      </c>
      <c r="N107" s="65">
        <f t="shared" si="1"/>
        <v>430.6</v>
      </c>
      <c r="O107" s="65">
        <f t="shared" si="1"/>
        <v>0</v>
      </c>
      <c r="P107" s="65">
        <f t="shared" si="1"/>
        <v>2.16</v>
      </c>
      <c r="Q107" s="65">
        <f t="shared" si="1"/>
        <v>49.9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18.450312499999995</v>
      </c>
      <c r="C108" s="66">
        <f t="shared" ref="C108:Q108" si="2">AVERAGE(C9:C104)</f>
        <v>77.033541666666665</v>
      </c>
      <c r="D108" s="66">
        <f t="shared" si="2"/>
        <v>57.308541666666649</v>
      </c>
      <c r="E108" s="66">
        <f t="shared" si="2"/>
        <v>7.3736458333333337</v>
      </c>
      <c r="F108" s="66">
        <f t="shared" si="2"/>
        <v>2.6473958333333347</v>
      </c>
      <c r="G108" s="66">
        <f t="shared" si="2"/>
        <v>53.343750000000007</v>
      </c>
      <c r="H108" s="66">
        <f t="shared" si="2"/>
        <v>19.751249999999995</v>
      </c>
      <c r="I108" s="66">
        <f t="shared" si="2"/>
        <v>0.44427083333333345</v>
      </c>
      <c r="J108" s="66">
        <f t="shared" si="2"/>
        <v>0.4685416666666668</v>
      </c>
      <c r="K108" s="66">
        <f t="shared" si="2"/>
        <v>85.256041666666661</v>
      </c>
      <c r="L108" s="66">
        <f t="shared" si="2"/>
        <v>26.190520833333323</v>
      </c>
      <c r="M108" s="66">
        <f t="shared" si="2"/>
        <v>41.5</v>
      </c>
      <c r="N108" s="66">
        <f t="shared" si="2"/>
        <v>130.67499999999998</v>
      </c>
      <c r="O108" s="66">
        <f t="shared" si="2"/>
        <v>0</v>
      </c>
      <c r="P108" s="66">
        <f t="shared" si="2"/>
        <v>1.2457291666666668</v>
      </c>
      <c r="Q108" s="66">
        <f t="shared" si="2"/>
        <v>42.150208333333346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7.1534176525519806</v>
      </c>
      <c r="C109" s="66">
        <f t="shared" ref="C109:Q109" si="3">STDEV(C9:C104)</f>
        <v>12.338809801782407</v>
      </c>
      <c r="D109" s="66">
        <f t="shared" si="3"/>
        <v>10.319185502249102</v>
      </c>
      <c r="E109" s="66">
        <f t="shared" si="3"/>
        <v>5.2611685953821228</v>
      </c>
      <c r="F109" s="66">
        <f t="shared" si="3"/>
        <v>3.5522038362540851</v>
      </c>
      <c r="G109" s="66">
        <f t="shared" si="3"/>
        <v>17.487845779283344</v>
      </c>
      <c r="H109" s="66">
        <f t="shared" si="3"/>
        <v>4.5354784462989031</v>
      </c>
      <c r="I109" s="66">
        <f t="shared" si="3"/>
        <v>0.17233837457419951</v>
      </c>
      <c r="J109" s="66">
        <f t="shared" si="3"/>
        <v>0.336761602907728</v>
      </c>
      <c r="K109" s="66">
        <f t="shared" si="3"/>
        <v>92.796087128024581</v>
      </c>
      <c r="L109" s="66">
        <f t="shared" si="3"/>
        <v>3.8934821026649726</v>
      </c>
      <c r="M109" s="66">
        <f t="shared" si="3"/>
        <v>8.7971287181790476</v>
      </c>
      <c r="N109" s="66">
        <f t="shared" si="3"/>
        <v>154.13522361191409</v>
      </c>
      <c r="O109" s="66">
        <f t="shared" si="3"/>
        <v>0</v>
      </c>
      <c r="P109" s="66">
        <f t="shared" si="3"/>
        <v>0.54847107065995548</v>
      </c>
      <c r="Q109" s="66">
        <f t="shared" si="3"/>
        <v>6.5322700139451815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P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>COUNT(H9:H104)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>COUNT(Q9:Q104)</f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15-12-2022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15" t="s">
        <v>1591</v>
      </c>
      <c r="B9" s="12">
        <v>21.65</v>
      </c>
      <c r="C9" s="12">
        <v>76.05</v>
      </c>
      <c r="D9" s="12">
        <v>59.33</v>
      </c>
      <c r="E9" s="12">
        <v>4.7300000000000004</v>
      </c>
      <c r="F9" s="12">
        <v>0.56000000000000005</v>
      </c>
      <c r="G9" s="12">
        <v>64.38</v>
      </c>
      <c r="H9" s="12">
        <v>22.38</v>
      </c>
      <c r="I9" s="12">
        <v>0.61</v>
      </c>
      <c r="J9" s="12">
        <v>0.31</v>
      </c>
      <c r="K9" s="12">
        <v>58.85</v>
      </c>
      <c r="L9" s="12">
        <v>23.55</v>
      </c>
      <c r="M9" s="12">
        <v>47</v>
      </c>
      <c r="N9" s="12">
        <v>24.4</v>
      </c>
      <c r="O9" s="12">
        <v>0</v>
      </c>
      <c r="P9" s="12">
        <v>1.59</v>
      </c>
      <c r="Q9" s="12">
        <v>48.23</v>
      </c>
      <c r="R9" s="197"/>
      <c r="S9" s="197"/>
      <c r="T9" s="197"/>
      <c r="U9" s="197"/>
    </row>
    <row r="10" spans="1:21" s="12" customFormat="1" x14ac:dyDescent="0.25">
      <c r="A10" s="215" t="s">
        <v>1592</v>
      </c>
      <c r="B10" s="12">
        <v>19.850000000000001</v>
      </c>
      <c r="C10" s="12">
        <v>74.47</v>
      </c>
      <c r="D10" s="12">
        <v>57.02</v>
      </c>
      <c r="E10" s="12">
        <v>4.72</v>
      </c>
      <c r="F10" s="12">
        <v>0.65</v>
      </c>
      <c r="G10" s="12">
        <v>64.38</v>
      </c>
      <c r="H10" s="12">
        <v>22.38</v>
      </c>
      <c r="I10" s="12">
        <v>0.57999999999999996</v>
      </c>
      <c r="J10" s="12">
        <v>0.38</v>
      </c>
      <c r="K10" s="12">
        <v>71.760000000000005</v>
      </c>
      <c r="L10" s="12">
        <v>23.39</v>
      </c>
      <c r="M10" s="12">
        <v>47</v>
      </c>
      <c r="N10" s="12">
        <v>24.4</v>
      </c>
      <c r="O10" s="12">
        <v>0</v>
      </c>
      <c r="P10" s="12">
        <v>1.51</v>
      </c>
      <c r="Q10" s="12">
        <v>47.49</v>
      </c>
      <c r="R10" s="197"/>
      <c r="S10" s="197"/>
      <c r="T10" s="197"/>
      <c r="U10" s="197"/>
    </row>
    <row r="11" spans="1:21" s="12" customFormat="1" x14ac:dyDescent="0.25">
      <c r="A11" s="215" t="s">
        <v>1593</v>
      </c>
      <c r="B11" s="12">
        <v>17.95</v>
      </c>
      <c r="C11" s="12">
        <v>70.86</v>
      </c>
      <c r="D11" s="12">
        <v>53.5</v>
      </c>
      <c r="E11" s="12">
        <v>5.05</v>
      </c>
      <c r="F11" s="12">
        <v>1</v>
      </c>
      <c r="G11" s="12">
        <v>62.5</v>
      </c>
      <c r="H11" s="12">
        <v>21.07</v>
      </c>
      <c r="I11" s="12">
        <v>0.55000000000000004</v>
      </c>
      <c r="J11" s="12">
        <v>0.38</v>
      </c>
      <c r="K11" s="12">
        <v>74.05</v>
      </c>
      <c r="L11" s="12">
        <v>23.28</v>
      </c>
      <c r="M11" s="12">
        <v>47</v>
      </c>
      <c r="N11" s="12">
        <v>24.3</v>
      </c>
      <c r="O11" s="12">
        <v>0</v>
      </c>
      <c r="P11" s="12">
        <v>1.44</v>
      </c>
      <c r="Q11" s="12">
        <v>46.32</v>
      </c>
      <c r="R11" s="197"/>
      <c r="S11" s="197"/>
      <c r="T11" s="197"/>
      <c r="U11" s="197"/>
    </row>
    <row r="12" spans="1:21" s="12" customFormat="1" x14ac:dyDescent="0.25">
      <c r="A12" s="215" t="s">
        <v>1594</v>
      </c>
      <c r="B12" s="12">
        <v>17.309999999999999</v>
      </c>
      <c r="C12" s="12">
        <v>68.17</v>
      </c>
      <c r="D12" s="12">
        <v>51.5</v>
      </c>
      <c r="E12" s="12">
        <v>5.53</v>
      </c>
      <c r="F12" s="12">
        <v>1.41</v>
      </c>
      <c r="G12" s="12">
        <v>56.28</v>
      </c>
      <c r="H12" s="12">
        <v>18.920000000000002</v>
      </c>
      <c r="I12" s="12">
        <v>0.52</v>
      </c>
      <c r="J12" s="12">
        <v>0.3</v>
      </c>
      <c r="K12" s="12">
        <v>48.47</v>
      </c>
      <c r="L12" s="12">
        <v>23.26</v>
      </c>
      <c r="M12" s="12">
        <v>45</v>
      </c>
      <c r="N12" s="12">
        <v>24.3</v>
      </c>
      <c r="O12" s="12">
        <v>0</v>
      </c>
      <c r="P12" s="12">
        <v>1.4</v>
      </c>
      <c r="Q12" s="12">
        <v>45.67</v>
      </c>
      <c r="R12" s="197"/>
      <c r="S12" s="197"/>
      <c r="T12" s="197"/>
      <c r="U12" s="197"/>
    </row>
    <row r="13" spans="1:21" s="12" customFormat="1" x14ac:dyDescent="0.25">
      <c r="A13" s="215" t="s">
        <v>1595</v>
      </c>
      <c r="B13" s="12">
        <v>16.670000000000002</v>
      </c>
      <c r="C13" s="12">
        <v>66.69</v>
      </c>
      <c r="D13" s="12">
        <v>50.17</v>
      </c>
      <c r="E13" s="12">
        <v>4.91</v>
      </c>
      <c r="F13" s="12">
        <v>1.42</v>
      </c>
      <c r="G13" s="12">
        <v>56.28</v>
      </c>
      <c r="H13" s="12">
        <v>18.920000000000002</v>
      </c>
      <c r="I13" s="12">
        <v>0.51</v>
      </c>
      <c r="J13" s="12">
        <v>0.27</v>
      </c>
      <c r="K13" s="12">
        <v>28.46</v>
      </c>
      <c r="L13" s="12">
        <v>22.99</v>
      </c>
      <c r="M13" s="12">
        <v>46</v>
      </c>
      <c r="N13" s="12">
        <v>24.5</v>
      </c>
      <c r="O13" s="12">
        <v>0</v>
      </c>
      <c r="P13" s="12">
        <v>1.34</v>
      </c>
      <c r="Q13" s="12">
        <v>45.71</v>
      </c>
      <c r="R13" s="197"/>
      <c r="S13" s="197"/>
      <c r="T13" s="197"/>
      <c r="U13" s="197"/>
    </row>
    <row r="14" spans="1:21" s="12" customFormat="1" x14ac:dyDescent="0.25">
      <c r="A14" s="215" t="s">
        <v>1596</v>
      </c>
      <c r="B14" s="12">
        <v>15.76</v>
      </c>
      <c r="C14" s="12">
        <v>64.89</v>
      </c>
      <c r="D14" s="12">
        <v>48.44</v>
      </c>
      <c r="E14" s="12">
        <v>5.35</v>
      </c>
      <c r="F14" s="12">
        <v>1.22</v>
      </c>
      <c r="G14" s="12">
        <v>56.28</v>
      </c>
      <c r="H14" s="12">
        <v>18.920000000000002</v>
      </c>
      <c r="I14" s="12">
        <v>0.52</v>
      </c>
      <c r="J14" s="12">
        <v>0.3</v>
      </c>
      <c r="K14" s="12">
        <v>33.18</v>
      </c>
      <c r="L14" s="12">
        <v>22.86</v>
      </c>
      <c r="M14" s="12">
        <v>45</v>
      </c>
      <c r="N14" s="12">
        <v>24.3</v>
      </c>
      <c r="O14" s="12">
        <v>0</v>
      </c>
      <c r="P14" s="12">
        <v>1.33</v>
      </c>
      <c r="Q14" s="12">
        <v>45.83</v>
      </c>
      <c r="R14" s="197"/>
      <c r="S14" s="197"/>
      <c r="T14" s="197"/>
      <c r="U14" s="197"/>
    </row>
    <row r="15" spans="1:21" s="12" customFormat="1" x14ac:dyDescent="0.25">
      <c r="A15" s="215" t="s">
        <v>1597</v>
      </c>
      <c r="B15" s="12">
        <v>15</v>
      </c>
      <c r="C15" s="12">
        <v>62.83</v>
      </c>
      <c r="D15" s="12">
        <v>46.71</v>
      </c>
      <c r="E15" s="12">
        <v>5.71</v>
      </c>
      <c r="F15" s="12">
        <v>1.79</v>
      </c>
      <c r="G15" s="12">
        <v>47.49</v>
      </c>
      <c r="H15" s="12">
        <v>17.3</v>
      </c>
      <c r="I15" s="12">
        <v>0.51</v>
      </c>
      <c r="J15" s="12">
        <v>0.59</v>
      </c>
      <c r="K15" s="12">
        <v>18.91</v>
      </c>
      <c r="L15" s="12">
        <v>22.69</v>
      </c>
      <c r="M15" s="12">
        <v>46</v>
      </c>
      <c r="N15" s="12">
        <v>24.2</v>
      </c>
      <c r="O15" s="12">
        <v>0</v>
      </c>
      <c r="P15" s="12">
        <v>1.27</v>
      </c>
      <c r="Q15" s="12">
        <v>46.05</v>
      </c>
      <c r="R15" s="197"/>
      <c r="S15" s="197"/>
      <c r="T15" s="197"/>
      <c r="U15" s="197"/>
    </row>
    <row r="16" spans="1:21" s="12" customFormat="1" x14ac:dyDescent="0.25">
      <c r="A16" s="215" t="s">
        <v>1598</v>
      </c>
      <c r="B16" s="12">
        <v>14.42</v>
      </c>
      <c r="C16" s="12">
        <v>62.67</v>
      </c>
      <c r="D16" s="12">
        <v>46.15</v>
      </c>
      <c r="E16" s="12">
        <v>5.12</v>
      </c>
      <c r="F16" s="12">
        <v>1.83</v>
      </c>
      <c r="G16" s="12">
        <v>38.69</v>
      </c>
      <c r="H16" s="12">
        <v>14.62</v>
      </c>
      <c r="I16" s="12">
        <v>0.51</v>
      </c>
      <c r="J16" s="12">
        <v>0.75</v>
      </c>
      <c r="K16" s="12">
        <v>9.7799999999999994</v>
      </c>
      <c r="L16" s="12">
        <v>22.69</v>
      </c>
      <c r="M16" s="12">
        <v>45</v>
      </c>
      <c r="N16" s="12">
        <v>24.3</v>
      </c>
      <c r="O16" s="12">
        <v>0</v>
      </c>
      <c r="P16" s="12">
        <v>1.24</v>
      </c>
      <c r="Q16" s="12">
        <v>45.95</v>
      </c>
      <c r="R16" s="197"/>
      <c r="S16" s="197"/>
      <c r="T16" s="197"/>
      <c r="U16" s="197"/>
    </row>
    <row r="17" spans="1:21" s="12" customFormat="1" x14ac:dyDescent="0.25">
      <c r="A17" s="215" t="s">
        <v>1599</v>
      </c>
      <c r="B17" s="12">
        <v>13.77</v>
      </c>
      <c r="C17" s="12">
        <v>62.5</v>
      </c>
      <c r="D17" s="12">
        <v>45.54</v>
      </c>
      <c r="E17" s="12">
        <v>5.1100000000000003</v>
      </c>
      <c r="F17" s="12">
        <v>1.32</v>
      </c>
      <c r="G17" s="12">
        <v>38.69</v>
      </c>
      <c r="H17" s="12">
        <v>14.62</v>
      </c>
      <c r="I17" s="12">
        <v>0.51</v>
      </c>
      <c r="J17" s="12">
        <v>0.45</v>
      </c>
      <c r="K17" s="12">
        <v>39.130000000000003</v>
      </c>
      <c r="L17" s="12">
        <v>22.53</v>
      </c>
      <c r="M17" s="12">
        <v>45</v>
      </c>
      <c r="N17" s="12">
        <v>24.5</v>
      </c>
      <c r="O17" s="12">
        <v>0</v>
      </c>
      <c r="P17" s="12">
        <v>1.21</v>
      </c>
      <c r="Q17" s="12">
        <v>45.81</v>
      </c>
      <c r="R17" s="197"/>
      <c r="S17" s="197"/>
      <c r="T17" s="197"/>
      <c r="U17" s="197"/>
    </row>
    <row r="18" spans="1:21" s="12" customFormat="1" x14ac:dyDescent="0.25">
      <c r="A18" s="215" t="s">
        <v>1600</v>
      </c>
      <c r="B18" s="12">
        <v>13.16</v>
      </c>
      <c r="C18" s="12">
        <v>62.74</v>
      </c>
      <c r="D18" s="12">
        <v>45.18</v>
      </c>
      <c r="E18" s="12">
        <v>5.01</v>
      </c>
      <c r="F18" s="12">
        <v>0.9</v>
      </c>
      <c r="G18" s="12">
        <v>38.69</v>
      </c>
      <c r="H18" s="12">
        <v>14.62</v>
      </c>
      <c r="I18" s="12">
        <v>0.51</v>
      </c>
      <c r="J18" s="12">
        <v>0.38</v>
      </c>
      <c r="K18" s="12">
        <v>110.08</v>
      </c>
      <c r="L18" s="12">
        <v>22.31</v>
      </c>
      <c r="M18" s="12">
        <v>44</v>
      </c>
      <c r="N18" s="12">
        <v>24.5</v>
      </c>
      <c r="O18" s="12">
        <v>0</v>
      </c>
      <c r="P18" s="12">
        <v>1.17</v>
      </c>
      <c r="Q18" s="12">
        <v>46.7</v>
      </c>
      <c r="R18" s="197"/>
      <c r="S18" s="197"/>
      <c r="T18" s="197"/>
      <c r="U18" s="197"/>
    </row>
    <row r="19" spans="1:21" s="12" customFormat="1" x14ac:dyDescent="0.25">
      <c r="A19" s="215" t="s">
        <v>1601</v>
      </c>
      <c r="B19" s="12">
        <v>12.05</v>
      </c>
      <c r="C19" s="12">
        <v>61.7</v>
      </c>
      <c r="D19" s="12">
        <v>43.71</v>
      </c>
      <c r="E19" s="12">
        <v>4.4400000000000004</v>
      </c>
      <c r="F19" s="12">
        <v>0.72</v>
      </c>
      <c r="G19" s="12">
        <v>29.91</v>
      </c>
      <c r="H19" s="12">
        <v>14.44</v>
      </c>
      <c r="I19" s="12">
        <v>0.5</v>
      </c>
      <c r="J19" s="12">
        <v>0.61</v>
      </c>
      <c r="K19" s="12">
        <v>117.97</v>
      </c>
      <c r="L19" s="12">
        <v>22.58</v>
      </c>
      <c r="M19" s="12">
        <v>43</v>
      </c>
      <c r="N19" s="12">
        <v>23.8</v>
      </c>
      <c r="O19" s="12">
        <v>0</v>
      </c>
      <c r="P19" s="12">
        <v>1.1200000000000001</v>
      </c>
      <c r="Q19" s="12">
        <v>47.49</v>
      </c>
      <c r="R19" s="197"/>
      <c r="S19" s="197"/>
      <c r="T19" s="197"/>
      <c r="U19" s="197"/>
    </row>
    <row r="20" spans="1:21" s="12" customFormat="1" x14ac:dyDescent="0.25">
      <c r="A20" s="215" t="s">
        <v>1602</v>
      </c>
      <c r="B20" s="12">
        <v>11.26</v>
      </c>
      <c r="C20" s="12">
        <v>61.09</v>
      </c>
      <c r="D20" s="12">
        <v>42.74</v>
      </c>
      <c r="E20" s="12">
        <v>5.08</v>
      </c>
      <c r="F20" s="12">
        <v>0.76</v>
      </c>
      <c r="G20" s="12">
        <v>21.39</v>
      </c>
      <c r="H20" s="12">
        <v>14.16</v>
      </c>
      <c r="I20" s="12">
        <v>0.5</v>
      </c>
      <c r="J20" s="12">
        <v>0.19</v>
      </c>
      <c r="K20" s="12">
        <v>66.34</v>
      </c>
      <c r="L20" s="12">
        <v>22.22</v>
      </c>
      <c r="M20" s="12">
        <v>46</v>
      </c>
      <c r="N20" s="12">
        <v>24.7</v>
      </c>
      <c r="O20" s="12">
        <v>0</v>
      </c>
      <c r="P20" s="12">
        <v>1.07</v>
      </c>
      <c r="Q20" s="12">
        <v>47.18</v>
      </c>
      <c r="R20" s="197"/>
      <c r="S20" s="197"/>
      <c r="T20" s="197"/>
      <c r="U20" s="197"/>
    </row>
    <row r="21" spans="1:21" s="12" customFormat="1" x14ac:dyDescent="0.25">
      <c r="A21" s="215" t="s">
        <v>1603</v>
      </c>
      <c r="B21" s="12">
        <v>10.8</v>
      </c>
      <c r="C21" s="12">
        <v>61.18</v>
      </c>
      <c r="D21" s="12">
        <v>42.42</v>
      </c>
      <c r="E21" s="12">
        <v>4.53</v>
      </c>
      <c r="F21" s="12">
        <v>0.66</v>
      </c>
      <c r="G21" s="12">
        <v>21.39</v>
      </c>
      <c r="H21" s="12">
        <v>14.16</v>
      </c>
      <c r="I21" s="12">
        <v>0.49</v>
      </c>
      <c r="J21" s="12">
        <v>0.18</v>
      </c>
      <c r="K21" s="12">
        <v>9.19</v>
      </c>
      <c r="L21" s="12">
        <v>21.53</v>
      </c>
      <c r="M21" s="12">
        <v>50</v>
      </c>
      <c r="N21" s="12">
        <v>24.9</v>
      </c>
      <c r="O21" s="12">
        <v>0</v>
      </c>
      <c r="P21" s="12">
        <v>1.03</v>
      </c>
      <c r="Q21" s="12">
        <v>46.87</v>
      </c>
      <c r="R21" s="197"/>
      <c r="S21" s="197"/>
      <c r="T21" s="197"/>
      <c r="U21" s="197"/>
    </row>
    <row r="22" spans="1:21" s="12" customFormat="1" x14ac:dyDescent="0.25">
      <c r="A22" s="215" t="s">
        <v>1604</v>
      </c>
      <c r="B22" s="12">
        <v>10.25</v>
      </c>
      <c r="C22" s="12">
        <v>60.62</v>
      </c>
      <c r="D22" s="12">
        <v>41.67</v>
      </c>
      <c r="E22" s="12">
        <v>4.38</v>
      </c>
      <c r="F22" s="12">
        <v>0.64</v>
      </c>
      <c r="G22" s="12">
        <v>21.39</v>
      </c>
      <c r="H22" s="12">
        <v>14.16</v>
      </c>
      <c r="I22" s="12">
        <v>0.47</v>
      </c>
      <c r="J22" s="12">
        <v>0.14000000000000001</v>
      </c>
      <c r="K22" s="12">
        <v>75.95</v>
      </c>
      <c r="L22" s="12">
        <v>21.31</v>
      </c>
      <c r="M22" s="12">
        <v>50</v>
      </c>
      <c r="N22" s="12">
        <v>24.3</v>
      </c>
      <c r="O22" s="12">
        <v>0</v>
      </c>
      <c r="P22" s="12">
        <v>1</v>
      </c>
      <c r="Q22" s="12">
        <v>46.41</v>
      </c>
      <c r="R22" s="197"/>
      <c r="S22" s="197"/>
      <c r="T22" s="197"/>
      <c r="U22" s="197"/>
    </row>
    <row r="23" spans="1:21" s="12" customFormat="1" x14ac:dyDescent="0.25">
      <c r="A23" s="215" t="s">
        <v>1605</v>
      </c>
      <c r="B23" s="12">
        <v>9.7799999999999994</v>
      </c>
      <c r="C23" s="12">
        <v>60.51</v>
      </c>
      <c r="D23" s="12">
        <v>41.24</v>
      </c>
      <c r="E23" s="12">
        <v>4.25</v>
      </c>
      <c r="F23" s="12">
        <v>0.56000000000000005</v>
      </c>
      <c r="G23" s="12">
        <v>34.03</v>
      </c>
      <c r="H23" s="12">
        <v>14.2</v>
      </c>
      <c r="I23" s="12">
        <v>0.45</v>
      </c>
      <c r="J23" s="12">
        <v>0.22</v>
      </c>
      <c r="K23" s="12">
        <v>36.130000000000003</v>
      </c>
      <c r="L23" s="12">
        <v>21.26</v>
      </c>
      <c r="M23" s="12">
        <v>50</v>
      </c>
      <c r="N23" s="12">
        <v>24.4</v>
      </c>
      <c r="O23" s="12">
        <v>0</v>
      </c>
      <c r="P23" s="12">
        <v>0.96</v>
      </c>
      <c r="Q23" s="12">
        <v>45.82</v>
      </c>
      <c r="R23" s="197"/>
      <c r="S23" s="197"/>
      <c r="T23" s="197"/>
      <c r="U23" s="197"/>
    </row>
    <row r="24" spans="1:21" s="12" customFormat="1" x14ac:dyDescent="0.25">
      <c r="A24" s="215" t="s">
        <v>1606</v>
      </c>
      <c r="B24" s="12">
        <v>9.8800000000000008</v>
      </c>
      <c r="C24" s="12">
        <v>60.93</v>
      </c>
      <c r="D24" s="12">
        <v>41.55</v>
      </c>
      <c r="E24" s="12">
        <v>1.39</v>
      </c>
      <c r="F24" s="12">
        <v>0.64</v>
      </c>
      <c r="G24" s="12">
        <v>46.67</v>
      </c>
      <c r="H24" s="12">
        <v>14.27</v>
      </c>
      <c r="I24" s="12">
        <v>0.44</v>
      </c>
      <c r="J24" s="12">
        <v>0.26</v>
      </c>
      <c r="K24" s="12">
        <v>19.82</v>
      </c>
      <c r="L24" s="12">
        <v>21.1</v>
      </c>
      <c r="M24" s="12">
        <v>52</v>
      </c>
      <c r="N24" s="12">
        <v>24.6</v>
      </c>
      <c r="O24" s="12">
        <v>0</v>
      </c>
      <c r="P24" s="12">
        <v>0.94</v>
      </c>
      <c r="Q24" s="12">
        <v>45.2</v>
      </c>
      <c r="R24" s="197"/>
      <c r="S24" s="197"/>
      <c r="T24" s="197"/>
      <c r="U24" s="197"/>
    </row>
    <row r="25" spans="1:21" s="12" customFormat="1" x14ac:dyDescent="0.25">
      <c r="A25" s="215" t="s">
        <v>1607</v>
      </c>
      <c r="B25" s="12">
        <v>9.84</v>
      </c>
      <c r="C25" s="12">
        <v>60.84</v>
      </c>
      <c r="D25" s="12">
        <v>41.47</v>
      </c>
      <c r="E25" s="12">
        <v>3.62</v>
      </c>
      <c r="F25" s="12">
        <v>0.6</v>
      </c>
      <c r="G25" s="12">
        <v>46.67</v>
      </c>
      <c r="H25" s="12">
        <v>14.27</v>
      </c>
      <c r="I25" s="12">
        <v>0.42</v>
      </c>
      <c r="J25" s="12">
        <v>0.1</v>
      </c>
      <c r="K25" s="12">
        <v>343.93</v>
      </c>
      <c r="L25" s="12">
        <v>20.47</v>
      </c>
      <c r="M25" s="12">
        <v>56</v>
      </c>
      <c r="N25" s="12">
        <v>24.7</v>
      </c>
      <c r="O25" s="12">
        <v>0</v>
      </c>
      <c r="P25" s="12">
        <v>0.9</v>
      </c>
      <c r="Q25" s="12">
        <v>43.58</v>
      </c>
      <c r="R25" s="197"/>
      <c r="S25" s="197"/>
      <c r="T25" s="197"/>
      <c r="U25" s="197"/>
    </row>
    <row r="26" spans="1:21" s="12" customFormat="1" x14ac:dyDescent="0.25">
      <c r="A26" s="215" t="s">
        <v>1608</v>
      </c>
      <c r="B26" s="12">
        <v>10.35</v>
      </c>
      <c r="C26" s="12">
        <v>60.92</v>
      </c>
      <c r="D26" s="12">
        <v>41.92</v>
      </c>
      <c r="E26" s="12">
        <v>4.0199999999999996</v>
      </c>
      <c r="F26" s="12">
        <v>0.55000000000000004</v>
      </c>
      <c r="G26" s="12">
        <v>46.67</v>
      </c>
      <c r="H26" s="12">
        <v>14.27</v>
      </c>
      <c r="I26" s="12">
        <v>0.41</v>
      </c>
      <c r="J26" s="12">
        <v>0.01</v>
      </c>
      <c r="K26" s="12">
        <v>280.42</v>
      </c>
      <c r="L26" s="12">
        <v>20.05</v>
      </c>
      <c r="M26" s="12">
        <v>57</v>
      </c>
      <c r="N26" s="12">
        <v>24.5</v>
      </c>
      <c r="O26" s="12">
        <v>0</v>
      </c>
      <c r="P26" s="12">
        <v>0.91</v>
      </c>
      <c r="Q26" s="12">
        <v>42.76</v>
      </c>
      <c r="R26" s="197"/>
      <c r="S26" s="197"/>
      <c r="T26" s="197"/>
      <c r="U26" s="197"/>
    </row>
    <row r="27" spans="1:21" s="12" customFormat="1" x14ac:dyDescent="0.25">
      <c r="A27" s="215" t="s">
        <v>1609</v>
      </c>
      <c r="B27" s="12">
        <v>11.25</v>
      </c>
      <c r="C27" s="12">
        <v>60.9</v>
      </c>
      <c r="D27" s="12">
        <v>42.63</v>
      </c>
      <c r="E27" s="12">
        <v>3.85</v>
      </c>
      <c r="F27" s="12">
        <v>0.62</v>
      </c>
      <c r="G27" s="12">
        <v>47.89</v>
      </c>
      <c r="H27" s="12">
        <v>13.73</v>
      </c>
      <c r="I27" s="12">
        <v>0.41</v>
      </c>
      <c r="J27" s="12">
        <v>0.16</v>
      </c>
      <c r="K27" s="12">
        <v>326.55</v>
      </c>
      <c r="L27" s="12">
        <v>20.27</v>
      </c>
      <c r="M27" s="12">
        <v>58</v>
      </c>
      <c r="N27" s="12">
        <v>24.5</v>
      </c>
      <c r="O27" s="12">
        <v>0</v>
      </c>
      <c r="P27" s="12">
        <v>0.9</v>
      </c>
      <c r="Q27" s="12">
        <v>42.6</v>
      </c>
      <c r="R27" s="197"/>
      <c r="S27" s="197"/>
      <c r="T27" s="197"/>
      <c r="U27" s="197"/>
    </row>
    <row r="28" spans="1:21" s="12" customFormat="1" x14ac:dyDescent="0.25">
      <c r="A28" s="215" t="s">
        <v>1610</v>
      </c>
      <c r="B28" s="12">
        <v>13.12</v>
      </c>
      <c r="C28" s="12">
        <v>61.51</v>
      </c>
      <c r="D28" s="12">
        <v>44.47</v>
      </c>
      <c r="E28" s="12">
        <v>3.77</v>
      </c>
      <c r="F28" s="12">
        <v>0.6</v>
      </c>
      <c r="G28" s="12">
        <v>52.36</v>
      </c>
      <c r="H28" s="12">
        <v>12.84</v>
      </c>
      <c r="I28" s="12">
        <v>0.42</v>
      </c>
      <c r="J28" s="12">
        <v>0.06</v>
      </c>
      <c r="K28" s="12">
        <v>348.17</v>
      </c>
      <c r="L28" s="12">
        <v>19.62</v>
      </c>
      <c r="M28" s="12">
        <v>60</v>
      </c>
      <c r="N28" s="12">
        <v>24.6</v>
      </c>
      <c r="O28" s="12">
        <v>0</v>
      </c>
      <c r="P28" s="12">
        <v>0.9</v>
      </c>
      <c r="Q28" s="12">
        <v>42.77</v>
      </c>
      <c r="R28" s="197"/>
      <c r="S28" s="197"/>
      <c r="T28" s="197"/>
      <c r="U28" s="197"/>
    </row>
    <row r="29" spans="1:21" s="12" customFormat="1" x14ac:dyDescent="0.25">
      <c r="A29" s="215" t="s">
        <v>1611</v>
      </c>
      <c r="B29" s="12">
        <v>14.81</v>
      </c>
      <c r="C29" s="12">
        <v>62.02</v>
      </c>
      <c r="D29" s="12">
        <v>46.1</v>
      </c>
      <c r="E29" s="12">
        <v>3.82</v>
      </c>
      <c r="F29" s="12">
        <v>0.56999999999999995</v>
      </c>
      <c r="G29" s="12">
        <v>52.36</v>
      </c>
      <c r="H29" s="12">
        <v>12.84</v>
      </c>
      <c r="I29" s="12">
        <v>0.43</v>
      </c>
      <c r="J29" s="12">
        <v>0.1</v>
      </c>
      <c r="K29" s="12">
        <v>85.95</v>
      </c>
      <c r="L29" s="12">
        <v>19.829999999999998</v>
      </c>
      <c r="M29" s="12">
        <v>56</v>
      </c>
      <c r="N29" s="12">
        <v>24.1</v>
      </c>
      <c r="O29" s="12">
        <v>0</v>
      </c>
      <c r="P29" s="12">
        <v>0.89</v>
      </c>
      <c r="Q29" s="12">
        <v>43.28</v>
      </c>
      <c r="R29" s="197"/>
      <c r="S29" s="197"/>
      <c r="T29" s="197"/>
      <c r="U29" s="197"/>
    </row>
    <row r="30" spans="1:21" s="12" customFormat="1" x14ac:dyDescent="0.25">
      <c r="A30" s="215" t="s">
        <v>1612</v>
      </c>
      <c r="B30" s="12">
        <v>16.02</v>
      </c>
      <c r="C30" s="12">
        <v>62.39</v>
      </c>
      <c r="D30" s="12">
        <v>47.28</v>
      </c>
      <c r="E30" s="12">
        <v>3.76</v>
      </c>
      <c r="F30" s="12">
        <v>0.41</v>
      </c>
      <c r="G30" s="12">
        <v>52.36</v>
      </c>
      <c r="H30" s="12">
        <v>12.84</v>
      </c>
      <c r="I30" s="12">
        <v>0.43</v>
      </c>
      <c r="J30" s="12">
        <v>0.14000000000000001</v>
      </c>
      <c r="K30" s="12">
        <v>41.6</v>
      </c>
      <c r="L30" s="12">
        <v>19.940000000000001</v>
      </c>
      <c r="M30" s="12">
        <v>59</v>
      </c>
      <c r="N30" s="12">
        <v>24.2</v>
      </c>
      <c r="O30" s="12">
        <v>0</v>
      </c>
      <c r="P30" s="12">
        <v>0.88</v>
      </c>
      <c r="Q30" s="12">
        <v>43.5</v>
      </c>
      <c r="R30" s="197"/>
      <c r="S30" s="197"/>
      <c r="T30" s="197"/>
      <c r="U30" s="197"/>
    </row>
    <row r="31" spans="1:21" s="12" customFormat="1" x14ac:dyDescent="0.25">
      <c r="A31" s="215" t="s">
        <v>1613</v>
      </c>
      <c r="B31" s="12">
        <v>17.38</v>
      </c>
      <c r="C31" s="12">
        <v>62.87</v>
      </c>
      <c r="D31" s="12">
        <v>48.63</v>
      </c>
      <c r="E31" s="12">
        <v>4.16</v>
      </c>
      <c r="F31" s="12">
        <v>0.49</v>
      </c>
      <c r="G31" s="12">
        <v>56.1</v>
      </c>
      <c r="H31" s="12">
        <v>13.7</v>
      </c>
      <c r="I31" s="12">
        <v>0.44</v>
      </c>
      <c r="J31" s="12">
        <v>0.08</v>
      </c>
      <c r="K31" s="12">
        <v>47.44</v>
      </c>
      <c r="L31" s="12">
        <v>19.97</v>
      </c>
      <c r="M31" s="12">
        <v>55</v>
      </c>
      <c r="N31" s="12">
        <v>24.4</v>
      </c>
      <c r="O31" s="12">
        <v>0</v>
      </c>
      <c r="P31" s="12">
        <v>0.87</v>
      </c>
      <c r="Q31" s="12">
        <v>43.74</v>
      </c>
      <c r="R31" s="197"/>
      <c r="S31" s="197"/>
      <c r="T31" s="197"/>
      <c r="U31" s="197"/>
    </row>
    <row r="32" spans="1:21" s="12" customFormat="1" x14ac:dyDescent="0.25">
      <c r="A32" s="215" t="s">
        <v>1614</v>
      </c>
      <c r="B32" s="12">
        <v>19.32</v>
      </c>
      <c r="C32" s="12">
        <v>63.57</v>
      </c>
      <c r="D32" s="12">
        <v>50.58</v>
      </c>
      <c r="E32" s="12">
        <v>3.65</v>
      </c>
      <c r="F32" s="12">
        <v>0.43</v>
      </c>
      <c r="G32" s="12">
        <v>59.72</v>
      </c>
      <c r="H32" s="12">
        <v>15.11</v>
      </c>
      <c r="I32" s="12">
        <v>0.45</v>
      </c>
      <c r="J32" s="12">
        <v>0.12</v>
      </c>
      <c r="K32" s="12">
        <v>4.83</v>
      </c>
      <c r="L32" s="12">
        <v>19.8</v>
      </c>
      <c r="M32" s="12">
        <v>59</v>
      </c>
      <c r="N32" s="12">
        <v>24.5</v>
      </c>
      <c r="O32" s="12">
        <v>0</v>
      </c>
      <c r="P32" s="12">
        <v>0.87</v>
      </c>
      <c r="Q32" s="12">
        <v>44.55</v>
      </c>
      <c r="R32" s="197"/>
      <c r="S32" s="197"/>
      <c r="T32" s="197"/>
      <c r="U32" s="197"/>
    </row>
    <row r="33" spans="1:21" s="12" customFormat="1" x14ac:dyDescent="0.25">
      <c r="A33" s="215" t="s">
        <v>1615</v>
      </c>
      <c r="B33" s="12">
        <v>22.96</v>
      </c>
      <c r="C33" s="12">
        <v>65.37</v>
      </c>
      <c r="D33" s="12">
        <v>54.49</v>
      </c>
      <c r="E33" s="12">
        <v>4.03</v>
      </c>
      <c r="F33" s="12">
        <v>0.51</v>
      </c>
      <c r="G33" s="12">
        <v>59.72</v>
      </c>
      <c r="H33" s="12">
        <v>15.11</v>
      </c>
      <c r="I33" s="12">
        <v>0.46</v>
      </c>
      <c r="J33" s="12">
        <v>0.06</v>
      </c>
      <c r="K33" s="12">
        <v>267.58</v>
      </c>
      <c r="L33" s="12">
        <v>19.399999999999999</v>
      </c>
      <c r="M33" s="12">
        <v>61</v>
      </c>
      <c r="N33" s="12">
        <v>24.6</v>
      </c>
      <c r="O33" s="12">
        <v>0</v>
      </c>
      <c r="P33" s="12">
        <v>0.9</v>
      </c>
      <c r="Q33" s="12">
        <v>46.07</v>
      </c>
      <c r="R33" s="197"/>
      <c r="S33" s="197"/>
      <c r="T33" s="197"/>
      <c r="U33" s="197"/>
    </row>
    <row r="34" spans="1:21" s="12" customFormat="1" x14ac:dyDescent="0.25">
      <c r="A34" s="215" t="s">
        <v>1616</v>
      </c>
      <c r="B34" s="12">
        <v>27.33</v>
      </c>
      <c r="C34" s="12">
        <v>67.95</v>
      </c>
      <c r="D34" s="12">
        <v>59.42</v>
      </c>
      <c r="E34" s="12">
        <v>3.98</v>
      </c>
      <c r="F34" s="12">
        <v>0.6</v>
      </c>
      <c r="G34" s="12">
        <v>59.72</v>
      </c>
      <c r="H34" s="12">
        <v>15.11</v>
      </c>
      <c r="I34" s="12">
        <v>0.47</v>
      </c>
      <c r="J34" s="12">
        <v>0.39</v>
      </c>
      <c r="K34" s="12">
        <v>357.97</v>
      </c>
      <c r="L34" s="12">
        <v>19.34</v>
      </c>
      <c r="M34" s="12">
        <v>62</v>
      </c>
      <c r="N34" s="12">
        <v>25.5</v>
      </c>
      <c r="O34" s="12">
        <v>0</v>
      </c>
      <c r="P34" s="12">
        <v>0.93</v>
      </c>
      <c r="Q34" s="12">
        <v>46.32</v>
      </c>
      <c r="R34" s="197"/>
      <c r="S34" s="197"/>
      <c r="T34" s="197"/>
      <c r="U34" s="197"/>
    </row>
    <row r="35" spans="1:21" s="12" customFormat="1" x14ac:dyDescent="0.25">
      <c r="A35" s="215" t="s">
        <v>1617</v>
      </c>
      <c r="B35" s="12">
        <v>30.05</v>
      </c>
      <c r="C35" s="12">
        <v>69.39</v>
      </c>
      <c r="D35" s="12">
        <v>62.39</v>
      </c>
      <c r="E35" s="12">
        <v>4.22</v>
      </c>
      <c r="F35" s="12">
        <v>0.52</v>
      </c>
      <c r="G35" s="12">
        <v>62.79</v>
      </c>
      <c r="H35" s="12">
        <v>14.54</v>
      </c>
      <c r="I35" s="12">
        <v>0.46</v>
      </c>
      <c r="J35" s="12">
        <v>0.47</v>
      </c>
      <c r="K35" s="12">
        <v>1.63</v>
      </c>
      <c r="L35" s="12">
        <v>19.63</v>
      </c>
      <c r="M35" s="12">
        <v>56</v>
      </c>
      <c r="N35" s="12">
        <v>29.9</v>
      </c>
      <c r="O35" s="12">
        <v>0</v>
      </c>
      <c r="P35" s="12">
        <v>0.95</v>
      </c>
      <c r="Q35" s="12">
        <v>45.94</v>
      </c>
      <c r="R35" s="197"/>
      <c r="S35" s="197"/>
      <c r="T35" s="197"/>
      <c r="U35" s="197"/>
    </row>
    <row r="36" spans="1:21" s="12" customFormat="1" x14ac:dyDescent="0.25">
      <c r="A36" s="215" t="s">
        <v>1618</v>
      </c>
      <c r="B36" s="12">
        <v>32.47</v>
      </c>
      <c r="C36" s="12">
        <v>70.849999999999994</v>
      </c>
      <c r="D36" s="12">
        <v>65.14</v>
      </c>
      <c r="E36" s="12">
        <v>4.07</v>
      </c>
      <c r="F36" s="12">
        <v>0.56999999999999995</v>
      </c>
      <c r="G36" s="12">
        <v>65.760000000000005</v>
      </c>
      <c r="H36" s="12">
        <v>13.6</v>
      </c>
      <c r="I36" s="12">
        <v>0.46</v>
      </c>
      <c r="J36" s="12">
        <v>0.33</v>
      </c>
      <c r="K36" s="12">
        <v>12.07</v>
      </c>
      <c r="L36" s="12">
        <v>20.09</v>
      </c>
      <c r="M36" s="12">
        <v>56</v>
      </c>
      <c r="N36" s="12">
        <v>40.200000000000003</v>
      </c>
      <c r="O36" s="12">
        <v>0</v>
      </c>
      <c r="P36" s="12">
        <v>0.98</v>
      </c>
      <c r="Q36" s="12">
        <v>45.42</v>
      </c>
      <c r="R36" s="197"/>
      <c r="S36" s="197"/>
      <c r="T36" s="197"/>
      <c r="U36" s="197"/>
    </row>
    <row r="37" spans="1:21" s="12" customFormat="1" x14ac:dyDescent="0.25">
      <c r="A37" s="215" t="s">
        <v>1619</v>
      </c>
      <c r="B37" s="12">
        <v>34.78</v>
      </c>
      <c r="C37" s="12">
        <v>72.319999999999993</v>
      </c>
      <c r="D37" s="12">
        <v>67.8</v>
      </c>
      <c r="E37" s="12">
        <v>3.95</v>
      </c>
      <c r="F37" s="12">
        <v>0.68</v>
      </c>
      <c r="G37" s="12">
        <v>65.760000000000005</v>
      </c>
      <c r="H37" s="12">
        <v>13.6</v>
      </c>
      <c r="I37" s="12">
        <v>0.45</v>
      </c>
      <c r="J37" s="12">
        <v>0.28999999999999998</v>
      </c>
      <c r="K37" s="12">
        <v>8.51</v>
      </c>
      <c r="L37" s="12">
        <v>20.27</v>
      </c>
      <c r="M37" s="12">
        <v>57</v>
      </c>
      <c r="N37" s="12">
        <v>50.8</v>
      </c>
      <c r="O37" s="12">
        <v>0</v>
      </c>
      <c r="P37" s="12">
        <v>0.99</v>
      </c>
      <c r="Q37" s="12">
        <v>45.18</v>
      </c>
      <c r="R37" s="197"/>
      <c r="S37" s="197"/>
      <c r="T37" s="197"/>
      <c r="U37" s="197"/>
    </row>
    <row r="38" spans="1:21" s="12" customFormat="1" x14ac:dyDescent="0.25">
      <c r="A38" s="215" t="s">
        <v>1620</v>
      </c>
      <c r="B38" s="12">
        <v>37.81</v>
      </c>
      <c r="C38" s="12">
        <v>74.14</v>
      </c>
      <c r="D38" s="12">
        <v>71.23</v>
      </c>
      <c r="E38" s="12">
        <v>3.94</v>
      </c>
      <c r="F38" s="12">
        <v>0.6</v>
      </c>
      <c r="G38" s="12">
        <v>65.760000000000005</v>
      </c>
      <c r="H38" s="12">
        <v>13.6</v>
      </c>
      <c r="I38" s="12">
        <v>0.45</v>
      </c>
      <c r="J38" s="12">
        <v>0.36</v>
      </c>
      <c r="K38" s="12">
        <v>1.03</v>
      </c>
      <c r="L38" s="12">
        <v>20.8</v>
      </c>
      <c r="M38" s="12">
        <v>57</v>
      </c>
      <c r="N38" s="12">
        <v>61.9</v>
      </c>
      <c r="O38" s="12">
        <v>0</v>
      </c>
      <c r="P38" s="12">
        <v>1.1499999999999999</v>
      </c>
      <c r="Q38" s="12">
        <v>44.99</v>
      </c>
      <c r="R38" s="197"/>
      <c r="S38" s="197"/>
      <c r="T38" s="197"/>
      <c r="U38" s="197"/>
    </row>
    <row r="39" spans="1:21" s="12" customFormat="1" x14ac:dyDescent="0.25">
      <c r="A39" s="215" t="s">
        <v>1621</v>
      </c>
      <c r="B39" s="12">
        <v>41.34</v>
      </c>
      <c r="C39" s="12">
        <v>76.540000000000006</v>
      </c>
      <c r="D39" s="12">
        <v>75.400000000000006</v>
      </c>
      <c r="E39" s="12">
        <v>4.4800000000000004</v>
      </c>
      <c r="F39" s="12">
        <v>0.65</v>
      </c>
      <c r="G39" s="12">
        <v>77.92</v>
      </c>
      <c r="H39" s="12">
        <v>17.399999999999999</v>
      </c>
      <c r="I39" s="12">
        <v>0.46</v>
      </c>
      <c r="J39" s="12">
        <v>0.13</v>
      </c>
      <c r="K39" s="12">
        <v>20.190000000000001</v>
      </c>
      <c r="L39" s="12">
        <v>21.84</v>
      </c>
      <c r="M39" s="12">
        <v>53</v>
      </c>
      <c r="N39" s="12">
        <v>123</v>
      </c>
      <c r="O39" s="12">
        <v>0</v>
      </c>
      <c r="P39" s="12">
        <v>1.25</v>
      </c>
      <c r="Q39" s="12">
        <v>43.97</v>
      </c>
      <c r="R39" s="197"/>
      <c r="S39" s="197"/>
      <c r="T39" s="197"/>
      <c r="U39" s="197"/>
    </row>
    <row r="40" spans="1:21" s="12" customFormat="1" x14ac:dyDescent="0.25">
      <c r="A40" s="215" t="s">
        <v>1622</v>
      </c>
      <c r="B40" s="12">
        <v>44.28</v>
      </c>
      <c r="C40" s="12">
        <v>79.86</v>
      </c>
      <c r="D40" s="12">
        <v>79.59</v>
      </c>
      <c r="E40" s="12">
        <v>2.5499999999999998</v>
      </c>
      <c r="F40" s="12">
        <v>0.61</v>
      </c>
      <c r="G40" s="12">
        <v>90.07</v>
      </c>
      <c r="H40" s="12">
        <v>23.66</v>
      </c>
      <c r="I40" s="12">
        <v>0.45</v>
      </c>
      <c r="J40" s="12">
        <v>0.37</v>
      </c>
      <c r="K40" s="12">
        <v>87.06</v>
      </c>
      <c r="L40" s="12">
        <v>23.7</v>
      </c>
      <c r="M40" s="12">
        <v>44</v>
      </c>
      <c r="N40" s="12">
        <v>179.6</v>
      </c>
      <c r="O40" s="12">
        <v>0</v>
      </c>
      <c r="P40" s="12">
        <v>1.32</v>
      </c>
      <c r="Q40" s="12">
        <v>43.72</v>
      </c>
      <c r="R40" s="197"/>
      <c r="S40" s="197"/>
      <c r="T40" s="197"/>
      <c r="U40" s="197"/>
    </row>
    <row r="41" spans="1:21" s="12" customFormat="1" x14ac:dyDescent="0.25">
      <c r="A41" s="215" t="s">
        <v>1623</v>
      </c>
      <c r="B41" s="12">
        <v>44.67</v>
      </c>
      <c r="C41" s="12">
        <v>79.45</v>
      </c>
      <c r="D41" s="12">
        <v>79.67</v>
      </c>
      <c r="E41" s="12">
        <v>5.18</v>
      </c>
      <c r="F41" s="12">
        <v>0.53</v>
      </c>
      <c r="G41" s="12">
        <v>90.07</v>
      </c>
      <c r="H41" s="12">
        <v>23.66</v>
      </c>
      <c r="I41" s="12">
        <v>0.45</v>
      </c>
      <c r="J41" s="12">
        <v>0.37</v>
      </c>
      <c r="K41" s="12">
        <v>100.54</v>
      </c>
      <c r="L41" s="12">
        <v>24.95</v>
      </c>
      <c r="M41" s="12">
        <v>39</v>
      </c>
      <c r="N41" s="12">
        <v>217.3</v>
      </c>
      <c r="O41" s="12">
        <v>0</v>
      </c>
      <c r="P41" s="12">
        <v>1.34</v>
      </c>
      <c r="Q41" s="12">
        <v>44.19</v>
      </c>
      <c r="R41" s="197"/>
      <c r="S41" s="197"/>
      <c r="T41" s="197"/>
      <c r="U41" s="197"/>
    </row>
    <row r="42" spans="1:21" s="12" customFormat="1" x14ac:dyDescent="0.25">
      <c r="A42" s="215" t="s">
        <v>1624</v>
      </c>
      <c r="B42" s="12">
        <v>44.34</v>
      </c>
      <c r="C42" s="12">
        <v>79.31</v>
      </c>
      <c r="D42" s="12">
        <v>79.33</v>
      </c>
      <c r="E42" s="12">
        <v>4.6399999999999997</v>
      </c>
      <c r="F42" s="12">
        <v>0.56999999999999995</v>
      </c>
      <c r="G42" s="12">
        <v>90.07</v>
      </c>
      <c r="H42" s="12">
        <v>23.66</v>
      </c>
      <c r="I42" s="12">
        <v>0.47</v>
      </c>
      <c r="J42" s="12">
        <v>0.49</v>
      </c>
      <c r="K42" s="12">
        <v>82.23</v>
      </c>
      <c r="L42" s="12">
        <v>25.55</v>
      </c>
      <c r="M42" s="12">
        <v>37</v>
      </c>
      <c r="N42" s="12">
        <v>250.6</v>
      </c>
      <c r="O42" s="12">
        <v>0</v>
      </c>
      <c r="P42" s="12">
        <v>1.34</v>
      </c>
      <c r="Q42" s="12">
        <v>44.71</v>
      </c>
      <c r="R42" s="197"/>
      <c r="S42" s="197"/>
      <c r="T42" s="197"/>
      <c r="U42" s="197"/>
    </row>
    <row r="43" spans="1:21" s="12" customFormat="1" x14ac:dyDescent="0.25">
      <c r="A43" s="215" t="s">
        <v>1625</v>
      </c>
      <c r="B43" s="12">
        <v>43.13</v>
      </c>
      <c r="C43" s="12">
        <v>78.760000000000005</v>
      </c>
      <c r="D43" s="12">
        <v>78.05</v>
      </c>
      <c r="E43" s="12">
        <v>4.38</v>
      </c>
      <c r="F43" s="12">
        <v>0.56000000000000005</v>
      </c>
      <c r="G43" s="12">
        <v>90.94</v>
      </c>
      <c r="H43" s="12">
        <v>26.13</v>
      </c>
      <c r="I43" s="12">
        <v>0.48</v>
      </c>
      <c r="J43" s="12">
        <v>0.88</v>
      </c>
      <c r="K43" s="12">
        <v>121.07</v>
      </c>
      <c r="L43" s="12">
        <v>26.2</v>
      </c>
      <c r="M43" s="12">
        <v>34</v>
      </c>
      <c r="N43" s="12">
        <v>282.60000000000002</v>
      </c>
      <c r="O43" s="12">
        <v>0</v>
      </c>
      <c r="P43" s="12">
        <v>1.33</v>
      </c>
      <c r="Q43" s="12">
        <v>45.07</v>
      </c>
      <c r="R43" s="197"/>
      <c r="S43" s="197"/>
      <c r="T43" s="197"/>
      <c r="U43" s="197"/>
    </row>
    <row r="44" spans="1:21" s="12" customFormat="1" x14ac:dyDescent="0.25">
      <c r="A44" s="215" t="s">
        <v>1626</v>
      </c>
      <c r="B44" s="12">
        <v>41.11</v>
      </c>
      <c r="C44" s="12">
        <v>77.41</v>
      </c>
      <c r="D44" s="12">
        <v>75.69</v>
      </c>
      <c r="E44" s="12">
        <v>4.71</v>
      </c>
      <c r="F44" s="12">
        <v>1</v>
      </c>
      <c r="G44" s="12">
        <v>93.72</v>
      </c>
      <c r="H44" s="12">
        <v>30.01</v>
      </c>
      <c r="I44" s="12">
        <v>0.49</v>
      </c>
      <c r="J44" s="12">
        <v>0.47</v>
      </c>
      <c r="K44" s="12">
        <v>94.64</v>
      </c>
      <c r="L44" s="12">
        <v>26.46</v>
      </c>
      <c r="M44" s="12">
        <v>33</v>
      </c>
      <c r="N44" s="12">
        <v>310.3</v>
      </c>
      <c r="O44" s="12">
        <v>0</v>
      </c>
      <c r="P44" s="12">
        <v>1.3</v>
      </c>
      <c r="Q44" s="12">
        <v>45.25</v>
      </c>
      <c r="R44" s="197"/>
      <c r="S44" s="197"/>
      <c r="T44" s="197"/>
      <c r="U44" s="197"/>
    </row>
    <row r="45" spans="1:21" s="12" customFormat="1" x14ac:dyDescent="0.25">
      <c r="A45" s="215" t="s">
        <v>1627</v>
      </c>
      <c r="B45" s="12">
        <v>38.42</v>
      </c>
      <c r="C45" s="12">
        <v>76.260000000000005</v>
      </c>
      <c r="D45" s="12">
        <v>72.89</v>
      </c>
      <c r="E45" s="12">
        <v>5.01</v>
      </c>
      <c r="F45" s="12">
        <v>1.1100000000000001</v>
      </c>
      <c r="G45" s="12">
        <v>93.72</v>
      </c>
      <c r="H45" s="12">
        <v>30.01</v>
      </c>
      <c r="I45" s="12">
        <v>0.5</v>
      </c>
      <c r="J45" s="12">
        <v>0.73</v>
      </c>
      <c r="K45" s="12">
        <v>13.22</v>
      </c>
      <c r="L45" s="12">
        <v>30.39</v>
      </c>
      <c r="M45" s="12">
        <v>28</v>
      </c>
      <c r="N45" s="12">
        <v>324.5</v>
      </c>
      <c r="O45" s="12">
        <v>0</v>
      </c>
      <c r="P45" s="12">
        <v>1.29</v>
      </c>
      <c r="Q45" s="12">
        <v>45.58</v>
      </c>
      <c r="R45" s="197"/>
      <c r="S45" s="197"/>
      <c r="T45" s="197"/>
      <c r="U45" s="197"/>
    </row>
    <row r="46" spans="1:21" s="12" customFormat="1" x14ac:dyDescent="0.25">
      <c r="A46" s="215" t="s">
        <v>1628</v>
      </c>
      <c r="B46" s="12">
        <v>35.71</v>
      </c>
      <c r="C46" s="12">
        <v>77.02</v>
      </c>
      <c r="D46" s="12">
        <v>71.14</v>
      </c>
      <c r="E46" s="12">
        <v>5.79</v>
      </c>
      <c r="F46" s="12">
        <v>1.39</v>
      </c>
      <c r="G46" s="12">
        <v>93.72</v>
      </c>
      <c r="H46" s="12">
        <v>30.01</v>
      </c>
      <c r="I46" s="12">
        <v>0.5</v>
      </c>
      <c r="J46" s="12">
        <v>0.77</v>
      </c>
      <c r="K46" s="12">
        <v>26.78</v>
      </c>
      <c r="L46" s="12">
        <v>30.51</v>
      </c>
      <c r="M46" s="12">
        <v>26</v>
      </c>
      <c r="N46" s="12">
        <v>342.5</v>
      </c>
      <c r="O46" s="12">
        <v>0</v>
      </c>
      <c r="P46" s="12">
        <v>1.28</v>
      </c>
      <c r="Q46" s="12">
        <v>45.78</v>
      </c>
      <c r="R46" s="197"/>
      <c r="S46" s="197"/>
      <c r="T46" s="197"/>
      <c r="U46" s="197"/>
    </row>
    <row r="47" spans="1:21" s="12" customFormat="1" x14ac:dyDescent="0.25">
      <c r="A47" s="215" t="s">
        <v>1629</v>
      </c>
      <c r="B47" s="12">
        <v>35.79</v>
      </c>
      <c r="C47" s="12">
        <v>79.56</v>
      </c>
      <c r="D47" s="12">
        <v>72.61</v>
      </c>
      <c r="E47" s="12">
        <v>4.47</v>
      </c>
      <c r="F47" s="12">
        <v>0.98</v>
      </c>
      <c r="G47" s="12">
        <v>83.06</v>
      </c>
      <c r="H47" s="12">
        <v>27.9</v>
      </c>
      <c r="I47" s="12">
        <v>0.5</v>
      </c>
      <c r="J47" s="12">
        <v>0.6</v>
      </c>
      <c r="K47" s="12">
        <v>58.27</v>
      </c>
      <c r="L47" s="12">
        <v>29.32</v>
      </c>
      <c r="M47" s="12">
        <v>28</v>
      </c>
      <c r="N47" s="12">
        <v>358.7</v>
      </c>
      <c r="O47" s="12">
        <v>0</v>
      </c>
      <c r="P47" s="12">
        <v>1.28</v>
      </c>
      <c r="Q47" s="12">
        <v>47.15</v>
      </c>
      <c r="R47" s="197"/>
      <c r="S47" s="197"/>
      <c r="T47" s="197"/>
      <c r="U47" s="197"/>
    </row>
    <row r="48" spans="1:21" s="12" customFormat="1" x14ac:dyDescent="0.25">
      <c r="A48" s="215" t="s">
        <v>1630</v>
      </c>
      <c r="B48" s="12">
        <v>32.909999999999997</v>
      </c>
      <c r="C48" s="12">
        <v>80.22</v>
      </c>
      <c r="D48" s="12">
        <v>70.67</v>
      </c>
      <c r="E48" s="12">
        <v>4.4400000000000004</v>
      </c>
      <c r="F48" s="12">
        <v>0.85</v>
      </c>
      <c r="G48" s="12">
        <v>72.39</v>
      </c>
      <c r="H48" s="12">
        <v>24.43</v>
      </c>
      <c r="I48" s="12">
        <v>0.49</v>
      </c>
      <c r="J48" s="12">
        <v>0.77</v>
      </c>
      <c r="K48" s="12">
        <v>74.69</v>
      </c>
      <c r="L48" s="12">
        <v>28.39</v>
      </c>
      <c r="M48" s="12">
        <v>30</v>
      </c>
      <c r="N48" s="12">
        <v>371.6</v>
      </c>
      <c r="O48" s="12">
        <v>0</v>
      </c>
      <c r="P48" s="12">
        <v>1.24</v>
      </c>
      <c r="Q48" s="12">
        <v>47.5</v>
      </c>
      <c r="R48" s="197"/>
      <c r="S48" s="197"/>
      <c r="T48" s="197"/>
      <c r="U48" s="197"/>
    </row>
    <row r="49" spans="1:21" s="12" customFormat="1" x14ac:dyDescent="0.25">
      <c r="A49" s="215" t="s">
        <v>1631</v>
      </c>
      <c r="B49" s="12">
        <v>30.82</v>
      </c>
      <c r="C49" s="12">
        <v>80.83</v>
      </c>
      <c r="D49" s="12">
        <v>69.319999999999993</v>
      </c>
      <c r="E49" s="12">
        <v>5.33</v>
      </c>
      <c r="F49" s="12">
        <v>0.96</v>
      </c>
      <c r="G49" s="12">
        <v>72.39</v>
      </c>
      <c r="H49" s="12">
        <v>24.43</v>
      </c>
      <c r="I49" s="12">
        <v>0.49</v>
      </c>
      <c r="J49" s="12">
        <v>0.69</v>
      </c>
      <c r="K49" s="12">
        <v>45.72</v>
      </c>
      <c r="L49" s="12">
        <v>29.62</v>
      </c>
      <c r="M49" s="12">
        <v>27</v>
      </c>
      <c r="N49" s="12">
        <v>378.9</v>
      </c>
      <c r="O49" s="12">
        <v>0</v>
      </c>
      <c r="P49" s="12">
        <v>1.21</v>
      </c>
      <c r="Q49" s="12">
        <v>47.3</v>
      </c>
      <c r="R49" s="197"/>
      <c r="S49" s="197"/>
      <c r="T49" s="197"/>
      <c r="U49" s="197"/>
    </row>
    <row r="50" spans="1:21" s="12" customFormat="1" x14ac:dyDescent="0.25">
      <c r="A50" s="215" t="s">
        <v>1632</v>
      </c>
      <c r="B50" s="12">
        <v>29.71</v>
      </c>
      <c r="C50" s="12">
        <v>82.2</v>
      </c>
      <c r="D50" s="12">
        <v>69.19</v>
      </c>
      <c r="E50" s="12">
        <v>5.04</v>
      </c>
      <c r="F50" s="12">
        <v>0.82</v>
      </c>
      <c r="G50" s="12">
        <v>72.39</v>
      </c>
      <c r="H50" s="12">
        <v>24.43</v>
      </c>
      <c r="I50" s="12">
        <v>0.47</v>
      </c>
      <c r="J50" s="12">
        <v>0.57999999999999996</v>
      </c>
      <c r="K50" s="12">
        <v>70.59</v>
      </c>
      <c r="L50" s="12">
        <v>29.9</v>
      </c>
      <c r="M50" s="12">
        <v>27</v>
      </c>
      <c r="N50" s="12">
        <v>389.2</v>
      </c>
      <c r="O50" s="12">
        <v>0</v>
      </c>
      <c r="P50" s="12">
        <v>1.19</v>
      </c>
      <c r="Q50" s="12">
        <v>46.87</v>
      </c>
      <c r="R50" s="197"/>
      <c r="S50" s="197"/>
      <c r="T50" s="197"/>
      <c r="U50" s="197"/>
    </row>
    <row r="51" spans="1:21" s="12" customFormat="1" x14ac:dyDescent="0.25">
      <c r="A51" s="215" t="s">
        <v>1633</v>
      </c>
      <c r="B51" s="12">
        <v>28.46</v>
      </c>
      <c r="C51" s="12">
        <v>82.17</v>
      </c>
      <c r="D51" s="12">
        <v>68.17</v>
      </c>
      <c r="E51" s="12">
        <v>4.84</v>
      </c>
      <c r="F51" s="12">
        <v>0.84</v>
      </c>
      <c r="G51" s="12">
        <v>69.040000000000006</v>
      </c>
      <c r="H51" s="12">
        <v>24.94</v>
      </c>
      <c r="I51" s="12">
        <v>0.45</v>
      </c>
      <c r="J51" s="12">
        <v>0.73</v>
      </c>
      <c r="K51" s="12">
        <v>83.65</v>
      </c>
      <c r="L51" s="12">
        <v>29.82</v>
      </c>
      <c r="M51" s="12">
        <v>27</v>
      </c>
      <c r="N51" s="12">
        <v>405.4</v>
      </c>
      <c r="O51" s="12">
        <v>0</v>
      </c>
      <c r="P51" s="12">
        <v>1.1499999999999999</v>
      </c>
      <c r="Q51" s="12">
        <v>46.03</v>
      </c>
      <c r="R51" s="197"/>
      <c r="S51" s="197"/>
      <c r="T51" s="197"/>
      <c r="U51" s="197"/>
    </row>
    <row r="52" spans="1:21" s="12" customFormat="1" x14ac:dyDescent="0.25">
      <c r="A52" s="215" t="s">
        <v>1634</v>
      </c>
      <c r="B52" s="12">
        <v>26.89</v>
      </c>
      <c r="C52" s="12">
        <v>81.8</v>
      </c>
      <c r="D52" s="12">
        <v>66.7</v>
      </c>
      <c r="E52" s="12">
        <v>4.38</v>
      </c>
      <c r="F52" s="12">
        <v>0.62</v>
      </c>
      <c r="G52" s="12">
        <v>65.790000000000006</v>
      </c>
      <c r="H52" s="12">
        <v>25.77</v>
      </c>
      <c r="I52" s="12">
        <v>0.44</v>
      </c>
      <c r="J52" s="12">
        <v>0.72</v>
      </c>
      <c r="K52" s="12">
        <v>105.67</v>
      </c>
      <c r="L52" s="12">
        <v>30.59</v>
      </c>
      <c r="M52" s="12">
        <v>26</v>
      </c>
      <c r="N52" s="12">
        <v>410</v>
      </c>
      <c r="O52" s="12">
        <v>0</v>
      </c>
      <c r="P52" s="12">
        <v>1.1299999999999999</v>
      </c>
      <c r="Q52" s="12">
        <v>45.26</v>
      </c>
      <c r="R52" s="197"/>
      <c r="S52" s="197"/>
      <c r="T52" s="197"/>
      <c r="U52" s="197"/>
    </row>
    <row r="53" spans="1:21" s="12" customFormat="1" x14ac:dyDescent="0.25">
      <c r="A53" s="215" t="s">
        <v>1635</v>
      </c>
      <c r="B53" s="12">
        <v>24.85</v>
      </c>
      <c r="C53" s="12">
        <v>81.56</v>
      </c>
      <c r="D53" s="12">
        <v>64.94</v>
      </c>
      <c r="E53" s="12">
        <v>4.58</v>
      </c>
      <c r="F53" s="12">
        <v>0.69</v>
      </c>
      <c r="G53" s="12">
        <v>65.790000000000006</v>
      </c>
      <c r="H53" s="12">
        <v>25.77</v>
      </c>
      <c r="I53" s="12">
        <v>0.43</v>
      </c>
      <c r="J53" s="12">
        <v>0.71</v>
      </c>
      <c r="K53" s="12">
        <v>47.71</v>
      </c>
      <c r="L53" s="12">
        <v>30.78</v>
      </c>
      <c r="M53" s="12">
        <v>26</v>
      </c>
      <c r="N53" s="12">
        <v>409.4</v>
      </c>
      <c r="O53" s="12">
        <v>0</v>
      </c>
      <c r="P53" s="12">
        <v>1.1000000000000001</v>
      </c>
      <c r="Q53" s="12">
        <v>44.48</v>
      </c>
      <c r="R53" s="197"/>
      <c r="S53" s="197"/>
      <c r="T53" s="197"/>
      <c r="U53" s="197"/>
    </row>
    <row r="54" spans="1:21" s="12" customFormat="1" x14ac:dyDescent="0.25">
      <c r="A54" s="215" t="s">
        <v>1636</v>
      </c>
      <c r="B54" s="12">
        <v>23.5</v>
      </c>
      <c r="C54" s="12">
        <v>79.94</v>
      </c>
      <c r="D54" s="12">
        <v>62.96</v>
      </c>
      <c r="E54" s="12">
        <v>6.17</v>
      </c>
      <c r="F54" s="12">
        <v>3.37</v>
      </c>
      <c r="G54" s="12">
        <v>65.790000000000006</v>
      </c>
      <c r="H54" s="12">
        <v>25.77</v>
      </c>
      <c r="I54" s="12">
        <v>0.41</v>
      </c>
      <c r="J54" s="12">
        <v>0.59</v>
      </c>
      <c r="K54" s="12">
        <v>38.409999999999997</v>
      </c>
      <c r="L54" s="12">
        <v>32.729999999999997</v>
      </c>
      <c r="M54" s="12">
        <v>24</v>
      </c>
      <c r="N54" s="12">
        <v>405</v>
      </c>
      <c r="O54" s="12">
        <v>0</v>
      </c>
      <c r="P54" s="12">
        <v>1.07</v>
      </c>
      <c r="Q54" s="12">
        <v>42.55</v>
      </c>
      <c r="R54" s="197"/>
      <c r="S54" s="197"/>
      <c r="T54" s="197"/>
      <c r="U54" s="197"/>
    </row>
    <row r="55" spans="1:21" s="12" customFormat="1" x14ac:dyDescent="0.25">
      <c r="A55" s="215" t="s">
        <v>1637</v>
      </c>
      <c r="B55" s="12">
        <v>23.08</v>
      </c>
      <c r="C55" s="12">
        <v>79.900000000000006</v>
      </c>
      <c r="D55" s="12">
        <v>62.6</v>
      </c>
      <c r="E55" s="12">
        <v>5.13</v>
      </c>
      <c r="F55" s="12">
        <v>2.08</v>
      </c>
      <c r="G55" s="12">
        <v>63.45</v>
      </c>
      <c r="H55" s="12">
        <v>23.77</v>
      </c>
      <c r="I55" s="12">
        <v>0.39</v>
      </c>
      <c r="J55" s="12">
        <v>0.82</v>
      </c>
      <c r="K55" s="12">
        <v>112.96</v>
      </c>
      <c r="L55" s="12">
        <v>30.42</v>
      </c>
      <c r="M55" s="12">
        <v>27</v>
      </c>
      <c r="N55" s="12">
        <v>420.3</v>
      </c>
      <c r="O55" s="12">
        <v>0</v>
      </c>
      <c r="P55" s="12">
        <v>1.05</v>
      </c>
      <c r="Q55" s="12">
        <v>42.03</v>
      </c>
      <c r="R55" s="197"/>
      <c r="S55" s="197"/>
      <c r="T55" s="197"/>
      <c r="U55" s="197"/>
    </row>
    <row r="56" spans="1:21" s="12" customFormat="1" x14ac:dyDescent="0.25">
      <c r="A56" s="215" t="s">
        <v>1638</v>
      </c>
      <c r="B56" s="12">
        <v>22.21</v>
      </c>
      <c r="C56" s="12">
        <v>78.62</v>
      </c>
      <c r="D56" s="12">
        <v>61.2</v>
      </c>
      <c r="E56" s="12">
        <v>2.94</v>
      </c>
      <c r="F56" s="12">
        <v>1.7</v>
      </c>
      <c r="G56" s="12">
        <v>61.18</v>
      </c>
      <c r="H56" s="12">
        <v>20.47</v>
      </c>
      <c r="I56" s="12">
        <v>0.38</v>
      </c>
      <c r="J56" s="12">
        <v>0.57999999999999996</v>
      </c>
      <c r="K56" s="12">
        <v>80.27</v>
      </c>
      <c r="L56" s="12">
        <v>30.13</v>
      </c>
      <c r="M56" s="12">
        <v>27</v>
      </c>
      <c r="N56" s="12">
        <v>306</v>
      </c>
      <c r="O56" s="12">
        <v>0</v>
      </c>
      <c r="P56" s="12">
        <v>1.03</v>
      </c>
      <c r="Q56" s="12">
        <v>42.07</v>
      </c>
      <c r="R56" s="197"/>
      <c r="S56" s="197"/>
      <c r="T56" s="197"/>
      <c r="U56" s="197"/>
    </row>
    <row r="57" spans="1:21" s="12" customFormat="1" x14ac:dyDescent="0.25">
      <c r="A57" s="215" t="s">
        <v>1639</v>
      </c>
      <c r="B57" s="12">
        <v>19.91</v>
      </c>
      <c r="C57" s="12">
        <v>73.180000000000007</v>
      </c>
      <c r="D57" s="12">
        <v>56.35</v>
      </c>
      <c r="E57" s="12">
        <v>6.77</v>
      </c>
      <c r="F57" s="12">
        <v>2.97</v>
      </c>
      <c r="G57" s="12">
        <v>61.18</v>
      </c>
      <c r="H57" s="12">
        <v>20.47</v>
      </c>
      <c r="I57" s="12">
        <v>0.39</v>
      </c>
      <c r="J57" s="12">
        <v>0.74</v>
      </c>
      <c r="K57" s="12">
        <v>4.7</v>
      </c>
      <c r="L57" s="12">
        <v>32.03</v>
      </c>
      <c r="M57" s="12">
        <v>25</v>
      </c>
      <c r="N57" s="12">
        <v>264.10000000000002</v>
      </c>
      <c r="O57" s="12">
        <v>0</v>
      </c>
      <c r="P57" s="12">
        <v>0.99</v>
      </c>
      <c r="Q57" s="12">
        <v>42.42</v>
      </c>
      <c r="R57" s="197"/>
      <c r="S57" s="197"/>
      <c r="T57" s="197"/>
      <c r="U57" s="197"/>
    </row>
    <row r="58" spans="1:21" s="12" customFormat="1" x14ac:dyDescent="0.25">
      <c r="A58" s="215" t="s">
        <v>1640</v>
      </c>
      <c r="B58" s="12">
        <v>21.36</v>
      </c>
      <c r="C58" s="12">
        <v>75.45</v>
      </c>
      <c r="D58" s="12">
        <v>58.77</v>
      </c>
      <c r="E58" s="12">
        <v>5.81</v>
      </c>
      <c r="F58" s="12">
        <v>1.95</v>
      </c>
      <c r="G58" s="12">
        <v>61.18</v>
      </c>
      <c r="H58" s="12">
        <v>20.47</v>
      </c>
      <c r="I58" s="12">
        <v>0.4</v>
      </c>
      <c r="J58" s="12">
        <v>0.37</v>
      </c>
      <c r="K58" s="12">
        <v>347.81</v>
      </c>
      <c r="L58" s="12">
        <v>32.99</v>
      </c>
      <c r="M58" s="12">
        <v>23</v>
      </c>
      <c r="N58" s="12">
        <v>232.1</v>
      </c>
      <c r="O58" s="12">
        <v>0</v>
      </c>
      <c r="P58" s="12">
        <v>1.01</v>
      </c>
      <c r="Q58" s="12">
        <v>42.95</v>
      </c>
      <c r="R58" s="197"/>
      <c r="S58" s="197"/>
      <c r="T58" s="197"/>
      <c r="U58" s="197"/>
    </row>
    <row r="59" spans="1:21" s="12" customFormat="1" x14ac:dyDescent="0.25">
      <c r="A59" s="215" t="s">
        <v>1641</v>
      </c>
      <c r="B59" s="12">
        <v>21.38</v>
      </c>
      <c r="C59" s="12">
        <v>75.69</v>
      </c>
      <c r="D59" s="12">
        <v>58.92</v>
      </c>
      <c r="E59" s="12">
        <v>6.41</v>
      </c>
      <c r="F59" s="12">
        <v>2.61</v>
      </c>
      <c r="G59" s="12">
        <v>58.64</v>
      </c>
      <c r="H59" s="12">
        <v>20.43</v>
      </c>
      <c r="I59" s="12">
        <v>0.39</v>
      </c>
      <c r="J59" s="12">
        <v>0.19</v>
      </c>
      <c r="K59" s="12">
        <v>42.28</v>
      </c>
      <c r="L59" s="12">
        <v>32.619999999999997</v>
      </c>
      <c r="M59" s="12">
        <v>24</v>
      </c>
      <c r="N59" s="12">
        <v>322</v>
      </c>
      <c r="O59" s="12">
        <v>0</v>
      </c>
      <c r="P59" s="12">
        <v>1.01</v>
      </c>
      <c r="Q59" s="12">
        <v>43.51</v>
      </c>
      <c r="R59" s="197"/>
      <c r="S59" s="197"/>
      <c r="T59" s="197"/>
      <c r="U59" s="197"/>
    </row>
    <row r="60" spans="1:21" s="12" customFormat="1" x14ac:dyDescent="0.25">
      <c r="A60" s="215" t="s">
        <v>1642</v>
      </c>
      <c r="B60" s="12">
        <v>20.81</v>
      </c>
      <c r="C60" s="12">
        <v>74.47</v>
      </c>
      <c r="D60" s="12">
        <v>57.79</v>
      </c>
      <c r="E60" s="12">
        <v>7.58</v>
      </c>
      <c r="F60" s="12">
        <v>4.17</v>
      </c>
      <c r="G60" s="12">
        <v>50.54</v>
      </c>
      <c r="H60" s="12">
        <v>20.36</v>
      </c>
      <c r="I60" s="12">
        <v>0.4</v>
      </c>
      <c r="J60" s="12">
        <v>0.43</v>
      </c>
      <c r="K60" s="12">
        <v>54.28</v>
      </c>
      <c r="L60" s="12">
        <v>31.29</v>
      </c>
      <c r="M60" s="12">
        <v>25</v>
      </c>
      <c r="N60" s="12">
        <v>321.5</v>
      </c>
      <c r="O60" s="12">
        <v>0</v>
      </c>
      <c r="P60" s="12">
        <v>0.97</v>
      </c>
      <c r="Q60" s="12">
        <v>44.13</v>
      </c>
      <c r="R60" s="197"/>
      <c r="S60" s="197"/>
      <c r="T60" s="197"/>
      <c r="U60" s="197"/>
    </row>
    <row r="61" spans="1:21" s="12" customFormat="1" x14ac:dyDescent="0.25">
      <c r="A61" s="215" t="s">
        <v>1643</v>
      </c>
      <c r="B61" s="12">
        <v>20.14</v>
      </c>
      <c r="C61" s="12">
        <v>73.459999999999994</v>
      </c>
      <c r="D61" s="12">
        <v>56.69</v>
      </c>
      <c r="E61" s="12">
        <v>5.95</v>
      </c>
      <c r="F61" s="12">
        <v>1.34</v>
      </c>
      <c r="G61" s="12">
        <v>50.54</v>
      </c>
      <c r="H61" s="12">
        <v>20.36</v>
      </c>
      <c r="I61" s="12">
        <v>0.4</v>
      </c>
      <c r="J61" s="12">
        <v>0.59</v>
      </c>
      <c r="K61" s="12">
        <v>353.32</v>
      </c>
      <c r="L61" s="12">
        <v>33.61</v>
      </c>
      <c r="M61" s="12">
        <v>22</v>
      </c>
      <c r="N61" s="12">
        <v>267.5</v>
      </c>
      <c r="O61" s="12">
        <v>0</v>
      </c>
      <c r="P61" s="12">
        <v>0.89</v>
      </c>
      <c r="Q61" s="12">
        <v>45.98</v>
      </c>
      <c r="R61" s="197"/>
      <c r="S61" s="197"/>
      <c r="T61" s="197"/>
      <c r="U61" s="197"/>
    </row>
    <row r="62" spans="1:21" s="12" customFormat="1" x14ac:dyDescent="0.25">
      <c r="A62" s="215" t="s">
        <v>1644</v>
      </c>
      <c r="B62" s="12">
        <v>20.55</v>
      </c>
      <c r="C62" s="12">
        <v>76.73</v>
      </c>
      <c r="D62" s="12">
        <v>58.82</v>
      </c>
      <c r="E62" s="12">
        <v>4.42</v>
      </c>
      <c r="F62" s="12">
        <v>1.35</v>
      </c>
      <c r="G62" s="12">
        <v>50.54</v>
      </c>
      <c r="H62" s="12">
        <v>20.36</v>
      </c>
      <c r="I62" s="12">
        <v>0.41</v>
      </c>
      <c r="J62" s="12">
        <v>0.43</v>
      </c>
      <c r="K62" s="12">
        <v>357</v>
      </c>
      <c r="L62" s="12">
        <v>33.17</v>
      </c>
      <c r="M62" s="12">
        <v>23</v>
      </c>
      <c r="N62" s="12">
        <v>211.5</v>
      </c>
      <c r="O62" s="12">
        <v>0</v>
      </c>
      <c r="P62" s="12">
        <v>0.95</v>
      </c>
      <c r="Q62" s="12">
        <v>46.71</v>
      </c>
      <c r="R62" s="197"/>
      <c r="S62" s="197"/>
      <c r="T62" s="197"/>
      <c r="U62" s="197"/>
    </row>
    <row r="63" spans="1:21" s="12" customFormat="1" x14ac:dyDescent="0.25">
      <c r="A63" s="215" t="s">
        <v>1645</v>
      </c>
      <c r="B63" s="12">
        <v>19.239999999999998</v>
      </c>
      <c r="C63" s="12">
        <v>78.58</v>
      </c>
      <c r="D63" s="12">
        <v>58.79</v>
      </c>
      <c r="E63" s="12">
        <v>5.24</v>
      </c>
      <c r="F63" s="12">
        <v>1.73</v>
      </c>
      <c r="G63" s="12">
        <v>44.79</v>
      </c>
      <c r="H63" s="12">
        <v>19.989999999999998</v>
      </c>
      <c r="I63" s="12">
        <v>0.42</v>
      </c>
      <c r="J63" s="12">
        <v>0.26</v>
      </c>
      <c r="K63" s="12">
        <v>347.44</v>
      </c>
      <c r="L63" s="12">
        <v>33.28</v>
      </c>
      <c r="M63" s="12">
        <v>23</v>
      </c>
      <c r="N63" s="12">
        <v>330.6</v>
      </c>
      <c r="O63" s="12">
        <v>0</v>
      </c>
      <c r="P63" s="12">
        <v>0.94</v>
      </c>
      <c r="Q63" s="12">
        <v>46.79</v>
      </c>
      <c r="R63" s="197"/>
      <c r="S63" s="197"/>
      <c r="T63" s="197"/>
      <c r="U63" s="197"/>
    </row>
    <row r="64" spans="1:21" s="12" customFormat="1" x14ac:dyDescent="0.25">
      <c r="A64" s="215" t="s">
        <v>1646</v>
      </c>
      <c r="B64" s="12">
        <v>17.149999999999999</v>
      </c>
      <c r="C64" s="12">
        <v>79.64</v>
      </c>
      <c r="D64" s="12">
        <v>57.7</v>
      </c>
      <c r="E64" s="12">
        <v>4.91</v>
      </c>
      <c r="F64" s="12">
        <v>1.46</v>
      </c>
      <c r="G64" s="12">
        <v>39.380000000000003</v>
      </c>
      <c r="H64" s="12">
        <v>19.399999999999999</v>
      </c>
      <c r="I64" s="12">
        <v>0.41</v>
      </c>
      <c r="J64" s="12">
        <v>0.55000000000000004</v>
      </c>
      <c r="K64" s="12">
        <v>160.69999999999999</v>
      </c>
      <c r="L64" s="12">
        <v>31.36</v>
      </c>
      <c r="M64" s="12">
        <v>24</v>
      </c>
      <c r="N64" s="12">
        <v>318.10000000000002</v>
      </c>
      <c r="O64" s="12">
        <v>0</v>
      </c>
      <c r="P64" s="12">
        <v>0.93</v>
      </c>
      <c r="Q64" s="12">
        <v>46.19</v>
      </c>
      <c r="R64" s="197"/>
      <c r="S64" s="197"/>
      <c r="T64" s="197"/>
      <c r="U64" s="197"/>
    </row>
    <row r="65" spans="1:21" s="12" customFormat="1" x14ac:dyDescent="0.25">
      <c r="A65" s="215" t="s">
        <v>1647</v>
      </c>
      <c r="B65" s="12">
        <v>14.49</v>
      </c>
      <c r="C65" s="12">
        <v>80.53</v>
      </c>
      <c r="D65" s="12">
        <v>56.06</v>
      </c>
      <c r="E65" s="12">
        <v>4.87</v>
      </c>
      <c r="F65" s="12">
        <v>1.28</v>
      </c>
      <c r="G65" s="12">
        <v>39.380000000000003</v>
      </c>
      <c r="H65" s="12">
        <v>19.399999999999999</v>
      </c>
      <c r="I65" s="12">
        <v>0.4</v>
      </c>
      <c r="J65" s="12">
        <v>0.18</v>
      </c>
      <c r="K65" s="12">
        <v>4.16</v>
      </c>
      <c r="L65" s="12">
        <v>31.75</v>
      </c>
      <c r="M65" s="12">
        <v>25</v>
      </c>
      <c r="N65" s="12">
        <v>271.60000000000002</v>
      </c>
      <c r="O65" s="12">
        <v>0</v>
      </c>
      <c r="P65" s="12">
        <v>0.89</v>
      </c>
      <c r="Q65" s="12">
        <v>46.08</v>
      </c>
      <c r="R65" s="197"/>
      <c r="S65" s="197"/>
      <c r="T65" s="197"/>
      <c r="U65" s="197"/>
    </row>
    <row r="66" spans="1:21" s="12" customFormat="1" x14ac:dyDescent="0.25">
      <c r="A66" s="215" t="s">
        <v>1648</v>
      </c>
      <c r="B66" s="12">
        <v>13.18</v>
      </c>
      <c r="C66" s="12">
        <v>81.900000000000006</v>
      </c>
      <c r="D66" s="12">
        <v>55.77</v>
      </c>
      <c r="E66" s="12">
        <v>5.05</v>
      </c>
      <c r="F66" s="12">
        <v>2.14</v>
      </c>
      <c r="G66" s="12">
        <v>39.380000000000003</v>
      </c>
      <c r="H66" s="12">
        <v>19.399999999999999</v>
      </c>
      <c r="I66" s="12">
        <v>0.39</v>
      </c>
      <c r="J66" s="12">
        <v>0.28000000000000003</v>
      </c>
      <c r="K66" s="12">
        <v>4.57</v>
      </c>
      <c r="L66" s="12">
        <v>33.58</v>
      </c>
      <c r="M66" s="12">
        <v>23</v>
      </c>
      <c r="N66" s="12">
        <v>221.6</v>
      </c>
      <c r="O66" s="12">
        <v>0</v>
      </c>
      <c r="P66" s="12">
        <v>0.91</v>
      </c>
      <c r="Q66" s="12">
        <v>45.36</v>
      </c>
      <c r="R66" s="197"/>
      <c r="S66" s="197"/>
      <c r="T66" s="197"/>
      <c r="U66" s="197"/>
    </row>
    <row r="67" spans="1:21" s="12" customFormat="1" x14ac:dyDescent="0.25">
      <c r="A67" s="215" t="s">
        <v>1649</v>
      </c>
      <c r="B67" s="12">
        <v>11.4</v>
      </c>
      <c r="C67" s="12">
        <v>82.63</v>
      </c>
      <c r="D67" s="12">
        <v>54.74</v>
      </c>
      <c r="E67" s="12">
        <v>5.0199999999999996</v>
      </c>
      <c r="F67" s="12">
        <v>2.37</v>
      </c>
      <c r="G67" s="12">
        <v>40.21</v>
      </c>
      <c r="H67" s="12">
        <v>18.77</v>
      </c>
      <c r="I67" s="12">
        <v>0.37</v>
      </c>
      <c r="J67" s="12">
        <v>7.0000000000000007E-2</v>
      </c>
      <c r="K67" s="12">
        <v>119.51</v>
      </c>
      <c r="L67" s="12">
        <v>31.5</v>
      </c>
      <c r="M67" s="12">
        <v>26</v>
      </c>
      <c r="N67" s="12">
        <v>141.80000000000001</v>
      </c>
      <c r="O67" s="12">
        <v>0</v>
      </c>
      <c r="P67" s="12">
        <v>0.9</v>
      </c>
      <c r="Q67" s="12">
        <v>44.69</v>
      </c>
      <c r="R67" s="197"/>
      <c r="S67" s="197"/>
      <c r="T67" s="197"/>
      <c r="U67" s="197"/>
    </row>
    <row r="68" spans="1:21" s="12" customFormat="1" x14ac:dyDescent="0.25">
      <c r="A68" s="215" t="s">
        <v>1650</v>
      </c>
      <c r="B68" s="12">
        <v>9.81</v>
      </c>
      <c r="C68" s="12">
        <v>81.5</v>
      </c>
      <c r="D68" s="12">
        <v>52.84</v>
      </c>
      <c r="E68" s="12">
        <v>9.92</v>
      </c>
      <c r="F68" s="12">
        <v>7.41</v>
      </c>
      <c r="G68" s="12">
        <v>40.99</v>
      </c>
      <c r="H68" s="12">
        <v>17.78</v>
      </c>
      <c r="I68" s="12">
        <v>0.36</v>
      </c>
      <c r="J68" s="12">
        <v>0.15</v>
      </c>
      <c r="K68" s="12">
        <v>3.93</v>
      </c>
      <c r="L68" s="12">
        <v>31.41</v>
      </c>
      <c r="M68" s="12">
        <v>26</v>
      </c>
      <c r="N68" s="12">
        <v>123.5</v>
      </c>
      <c r="O68" s="12">
        <v>0</v>
      </c>
      <c r="P68" s="12">
        <v>0.89</v>
      </c>
      <c r="Q68" s="12">
        <v>43.26</v>
      </c>
      <c r="R68" s="197"/>
      <c r="S68" s="197"/>
      <c r="T68" s="197"/>
      <c r="U68" s="197"/>
    </row>
    <row r="69" spans="1:21" s="12" customFormat="1" x14ac:dyDescent="0.25">
      <c r="A69" s="215" t="s">
        <v>1651</v>
      </c>
      <c r="B69" s="12">
        <v>11.05</v>
      </c>
      <c r="C69" s="12">
        <v>82.55</v>
      </c>
      <c r="D69" s="12">
        <v>54.42</v>
      </c>
      <c r="E69" s="12">
        <v>11.37</v>
      </c>
      <c r="F69" s="12">
        <v>6.97</v>
      </c>
      <c r="G69" s="12">
        <v>40.99</v>
      </c>
      <c r="H69" s="12">
        <v>17.78</v>
      </c>
      <c r="I69" s="12">
        <v>0.36</v>
      </c>
      <c r="J69" s="12">
        <v>0.92</v>
      </c>
      <c r="K69" s="12">
        <v>16.04</v>
      </c>
      <c r="L69" s="12">
        <v>31.14</v>
      </c>
      <c r="M69" s="12">
        <v>27</v>
      </c>
      <c r="N69" s="12">
        <v>134.1</v>
      </c>
      <c r="O69" s="12">
        <v>0</v>
      </c>
      <c r="P69" s="12">
        <v>0.91</v>
      </c>
      <c r="Q69" s="12">
        <v>43.24</v>
      </c>
      <c r="R69" s="197"/>
      <c r="S69" s="197"/>
      <c r="T69" s="197"/>
      <c r="U69" s="197"/>
    </row>
    <row r="70" spans="1:21" s="12" customFormat="1" x14ac:dyDescent="0.25">
      <c r="A70" s="215" t="s">
        <v>1652</v>
      </c>
      <c r="B70" s="12">
        <v>11.69</v>
      </c>
      <c r="C70" s="12">
        <v>81.62</v>
      </c>
      <c r="D70" s="12">
        <v>54.42</v>
      </c>
      <c r="E70" s="12">
        <v>13.78</v>
      </c>
      <c r="F70" s="12">
        <v>8.8800000000000008</v>
      </c>
      <c r="G70" s="12">
        <v>40.99</v>
      </c>
      <c r="H70" s="12">
        <v>17.78</v>
      </c>
      <c r="I70" s="12">
        <v>0.34</v>
      </c>
      <c r="J70" s="12">
        <v>0.73</v>
      </c>
      <c r="K70" s="12">
        <v>16.399999999999999</v>
      </c>
      <c r="L70" s="12">
        <v>31.03</v>
      </c>
      <c r="M70" s="12">
        <v>26</v>
      </c>
      <c r="N70" s="12">
        <v>134.1</v>
      </c>
      <c r="O70" s="12">
        <v>0</v>
      </c>
      <c r="P70" s="12">
        <v>0.95</v>
      </c>
      <c r="Q70" s="12">
        <v>43.38</v>
      </c>
      <c r="R70" s="197"/>
      <c r="S70" s="197"/>
      <c r="T70" s="197"/>
      <c r="U70" s="197"/>
    </row>
    <row r="71" spans="1:21" s="12" customFormat="1" x14ac:dyDescent="0.25">
      <c r="A71" s="215" t="s">
        <v>1653</v>
      </c>
      <c r="B71" s="12">
        <v>11.57</v>
      </c>
      <c r="C71" s="12">
        <v>85.68</v>
      </c>
      <c r="D71" s="12">
        <v>56.57</v>
      </c>
      <c r="E71" s="12">
        <v>18.72</v>
      </c>
      <c r="F71" s="12">
        <v>10.66</v>
      </c>
      <c r="G71" s="12">
        <v>44.13</v>
      </c>
      <c r="H71" s="12">
        <v>17.84</v>
      </c>
      <c r="I71" s="12">
        <v>0.34</v>
      </c>
      <c r="J71" s="12">
        <v>0.57999999999999996</v>
      </c>
      <c r="K71" s="12">
        <v>14.12</v>
      </c>
      <c r="L71" s="12">
        <v>30.38</v>
      </c>
      <c r="M71" s="12">
        <v>28</v>
      </c>
      <c r="N71" s="12">
        <v>120.4</v>
      </c>
      <c r="O71" s="12">
        <v>0</v>
      </c>
      <c r="P71" s="12">
        <v>0.99</v>
      </c>
      <c r="Q71" s="12">
        <v>43.61</v>
      </c>
      <c r="R71" s="197"/>
      <c r="S71" s="197"/>
      <c r="T71" s="197"/>
      <c r="U71" s="197"/>
    </row>
    <row r="72" spans="1:21" s="12" customFormat="1" x14ac:dyDescent="0.25">
      <c r="A72" s="215" t="s">
        <v>1654</v>
      </c>
      <c r="B72" s="12">
        <v>10.91</v>
      </c>
      <c r="C72" s="12">
        <v>83.12</v>
      </c>
      <c r="D72" s="12">
        <v>54.62</v>
      </c>
      <c r="E72" s="12">
        <v>15.33</v>
      </c>
      <c r="F72" s="12">
        <v>10.57</v>
      </c>
      <c r="G72" s="12">
        <v>47.17</v>
      </c>
      <c r="H72" s="12">
        <v>17.940000000000001</v>
      </c>
      <c r="I72" s="12">
        <v>0.33</v>
      </c>
      <c r="J72" s="12">
        <v>0.38</v>
      </c>
      <c r="K72" s="12">
        <v>29.23</v>
      </c>
      <c r="L72" s="12">
        <v>29.66</v>
      </c>
      <c r="M72" s="12">
        <v>30</v>
      </c>
      <c r="N72" s="12">
        <v>78.3</v>
      </c>
      <c r="O72" s="12">
        <v>0</v>
      </c>
      <c r="P72" s="12">
        <v>1.02</v>
      </c>
      <c r="Q72" s="12">
        <v>43.84</v>
      </c>
      <c r="R72" s="197"/>
      <c r="S72" s="197"/>
      <c r="T72" s="197"/>
      <c r="U72" s="197"/>
    </row>
    <row r="73" spans="1:21" s="12" customFormat="1" x14ac:dyDescent="0.25">
      <c r="A73" s="215" t="s">
        <v>1655</v>
      </c>
      <c r="B73" s="12">
        <v>11.8</v>
      </c>
      <c r="C73" s="12">
        <v>88.74</v>
      </c>
      <c r="D73" s="12">
        <v>58.43</v>
      </c>
      <c r="E73" s="12">
        <v>18.98</v>
      </c>
      <c r="F73" s="12">
        <v>9.68</v>
      </c>
      <c r="G73" s="12">
        <v>47.17</v>
      </c>
      <c r="H73" s="12">
        <v>17.940000000000001</v>
      </c>
      <c r="I73" s="12">
        <v>0.33</v>
      </c>
      <c r="J73" s="12">
        <v>0.63</v>
      </c>
      <c r="K73" s="12">
        <v>16.71</v>
      </c>
      <c r="L73" s="12">
        <v>29.38</v>
      </c>
      <c r="M73" s="12">
        <v>30</v>
      </c>
      <c r="N73" s="12">
        <v>61.1</v>
      </c>
      <c r="O73" s="12">
        <v>0</v>
      </c>
      <c r="P73" s="12">
        <v>1.1200000000000001</v>
      </c>
      <c r="Q73" s="12">
        <v>44.16</v>
      </c>
      <c r="R73" s="197"/>
      <c r="S73" s="197"/>
      <c r="T73" s="197"/>
      <c r="U73" s="197"/>
    </row>
    <row r="74" spans="1:21" s="12" customFormat="1" x14ac:dyDescent="0.25">
      <c r="A74" s="215" t="s">
        <v>1656</v>
      </c>
      <c r="B74" s="12">
        <v>11.06</v>
      </c>
      <c r="C74" s="12">
        <v>87.37</v>
      </c>
      <c r="D74" s="12">
        <v>57.08</v>
      </c>
      <c r="E74" s="12">
        <v>21.16</v>
      </c>
      <c r="F74" s="12">
        <v>10.64</v>
      </c>
      <c r="G74" s="12">
        <v>47.17</v>
      </c>
      <c r="H74" s="12">
        <v>17.940000000000001</v>
      </c>
      <c r="I74" s="12">
        <v>0.36</v>
      </c>
      <c r="J74" s="12">
        <v>0.36</v>
      </c>
      <c r="K74" s="12">
        <v>41.38</v>
      </c>
      <c r="L74" s="12">
        <v>29.02</v>
      </c>
      <c r="M74" s="12">
        <v>31</v>
      </c>
      <c r="N74" s="12">
        <v>52.3</v>
      </c>
      <c r="O74" s="12">
        <v>0</v>
      </c>
      <c r="P74" s="12">
        <v>1.1100000000000001</v>
      </c>
      <c r="Q74" s="12">
        <v>44.62</v>
      </c>
      <c r="R74" s="197"/>
      <c r="S74" s="197"/>
      <c r="T74" s="197"/>
      <c r="U74" s="197"/>
    </row>
    <row r="75" spans="1:21" s="12" customFormat="1" x14ac:dyDescent="0.25">
      <c r="A75" s="215" t="s">
        <v>1657</v>
      </c>
      <c r="B75" s="12">
        <v>9.5</v>
      </c>
      <c r="C75" s="12">
        <v>87.68</v>
      </c>
      <c r="D75" s="12">
        <v>56</v>
      </c>
      <c r="E75" s="12">
        <v>15.62</v>
      </c>
      <c r="F75" s="12">
        <v>7.58</v>
      </c>
      <c r="G75" s="12">
        <v>48.6</v>
      </c>
      <c r="H75" s="12">
        <v>19.5</v>
      </c>
      <c r="I75" s="12">
        <v>0.37</v>
      </c>
      <c r="J75" s="12">
        <v>0.2</v>
      </c>
      <c r="K75" s="12">
        <v>54.68</v>
      </c>
      <c r="L75" s="12">
        <v>28.36</v>
      </c>
      <c r="M75" s="12">
        <v>33</v>
      </c>
      <c r="N75" s="12">
        <v>44.1</v>
      </c>
      <c r="O75" s="12">
        <v>0</v>
      </c>
      <c r="P75" s="12">
        <v>1.1299999999999999</v>
      </c>
      <c r="Q75" s="12">
        <v>46.01</v>
      </c>
      <c r="R75" s="197"/>
      <c r="S75" s="197"/>
      <c r="T75" s="197"/>
      <c r="U75" s="197"/>
    </row>
    <row r="76" spans="1:21" s="12" customFormat="1" x14ac:dyDescent="0.25">
      <c r="A76" s="215" t="s">
        <v>1658</v>
      </c>
      <c r="B76" s="12">
        <v>11.19</v>
      </c>
      <c r="C76" s="12">
        <v>92.1</v>
      </c>
      <c r="D76" s="12">
        <v>59.8</v>
      </c>
      <c r="E76" s="12">
        <v>9.7899999999999991</v>
      </c>
      <c r="F76" s="12">
        <v>3.31</v>
      </c>
      <c r="G76" s="12">
        <v>53.18</v>
      </c>
      <c r="H76" s="12">
        <v>21.96</v>
      </c>
      <c r="I76" s="12">
        <v>0.39</v>
      </c>
      <c r="J76" s="12">
        <v>0.16</v>
      </c>
      <c r="K76" s="12">
        <v>40.93</v>
      </c>
      <c r="L76" s="12">
        <v>28.09</v>
      </c>
      <c r="M76" s="12">
        <v>34</v>
      </c>
      <c r="N76" s="12">
        <v>34.299999999999997</v>
      </c>
      <c r="O76" s="12">
        <v>0</v>
      </c>
      <c r="P76" s="12">
        <v>1.25</v>
      </c>
      <c r="Q76" s="12">
        <v>47.73</v>
      </c>
      <c r="R76" s="197"/>
      <c r="S76" s="197"/>
      <c r="T76" s="197"/>
      <c r="U76" s="197"/>
    </row>
    <row r="77" spans="1:21" s="12" customFormat="1" x14ac:dyDescent="0.25">
      <c r="A77" s="215" t="s">
        <v>1659</v>
      </c>
      <c r="B77" s="12">
        <v>10.77</v>
      </c>
      <c r="C77" s="12">
        <v>92.91</v>
      </c>
      <c r="D77" s="12">
        <v>59.91</v>
      </c>
      <c r="E77" s="12">
        <v>7.72</v>
      </c>
      <c r="F77" s="12">
        <v>2.2999999999999998</v>
      </c>
      <c r="G77" s="12">
        <v>53.18</v>
      </c>
      <c r="H77" s="12">
        <v>21.96</v>
      </c>
      <c r="I77" s="12">
        <v>0.41</v>
      </c>
      <c r="J77" s="12">
        <v>0.09</v>
      </c>
      <c r="K77" s="12">
        <v>50.67</v>
      </c>
      <c r="L77" s="12">
        <v>27.45</v>
      </c>
      <c r="M77" s="12">
        <v>38</v>
      </c>
      <c r="N77" s="12">
        <v>29</v>
      </c>
      <c r="O77" s="12">
        <v>0</v>
      </c>
      <c r="P77" s="12">
        <v>1.33</v>
      </c>
      <c r="Q77" s="12">
        <v>48.13</v>
      </c>
      <c r="R77" s="197"/>
      <c r="S77" s="197"/>
      <c r="T77" s="197"/>
      <c r="U77" s="197"/>
    </row>
    <row r="78" spans="1:21" s="12" customFormat="1" x14ac:dyDescent="0.25">
      <c r="A78" s="215" t="s">
        <v>1660</v>
      </c>
      <c r="B78" s="12">
        <v>13.8</v>
      </c>
      <c r="C78" s="12">
        <v>99.27</v>
      </c>
      <c r="D78" s="12">
        <v>65.849999999999994</v>
      </c>
      <c r="E78" s="12">
        <v>7.35</v>
      </c>
      <c r="F78" s="12">
        <v>1.94</v>
      </c>
      <c r="G78" s="12">
        <v>53.18</v>
      </c>
      <c r="H78" s="12">
        <v>21.96</v>
      </c>
      <c r="I78" s="12">
        <v>0.44</v>
      </c>
      <c r="J78" s="12">
        <v>0.03</v>
      </c>
      <c r="K78" s="12">
        <v>65.650000000000006</v>
      </c>
      <c r="L78" s="12">
        <v>26.78</v>
      </c>
      <c r="M78" s="12">
        <v>38</v>
      </c>
      <c r="N78" s="12">
        <v>25.6</v>
      </c>
      <c r="O78" s="12">
        <v>0</v>
      </c>
      <c r="P78" s="12">
        <v>1.46</v>
      </c>
      <c r="Q78" s="12">
        <v>47.26</v>
      </c>
      <c r="R78" s="197"/>
      <c r="S78" s="197"/>
      <c r="T78" s="197"/>
      <c r="U78" s="197"/>
    </row>
    <row r="79" spans="1:21" s="12" customFormat="1" x14ac:dyDescent="0.25">
      <c r="A79" s="215" t="s">
        <v>1661</v>
      </c>
      <c r="B79" s="12">
        <v>20.98</v>
      </c>
      <c r="C79" s="12">
        <v>102.85</v>
      </c>
      <c r="D79" s="12">
        <v>73.58</v>
      </c>
      <c r="E79" s="12">
        <v>6.34</v>
      </c>
      <c r="F79" s="12">
        <v>1</v>
      </c>
      <c r="G79" s="12">
        <v>91.76</v>
      </c>
      <c r="H79" s="12">
        <v>24.12</v>
      </c>
      <c r="I79" s="12">
        <v>0.46</v>
      </c>
      <c r="J79" s="12">
        <v>0.03</v>
      </c>
      <c r="K79" s="12">
        <v>49.11</v>
      </c>
      <c r="L79" s="12">
        <v>26.09</v>
      </c>
      <c r="M79" s="12">
        <v>44</v>
      </c>
      <c r="N79" s="12">
        <v>24.9</v>
      </c>
      <c r="O79" s="12">
        <v>0</v>
      </c>
      <c r="P79" s="12">
        <v>1.64</v>
      </c>
      <c r="Q79" s="12">
        <v>46.28</v>
      </c>
      <c r="R79" s="197"/>
      <c r="S79" s="197"/>
      <c r="T79" s="197"/>
      <c r="U79" s="197"/>
    </row>
    <row r="80" spans="1:21" s="12" customFormat="1" x14ac:dyDescent="0.25">
      <c r="A80" s="215" t="s">
        <v>1662</v>
      </c>
      <c r="B80" s="12">
        <v>23.23</v>
      </c>
      <c r="C80" s="12">
        <v>103.39</v>
      </c>
      <c r="D80" s="12">
        <v>75.680000000000007</v>
      </c>
      <c r="E80" s="12">
        <v>5.84</v>
      </c>
      <c r="F80" s="12">
        <v>0.62</v>
      </c>
      <c r="G80" s="12">
        <v>128.07</v>
      </c>
      <c r="H80" s="12">
        <v>27.67</v>
      </c>
      <c r="I80" s="12">
        <v>0.48</v>
      </c>
      <c r="J80" s="12">
        <v>0.15</v>
      </c>
      <c r="K80" s="12">
        <v>104.2</v>
      </c>
      <c r="L80" s="12">
        <v>25.57</v>
      </c>
      <c r="M80" s="12">
        <v>45</v>
      </c>
      <c r="N80" s="12">
        <v>24.6</v>
      </c>
      <c r="O80" s="12">
        <v>0</v>
      </c>
      <c r="P80" s="12">
        <v>1.7</v>
      </c>
      <c r="Q80" s="12">
        <v>46.49</v>
      </c>
      <c r="R80" s="197"/>
      <c r="S80" s="197"/>
      <c r="T80" s="197"/>
      <c r="U80" s="197"/>
    </row>
    <row r="81" spans="1:26" s="12" customFormat="1" x14ac:dyDescent="0.25">
      <c r="A81" s="215" t="s">
        <v>1663</v>
      </c>
      <c r="B81" s="12">
        <v>25.36</v>
      </c>
      <c r="C81" s="12">
        <v>107.19</v>
      </c>
      <c r="D81" s="12">
        <v>79.489999999999995</v>
      </c>
      <c r="E81" s="12">
        <v>5.17</v>
      </c>
      <c r="F81" s="12">
        <v>0.54</v>
      </c>
      <c r="G81" s="12">
        <v>128.07</v>
      </c>
      <c r="H81" s="12">
        <v>27.67</v>
      </c>
      <c r="I81" s="12">
        <v>0.52</v>
      </c>
      <c r="J81" s="12">
        <v>0.11</v>
      </c>
      <c r="K81" s="12">
        <v>126.11</v>
      </c>
      <c r="L81" s="12">
        <v>25.18</v>
      </c>
      <c r="M81" s="12">
        <v>46</v>
      </c>
      <c r="N81" s="12">
        <v>24.6</v>
      </c>
      <c r="O81" s="12">
        <v>0</v>
      </c>
      <c r="P81" s="12">
        <v>1.8</v>
      </c>
      <c r="Q81" s="12">
        <v>47.33</v>
      </c>
      <c r="R81" s="197"/>
      <c r="S81" s="197"/>
      <c r="T81" s="197"/>
      <c r="U81" s="197"/>
    </row>
    <row r="82" spans="1:26" s="12" customFormat="1" x14ac:dyDescent="0.25">
      <c r="A82" s="215" t="s">
        <v>1664</v>
      </c>
      <c r="B82" s="12">
        <v>48.53</v>
      </c>
      <c r="C82" s="12">
        <v>127.75</v>
      </c>
      <c r="D82" s="12">
        <v>109.42</v>
      </c>
      <c r="E82" s="12">
        <v>6.78</v>
      </c>
      <c r="F82" s="12">
        <v>0.57999999999999996</v>
      </c>
      <c r="G82" s="12">
        <v>128.07</v>
      </c>
      <c r="H82" s="12">
        <v>27.67</v>
      </c>
      <c r="I82" s="12">
        <v>0.56000000000000005</v>
      </c>
      <c r="J82" s="12">
        <v>0.02</v>
      </c>
      <c r="K82" s="12">
        <v>333.7</v>
      </c>
      <c r="L82" s="12">
        <v>24.75</v>
      </c>
      <c r="M82" s="12">
        <v>50</v>
      </c>
      <c r="N82" s="12">
        <v>24.6</v>
      </c>
      <c r="O82" s="12">
        <v>0</v>
      </c>
      <c r="P82" s="12">
        <v>2.2400000000000002</v>
      </c>
      <c r="Q82" s="12">
        <v>45.88</v>
      </c>
      <c r="R82" s="197"/>
      <c r="S82" s="197"/>
      <c r="T82" s="197"/>
      <c r="U82" s="197"/>
    </row>
    <row r="83" spans="1:26" s="12" customFormat="1" x14ac:dyDescent="0.25">
      <c r="A83" s="215" t="s">
        <v>1665</v>
      </c>
      <c r="B83" s="12">
        <v>64.59</v>
      </c>
      <c r="C83" s="12">
        <v>133.47</v>
      </c>
      <c r="D83" s="12">
        <v>125.45</v>
      </c>
      <c r="E83" s="12">
        <v>7.67</v>
      </c>
      <c r="F83" s="12">
        <v>0.56000000000000005</v>
      </c>
      <c r="G83" s="12">
        <v>144.35</v>
      </c>
      <c r="H83" s="12">
        <v>29.59</v>
      </c>
      <c r="I83" s="12">
        <v>0.63</v>
      </c>
      <c r="J83" s="12">
        <v>0.1</v>
      </c>
      <c r="K83" s="12">
        <v>41.62</v>
      </c>
      <c r="L83" s="12">
        <v>24.34</v>
      </c>
      <c r="M83" s="12">
        <v>52</v>
      </c>
      <c r="N83" s="12">
        <v>24.5</v>
      </c>
      <c r="O83" s="12">
        <v>0</v>
      </c>
      <c r="P83" s="12">
        <v>2.7</v>
      </c>
      <c r="Q83" s="12">
        <v>43.38</v>
      </c>
      <c r="R83" s="197"/>
      <c r="S83" s="197"/>
      <c r="T83" s="197"/>
      <c r="U83" s="197"/>
    </row>
    <row r="84" spans="1:26" s="12" customFormat="1" x14ac:dyDescent="0.25">
      <c r="A84" s="215" t="s">
        <v>1666</v>
      </c>
      <c r="B84" s="12">
        <v>46.39</v>
      </c>
      <c r="C84" s="12">
        <v>120.89</v>
      </c>
      <c r="D84" s="12">
        <v>103.92</v>
      </c>
      <c r="E84" s="12">
        <v>6.85</v>
      </c>
      <c r="F84" s="12">
        <v>0.76</v>
      </c>
      <c r="G84" s="12">
        <v>160.15</v>
      </c>
      <c r="H84" s="12">
        <v>32.6</v>
      </c>
      <c r="I84" s="12">
        <v>0.76</v>
      </c>
      <c r="J84" s="12">
        <v>0.08</v>
      </c>
      <c r="K84" s="12">
        <v>137.63999999999999</v>
      </c>
      <c r="L84" s="12">
        <v>24.1</v>
      </c>
      <c r="M84" s="12">
        <v>54</v>
      </c>
      <c r="N84" s="12">
        <v>24.6</v>
      </c>
      <c r="O84" s="12">
        <v>0</v>
      </c>
      <c r="P84" s="12">
        <v>2.39</v>
      </c>
      <c r="Q84" s="12">
        <v>45.13</v>
      </c>
      <c r="R84" s="197"/>
      <c r="S84" s="197"/>
      <c r="T84" s="197"/>
      <c r="U84" s="197"/>
    </row>
    <row r="85" spans="1:26" s="12" customFormat="1" x14ac:dyDescent="0.25">
      <c r="A85" s="215" t="s">
        <v>1667</v>
      </c>
      <c r="B85" s="12">
        <v>51.96</v>
      </c>
      <c r="C85" s="12">
        <v>122.23</v>
      </c>
      <c r="D85" s="12">
        <v>109.12</v>
      </c>
      <c r="E85" s="12">
        <v>6.95</v>
      </c>
      <c r="F85" s="12">
        <v>0.8</v>
      </c>
      <c r="G85" s="12">
        <v>160.15</v>
      </c>
      <c r="H85" s="12">
        <v>32.6</v>
      </c>
      <c r="I85" s="12">
        <v>0.88</v>
      </c>
      <c r="J85" s="12">
        <v>7.0000000000000007E-2</v>
      </c>
      <c r="K85" s="12">
        <v>155.88</v>
      </c>
      <c r="L85" s="12">
        <v>23.8</v>
      </c>
      <c r="M85" s="12">
        <v>55</v>
      </c>
      <c r="N85" s="12">
        <v>24.6</v>
      </c>
      <c r="O85" s="12">
        <v>0</v>
      </c>
      <c r="P85" s="12">
        <v>2.35</v>
      </c>
      <c r="Q85" s="12">
        <v>46.8</v>
      </c>
      <c r="R85" s="197"/>
      <c r="S85" s="197"/>
      <c r="T85" s="197"/>
      <c r="U85" s="197"/>
    </row>
    <row r="86" spans="1:26" s="12" customFormat="1" x14ac:dyDescent="0.25">
      <c r="A86" s="215" t="s">
        <v>1668</v>
      </c>
      <c r="B86" s="12">
        <v>58.64</v>
      </c>
      <c r="C86" s="12">
        <v>121.27</v>
      </c>
      <c r="D86" s="12">
        <v>113.95</v>
      </c>
      <c r="E86" s="12">
        <v>6.35</v>
      </c>
      <c r="F86" s="12">
        <v>0.62</v>
      </c>
      <c r="G86" s="12">
        <v>160.15</v>
      </c>
      <c r="H86" s="12">
        <v>32.6</v>
      </c>
      <c r="I86" s="12">
        <v>0.85</v>
      </c>
      <c r="J86" s="12">
        <v>0.04</v>
      </c>
      <c r="K86" s="12">
        <v>330.75</v>
      </c>
      <c r="L86" s="12">
        <v>23.72</v>
      </c>
      <c r="M86" s="12">
        <v>56</v>
      </c>
      <c r="N86" s="12">
        <v>24.4</v>
      </c>
      <c r="O86" s="12">
        <v>0</v>
      </c>
      <c r="P86" s="12">
        <v>2.66</v>
      </c>
      <c r="Q86" s="12">
        <v>47.66</v>
      </c>
      <c r="R86" s="197"/>
      <c r="S86" s="197"/>
      <c r="T86" s="197"/>
      <c r="U86" s="197"/>
    </row>
    <row r="87" spans="1:26" s="12" customFormat="1" x14ac:dyDescent="0.25">
      <c r="A87" s="215" t="s">
        <v>1669</v>
      </c>
      <c r="B87" s="12">
        <v>54.71</v>
      </c>
      <c r="C87" s="12">
        <v>116.83</v>
      </c>
      <c r="D87" s="12">
        <v>108.35</v>
      </c>
      <c r="E87" s="12">
        <v>6.35</v>
      </c>
      <c r="F87" s="12">
        <v>0.55000000000000004</v>
      </c>
      <c r="G87" s="12">
        <v>162.19</v>
      </c>
      <c r="H87" s="12">
        <v>34.229999999999997</v>
      </c>
      <c r="I87" s="12">
        <v>0.9</v>
      </c>
      <c r="J87" s="12">
        <v>0.04</v>
      </c>
      <c r="K87" s="12">
        <v>9.52</v>
      </c>
      <c r="L87" s="12">
        <v>23.43</v>
      </c>
      <c r="M87" s="12">
        <v>54</v>
      </c>
      <c r="N87" s="12">
        <v>24.6</v>
      </c>
      <c r="O87" s="12">
        <v>0</v>
      </c>
      <c r="P87" s="12">
        <v>2.57</v>
      </c>
      <c r="Q87" s="12">
        <v>48.7</v>
      </c>
      <c r="R87" s="197"/>
      <c r="S87" s="197"/>
      <c r="T87" s="197"/>
      <c r="U87" s="197"/>
    </row>
    <row r="88" spans="1:26" s="12" customFormat="1" x14ac:dyDescent="0.25">
      <c r="A88" s="215" t="s">
        <v>1670</v>
      </c>
      <c r="B88" s="12">
        <v>69.13</v>
      </c>
      <c r="C88" s="12">
        <v>123.7</v>
      </c>
      <c r="D88" s="12">
        <v>123.71</v>
      </c>
      <c r="E88" s="12">
        <v>3.83</v>
      </c>
      <c r="F88" s="12">
        <v>0.53</v>
      </c>
      <c r="G88" s="12">
        <v>164.11</v>
      </c>
      <c r="H88" s="12">
        <v>36.799999999999997</v>
      </c>
      <c r="I88" s="12">
        <v>0.95</v>
      </c>
      <c r="J88" s="12">
        <v>0.09</v>
      </c>
      <c r="K88" s="12">
        <v>8.24</v>
      </c>
      <c r="L88" s="12">
        <v>23.36</v>
      </c>
      <c r="M88" s="12">
        <v>59</v>
      </c>
      <c r="N88" s="12">
        <v>24.5</v>
      </c>
      <c r="O88" s="12">
        <v>0</v>
      </c>
      <c r="P88" s="12">
        <v>3</v>
      </c>
      <c r="Q88" s="12">
        <v>49.26</v>
      </c>
      <c r="R88" s="197"/>
      <c r="S88" s="197"/>
      <c r="T88" s="197"/>
      <c r="U88" s="197"/>
    </row>
    <row r="89" spans="1:26" s="12" customFormat="1" x14ac:dyDescent="0.25">
      <c r="A89" s="215" t="s">
        <v>1671</v>
      </c>
      <c r="B89" s="12">
        <v>69.430000000000007</v>
      </c>
      <c r="C89" s="12">
        <v>118.02</v>
      </c>
      <c r="D89" s="12">
        <v>120.81</v>
      </c>
      <c r="E89" s="12">
        <v>5.79</v>
      </c>
      <c r="F89" s="12">
        <v>0.59</v>
      </c>
      <c r="G89" s="12">
        <v>164.11</v>
      </c>
      <c r="H89" s="12">
        <v>36.799999999999997</v>
      </c>
      <c r="I89" s="12">
        <v>0.99</v>
      </c>
      <c r="J89" s="12">
        <v>0.04</v>
      </c>
      <c r="K89" s="12">
        <v>330.55</v>
      </c>
      <c r="L89" s="12">
        <v>23.16</v>
      </c>
      <c r="M89" s="12">
        <v>60</v>
      </c>
      <c r="N89" s="12">
        <v>24.5</v>
      </c>
      <c r="O89" s="12">
        <v>0</v>
      </c>
      <c r="P89" s="12">
        <v>3.07</v>
      </c>
      <c r="Q89" s="12">
        <v>50.15</v>
      </c>
      <c r="R89" s="197"/>
      <c r="S89" s="197"/>
      <c r="T89" s="197"/>
      <c r="U89" s="197"/>
    </row>
    <row r="90" spans="1:26" s="12" customFormat="1" x14ac:dyDescent="0.25">
      <c r="A90" s="215" t="s">
        <v>1672</v>
      </c>
      <c r="B90" s="12">
        <v>68.87</v>
      </c>
      <c r="C90" s="12">
        <v>115.42</v>
      </c>
      <c r="D90" s="12">
        <v>118.93</v>
      </c>
      <c r="E90" s="12">
        <v>5.55</v>
      </c>
      <c r="F90" s="12">
        <v>0.67</v>
      </c>
      <c r="G90" s="12">
        <v>164.11</v>
      </c>
      <c r="H90" s="12">
        <v>36.799999999999997</v>
      </c>
      <c r="I90" s="12">
        <v>1.08</v>
      </c>
      <c r="J90" s="12">
        <v>0.03</v>
      </c>
      <c r="K90" s="12">
        <v>255.58</v>
      </c>
      <c r="L90" s="12">
        <v>22.87</v>
      </c>
      <c r="M90" s="12">
        <v>60</v>
      </c>
      <c r="N90" s="12">
        <v>24.6</v>
      </c>
      <c r="O90" s="12">
        <v>0</v>
      </c>
      <c r="P90" s="12">
        <v>3.08</v>
      </c>
      <c r="Q90" s="12">
        <v>53.45</v>
      </c>
      <c r="R90" s="197"/>
      <c r="S90" s="197"/>
      <c r="T90" s="197"/>
      <c r="U90" s="197"/>
    </row>
    <row r="91" spans="1:26" s="12" customFormat="1" x14ac:dyDescent="0.25">
      <c r="A91" s="215" t="s">
        <v>1673</v>
      </c>
      <c r="B91" s="12">
        <v>78.069999999999993</v>
      </c>
      <c r="C91" s="12">
        <v>121.07</v>
      </c>
      <c r="D91" s="12">
        <v>129.41999999999999</v>
      </c>
      <c r="E91" s="12">
        <v>5.79</v>
      </c>
      <c r="F91" s="12">
        <v>0.48</v>
      </c>
      <c r="G91" s="12">
        <v>175.79</v>
      </c>
      <c r="H91" s="12">
        <v>37.36</v>
      </c>
      <c r="I91" s="12">
        <v>1.18</v>
      </c>
      <c r="J91" s="12">
        <v>0.13</v>
      </c>
      <c r="K91" s="12">
        <v>342.6</v>
      </c>
      <c r="L91" s="12">
        <v>22.8</v>
      </c>
      <c r="M91" s="12">
        <v>62</v>
      </c>
      <c r="N91" s="12">
        <v>24.4</v>
      </c>
      <c r="O91" s="12">
        <v>0</v>
      </c>
      <c r="P91" s="12">
        <v>3.39</v>
      </c>
      <c r="Q91" s="12">
        <v>54.7</v>
      </c>
      <c r="R91" s="197"/>
      <c r="S91" s="197"/>
      <c r="T91" s="197"/>
      <c r="U91" s="197"/>
    </row>
    <row r="92" spans="1:26" s="12" customFormat="1" x14ac:dyDescent="0.25">
      <c r="A92" s="215" t="s">
        <v>1674</v>
      </c>
      <c r="B92" s="12">
        <v>86.12</v>
      </c>
      <c r="C92" s="12">
        <v>124.02</v>
      </c>
      <c r="D92" s="12">
        <v>137.51</v>
      </c>
      <c r="E92" s="12">
        <v>5.34</v>
      </c>
      <c r="F92" s="12">
        <v>0.56000000000000005</v>
      </c>
      <c r="G92" s="12">
        <v>213.19</v>
      </c>
      <c r="H92" s="12">
        <v>38.24</v>
      </c>
      <c r="I92" s="12">
        <v>1.23</v>
      </c>
      <c r="J92" s="12">
        <v>0.06</v>
      </c>
      <c r="K92" s="12">
        <v>140.05000000000001</v>
      </c>
      <c r="L92" s="12">
        <v>22.6</v>
      </c>
      <c r="M92" s="12">
        <v>61</v>
      </c>
      <c r="N92" s="12">
        <v>24.4</v>
      </c>
      <c r="O92" s="12">
        <v>0</v>
      </c>
      <c r="P92" s="12">
        <v>3.68</v>
      </c>
      <c r="Q92" s="12">
        <v>54.74</v>
      </c>
      <c r="R92" s="197"/>
      <c r="S92" s="197"/>
      <c r="T92" s="197"/>
      <c r="U92" s="197"/>
    </row>
    <row r="93" spans="1:26" s="12" customFormat="1" x14ac:dyDescent="0.25">
      <c r="A93" s="215" t="s">
        <v>1675</v>
      </c>
      <c r="B93" s="12">
        <v>100.87</v>
      </c>
      <c r="C93" s="12">
        <v>130.05000000000001</v>
      </c>
      <c r="D93" s="12">
        <v>152.66999999999999</v>
      </c>
      <c r="E93" s="12">
        <v>5.67</v>
      </c>
      <c r="F93" s="12">
        <v>0.39</v>
      </c>
      <c r="G93" s="12">
        <v>213.19</v>
      </c>
      <c r="H93" s="12">
        <v>38.24</v>
      </c>
      <c r="I93" s="12">
        <v>1.46</v>
      </c>
      <c r="J93" s="12">
        <v>7.0000000000000007E-2</v>
      </c>
      <c r="K93" s="12">
        <v>348.69</v>
      </c>
      <c r="L93" s="12">
        <v>22.72</v>
      </c>
      <c r="M93" s="12">
        <v>62</v>
      </c>
      <c r="N93" s="12">
        <v>24.4</v>
      </c>
      <c r="O93" s="12">
        <v>0</v>
      </c>
      <c r="P93" s="12">
        <v>3.94</v>
      </c>
      <c r="Q93" s="12">
        <v>55.02</v>
      </c>
      <c r="R93" s="197"/>
      <c r="S93" s="197"/>
      <c r="T93" s="197"/>
      <c r="U93" s="197"/>
    </row>
    <row r="94" spans="1:26" s="12" customFormat="1" x14ac:dyDescent="0.25">
      <c r="A94" s="215" t="s">
        <v>1676</v>
      </c>
      <c r="B94" s="12">
        <v>121.76</v>
      </c>
      <c r="C94" s="12">
        <v>139.1</v>
      </c>
      <c r="D94" s="12">
        <v>174.41</v>
      </c>
      <c r="E94" s="12">
        <v>6.4</v>
      </c>
      <c r="F94" s="12">
        <v>0.44</v>
      </c>
      <c r="G94" s="12">
        <v>213.19</v>
      </c>
      <c r="H94" s="12">
        <v>38.24</v>
      </c>
      <c r="I94" s="12">
        <v>1.51</v>
      </c>
      <c r="J94" s="12">
        <v>0.06</v>
      </c>
      <c r="K94" s="12">
        <v>30.54</v>
      </c>
      <c r="L94" s="12">
        <v>22.46</v>
      </c>
      <c r="M94" s="12">
        <v>62</v>
      </c>
      <c r="N94" s="12">
        <v>24.5</v>
      </c>
      <c r="O94" s="12">
        <v>0</v>
      </c>
      <c r="P94" s="12">
        <v>4.2699999999999996</v>
      </c>
      <c r="Q94" s="12">
        <v>56.36</v>
      </c>
      <c r="R94" s="197"/>
      <c r="S94" s="197"/>
      <c r="T94" s="197"/>
      <c r="U94" s="197"/>
    </row>
    <row r="95" spans="1:26" s="12" customFormat="1" x14ac:dyDescent="0.25">
      <c r="A95" s="215" t="s">
        <v>1677</v>
      </c>
      <c r="B95" s="12">
        <v>138.12</v>
      </c>
      <c r="C95" s="12">
        <v>143.16</v>
      </c>
      <c r="D95" s="12">
        <v>189.77</v>
      </c>
      <c r="E95" s="12">
        <v>6.37</v>
      </c>
      <c r="F95" s="12">
        <v>0.5</v>
      </c>
      <c r="G95" s="12">
        <v>226.97</v>
      </c>
      <c r="H95" s="12">
        <v>41.68</v>
      </c>
      <c r="I95" s="12">
        <v>1.5</v>
      </c>
      <c r="J95" s="12">
        <v>0.05</v>
      </c>
      <c r="K95" s="12">
        <v>293.79000000000002</v>
      </c>
      <c r="L95" s="12">
        <v>22.38</v>
      </c>
      <c r="M95" s="12">
        <v>63</v>
      </c>
      <c r="N95" s="12">
        <v>24.3</v>
      </c>
      <c r="O95" s="12">
        <v>0</v>
      </c>
      <c r="P95" s="12">
        <v>4.47</v>
      </c>
      <c r="Q95" s="12">
        <v>57.15</v>
      </c>
      <c r="R95" s="197"/>
      <c r="S95" s="197"/>
      <c r="T95" s="197"/>
      <c r="U95" s="197"/>
    </row>
    <row r="96" spans="1:26" s="12" customFormat="1" x14ac:dyDescent="0.25">
      <c r="A96" s="215" t="s">
        <v>1678</v>
      </c>
      <c r="B96" s="12">
        <v>161.74</v>
      </c>
      <c r="C96" s="12">
        <v>158.19999999999999</v>
      </c>
      <c r="D96" s="12">
        <v>217.01</v>
      </c>
      <c r="E96" s="12">
        <v>6.18</v>
      </c>
      <c r="F96" s="12">
        <v>0.48</v>
      </c>
      <c r="G96" s="12">
        <v>239.94</v>
      </c>
      <c r="H96" s="12">
        <v>47.08</v>
      </c>
      <c r="I96" s="12">
        <v>1.76</v>
      </c>
      <c r="J96" s="12">
        <v>0.05</v>
      </c>
      <c r="K96" s="12">
        <v>320.91000000000003</v>
      </c>
      <c r="L96" s="12">
        <v>22.16</v>
      </c>
      <c r="M96" s="12">
        <v>67</v>
      </c>
      <c r="N96" s="12">
        <v>24.6</v>
      </c>
      <c r="O96" s="12">
        <v>0</v>
      </c>
      <c r="P96" s="12">
        <v>4.8499999999999996</v>
      </c>
      <c r="Q96" s="12">
        <v>57.1</v>
      </c>
      <c r="R96" s="197"/>
      <c r="S96" s="197"/>
      <c r="T96" s="197"/>
      <c r="U96" s="197"/>
      <c r="Z96" s="108"/>
    </row>
    <row r="97" spans="1:33" s="12" customFormat="1" x14ac:dyDescent="0.25">
      <c r="A97" s="215" t="s">
        <v>1679</v>
      </c>
      <c r="B97" s="12">
        <v>169.04</v>
      </c>
      <c r="C97" s="12">
        <v>154.6</v>
      </c>
      <c r="D97" s="12">
        <v>220.88</v>
      </c>
      <c r="E97" s="12">
        <v>6.66</v>
      </c>
      <c r="F97" s="12">
        <v>0.53</v>
      </c>
      <c r="G97" s="12">
        <v>239.94</v>
      </c>
      <c r="H97" s="12">
        <v>47.08</v>
      </c>
      <c r="I97" s="12">
        <v>1.85</v>
      </c>
      <c r="J97" s="12">
        <v>0.06</v>
      </c>
      <c r="K97" s="12">
        <v>260.66000000000003</v>
      </c>
      <c r="L97" s="12">
        <v>22.09</v>
      </c>
      <c r="M97" s="12">
        <v>64</v>
      </c>
      <c r="N97" s="12">
        <v>24.5</v>
      </c>
      <c r="O97" s="12">
        <v>0</v>
      </c>
      <c r="P97" s="12">
        <v>4.9000000000000004</v>
      </c>
      <c r="Q97" s="12">
        <v>56.94</v>
      </c>
      <c r="R97" s="197"/>
      <c r="S97" s="197"/>
      <c r="T97" s="197"/>
      <c r="U97" s="197"/>
    </row>
    <row r="98" spans="1:33" s="12" customFormat="1" x14ac:dyDescent="0.25">
      <c r="A98" s="215" t="s">
        <v>1680</v>
      </c>
      <c r="B98" s="12">
        <v>171.73</v>
      </c>
      <c r="C98" s="12">
        <v>153.94999999999999</v>
      </c>
      <c r="D98" s="12">
        <v>222.68</v>
      </c>
      <c r="E98" s="12">
        <v>6.53</v>
      </c>
      <c r="F98" s="12">
        <v>0.56000000000000005</v>
      </c>
      <c r="G98" s="12">
        <v>239.94</v>
      </c>
      <c r="H98" s="12">
        <v>47.08</v>
      </c>
      <c r="I98" s="12">
        <v>1.94</v>
      </c>
      <c r="J98" s="12">
        <v>0.11</v>
      </c>
      <c r="K98" s="12">
        <v>310.98</v>
      </c>
      <c r="L98" s="12">
        <v>22.03</v>
      </c>
      <c r="M98" s="12">
        <v>65</v>
      </c>
      <c r="N98" s="12">
        <v>24.5</v>
      </c>
      <c r="O98" s="12">
        <v>0</v>
      </c>
      <c r="P98" s="12">
        <v>4.93</v>
      </c>
      <c r="Q98" s="12">
        <v>57.84</v>
      </c>
      <c r="R98" s="197"/>
      <c r="S98" s="197"/>
      <c r="T98" s="197"/>
      <c r="U98" s="197"/>
    </row>
    <row r="99" spans="1:33" s="12" customFormat="1" x14ac:dyDescent="0.25">
      <c r="A99" s="215" t="s">
        <v>1681</v>
      </c>
      <c r="B99" s="12">
        <v>173.26</v>
      </c>
      <c r="C99" s="12">
        <v>149.81</v>
      </c>
      <c r="D99" s="12">
        <v>221.62</v>
      </c>
      <c r="E99" s="12">
        <v>6.41</v>
      </c>
      <c r="F99" s="12">
        <v>0.53</v>
      </c>
      <c r="G99" s="12">
        <v>233.1</v>
      </c>
      <c r="H99" s="12">
        <v>47.4</v>
      </c>
      <c r="I99" s="12">
        <v>2</v>
      </c>
      <c r="J99" s="12">
        <v>0.03</v>
      </c>
      <c r="K99" s="12">
        <v>327.71</v>
      </c>
      <c r="L99" s="12">
        <v>21.69</v>
      </c>
      <c r="M99" s="12">
        <v>66</v>
      </c>
      <c r="N99" s="12">
        <v>24.6</v>
      </c>
      <c r="O99" s="12">
        <v>0</v>
      </c>
      <c r="P99" s="12">
        <v>5.05</v>
      </c>
      <c r="Q99" s="12">
        <v>58.12</v>
      </c>
      <c r="R99" s="197"/>
      <c r="S99" s="197"/>
      <c r="T99" s="197"/>
      <c r="U99" s="197"/>
    </row>
    <row r="100" spans="1:33" s="12" customFormat="1" x14ac:dyDescent="0.25">
      <c r="A100" s="215" t="s">
        <v>1682</v>
      </c>
      <c r="B100" s="12">
        <v>173.86</v>
      </c>
      <c r="C100" s="12">
        <v>149.19999999999999</v>
      </c>
      <c r="D100" s="12">
        <v>221.76</v>
      </c>
      <c r="E100" s="12">
        <v>6.57</v>
      </c>
      <c r="F100" s="12">
        <v>0.57999999999999996</v>
      </c>
      <c r="G100" s="12">
        <v>226.67</v>
      </c>
      <c r="H100" s="12">
        <v>47.92</v>
      </c>
      <c r="I100" s="12">
        <v>2.0299999999999998</v>
      </c>
      <c r="J100" s="12">
        <v>0.08</v>
      </c>
      <c r="K100" s="12">
        <v>302.97000000000003</v>
      </c>
      <c r="L100" s="12">
        <v>21.41</v>
      </c>
      <c r="M100" s="12">
        <v>67</v>
      </c>
      <c r="N100" s="12">
        <v>24.6</v>
      </c>
      <c r="O100" s="12">
        <v>0</v>
      </c>
      <c r="P100" s="12">
        <v>5.05</v>
      </c>
      <c r="Q100" s="12">
        <v>58.4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15" t="s">
        <v>1683</v>
      </c>
      <c r="B101" s="12">
        <v>169.14</v>
      </c>
      <c r="C101" s="12">
        <v>142.86000000000001</v>
      </c>
      <c r="D101" s="12">
        <v>214.48</v>
      </c>
      <c r="E101" s="12">
        <v>6.43</v>
      </c>
      <c r="F101" s="12">
        <v>0.52</v>
      </c>
      <c r="G101" s="12">
        <v>226.67</v>
      </c>
      <c r="H101" s="12">
        <v>47.92</v>
      </c>
      <c r="I101" s="12">
        <v>2.06</v>
      </c>
      <c r="J101" s="12">
        <v>0.04</v>
      </c>
      <c r="K101" s="12">
        <v>192.11</v>
      </c>
      <c r="L101" s="12">
        <v>21.47</v>
      </c>
      <c r="M101" s="12">
        <v>63</v>
      </c>
      <c r="N101" s="12">
        <v>24.4</v>
      </c>
      <c r="O101" s="12">
        <v>0</v>
      </c>
      <c r="P101" s="12">
        <v>4.9800000000000004</v>
      </c>
      <c r="Q101" s="12">
        <v>59.03</v>
      </c>
      <c r="R101" s="197"/>
      <c r="S101" s="197"/>
      <c r="T101" s="197"/>
      <c r="U101" s="197"/>
    </row>
    <row r="102" spans="1:33" s="12" customFormat="1" x14ac:dyDescent="0.25">
      <c r="A102" s="215" t="s">
        <v>1684</v>
      </c>
      <c r="B102" s="12">
        <v>163.19</v>
      </c>
      <c r="C102" s="12">
        <v>138.01</v>
      </c>
      <c r="D102" s="12">
        <v>207.02</v>
      </c>
      <c r="E102" s="12">
        <v>6.59</v>
      </c>
      <c r="F102" s="12">
        <v>0.47</v>
      </c>
      <c r="G102" s="12">
        <v>226.67</v>
      </c>
      <c r="H102" s="12">
        <v>47.92</v>
      </c>
      <c r="I102" s="12">
        <v>2.0699999999999998</v>
      </c>
      <c r="J102" s="12">
        <v>0.04</v>
      </c>
      <c r="K102" s="12">
        <v>227.15</v>
      </c>
      <c r="L102" s="12">
        <v>21.46</v>
      </c>
      <c r="M102" s="12">
        <v>62</v>
      </c>
      <c r="N102" s="12">
        <v>24.6</v>
      </c>
      <c r="O102" s="12">
        <v>0</v>
      </c>
      <c r="P102" s="12">
        <v>4.84</v>
      </c>
      <c r="Q102" s="12">
        <v>59.49</v>
      </c>
      <c r="R102" s="197"/>
      <c r="S102" s="197"/>
      <c r="T102" s="197"/>
      <c r="U102" s="197"/>
    </row>
    <row r="103" spans="1:33" s="12" customFormat="1" x14ac:dyDescent="0.25">
      <c r="A103" s="215" t="s">
        <v>1685</v>
      </c>
      <c r="B103" s="12">
        <v>157.12</v>
      </c>
      <c r="C103" s="12">
        <v>135.13999999999999</v>
      </c>
      <c r="D103" s="12">
        <v>200.58</v>
      </c>
      <c r="E103" s="12">
        <v>6.78</v>
      </c>
      <c r="F103" s="12">
        <v>0.49</v>
      </c>
      <c r="G103" s="12">
        <v>185.53</v>
      </c>
      <c r="H103" s="12">
        <v>47.09</v>
      </c>
      <c r="I103" s="12">
        <v>2.04</v>
      </c>
      <c r="J103" s="12">
        <v>0.17</v>
      </c>
      <c r="K103" s="12">
        <v>111.29</v>
      </c>
      <c r="L103" s="12">
        <v>21.39</v>
      </c>
      <c r="M103" s="12">
        <v>64</v>
      </c>
      <c r="N103" s="12">
        <v>24.3</v>
      </c>
      <c r="O103" s="12">
        <v>0</v>
      </c>
      <c r="P103" s="12">
        <v>4.7300000000000004</v>
      </c>
      <c r="Q103" s="12">
        <v>58.84</v>
      </c>
      <c r="R103" s="197"/>
      <c r="S103" s="197"/>
      <c r="T103" s="197"/>
      <c r="U103" s="197"/>
    </row>
    <row r="104" spans="1:33" s="12" customFormat="1" x14ac:dyDescent="0.25">
      <c r="A104" s="215" t="s">
        <v>1686</v>
      </c>
      <c r="B104" s="12">
        <v>154.99</v>
      </c>
      <c r="C104" s="12">
        <v>133.81</v>
      </c>
      <c r="D104" s="12">
        <v>198.13</v>
      </c>
      <c r="E104" s="12">
        <v>2.87</v>
      </c>
      <c r="F104" s="12">
        <v>0.49</v>
      </c>
      <c r="G104" s="12">
        <v>146.82</v>
      </c>
      <c r="H104" s="12">
        <v>45.78</v>
      </c>
      <c r="I104" s="12">
        <v>2</v>
      </c>
      <c r="J104" s="12">
        <v>0.1</v>
      </c>
      <c r="K104" s="12">
        <v>336.48</v>
      </c>
      <c r="L104" s="12">
        <v>21.2</v>
      </c>
      <c r="M104" s="12">
        <v>66</v>
      </c>
      <c r="N104" s="12">
        <v>24.5</v>
      </c>
      <c r="O104" s="12">
        <v>0</v>
      </c>
      <c r="P104" s="12">
        <v>4.5599999999999996</v>
      </c>
      <c r="Q104" s="12">
        <v>59.58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9.5</v>
      </c>
      <c r="C106" s="66">
        <f>MIN(C9:C104)</f>
        <v>60.51</v>
      </c>
      <c r="D106" s="66">
        <f t="shared" ref="D106:Q106" si="0">MIN(D9:D104)</f>
        <v>41.24</v>
      </c>
      <c r="E106" s="66">
        <f t="shared" si="0"/>
        <v>1.39</v>
      </c>
      <c r="F106" s="66">
        <f t="shared" si="0"/>
        <v>0.39</v>
      </c>
      <c r="G106" s="66">
        <f t="shared" si="0"/>
        <v>21.39</v>
      </c>
      <c r="H106" s="66">
        <f t="shared" si="0"/>
        <v>12.84</v>
      </c>
      <c r="I106" s="66">
        <f t="shared" si="0"/>
        <v>0.33</v>
      </c>
      <c r="J106" s="66">
        <f t="shared" si="0"/>
        <v>0.01</v>
      </c>
      <c r="K106" s="66">
        <f t="shared" si="0"/>
        <v>1.03</v>
      </c>
      <c r="L106" s="66">
        <f t="shared" si="0"/>
        <v>19.34</v>
      </c>
      <c r="M106" s="66">
        <f t="shared" si="0"/>
        <v>22</v>
      </c>
      <c r="N106" s="66">
        <f t="shared" si="0"/>
        <v>23.8</v>
      </c>
      <c r="O106" s="66">
        <f t="shared" si="0"/>
        <v>0</v>
      </c>
      <c r="P106" s="66">
        <f t="shared" si="0"/>
        <v>0.87</v>
      </c>
      <c r="Q106" s="66">
        <f t="shared" si="0"/>
        <v>42.03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173.86</v>
      </c>
      <c r="C107" s="65">
        <f t="shared" ref="C107:Q107" si="1">MAX(C9:C104)</f>
        <v>158.19999999999999</v>
      </c>
      <c r="D107" s="65">
        <f t="shared" si="1"/>
        <v>222.68</v>
      </c>
      <c r="E107" s="65">
        <f t="shared" si="1"/>
        <v>21.16</v>
      </c>
      <c r="F107" s="65">
        <f t="shared" si="1"/>
        <v>10.66</v>
      </c>
      <c r="G107" s="65">
        <f t="shared" si="1"/>
        <v>239.94</v>
      </c>
      <c r="H107" s="65">
        <f t="shared" si="1"/>
        <v>47.92</v>
      </c>
      <c r="I107" s="65">
        <f t="shared" si="1"/>
        <v>2.0699999999999998</v>
      </c>
      <c r="J107" s="65">
        <f t="shared" si="1"/>
        <v>0.92</v>
      </c>
      <c r="K107" s="65">
        <f t="shared" si="1"/>
        <v>357.97</v>
      </c>
      <c r="L107" s="65">
        <f t="shared" si="1"/>
        <v>33.61</v>
      </c>
      <c r="M107" s="65">
        <f t="shared" si="1"/>
        <v>67</v>
      </c>
      <c r="N107" s="65">
        <f t="shared" si="1"/>
        <v>420.3</v>
      </c>
      <c r="O107" s="65">
        <f t="shared" si="1"/>
        <v>0</v>
      </c>
      <c r="P107" s="65">
        <f t="shared" si="1"/>
        <v>5.05</v>
      </c>
      <c r="Q107" s="65">
        <f t="shared" si="1"/>
        <v>59.58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42.519375000000004</v>
      </c>
      <c r="C108" s="66">
        <f t="shared" ref="C108:Q108" si="2">AVERAGE(C9:C104)</f>
        <v>89.428541666666675</v>
      </c>
      <c r="D108" s="66">
        <f t="shared" si="2"/>
        <v>83.450312500000024</v>
      </c>
      <c r="E108" s="66">
        <f t="shared" si="2"/>
        <v>6.0837499999999993</v>
      </c>
      <c r="F108" s="66">
        <f t="shared" si="2"/>
        <v>1.680312500000001</v>
      </c>
      <c r="G108" s="66">
        <f t="shared" si="2"/>
        <v>90.822812499999927</v>
      </c>
      <c r="H108" s="66">
        <f t="shared" si="2"/>
        <v>24.421770833333337</v>
      </c>
      <c r="I108" s="66">
        <f t="shared" si="2"/>
        <v>0.67385416666666664</v>
      </c>
      <c r="J108" s="66">
        <f t="shared" si="2"/>
        <v>0.30781249999999988</v>
      </c>
      <c r="K108" s="66">
        <f t="shared" si="2"/>
        <v>122.7475</v>
      </c>
      <c r="L108" s="66">
        <f t="shared" si="2"/>
        <v>25.29624999999999</v>
      </c>
      <c r="M108" s="66">
        <f t="shared" si="2"/>
        <v>44.302083333333336</v>
      </c>
      <c r="N108" s="66">
        <f t="shared" si="2"/>
        <v>115.421875</v>
      </c>
      <c r="O108" s="66">
        <f t="shared" si="2"/>
        <v>0</v>
      </c>
      <c r="P108" s="66">
        <f t="shared" si="2"/>
        <v>1.7701041666666664</v>
      </c>
      <c r="Q108" s="66">
        <f t="shared" si="2"/>
        <v>47.258437500000007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46.367298295072253</v>
      </c>
      <c r="C109" s="66">
        <f t="shared" ref="C109:Q109" si="3">STDEV(C9:C104)</f>
        <v>27.474244282664198</v>
      </c>
      <c r="D109" s="66">
        <f t="shared" si="3"/>
        <v>50.965610747333166</v>
      </c>
      <c r="E109" s="66">
        <f t="shared" si="3"/>
        <v>3.3153563752237631</v>
      </c>
      <c r="F109" s="66">
        <f t="shared" si="3"/>
        <v>2.3840489455965446</v>
      </c>
      <c r="G109" s="66">
        <f t="shared" si="3"/>
        <v>62.47389118163693</v>
      </c>
      <c r="H109" s="66">
        <f t="shared" si="3"/>
        <v>10.216903846056358</v>
      </c>
      <c r="I109" s="66">
        <f t="shared" si="3"/>
        <v>0.48547832038248995</v>
      </c>
      <c r="J109" s="66">
        <f t="shared" si="3"/>
        <v>0.25282073168239405</v>
      </c>
      <c r="K109" s="66">
        <f t="shared" si="3"/>
        <v>121.6100750241049</v>
      </c>
      <c r="L109" s="66">
        <f t="shared" si="3"/>
        <v>4.3741533316084835</v>
      </c>
      <c r="M109" s="66">
        <f t="shared" si="3"/>
        <v>14.5855875450764</v>
      </c>
      <c r="N109" s="66">
        <f t="shared" si="3"/>
        <v>133.64763585293593</v>
      </c>
      <c r="O109" s="66">
        <f t="shared" si="3"/>
        <v>0</v>
      </c>
      <c r="P109" s="66">
        <f t="shared" si="3"/>
        <v>1.2708724684799615</v>
      </c>
      <c r="Q109" s="66">
        <f t="shared" si="3"/>
        <v>4.6180258548488693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>COUNT(H9:H104)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4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1" sqref="J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16-12-2022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1687</v>
      </c>
      <c r="B9" s="59">
        <v>149.38999999999999</v>
      </c>
      <c r="C9" s="59">
        <v>130.81</v>
      </c>
      <c r="D9" s="59">
        <v>191.98</v>
      </c>
      <c r="E9" s="59">
        <v>5.38</v>
      </c>
      <c r="F9" s="59">
        <v>0.56000000000000005</v>
      </c>
      <c r="G9" s="59">
        <v>146.82</v>
      </c>
      <c r="H9" s="59">
        <v>45.78</v>
      </c>
      <c r="I9" s="59">
        <v>1.97</v>
      </c>
      <c r="J9" s="59">
        <v>0.28999999999999998</v>
      </c>
      <c r="K9" s="59">
        <v>9.9</v>
      </c>
      <c r="L9" s="59">
        <v>21.06</v>
      </c>
      <c r="M9" s="59">
        <v>71</v>
      </c>
      <c r="N9" s="59">
        <v>24.2</v>
      </c>
      <c r="O9" s="59">
        <v>0</v>
      </c>
      <c r="P9" s="59">
        <v>4.4000000000000004</v>
      </c>
      <c r="Q9" s="59">
        <v>59.22</v>
      </c>
      <c r="R9" s="197"/>
      <c r="S9" s="197"/>
      <c r="T9" s="197"/>
      <c r="U9" s="197"/>
    </row>
    <row r="10" spans="1:21" s="12" customFormat="1" x14ac:dyDescent="0.25">
      <c r="A10" s="200" t="s">
        <v>1688</v>
      </c>
      <c r="B10" s="59">
        <v>142.16999999999999</v>
      </c>
      <c r="C10" s="59">
        <v>127.85</v>
      </c>
      <c r="D10" s="59">
        <v>184.56</v>
      </c>
      <c r="E10" s="59">
        <v>5.42</v>
      </c>
      <c r="F10" s="59">
        <v>0.46</v>
      </c>
      <c r="G10" s="59">
        <v>146.82</v>
      </c>
      <c r="H10" s="59">
        <v>45.78</v>
      </c>
      <c r="I10" s="59">
        <v>1.91</v>
      </c>
      <c r="J10" s="59">
        <v>0.41</v>
      </c>
      <c r="K10" s="59">
        <v>11.27</v>
      </c>
      <c r="L10" s="59">
        <v>21.71</v>
      </c>
      <c r="M10" s="59">
        <v>63</v>
      </c>
      <c r="N10" s="59">
        <v>23.5</v>
      </c>
      <c r="O10" s="59">
        <v>0</v>
      </c>
      <c r="P10" s="59">
        <v>4.3099999999999996</v>
      </c>
      <c r="Q10" s="59">
        <v>58.18</v>
      </c>
      <c r="R10" s="197"/>
      <c r="S10" s="197"/>
      <c r="T10" s="197"/>
      <c r="U10" s="197"/>
    </row>
    <row r="11" spans="1:21" s="12" customFormat="1" x14ac:dyDescent="0.25">
      <c r="A11" s="200" t="s">
        <v>1689</v>
      </c>
      <c r="B11" s="59">
        <v>135.44999999999999</v>
      </c>
      <c r="C11" s="59">
        <v>126.47</v>
      </c>
      <c r="D11" s="59">
        <v>178.42</v>
      </c>
      <c r="E11" s="59">
        <v>5.54</v>
      </c>
      <c r="F11" s="59">
        <v>0.45</v>
      </c>
      <c r="G11" s="59">
        <v>141.13999999999999</v>
      </c>
      <c r="H11" s="59">
        <v>46.22</v>
      </c>
      <c r="I11" s="59">
        <v>1.82</v>
      </c>
      <c r="J11" s="59">
        <v>0.11</v>
      </c>
      <c r="K11" s="59">
        <v>70.67</v>
      </c>
      <c r="L11" s="59">
        <v>21.98</v>
      </c>
      <c r="M11" s="59">
        <v>58</v>
      </c>
      <c r="N11" s="59">
        <v>24.4</v>
      </c>
      <c r="O11" s="59">
        <v>0</v>
      </c>
      <c r="P11" s="59">
        <v>4.2699999999999996</v>
      </c>
      <c r="Q11" s="59">
        <v>57.15</v>
      </c>
      <c r="R11" s="197"/>
      <c r="S11" s="197"/>
      <c r="T11" s="197"/>
      <c r="U11" s="197"/>
    </row>
    <row r="12" spans="1:21" s="12" customFormat="1" x14ac:dyDescent="0.25">
      <c r="A12" s="200" t="s">
        <v>1690</v>
      </c>
      <c r="B12" s="59">
        <v>129.22999999999999</v>
      </c>
      <c r="C12" s="59">
        <v>125.07</v>
      </c>
      <c r="D12" s="59">
        <v>172.66</v>
      </c>
      <c r="E12" s="59">
        <v>5.38</v>
      </c>
      <c r="F12" s="59">
        <v>0.49</v>
      </c>
      <c r="G12" s="59">
        <v>122.98</v>
      </c>
      <c r="H12" s="59">
        <v>46.91</v>
      </c>
      <c r="I12" s="59">
        <v>1.65</v>
      </c>
      <c r="J12" s="59">
        <v>0.08</v>
      </c>
      <c r="K12" s="59">
        <v>261.01</v>
      </c>
      <c r="L12" s="59">
        <v>21.81</v>
      </c>
      <c r="M12" s="59">
        <v>58</v>
      </c>
      <c r="N12" s="59">
        <v>24.5</v>
      </c>
      <c r="O12" s="59">
        <v>0</v>
      </c>
      <c r="P12" s="59">
        <v>4.22</v>
      </c>
      <c r="Q12" s="59">
        <v>55.95</v>
      </c>
      <c r="R12" s="197"/>
      <c r="S12" s="197"/>
      <c r="T12" s="197"/>
      <c r="U12" s="197"/>
    </row>
    <row r="13" spans="1:21" s="12" customFormat="1" x14ac:dyDescent="0.25">
      <c r="A13" s="200" t="s">
        <v>1691</v>
      </c>
      <c r="B13" s="59">
        <v>122.15</v>
      </c>
      <c r="C13" s="59">
        <v>122.48</v>
      </c>
      <c r="D13" s="59">
        <v>165.55</v>
      </c>
      <c r="E13" s="59">
        <v>5.39</v>
      </c>
      <c r="F13" s="59">
        <v>0.48</v>
      </c>
      <c r="G13" s="59">
        <v>122.98</v>
      </c>
      <c r="H13" s="59">
        <v>46.91</v>
      </c>
      <c r="I13" s="59">
        <v>1.75</v>
      </c>
      <c r="J13" s="59">
        <v>0.09</v>
      </c>
      <c r="K13" s="59">
        <v>286.7</v>
      </c>
      <c r="L13" s="59">
        <v>21.44</v>
      </c>
      <c r="M13" s="59">
        <v>60</v>
      </c>
      <c r="N13" s="59">
        <v>24.7</v>
      </c>
      <c r="O13" s="59">
        <v>0</v>
      </c>
      <c r="P13" s="59">
        <v>3.82</v>
      </c>
      <c r="Q13" s="59">
        <v>55.11</v>
      </c>
      <c r="R13" s="197"/>
      <c r="S13" s="197"/>
      <c r="T13" s="197"/>
      <c r="U13" s="197"/>
    </row>
    <row r="14" spans="1:21" s="12" customFormat="1" x14ac:dyDescent="0.25">
      <c r="A14" s="200" t="s">
        <v>1692</v>
      </c>
      <c r="B14" s="59">
        <v>112.96</v>
      </c>
      <c r="C14" s="59">
        <v>119.15</v>
      </c>
      <c r="D14" s="59">
        <v>156.34</v>
      </c>
      <c r="E14" s="59">
        <v>5.18</v>
      </c>
      <c r="F14" s="59">
        <v>0.48</v>
      </c>
      <c r="G14" s="59">
        <v>122.98</v>
      </c>
      <c r="H14" s="59">
        <v>46.91</v>
      </c>
      <c r="I14" s="59">
        <v>1.6</v>
      </c>
      <c r="J14" s="59">
        <v>0.15</v>
      </c>
      <c r="K14" s="59">
        <v>307.52</v>
      </c>
      <c r="L14" s="59">
        <v>21.14</v>
      </c>
      <c r="M14" s="59">
        <v>63</v>
      </c>
      <c r="N14" s="59">
        <v>24.5</v>
      </c>
      <c r="O14" s="59">
        <v>0</v>
      </c>
      <c r="P14" s="59">
        <v>3.92</v>
      </c>
      <c r="Q14" s="59">
        <v>54.14</v>
      </c>
      <c r="R14" s="197"/>
      <c r="S14" s="197"/>
      <c r="T14" s="197"/>
      <c r="U14" s="197"/>
    </row>
    <row r="15" spans="1:21" s="12" customFormat="1" x14ac:dyDescent="0.25">
      <c r="A15" s="200" t="s">
        <v>1693</v>
      </c>
      <c r="B15" s="59">
        <v>105.48</v>
      </c>
      <c r="C15" s="59">
        <v>115.62</v>
      </c>
      <c r="D15" s="59">
        <v>148.38999999999999</v>
      </c>
      <c r="E15" s="59">
        <v>4.72</v>
      </c>
      <c r="F15" s="59">
        <v>0.45</v>
      </c>
      <c r="G15" s="59">
        <v>121.72</v>
      </c>
      <c r="H15" s="59">
        <v>45.74</v>
      </c>
      <c r="I15" s="59">
        <v>1.7</v>
      </c>
      <c r="J15" s="59">
        <v>0.04</v>
      </c>
      <c r="K15" s="59">
        <v>58.72</v>
      </c>
      <c r="L15" s="59">
        <v>20.59</v>
      </c>
      <c r="M15" s="59">
        <v>67</v>
      </c>
      <c r="N15" s="59">
        <v>24.8</v>
      </c>
      <c r="O15" s="59">
        <v>0</v>
      </c>
      <c r="P15" s="59">
        <v>3.86</v>
      </c>
      <c r="Q15" s="59">
        <v>52.11</v>
      </c>
      <c r="R15" s="197"/>
      <c r="S15" s="197"/>
      <c r="T15" s="197"/>
      <c r="U15" s="197"/>
    </row>
    <row r="16" spans="1:21" s="12" customFormat="1" x14ac:dyDescent="0.25">
      <c r="A16" s="200" t="s">
        <v>1694</v>
      </c>
      <c r="B16" s="59">
        <v>101.39</v>
      </c>
      <c r="C16" s="59">
        <v>113.57</v>
      </c>
      <c r="D16" s="59">
        <v>143.97999999999999</v>
      </c>
      <c r="E16" s="59">
        <v>5.35</v>
      </c>
      <c r="F16" s="59">
        <v>0.51</v>
      </c>
      <c r="G16" s="59">
        <v>120.5</v>
      </c>
      <c r="H16" s="59">
        <v>43.81</v>
      </c>
      <c r="I16" s="59">
        <v>1.62</v>
      </c>
      <c r="J16" s="59">
        <v>0.12</v>
      </c>
      <c r="K16" s="59">
        <v>320.31</v>
      </c>
      <c r="L16" s="59">
        <v>20.27</v>
      </c>
      <c r="M16" s="59">
        <v>68</v>
      </c>
      <c r="N16" s="59">
        <v>24.6</v>
      </c>
      <c r="O16" s="59">
        <v>0</v>
      </c>
      <c r="P16" s="59">
        <v>3.79</v>
      </c>
      <c r="Q16" s="59">
        <v>51.34</v>
      </c>
      <c r="R16" s="197"/>
      <c r="S16" s="197"/>
      <c r="T16" s="197"/>
      <c r="U16" s="197"/>
    </row>
    <row r="17" spans="1:21" s="12" customFormat="1" x14ac:dyDescent="0.25">
      <c r="A17" s="200" t="s">
        <v>1695</v>
      </c>
      <c r="B17" s="59">
        <v>97.85</v>
      </c>
      <c r="C17" s="59">
        <v>111.2</v>
      </c>
      <c r="D17" s="59">
        <v>139.84</v>
      </c>
      <c r="E17" s="59">
        <v>5.13</v>
      </c>
      <c r="F17" s="59">
        <v>0.43</v>
      </c>
      <c r="G17" s="59">
        <v>120.5</v>
      </c>
      <c r="H17" s="59">
        <v>43.81</v>
      </c>
      <c r="I17" s="59">
        <v>1.46</v>
      </c>
      <c r="J17" s="59">
        <v>0.11</v>
      </c>
      <c r="K17" s="59">
        <v>283.86</v>
      </c>
      <c r="L17" s="59">
        <v>20.29</v>
      </c>
      <c r="M17" s="59">
        <v>65</v>
      </c>
      <c r="N17" s="59">
        <v>24.5</v>
      </c>
      <c r="O17" s="59">
        <v>0</v>
      </c>
      <c r="P17" s="59">
        <v>3.7</v>
      </c>
      <c r="Q17" s="59">
        <v>51.06</v>
      </c>
      <c r="R17" s="197"/>
      <c r="S17" s="197"/>
      <c r="T17" s="197"/>
      <c r="U17" s="197"/>
    </row>
    <row r="18" spans="1:21" s="12" customFormat="1" x14ac:dyDescent="0.25">
      <c r="A18" s="200" t="s">
        <v>1696</v>
      </c>
      <c r="B18" s="59">
        <v>93.47</v>
      </c>
      <c r="C18" s="59">
        <v>109.25</v>
      </c>
      <c r="D18" s="59">
        <v>135.25</v>
      </c>
      <c r="E18" s="59">
        <v>5.0999999999999996</v>
      </c>
      <c r="F18" s="59">
        <v>0.52</v>
      </c>
      <c r="G18" s="59">
        <v>120.5</v>
      </c>
      <c r="H18" s="59">
        <v>43.81</v>
      </c>
      <c r="I18" s="59">
        <v>1.44</v>
      </c>
      <c r="J18" s="59">
        <v>0.11</v>
      </c>
      <c r="K18" s="59">
        <v>322.33</v>
      </c>
      <c r="L18" s="59">
        <v>20.190000000000001</v>
      </c>
      <c r="M18" s="59">
        <v>65</v>
      </c>
      <c r="N18" s="59">
        <v>24.6</v>
      </c>
      <c r="O18" s="59">
        <v>0</v>
      </c>
      <c r="P18" s="59">
        <v>3.59</v>
      </c>
      <c r="Q18" s="59">
        <v>50.78</v>
      </c>
      <c r="R18" s="197"/>
      <c r="S18" s="197"/>
      <c r="T18" s="197"/>
      <c r="U18" s="197"/>
    </row>
    <row r="19" spans="1:21" s="12" customFormat="1" x14ac:dyDescent="0.25">
      <c r="A19" s="200" t="s">
        <v>1697</v>
      </c>
      <c r="B19" s="59">
        <v>88.73</v>
      </c>
      <c r="C19" s="59">
        <v>106.26</v>
      </c>
      <c r="D19" s="59">
        <v>129.79</v>
      </c>
      <c r="E19" s="59">
        <v>4.8499999999999996</v>
      </c>
      <c r="F19" s="59">
        <v>0.37</v>
      </c>
      <c r="G19" s="59">
        <v>109.46</v>
      </c>
      <c r="H19" s="59">
        <v>43.81</v>
      </c>
      <c r="I19" s="59">
        <v>1.42</v>
      </c>
      <c r="J19" s="59">
        <v>0.16</v>
      </c>
      <c r="K19" s="59">
        <v>318.89999999999998</v>
      </c>
      <c r="L19" s="59">
        <v>19.940000000000001</v>
      </c>
      <c r="M19" s="59">
        <v>68</v>
      </c>
      <c r="N19" s="59">
        <v>24.4</v>
      </c>
      <c r="O19" s="59">
        <v>0</v>
      </c>
      <c r="P19" s="59">
        <v>3.47</v>
      </c>
      <c r="Q19" s="59">
        <v>50.54</v>
      </c>
      <c r="R19" s="197"/>
      <c r="S19" s="197"/>
      <c r="T19" s="197"/>
      <c r="U19" s="197"/>
    </row>
    <row r="20" spans="1:21" s="12" customFormat="1" x14ac:dyDescent="0.25">
      <c r="A20" s="200" t="s">
        <v>1698</v>
      </c>
      <c r="B20" s="59">
        <v>82.06</v>
      </c>
      <c r="C20" s="59">
        <v>101.36</v>
      </c>
      <c r="D20" s="59">
        <v>121.75</v>
      </c>
      <c r="E20" s="59">
        <v>5.31</v>
      </c>
      <c r="F20" s="59">
        <v>0.51</v>
      </c>
      <c r="G20" s="59">
        <v>98.41</v>
      </c>
      <c r="H20" s="59">
        <v>43.81</v>
      </c>
      <c r="I20" s="59">
        <v>1.38</v>
      </c>
      <c r="J20" s="59">
        <v>0.14000000000000001</v>
      </c>
      <c r="K20" s="59">
        <v>7.29</v>
      </c>
      <c r="L20" s="59">
        <v>20.46</v>
      </c>
      <c r="M20" s="59">
        <v>59</v>
      </c>
      <c r="N20" s="59">
        <v>23.8</v>
      </c>
      <c r="O20" s="59">
        <v>0</v>
      </c>
      <c r="P20" s="59">
        <v>3.33</v>
      </c>
      <c r="Q20" s="59">
        <v>50.29</v>
      </c>
      <c r="R20" s="197"/>
      <c r="S20" s="197"/>
      <c r="T20" s="197"/>
      <c r="U20" s="197"/>
    </row>
    <row r="21" spans="1:21" s="12" customFormat="1" x14ac:dyDescent="0.25">
      <c r="A21" s="200" t="s">
        <v>1699</v>
      </c>
      <c r="B21" s="59">
        <v>78.209999999999994</v>
      </c>
      <c r="C21" s="59">
        <v>99.69</v>
      </c>
      <c r="D21" s="59">
        <v>117.74</v>
      </c>
      <c r="E21" s="59">
        <v>5.48</v>
      </c>
      <c r="F21" s="59">
        <v>0.53</v>
      </c>
      <c r="G21" s="59">
        <v>98.41</v>
      </c>
      <c r="H21" s="59">
        <v>43.81</v>
      </c>
      <c r="I21" s="59">
        <v>1.36</v>
      </c>
      <c r="J21" s="59">
        <v>0.17</v>
      </c>
      <c r="K21" s="59">
        <v>77.52</v>
      </c>
      <c r="L21" s="59">
        <v>21.24</v>
      </c>
      <c r="M21" s="59">
        <v>53</v>
      </c>
      <c r="N21" s="59">
        <v>23.8</v>
      </c>
      <c r="O21" s="59">
        <v>0</v>
      </c>
      <c r="P21" s="59">
        <v>3.16</v>
      </c>
      <c r="Q21" s="59">
        <v>50.22</v>
      </c>
      <c r="R21" s="197"/>
      <c r="S21" s="197"/>
      <c r="T21" s="197"/>
      <c r="U21" s="197"/>
    </row>
    <row r="22" spans="1:21" s="12" customFormat="1" x14ac:dyDescent="0.25">
      <c r="A22" s="200" t="s">
        <v>1700</v>
      </c>
      <c r="B22" s="59">
        <v>74.53</v>
      </c>
      <c r="C22" s="59">
        <v>98.95</v>
      </c>
      <c r="D22" s="59">
        <v>114.37</v>
      </c>
      <c r="E22" s="59">
        <v>5.92</v>
      </c>
      <c r="F22" s="59">
        <v>0.49</v>
      </c>
      <c r="G22" s="59">
        <v>98.41</v>
      </c>
      <c r="H22" s="59">
        <v>43.81</v>
      </c>
      <c r="I22" s="59">
        <v>1.31</v>
      </c>
      <c r="J22" s="59">
        <v>0.19</v>
      </c>
      <c r="K22" s="59">
        <v>21.18</v>
      </c>
      <c r="L22" s="59">
        <v>21.38</v>
      </c>
      <c r="M22" s="59">
        <v>52</v>
      </c>
      <c r="N22" s="59">
        <v>24.3</v>
      </c>
      <c r="O22" s="59">
        <v>0</v>
      </c>
      <c r="P22" s="59">
        <v>3.02</v>
      </c>
      <c r="Q22" s="59">
        <v>50.92</v>
      </c>
      <c r="R22" s="197"/>
      <c r="S22" s="197"/>
      <c r="T22" s="197"/>
      <c r="U22" s="197"/>
    </row>
    <row r="23" spans="1:21" s="12" customFormat="1" x14ac:dyDescent="0.25">
      <c r="A23" s="200" t="s">
        <v>1701</v>
      </c>
      <c r="B23" s="59">
        <v>70.48</v>
      </c>
      <c r="C23" s="59">
        <v>96.61</v>
      </c>
      <c r="D23" s="59">
        <v>109.83</v>
      </c>
      <c r="E23" s="59">
        <v>4.6900000000000004</v>
      </c>
      <c r="F23" s="59">
        <v>0.56000000000000005</v>
      </c>
      <c r="G23" s="59">
        <v>80.97</v>
      </c>
      <c r="H23" s="59">
        <v>40.04</v>
      </c>
      <c r="I23" s="59">
        <v>1.25</v>
      </c>
      <c r="J23" s="59">
        <v>0.22</v>
      </c>
      <c r="K23" s="59">
        <v>9.94</v>
      </c>
      <c r="L23" s="59">
        <v>21.2</v>
      </c>
      <c r="M23" s="59">
        <v>53</v>
      </c>
      <c r="N23" s="59">
        <v>24.4</v>
      </c>
      <c r="O23" s="59">
        <v>0</v>
      </c>
      <c r="P23" s="59">
        <v>2.82</v>
      </c>
      <c r="Q23" s="59">
        <v>51.27</v>
      </c>
      <c r="R23" s="197"/>
      <c r="S23" s="197"/>
      <c r="T23" s="197"/>
      <c r="U23" s="197"/>
    </row>
    <row r="24" spans="1:21" s="12" customFormat="1" x14ac:dyDescent="0.25">
      <c r="A24" s="200" t="s">
        <v>1702</v>
      </c>
      <c r="B24" s="59">
        <v>65.540000000000006</v>
      </c>
      <c r="C24" s="59">
        <v>94.13</v>
      </c>
      <c r="D24" s="59">
        <v>104.51</v>
      </c>
      <c r="E24" s="59">
        <v>2.46</v>
      </c>
      <c r="F24" s="59">
        <v>0.6</v>
      </c>
      <c r="G24" s="59">
        <v>63.52</v>
      </c>
      <c r="H24" s="59">
        <v>33.83</v>
      </c>
      <c r="I24" s="59">
        <v>1.2</v>
      </c>
      <c r="J24" s="59">
        <v>0.24</v>
      </c>
      <c r="K24" s="59">
        <v>30.83</v>
      </c>
      <c r="L24" s="59">
        <v>21.19</v>
      </c>
      <c r="M24" s="59">
        <v>52</v>
      </c>
      <c r="N24" s="59">
        <v>24.2</v>
      </c>
      <c r="O24" s="59">
        <v>0</v>
      </c>
      <c r="P24" s="59">
        <v>2.62</v>
      </c>
      <c r="Q24" s="59">
        <v>50.45</v>
      </c>
      <c r="R24" s="197"/>
      <c r="S24" s="197"/>
      <c r="T24" s="197"/>
      <c r="U24" s="197"/>
    </row>
    <row r="25" spans="1:21" s="12" customFormat="1" x14ac:dyDescent="0.25">
      <c r="A25" s="200" t="s">
        <v>1703</v>
      </c>
      <c r="B25" s="59">
        <v>60.63</v>
      </c>
      <c r="C25" s="59">
        <v>91.73</v>
      </c>
      <c r="D25" s="59">
        <v>99.25</v>
      </c>
      <c r="E25" s="59">
        <v>5.2</v>
      </c>
      <c r="F25" s="59">
        <v>0.52</v>
      </c>
      <c r="G25" s="59">
        <v>63.52</v>
      </c>
      <c r="H25" s="59">
        <v>33.83</v>
      </c>
      <c r="I25" s="59">
        <v>1.1299999999999999</v>
      </c>
      <c r="J25" s="59">
        <v>0.25</v>
      </c>
      <c r="K25" s="59">
        <v>47.94</v>
      </c>
      <c r="L25" s="59">
        <v>21.08</v>
      </c>
      <c r="M25" s="59">
        <v>53</v>
      </c>
      <c r="N25" s="59">
        <v>24.4</v>
      </c>
      <c r="O25" s="59">
        <v>0</v>
      </c>
      <c r="P25" s="59">
        <v>2.4500000000000002</v>
      </c>
      <c r="Q25" s="59">
        <v>49.67</v>
      </c>
      <c r="R25" s="197"/>
      <c r="S25" s="197"/>
      <c r="T25" s="197"/>
      <c r="U25" s="197"/>
    </row>
    <row r="26" spans="1:21" s="12" customFormat="1" x14ac:dyDescent="0.25">
      <c r="A26" s="200" t="s">
        <v>1704</v>
      </c>
      <c r="B26" s="59">
        <v>56.3</v>
      </c>
      <c r="C26" s="59">
        <v>89.76</v>
      </c>
      <c r="D26" s="59">
        <v>94.69</v>
      </c>
      <c r="E26" s="59">
        <v>5.62</v>
      </c>
      <c r="F26" s="59">
        <v>0.45</v>
      </c>
      <c r="G26" s="59">
        <v>63.52</v>
      </c>
      <c r="H26" s="59">
        <v>33.83</v>
      </c>
      <c r="I26" s="59">
        <v>1.05</v>
      </c>
      <c r="J26" s="59">
        <v>0.34</v>
      </c>
      <c r="K26" s="59">
        <v>99.18</v>
      </c>
      <c r="L26" s="59">
        <v>21.04</v>
      </c>
      <c r="M26" s="59">
        <v>53</v>
      </c>
      <c r="N26" s="59">
        <v>24.2</v>
      </c>
      <c r="O26" s="59">
        <v>0</v>
      </c>
      <c r="P26" s="59">
        <v>2.29</v>
      </c>
      <c r="Q26" s="59">
        <v>48.88</v>
      </c>
      <c r="R26" s="197"/>
      <c r="S26" s="197"/>
      <c r="T26" s="197"/>
      <c r="U26" s="197"/>
    </row>
    <row r="27" spans="1:21" s="12" customFormat="1" x14ac:dyDescent="0.25">
      <c r="A27" s="200" t="s">
        <v>1705</v>
      </c>
      <c r="B27" s="59">
        <v>51.86</v>
      </c>
      <c r="C27" s="59">
        <v>87.48</v>
      </c>
      <c r="D27" s="59">
        <v>89.87</v>
      </c>
      <c r="E27" s="59">
        <v>5.62</v>
      </c>
      <c r="F27" s="59">
        <v>0.5</v>
      </c>
      <c r="G27" s="59">
        <v>61.62</v>
      </c>
      <c r="H27" s="59">
        <v>30.68</v>
      </c>
      <c r="I27" s="59">
        <v>0.98</v>
      </c>
      <c r="J27" s="59">
        <v>0.28999999999999998</v>
      </c>
      <c r="K27" s="59">
        <v>64.16</v>
      </c>
      <c r="L27" s="59">
        <v>20.87</v>
      </c>
      <c r="M27" s="59">
        <v>53</v>
      </c>
      <c r="N27" s="59">
        <v>24.4</v>
      </c>
      <c r="O27" s="59">
        <v>0</v>
      </c>
      <c r="P27" s="59">
        <v>2.15</v>
      </c>
      <c r="Q27" s="59">
        <v>48.04</v>
      </c>
      <c r="R27" s="197"/>
      <c r="S27" s="197"/>
      <c r="T27" s="197"/>
      <c r="U27" s="197"/>
    </row>
    <row r="28" spans="1:21" s="12" customFormat="1" x14ac:dyDescent="0.25">
      <c r="A28" s="200" t="s">
        <v>1706</v>
      </c>
      <c r="B28" s="59">
        <v>47.67</v>
      </c>
      <c r="C28" s="59">
        <v>85.36</v>
      </c>
      <c r="D28" s="59">
        <v>85.34</v>
      </c>
      <c r="E28" s="59">
        <v>5.48</v>
      </c>
      <c r="F28" s="59">
        <v>0.55000000000000004</v>
      </c>
      <c r="G28" s="59">
        <v>54.64</v>
      </c>
      <c r="H28" s="59">
        <v>25.5</v>
      </c>
      <c r="I28" s="59">
        <v>0.91</v>
      </c>
      <c r="J28" s="59">
        <v>0.38</v>
      </c>
      <c r="K28" s="59">
        <v>75.180000000000007</v>
      </c>
      <c r="L28" s="59">
        <v>20.74</v>
      </c>
      <c r="M28" s="59">
        <v>53</v>
      </c>
      <c r="N28" s="59">
        <v>24.4</v>
      </c>
      <c r="O28" s="59">
        <v>0</v>
      </c>
      <c r="P28" s="59">
        <v>2.02</v>
      </c>
      <c r="Q28" s="59">
        <v>46.92</v>
      </c>
      <c r="R28" s="197"/>
      <c r="S28" s="197"/>
      <c r="T28" s="197"/>
      <c r="U28" s="197"/>
    </row>
    <row r="29" spans="1:21" s="12" customFormat="1" x14ac:dyDescent="0.25">
      <c r="A29" s="200" t="s">
        <v>1707</v>
      </c>
      <c r="B29" s="59">
        <v>43.61</v>
      </c>
      <c r="C29" s="59">
        <v>84.02</v>
      </c>
      <c r="D29" s="59">
        <v>81.34</v>
      </c>
      <c r="E29" s="59">
        <v>4.8899999999999997</v>
      </c>
      <c r="F29" s="59">
        <v>0.65</v>
      </c>
      <c r="G29" s="59">
        <v>54.64</v>
      </c>
      <c r="H29" s="59">
        <v>25.5</v>
      </c>
      <c r="I29" s="59">
        <v>0.84</v>
      </c>
      <c r="J29" s="59">
        <v>0.23</v>
      </c>
      <c r="K29" s="59">
        <v>53.82</v>
      </c>
      <c r="L29" s="59">
        <v>20.48</v>
      </c>
      <c r="M29" s="59">
        <v>55</v>
      </c>
      <c r="N29" s="59">
        <v>24.6</v>
      </c>
      <c r="O29" s="59">
        <v>0</v>
      </c>
      <c r="P29" s="59">
        <v>1.89</v>
      </c>
      <c r="Q29" s="59">
        <v>45.27</v>
      </c>
      <c r="R29" s="197"/>
      <c r="S29" s="197"/>
      <c r="T29" s="197"/>
      <c r="U29" s="197"/>
    </row>
    <row r="30" spans="1:21" s="12" customFormat="1" x14ac:dyDescent="0.25">
      <c r="A30" s="200" t="s">
        <v>1708</v>
      </c>
      <c r="B30" s="59">
        <v>41.45</v>
      </c>
      <c r="C30" s="59">
        <v>82.55</v>
      </c>
      <c r="D30" s="59">
        <v>78.790000000000006</v>
      </c>
      <c r="E30" s="59">
        <v>5.0599999999999996</v>
      </c>
      <c r="F30" s="59">
        <v>0.62</v>
      </c>
      <c r="G30" s="59">
        <v>54.64</v>
      </c>
      <c r="H30" s="59">
        <v>25.5</v>
      </c>
      <c r="I30" s="59">
        <v>0.79</v>
      </c>
      <c r="J30" s="59">
        <v>0.27</v>
      </c>
      <c r="K30" s="59">
        <v>63.83</v>
      </c>
      <c r="L30" s="59">
        <v>20.27</v>
      </c>
      <c r="M30" s="59">
        <v>56</v>
      </c>
      <c r="N30" s="59">
        <v>24.4</v>
      </c>
      <c r="O30" s="59">
        <v>0</v>
      </c>
      <c r="P30" s="59">
        <v>1.82</v>
      </c>
      <c r="Q30" s="59">
        <v>44.48</v>
      </c>
      <c r="R30" s="197"/>
      <c r="S30" s="197"/>
      <c r="T30" s="197"/>
      <c r="U30" s="197"/>
    </row>
    <row r="31" spans="1:21" s="12" customFormat="1" x14ac:dyDescent="0.25">
      <c r="A31" s="200" t="s">
        <v>1709</v>
      </c>
      <c r="B31" s="59">
        <v>39.72</v>
      </c>
      <c r="C31" s="59">
        <v>81.84</v>
      </c>
      <c r="D31" s="59">
        <v>77.02</v>
      </c>
      <c r="E31" s="59">
        <v>4.93</v>
      </c>
      <c r="F31" s="59">
        <v>0.54</v>
      </c>
      <c r="G31" s="59">
        <v>55.26</v>
      </c>
      <c r="H31" s="59">
        <v>24.8</v>
      </c>
      <c r="I31" s="59">
        <v>0.76</v>
      </c>
      <c r="J31" s="59">
        <v>0.28000000000000003</v>
      </c>
      <c r="K31" s="59">
        <v>90.34</v>
      </c>
      <c r="L31" s="59">
        <v>20.239999999999998</v>
      </c>
      <c r="M31" s="59">
        <v>56</v>
      </c>
      <c r="N31" s="59">
        <v>24.5</v>
      </c>
      <c r="O31" s="59">
        <v>0</v>
      </c>
      <c r="P31" s="59">
        <v>1.73</v>
      </c>
      <c r="Q31" s="59">
        <v>44.27</v>
      </c>
      <c r="R31" s="197"/>
      <c r="S31" s="197"/>
      <c r="T31" s="197"/>
      <c r="U31" s="197"/>
    </row>
    <row r="32" spans="1:21" s="12" customFormat="1" x14ac:dyDescent="0.25">
      <c r="A32" s="200" t="s">
        <v>1710</v>
      </c>
      <c r="B32" s="59">
        <v>38.04</v>
      </c>
      <c r="C32" s="59">
        <v>80.38</v>
      </c>
      <c r="D32" s="59">
        <v>74.87</v>
      </c>
      <c r="E32" s="59">
        <v>5.1100000000000003</v>
      </c>
      <c r="F32" s="59">
        <v>0.59</v>
      </c>
      <c r="G32" s="59">
        <v>55.84</v>
      </c>
      <c r="H32" s="59">
        <v>23.64</v>
      </c>
      <c r="I32" s="59">
        <v>0.73</v>
      </c>
      <c r="J32" s="59">
        <v>0.89</v>
      </c>
      <c r="K32" s="59">
        <v>113.89</v>
      </c>
      <c r="L32" s="59">
        <v>20.29</v>
      </c>
      <c r="M32" s="59">
        <v>56</v>
      </c>
      <c r="N32" s="59">
        <v>23.8</v>
      </c>
      <c r="O32" s="59">
        <v>0</v>
      </c>
      <c r="P32" s="59">
        <v>1.65</v>
      </c>
      <c r="Q32" s="59">
        <v>44.08</v>
      </c>
      <c r="R32" s="197"/>
      <c r="S32" s="197"/>
      <c r="T32" s="197"/>
      <c r="U32" s="197"/>
    </row>
    <row r="33" spans="1:21" s="12" customFormat="1" x14ac:dyDescent="0.25">
      <c r="A33" s="200" t="s">
        <v>1711</v>
      </c>
      <c r="B33" s="59">
        <v>36.19</v>
      </c>
      <c r="C33" s="59">
        <v>78.790000000000006</v>
      </c>
      <c r="D33" s="59">
        <v>72.510000000000005</v>
      </c>
      <c r="E33" s="59">
        <v>4.92</v>
      </c>
      <c r="F33" s="59">
        <v>0.63</v>
      </c>
      <c r="G33" s="59">
        <v>55.84</v>
      </c>
      <c r="H33" s="59">
        <v>23.64</v>
      </c>
      <c r="I33" s="59">
        <v>0.71</v>
      </c>
      <c r="J33" s="59">
        <v>0.32</v>
      </c>
      <c r="K33" s="59">
        <v>71.63</v>
      </c>
      <c r="L33" s="59">
        <v>20.12</v>
      </c>
      <c r="M33" s="59">
        <v>57</v>
      </c>
      <c r="N33" s="59">
        <v>24.7</v>
      </c>
      <c r="O33" s="59">
        <v>0</v>
      </c>
      <c r="P33" s="59">
        <v>1.59</v>
      </c>
      <c r="Q33" s="59">
        <v>44.14</v>
      </c>
      <c r="R33" s="197"/>
      <c r="S33" s="197"/>
      <c r="T33" s="197"/>
      <c r="U33" s="197"/>
    </row>
    <row r="34" spans="1:21" s="12" customFormat="1" x14ac:dyDescent="0.25">
      <c r="A34" s="200" t="s">
        <v>1712</v>
      </c>
      <c r="B34" s="59">
        <v>34.74</v>
      </c>
      <c r="C34" s="59">
        <v>77.88</v>
      </c>
      <c r="D34" s="59">
        <v>70.83</v>
      </c>
      <c r="E34" s="59">
        <v>5.0199999999999996</v>
      </c>
      <c r="F34" s="59">
        <v>0.61</v>
      </c>
      <c r="G34" s="59">
        <v>55.84</v>
      </c>
      <c r="H34" s="59">
        <v>23.64</v>
      </c>
      <c r="I34" s="59">
        <v>0.7</v>
      </c>
      <c r="J34" s="59">
        <v>0.31</v>
      </c>
      <c r="K34" s="59">
        <v>88.23</v>
      </c>
      <c r="L34" s="59">
        <v>19.84</v>
      </c>
      <c r="M34" s="59">
        <v>58</v>
      </c>
      <c r="N34" s="59">
        <v>26</v>
      </c>
      <c r="O34" s="59">
        <v>0</v>
      </c>
      <c r="P34" s="59">
        <v>1.53</v>
      </c>
      <c r="Q34" s="59">
        <v>43.89</v>
      </c>
      <c r="R34" s="197"/>
      <c r="S34" s="197"/>
      <c r="T34" s="197"/>
      <c r="U34" s="197"/>
    </row>
    <row r="35" spans="1:21" s="12" customFormat="1" x14ac:dyDescent="0.25">
      <c r="A35" s="200" t="s">
        <v>1713</v>
      </c>
      <c r="B35" s="59">
        <v>32.86</v>
      </c>
      <c r="C35" s="59">
        <v>77</v>
      </c>
      <c r="D35" s="59">
        <v>68.84</v>
      </c>
      <c r="E35" s="59">
        <v>5.14</v>
      </c>
      <c r="F35" s="59">
        <v>0.62</v>
      </c>
      <c r="G35" s="59">
        <v>50.38</v>
      </c>
      <c r="H35" s="59">
        <v>21.11</v>
      </c>
      <c r="I35" s="59">
        <v>0.68</v>
      </c>
      <c r="J35" s="59">
        <v>0.86</v>
      </c>
      <c r="K35" s="59">
        <v>114.54</v>
      </c>
      <c r="L35" s="59">
        <v>19.940000000000001</v>
      </c>
      <c r="M35" s="59">
        <v>58</v>
      </c>
      <c r="N35" s="59">
        <v>29.8</v>
      </c>
      <c r="O35" s="59">
        <v>0</v>
      </c>
      <c r="P35" s="59">
        <v>1.47</v>
      </c>
      <c r="Q35" s="59">
        <v>43.88</v>
      </c>
      <c r="R35" s="197"/>
      <c r="S35" s="197"/>
      <c r="T35" s="197"/>
      <c r="U35" s="197"/>
    </row>
    <row r="36" spans="1:21" s="12" customFormat="1" x14ac:dyDescent="0.25">
      <c r="A36" s="200" t="s">
        <v>1714</v>
      </c>
      <c r="B36" s="59">
        <v>31.34</v>
      </c>
      <c r="C36" s="59">
        <v>75.36</v>
      </c>
      <c r="D36" s="59">
        <v>66.72</v>
      </c>
      <c r="E36" s="59">
        <v>5.25</v>
      </c>
      <c r="F36" s="59">
        <v>0.56999999999999995</v>
      </c>
      <c r="G36" s="59">
        <v>45.08</v>
      </c>
      <c r="H36" s="59">
        <v>16.93</v>
      </c>
      <c r="I36" s="59">
        <v>0.67</v>
      </c>
      <c r="J36" s="59">
        <v>0.38</v>
      </c>
      <c r="K36" s="59">
        <v>78.84</v>
      </c>
      <c r="L36" s="59">
        <v>20.010000000000002</v>
      </c>
      <c r="M36" s="59">
        <v>58</v>
      </c>
      <c r="N36" s="59">
        <v>39</v>
      </c>
      <c r="O36" s="59">
        <v>0</v>
      </c>
      <c r="P36" s="59">
        <v>1.4</v>
      </c>
      <c r="Q36" s="59">
        <v>44.31</v>
      </c>
      <c r="R36" s="197"/>
      <c r="S36" s="197"/>
      <c r="T36" s="197"/>
      <c r="U36" s="197"/>
    </row>
    <row r="37" spans="1:21" s="12" customFormat="1" x14ac:dyDescent="0.25">
      <c r="A37" s="200" t="s">
        <v>1715</v>
      </c>
      <c r="B37" s="59">
        <v>30.42</v>
      </c>
      <c r="C37" s="59">
        <v>74.69</v>
      </c>
      <c r="D37" s="59">
        <v>65.61</v>
      </c>
      <c r="E37" s="59">
        <v>4.9000000000000004</v>
      </c>
      <c r="F37" s="59">
        <v>0.53</v>
      </c>
      <c r="G37" s="59">
        <v>45.08</v>
      </c>
      <c r="H37" s="59">
        <v>16.93</v>
      </c>
      <c r="I37" s="59">
        <v>0.66</v>
      </c>
      <c r="J37" s="59">
        <v>0.56000000000000005</v>
      </c>
      <c r="K37" s="59">
        <v>105.91</v>
      </c>
      <c r="L37" s="59">
        <v>20.18</v>
      </c>
      <c r="M37" s="59">
        <v>58</v>
      </c>
      <c r="N37" s="59">
        <v>48.3</v>
      </c>
      <c r="O37" s="59">
        <v>0</v>
      </c>
      <c r="P37" s="59">
        <v>1.33</v>
      </c>
      <c r="Q37" s="59">
        <v>45.4</v>
      </c>
      <c r="R37" s="197"/>
      <c r="S37" s="197"/>
      <c r="T37" s="197"/>
      <c r="U37" s="197"/>
    </row>
    <row r="38" spans="1:21" s="12" customFormat="1" x14ac:dyDescent="0.25">
      <c r="A38" s="200" t="s">
        <v>1716</v>
      </c>
      <c r="B38" s="59">
        <v>29.31</v>
      </c>
      <c r="C38" s="59">
        <v>74.69</v>
      </c>
      <c r="D38" s="59">
        <v>64.73</v>
      </c>
      <c r="E38" s="59">
        <v>4.84</v>
      </c>
      <c r="F38" s="59">
        <v>0.56999999999999995</v>
      </c>
      <c r="G38" s="59">
        <v>45.08</v>
      </c>
      <c r="H38" s="59">
        <v>16.93</v>
      </c>
      <c r="I38" s="59">
        <v>0.64</v>
      </c>
      <c r="J38" s="59">
        <v>0.57999999999999996</v>
      </c>
      <c r="K38" s="59">
        <v>103.71</v>
      </c>
      <c r="L38" s="59">
        <v>20.67</v>
      </c>
      <c r="M38" s="59">
        <v>56</v>
      </c>
      <c r="N38" s="59">
        <v>58.2</v>
      </c>
      <c r="O38" s="59">
        <v>0</v>
      </c>
      <c r="P38" s="59">
        <v>1.36</v>
      </c>
      <c r="Q38" s="59">
        <v>45.24</v>
      </c>
      <c r="R38" s="197"/>
      <c r="S38" s="197"/>
      <c r="T38" s="197"/>
      <c r="U38" s="197"/>
    </row>
    <row r="39" spans="1:21" s="12" customFormat="1" x14ac:dyDescent="0.25">
      <c r="A39" s="200" t="s">
        <v>1717</v>
      </c>
      <c r="B39" s="59">
        <v>27.99</v>
      </c>
      <c r="C39" s="59">
        <v>74.42</v>
      </c>
      <c r="D39" s="59">
        <v>63.51</v>
      </c>
      <c r="E39" s="59">
        <v>4.7300000000000004</v>
      </c>
      <c r="F39" s="59">
        <v>0.6</v>
      </c>
      <c r="G39" s="59">
        <v>52.51</v>
      </c>
      <c r="H39" s="59">
        <v>18.329999999999998</v>
      </c>
      <c r="I39" s="59">
        <v>0.61</v>
      </c>
      <c r="J39" s="59">
        <v>1.19</v>
      </c>
      <c r="K39" s="59">
        <v>106.25</v>
      </c>
      <c r="L39" s="59">
        <v>21.06</v>
      </c>
      <c r="M39" s="59">
        <v>52</v>
      </c>
      <c r="N39" s="59">
        <v>129.80000000000001</v>
      </c>
      <c r="O39" s="59">
        <v>0</v>
      </c>
      <c r="P39" s="59">
        <v>1.32</v>
      </c>
      <c r="Q39" s="59">
        <v>44.87</v>
      </c>
      <c r="R39" s="197"/>
      <c r="S39" s="197"/>
      <c r="T39" s="197"/>
      <c r="U39" s="197"/>
    </row>
    <row r="40" spans="1:21" s="12" customFormat="1" x14ac:dyDescent="0.25">
      <c r="A40" s="200" t="s">
        <v>1718</v>
      </c>
      <c r="B40" s="59">
        <v>26.51</v>
      </c>
      <c r="C40" s="59">
        <v>73.89</v>
      </c>
      <c r="D40" s="59">
        <v>62.03</v>
      </c>
      <c r="E40" s="59">
        <v>2.17</v>
      </c>
      <c r="F40" s="59">
        <v>0.72</v>
      </c>
      <c r="G40" s="59">
        <v>59.73</v>
      </c>
      <c r="H40" s="59">
        <v>20.63</v>
      </c>
      <c r="I40" s="59">
        <v>0.57999999999999996</v>
      </c>
      <c r="J40" s="59">
        <v>0.99</v>
      </c>
      <c r="K40" s="59">
        <v>106.6</v>
      </c>
      <c r="L40" s="59">
        <v>21.98</v>
      </c>
      <c r="M40" s="59">
        <v>49</v>
      </c>
      <c r="N40" s="59">
        <v>194.9</v>
      </c>
      <c r="O40" s="59">
        <v>0</v>
      </c>
      <c r="P40" s="59">
        <v>1.26</v>
      </c>
      <c r="Q40" s="59">
        <v>44.5</v>
      </c>
      <c r="R40" s="197"/>
      <c r="S40" s="197"/>
      <c r="T40" s="197"/>
      <c r="U40" s="197"/>
    </row>
    <row r="41" spans="1:21" s="12" customFormat="1" x14ac:dyDescent="0.25">
      <c r="A41" s="200" t="s">
        <v>1719</v>
      </c>
      <c r="B41" s="59">
        <v>24.74</v>
      </c>
      <c r="C41" s="59">
        <v>73.45</v>
      </c>
      <c r="D41" s="59">
        <v>60.38</v>
      </c>
      <c r="E41" s="59">
        <v>5.0199999999999996</v>
      </c>
      <c r="F41" s="59">
        <v>0.87</v>
      </c>
      <c r="G41" s="59">
        <v>59.73</v>
      </c>
      <c r="H41" s="59">
        <v>20.63</v>
      </c>
      <c r="I41" s="59">
        <v>0.56000000000000005</v>
      </c>
      <c r="J41" s="59">
        <v>1.02</v>
      </c>
      <c r="K41" s="59">
        <v>104.91</v>
      </c>
      <c r="L41" s="59">
        <v>22.6</v>
      </c>
      <c r="M41" s="59">
        <v>48</v>
      </c>
      <c r="N41" s="59">
        <v>227.5</v>
      </c>
      <c r="O41" s="59">
        <v>0</v>
      </c>
      <c r="P41" s="59">
        <v>1.21</v>
      </c>
      <c r="Q41" s="59">
        <v>44.17</v>
      </c>
      <c r="R41" s="197"/>
      <c r="S41" s="197"/>
      <c r="T41" s="197"/>
      <c r="U41" s="197"/>
    </row>
    <row r="42" spans="1:21" s="12" customFormat="1" x14ac:dyDescent="0.25">
      <c r="A42" s="200" t="s">
        <v>1720</v>
      </c>
      <c r="B42" s="59">
        <v>22.94</v>
      </c>
      <c r="C42" s="59">
        <v>73.489999999999995</v>
      </c>
      <c r="D42" s="59">
        <v>58.96</v>
      </c>
      <c r="E42" s="59">
        <v>4.32</v>
      </c>
      <c r="F42" s="59">
        <v>0.71</v>
      </c>
      <c r="G42" s="59">
        <v>59.73</v>
      </c>
      <c r="H42" s="59">
        <v>20.63</v>
      </c>
      <c r="I42" s="59">
        <v>0.54</v>
      </c>
      <c r="J42" s="59">
        <v>1.29</v>
      </c>
      <c r="K42" s="59">
        <v>109.38</v>
      </c>
      <c r="L42" s="59">
        <v>23.12</v>
      </c>
      <c r="M42" s="59">
        <v>46</v>
      </c>
      <c r="N42" s="59">
        <v>260.39999999999998</v>
      </c>
      <c r="O42" s="59">
        <v>0</v>
      </c>
      <c r="P42" s="59">
        <v>1.1599999999999999</v>
      </c>
      <c r="Q42" s="59">
        <v>43.77</v>
      </c>
      <c r="R42" s="197"/>
      <c r="S42" s="197"/>
      <c r="T42" s="197"/>
      <c r="U42" s="197"/>
    </row>
    <row r="43" spans="1:21" s="12" customFormat="1" x14ac:dyDescent="0.25">
      <c r="A43" s="200" t="s">
        <v>1721</v>
      </c>
      <c r="B43" s="59">
        <v>21.35</v>
      </c>
      <c r="C43" s="59">
        <v>73.239999999999995</v>
      </c>
      <c r="D43" s="59">
        <v>57.54</v>
      </c>
      <c r="E43" s="59">
        <v>4.46</v>
      </c>
      <c r="F43" s="59">
        <v>0.6</v>
      </c>
      <c r="G43" s="59">
        <v>57.48</v>
      </c>
      <c r="H43" s="59">
        <v>20.260000000000002</v>
      </c>
      <c r="I43" s="59">
        <v>0.52</v>
      </c>
      <c r="J43" s="59">
        <v>0.96</v>
      </c>
      <c r="K43" s="59">
        <v>113.27</v>
      </c>
      <c r="L43" s="59">
        <v>23.96</v>
      </c>
      <c r="M43" s="59">
        <v>45</v>
      </c>
      <c r="N43" s="59">
        <v>286.8</v>
      </c>
      <c r="O43" s="59">
        <v>0</v>
      </c>
      <c r="P43" s="59">
        <v>1.1200000000000001</v>
      </c>
      <c r="Q43" s="59">
        <v>42.67</v>
      </c>
      <c r="R43" s="197"/>
      <c r="S43" s="197"/>
      <c r="T43" s="197"/>
      <c r="U43" s="197"/>
    </row>
    <row r="44" spans="1:21" s="12" customFormat="1" x14ac:dyDescent="0.25">
      <c r="A44" s="200" t="s">
        <v>1722</v>
      </c>
      <c r="B44" s="59">
        <v>20.46</v>
      </c>
      <c r="C44" s="59">
        <v>73.02</v>
      </c>
      <c r="D44" s="59">
        <v>56.71</v>
      </c>
      <c r="E44" s="59">
        <v>4.6500000000000004</v>
      </c>
      <c r="F44" s="59">
        <v>0.65</v>
      </c>
      <c r="G44" s="59">
        <v>49.23</v>
      </c>
      <c r="H44" s="59">
        <v>19.68</v>
      </c>
      <c r="I44" s="59">
        <v>0.49</v>
      </c>
      <c r="J44" s="59">
        <v>0.76</v>
      </c>
      <c r="K44" s="59">
        <v>92.46</v>
      </c>
      <c r="L44" s="59">
        <v>24.91</v>
      </c>
      <c r="M44" s="59">
        <v>44</v>
      </c>
      <c r="N44" s="59">
        <v>309.2</v>
      </c>
      <c r="O44" s="59">
        <v>0</v>
      </c>
      <c r="P44" s="59">
        <v>1.0900000000000001</v>
      </c>
      <c r="Q44" s="59">
        <v>41.68</v>
      </c>
      <c r="R44" s="197"/>
      <c r="S44" s="197"/>
      <c r="T44" s="197"/>
      <c r="U44" s="197"/>
    </row>
    <row r="45" spans="1:21" s="12" customFormat="1" x14ac:dyDescent="0.25">
      <c r="A45" s="200" t="s">
        <v>1723</v>
      </c>
      <c r="B45" s="59">
        <v>20.34</v>
      </c>
      <c r="C45" s="59">
        <v>73.510000000000005</v>
      </c>
      <c r="D45" s="59">
        <v>56.88</v>
      </c>
      <c r="E45" s="59">
        <v>4.95</v>
      </c>
      <c r="F45" s="59">
        <v>0.69</v>
      </c>
      <c r="G45" s="59">
        <v>49.23</v>
      </c>
      <c r="H45" s="59">
        <v>19.68</v>
      </c>
      <c r="I45" s="59">
        <v>0.48</v>
      </c>
      <c r="J45" s="59">
        <v>0.57999999999999996</v>
      </c>
      <c r="K45" s="59">
        <v>74.819999999999993</v>
      </c>
      <c r="L45" s="59">
        <v>25.92</v>
      </c>
      <c r="M45" s="59">
        <v>42</v>
      </c>
      <c r="N45" s="59">
        <v>327.2</v>
      </c>
      <c r="O45" s="59">
        <v>0</v>
      </c>
      <c r="P45" s="59">
        <v>1.08</v>
      </c>
      <c r="Q45" s="59">
        <v>41.66</v>
      </c>
      <c r="R45" s="197"/>
      <c r="S45" s="197"/>
      <c r="T45" s="197"/>
      <c r="U45" s="197"/>
    </row>
    <row r="46" spans="1:21" s="12" customFormat="1" x14ac:dyDescent="0.25">
      <c r="A46" s="200" t="s">
        <v>1724</v>
      </c>
      <c r="B46" s="59">
        <v>20.63</v>
      </c>
      <c r="C46" s="59">
        <v>74.53</v>
      </c>
      <c r="D46" s="59">
        <v>57.67</v>
      </c>
      <c r="E46" s="59">
        <v>5.6</v>
      </c>
      <c r="F46" s="59">
        <v>0.84</v>
      </c>
      <c r="G46" s="59">
        <v>49.23</v>
      </c>
      <c r="H46" s="59">
        <v>19.68</v>
      </c>
      <c r="I46" s="59">
        <v>0.48</v>
      </c>
      <c r="J46" s="59">
        <v>0.6</v>
      </c>
      <c r="K46" s="59">
        <v>83.11</v>
      </c>
      <c r="L46" s="59">
        <v>27.06</v>
      </c>
      <c r="M46" s="59">
        <v>38</v>
      </c>
      <c r="N46" s="59">
        <v>343.8</v>
      </c>
      <c r="O46" s="59">
        <v>0</v>
      </c>
      <c r="P46" s="59">
        <v>1.06</v>
      </c>
      <c r="Q46" s="59">
        <v>41.65</v>
      </c>
      <c r="R46" s="197"/>
      <c r="S46" s="197"/>
      <c r="T46" s="197"/>
      <c r="U46" s="197"/>
    </row>
    <row r="47" spans="1:21" s="12" customFormat="1" x14ac:dyDescent="0.25">
      <c r="A47" s="200" t="s">
        <v>1725</v>
      </c>
      <c r="B47" s="59">
        <v>20.239999999999998</v>
      </c>
      <c r="C47" s="59">
        <v>74.75</v>
      </c>
      <c r="D47" s="59">
        <v>57.48</v>
      </c>
      <c r="E47" s="59">
        <v>4.95</v>
      </c>
      <c r="F47" s="59">
        <v>0.72</v>
      </c>
      <c r="G47" s="59">
        <v>46.13</v>
      </c>
      <c r="H47" s="59">
        <v>20.37</v>
      </c>
      <c r="I47" s="59">
        <v>0.47</v>
      </c>
      <c r="J47" s="59">
        <v>1.33</v>
      </c>
      <c r="K47" s="59">
        <v>113.25</v>
      </c>
      <c r="L47" s="59">
        <v>25.79</v>
      </c>
      <c r="M47" s="59">
        <v>41</v>
      </c>
      <c r="N47" s="59">
        <v>358.8</v>
      </c>
      <c r="O47" s="59">
        <v>0</v>
      </c>
      <c r="P47" s="59">
        <v>1.04</v>
      </c>
      <c r="Q47" s="59">
        <v>41.84</v>
      </c>
      <c r="R47" s="197"/>
      <c r="S47" s="197"/>
      <c r="T47" s="197"/>
      <c r="U47" s="197"/>
    </row>
    <row r="48" spans="1:21" s="12" customFormat="1" x14ac:dyDescent="0.25">
      <c r="A48" s="200" t="s">
        <v>1726</v>
      </c>
      <c r="B48" s="59">
        <v>19.149999999999999</v>
      </c>
      <c r="C48" s="59">
        <v>74.2</v>
      </c>
      <c r="D48" s="59">
        <v>56.31</v>
      </c>
      <c r="E48" s="59">
        <v>4.87</v>
      </c>
      <c r="F48" s="59">
        <v>0.86</v>
      </c>
      <c r="G48" s="59">
        <v>43.12</v>
      </c>
      <c r="H48" s="59">
        <v>21.45</v>
      </c>
      <c r="I48" s="59">
        <v>0.46</v>
      </c>
      <c r="J48" s="59">
        <v>1.68</v>
      </c>
      <c r="K48" s="59">
        <v>113.68</v>
      </c>
      <c r="L48" s="59">
        <v>25.68</v>
      </c>
      <c r="M48" s="59">
        <v>41</v>
      </c>
      <c r="N48" s="59">
        <v>368.8</v>
      </c>
      <c r="O48" s="59">
        <v>0</v>
      </c>
      <c r="P48" s="59">
        <v>1</v>
      </c>
      <c r="Q48" s="59">
        <v>41.78</v>
      </c>
      <c r="R48" s="197"/>
      <c r="S48" s="197"/>
      <c r="T48" s="197"/>
      <c r="U48" s="197"/>
    </row>
    <row r="49" spans="1:21" s="12" customFormat="1" x14ac:dyDescent="0.25">
      <c r="A49" s="200" t="s">
        <v>1727</v>
      </c>
      <c r="B49" s="59">
        <v>17.54</v>
      </c>
      <c r="C49" s="59">
        <v>73.56</v>
      </c>
      <c r="D49" s="59">
        <v>54.66</v>
      </c>
      <c r="E49" s="59">
        <v>4.92</v>
      </c>
      <c r="F49" s="59">
        <v>0.72</v>
      </c>
      <c r="G49" s="59">
        <v>43.12</v>
      </c>
      <c r="H49" s="59">
        <v>21.45</v>
      </c>
      <c r="I49" s="59">
        <v>0.46</v>
      </c>
      <c r="J49" s="59">
        <v>1.62</v>
      </c>
      <c r="K49" s="59">
        <v>111.49</v>
      </c>
      <c r="L49" s="59">
        <v>26.11</v>
      </c>
      <c r="M49" s="59">
        <v>41</v>
      </c>
      <c r="N49" s="59">
        <v>377.5</v>
      </c>
      <c r="O49" s="59">
        <v>0</v>
      </c>
      <c r="P49" s="59">
        <v>0.96</v>
      </c>
      <c r="Q49" s="59">
        <v>41.62</v>
      </c>
      <c r="R49" s="197"/>
      <c r="S49" s="197"/>
      <c r="T49" s="197"/>
      <c r="U49" s="197"/>
    </row>
    <row r="50" spans="1:21" s="12" customFormat="1" x14ac:dyDescent="0.25">
      <c r="A50" s="200" t="s">
        <v>1728</v>
      </c>
      <c r="B50" s="59">
        <v>15.83</v>
      </c>
      <c r="C50" s="59">
        <v>73.09</v>
      </c>
      <c r="D50" s="59">
        <v>53.03</v>
      </c>
      <c r="E50" s="59">
        <v>5.35</v>
      </c>
      <c r="F50" s="59">
        <v>0.88</v>
      </c>
      <c r="G50" s="59">
        <v>43.12</v>
      </c>
      <c r="H50" s="59">
        <v>21.45</v>
      </c>
      <c r="I50" s="59">
        <v>0.44</v>
      </c>
      <c r="J50" s="59">
        <v>0.79</v>
      </c>
      <c r="K50" s="59">
        <v>78.56</v>
      </c>
      <c r="L50" s="59">
        <v>27.58</v>
      </c>
      <c r="M50" s="59">
        <v>38</v>
      </c>
      <c r="N50" s="59">
        <v>385.4</v>
      </c>
      <c r="O50" s="59">
        <v>0</v>
      </c>
      <c r="P50" s="59">
        <v>0.92</v>
      </c>
      <c r="Q50" s="59">
        <v>41.5</v>
      </c>
      <c r="R50" s="197"/>
      <c r="S50" s="197"/>
      <c r="T50" s="197"/>
      <c r="U50" s="197"/>
    </row>
    <row r="51" spans="1:21" s="12" customFormat="1" x14ac:dyDescent="0.25">
      <c r="A51" s="200" t="s">
        <v>1729</v>
      </c>
      <c r="B51" s="59">
        <v>14.76</v>
      </c>
      <c r="C51" s="59">
        <v>73.88</v>
      </c>
      <c r="D51" s="59">
        <v>52.6</v>
      </c>
      <c r="E51" s="59">
        <v>4.9800000000000004</v>
      </c>
      <c r="F51" s="59">
        <v>1.29</v>
      </c>
      <c r="G51" s="59">
        <v>42.65</v>
      </c>
      <c r="H51" s="59">
        <v>21.29</v>
      </c>
      <c r="I51" s="59">
        <v>0.43</v>
      </c>
      <c r="J51" s="59">
        <v>0.59</v>
      </c>
      <c r="K51" s="59">
        <v>77.34</v>
      </c>
      <c r="L51" s="59">
        <v>28.21</v>
      </c>
      <c r="M51" s="59">
        <v>37</v>
      </c>
      <c r="N51" s="59">
        <v>402.3</v>
      </c>
      <c r="O51" s="59">
        <v>0</v>
      </c>
      <c r="P51" s="59">
        <v>0.91</v>
      </c>
      <c r="Q51" s="59">
        <v>42.77</v>
      </c>
      <c r="R51" s="197"/>
      <c r="S51" s="197"/>
      <c r="T51" s="197"/>
      <c r="U51" s="197"/>
    </row>
    <row r="52" spans="1:21" s="12" customFormat="1" x14ac:dyDescent="0.25">
      <c r="A52" s="200" t="s">
        <v>1730</v>
      </c>
      <c r="B52" s="59">
        <v>13.98</v>
      </c>
      <c r="C52" s="59">
        <v>75.25</v>
      </c>
      <c r="D52" s="59">
        <v>52.74</v>
      </c>
      <c r="E52" s="59">
        <v>4.82</v>
      </c>
      <c r="F52" s="59">
        <v>1.29</v>
      </c>
      <c r="G52" s="59">
        <v>42.22</v>
      </c>
      <c r="H52" s="59">
        <v>21.03</v>
      </c>
      <c r="I52" s="59">
        <v>0.41</v>
      </c>
      <c r="J52" s="59">
        <v>0.66</v>
      </c>
      <c r="K52" s="59">
        <v>42.07</v>
      </c>
      <c r="L52" s="59">
        <v>29.36</v>
      </c>
      <c r="M52" s="59">
        <v>35</v>
      </c>
      <c r="N52" s="59">
        <v>407.5</v>
      </c>
      <c r="O52" s="59">
        <v>0</v>
      </c>
      <c r="P52" s="59">
        <v>0.89</v>
      </c>
      <c r="Q52" s="59">
        <v>43.29</v>
      </c>
      <c r="R52" s="197"/>
      <c r="S52" s="197"/>
      <c r="T52" s="197"/>
      <c r="U52" s="197"/>
    </row>
    <row r="53" spans="1:21" s="12" customFormat="1" x14ac:dyDescent="0.25">
      <c r="A53" s="200" t="s">
        <v>1731</v>
      </c>
      <c r="B53" s="59">
        <v>13.39</v>
      </c>
      <c r="C53" s="59">
        <v>76.38</v>
      </c>
      <c r="D53" s="59">
        <v>52.89</v>
      </c>
      <c r="E53" s="59">
        <v>4.75</v>
      </c>
      <c r="F53" s="59">
        <v>0.84</v>
      </c>
      <c r="G53" s="59">
        <v>42.22</v>
      </c>
      <c r="H53" s="59">
        <v>21.03</v>
      </c>
      <c r="I53" s="59">
        <v>0.4</v>
      </c>
      <c r="J53" s="59">
        <v>0.92</v>
      </c>
      <c r="K53" s="59">
        <v>95.14</v>
      </c>
      <c r="L53" s="59">
        <v>29.24</v>
      </c>
      <c r="M53" s="59">
        <v>35</v>
      </c>
      <c r="N53" s="59">
        <v>412.6</v>
      </c>
      <c r="O53" s="59">
        <v>0</v>
      </c>
      <c r="P53" s="59">
        <v>0.88</v>
      </c>
      <c r="Q53" s="59">
        <v>43.24</v>
      </c>
      <c r="R53" s="197"/>
      <c r="S53" s="197"/>
      <c r="T53" s="197"/>
      <c r="U53" s="197"/>
    </row>
    <row r="54" spans="1:21" s="12" customFormat="1" x14ac:dyDescent="0.25">
      <c r="A54" s="200" t="s">
        <v>1732</v>
      </c>
      <c r="B54" s="59">
        <v>11.93</v>
      </c>
      <c r="C54" s="59">
        <v>75.72</v>
      </c>
      <c r="D54" s="59">
        <v>51.36</v>
      </c>
      <c r="E54" s="59">
        <v>4.57</v>
      </c>
      <c r="F54" s="59">
        <v>0.96</v>
      </c>
      <c r="G54" s="59">
        <v>42.22</v>
      </c>
      <c r="H54" s="59">
        <v>21.03</v>
      </c>
      <c r="I54" s="59">
        <v>0.38</v>
      </c>
      <c r="J54" s="59">
        <v>1.24</v>
      </c>
      <c r="K54" s="59">
        <v>113.98</v>
      </c>
      <c r="L54" s="59">
        <v>27.92</v>
      </c>
      <c r="M54" s="59">
        <v>37</v>
      </c>
      <c r="N54" s="59">
        <v>412</v>
      </c>
      <c r="O54" s="59">
        <v>0</v>
      </c>
      <c r="P54" s="59">
        <v>0.85</v>
      </c>
      <c r="Q54" s="59">
        <v>42.55</v>
      </c>
      <c r="R54" s="197"/>
      <c r="S54" s="197"/>
      <c r="T54" s="197"/>
      <c r="U54" s="197"/>
    </row>
    <row r="55" spans="1:21" s="12" customFormat="1" x14ac:dyDescent="0.25">
      <c r="A55" s="200" t="s">
        <v>1733</v>
      </c>
      <c r="B55" s="59">
        <v>10.33</v>
      </c>
      <c r="C55" s="59">
        <v>74.930000000000007</v>
      </c>
      <c r="D55" s="59">
        <v>49.64</v>
      </c>
      <c r="E55" s="59">
        <v>4.91</v>
      </c>
      <c r="F55" s="59">
        <v>1.43</v>
      </c>
      <c r="G55" s="59">
        <v>44.34</v>
      </c>
      <c r="H55" s="59">
        <v>21.66</v>
      </c>
      <c r="I55" s="59">
        <v>0.37</v>
      </c>
      <c r="J55" s="59">
        <v>0.9</v>
      </c>
      <c r="K55" s="59">
        <v>358.49</v>
      </c>
      <c r="L55" s="59">
        <v>30.82</v>
      </c>
      <c r="M55" s="59">
        <v>33</v>
      </c>
      <c r="N55" s="59">
        <v>403.5</v>
      </c>
      <c r="O55" s="59">
        <v>0</v>
      </c>
      <c r="P55" s="59">
        <v>0.83</v>
      </c>
      <c r="Q55" s="59">
        <v>41.08</v>
      </c>
      <c r="R55" s="197"/>
      <c r="S55" s="197"/>
      <c r="T55" s="197"/>
      <c r="U55" s="197"/>
    </row>
    <row r="56" spans="1:21" s="12" customFormat="1" x14ac:dyDescent="0.25">
      <c r="A56" s="200" t="s">
        <v>1734</v>
      </c>
      <c r="B56" s="59">
        <v>9.57</v>
      </c>
      <c r="C56" s="59">
        <v>76.17</v>
      </c>
      <c r="D56" s="59">
        <v>49.71</v>
      </c>
      <c r="E56" s="59">
        <v>2.87</v>
      </c>
      <c r="F56" s="59">
        <v>1.22</v>
      </c>
      <c r="G56" s="59">
        <v>46.33</v>
      </c>
      <c r="H56" s="59">
        <v>22.66</v>
      </c>
      <c r="I56" s="59">
        <v>0.35</v>
      </c>
      <c r="J56" s="59">
        <v>0.57999999999999996</v>
      </c>
      <c r="K56" s="59">
        <v>50.48</v>
      </c>
      <c r="L56" s="59">
        <v>32.119999999999997</v>
      </c>
      <c r="M56" s="59">
        <v>31</v>
      </c>
      <c r="N56" s="59">
        <v>399.8</v>
      </c>
      <c r="O56" s="59">
        <v>0</v>
      </c>
      <c r="P56" s="59">
        <v>0.84</v>
      </c>
      <c r="Q56" s="59">
        <v>40.83</v>
      </c>
      <c r="R56" s="197"/>
      <c r="S56" s="197"/>
      <c r="T56" s="197"/>
      <c r="U56" s="197"/>
    </row>
    <row r="57" spans="1:21" s="12" customFormat="1" x14ac:dyDescent="0.25">
      <c r="A57" s="200" t="s">
        <v>1735</v>
      </c>
      <c r="B57" s="59">
        <v>9.49</v>
      </c>
      <c r="C57" s="59">
        <v>77.33</v>
      </c>
      <c r="D57" s="59">
        <v>50.29</v>
      </c>
      <c r="E57" s="59">
        <v>5.01</v>
      </c>
      <c r="F57" s="59">
        <v>1.1599999999999999</v>
      </c>
      <c r="G57" s="59">
        <v>46.33</v>
      </c>
      <c r="H57" s="59">
        <v>22.66</v>
      </c>
      <c r="I57" s="59">
        <v>0.34</v>
      </c>
      <c r="J57" s="59">
        <v>0.52</v>
      </c>
      <c r="K57" s="59">
        <v>51.47</v>
      </c>
      <c r="L57" s="59">
        <v>31.54</v>
      </c>
      <c r="M57" s="59">
        <v>32</v>
      </c>
      <c r="N57" s="59">
        <v>396.5</v>
      </c>
      <c r="O57" s="59">
        <v>0</v>
      </c>
      <c r="P57" s="59">
        <v>0.84</v>
      </c>
      <c r="Q57" s="59">
        <v>40.78</v>
      </c>
      <c r="R57" s="197"/>
      <c r="S57" s="197"/>
      <c r="T57" s="197"/>
      <c r="U57" s="197"/>
    </row>
    <row r="58" spans="1:21" s="12" customFormat="1" x14ac:dyDescent="0.25">
      <c r="A58" s="200" t="s">
        <v>1736</v>
      </c>
      <c r="B58" s="59">
        <v>9.25</v>
      </c>
      <c r="C58" s="59">
        <v>76.739999999999995</v>
      </c>
      <c r="D58" s="59">
        <v>49.77</v>
      </c>
      <c r="E58" s="59">
        <v>5.94</v>
      </c>
      <c r="F58" s="59">
        <v>2.0699999999999998</v>
      </c>
      <c r="G58" s="59">
        <v>46.33</v>
      </c>
      <c r="H58" s="59">
        <v>22.66</v>
      </c>
      <c r="I58" s="59">
        <v>0.33</v>
      </c>
      <c r="J58" s="59">
        <v>1.1299999999999999</v>
      </c>
      <c r="K58" s="59">
        <v>106.36</v>
      </c>
      <c r="L58" s="59">
        <v>29.04</v>
      </c>
      <c r="M58" s="59">
        <v>37</v>
      </c>
      <c r="N58" s="59">
        <v>391.1</v>
      </c>
      <c r="O58" s="59">
        <v>0</v>
      </c>
      <c r="P58" s="59">
        <v>0.83</v>
      </c>
      <c r="Q58" s="59">
        <v>39.450000000000003</v>
      </c>
      <c r="R58" s="197"/>
      <c r="S58" s="197"/>
      <c r="T58" s="197"/>
      <c r="U58" s="197"/>
    </row>
    <row r="59" spans="1:21" s="12" customFormat="1" x14ac:dyDescent="0.25">
      <c r="A59" s="200" t="s">
        <v>1737</v>
      </c>
      <c r="B59" s="59">
        <v>9.31</v>
      </c>
      <c r="C59" s="59">
        <v>76.14</v>
      </c>
      <c r="D59" s="59">
        <v>49.48</v>
      </c>
      <c r="E59" s="59">
        <v>9.1</v>
      </c>
      <c r="F59" s="59">
        <v>3.98</v>
      </c>
      <c r="G59" s="59">
        <v>47.73</v>
      </c>
      <c r="H59" s="59">
        <v>21.25</v>
      </c>
      <c r="I59" s="59">
        <v>0.33</v>
      </c>
      <c r="J59" s="59">
        <v>0.42</v>
      </c>
      <c r="K59" s="59">
        <v>54.93</v>
      </c>
      <c r="L59" s="59">
        <v>30.5</v>
      </c>
      <c r="M59" s="59">
        <v>34</v>
      </c>
      <c r="N59" s="59">
        <v>373.2</v>
      </c>
      <c r="O59" s="59">
        <v>0</v>
      </c>
      <c r="P59" s="59">
        <v>0.82</v>
      </c>
      <c r="Q59" s="59">
        <v>39.020000000000003</v>
      </c>
      <c r="R59" s="197"/>
      <c r="S59" s="197"/>
      <c r="T59" s="197"/>
      <c r="U59" s="197"/>
    </row>
    <row r="60" spans="1:21" s="12" customFormat="1" x14ac:dyDescent="0.25">
      <c r="A60" s="200" t="s">
        <v>1738</v>
      </c>
      <c r="B60" s="59">
        <v>10.210000000000001</v>
      </c>
      <c r="C60" s="59">
        <v>78.55</v>
      </c>
      <c r="D60" s="59">
        <v>51.53</v>
      </c>
      <c r="E60" s="59">
        <v>9.25</v>
      </c>
      <c r="F60" s="59">
        <v>3.13</v>
      </c>
      <c r="G60" s="59">
        <v>52.7</v>
      </c>
      <c r="H60" s="59">
        <v>19.02</v>
      </c>
      <c r="I60" s="59">
        <v>0.33</v>
      </c>
      <c r="J60" s="59">
        <v>0.53</v>
      </c>
      <c r="K60" s="59">
        <v>41.98</v>
      </c>
      <c r="L60" s="59">
        <v>30.73</v>
      </c>
      <c r="M60" s="59">
        <v>34</v>
      </c>
      <c r="N60" s="59">
        <v>363.3</v>
      </c>
      <c r="O60" s="59">
        <v>0</v>
      </c>
      <c r="P60" s="59">
        <v>0.82</v>
      </c>
      <c r="Q60" s="59">
        <v>39.08</v>
      </c>
      <c r="R60" s="197"/>
      <c r="S60" s="197"/>
      <c r="T60" s="197"/>
      <c r="U60" s="197"/>
    </row>
    <row r="61" spans="1:21" s="12" customFormat="1" x14ac:dyDescent="0.25">
      <c r="A61" s="200" t="s">
        <v>1739</v>
      </c>
      <c r="B61" s="59">
        <v>10.34</v>
      </c>
      <c r="C61" s="59">
        <v>76.22</v>
      </c>
      <c r="D61" s="59">
        <v>50.36</v>
      </c>
      <c r="E61" s="59">
        <v>10.07</v>
      </c>
      <c r="F61" s="59">
        <v>3.08</v>
      </c>
      <c r="G61" s="59">
        <v>52.7</v>
      </c>
      <c r="H61" s="59">
        <v>19.02</v>
      </c>
      <c r="I61" s="59">
        <v>0.32</v>
      </c>
      <c r="J61" s="59">
        <v>0.42</v>
      </c>
      <c r="K61" s="59">
        <v>93.69</v>
      </c>
      <c r="L61" s="59">
        <v>31.53</v>
      </c>
      <c r="M61" s="59">
        <v>33</v>
      </c>
      <c r="N61" s="59">
        <v>345.7</v>
      </c>
      <c r="O61" s="59">
        <v>0</v>
      </c>
      <c r="P61" s="59">
        <v>0.85</v>
      </c>
      <c r="Q61" s="59">
        <v>39.549999999999997</v>
      </c>
      <c r="R61" s="197"/>
      <c r="S61" s="197"/>
      <c r="T61" s="197"/>
      <c r="U61" s="197"/>
    </row>
    <row r="62" spans="1:21" s="12" customFormat="1" x14ac:dyDescent="0.25">
      <c r="A62" s="200" t="s">
        <v>1740</v>
      </c>
      <c r="B62" s="59">
        <v>10.43</v>
      </c>
      <c r="C62" s="59">
        <v>75.41</v>
      </c>
      <c r="D62" s="59">
        <v>49.98</v>
      </c>
      <c r="E62" s="59">
        <v>8.6199999999999992</v>
      </c>
      <c r="F62" s="59">
        <v>3.39</v>
      </c>
      <c r="G62" s="59">
        <v>52.7</v>
      </c>
      <c r="H62" s="59">
        <v>19.02</v>
      </c>
      <c r="I62" s="59">
        <v>0.33</v>
      </c>
      <c r="J62" s="59">
        <v>0.91</v>
      </c>
      <c r="K62" s="59">
        <v>87.81</v>
      </c>
      <c r="L62" s="59">
        <v>30.25</v>
      </c>
      <c r="M62" s="59">
        <v>36</v>
      </c>
      <c r="N62" s="59">
        <v>348.6</v>
      </c>
      <c r="O62" s="59">
        <v>0</v>
      </c>
      <c r="P62" s="59">
        <v>0.88</v>
      </c>
      <c r="Q62" s="59">
        <v>40</v>
      </c>
      <c r="R62" s="197"/>
      <c r="S62" s="197"/>
      <c r="T62" s="197"/>
      <c r="U62" s="197"/>
    </row>
    <row r="63" spans="1:21" s="12" customFormat="1" x14ac:dyDescent="0.25">
      <c r="A63" s="200" t="s">
        <v>1741</v>
      </c>
      <c r="B63" s="59">
        <v>9.09</v>
      </c>
      <c r="C63" s="59">
        <v>73.13</v>
      </c>
      <c r="D63" s="59">
        <v>47.65</v>
      </c>
      <c r="E63" s="59">
        <v>8.23</v>
      </c>
      <c r="F63" s="59">
        <v>6.41</v>
      </c>
      <c r="G63" s="59">
        <v>53.49</v>
      </c>
      <c r="H63" s="59">
        <v>18.91</v>
      </c>
      <c r="I63" s="59">
        <v>0.33</v>
      </c>
      <c r="J63" s="59">
        <v>0.48</v>
      </c>
      <c r="K63" s="59">
        <v>62.75</v>
      </c>
      <c r="L63" s="59">
        <v>30.13</v>
      </c>
      <c r="M63" s="59">
        <v>36</v>
      </c>
      <c r="N63" s="59">
        <v>323.5</v>
      </c>
      <c r="O63" s="59">
        <v>0</v>
      </c>
      <c r="P63" s="59">
        <v>0.87</v>
      </c>
      <c r="Q63" s="59">
        <v>40.42</v>
      </c>
      <c r="R63" s="197"/>
      <c r="S63" s="197"/>
      <c r="T63" s="197"/>
      <c r="U63" s="197"/>
    </row>
    <row r="64" spans="1:21" s="12" customFormat="1" x14ac:dyDescent="0.25">
      <c r="A64" s="200" t="s">
        <v>1742</v>
      </c>
      <c r="B64" s="59">
        <v>9.17</v>
      </c>
      <c r="C64" s="59">
        <v>75.17</v>
      </c>
      <c r="D64" s="59">
        <v>48.83</v>
      </c>
      <c r="E64" s="59">
        <v>9.5</v>
      </c>
      <c r="F64" s="59">
        <v>6.1</v>
      </c>
      <c r="G64" s="59">
        <v>54.23</v>
      </c>
      <c r="H64" s="59">
        <v>18.75</v>
      </c>
      <c r="I64" s="59">
        <v>0.33</v>
      </c>
      <c r="J64" s="59">
        <v>0.54</v>
      </c>
      <c r="K64" s="59">
        <v>98.77</v>
      </c>
      <c r="L64" s="59">
        <v>30.48</v>
      </c>
      <c r="M64" s="59">
        <v>36</v>
      </c>
      <c r="N64" s="59">
        <v>310.7</v>
      </c>
      <c r="O64" s="59">
        <v>0</v>
      </c>
      <c r="P64" s="59">
        <v>0.89</v>
      </c>
      <c r="Q64" s="59">
        <v>40.869999999999997</v>
      </c>
      <c r="R64" s="197"/>
      <c r="S64" s="197"/>
      <c r="T64" s="197"/>
      <c r="U64" s="197"/>
    </row>
    <row r="65" spans="1:21" s="12" customFormat="1" x14ac:dyDescent="0.25">
      <c r="A65" s="200" t="s">
        <v>1743</v>
      </c>
      <c r="B65" s="59">
        <v>8.27</v>
      </c>
      <c r="C65" s="59">
        <v>73.53</v>
      </c>
      <c r="D65" s="59">
        <v>47.21</v>
      </c>
      <c r="E65" s="59">
        <v>6.56</v>
      </c>
      <c r="F65" s="59">
        <v>2.64</v>
      </c>
      <c r="G65" s="59">
        <v>54.23</v>
      </c>
      <c r="H65" s="59">
        <v>18.75</v>
      </c>
      <c r="I65" s="59">
        <v>0.32</v>
      </c>
      <c r="J65" s="59">
        <v>1.0900000000000001</v>
      </c>
      <c r="K65" s="59">
        <v>103.88</v>
      </c>
      <c r="L65" s="59">
        <v>29.42</v>
      </c>
      <c r="M65" s="59">
        <v>38</v>
      </c>
      <c r="N65" s="59">
        <v>296.8</v>
      </c>
      <c r="O65" s="59">
        <v>0</v>
      </c>
      <c r="P65" s="59">
        <v>0.87</v>
      </c>
      <c r="Q65" s="59">
        <v>42.45</v>
      </c>
      <c r="R65" s="197"/>
      <c r="S65" s="197"/>
      <c r="T65" s="197"/>
      <c r="U65" s="197"/>
    </row>
    <row r="66" spans="1:21" s="12" customFormat="1" x14ac:dyDescent="0.25">
      <c r="A66" s="200" t="s">
        <v>1744</v>
      </c>
      <c r="B66" s="59">
        <v>6.67</v>
      </c>
      <c r="C66" s="59">
        <v>71.569999999999993</v>
      </c>
      <c r="D66" s="59">
        <v>44.85</v>
      </c>
      <c r="E66" s="59">
        <v>6.97</v>
      </c>
      <c r="F66" s="59">
        <v>3.46</v>
      </c>
      <c r="G66" s="59">
        <v>54.23</v>
      </c>
      <c r="H66" s="59">
        <v>18.75</v>
      </c>
      <c r="I66" s="59">
        <v>0.33</v>
      </c>
      <c r="J66" s="59">
        <v>0.39</v>
      </c>
      <c r="K66" s="59">
        <v>35.76</v>
      </c>
      <c r="L66" s="59">
        <v>30.38</v>
      </c>
      <c r="M66" s="59">
        <v>36</v>
      </c>
      <c r="N66" s="59">
        <v>187.5</v>
      </c>
      <c r="O66" s="59">
        <v>0</v>
      </c>
      <c r="P66" s="59">
        <v>0.88</v>
      </c>
      <c r="Q66" s="59">
        <v>43.15</v>
      </c>
      <c r="R66" s="197"/>
      <c r="S66" s="197"/>
      <c r="T66" s="197"/>
      <c r="U66" s="197"/>
    </row>
    <row r="67" spans="1:21" s="12" customFormat="1" x14ac:dyDescent="0.25">
      <c r="A67" s="200" t="s">
        <v>1745</v>
      </c>
      <c r="B67" s="59">
        <v>6.31</v>
      </c>
      <c r="C67" s="59">
        <v>76.7</v>
      </c>
      <c r="D67" s="59">
        <v>47.39</v>
      </c>
      <c r="E67" s="59">
        <v>7.56</v>
      </c>
      <c r="F67" s="59">
        <v>5.08</v>
      </c>
      <c r="G67" s="59">
        <v>50.33</v>
      </c>
      <c r="H67" s="59">
        <v>19.100000000000001</v>
      </c>
      <c r="I67" s="59">
        <v>0.35</v>
      </c>
      <c r="J67" s="59">
        <v>0.68</v>
      </c>
      <c r="K67" s="59">
        <v>4.1900000000000004</v>
      </c>
      <c r="L67" s="59">
        <v>31.75</v>
      </c>
      <c r="M67" s="59">
        <v>34</v>
      </c>
      <c r="N67" s="59">
        <v>149.1</v>
      </c>
      <c r="O67" s="59">
        <v>0</v>
      </c>
      <c r="P67" s="59">
        <v>0.91</v>
      </c>
      <c r="Q67" s="59">
        <v>43.21</v>
      </c>
      <c r="R67" s="197"/>
      <c r="S67" s="197"/>
      <c r="T67" s="197"/>
      <c r="U67" s="197"/>
    </row>
    <row r="68" spans="1:21" s="12" customFormat="1" x14ac:dyDescent="0.25">
      <c r="A68" s="200" t="s">
        <v>1746</v>
      </c>
      <c r="B68" s="59">
        <v>5.59</v>
      </c>
      <c r="C68" s="59">
        <v>78.63</v>
      </c>
      <c r="D68" s="59">
        <v>47.88</v>
      </c>
      <c r="E68" s="59">
        <v>8.6</v>
      </c>
      <c r="F68" s="59">
        <v>4.9000000000000004</v>
      </c>
      <c r="G68" s="59">
        <v>46.66</v>
      </c>
      <c r="H68" s="59">
        <v>19.64</v>
      </c>
      <c r="I68" s="59">
        <v>0.33</v>
      </c>
      <c r="J68" s="59">
        <v>0.6</v>
      </c>
      <c r="K68" s="59">
        <v>13</v>
      </c>
      <c r="L68" s="59">
        <v>31.77</v>
      </c>
      <c r="M68" s="59">
        <v>34</v>
      </c>
      <c r="N68" s="59">
        <v>208.5</v>
      </c>
      <c r="O68" s="59">
        <v>0</v>
      </c>
      <c r="P68" s="59">
        <v>0.96</v>
      </c>
      <c r="Q68" s="59">
        <v>43.22</v>
      </c>
      <c r="R68" s="197"/>
      <c r="S68" s="197"/>
      <c r="T68" s="197"/>
      <c r="U68" s="197"/>
    </row>
    <row r="69" spans="1:21" s="12" customFormat="1" x14ac:dyDescent="0.25">
      <c r="A69" s="200" t="s">
        <v>1747</v>
      </c>
      <c r="B69" s="59">
        <v>4.82</v>
      </c>
      <c r="C69" s="59">
        <v>78.38</v>
      </c>
      <c r="D69" s="59">
        <v>47.12</v>
      </c>
      <c r="E69" s="59">
        <v>6.26</v>
      </c>
      <c r="F69" s="59">
        <v>3.41</v>
      </c>
      <c r="G69" s="59">
        <v>46.66</v>
      </c>
      <c r="H69" s="59">
        <v>19.64</v>
      </c>
      <c r="I69" s="59">
        <v>0.32</v>
      </c>
      <c r="J69" s="59">
        <v>1.24</v>
      </c>
      <c r="K69" s="59">
        <v>120.93</v>
      </c>
      <c r="L69" s="59">
        <v>29.66</v>
      </c>
      <c r="M69" s="59">
        <v>38</v>
      </c>
      <c r="N69" s="59">
        <v>199.5</v>
      </c>
      <c r="O69" s="59">
        <v>0</v>
      </c>
      <c r="P69" s="59">
        <v>0.95</v>
      </c>
      <c r="Q69" s="59">
        <v>42.88</v>
      </c>
      <c r="R69" s="197"/>
      <c r="S69" s="197"/>
      <c r="T69" s="197"/>
      <c r="U69" s="197"/>
    </row>
    <row r="70" spans="1:21" s="12" customFormat="1" x14ac:dyDescent="0.25">
      <c r="A70" s="200" t="s">
        <v>1748</v>
      </c>
      <c r="B70" s="59">
        <v>3.87</v>
      </c>
      <c r="C70" s="59">
        <v>74.150000000000006</v>
      </c>
      <c r="D70" s="59">
        <v>44.03</v>
      </c>
      <c r="E70" s="59">
        <v>6.39</v>
      </c>
      <c r="F70" s="59">
        <v>3.38</v>
      </c>
      <c r="G70" s="59">
        <v>46.66</v>
      </c>
      <c r="H70" s="59">
        <v>19.64</v>
      </c>
      <c r="I70" s="59">
        <v>0.32</v>
      </c>
      <c r="J70" s="59">
        <v>0.35</v>
      </c>
      <c r="K70" s="59">
        <v>66.790000000000006</v>
      </c>
      <c r="L70" s="59">
        <v>29.21</v>
      </c>
      <c r="M70" s="59">
        <v>39</v>
      </c>
      <c r="N70" s="59">
        <v>140</v>
      </c>
      <c r="O70" s="59">
        <v>0</v>
      </c>
      <c r="P70" s="59">
        <v>0.92</v>
      </c>
      <c r="Q70" s="59">
        <v>42.3</v>
      </c>
      <c r="R70" s="197"/>
      <c r="S70" s="197"/>
      <c r="T70" s="197"/>
      <c r="U70" s="197"/>
    </row>
    <row r="71" spans="1:21" s="12" customFormat="1" x14ac:dyDescent="0.25">
      <c r="A71" s="200" t="s">
        <v>1749</v>
      </c>
      <c r="B71" s="59">
        <v>3.98</v>
      </c>
      <c r="C71" s="59">
        <v>74.510000000000005</v>
      </c>
      <c r="D71" s="59">
        <v>44.31</v>
      </c>
      <c r="E71" s="59">
        <v>6.18</v>
      </c>
      <c r="F71" s="59">
        <v>2.88</v>
      </c>
      <c r="G71" s="59">
        <v>49.13</v>
      </c>
      <c r="H71" s="59">
        <v>19.649999999999999</v>
      </c>
      <c r="I71" s="59">
        <v>0.32</v>
      </c>
      <c r="J71" s="59">
        <v>0.74</v>
      </c>
      <c r="K71" s="59">
        <v>339.61</v>
      </c>
      <c r="L71" s="59">
        <v>29.96</v>
      </c>
      <c r="M71" s="59">
        <v>39</v>
      </c>
      <c r="N71" s="59">
        <v>153.19999999999999</v>
      </c>
      <c r="O71" s="59">
        <v>0</v>
      </c>
      <c r="P71" s="59">
        <v>0.94</v>
      </c>
      <c r="Q71" s="59">
        <v>42.08</v>
      </c>
      <c r="R71" s="197"/>
      <c r="S71" s="197"/>
      <c r="T71" s="197"/>
      <c r="U71" s="197"/>
    </row>
    <row r="72" spans="1:21" s="12" customFormat="1" x14ac:dyDescent="0.25">
      <c r="A72" s="200" t="s">
        <v>1750</v>
      </c>
      <c r="B72" s="59">
        <v>5.32</v>
      </c>
      <c r="C72" s="59">
        <v>75.849999999999994</v>
      </c>
      <c r="D72" s="59">
        <v>46.13</v>
      </c>
      <c r="E72" s="59">
        <v>3.74</v>
      </c>
      <c r="F72" s="59">
        <v>4.54</v>
      </c>
      <c r="G72" s="59">
        <v>51.45</v>
      </c>
      <c r="H72" s="59">
        <v>19.670000000000002</v>
      </c>
      <c r="I72" s="59">
        <v>0.31</v>
      </c>
      <c r="J72" s="59">
        <v>0.48</v>
      </c>
      <c r="K72" s="59">
        <v>330.76</v>
      </c>
      <c r="L72" s="59">
        <v>29.84</v>
      </c>
      <c r="M72" s="59">
        <v>40</v>
      </c>
      <c r="N72" s="59">
        <v>81.599999999999994</v>
      </c>
      <c r="O72" s="59">
        <v>0</v>
      </c>
      <c r="P72" s="59">
        <v>0.98</v>
      </c>
      <c r="Q72" s="59">
        <v>41.29</v>
      </c>
      <c r="R72" s="197"/>
      <c r="S72" s="197"/>
      <c r="T72" s="197"/>
      <c r="U72" s="197"/>
    </row>
    <row r="73" spans="1:21" s="12" customFormat="1" x14ac:dyDescent="0.25">
      <c r="A73" s="200" t="s">
        <v>1751</v>
      </c>
      <c r="B73" s="59">
        <v>6.21</v>
      </c>
      <c r="C73" s="59">
        <v>73.790000000000006</v>
      </c>
      <c r="D73" s="59">
        <v>45.7</v>
      </c>
      <c r="E73" s="59">
        <v>9.0399999999999991</v>
      </c>
      <c r="F73" s="59">
        <v>6.41</v>
      </c>
      <c r="G73" s="59">
        <v>51.45</v>
      </c>
      <c r="H73" s="59">
        <v>19.670000000000002</v>
      </c>
      <c r="I73" s="59">
        <v>0.31</v>
      </c>
      <c r="J73" s="59">
        <v>0.56000000000000005</v>
      </c>
      <c r="K73" s="59">
        <v>335.06</v>
      </c>
      <c r="L73" s="59">
        <v>29.69</v>
      </c>
      <c r="M73" s="59">
        <v>40</v>
      </c>
      <c r="N73" s="59">
        <v>60.4</v>
      </c>
      <c r="O73" s="59">
        <v>0</v>
      </c>
      <c r="P73" s="59">
        <v>0.98</v>
      </c>
      <c r="Q73" s="59">
        <v>41.12</v>
      </c>
      <c r="R73" s="197"/>
      <c r="S73" s="197"/>
      <c r="T73" s="197"/>
      <c r="U73" s="197"/>
    </row>
    <row r="74" spans="1:21" s="12" customFormat="1" x14ac:dyDescent="0.25">
      <c r="A74" s="200" t="s">
        <v>1752</v>
      </c>
      <c r="B74" s="59">
        <v>6.54</v>
      </c>
      <c r="C74" s="59">
        <v>75.14</v>
      </c>
      <c r="D74" s="59">
        <v>46.71</v>
      </c>
      <c r="E74" s="59">
        <v>6.51</v>
      </c>
      <c r="F74" s="59">
        <v>3.61</v>
      </c>
      <c r="G74" s="59">
        <v>51.45</v>
      </c>
      <c r="H74" s="59">
        <v>19.670000000000002</v>
      </c>
      <c r="I74" s="59">
        <v>0.3</v>
      </c>
      <c r="J74" s="59">
        <v>0.87</v>
      </c>
      <c r="K74" s="59">
        <v>336.45</v>
      </c>
      <c r="L74" s="59">
        <v>29.21</v>
      </c>
      <c r="M74" s="59">
        <v>41</v>
      </c>
      <c r="N74" s="59">
        <v>52.4</v>
      </c>
      <c r="O74" s="59">
        <v>0</v>
      </c>
      <c r="P74" s="59">
        <v>1</v>
      </c>
      <c r="Q74" s="59">
        <v>41.36</v>
      </c>
      <c r="R74" s="197"/>
      <c r="S74" s="197"/>
      <c r="T74" s="197"/>
      <c r="U74" s="197"/>
    </row>
    <row r="75" spans="1:21" s="12" customFormat="1" x14ac:dyDescent="0.25">
      <c r="A75" s="200" t="s">
        <v>1753</v>
      </c>
      <c r="B75" s="59">
        <v>7.82</v>
      </c>
      <c r="C75" s="59">
        <v>74.95</v>
      </c>
      <c r="D75" s="59">
        <v>47.64</v>
      </c>
      <c r="E75" s="59">
        <v>7.22</v>
      </c>
      <c r="F75" s="59">
        <v>5.4</v>
      </c>
      <c r="G75" s="59">
        <v>49.65</v>
      </c>
      <c r="H75" s="59">
        <v>19.350000000000001</v>
      </c>
      <c r="I75" s="59">
        <v>0.28999999999999998</v>
      </c>
      <c r="J75" s="59">
        <v>0.64</v>
      </c>
      <c r="K75" s="59">
        <v>335.22</v>
      </c>
      <c r="L75" s="59">
        <v>28.82</v>
      </c>
      <c r="M75" s="59">
        <v>42</v>
      </c>
      <c r="N75" s="59">
        <v>44.3</v>
      </c>
      <c r="O75" s="59">
        <v>0</v>
      </c>
      <c r="P75" s="59">
        <v>1.04</v>
      </c>
      <c r="Q75" s="59">
        <v>41.74</v>
      </c>
      <c r="R75" s="197"/>
      <c r="S75" s="197"/>
      <c r="T75" s="197"/>
      <c r="U75" s="197"/>
    </row>
    <row r="76" spans="1:21" s="12" customFormat="1" x14ac:dyDescent="0.25">
      <c r="A76" s="200" t="s">
        <v>1754</v>
      </c>
      <c r="B76" s="59">
        <v>9.76</v>
      </c>
      <c r="C76" s="59">
        <v>79.53</v>
      </c>
      <c r="D76" s="59">
        <v>51.72</v>
      </c>
      <c r="E76" s="59">
        <v>8.34</v>
      </c>
      <c r="F76" s="59">
        <v>6.51</v>
      </c>
      <c r="G76" s="59">
        <v>43.9</v>
      </c>
      <c r="H76" s="59">
        <v>18.850000000000001</v>
      </c>
      <c r="I76" s="59">
        <v>0.31</v>
      </c>
      <c r="J76" s="59">
        <v>0.44</v>
      </c>
      <c r="K76" s="59">
        <v>352.62</v>
      </c>
      <c r="L76" s="59">
        <v>28.35</v>
      </c>
      <c r="M76" s="59">
        <v>44</v>
      </c>
      <c r="N76" s="59">
        <v>36.4</v>
      </c>
      <c r="O76" s="59">
        <v>0</v>
      </c>
      <c r="P76" s="59">
        <v>1.19</v>
      </c>
      <c r="Q76" s="59">
        <v>42.09</v>
      </c>
      <c r="R76" s="197"/>
      <c r="S76" s="197"/>
      <c r="T76" s="197"/>
      <c r="U76" s="197"/>
    </row>
    <row r="77" spans="1:21" s="12" customFormat="1" x14ac:dyDescent="0.25">
      <c r="A77" s="200" t="s">
        <v>1755</v>
      </c>
      <c r="B77" s="59">
        <v>13.31</v>
      </c>
      <c r="C77" s="59">
        <v>83.03</v>
      </c>
      <c r="D77" s="59">
        <v>56.49</v>
      </c>
      <c r="E77" s="59">
        <v>9.49</v>
      </c>
      <c r="F77" s="59">
        <v>4.93</v>
      </c>
      <c r="G77" s="59">
        <v>43.9</v>
      </c>
      <c r="H77" s="59">
        <v>18.850000000000001</v>
      </c>
      <c r="I77" s="59">
        <v>0.31</v>
      </c>
      <c r="J77" s="59">
        <v>0.35</v>
      </c>
      <c r="K77" s="59">
        <v>348.19</v>
      </c>
      <c r="L77" s="59">
        <v>27.69</v>
      </c>
      <c r="M77" s="59">
        <v>47</v>
      </c>
      <c r="N77" s="59">
        <v>29.4</v>
      </c>
      <c r="O77" s="59">
        <v>0</v>
      </c>
      <c r="P77" s="59">
        <v>1.27</v>
      </c>
      <c r="Q77" s="59">
        <v>42.66</v>
      </c>
      <c r="R77" s="197"/>
      <c r="S77" s="197"/>
      <c r="T77" s="197"/>
      <c r="U77" s="197"/>
    </row>
    <row r="78" spans="1:21" s="12" customFormat="1" x14ac:dyDescent="0.25">
      <c r="A78" s="200" t="s">
        <v>1756</v>
      </c>
      <c r="B78" s="59">
        <v>22.35</v>
      </c>
      <c r="C78" s="59">
        <v>94.75</v>
      </c>
      <c r="D78" s="59">
        <v>70.209999999999994</v>
      </c>
      <c r="E78" s="59">
        <v>9.2200000000000006</v>
      </c>
      <c r="F78" s="59">
        <v>2.75</v>
      </c>
      <c r="G78" s="59">
        <v>43.9</v>
      </c>
      <c r="H78" s="59">
        <v>18.850000000000001</v>
      </c>
      <c r="I78" s="59">
        <v>0.33</v>
      </c>
      <c r="J78" s="59">
        <v>0.22</v>
      </c>
      <c r="K78" s="59">
        <v>359.2</v>
      </c>
      <c r="L78" s="59">
        <v>27.17</v>
      </c>
      <c r="M78" s="59">
        <v>48</v>
      </c>
      <c r="N78" s="59">
        <v>25.9</v>
      </c>
      <c r="O78" s="59">
        <v>0</v>
      </c>
      <c r="P78" s="59">
        <v>1.55</v>
      </c>
      <c r="Q78" s="59">
        <v>42.68</v>
      </c>
      <c r="R78" s="197"/>
      <c r="S78" s="197"/>
      <c r="T78" s="197"/>
      <c r="U78" s="197"/>
    </row>
    <row r="79" spans="1:21" s="12" customFormat="1" x14ac:dyDescent="0.25">
      <c r="A79" s="200" t="s">
        <v>1757</v>
      </c>
      <c r="B79" s="59">
        <v>19.440000000000001</v>
      </c>
      <c r="C79" s="59">
        <v>86.76</v>
      </c>
      <c r="D79" s="59">
        <v>63.47</v>
      </c>
      <c r="E79" s="59">
        <v>7.72</v>
      </c>
      <c r="F79" s="59">
        <v>1.94</v>
      </c>
      <c r="G79" s="59">
        <v>59.46</v>
      </c>
      <c r="H79" s="59">
        <v>19.73</v>
      </c>
      <c r="I79" s="59">
        <v>0.36</v>
      </c>
      <c r="J79" s="59">
        <v>0.17</v>
      </c>
      <c r="K79" s="59">
        <v>345.54</v>
      </c>
      <c r="L79" s="59">
        <v>26.57</v>
      </c>
      <c r="M79" s="59">
        <v>50</v>
      </c>
      <c r="N79" s="59">
        <v>24.8</v>
      </c>
      <c r="O79" s="59">
        <v>0</v>
      </c>
      <c r="P79" s="59">
        <v>1.38</v>
      </c>
      <c r="Q79" s="59">
        <v>44.11</v>
      </c>
      <c r="R79" s="197"/>
      <c r="S79" s="197"/>
      <c r="T79" s="197"/>
      <c r="U79" s="197"/>
    </row>
    <row r="80" spans="1:21" s="12" customFormat="1" x14ac:dyDescent="0.25">
      <c r="A80" s="200" t="s">
        <v>1758</v>
      </c>
      <c r="B80" s="59">
        <v>22.58</v>
      </c>
      <c r="C80" s="59">
        <v>91.89</v>
      </c>
      <c r="D80" s="59">
        <v>68.819999999999993</v>
      </c>
      <c r="E80" s="59">
        <v>5.94</v>
      </c>
      <c r="F80" s="59">
        <v>0.89</v>
      </c>
      <c r="G80" s="59">
        <v>74.11</v>
      </c>
      <c r="H80" s="59">
        <v>21.12</v>
      </c>
      <c r="I80" s="59">
        <v>0.4</v>
      </c>
      <c r="J80" s="59">
        <v>0.04</v>
      </c>
      <c r="K80" s="59">
        <v>279.83999999999997</v>
      </c>
      <c r="L80" s="59">
        <v>25.88</v>
      </c>
      <c r="M80" s="59">
        <v>54</v>
      </c>
      <c r="N80" s="59">
        <v>24.8</v>
      </c>
      <c r="O80" s="59">
        <v>0</v>
      </c>
      <c r="P80" s="59">
        <v>1.54</v>
      </c>
      <c r="Q80" s="59">
        <v>47.33</v>
      </c>
      <c r="R80" s="197"/>
      <c r="S80" s="197"/>
      <c r="T80" s="197"/>
      <c r="U80" s="197"/>
    </row>
    <row r="81" spans="1:26" s="12" customFormat="1" x14ac:dyDescent="0.25">
      <c r="A81" s="200" t="s">
        <v>1759</v>
      </c>
      <c r="B81" s="59">
        <v>29.12</v>
      </c>
      <c r="C81" s="59">
        <v>94.78</v>
      </c>
      <c r="D81" s="59">
        <v>75.66</v>
      </c>
      <c r="E81" s="59">
        <v>5.31</v>
      </c>
      <c r="F81" s="59">
        <v>0.63</v>
      </c>
      <c r="G81" s="59">
        <v>74.11</v>
      </c>
      <c r="H81" s="59">
        <v>21.12</v>
      </c>
      <c r="I81" s="59">
        <v>0.43</v>
      </c>
      <c r="J81" s="212" t="s">
        <v>42</v>
      </c>
      <c r="K81" s="59">
        <v>263.02999999999997</v>
      </c>
      <c r="L81" s="59">
        <v>25.37</v>
      </c>
      <c r="M81" s="59">
        <v>56</v>
      </c>
      <c r="N81" s="59">
        <v>24.6</v>
      </c>
      <c r="O81" s="59">
        <v>0</v>
      </c>
      <c r="P81" s="59">
        <v>1.72</v>
      </c>
      <c r="Q81" s="59">
        <v>48.5</v>
      </c>
      <c r="R81" s="197"/>
      <c r="S81" s="197"/>
      <c r="T81" s="197"/>
      <c r="U81" s="197"/>
    </row>
    <row r="82" spans="1:26" s="12" customFormat="1" x14ac:dyDescent="0.25">
      <c r="A82" s="200" t="s">
        <v>1760</v>
      </c>
      <c r="B82" s="59">
        <v>35.31</v>
      </c>
      <c r="C82" s="59">
        <v>97.4</v>
      </c>
      <c r="D82" s="59">
        <v>82.07</v>
      </c>
      <c r="E82" s="59">
        <v>5.03</v>
      </c>
      <c r="F82" s="59">
        <v>0.68</v>
      </c>
      <c r="G82" s="59">
        <v>74.11</v>
      </c>
      <c r="H82" s="59">
        <v>21.12</v>
      </c>
      <c r="I82" s="59">
        <v>0.46</v>
      </c>
      <c r="J82" s="59">
        <v>0.24</v>
      </c>
      <c r="K82" s="59">
        <v>102.88</v>
      </c>
      <c r="L82" s="59">
        <v>25.16</v>
      </c>
      <c r="M82" s="59">
        <v>57</v>
      </c>
      <c r="N82" s="59">
        <v>24.3</v>
      </c>
      <c r="O82" s="59">
        <v>0</v>
      </c>
      <c r="P82" s="59">
        <v>1.91</v>
      </c>
      <c r="Q82" s="59">
        <v>48.88</v>
      </c>
      <c r="R82" s="197"/>
      <c r="S82" s="197"/>
      <c r="T82" s="197"/>
      <c r="U82" s="197"/>
    </row>
    <row r="83" spans="1:26" s="12" customFormat="1" x14ac:dyDescent="0.25">
      <c r="A83" s="200" t="s">
        <v>1761</v>
      </c>
      <c r="B83" s="59">
        <v>39.43</v>
      </c>
      <c r="C83" s="59">
        <v>103.94</v>
      </c>
      <c r="D83" s="59">
        <v>88.98</v>
      </c>
      <c r="E83" s="59">
        <v>5.17</v>
      </c>
      <c r="F83" s="59">
        <v>0.53</v>
      </c>
      <c r="G83" s="59">
        <v>86.06</v>
      </c>
      <c r="H83" s="59">
        <v>21.46</v>
      </c>
      <c r="I83" s="59">
        <v>0.5</v>
      </c>
      <c r="J83" s="59">
        <v>0.06</v>
      </c>
      <c r="K83" s="59">
        <v>131.82</v>
      </c>
      <c r="L83" s="59">
        <v>24.97</v>
      </c>
      <c r="M83" s="59">
        <v>58</v>
      </c>
      <c r="N83" s="59">
        <v>24.6</v>
      </c>
      <c r="O83" s="59">
        <v>0</v>
      </c>
      <c r="P83" s="59">
        <v>2</v>
      </c>
      <c r="Q83" s="59">
        <v>48.41</v>
      </c>
      <c r="R83" s="197"/>
      <c r="S83" s="197"/>
      <c r="T83" s="197"/>
      <c r="U83" s="197"/>
    </row>
    <row r="84" spans="1:26" s="12" customFormat="1" x14ac:dyDescent="0.25">
      <c r="A84" s="200" t="s">
        <v>1762</v>
      </c>
      <c r="B84" s="59">
        <v>43.31</v>
      </c>
      <c r="C84" s="59">
        <v>103.55</v>
      </c>
      <c r="D84" s="59">
        <v>91.88</v>
      </c>
      <c r="E84" s="59">
        <v>5.17</v>
      </c>
      <c r="F84" s="59">
        <v>0.38</v>
      </c>
      <c r="G84" s="59">
        <v>97.31</v>
      </c>
      <c r="H84" s="59">
        <v>22.01</v>
      </c>
      <c r="I84" s="59">
        <v>0.55000000000000004</v>
      </c>
      <c r="J84" s="59">
        <v>0.06</v>
      </c>
      <c r="K84" s="59">
        <v>6.51</v>
      </c>
      <c r="L84" s="59">
        <v>24.58</v>
      </c>
      <c r="M84" s="59">
        <v>62</v>
      </c>
      <c r="N84" s="59">
        <v>24.6</v>
      </c>
      <c r="O84" s="59">
        <v>0</v>
      </c>
      <c r="P84" s="59">
        <v>2.1800000000000002</v>
      </c>
      <c r="Q84" s="59">
        <v>48.01</v>
      </c>
      <c r="R84" s="197"/>
      <c r="S84" s="197"/>
      <c r="T84" s="197"/>
      <c r="U84" s="197"/>
    </row>
    <row r="85" spans="1:26" s="12" customFormat="1" x14ac:dyDescent="0.25">
      <c r="A85" s="200" t="s">
        <v>1763</v>
      </c>
      <c r="B85" s="59">
        <v>47.87</v>
      </c>
      <c r="C85" s="59">
        <v>106.47</v>
      </c>
      <c r="D85" s="59">
        <v>97.15</v>
      </c>
      <c r="E85" s="59">
        <v>5.41</v>
      </c>
      <c r="F85" s="59">
        <v>0.47</v>
      </c>
      <c r="G85" s="59">
        <v>97.31</v>
      </c>
      <c r="H85" s="59">
        <v>22.01</v>
      </c>
      <c r="I85" s="59">
        <v>0.61</v>
      </c>
      <c r="J85" s="59">
        <v>0.06</v>
      </c>
      <c r="K85" s="59">
        <v>11.92</v>
      </c>
      <c r="L85" s="59">
        <v>24.48</v>
      </c>
      <c r="M85" s="59">
        <v>62</v>
      </c>
      <c r="N85" s="59">
        <v>24.7</v>
      </c>
      <c r="O85" s="59">
        <v>0</v>
      </c>
      <c r="P85" s="59">
        <v>2.15</v>
      </c>
      <c r="Q85" s="59">
        <v>48.37</v>
      </c>
      <c r="R85" s="197"/>
      <c r="S85" s="197"/>
      <c r="T85" s="197"/>
      <c r="U85" s="197"/>
    </row>
    <row r="86" spans="1:26" s="12" customFormat="1" x14ac:dyDescent="0.25">
      <c r="A86" s="200" t="s">
        <v>1764</v>
      </c>
      <c r="B86" s="59">
        <v>70.319999999999993</v>
      </c>
      <c r="C86" s="59">
        <v>122.99</v>
      </c>
      <c r="D86" s="59">
        <v>124.27</v>
      </c>
      <c r="E86" s="59">
        <v>6.1</v>
      </c>
      <c r="F86" s="59">
        <v>0.46</v>
      </c>
      <c r="G86" s="59">
        <v>97.31</v>
      </c>
      <c r="H86" s="59">
        <v>22.01</v>
      </c>
      <c r="I86" s="59">
        <v>0.68</v>
      </c>
      <c r="J86" s="59">
        <v>0.06</v>
      </c>
      <c r="K86" s="59">
        <v>15.84</v>
      </c>
      <c r="L86" s="59">
        <v>24.43</v>
      </c>
      <c r="M86" s="59">
        <v>61</v>
      </c>
      <c r="N86" s="59">
        <v>24.7</v>
      </c>
      <c r="O86" s="59">
        <v>0</v>
      </c>
      <c r="P86" s="59">
        <v>2.78</v>
      </c>
      <c r="Q86" s="59">
        <v>46.73</v>
      </c>
      <c r="R86" s="197"/>
      <c r="S86" s="197"/>
      <c r="T86" s="197"/>
      <c r="U86" s="197"/>
    </row>
    <row r="87" spans="1:26" s="12" customFormat="1" x14ac:dyDescent="0.25">
      <c r="A87" s="200" t="s">
        <v>1765</v>
      </c>
      <c r="B87" s="59">
        <v>73.7</v>
      </c>
      <c r="C87" s="59">
        <v>125.1</v>
      </c>
      <c r="D87" s="59">
        <v>128.13999999999999</v>
      </c>
      <c r="E87" s="59">
        <v>6.41</v>
      </c>
      <c r="F87" s="59">
        <v>0.5</v>
      </c>
      <c r="G87" s="59">
        <v>127.72</v>
      </c>
      <c r="H87" s="59">
        <v>23.73</v>
      </c>
      <c r="I87" s="59">
        <v>0.77</v>
      </c>
      <c r="J87" s="59">
        <v>0.06</v>
      </c>
      <c r="K87" s="59">
        <v>92.87</v>
      </c>
      <c r="L87" s="59">
        <v>24.15</v>
      </c>
      <c r="M87" s="59">
        <v>62</v>
      </c>
      <c r="N87" s="59">
        <v>24.6</v>
      </c>
      <c r="O87" s="59">
        <v>0</v>
      </c>
      <c r="P87" s="59">
        <v>2.77</v>
      </c>
      <c r="Q87" s="59">
        <v>46.48</v>
      </c>
      <c r="R87" s="197"/>
      <c r="S87" s="197"/>
      <c r="T87" s="197"/>
      <c r="U87" s="197"/>
    </row>
    <row r="88" spans="1:26" s="12" customFormat="1" x14ac:dyDescent="0.25">
      <c r="A88" s="200" t="s">
        <v>1766</v>
      </c>
      <c r="B88" s="59">
        <v>75.02</v>
      </c>
      <c r="C88" s="59">
        <v>123.86</v>
      </c>
      <c r="D88" s="59">
        <v>128.51</v>
      </c>
      <c r="E88" s="59">
        <v>2.25</v>
      </c>
      <c r="F88" s="59">
        <v>0.54</v>
      </c>
      <c r="G88" s="59">
        <v>156.34</v>
      </c>
      <c r="H88" s="59">
        <v>26.42</v>
      </c>
      <c r="I88" s="59">
        <v>0.95</v>
      </c>
      <c r="J88" s="59">
        <v>0.11</v>
      </c>
      <c r="K88" s="59">
        <v>10.7</v>
      </c>
      <c r="L88" s="59">
        <v>24.05</v>
      </c>
      <c r="M88" s="59">
        <v>64</v>
      </c>
      <c r="N88" s="59">
        <v>24.2</v>
      </c>
      <c r="O88" s="59">
        <v>0</v>
      </c>
      <c r="P88" s="59">
        <v>3.02</v>
      </c>
      <c r="Q88" s="59">
        <v>46.26</v>
      </c>
      <c r="R88" s="197"/>
      <c r="S88" s="197"/>
      <c r="T88" s="197"/>
      <c r="U88" s="197"/>
    </row>
    <row r="89" spans="1:26" s="12" customFormat="1" x14ac:dyDescent="0.25">
      <c r="A89" s="200" t="s">
        <v>1767</v>
      </c>
      <c r="B89" s="59">
        <v>77.53</v>
      </c>
      <c r="C89" s="59">
        <v>123.6</v>
      </c>
      <c r="D89" s="59">
        <v>130.38</v>
      </c>
      <c r="E89" s="59">
        <v>4.9400000000000004</v>
      </c>
      <c r="F89" s="59">
        <v>0.51</v>
      </c>
      <c r="G89" s="59">
        <v>156.34</v>
      </c>
      <c r="H89" s="59">
        <v>26.42</v>
      </c>
      <c r="I89" s="59">
        <v>0.99</v>
      </c>
      <c r="J89" s="59">
        <v>0.06</v>
      </c>
      <c r="K89" s="59">
        <v>289.32</v>
      </c>
      <c r="L89" s="59">
        <v>23.97</v>
      </c>
      <c r="M89" s="59">
        <v>64</v>
      </c>
      <c r="N89" s="59">
        <v>24.6</v>
      </c>
      <c r="O89" s="59">
        <v>0</v>
      </c>
      <c r="P89" s="59">
        <v>3.09</v>
      </c>
      <c r="Q89" s="59">
        <v>47.5</v>
      </c>
      <c r="R89" s="197"/>
      <c r="S89" s="197"/>
      <c r="T89" s="197"/>
      <c r="U89" s="197"/>
    </row>
    <row r="90" spans="1:26" s="12" customFormat="1" x14ac:dyDescent="0.25">
      <c r="A90" s="200" t="s">
        <v>1768</v>
      </c>
      <c r="B90" s="59">
        <v>82.17</v>
      </c>
      <c r="C90" s="59">
        <v>123.41</v>
      </c>
      <c r="D90" s="59">
        <v>134</v>
      </c>
      <c r="E90" s="59">
        <v>5.27</v>
      </c>
      <c r="F90" s="59">
        <v>0.37</v>
      </c>
      <c r="G90" s="59">
        <v>156.34</v>
      </c>
      <c r="H90" s="59">
        <v>26.42</v>
      </c>
      <c r="I90" s="59">
        <v>1.1100000000000001</v>
      </c>
      <c r="J90" s="59">
        <v>0.05</v>
      </c>
      <c r="K90" s="59">
        <v>166.37</v>
      </c>
      <c r="L90" s="59">
        <v>23.71</v>
      </c>
      <c r="M90" s="59">
        <v>64</v>
      </c>
      <c r="N90" s="59">
        <v>24.5</v>
      </c>
      <c r="O90" s="59">
        <v>0</v>
      </c>
      <c r="P90" s="59">
        <v>3.12</v>
      </c>
      <c r="Q90" s="59">
        <v>48.86</v>
      </c>
      <c r="R90" s="197"/>
      <c r="S90" s="197"/>
      <c r="T90" s="197"/>
      <c r="U90" s="197"/>
    </row>
    <row r="91" spans="1:26" s="12" customFormat="1" x14ac:dyDescent="0.25">
      <c r="A91" s="200" t="s">
        <v>1769</v>
      </c>
      <c r="B91" s="59">
        <v>88.09</v>
      </c>
      <c r="C91" s="59">
        <v>121.14</v>
      </c>
      <c r="D91" s="59">
        <v>137.49</v>
      </c>
      <c r="E91" s="59">
        <v>5.77</v>
      </c>
      <c r="F91" s="59">
        <v>0.54</v>
      </c>
      <c r="G91" s="59">
        <v>155.03</v>
      </c>
      <c r="H91" s="59">
        <v>27.24</v>
      </c>
      <c r="I91" s="59">
        <v>1.1399999999999999</v>
      </c>
      <c r="J91" s="59">
        <v>7.0000000000000007E-2</v>
      </c>
      <c r="K91" s="59">
        <v>316.25</v>
      </c>
      <c r="L91" s="59">
        <v>23.6</v>
      </c>
      <c r="M91" s="59">
        <v>65</v>
      </c>
      <c r="N91" s="59">
        <v>24.5</v>
      </c>
      <c r="O91" s="59">
        <v>0</v>
      </c>
      <c r="P91" s="59">
        <v>3.26</v>
      </c>
      <c r="Q91" s="59">
        <v>49.38</v>
      </c>
      <c r="R91" s="197"/>
      <c r="S91" s="197"/>
      <c r="T91" s="197"/>
      <c r="U91" s="197"/>
    </row>
    <row r="92" spans="1:26" s="12" customFormat="1" x14ac:dyDescent="0.25">
      <c r="A92" s="200" t="s">
        <v>1770</v>
      </c>
      <c r="B92" s="59">
        <v>95.81</v>
      </c>
      <c r="C92" s="59">
        <v>123.45</v>
      </c>
      <c r="D92" s="59">
        <v>144.97</v>
      </c>
      <c r="E92" s="59">
        <v>5.12</v>
      </c>
      <c r="F92" s="59">
        <v>0.56000000000000005</v>
      </c>
      <c r="G92" s="59">
        <v>150.81</v>
      </c>
      <c r="H92" s="59">
        <v>28.53</v>
      </c>
      <c r="I92" s="59">
        <v>1.31</v>
      </c>
      <c r="J92" s="59">
        <v>0.17</v>
      </c>
      <c r="K92" s="59">
        <v>354.03</v>
      </c>
      <c r="L92" s="59">
        <v>23.42</v>
      </c>
      <c r="M92" s="59">
        <v>70</v>
      </c>
      <c r="N92" s="59">
        <v>24.6</v>
      </c>
      <c r="O92" s="59">
        <v>0</v>
      </c>
      <c r="P92" s="59">
        <v>3.65</v>
      </c>
      <c r="Q92" s="59">
        <v>50.01</v>
      </c>
      <c r="R92" s="197"/>
      <c r="S92" s="197"/>
      <c r="T92" s="197"/>
      <c r="U92" s="197"/>
    </row>
    <row r="93" spans="1:26" s="12" customFormat="1" x14ac:dyDescent="0.25">
      <c r="A93" s="200" t="s">
        <v>1771</v>
      </c>
      <c r="B93" s="59">
        <v>94.06</v>
      </c>
      <c r="C93" s="59">
        <v>119.53</v>
      </c>
      <c r="D93" s="59">
        <v>141.38999999999999</v>
      </c>
      <c r="E93" s="59">
        <v>5.27</v>
      </c>
      <c r="F93" s="59">
        <v>0.37</v>
      </c>
      <c r="G93" s="59">
        <v>150.81</v>
      </c>
      <c r="H93" s="59">
        <v>28.53</v>
      </c>
      <c r="I93" s="59">
        <v>1.26</v>
      </c>
      <c r="J93" s="59">
        <v>0.04</v>
      </c>
      <c r="K93" s="59">
        <v>308.08</v>
      </c>
      <c r="L93" s="59">
        <v>23.02</v>
      </c>
      <c r="M93" s="59">
        <v>69</v>
      </c>
      <c r="N93" s="59">
        <v>24.6</v>
      </c>
      <c r="O93" s="59">
        <v>0</v>
      </c>
      <c r="P93" s="59">
        <v>3.58</v>
      </c>
      <c r="Q93" s="59">
        <v>51.77</v>
      </c>
      <c r="R93" s="197"/>
      <c r="S93" s="197"/>
      <c r="T93" s="197"/>
      <c r="U93" s="197"/>
    </row>
    <row r="94" spans="1:26" s="12" customFormat="1" x14ac:dyDescent="0.25">
      <c r="A94" s="200" t="s">
        <v>1772</v>
      </c>
      <c r="B94" s="59">
        <v>95.76</v>
      </c>
      <c r="C94" s="59">
        <v>116.81</v>
      </c>
      <c r="D94" s="59">
        <v>141.26</v>
      </c>
      <c r="E94" s="59">
        <v>5.26</v>
      </c>
      <c r="F94" s="59">
        <v>0.33</v>
      </c>
      <c r="G94" s="59">
        <v>150.81</v>
      </c>
      <c r="H94" s="59">
        <v>28.53</v>
      </c>
      <c r="I94" s="59">
        <v>1.46</v>
      </c>
      <c r="J94" s="59">
        <v>0.09</v>
      </c>
      <c r="K94" s="59">
        <v>334</v>
      </c>
      <c r="L94" s="59">
        <v>22.91</v>
      </c>
      <c r="M94" s="59">
        <v>71</v>
      </c>
      <c r="N94" s="59">
        <v>24.5</v>
      </c>
      <c r="O94" s="59">
        <v>0</v>
      </c>
      <c r="P94" s="59">
        <v>3.62</v>
      </c>
      <c r="Q94" s="59">
        <v>54.63</v>
      </c>
      <c r="R94" s="197"/>
      <c r="S94" s="197"/>
      <c r="T94" s="197"/>
      <c r="U94" s="197"/>
    </row>
    <row r="95" spans="1:26" s="12" customFormat="1" x14ac:dyDescent="0.25">
      <c r="A95" s="200" t="s">
        <v>1773</v>
      </c>
      <c r="B95" s="59">
        <v>107.89</v>
      </c>
      <c r="C95" s="59">
        <v>120.68</v>
      </c>
      <c r="D95" s="59">
        <v>153.12</v>
      </c>
      <c r="E95" s="59">
        <v>5.32</v>
      </c>
      <c r="F95" s="59">
        <v>0.56000000000000005</v>
      </c>
      <c r="G95" s="59">
        <v>175.37</v>
      </c>
      <c r="H95" s="59">
        <v>29.86</v>
      </c>
      <c r="I95" s="59">
        <v>1.4</v>
      </c>
      <c r="J95" s="59">
        <v>0.11</v>
      </c>
      <c r="K95" s="59">
        <v>336.29</v>
      </c>
      <c r="L95" s="59">
        <v>22.95</v>
      </c>
      <c r="M95" s="59">
        <v>71</v>
      </c>
      <c r="N95" s="59">
        <v>24.6</v>
      </c>
      <c r="O95" s="59">
        <v>0</v>
      </c>
      <c r="P95" s="59">
        <v>3.91</v>
      </c>
      <c r="Q95" s="59">
        <v>55.27</v>
      </c>
      <c r="R95" s="197"/>
      <c r="S95" s="197"/>
      <c r="T95" s="197"/>
      <c r="U95" s="197"/>
    </row>
    <row r="96" spans="1:26" s="12" customFormat="1" x14ac:dyDescent="0.25">
      <c r="A96" s="200" t="s">
        <v>1774</v>
      </c>
      <c r="B96" s="59">
        <v>120.19</v>
      </c>
      <c r="C96" s="59">
        <v>124.49</v>
      </c>
      <c r="D96" s="59">
        <v>165.09</v>
      </c>
      <c r="E96" s="59">
        <v>5.22</v>
      </c>
      <c r="F96" s="59">
        <v>0.52</v>
      </c>
      <c r="G96" s="59">
        <v>198.47</v>
      </c>
      <c r="H96" s="59">
        <v>32.049999999999997</v>
      </c>
      <c r="I96" s="59">
        <v>1.56</v>
      </c>
      <c r="J96" s="59">
        <v>0.09</v>
      </c>
      <c r="K96" s="59">
        <v>26.36</v>
      </c>
      <c r="L96" s="59">
        <v>22.73</v>
      </c>
      <c r="M96" s="59">
        <v>71</v>
      </c>
      <c r="N96" s="59">
        <v>24.6</v>
      </c>
      <c r="O96" s="59">
        <v>0</v>
      </c>
      <c r="P96" s="59">
        <v>4.22</v>
      </c>
      <c r="Q96" s="59">
        <v>55.98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1775</v>
      </c>
      <c r="B97" s="59">
        <v>130.29</v>
      </c>
      <c r="C97" s="59">
        <v>127.95</v>
      </c>
      <c r="D97" s="59">
        <v>175.1</v>
      </c>
      <c r="E97" s="59">
        <v>5.64</v>
      </c>
      <c r="F97" s="59">
        <v>0.52</v>
      </c>
      <c r="G97" s="59">
        <v>198.47</v>
      </c>
      <c r="H97" s="59">
        <v>32.049999999999997</v>
      </c>
      <c r="I97" s="59">
        <v>1.65</v>
      </c>
      <c r="J97" s="59">
        <v>0.04</v>
      </c>
      <c r="K97" s="59">
        <v>6.28</v>
      </c>
      <c r="L97" s="59">
        <v>22.61</v>
      </c>
      <c r="M97" s="59">
        <v>71</v>
      </c>
      <c r="N97" s="59">
        <v>24.4</v>
      </c>
      <c r="O97" s="59">
        <v>0</v>
      </c>
      <c r="P97" s="59">
        <v>4.45</v>
      </c>
      <c r="Q97" s="59">
        <v>56.58</v>
      </c>
      <c r="R97" s="197"/>
      <c r="S97" s="197"/>
      <c r="T97" s="197"/>
      <c r="U97" s="197"/>
    </row>
    <row r="98" spans="1:33" s="12" customFormat="1" x14ac:dyDescent="0.25">
      <c r="A98" s="200" t="s">
        <v>1776</v>
      </c>
      <c r="B98" s="59">
        <v>136.65</v>
      </c>
      <c r="C98" s="59">
        <v>129.72999999999999</v>
      </c>
      <c r="D98" s="59">
        <v>181.17</v>
      </c>
      <c r="E98" s="59">
        <v>5.99</v>
      </c>
      <c r="F98" s="59">
        <v>0.49</v>
      </c>
      <c r="G98" s="59">
        <v>198.47</v>
      </c>
      <c r="H98" s="59">
        <v>32.049999999999997</v>
      </c>
      <c r="I98" s="59">
        <v>1.75</v>
      </c>
      <c r="J98" s="59">
        <v>0.06</v>
      </c>
      <c r="K98" s="59">
        <v>9.98</v>
      </c>
      <c r="L98" s="59">
        <v>22.49</v>
      </c>
      <c r="M98" s="59">
        <v>71</v>
      </c>
      <c r="N98" s="59">
        <v>24.4</v>
      </c>
      <c r="O98" s="59">
        <v>0</v>
      </c>
      <c r="P98" s="59">
        <v>4.58</v>
      </c>
      <c r="Q98" s="59">
        <v>56.89</v>
      </c>
      <c r="R98" s="197"/>
      <c r="S98" s="197"/>
      <c r="T98" s="197"/>
      <c r="U98" s="197"/>
    </row>
    <row r="99" spans="1:33" s="12" customFormat="1" x14ac:dyDescent="0.25">
      <c r="A99" s="200" t="s">
        <v>1777</v>
      </c>
      <c r="B99" s="59">
        <v>143.5</v>
      </c>
      <c r="C99" s="59">
        <v>132.07</v>
      </c>
      <c r="D99" s="59">
        <v>187.96</v>
      </c>
      <c r="E99" s="59">
        <v>5.88</v>
      </c>
      <c r="F99" s="59">
        <v>0.36</v>
      </c>
      <c r="G99" s="59">
        <v>187.69</v>
      </c>
      <c r="H99" s="59">
        <v>32.89</v>
      </c>
      <c r="I99" s="59">
        <v>1.8</v>
      </c>
      <c r="J99" s="59">
        <v>0.16</v>
      </c>
      <c r="K99" s="59">
        <v>45.88</v>
      </c>
      <c r="L99" s="59">
        <v>22.93</v>
      </c>
      <c r="M99" s="59">
        <v>65</v>
      </c>
      <c r="N99" s="59">
        <v>23.7</v>
      </c>
      <c r="O99" s="59">
        <v>0</v>
      </c>
      <c r="P99" s="59">
        <v>4.6500000000000004</v>
      </c>
      <c r="Q99" s="59">
        <v>57.03</v>
      </c>
      <c r="R99" s="197"/>
      <c r="S99" s="197"/>
      <c r="T99" s="197"/>
      <c r="U99" s="197"/>
    </row>
    <row r="100" spans="1:33" s="12" customFormat="1" x14ac:dyDescent="0.25">
      <c r="A100" s="200" t="s">
        <v>1778</v>
      </c>
      <c r="B100" s="59">
        <v>136.51</v>
      </c>
      <c r="C100" s="59">
        <v>128.66999999999999</v>
      </c>
      <c r="D100" s="59">
        <v>180.48</v>
      </c>
      <c r="E100" s="59">
        <v>5.57</v>
      </c>
      <c r="F100" s="59">
        <v>0.35</v>
      </c>
      <c r="G100" s="59">
        <v>177.54</v>
      </c>
      <c r="H100" s="59">
        <v>34.22</v>
      </c>
      <c r="I100" s="59">
        <v>1.87</v>
      </c>
      <c r="J100" s="59">
        <v>0.3</v>
      </c>
      <c r="K100" s="59">
        <v>56.8</v>
      </c>
      <c r="L100" s="59">
        <v>23.34</v>
      </c>
      <c r="M100" s="59">
        <v>61</v>
      </c>
      <c r="N100" s="59">
        <v>23.7</v>
      </c>
      <c r="O100" s="59">
        <v>0</v>
      </c>
      <c r="P100" s="59">
        <v>4.4800000000000004</v>
      </c>
      <c r="Q100" s="59">
        <v>56.76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1779</v>
      </c>
      <c r="B101" s="59">
        <v>129.55000000000001</v>
      </c>
      <c r="C101" s="59">
        <v>122.11</v>
      </c>
      <c r="D101" s="59">
        <v>171.28</v>
      </c>
      <c r="E101" s="59">
        <v>5.81</v>
      </c>
      <c r="F101" s="59">
        <v>0.65</v>
      </c>
      <c r="G101" s="59">
        <v>177.54</v>
      </c>
      <c r="H101" s="59">
        <v>34.22</v>
      </c>
      <c r="I101" s="59">
        <v>1.9</v>
      </c>
      <c r="J101" s="59">
        <v>0.45</v>
      </c>
      <c r="K101" s="59">
        <v>78.47</v>
      </c>
      <c r="L101" s="59">
        <v>23.48</v>
      </c>
      <c r="M101" s="59">
        <v>56</v>
      </c>
      <c r="N101" s="59">
        <v>23.7</v>
      </c>
      <c r="O101" s="59">
        <v>0</v>
      </c>
      <c r="P101" s="59">
        <v>4.2699999999999996</v>
      </c>
      <c r="Q101" s="59">
        <v>55.5</v>
      </c>
      <c r="R101" s="197"/>
      <c r="S101" s="197"/>
      <c r="T101" s="197"/>
      <c r="U101" s="197"/>
    </row>
    <row r="102" spans="1:33" s="12" customFormat="1" x14ac:dyDescent="0.25">
      <c r="A102" s="200" t="s">
        <v>1780</v>
      </c>
      <c r="B102" s="59">
        <v>121.24</v>
      </c>
      <c r="C102" s="59">
        <v>119.45</v>
      </c>
      <c r="D102" s="59">
        <v>163.15</v>
      </c>
      <c r="E102" s="59">
        <v>5.93</v>
      </c>
      <c r="F102" s="59">
        <v>0.82</v>
      </c>
      <c r="G102" s="59">
        <v>177.54</v>
      </c>
      <c r="H102" s="59">
        <v>34.22</v>
      </c>
      <c r="I102" s="59">
        <v>1.79</v>
      </c>
      <c r="J102" s="59">
        <v>0.39</v>
      </c>
      <c r="K102" s="59">
        <v>74.040000000000006</v>
      </c>
      <c r="L102" s="59">
        <v>23.39</v>
      </c>
      <c r="M102" s="59">
        <v>54</v>
      </c>
      <c r="N102" s="59">
        <v>24.1</v>
      </c>
      <c r="O102" s="59">
        <v>0</v>
      </c>
      <c r="P102" s="59">
        <v>4.03</v>
      </c>
      <c r="Q102" s="59">
        <v>54.98</v>
      </c>
      <c r="R102" s="197"/>
      <c r="S102" s="197"/>
      <c r="T102" s="197"/>
      <c r="U102" s="197"/>
    </row>
    <row r="103" spans="1:33" s="12" customFormat="1" x14ac:dyDescent="0.25">
      <c r="A103" s="200" t="s">
        <v>1781</v>
      </c>
      <c r="B103" s="59">
        <v>116.99</v>
      </c>
      <c r="C103" s="59">
        <v>116.09</v>
      </c>
      <c r="D103" s="59">
        <v>157.88</v>
      </c>
      <c r="E103" s="59">
        <v>5.67</v>
      </c>
      <c r="F103" s="59">
        <v>0.73</v>
      </c>
      <c r="G103" s="59">
        <v>112.47</v>
      </c>
      <c r="H103" s="59">
        <v>32.53</v>
      </c>
      <c r="I103" s="59">
        <v>1.73</v>
      </c>
      <c r="J103" s="59">
        <v>0.25</v>
      </c>
      <c r="K103" s="59">
        <v>40.92</v>
      </c>
      <c r="L103" s="59">
        <v>23.2</v>
      </c>
      <c r="M103" s="59">
        <v>54</v>
      </c>
      <c r="N103" s="59">
        <v>24.5</v>
      </c>
      <c r="O103" s="59">
        <v>0</v>
      </c>
      <c r="P103" s="59">
        <v>3.9</v>
      </c>
      <c r="Q103" s="59">
        <v>54.95</v>
      </c>
      <c r="R103" s="197"/>
      <c r="S103" s="197"/>
      <c r="T103" s="197"/>
      <c r="U103" s="197"/>
    </row>
    <row r="104" spans="1:33" s="12" customFormat="1" x14ac:dyDescent="0.25">
      <c r="A104" s="200" t="s">
        <v>1782</v>
      </c>
      <c r="B104" s="59">
        <v>111.74</v>
      </c>
      <c r="C104" s="59">
        <v>113.03</v>
      </c>
      <c r="D104" s="59">
        <v>151.99</v>
      </c>
      <c r="E104" s="59">
        <v>3.36</v>
      </c>
      <c r="F104" s="59">
        <v>0.88</v>
      </c>
      <c r="G104" s="59">
        <v>51.22</v>
      </c>
      <c r="H104" s="59">
        <v>29.88</v>
      </c>
      <c r="I104" s="59">
        <v>1.66</v>
      </c>
      <c r="J104" s="59">
        <v>0.24</v>
      </c>
      <c r="K104" s="59">
        <v>35.08</v>
      </c>
      <c r="L104" s="59">
        <v>23</v>
      </c>
      <c r="M104" s="59">
        <v>54</v>
      </c>
      <c r="N104" s="59">
        <v>24.5</v>
      </c>
      <c r="O104" s="59">
        <v>0</v>
      </c>
      <c r="P104" s="59">
        <v>3.76</v>
      </c>
      <c r="Q104" s="59">
        <v>54.57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3.87</v>
      </c>
      <c r="C106" s="66">
        <f>MIN(C9:C104)</f>
        <v>71.569999999999993</v>
      </c>
      <c r="D106" s="66">
        <f t="shared" ref="D106:Q106" si="0">MIN(D9:D104)</f>
        <v>44.03</v>
      </c>
      <c r="E106" s="66">
        <f t="shared" si="0"/>
        <v>2.17</v>
      </c>
      <c r="F106" s="66">
        <f t="shared" si="0"/>
        <v>0.33</v>
      </c>
      <c r="G106" s="66">
        <f t="shared" si="0"/>
        <v>42.22</v>
      </c>
      <c r="H106" s="66">
        <f t="shared" si="0"/>
        <v>16.93</v>
      </c>
      <c r="I106" s="66">
        <f t="shared" si="0"/>
        <v>0.28999999999999998</v>
      </c>
      <c r="J106" s="66">
        <f t="shared" si="0"/>
        <v>0.04</v>
      </c>
      <c r="K106" s="66">
        <f t="shared" si="0"/>
        <v>4.1900000000000004</v>
      </c>
      <c r="L106" s="66">
        <f t="shared" si="0"/>
        <v>19.84</v>
      </c>
      <c r="M106" s="66">
        <f t="shared" si="0"/>
        <v>31</v>
      </c>
      <c r="N106" s="66">
        <f t="shared" si="0"/>
        <v>23.5</v>
      </c>
      <c r="O106" s="66">
        <f t="shared" si="0"/>
        <v>0</v>
      </c>
      <c r="P106" s="66">
        <f t="shared" si="0"/>
        <v>0.82</v>
      </c>
      <c r="Q106" s="66">
        <f t="shared" si="0"/>
        <v>39.020000000000003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149.38999999999999</v>
      </c>
      <c r="C107" s="65">
        <f t="shared" ref="C107:Q107" si="1">MAX(C9:C104)</f>
        <v>132.07</v>
      </c>
      <c r="D107" s="65">
        <f t="shared" si="1"/>
        <v>191.98</v>
      </c>
      <c r="E107" s="65">
        <f t="shared" si="1"/>
        <v>10.07</v>
      </c>
      <c r="F107" s="65">
        <f t="shared" si="1"/>
        <v>6.51</v>
      </c>
      <c r="G107" s="65">
        <f t="shared" si="1"/>
        <v>198.47</v>
      </c>
      <c r="H107" s="65">
        <f t="shared" si="1"/>
        <v>46.91</v>
      </c>
      <c r="I107" s="65">
        <f t="shared" si="1"/>
        <v>1.97</v>
      </c>
      <c r="J107" s="65">
        <f t="shared" si="1"/>
        <v>1.68</v>
      </c>
      <c r="K107" s="65">
        <f t="shared" si="1"/>
        <v>359.2</v>
      </c>
      <c r="L107" s="65">
        <f t="shared" si="1"/>
        <v>32.119999999999997</v>
      </c>
      <c r="M107" s="65">
        <f t="shared" si="1"/>
        <v>71</v>
      </c>
      <c r="N107" s="65">
        <f t="shared" si="1"/>
        <v>412.6</v>
      </c>
      <c r="O107" s="65">
        <f t="shared" si="1"/>
        <v>0</v>
      </c>
      <c r="P107" s="65">
        <f t="shared" si="1"/>
        <v>4.6500000000000004</v>
      </c>
      <c r="Q107" s="65">
        <f t="shared" si="1"/>
        <v>59.22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51.948854166666671</v>
      </c>
      <c r="C108" s="66">
        <f t="shared" ref="C108:Q108" si="2">AVERAGE(C9:C104)</f>
        <v>93.641979166666701</v>
      </c>
      <c r="D108" s="66">
        <f t="shared" si="2"/>
        <v>93.337604166666679</v>
      </c>
      <c r="E108" s="66">
        <f t="shared" si="2"/>
        <v>5.671875</v>
      </c>
      <c r="F108" s="66">
        <f t="shared" si="2"/>
        <v>1.4221875000000004</v>
      </c>
      <c r="G108" s="66">
        <f t="shared" si="2"/>
        <v>84.145937500000002</v>
      </c>
      <c r="H108" s="66">
        <f t="shared" si="2"/>
        <v>26.686770833333345</v>
      </c>
      <c r="I108" s="66">
        <f t="shared" si="2"/>
        <v>0.85104166666666681</v>
      </c>
      <c r="J108" s="66">
        <f t="shared" si="2"/>
        <v>0.4557894736842108</v>
      </c>
      <c r="K108" s="66">
        <f t="shared" si="2"/>
        <v>134.7182291666667</v>
      </c>
      <c r="L108" s="66">
        <f t="shared" si="2"/>
        <v>24.714687499999993</v>
      </c>
      <c r="M108" s="66">
        <f t="shared" si="2"/>
        <v>51.489583333333336</v>
      </c>
      <c r="N108" s="66">
        <f t="shared" si="2"/>
        <v>124.69479166666673</v>
      </c>
      <c r="O108" s="66">
        <f t="shared" si="2"/>
        <v>0</v>
      </c>
      <c r="P108" s="66">
        <f t="shared" si="2"/>
        <v>2.1527083333333334</v>
      </c>
      <c r="Q108" s="66">
        <f t="shared" si="2"/>
        <v>46.852187500000007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44.228900931637604</v>
      </c>
      <c r="C109" s="66">
        <f t="shared" ref="C109:Q109" si="3">STDEV(C9:C104)</f>
        <v>20.689690065078963</v>
      </c>
      <c r="D109" s="66">
        <f t="shared" si="3"/>
        <v>46.282457305112473</v>
      </c>
      <c r="E109" s="66">
        <f t="shared" si="3"/>
        <v>1.517570296646308</v>
      </c>
      <c r="F109" s="66">
        <f t="shared" si="3"/>
        <v>1.622426514839002</v>
      </c>
      <c r="G109" s="66">
        <f t="shared" si="3"/>
        <v>46.96395537404188</v>
      </c>
      <c r="H109" s="66">
        <f t="shared" si="3"/>
        <v>9.0859884605266945</v>
      </c>
      <c r="I109" s="66">
        <f t="shared" si="3"/>
        <v>0.53847245771654617</v>
      </c>
      <c r="J109" s="66">
        <f t="shared" si="3"/>
        <v>0.38822448799567871</v>
      </c>
      <c r="K109" s="66">
        <f t="shared" si="3"/>
        <v>116.75448910557927</v>
      </c>
      <c r="L109" s="66">
        <f t="shared" si="3"/>
        <v>3.7789265958874734</v>
      </c>
      <c r="M109" s="66">
        <f t="shared" si="3"/>
        <v>11.857926322366266</v>
      </c>
      <c r="N109" s="66">
        <f t="shared" si="3"/>
        <v>144.50137596852923</v>
      </c>
      <c r="O109" s="66">
        <f t="shared" si="3"/>
        <v>0</v>
      </c>
      <c r="P109" s="66">
        <f t="shared" si="3"/>
        <v>1.2764997199716563</v>
      </c>
      <c r="Q109" s="66">
        <f t="shared" si="3"/>
        <v>5.4515330925540164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>COUNT(H9:H104)</f>
        <v>96</v>
      </c>
      <c r="I110" s="65">
        <f>COUNT(I9:I104)</f>
        <v>96</v>
      </c>
      <c r="J110" s="65">
        <f>COUNT(J9:J104)+1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4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17-12-2022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1783</v>
      </c>
      <c r="B9" s="59">
        <v>106.59</v>
      </c>
      <c r="C9" s="59">
        <v>110.53</v>
      </c>
      <c r="D9" s="59">
        <v>146.47999999999999</v>
      </c>
      <c r="E9" s="59">
        <v>5.94</v>
      </c>
      <c r="F9" s="59">
        <v>0.68</v>
      </c>
      <c r="G9" s="59">
        <v>51.22</v>
      </c>
      <c r="H9" s="59">
        <v>29.88</v>
      </c>
      <c r="I9" s="59">
        <v>1.62</v>
      </c>
      <c r="J9" s="59">
        <v>0.21</v>
      </c>
      <c r="K9" s="59">
        <v>25.9</v>
      </c>
      <c r="L9" s="59">
        <v>22.72</v>
      </c>
      <c r="M9" s="59">
        <v>55</v>
      </c>
      <c r="N9" s="59">
        <v>24.4</v>
      </c>
      <c r="O9" s="59">
        <v>0</v>
      </c>
      <c r="P9" s="59">
        <v>3.6</v>
      </c>
      <c r="Q9" s="59">
        <v>54.04</v>
      </c>
      <c r="R9" s="197"/>
      <c r="S9" s="197"/>
      <c r="T9" s="197"/>
      <c r="U9" s="197"/>
    </row>
    <row r="10" spans="1:21" s="12" customFormat="1" x14ac:dyDescent="0.25">
      <c r="A10" s="200" t="s">
        <v>1784</v>
      </c>
      <c r="B10" s="59">
        <v>99.25</v>
      </c>
      <c r="C10" s="59">
        <v>109.86</v>
      </c>
      <c r="D10" s="59">
        <v>140.22</v>
      </c>
      <c r="E10" s="59">
        <v>5.8</v>
      </c>
      <c r="F10" s="59">
        <v>0.61</v>
      </c>
      <c r="G10" s="59">
        <v>51.22</v>
      </c>
      <c r="H10" s="59">
        <v>29.88</v>
      </c>
      <c r="I10" s="59">
        <v>1.57</v>
      </c>
      <c r="J10" s="59">
        <v>0.27</v>
      </c>
      <c r="K10" s="59">
        <v>358.76</v>
      </c>
      <c r="L10" s="59">
        <v>22.54</v>
      </c>
      <c r="M10" s="59">
        <v>56</v>
      </c>
      <c r="N10" s="59">
        <v>24.4</v>
      </c>
      <c r="O10" s="59">
        <v>0</v>
      </c>
      <c r="P10" s="59">
        <v>3.44</v>
      </c>
      <c r="Q10" s="59">
        <v>53.44</v>
      </c>
      <c r="R10" s="197"/>
      <c r="S10" s="197"/>
      <c r="T10" s="197"/>
      <c r="U10" s="197"/>
    </row>
    <row r="11" spans="1:21" s="12" customFormat="1" x14ac:dyDescent="0.25">
      <c r="A11" s="200" t="s">
        <v>1785</v>
      </c>
      <c r="B11" s="59">
        <v>93.75</v>
      </c>
      <c r="C11" s="59">
        <v>106.89</v>
      </c>
      <c r="D11" s="59">
        <v>134.16999999999999</v>
      </c>
      <c r="E11" s="59">
        <v>5.9</v>
      </c>
      <c r="F11" s="59">
        <v>0.63</v>
      </c>
      <c r="G11" s="59">
        <v>54.67</v>
      </c>
      <c r="H11" s="59">
        <v>28.17</v>
      </c>
      <c r="I11" s="59">
        <v>1.52</v>
      </c>
      <c r="J11" s="59">
        <v>0.22</v>
      </c>
      <c r="K11" s="59">
        <v>21.86</v>
      </c>
      <c r="L11" s="59">
        <v>22.32</v>
      </c>
      <c r="M11" s="59">
        <v>57</v>
      </c>
      <c r="N11" s="59">
        <v>24.3</v>
      </c>
      <c r="O11" s="59">
        <v>0</v>
      </c>
      <c r="P11" s="59">
        <v>3.28</v>
      </c>
      <c r="Q11" s="59">
        <v>52.99</v>
      </c>
      <c r="R11" s="197"/>
      <c r="S11" s="197"/>
      <c r="T11" s="197"/>
      <c r="U11" s="197"/>
    </row>
    <row r="12" spans="1:21" s="12" customFormat="1" x14ac:dyDescent="0.25">
      <c r="A12" s="200" t="s">
        <v>1786</v>
      </c>
      <c r="B12" s="59">
        <v>92.67</v>
      </c>
      <c r="C12" s="59">
        <v>104.46</v>
      </c>
      <c r="D12" s="59">
        <v>131.97</v>
      </c>
      <c r="E12" s="59">
        <v>5.98</v>
      </c>
      <c r="F12" s="59">
        <v>0.63</v>
      </c>
      <c r="G12" s="59">
        <v>65.680000000000007</v>
      </c>
      <c r="H12" s="59">
        <v>25.47</v>
      </c>
      <c r="I12" s="59">
        <v>1.45</v>
      </c>
      <c r="J12" s="59">
        <v>0.22</v>
      </c>
      <c r="K12" s="59">
        <v>35.08</v>
      </c>
      <c r="L12" s="59">
        <v>22.08</v>
      </c>
      <c r="M12" s="59">
        <v>57</v>
      </c>
      <c r="N12" s="59">
        <v>24.3</v>
      </c>
      <c r="O12" s="59">
        <v>0</v>
      </c>
      <c r="P12" s="59">
        <v>3.14</v>
      </c>
      <c r="Q12" s="59">
        <v>53.96</v>
      </c>
      <c r="R12" s="197"/>
      <c r="S12" s="197"/>
      <c r="T12" s="197"/>
      <c r="U12" s="197"/>
    </row>
    <row r="13" spans="1:21" s="12" customFormat="1" x14ac:dyDescent="0.25">
      <c r="A13" s="200" t="s">
        <v>1787</v>
      </c>
      <c r="B13" s="59">
        <v>86.2</v>
      </c>
      <c r="C13" s="59">
        <v>101.92</v>
      </c>
      <c r="D13" s="59">
        <v>125.38</v>
      </c>
      <c r="E13" s="59">
        <v>5.87</v>
      </c>
      <c r="F13" s="59">
        <v>0.48</v>
      </c>
      <c r="G13" s="59">
        <v>65.680000000000007</v>
      </c>
      <c r="H13" s="59">
        <v>25.47</v>
      </c>
      <c r="I13" s="59">
        <v>1.29</v>
      </c>
      <c r="J13" s="59">
        <v>0.33</v>
      </c>
      <c r="K13" s="59">
        <v>56.64</v>
      </c>
      <c r="L13" s="59">
        <v>21.88</v>
      </c>
      <c r="M13" s="59">
        <v>59</v>
      </c>
      <c r="N13" s="59">
        <v>24.3</v>
      </c>
      <c r="O13" s="59">
        <v>0</v>
      </c>
      <c r="P13" s="59">
        <v>2.87</v>
      </c>
      <c r="Q13" s="59">
        <v>53.71</v>
      </c>
      <c r="R13" s="197"/>
      <c r="S13" s="197"/>
      <c r="T13" s="197"/>
      <c r="U13" s="197"/>
    </row>
    <row r="14" spans="1:21" s="12" customFormat="1" x14ac:dyDescent="0.25">
      <c r="A14" s="200" t="s">
        <v>1788</v>
      </c>
      <c r="B14" s="59">
        <v>79.489999999999995</v>
      </c>
      <c r="C14" s="59">
        <v>98.91</v>
      </c>
      <c r="D14" s="59">
        <v>118.33</v>
      </c>
      <c r="E14" s="59">
        <v>5.9</v>
      </c>
      <c r="F14" s="59">
        <v>0.44</v>
      </c>
      <c r="G14" s="59">
        <v>65.680000000000007</v>
      </c>
      <c r="H14" s="59">
        <v>25.47</v>
      </c>
      <c r="I14" s="59">
        <v>1.37</v>
      </c>
      <c r="J14" s="59">
        <v>0.31</v>
      </c>
      <c r="K14" s="59">
        <v>42.07</v>
      </c>
      <c r="L14" s="59">
        <v>21.75</v>
      </c>
      <c r="M14" s="59">
        <v>59</v>
      </c>
      <c r="N14" s="59">
        <v>24.3</v>
      </c>
      <c r="O14" s="59">
        <v>0</v>
      </c>
      <c r="P14" s="59">
        <v>2.77</v>
      </c>
      <c r="Q14" s="59">
        <v>52.68</v>
      </c>
      <c r="R14" s="197"/>
      <c r="S14" s="197"/>
      <c r="T14" s="197"/>
      <c r="U14" s="197"/>
    </row>
    <row r="15" spans="1:21" s="12" customFormat="1" x14ac:dyDescent="0.25">
      <c r="A15" s="200" t="s">
        <v>1789</v>
      </c>
      <c r="B15" s="59">
        <v>73.209999999999994</v>
      </c>
      <c r="C15" s="59">
        <v>96.38</v>
      </c>
      <c r="D15" s="59">
        <v>111.9</v>
      </c>
      <c r="E15" s="59">
        <v>5.28</v>
      </c>
      <c r="F15" s="59">
        <v>0.54</v>
      </c>
      <c r="G15" s="59">
        <v>56.4</v>
      </c>
      <c r="H15" s="59">
        <v>24.22</v>
      </c>
      <c r="I15" s="59">
        <v>1.28</v>
      </c>
      <c r="J15" s="59">
        <v>0.22</v>
      </c>
      <c r="K15" s="59">
        <v>27.1</v>
      </c>
      <c r="L15" s="59">
        <v>21.58</v>
      </c>
      <c r="M15" s="59">
        <v>59</v>
      </c>
      <c r="N15" s="59">
        <v>24.4</v>
      </c>
      <c r="O15" s="59">
        <v>0</v>
      </c>
      <c r="P15" s="59">
        <v>2.61</v>
      </c>
      <c r="Q15" s="59">
        <v>51.77</v>
      </c>
      <c r="R15" s="197"/>
      <c r="S15" s="197"/>
      <c r="T15" s="197"/>
      <c r="U15" s="197"/>
    </row>
    <row r="16" spans="1:21" s="12" customFormat="1" x14ac:dyDescent="0.25">
      <c r="A16" s="200" t="s">
        <v>1790</v>
      </c>
      <c r="B16" s="59">
        <v>67.59</v>
      </c>
      <c r="C16" s="59">
        <v>93.85</v>
      </c>
      <c r="D16" s="59">
        <v>106</v>
      </c>
      <c r="E16" s="59">
        <v>4.97</v>
      </c>
      <c r="F16" s="59">
        <v>0.43</v>
      </c>
      <c r="G16" s="59">
        <v>47.12</v>
      </c>
      <c r="H16" s="59">
        <v>22.27</v>
      </c>
      <c r="I16" s="59">
        <v>1.08</v>
      </c>
      <c r="J16" s="59">
        <v>0.35</v>
      </c>
      <c r="K16" s="59">
        <v>68.349999999999994</v>
      </c>
      <c r="L16" s="59">
        <v>21.33</v>
      </c>
      <c r="M16" s="59">
        <v>61</v>
      </c>
      <c r="N16" s="59">
        <v>24.2</v>
      </c>
      <c r="O16" s="59">
        <v>0</v>
      </c>
      <c r="P16" s="59">
        <v>2.46</v>
      </c>
      <c r="Q16" s="59">
        <v>50.8</v>
      </c>
      <c r="R16" s="197"/>
      <c r="S16" s="197"/>
      <c r="T16" s="197"/>
      <c r="U16" s="197"/>
    </row>
    <row r="17" spans="1:21" s="12" customFormat="1" x14ac:dyDescent="0.25">
      <c r="A17" s="200" t="s">
        <v>1791</v>
      </c>
      <c r="B17" s="59">
        <v>62.22</v>
      </c>
      <c r="C17" s="59">
        <v>91.46</v>
      </c>
      <c r="D17" s="59">
        <v>100.37</v>
      </c>
      <c r="E17" s="59">
        <v>4.8600000000000003</v>
      </c>
      <c r="F17" s="59">
        <v>0.52</v>
      </c>
      <c r="G17" s="59">
        <v>47.12</v>
      </c>
      <c r="H17" s="59">
        <v>22.27</v>
      </c>
      <c r="I17" s="59">
        <v>1.01</v>
      </c>
      <c r="J17" s="59">
        <v>0.33</v>
      </c>
      <c r="K17" s="59">
        <v>63.33</v>
      </c>
      <c r="L17" s="59">
        <v>21.2</v>
      </c>
      <c r="M17" s="59">
        <v>60</v>
      </c>
      <c r="N17" s="59">
        <v>24.2</v>
      </c>
      <c r="O17" s="59">
        <v>0</v>
      </c>
      <c r="P17" s="59">
        <v>2.31</v>
      </c>
      <c r="Q17" s="59">
        <v>49.96</v>
      </c>
      <c r="R17" s="197"/>
      <c r="S17" s="197"/>
      <c r="T17" s="197"/>
      <c r="U17" s="197"/>
    </row>
    <row r="18" spans="1:21" s="12" customFormat="1" x14ac:dyDescent="0.25">
      <c r="A18" s="200" t="s">
        <v>1792</v>
      </c>
      <c r="B18" s="59">
        <v>56.86</v>
      </c>
      <c r="C18" s="59">
        <v>89.06</v>
      </c>
      <c r="D18" s="59">
        <v>94.75</v>
      </c>
      <c r="E18" s="59">
        <v>4.93</v>
      </c>
      <c r="F18" s="59">
        <v>0.43</v>
      </c>
      <c r="G18" s="59">
        <v>47.12</v>
      </c>
      <c r="H18" s="59">
        <v>22.27</v>
      </c>
      <c r="I18" s="59">
        <v>0.95</v>
      </c>
      <c r="J18" s="59">
        <v>0.19</v>
      </c>
      <c r="K18" s="59">
        <v>38.69</v>
      </c>
      <c r="L18" s="59">
        <v>21</v>
      </c>
      <c r="M18" s="59">
        <v>60</v>
      </c>
      <c r="N18" s="59">
        <v>24.4</v>
      </c>
      <c r="O18" s="59">
        <v>0</v>
      </c>
      <c r="P18" s="59">
        <v>2.17</v>
      </c>
      <c r="Q18" s="59">
        <v>49.01</v>
      </c>
      <c r="R18" s="197"/>
      <c r="S18" s="197"/>
      <c r="T18" s="197"/>
      <c r="U18" s="197"/>
    </row>
    <row r="19" spans="1:21" s="12" customFormat="1" x14ac:dyDescent="0.25">
      <c r="A19" s="200" t="s">
        <v>1793</v>
      </c>
      <c r="B19" s="59">
        <v>51.89</v>
      </c>
      <c r="C19" s="59">
        <v>86.87</v>
      </c>
      <c r="D19" s="59">
        <v>89.55</v>
      </c>
      <c r="E19" s="59">
        <v>4.6900000000000004</v>
      </c>
      <c r="F19" s="59">
        <v>0.47</v>
      </c>
      <c r="G19" s="59">
        <v>37.21</v>
      </c>
      <c r="H19" s="59">
        <v>21.69</v>
      </c>
      <c r="I19" s="59">
        <v>0.89</v>
      </c>
      <c r="J19" s="59">
        <v>0.33</v>
      </c>
      <c r="K19" s="59">
        <v>8.06</v>
      </c>
      <c r="L19" s="59">
        <v>20.81</v>
      </c>
      <c r="M19" s="59">
        <v>61</v>
      </c>
      <c r="N19" s="59">
        <v>24.3</v>
      </c>
      <c r="O19" s="59">
        <v>0</v>
      </c>
      <c r="P19" s="59">
        <v>2.04</v>
      </c>
      <c r="Q19" s="59">
        <v>46.99</v>
      </c>
      <c r="R19" s="197"/>
      <c r="S19" s="197"/>
      <c r="T19" s="197"/>
      <c r="U19" s="197"/>
    </row>
    <row r="20" spans="1:21" s="12" customFormat="1" x14ac:dyDescent="0.25">
      <c r="A20" s="200" t="s">
        <v>1794</v>
      </c>
      <c r="B20" s="59">
        <v>46.85</v>
      </c>
      <c r="C20" s="59">
        <v>82.29</v>
      </c>
      <c r="D20" s="59">
        <v>82.99</v>
      </c>
      <c r="E20" s="59">
        <v>5.37</v>
      </c>
      <c r="F20" s="59">
        <v>0.47</v>
      </c>
      <c r="G20" s="59">
        <v>27.6</v>
      </c>
      <c r="H20" s="59">
        <v>20.74</v>
      </c>
      <c r="I20" s="59">
        <v>0.83</v>
      </c>
      <c r="J20" s="59">
        <v>0.62</v>
      </c>
      <c r="K20" s="59">
        <v>5.93</v>
      </c>
      <c r="L20" s="59">
        <v>20.65</v>
      </c>
      <c r="M20" s="59">
        <v>61</v>
      </c>
      <c r="N20" s="59">
        <v>23.9</v>
      </c>
      <c r="O20" s="59">
        <v>0</v>
      </c>
      <c r="P20" s="59">
        <v>1.94</v>
      </c>
      <c r="Q20" s="59">
        <v>46.1</v>
      </c>
      <c r="R20" s="197"/>
      <c r="S20" s="197"/>
      <c r="T20" s="197"/>
      <c r="U20" s="197"/>
    </row>
    <row r="21" spans="1:21" s="12" customFormat="1" x14ac:dyDescent="0.25">
      <c r="A21" s="200" t="s">
        <v>1795</v>
      </c>
      <c r="B21" s="59">
        <v>43.21</v>
      </c>
      <c r="C21" s="59">
        <v>80.53</v>
      </c>
      <c r="D21" s="59">
        <v>79.09</v>
      </c>
      <c r="E21" s="59">
        <v>5.57</v>
      </c>
      <c r="F21" s="59">
        <v>0.77</v>
      </c>
      <c r="G21" s="59">
        <v>27.6</v>
      </c>
      <c r="H21" s="59">
        <v>20.74</v>
      </c>
      <c r="I21" s="59">
        <v>0.79</v>
      </c>
      <c r="J21" s="59">
        <v>0.82</v>
      </c>
      <c r="K21" s="59">
        <v>6.96</v>
      </c>
      <c r="L21" s="59">
        <v>20.69</v>
      </c>
      <c r="M21" s="59">
        <v>61</v>
      </c>
      <c r="N21" s="59">
        <v>23.9</v>
      </c>
      <c r="O21" s="59">
        <v>0</v>
      </c>
      <c r="P21" s="59">
        <v>1.83</v>
      </c>
      <c r="Q21" s="59">
        <v>45.63</v>
      </c>
      <c r="R21" s="197"/>
      <c r="S21" s="197"/>
      <c r="T21" s="197"/>
      <c r="U21" s="197"/>
    </row>
    <row r="22" spans="1:21" s="12" customFormat="1" x14ac:dyDescent="0.25">
      <c r="A22" s="200" t="s">
        <v>1796</v>
      </c>
      <c r="B22" s="59">
        <v>40.46</v>
      </c>
      <c r="C22" s="59">
        <v>80.290000000000006</v>
      </c>
      <c r="D22" s="59">
        <v>76.760000000000005</v>
      </c>
      <c r="E22" s="59">
        <v>5.43</v>
      </c>
      <c r="F22" s="59">
        <v>0.73</v>
      </c>
      <c r="G22" s="59">
        <v>27.6</v>
      </c>
      <c r="H22" s="59">
        <v>20.74</v>
      </c>
      <c r="I22" s="59">
        <v>0.76</v>
      </c>
      <c r="J22" s="59">
        <v>0.79</v>
      </c>
      <c r="K22" s="59">
        <v>3.87</v>
      </c>
      <c r="L22" s="59">
        <v>20.53</v>
      </c>
      <c r="M22" s="59">
        <v>62</v>
      </c>
      <c r="N22" s="59">
        <v>24.1</v>
      </c>
      <c r="O22" s="59">
        <v>0</v>
      </c>
      <c r="P22" s="59">
        <v>1.74</v>
      </c>
      <c r="Q22" s="59">
        <v>45</v>
      </c>
      <c r="R22" s="197"/>
      <c r="S22" s="197"/>
      <c r="T22" s="197"/>
      <c r="U22" s="197"/>
    </row>
    <row r="23" spans="1:21" s="12" customFormat="1" x14ac:dyDescent="0.25">
      <c r="A23" s="200" t="s">
        <v>1797</v>
      </c>
      <c r="B23" s="59">
        <v>36.86</v>
      </c>
      <c r="C23" s="59">
        <v>78.239999999999995</v>
      </c>
      <c r="D23" s="59">
        <v>72.739999999999995</v>
      </c>
      <c r="E23" s="59">
        <v>5.73</v>
      </c>
      <c r="F23" s="59">
        <v>0.69</v>
      </c>
      <c r="G23" s="59">
        <v>70.37</v>
      </c>
      <c r="H23" s="59">
        <v>19.079999999999998</v>
      </c>
      <c r="I23" s="59">
        <v>0.73</v>
      </c>
      <c r="J23" s="59">
        <v>0.71</v>
      </c>
      <c r="K23" s="59">
        <v>6.54</v>
      </c>
      <c r="L23" s="59">
        <v>20.350000000000001</v>
      </c>
      <c r="M23" s="59">
        <v>61</v>
      </c>
      <c r="N23" s="59">
        <v>24.1</v>
      </c>
      <c r="O23" s="59">
        <v>0</v>
      </c>
      <c r="P23" s="59">
        <v>1.64</v>
      </c>
      <c r="Q23" s="59">
        <v>44.33</v>
      </c>
      <c r="R23" s="197"/>
      <c r="S23" s="197"/>
      <c r="T23" s="197"/>
      <c r="U23" s="197"/>
    </row>
    <row r="24" spans="1:21" s="12" customFormat="1" x14ac:dyDescent="0.25">
      <c r="A24" s="200" t="s">
        <v>1798</v>
      </c>
      <c r="B24" s="59">
        <v>34.36</v>
      </c>
      <c r="C24" s="59">
        <v>77.099999999999994</v>
      </c>
      <c r="D24" s="59">
        <v>70.11</v>
      </c>
      <c r="E24" s="59">
        <v>3.23</v>
      </c>
      <c r="F24" s="59">
        <v>0.6</v>
      </c>
      <c r="G24" s="59">
        <v>111.88</v>
      </c>
      <c r="H24" s="59">
        <v>16.34</v>
      </c>
      <c r="I24" s="59">
        <v>0.7</v>
      </c>
      <c r="J24" s="59">
        <v>0.48</v>
      </c>
      <c r="K24" s="59">
        <v>5.54</v>
      </c>
      <c r="L24" s="59">
        <v>20.13</v>
      </c>
      <c r="M24" s="59">
        <v>61</v>
      </c>
      <c r="N24" s="59">
        <v>24.4</v>
      </c>
      <c r="O24" s="59">
        <v>0</v>
      </c>
      <c r="P24" s="59">
        <v>1.56</v>
      </c>
      <c r="Q24" s="59">
        <v>43.81</v>
      </c>
      <c r="R24" s="197"/>
      <c r="S24" s="197"/>
      <c r="T24" s="197"/>
      <c r="U24" s="197"/>
    </row>
    <row r="25" spans="1:21" s="12" customFormat="1" x14ac:dyDescent="0.25">
      <c r="A25" s="200" t="s">
        <v>1799</v>
      </c>
      <c r="B25" s="59">
        <v>32.29</v>
      </c>
      <c r="C25" s="59">
        <v>77.040000000000006</v>
      </c>
      <c r="D25" s="59">
        <v>68.41</v>
      </c>
      <c r="E25" s="59">
        <v>5.56</v>
      </c>
      <c r="F25" s="59">
        <v>0.54</v>
      </c>
      <c r="G25" s="59">
        <v>111.88</v>
      </c>
      <c r="H25" s="59">
        <v>16.34</v>
      </c>
      <c r="I25" s="59">
        <v>0.67</v>
      </c>
      <c r="J25" s="59">
        <v>0.89</v>
      </c>
      <c r="K25" s="59">
        <v>5</v>
      </c>
      <c r="L25" s="59">
        <v>19.95</v>
      </c>
      <c r="M25" s="59">
        <v>59</v>
      </c>
      <c r="N25" s="59">
        <v>23.8</v>
      </c>
      <c r="O25" s="59">
        <v>0</v>
      </c>
      <c r="P25" s="59">
        <v>1.48</v>
      </c>
      <c r="Q25" s="59">
        <v>43.42</v>
      </c>
      <c r="R25" s="197"/>
      <c r="S25" s="197"/>
      <c r="T25" s="197"/>
      <c r="U25" s="197"/>
    </row>
    <row r="26" spans="1:21" s="12" customFormat="1" x14ac:dyDescent="0.25">
      <c r="A26" s="200" t="s">
        <v>1800</v>
      </c>
      <c r="B26" s="59">
        <v>29.82</v>
      </c>
      <c r="C26" s="59">
        <v>76.790000000000006</v>
      </c>
      <c r="D26" s="59">
        <v>66.290000000000006</v>
      </c>
      <c r="E26" s="59">
        <v>6.07</v>
      </c>
      <c r="F26" s="59">
        <v>0.45</v>
      </c>
      <c r="G26" s="59">
        <v>111.88</v>
      </c>
      <c r="H26" s="59">
        <v>16.34</v>
      </c>
      <c r="I26" s="59">
        <v>0.66</v>
      </c>
      <c r="J26" s="59">
        <v>0.75</v>
      </c>
      <c r="K26" s="59">
        <v>7.98</v>
      </c>
      <c r="L26" s="59">
        <v>19.88</v>
      </c>
      <c r="M26" s="59">
        <v>58</v>
      </c>
      <c r="N26" s="59">
        <v>24.1</v>
      </c>
      <c r="O26" s="59">
        <v>0</v>
      </c>
      <c r="P26" s="59">
        <v>1.39</v>
      </c>
      <c r="Q26" s="59">
        <v>43.89</v>
      </c>
      <c r="R26" s="197"/>
      <c r="S26" s="197"/>
      <c r="T26" s="197"/>
      <c r="U26" s="197"/>
    </row>
    <row r="27" spans="1:21" s="12" customFormat="1" x14ac:dyDescent="0.25">
      <c r="A27" s="200" t="s">
        <v>1801</v>
      </c>
      <c r="B27" s="59">
        <v>27.25</v>
      </c>
      <c r="C27" s="59">
        <v>75.53</v>
      </c>
      <c r="D27" s="59">
        <v>63.53</v>
      </c>
      <c r="E27" s="59">
        <v>5.18</v>
      </c>
      <c r="F27" s="59">
        <v>0.61</v>
      </c>
      <c r="G27" s="59">
        <v>99.21</v>
      </c>
      <c r="H27" s="59">
        <v>16.37</v>
      </c>
      <c r="I27" s="59">
        <v>0.64</v>
      </c>
      <c r="J27" s="59">
        <v>0.66</v>
      </c>
      <c r="K27" s="59">
        <v>3.89</v>
      </c>
      <c r="L27" s="59">
        <v>19.73</v>
      </c>
      <c r="M27" s="59">
        <v>58</v>
      </c>
      <c r="N27" s="59">
        <v>24.2</v>
      </c>
      <c r="O27" s="59">
        <v>0</v>
      </c>
      <c r="P27" s="59">
        <v>1.31</v>
      </c>
      <c r="Q27" s="59">
        <v>44.44</v>
      </c>
      <c r="R27" s="197"/>
      <c r="S27" s="197"/>
      <c r="T27" s="197"/>
      <c r="U27" s="197"/>
    </row>
    <row r="28" spans="1:21" s="12" customFormat="1" x14ac:dyDescent="0.25">
      <c r="A28" s="200" t="s">
        <v>1802</v>
      </c>
      <c r="B28" s="59">
        <v>25.23</v>
      </c>
      <c r="C28" s="59">
        <v>74.819999999999993</v>
      </c>
      <c r="D28" s="59">
        <v>61.53</v>
      </c>
      <c r="E28" s="59">
        <v>5.12</v>
      </c>
      <c r="F28" s="59">
        <v>0.76</v>
      </c>
      <c r="G28" s="59">
        <v>52.72</v>
      </c>
      <c r="H28" s="59">
        <v>16.420000000000002</v>
      </c>
      <c r="I28" s="59">
        <v>0.6</v>
      </c>
      <c r="J28" s="59">
        <v>0.37</v>
      </c>
      <c r="K28" s="59">
        <v>6.6</v>
      </c>
      <c r="L28" s="59">
        <v>19.53</v>
      </c>
      <c r="M28" s="59">
        <v>58</v>
      </c>
      <c r="N28" s="59">
        <v>24.2</v>
      </c>
      <c r="O28" s="59">
        <v>0</v>
      </c>
      <c r="P28" s="59">
        <v>1.24</v>
      </c>
      <c r="Q28" s="59">
        <v>43.36</v>
      </c>
      <c r="R28" s="197"/>
      <c r="S28" s="197"/>
      <c r="T28" s="197"/>
      <c r="U28" s="197"/>
    </row>
    <row r="29" spans="1:21" s="12" customFormat="1" x14ac:dyDescent="0.25">
      <c r="A29" s="200" t="s">
        <v>1803</v>
      </c>
      <c r="B29" s="59">
        <v>23.38</v>
      </c>
      <c r="C29" s="59">
        <v>73.91</v>
      </c>
      <c r="D29" s="59">
        <v>59.54</v>
      </c>
      <c r="E29" s="59">
        <v>5.48</v>
      </c>
      <c r="F29" s="59">
        <v>0.62</v>
      </c>
      <c r="G29" s="59">
        <v>52.72</v>
      </c>
      <c r="H29" s="59">
        <v>16.420000000000002</v>
      </c>
      <c r="I29" s="59">
        <v>0.56000000000000005</v>
      </c>
      <c r="J29" s="59">
        <v>0.48</v>
      </c>
      <c r="K29" s="59">
        <v>0.8</v>
      </c>
      <c r="L29" s="59">
        <v>19.329999999999998</v>
      </c>
      <c r="M29" s="59">
        <v>57</v>
      </c>
      <c r="N29" s="59">
        <v>24</v>
      </c>
      <c r="O29" s="59">
        <v>0</v>
      </c>
      <c r="P29" s="59">
        <v>1.19</v>
      </c>
      <c r="Q29" s="59">
        <v>42.63</v>
      </c>
      <c r="R29" s="197"/>
      <c r="S29" s="197"/>
      <c r="T29" s="197"/>
      <c r="U29" s="197"/>
    </row>
    <row r="30" spans="1:21" s="12" customFormat="1" x14ac:dyDescent="0.25">
      <c r="A30" s="200" t="s">
        <v>1804</v>
      </c>
      <c r="B30" s="59">
        <v>21.92</v>
      </c>
      <c r="C30" s="59">
        <v>73.45</v>
      </c>
      <c r="D30" s="59">
        <v>58.11</v>
      </c>
      <c r="E30" s="59">
        <v>5.45</v>
      </c>
      <c r="F30" s="59">
        <v>0.61</v>
      </c>
      <c r="G30" s="59">
        <v>52.72</v>
      </c>
      <c r="H30" s="59">
        <v>16.420000000000002</v>
      </c>
      <c r="I30" s="59">
        <v>0.52</v>
      </c>
      <c r="J30" s="59">
        <v>0.51</v>
      </c>
      <c r="K30" s="59">
        <v>7.33</v>
      </c>
      <c r="L30" s="59">
        <v>19.34</v>
      </c>
      <c r="M30" s="59">
        <v>56</v>
      </c>
      <c r="N30" s="59">
        <v>23.9</v>
      </c>
      <c r="O30" s="59">
        <v>0</v>
      </c>
      <c r="P30" s="59">
        <v>1.1399999999999999</v>
      </c>
      <c r="Q30" s="59">
        <v>42.18</v>
      </c>
      <c r="R30" s="197"/>
      <c r="S30" s="197"/>
      <c r="T30" s="197"/>
      <c r="U30" s="197"/>
    </row>
    <row r="31" spans="1:21" s="12" customFormat="1" x14ac:dyDescent="0.25">
      <c r="A31" s="200" t="s">
        <v>1805</v>
      </c>
      <c r="B31" s="59">
        <v>21.07</v>
      </c>
      <c r="C31" s="59">
        <v>73.069999999999993</v>
      </c>
      <c r="D31" s="59">
        <v>57.23</v>
      </c>
      <c r="E31" s="59">
        <v>5.49</v>
      </c>
      <c r="F31" s="59">
        <v>0.86</v>
      </c>
      <c r="G31" s="59">
        <v>45.45</v>
      </c>
      <c r="H31" s="59">
        <v>15.59</v>
      </c>
      <c r="I31" s="59">
        <v>0.49</v>
      </c>
      <c r="J31" s="59">
        <v>0.44</v>
      </c>
      <c r="K31" s="59">
        <v>3.86</v>
      </c>
      <c r="L31" s="59">
        <v>19.190000000000001</v>
      </c>
      <c r="M31" s="59">
        <v>57</v>
      </c>
      <c r="N31" s="59">
        <v>24.1</v>
      </c>
      <c r="O31" s="59">
        <v>0</v>
      </c>
      <c r="P31" s="59">
        <v>1.1200000000000001</v>
      </c>
      <c r="Q31" s="59">
        <v>41.4</v>
      </c>
      <c r="R31" s="197"/>
      <c r="S31" s="197"/>
      <c r="T31" s="197"/>
      <c r="U31" s="197"/>
    </row>
    <row r="32" spans="1:21" s="12" customFormat="1" x14ac:dyDescent="0.25">
      <c r="A32" s="200" t="s">
        <v>1806</v>
      </c>
      <c r="B32" s="59">
        <v>20.72</v>
      </c>
      <c r="C32" s="59">
        <v>72.86</v>
      </c>
      <c r="D32" s="59">
        <v>56.82</v>
      </c>
      <c r="E32" s="59">
        <v>5.44</v>
      </c>
      <c r="F32" s="59">
        <v>0.72</v>
      </c>
      <c r="G32" s="59">
        <v>38.39</v>
      </c>
      <c r="H32" s="59">
        <v>14.23</v>
      </c>
      <c r="I32" s="59">
        <v>0.47</v>
      </c>
      <c r="J32" s="59">
        <v>0.45</v>
      </c>
      <c r="K32" s="59">
        <v>1.46</v>
      </c>
      <c r="L32" s="59">
        <v>18.97</v>
      </c>
      <c r="M32" s="59">
        <v>57</v>
      </c>
      <c r="N32" s="59">
        <v>24</v>
      </c>
      <c r="O32" s="59">
        <v>0</v>
      </c>
      <c r="P32" s="59">
        <v>1.1000000000000001</v>
      </c>
      <c r="Q32" s="59">
        <v>40.86</v>
      </c>
      <c r="R32" s="197"/>
      <c r="S32" s="197"/>
      <c r="T32" s="197"/>
      <c r="U32" s="197"/>
    </row>
    <row r="33" spans="1:21" s="12" customFormat="1" x14ac:dyDescent="0.25">
      <c r="A33" s="200" t="s">
        <v>1807</v>
      </c>
      <c r="B33" s="59">
        <v>20.07</v>
      </c>
      <c r="C33" s="59">
        <v>72.510000000000005</v>
      </c>
      <c r="D33" s="59">
        <v>56.12</v>
      </c>
      <c r="E33" s="59">
        <v>5.46</v>
      </c>
      <c r="F33" s="59">
        <v>0.78</v>
      </c>
      <c r="G33" s="59">
        <v>38.39</v>
      </c>
      <c r="H33" s="59">
        <v>14.23</v>
      </c>
      <c r="I33" s="59">
        <v>0.44</v>
      </c>
      <c r="J33" s="59">
        <v>0.38</v>
      </c>
      <c r="K33" s="59">
        <v>15.43</v>
      </c>
      <c r="L33" s="59">
        <v>18.89</v>
      </c>
      <c r="M33" s="59">
        <v>57</v>
      </c>
      <c r="N33" s="59">
        <v>24.2</v>
      </c>
      <c r="O33" s="59">
        <v>0</v>
      </c>
      <c r="P33" s="59">
        <v>1.0900000000000001</v>
      </c>
      <c r="Q33" s="59">
        <v>39.450000000000003</v>
      </c>
      <c r="R33" s="197"/>
      <c r="S33" s="197"/>
      <c r="T33" s="197"/>
      <c r="U33" s="197"/>
    </row>
    <row r="34" spans="1:21" s="12" customFormat="1" x14ac:dyDescent="0.25">
      <c r="A34" s="200" t="s">
        <v>1808</v>
      </c>
      <c r="B34" s="59">
        <v>19.54</v>
      </c>
      <c r="C34" s="59">
        <v>72.150000000000006</v>
      </c>
      <c r="D34" s="59">
        <v>55.49</v>
      </c>
      <c r="E34" s="59">
        <v>5.27</v>
      </c>
      <c r="F34" s="59">
        <v>0.55000000000000004</v>
      </c>
      <c r="G34" s="59">
        <v>38.39</v>
      </c>
      <c r="H34" s="59">
        <v>14.23</v>
      </c>
      <c r="I34" s="59">
        <v>0.43</v>
      </c>
      <c r="J34" s="59">
        <v>0.3</v>
      </c>
      <c r="K34" s="59">
        <v>26.62</v>
      </c>
      <c r="L34" s="59">
        <v>18.739999999999998</v>
      </c>
      <c r="M34" s="59">
        <v>59</v>
      </c>
      <c r="N34" s="59">
        <v>25.6</v>
      </c>
      <c r="O34" s="59">
        <v>0</v>
      </c>
      <c r="P34" s="59">
        <v>1.08</v>
      </c>
      <c r="Q34" s="59">
        <v>38.86</v>
      </c>
      <c r="R34" s="197"/>
      <c r="S34" s="197"/>
      <c r="T34" s="197"/>
      <c r="U34" s="197"/>
    </row>
    <row r="35" spans="1:21" s="12" customFormat="1" x14ac:dyDescent="0.25">
      <c r="A35" s="200" t="s">
        <v>1809</v>
      </c>
      <c r="B35" s="59">
        <v>20.32</v>
      </c>
      <c r="C35" s="59">
        <v>72.7</v>
      </c>
      <c r="D35" s="59">
        <v>56.42</v>
      </c>
      <c r="E35" s="59">
        <v>5.48</v>
      </c>
      <c r="F35" s="59">
        <v>0.55000000000000004</v>
      </c>
      <c r="G35" s="59">
        <v>44.19</v>
      </c>
      <c r="H35" s="59">
        <v>15.36</v>
      </c>
      <c r="I35" s="59">
        <v>0.4</v>
      </c>
      <c r="J35" s="59">
        <v>0.38</v>
      </c>
      <c r="K35" s="59">
        <v>12.86</v>
      </c>
      <c r="L35" s="59">
        <v>18.55</v>
      </c>
      <c r="M35" s="59">
        <v>61</v>
      </c>
      <c r="N35" s="59">
        <v>30.1</v>
      </c>
      <c r="O35" s="59">
        <v>0</v>
      </c>
      <c r="P35" s="59">
        <v>1.1100000000000001</v>
      </c>
      <c r="Q35" s="59">
        <v>38.770000000000003</v>
      </c>
      <c r="R35" s="197"/>
      <c r="S35" s="197"/>
      <c r="T35" s="197"/>
      <c r="U35" s="197"/>
    </row>
    <row r="36" spans="1:21" s="12" customFormat="1" x14ac:dyDescent="0.25">
      <c r="A36" s="200" t="s">
        <v>1810</v>
      </c>
      <c r="B36" s="59">
        <v>21.88</v>
      </c>
      <c r="C36" s="59">
        <v>73.150000000000006</v>
      </c>
      <c r="D36" s="59">
        <v>57.91</v>
      </c>
      <c r="E36" s="59">
        <v>5.75</v>
      </c>
      <c r="F36" s="59">
        <v>0.5</v>
      </c>
      <c r="G36" s="59">
        <v>49.99</v>
      </c>
      <c r="H36" s="59">
        <v>17.239999999999998</v>
      </c>
      <c r="I36" s="59">
        <v>0.41</v>
      </c>
      <c r="J36" s="59">
        <v>0.59</v>
      </c>
      <c r="K36" s="59">
        <v>2.7</v>
      </c>
      <c r="L36" s="59">
        <v>18.73</v>
      </c>
      <c r="M36" s="59">
        <v>61</v>
      </c>
      <c r="N36" s="59">
        <v>37.1</v>
      </c>
      <c r="O36" s="59">
        <v>0</v>
      </c>
      <c r="P36" s="59">
        <v>1.18</v>
      </c>
      <c r="Q36" s="59">
        <v>38.75</v>
      </c>
      <c r="R36" s="197"/>
      <c r="S36" s="197"/>
      <c r="T36" s="197"/>
      <c r="U36" s="197"/>
    </row>
    <row r="37" spans="1:21" s="12" customFormat="1" x14ac:dyDescent="0.25">
      <c r="A37" s="200" t="s">
        <v>1811</v>
      </c>
      <c r="B37" s="59">
        <v>22.33</v>
      </c>
      <c r="C37" s="59">
        <v>73.44</v>
      </c>
      <c r="D37" s="59">
        <v>58.44</v>
      </c>
      <c r="E37" s="59">
        <v>5.85</v>
      </c>
      <c r="F37" s="59">
        <v>0.61</v>
      </c>
      <c r="G37" s="59">
        <v>49.99</v>
      </c>
      <c r="H37" s="59">
        <v>17.239999999999998</v>
      </c>
      <c r="I37" s="59">
        <v>0.41</v>
      </c>
      <c r="J37" s="59">
        <v>0.31</v>
      </c>
      <c r="K37" s="59">
        <v>33.83</v>
      </c>
      <c r="L37" s="59">
        <v>18.86</v>
      </c>
      <c r="M37" s="59">
        <v>59</v>
      </c>
      <c r="N37" s="59">
        <v>44</v>
      </c>
      <c r="O37" s="59">
        <v>0</v>
      </c>
      <c r="P37" s="59">
        <v>1.1499999999999999</v>
      </c>
      <c r="Q37" s="59">
        <v>38.9</v>
      </c>
      <c r="R37" s="197"/>
      <c r="S37" s="197"/>
      <c r="T37" s="197"/>
      <c r="U37" s="197"/>
    </row>
    <row r="38" spans="1:21" s="12" customFormat="1" x14ac:dyDescent="0.25">
      <c r="A38" s="200" t="s">
        <v>1812</v>
      </c>
      <c r="B38" s="59">
        <v>22.19</v>
      </c>
      <c r="C38" s="59">
        <v>73.319999999999993</v>
      </c>
      <c r="D38" s="59">
        <v>58.26</v>
      </c>
      <c r="E38" s="59">
        <v>5.16</v>
      </c>
      <c r="F38" s="59">
        <v>0.71</v>
      </c>
      <c r="G38" s="59">
        <v>49.99</v>
      </c>
      <c r="H38" s="59">
        <v>17.239999999999998</v>
      </c>
      <c r="I38" s="59">
        <v>0.42</v>
      </c>
      <c r="J38" s="59">
        <v>0.42</v>
      </c>
      <c r="K38" s="59">
        <v>77.150000000000006</v>
      </c>
      <c r="L38" s="59">
        <v>19.100000000000001</v>
      </c>
      <c r="M38" s="59">
        <v>58</v>
      </c>
      <c r="N38" s="59">
        <v>50.6</v>
      </c>
      <c r="O38" s="59">
        <v>0</v>
      </c>
      <c r="P38" s="59">
        <v>1.21</v>
      </c>
      <c r="Q38" s="59">
        <v>38.93</v>
      </c>
      <c r="R38" s="197"/>
      <c r="S38" s="197"/>
      <c r="T38" s="197"/>
      <c r="U38" s="197"/>
    </row>
    <row r="39" spans="1:21" s="12" customFormat="1" x14ac:dyDescent="0.25">
      <c r="A39" s="200" t="s">
        <v>1813</v>
      </c>
      <c r="B39" s="59">
        <v>21.85</v>
      </c>
      <c r="C39" s="59">
        <v>73.13</v>
      </c>
      <c r="D39" s="59">
        <v>57.88</v>
      </c>
      <c r="E39" s="59">
        <v>5.2</v>
      </c>
      <c r="F39" s="59">
        <v>0.63</v>
      </c>
      <c r="G39" s="59">
        <v>47.66</v>
      </c>
      <c r="H39" s="59">
        <v>17.11</v>
      </c>
      <c r="I39" s="59">
        <v>0.41</v>
      </c>
      <c r="J39" s="59">
        <v>0.43</v>
      </c>
      <c r="K39" s="59">
        <v>53.45</v>
      </c>
      <c r="L39" s="59">
        <v>19.71</v>
      </c>
      <c r="M39" s="59">
        <v>55</v>
      </c>
      <c r="N39" s="59">
        <v>140.30000000000001</v>
      </c>
      <c r="O39" s="59">
        <v>0</v>
      </c>
      <c r="P39" s="59">
        <v>1.19</v>
      </c>
      <c r="Q39" s="59">
        <v>38.979999999999997</v>
      </c>
      <c r="R39" s="197"/>
      <c r="S39" s="197"/>
      <c r="T39" s="197"/>
      <c r="U39" s="197"/>
    </row>
    <row r="40" spans="1:21" s="12" customFormat="1" x14ac:dyDescent="0.25">
      <c r="A40" s="200" t="s">
        <v>1814</v>
      </c>
      <c r="B40" s="59">
        <v>21.62</v>
      </c>
      <c r="C40" s="59">
        <v>73.14</v>
      </c>
      <c r="D40" s="59">
        <v>57.7</v>
      </c>
      <c r="E40" s="59">
        <v>2.0099999999999998</v>
      </c>
      <c r="F40" s="59">
        <v>0.59</v>
      </c>
      <c r="G40" s="59">
        <v>45.39</v>
      </c>
      <c r="H40" s="59">
        <v>16.91</v>
      </c>
      <c r="I40" s="59">
        <v>0.41</v>
      </c>
      <c r="J40" s="59">
        <v>0.38</v>
      </c>
      <c r="K40" s="59">
        <v>65.5</v>
      </c>
      <c r="L40" s="59">
        <v>21.5</v>
      </c>
      <c r="M40" s="59">
        <v>51</v>
      </c>
      <c r="N40" s="59">
        <v>229.4</v>
      </c>
      <c r="O40" s="59">
        <v>0</v>
      </c>
      <c r="P40" s="59">
        <v>1.17</v>
      </c>
      <c r="Q40" s="59">
        <v>39.450000000000003</v>
      </c>
      <c r="R40" s="197"/>
      <c r="S40" s="197"/>
      <c r="T40" s="197"/>
      <c r="U40" s="197"/>
    </row>
    <row r="41" spans="1:21" s="12" customFormat="1" x14ac:dyDescent="0.25">
      <c r="A41" s="200" t="s">
        <v>1815</v>
      </c>
      <c r="B41" s="59">
        <v>21.99</v>
      </c>
      <c r="C41" s="59">
        <v>74.05</v>
      </c>
      <c r="D41" s="59">
        <v>58.5</v>
      </c>
      <c r="E41" s="59">
        <v>4.21</v>
      </c>
      <c r="F41" s="59">
        <v>0.72</v>
      </c>
      <c r="G41" s="59">
        <v>45.39</v>
      </c>
      <c r="H41" s="59">
        <v>16.91</v>
      </c>
      <c r="I41" s="59">
        <v>0.42</v>
      </c>
      <c r="J41" s="59">
        <v>0.49</v>
      </c>
      <c r="K41" s="59">
        <v>0.31</v>
      </c>
      <c r="L41" s="59">
        <v>24.15</v>
      </c>
      <c r="M41" s="59">
        <v>44</v>
      </c>
      <c r="N41" s="59">
        <v>260.8</v>
      </c>
      <c r="O41" s="59">
        <v>0</v>
      </c>
      <c r="P41" s="59">
        <v>1.1599999999999999</v>
      </c>
      <c r="Q41" s="59">
        <v>40.85</v>
      </c>
      <c r="R41" s="197"/>
      <c r="S41" s="197"/>
      <c r="T41" s="197"/>
      <c r="U41" s="197"/>
    </row>
    <row r="42" spans="1:21" s="12" customFormat="1" x14ac:dyDescent="0.25">
      <c r="A42" s="200" t="s">
        <v>1816</v>
      </c>
      <c r="B42" s="59">
        <v>22.62</v>
      </c>
      <c r="C42" s="59">
        <v>76.02</v>
      </c>
      <c r="D42" s="59">
        <v>60.1</v>
      </c>
      <c r="E42" s="59">
        <v>4.13</v>
      </c>
      <c r="F42" s="59">
        <v>0.63</v>
      </c>
      <c r="G42" s="59">
        <v>45.39</v>
      </c>
      <c r="H42" s="59">
        <v>16.91</v>
      </c>
      <c r="I42" s="59">
        <v>0.41</v>
      </c>
      <c r="J42" s="59">
        <v>0.71</v>
      </c>
      <c r="K42" s="59">
        <v>4.6100000000000003</v>
      </c>
      <c r="L42" s="59">
        <v>26</v>
      </c>
      <c r="M42" s="59">
        <v>38</v>
      </c>
      <c r="N42" s="59">
        <v>296.8</v>
      </c>
      <c r="O42" s="59">
        <v>0</v>
      </c>
      <c r="P42" s="59">
        <v>1.1499999999999999</v>
      </c>
      <c r="Q42" s="59">
        <v>40.99</v>
      </c>
      <c r="R42" s="197"/>
      <c r="S42" s="197"/>
      <c r="T42" s="197"/>
      <c r="U42" s="197"/>
    </row>
    <row r="43" spans="1:21" s="12" customFormat="1" x14ac:dyDescent="0.25">
      <c r="A43" s="200" t="s">
        <v>1817</v>
      </c>
      <c r="B43" s="59">
        <v>21.52</v>
      </c>
      <c r="C43" s="59">
        <v>76.62</v>
      </c>
      <c r="D43" s="59">
        <v>59.54</v>
      </c>
      <c r="E43" s="59">
        <v>3.92</v>
      </c>
      <c r="F43" s="59">
        <v>0.7</v>
      </c>
      <c r="G43" s="59">
        <v>51.05</v>
      </c>
      <c r="H43" s="59">
        <v>16.89</v>
      </c>
      <c r="I43" s="59">
        <v>0.41</v>
      </c>
      <c r="J43" s="59">
        <v>1</v>
      </c>
      <c r="K43" s="59">
        <v>2.2400000000000002</v>
      </c>
      <c r="L43" s="59">
        <v>27.34</v>
      </c>
      <c r="M43" s="59">
        <v>36</v>
      </c>
      <c r="N43" s="59">
        <v>324</v>
      </c>
      <c r="O43" s="59">
        <v>0</v>
      </c>
      <c r="P43" s="59">
        <v>1.1299999999999999</v>
      </c>
      <c r="Q43" s="59">
        <v>40.409999999999997</v>
      </c>
      <c r="R43" s="197"/>
      <c r="S43" s="197"/>
      <c r="T43" s="197"/>
      <c r="U43" s="197"/>
    </row>
    <row r="44" spans="1:21" s="12" customFormat="1" x14ac:dyDescent="0.25">
      <c r="A44" s="200" t="s">
        <v>1818</v>
      </c>
      <c r="B44" s="59">
        <v>19.489999999999998</v>
      </c>
      <c r="C44" s="59">
        <v>76.58</v>
      </c>
      <c r="D44" s="59">
        <v>57.89</v>
      </c>
      <c r="E44" s="59">
        <v>3.48</v>
      </c>
      <c r="F44" s="59">
        <v>0.96</v>
      </c>
      <c r="G44" s="59">
        <v>66.05</v>
      </c>
      <c r="H44" s="59">
        <v>16.86</v>
      </c>
      <c r="I44" s="59">
        <v>0.4</v>
      </c>
      <c r="J44" s="59">
        <v>1.25</v>
      </c>
      <c r="K44" s="59">
        <v>2.81</v>
      </c>
      <c r="L44" s="59">
        <v>28.14</v>
      </c>
      <c r="M44" s="59">
        <v>34</v>
      </c>
      <c r="N44" s="59">
        <v>350.2</v>
      </c>
      <c r="O44" s="59">
        <v>0</v>
      </c>
      <c r="P44" s="59">
        <v>1.1100000000000001</v>
      </c>
      <c r="Q44" s="59">
        <v>39.42</v>
      </c>
      <c r="R44" s="197"/>
      <c r="S44" s="197"/>
      <c r="T44" s="197"/>
      <c r="U44" s="197"/>
    </row>
    <row r="45" spans="1:21" s="12" customFormat="1" x14ac:dyDescent="0.25">
      <c r="A45" s="200" t="s">
        <v>1819</v>
      </c>
      <c r="B45" s="59">
        <v>17</v>
      </c>
      <c r="C45" s="59">
        <v>76.930000000000007</v>
      </c>
      <c r="D45" s="59">
        <v>56.08</v>
      </c>
      <c r="E45" s="59">
        <v>3.48</v>
      </c>
      <c r="F45" s="59">
        <v>1.34</v>
      </c>
      <c r="G45" s="59">
        <v>66.05</v>
      </c>
      <c r="H45" s="59">
        <v>16.86</v>
      </c>
      <c r="I45" s="59">
        <v>0.38</v>
      </c>
      <c r="J45" s="59">
        <v>0.95</v>
      </c>
      <c r="K45" s="59">
        <v>10</v>
      </c>
      <c r="L45" s="59">
        <v>27.59</v>
      </c>
      <c r="M45" s="59">
        <v>34</v>
      </c>
      <c r="N45" s="59">
        <v>368</v>
      </c>
      <c r="O45" s="59">
        <v>0</v>
      </c>
      <c r="P45" s="59">
        <v>1.07</v>
      </c>
      <c r="Q45" s="59">
        <v>38.64</v>
      </c>
      <c r="R45" s="197"/>
      <c r="S45" s="197"/>
      <c r="T45" s="197"/>
      <c r="U45" s="197"/>
    </row>
    <row r="46" spans="1:21" s="12" customFormat="1" x14ac:dyDescent="0.25">
      <c r="A46" s="200" t="s">
        <v>1820</v>
      </c>
      <c r="B46" s="59">
        <v>14.7</v>
      </c>
      <c r="C46" s="59">
        <v>77.33</v>
      </c>
      <c r="D46" s="59">
        <v>54.47</v>
      </c>
      <c r="E46" s="59">
        <v>3.51</v>
      </c>
      <c r="F46" s="59">
        <v>1.05</v>
      </c>
      <c r="G46" s="59">
        <v>66.05</v>
      </c>
      <c r="H46" s="59">
        <v>16.86</v>
      </c>
      <c r="I46" s="59">
        <v>0.37</v>
      </c>
      <c r="J46" s="59">
        <v>0.66</v>
      </c>
      <c r="K46" s="59">
        <v>13.61</v>
      </c>
      <c r="L46" s="59">
        <v>26.73</v>
      </c>
      <c r="M46" s="59">
        <v>38</v>
      </c>
      <c r="N46" s="59">
        <v>381.4</v>
      </c>
      <c r="O46" s="59">
        <v>0</v>
      </c>
      <c r="P46" s="59">
        <v>1.05</v>
      </c>
      <c r="Q46" s="59">
        <v>38.01</v>
      </c>
      <c r="R46" s="197"/>
      <c r="S46" s="197"/>
      <c r="T46" s="197"/>
      <c r="U46" s="197"/>
    </row>
    <row r="47" spans="1:21" s="12" customFormat="1" x14ac:dyDescent="0.25">
      <c r="A47" s="200" t="s">
        <v>1821</v>
      </c>
      <c r="B47" s="59">
        <v>12.86</v>
      </c>
      <c r="C47" s="59">
        <v>76.489999999999995</v>
      </c>
      <c r="D47" s="59">
        <v>52.52</v>
      </c>
      <c r="E47" s="59">
        <v>3.86</v>
      </c>
      <c r="F47" s="59">
        <v>2.02</v>
      </c>
      <c r="G47" s="59">
        <v>40.92</v>
      </c>
      <c r="H47" s="59">
        <v>17.18</v>
      </c>
      <c r="I47" s="59">
        <v>0.36</v>
      </c>
      <c r="J47" s="59">
        <v>0.76</v>
      </c>
      <c r="K47" s="59">
        <v>14.65</v>
      </c>
      <c r="L47" s="59">
        <v>27.93</v>
      </c>
      <c r="M47" s="59">
        <v>34</v>
      </c>
      <c r="N47" s="59">
        <v>392</v>
      </c>
      <c r="O47" s="59">
        <v>0</v>
      </c>
      <c r="P47" s="59">
        <v>1.01</v>
      </c>
      <c r="Q47" s="59">
        <v>37.130000000000003</v>
      </c>
      <c r="R47" s="197"/>
      <c r="S47" s="197"/>
      <c r="T47" s="197"/>
      <c r="U47" s="197"/>
    </row>
    <row r="48" spans="1:21" s="12" customFormat="1" x14ac:dyDescent="0.25">
      <c r="A48" s="200" t="s">
        <v>1822</v>
      </c>
      <c r="B48" s="59">
        <v>11.54</v>
      </c>
      <c r="C48" s="59">
        <v>76.319999999999993</v>
      </c>
      <c r="D48" s="59">
        <v>51.37</v>
      </c>
      <c r="E48" s="59">
        <v>3.24</v>
      </c>
      <c r="F48" s="59">
        <v>1.78</v>
      </c>
      <c r="G48" s="210" t="s">
        <v>43</v>
      </c>
      <c r="H48" s="210" t="s">
        <v>43</v>
      </c>
      <c r="I48" s="59">
        <v>0.34</v>
      </c>
      <c r="J48" s="59">
        <v>1.08</v>
      </c>
      <c r="K48" s="59">
        <v>5.59</v>
      </c>
      <c r="L48" s="59">
        <v>28.92</v>
      </c>
      <c r="M48" s="59">
        <v>32</v>
      </c>
      <c r="N48" s="59">
        <v>400.5</v>
      </c>
      <c r="O48" s="59">
        <v>0</v>
      </c>
      <c r="P48" s="59">
        <v>1.01</v>
      </c>
      <c r="Q48" s="59">
        <v>36.03</v>
      </c>
      <c r="R48" s="197"/>
      <c r="S48" s="197"/>
      <c r="T48" s="197"/>
      <c r="U48" s="197"/>
    </row>
    <row r="49" spans="1:21" s="12" customFormat="1" x14ac:dyDescent="0.25">
      <c r="A49" s="200" t="s">
        <v>1823</v>
      </c>
      <c r="B49" s="59">
        <v>10.42</v>
      </c>
      <c r="C49" s="59">
        <v>76.84</v>
      </c>
      <c r="D49" s="59">
        <v>50.76</v>
      </c>
      <c r="E49" s="59">
        <v>3.59</v>
      </c>
      <c r="F49" s="59">
        <v>1.36</v>
      </c>
      <c r="G49" s="210" t="s">
        <v>43</v>
      </c>
      <c r="H49" s="210" t="s">
        <v>43</v>
      </c>
      <c r="I49" s="59">
        <v>0.34</v>
      </c>
      <c r="J49" s="59">
        <v>1.05</v>
      </c>
      <c r="K49" s="59">
        <v>1.1499999999999999</v>
      </c>
      <c r="L49" s="59">
        <v>30.72</v>
      </c>
      <c r="M49" s="59">
        <v>29</v>
      </c>
      <c r="N49" s="59">
        <v>415</v>
      </c>
      <c r="O49" s="59">
        <v>0</v>
      </c>
      <c r="P49" s="59">
        <v>1</v>
      </c>
      <c r="Q49" s="59">
        <v>35.950000000000003</v>
      </c>
      <c r="R49" s="197"/>
      <c r="S49" s="197"/>
      <c r="T49" s="197"/>
      <c r="U49" s="197"/>
    </row>
    <row r="50" spans="1:21" s="12" customFormat="1" x14ac:dyDescent="0.25">
      <c r="A50" s="200" t="s">
        <v>1824</v>
      </c>
      <c r="B50" s="59">
        <v>9.6300000000000008</v>
      </c>
      <c r="C50" s="59">
        <v>77.34</v>
      </c>
      <c r="D50" s="59">
        <v>50.4</v>
      </c>
      <c r="E50" s="59">
        <v>3.71</v>
      </c>
      <c r="F50" s="59">
        <v>1.29</v>
      </c>
      <c r="G50" s="210" t="s">
        <v>43</v>
      </c>
      <c r="H50" s="210" t="s">
        <v>43</v>
      </c>
      <c r="I50" s="59">
        <v>0.34</v>
      </c>
      <c r="J50" s="59">
        <v>0.76</v>
      </c>
      <c r="K50" s="59">
        <v>8.5299999999999994</v>
      </c>
      <c r="L50" s="59">
        <v>30.58</v>
      </c>
      <c r="M50" s="59">
        <v>29</v>
      </c>
      <c r="N50" s="59">
        <v>421.3</v>
      </c>
      <c r="O50" s="59">
        <v>0</v>
      </c>
      <c r="P50" s="59">
        <v>1</v>
      </c>
      <c r="Q50" s="59">
        <v>36.090000000000003</v>
      </c>
      <c r="R50" s="197"/>
      <c r="S50" s="197"/>
      <c r="T50" s="197"/>
      <c r="U50" s="197"/>
    </row>
    <row r="51" spans="1:21" s="12" customFormat="1" x14ac:dyDescent="0.25">
      <c r="A51" s="200" t="s">
        <v>1825</v>
      </c>
      <c r="B51" s="59">
        <v>8.84</v>
      </c>
      <c r="C51" s="59">
        <v>78.69</v>
      </c>
      <c r="D51" s="59">
        <v>50.51</v>
      </c>
      <c r="E51" s="59">
        <v>6.76</v>
      </c>
      <c r="F51" s="59">
        <v>4.04</v>
      </c>
      <c r="G51" s="210" t="s">
        <v>43</v>
      </c>
      <c r="H51" s="210" t="s">
        <v>43</v>
      </c>
      <c r="I51" s="59">
        <v>0.34</v>
      </c>
      <c r="J51" s="59">
        <v>0.96</v>
      </c>
      <c r="K51" s="59">
        <v>14.12</v>
      </c>
      <c r="L51" s="59">
        <v>30.62</v>
      </c>
      <c r="M51" s="59">
        <v>29</v>
      </c>
      <c r="N51" s="59">
        <v>423.3</v>
      </c>
      <c r="O51" s="59">
        <v>0</v>
      </c>
      <c r="P51" s="59">
        <v>1.02</v>
      </c>
      <c r="Q51" s="59">
        <v>36.090000000000003</v>
      </c>
      <c r="R51" s="197"/>
      <c r="S51" s="197"/>
      <c r="T51" s="197"/>
      <c r="U51" s="197"/>
    </row>
    <row r="52" spans="1:21" s="12" customFormat="1" x14ac:dyDescent="0.25">
      <c r="A52" s="200" t="s">
        <v>1826</v>
      </c>
      <c r="B52" s="59">
        <v>7.43</v>
      </c>
      <c r="C52" s="59">
        <v>84.7</v>
      </c>
      <c r="D52" s="59">
        <v>52.7</v>
      </c>
      <c r="E52" s="59">
        <v>16.32</v>
      </c>
      <c r="F52" s="59">
        <v>7.93</v>
      </c>
      <c r="G52" s="211" t="s">
        <v>40</v>
      </c>
      <c r="H52" s="211" t="s">
        <v>40</v>
      </c>
      <c r="I52" s="59">
        <v>0.34</v>
      </c>
      <c r="J52" s="59">
        <v>0.72</v>
      </c>
      <c r="K52" s="59">
        <v>6.84</v>
      </c>
      <c r="L52" s="59">
        <v>31.18</v>
      </c>
      <c r="M52" s="59">
        <v>28</v>
      </c>
      <c r="N52" s="59">
        <v>416</v>
      </c>
      <c r="O52" s="59">
        <v>0</v>
      </c>
      <c r="P52" s="59">
        <v>1.1100000000000001</v>
      </c>
      <c r="Q52" s="59">
        <v>33</v>
      </c>
      <c r="R52" s="197"/>
      <c r="S52" s="197"/>
      <c r="T52" s="197"/>
      <c r="U52" s="197"/>
    </row>
    <row r="53" spans="1:21" s="12" customFormat="1" x14ac:dyDescent="0.25">
      <c r="A53" s="200" t="s">
        <v>1827</v>
      </c>
      <c r="B53" s="59">
        <v>8.6300000000000008</v>
      </c>
      <c r="C53" s="59">
        <v>87.03</v>
      </c>
      <c r="D53" s="59">
        <v>54.95</v>
      </c>
      <c r="E53" s="59">
        <v>26.63</v>
      </c>
      <c r="F53" s="59">
        <v>10.58</v>
      </c>
      <c r="G53" s="211" t="s">
        <v>40</v>
      </c>
      <c r="H53" s="211" t="s">
        <v>40</v>
      </c>
      <c r="I53" s="59">
        <v>0.33</v>
      </c>
      <c r="J53" s="59">
        <v>0.76</v>
      </c>
      <c r="K53" s="59">
        <v>15.85</v>
      </c>
      <c r="L53" s="59">
        <v>30.58</v>
      </c>
      <c r="M53" s="59">
        <v>28</v>
      </c>
      <c r="N53" s="59">
        <v>407.6</v>
      </c>
      <c r="O53" s="59">
        <v>0</v>
      </c>
      <c r="P53" s="59">
        <v>1.18</v>
      </c>
      <c r="Q53" s="59">
        <v>30.07</v>
      </c>
      <c r="R53" s="197"/>
      <c r="S53" s="197"/>
      <c r="T53" s="197"/>
      <c r="U53" s="197"/>
    </row>
    <row r="54" spans="1:21" s="12" customFormat="1" x14ac:dyDescent="0.25">
      <c r="A54" s="200" t="s">
        <v>1828</v>
      </c>
      <c r="B54" s="59">
        <v>7.02</v>
      </c>
      <c r="C54" s="59">
        <v>91.28</v>
      </c>
      <c r="D54" s="59">
        <v>56</v>
      </c>
      <c r="E54" s="59">
        <v>17.920000000000002</v>
      </c>
      <c r="F54" s="59">
        <v>6.83</v>
      </c>
      <c r="G54" s="211" t="s">
        <v>40</v>
      </c>
      <c r="H54" s="211" t="s">
        <v>40</v>
      </c>
      <c r="I54" s="59">
        <v>0.28000000000000003</v>
      </c>
      <c r="J54" s="59">
        <v>0.93</v>
      </c>
      <c r="K54" s="59">
        <v>7.26</v>
      </c>
      <c r="L54" s="59">
        <v>31.21</v>
      </c>
      <c r="M54" s="59">
        <v>27</v>
      </c>
      <c r="N54" s="59">
        <v>413</v>
      </c>
      <c r="O54" s="59">
        <v>0</v>
      </c>
      <c r="P54" s="59">
        <v>1.21</v>
      </c>
      <c r="Q54" s="59">
        <v>30.62</v>
      </c>
      <c r="R54" s="197"/>
      <c r="S54" s="197"/>
      <c r="T54" s="197"/>
      <c r="U54" s="197"/>
    </row>
    <row r="55" spans="1:21" s="12" customFormat="1" x14ac:dyDescent="0.25">
      <c r="A55" s="200" t="s">
        <v>1829</v>
      </c>
      <c r="B55" s="59">
        <v>5.62</v>
      </c>
      <c r="C55" s="59">
        <v>92.1</v>
      </c>
      <c r="D55" s="59">
        <v>55.34</v>
      </c>
      <c r="E55" s="59">
        <v>11.7</v>
      </c>
      <c r="F55" s="59">
        <v>4.24</v>
      </c>
      <c r="G55" s="210" t="s">
        <v>43</v>
      </c>
      <c r="H55" s="210" t="s">
        <v>43</v>
      </c>
      <c r="I55" s="59">
        <v>0.26</v>
      </c>
      <c r="J55" s="59">
        <v>0.15</v>
      </c>
      <c r="K55" s="59">
        <v>124.09</v>
      </c>
      <c r="L55" s="59">
        <v>29.92</v>
      </c>
      <c r="M55" s="59">
        <v>28</v>
      </c>
      <c r="N55" s="59">
        <v>406</v>
      </c>
      <c r="O55" s="59">
        <v>0</v>
      </c>
      <c r="P55" s="59">
        <v>1.22</v>
      </c>
      <c r="Q55" s="59">
        <v>30.68</v>
      </c>
      <c r="R55" s="197"/>
      <c r="S55" s="197"/>
      <c r="T55" s="197"/>
      <c r="U55" s="197"/>
    </row>
    <row r="56" spans="1:21" s="12" customFormat="1" x14ac:dyDescent="0.25">
      <c r="A56" s="200" t="s">
        <v>1830</v>
      </c>
      <c r="B56" s="59">
        <v>4.76</v>
      </c>
      <c r="C56" s="59">
        <v>91.1</v>
      </c>
      <c r="D56" s="59">
        <v>54.1</v>
      </c>
      <c r="E56" s="59">
        <v>3.45</v>
      </c>
      <c r="F56" s="59">
        <v>3.6</v>
      </c>
      <c r="G56" s="59">
        <v>71.790000000000006</v>
      </c>
      <c r="H56" s="59">
        <v>28.17</v>
      </c>
      <c r="I56" s="59">
        <v>0.27</v>
      </c>
      <c r="J56" s="59">
        <v>0.34</v>
      </c>
      <c r="K56" s="59">
        <v>50.08</v>
      </c>
      <c r="L56" s="59">
        <v>30.59</v>
      </c>
      <c r="M56" s="59">
        <v>28</v>
      </c>
      <c r="N56" s="59">
        <v>399.4</v>
      </c>
      <c r="O56" s="59">
        <v>0</v>
      </c>
      <c r="P56" s="59">
        <v>1.21</v>
      </c>
      <c r="Q56" s="59">
        <v>30.16</v>
      </c>
      <c r="R56" s="197"/>
      <c r="S56" s="197"/>
      <c r="T56" s="197"/>
      <c r="U56" s="197"/>
    </row>
    <row r="57" spans="1:21" s="12" customFormat="1" x14ac:dyDescent="0.25">
      <c r="A57" s="200" t="s">
        <v>1831</v>
      </c>
      <c r="B57" s="59">
        <v>4.9000000000000004</v>
      </c>
      <c r="C57" s="59">
        <v>88.48</v>
      </c>
      <c r="D57" s="59">
        <v>52.76</v>
      </c>
      <c r="E57" s="59">
        <v>6.44</v>
      </c>
      <c r="F57" s="59">
        <v>2.89</v>
      </c>
      <c r="G57" s="59">
        <v>71.790000000000006</v>
      </c>
      <c r="H57" s="59">
        <v>28.17</v>
      </c>
      <c r="I57" s="59">
        <v>0.26</v>
      </c>
      <c r="J57" s="59">
        <v>0.43</v>
      </c>
      <c r="K57" s="59">
        <v>78.349999999999994</v>
      </c>
      <c r="L57" s="59">
        <v>28.8</v>
      </c>
      <c r="M57" s="59">
        <v>30</v>
      </c>
      <c r="N57" s="59">
        <v>396.5</v>
      </c>
      <c r="O57" s="59">
        <v>0</v>
      </c>
      <c r="P57" s="59">
        <v>1.18</v>
      </c>
      <c r="Q57" s="59">
        <v>29.95</v>
      </c>
      <c r="R57" s="197"/>
      <c r="S57" s="197"/>
      <c r="T57" s="197"/>
      <c r="U57" s="197"/>
    </row>
    <row r="58" spans="1:21" s="12" customFormat="1" x14ac:dyDescent="0.25">
      <c r="A58" s="200" t="s">
        <v>1832</v>
      </c>
      <c r="B58" s="59">
        <v>5.07</v>
      </c>
      <c r="C58" s="59">
        <v>84.94</v>
      </c>
      <c r="D58" s="59">
        <v>50.94</v>
      </c>
      <c r="E58" s="59">
        <v>8.0299999999999994</v>
      </c>
      <c r="F58" s="59">
        <v>3.34</v>
      </c>
      <c r="G58" s="59">
        <v>71.790000000000006</v>
      </c>
      <c r="H58" s="59">
        <v>28.17</v>
      </c>
      <c r="I58" s="59">
        <v>0.25</v>
      </c>
      <c r="J58" s="59">
        <v>0.65</v>
      </c>
      <c r="K58" s="59">
        <v>8.75</v>
      </c>
      <c r="L58" s="59">
        <v>31.01</v>
      </c>
      <c r="M58" s="59">
        <v>26</v>
      </c>
      <c r="N58" s="59">
        <v>386.7</v>
      </c>
      <c r="O58" s="59">
        <v>0</v>
      </c>
      <c r="P58" s="59">
        <v>1.1599999999999999</v>
      </c>
      <c r="Q58" s="59">
        <v>30.02</v>
      </c>
      <c r="R58" s="197"/>
      <c r="S58" s="197"/>
      <c r="T58" s="197"/>
      <c r="U58" s="197"/>
    </row>
    <row r="59" spans="1:21" s="12" customFormat="1" x14ac:dyDescent="0.25">
      <c r="A59" s="200" t="s">
        <v>1833</v>
      </c>
      <c r="B59" s="59">
        <v>4.8499999999999996</v>
      </c>
      <c r="C59" s="59">
        <v>88.45</v>
      </c>
      <c r="D59" s="59">
        <v>52.71</v>
      </c>
      <c r="E59" s="59">
        <v>10.93</v>
      </c>
      <c r="F59" s="59">
        <v>5.39</v>
      </c>
      <c r="G59" s="59">
        <v>72.849999999999994</v>
      </c>
      <c r="H59" s="59">
        <v>28.21</v>
      </c>
      <c r="I59" s="59">
        <v>0.25</v>
      </c>
      <c r="J59" s="59">
        <v>0.7</v>
      </c>
      <c r="K59" s="59">
        <v>9.9</v>
      </c>
      <c r="L59" s="59">
        <v>30.74</v>
      </c>
      <c r="M59" s="59">
        <v>25</v>
      </c>
      <c r="N59" s="59">
        <v>377.7</v>
      </c>
      <c r="O59" s="59">
        <v>0</v>
      </c>
      <c r="P59" s="59">
        <v>1.18</v>
      </c>
      <c r="Q59" s="59">
        <v>30.11</v>
      </c>
      <c r="R59" s="197"/>
      <c r="S59" s="197"/>
      <c r="T59" s="197"/>
      <c r="U59" s="197"/>
    </row>
    <row r="60" spans="1:21" s="12" customFormat="1" x14ac:dyDescent="0.25">
      <c r="A60" s="200" t="s">
        <v>1834</v>
      </c>
      <c r="B60" s="59">
        <v>4.88</v>
      </c>
      <c r="C60" s="59">
        <v>85.61</v>
      </c>
      <c r="D60" s="59">
        <v>51.16</v>
      </c>
      <c r="E60" s="59">
        <v>9.07</v>
      </c>
      <c r="F60" s="59">
        <v>5.7</v>
      </c>
      <c r="G60" s="59">
        <v>142.55000000000001</v>
      </c>
      <c r="H60" s="59">
        <v>31.55</v>
      </c>
      <c r="I60" s="59">
        <v>0.24</v>
      </c>
      <c r="J60" s="59">
        <v>0.52</v>
      </c>
      <c r="K60" s="59">
        <v>8.73</v>
      </c>
      <c r="L60" s="59">
        <v>31.98</v>
      </c>
      <c r="M60" s="59">
        <v>23</v>
      </c>
      <c r="N60" s="59">
        <v>366.4</v>
      </c>
      <c r="O60" s="59">
        <v>0</v>
      </c>
      <c r="P60" s="59">
        <v>1.17</v>
      </c>
      <c r="Q60" s="59">
        <v>29.45</v>
      </c>
      <c r="R60" s="197"/>
      <c r="S60" s="197"/>
      <c r="T60" s="197"/>
      <c r="U60" s="197"/>
    </row>
    <row r="61" spans="1:21" s="12" customFormat="1" x14ac:dyDescent="0.25">
      <c r="A61" s="200" t="s">
        <v>1835</v>
      </c>
      <c r="B61" s="59">
        <v>4.9800000000000004</v>
      </c>
      <c r="C61" s="59">
        <v>84.16</v>
      </c>
      <c r="D61" s="59">
        <v>50.44</v>
      </c>
      <c r="E61" s="59">
        <v>9.43</v>
      </c>
      <c r="F61" s="59">
        <v>6.51</v>
      </c>
      <c r="G61" s="59">
        <v>142.55000000000001</v>
      </c>
      <c r="H61" s="59">
        <v>31.55</v>
      </c>
      <c r="I61" s="59">
        <v>0.22</v>
      </c>
      <c r="J61" s="59">
        <v>0.62</v>
      </c>
      <c r="K61" s="59">
        <v>358.52</v>
      </c>
      <c r="L61" s="59">
        <v>32.020000000000003</v>
      </c>
      <c r="M61" s="59">
        <v>23</v>
      </c>
      <c r="N61" s="59">
        <v>345.9</v>
      </c>
      <c r="O61" s="59">
        <v>0</v>
      </c>
      <c r="P61" s="59">
        <v>1.1100000000000001</v>
      </c>
      <c r="Q61" s="59">
        <v>28.84</v>
      </c>
      <c r="R61" s="197"/>
      <c r="S61" s="197"/>
      <c r="T61" s="197"/>
      <c r="U61" s="197"/>
    </row>
    <row r="62" spans="1:21" s="12" customFormat="1" x14ac:dyDescent="0.25">
      <c r="A62" s="200" t="s">
        <v>1836</v>
      </c>
      <c r="B62" s="59">
        <v>4.26</v>
      </c>
      <c r="C62" s="59">
        <v>83.72</v>
      </c>
      <c r="D62" s="59">
        <v>49.62</v>
      </c>
      <c r="E62" s="59">
        <v>11.02</v>
      </c>
      <c r="F62" s="59">
        <v>3.39</v>
      </c>
      <c r="G62" s="59">
        <v>142.55000000000001</v>
      </c>
      <c r="H62" s="59">
        <v>31.55</v>
      </c>
      <c r="I62" s="59">
        <v>0.21</v>
      </c>
      <c r="J62" s="59">
        <v>0.28000000000000003</v>
      </c>
      <c r="K62" s="59">
        <v>45.72</v>
      </c>
      <c r="L62" s="59">
        <v>31.21</v>
      </c>
      <c r="M62" s="59">
        <v>23</v>
      </c>
      <c r="N62" s="59">
        <v>335.3</v>
      </c>
      <c r="O62" s="59">
        <v>0</v>
      </c>
      <c r="P62" s="59">
        <v>1.1399999999999999</v>
      </c>
      <c r="Q62" s="59">
        <v>28.38</v>
      </c>
      <c r="R62" s="197"/>
      <c r="S62" s="197"/>
      <c r="T62" s="197"/>
      <c r="U62" s="197"/>
    </row>
    <row r="63" spans="1:21" s="12" customFormat="1" x14ac:dyDescent="0.25">
      <c r="A63" s="200" t="s">
        <v>1837</v>
      </c>
      <c r="B63" s="59">
        <v>3.79</v>
      </c>
      <c r="C63" s="59">
        <v>84.43</v>
      </c>
      <c r="D63" s="59">
        <v>49.63</v>
      </c>
      <c r="E63" s="59">
        <v>7.55</v>
      </c>
      <c r="F63" s="59">
        <v>2.62</v>
      </c>
      <c r="G63" s="59">
        <v>142.55000000000001</v>
      </c>
      <c r="H63" s="59">
        <v>31.56</v>
      </c>
      <c r="I63" s="59">
        <v>0.22</v>
      </c>
      <c r="J63" s="59">
        <v>0.67</v>
      </c>
      <c r="K63" s="59">
        <v>347.09</v>
      </c>
      <c r="L63" s="59">
        <v>30.88</v>
      </c>
      <c r="M63" s="59">
        <v>23</v>
      </c>
      <c r="N63" s="59">
        <v>338.4</v>
      </c>
      <c r="O63" s="59">
        <v>0</v>
      </c>
      <c r="P63" s="59">
        <v>1.1399999999999999</v>
      </c>
      <c r="Q63" s="59">
        <v>29.34</v>
      </c>
      <c r="R63" s="197"/>
      <c r="S63" s="197"/>
      <c r="T63" s="197"/>
      <c r="U63" s="197"/>
    </row>
    <row r="64" spans="1:21" s="12" customFormat="1" x14ac:dyDescent="0.25">
      <c r="A64" s="200" t="s">
        <v>1838</v>
      </c>
      <c r="B64" s="59">
        <v>6.19</v>
      </c>
      <c r="C64" s="59">
        <v>89.73</v>
      </c>
      <c r="D64" s="59">
        <v>54.48</v>
      </c>
      <c r="E64" s="59">
        <v>9.52</v>
      </c>
      <c r="F64" s="59">
        <v>6.91</v>
      </c>
      <c r="G64" s="210" t="s">
        <v>43</v>
      </c>
      <c r="H64" s="210" t="s">
        <v>43</v>
      </c>
      <c r="I64" s="59">
        <v>0.22</v>
      </c>
      <c r="J64" s="59">
        <v>0.99</v>
      </c>
      <c r="K64" s="59">
        <v>355.98</v>
      </c>
      <c r="L64" s="59">
        <v>32.31</v>
      </c>
      <c r="M64" s="59">
        <v>20</v>
      </c>
      <c r="N64" s="59">
        <v>332.2</v>
      </c>
      <c r="O64" s="59">
        <v>0</v>
      </c>
      <c r="P64" s="59">
        <v>1.1100000000000001</v>
      </c>
      <c r="Q64" s="59">
        <v>29.59</v>
      </c>
      <c r="R64" s="197"/>
      <c r="S64" s="197"/>
      <c r="T64" s="197"/>
      <c r="U64" s="197"/>
    </row>
    <row r="65" spans="1:21" s="12" customFormat="1" x14ac:dyDescent="0.25">
      <c r="A65" s="200" t="s">
        <v>1839</v>
      </c>
      <c r="B65" s="59">
        <v>7.5</v>
      </c>
      <c r="C65" s="59">
        <v>96.13</v>
      </c>
      <c r="D65" s="59">
        <v>59.06</v>
      </c>
      <c r="E65" s="59">
        <v>12.81</v>
      </c>
      <c r="F65" s="59">
        <v>7.66</v>
      </c>
      <c r="G65" s="210" t="s">
        <v>43</v>
      </c>
      <c r="H65" s="210" t="s">
        <v>43</v>
      </c>
      <c r="I65" s="59">
        <v>0.22</v>
      </c>
      <c r="J65" s="59">
        <v>0.78</v>
      </c>
      <c r="K65" s="59">
        <v>7.68</v>
      </c>
      <c r="L65" s="59">
        <v>31.76</v>
      </c>
      <c r="M65" s="59">
        <v>19</v>
      </c>
      <c r="N65" s="59">
        <v>322.7</v>
      </c>
      <c r="O65" s="59">
        <v>0</v>
      </c>
      <c r="P65" s="59">
        <v>1.04</v>
      </c>
      <c r="Q65" s="59">
        <v>27.61</v>
      </c>
      <c r="R65" s="197"/>
      <c r="S65" s="197"/>
      <c r="T65" s="197"/>
      <c r="U65" s="197"/>
    </row>
    <row r="66" spans="1:21" s="12" customFormat="1" x14ac:dyDescent="0.25">
      <c r="A66" s="200" t="s">
        <v>1840</v>
      </c>
      <c r="B66" s="59">
        <v>8.14</v>
      </c>
      <c r="C66" s="59">
        <v>92.72</v>
      </c>
      <c r="D66" s="59">
        <v>57.7</v>
      </c>
      <c r="E66" s="59">
        <v>9.16</v>
      </c>
      <c r="F66" s="59">
        <v>5.39</v>
      </c>
      <c r="G66" s="210" t="s">
        <v>43</v>
      </c>
      <c r="H66" s="210" t="s">
        <v>43</v>
      </c>
      <c r="I66" s="59">
        <v>0.2</v>
      </c>
      <c r="J66" s="59">
        <v>0.91</v>
      </c>
      <c r="K66" s="59">
        <v>354.8</v>
      </c>
      <c r="L66" s="59">
        <v>32.549999999999997</v>
      </c>
      <c r="M66" s="59">
        <v>18</v>
      </c>
      <c r="N66" s="59">
        <v>165.9</v>
      </c>
      <c r="O66" s="59">
        <v>0</v>
      </c>
      <c r="P66" s="59">
        <v>1.06</v>
      </c>
      <c r="Q66" s="59">
        <v>28.27</v>
      </c>
      <c r="R66" s="197"/>
      <c r="S66" s="197"/>
      <c r="T66" s="197"/>
      <c r="U66" s="197"/>
    </row>
    <row r="67" spans="1:21" s="12" customFormat="1" x14ac:dyDescent="0.25">
      <c r="A67" s="200" t="s">
        <v>1841</v>
      </c>
      <c r="B67" s="59">
        <v>5.84</v>
      </c>
      <c r="C67" s="59">
        <v>88.74</v>
      </c>
      <c r="D67" s="59">
        <v>53.66</v>
      </c>
      <c r="E67" s="59">
        <v>8.48</v>
      </c>
      <c r="F67" s="59">
        <v>9.59</v>
      </c>
      <c r="G67" s="210" t="s">
        <v>43</v>
      </c>
      <c r="H67" s="210" t="s">
        <v>43</v>
      </c>
      <c r="I67" s="59">
        <v>0.19</v>
      </c>
      <c r="J67" s="59">
        <v>0.94</v>
      </c>
      <c r="K67" s="59">
        <v>1.06</v>
      </c>
      <c r="L67" s="59">
        <v>32.49</v>
      </c>
      <c r="M67" s="59">
        <v>17</v>
      </c>
      <c r="N67" s="59">
        <v>159.80000000000001</v>
      </c>
      <c r="O67" s="59">
        <v>0</v>
      </c>
      <c r="P67" s="59">
        <v>1.04</v>
      </c>
      <c r="Q67" s="59">
        <v>28.51</v>
      </c>
      <c r="R67" s="197"/>
      <c r="S67" s="197"/>
      <c r="T67" s="197"/>
      <c r="U67" s="197"/>
    </row>
    <row r="68" spans="1:21" s="12" customFormat="1" x14ac:dyDescent="0.25">
      <c r="A68" s="200" t="s">
        <v>1842</v>
      </c>
      <c r="B68" s="59">
        <v>6.57</v>
      </c>
      <c r="C68" s="59">
        <v>86.35</v>
      </c>
      <c r="D68" s="59">
        <v>52.92</v>
      </c>
      <c r="E68" s="59">
        <v>8.5</v>
      </c>
      <c r="F68" s="59">
        <v>8.26</v>
      </c>
      <c r="G68" s="210" t="s">
        <v>43</v>
      </c>
      <c r="H68" s="210" t="s">
        <v>43</v>
      </c>
      <c r="I68" s="59">
        <v>0.2</v>
      </c>
      <c r="J68" s="59">
        <v>1.42</v>
      </c>
      <c r="K68" s="59">
        <v>11.54</v>
      </c>
      <c r="L68" s="59">
        <v>31.9</v>
      </c>
      <c r="M68" s="59">
        <v>17</v>
      </c>
      <c r="N68" s="59">
        <v>264.60000000000002</v>
      </c>
      <c r="O68" s="59">
        <v>0</v>
      </c>
      <c r="P68" s="59">
        <v>1</v>
      </c>
      <c r="Q68" s="59">
        <v>28.31</v>
      </c>
      <c r="R68" s="197"/>
      <c r="S68" s="197"/>
      <c r="T68" s="197"/>
      <c r="U68" s="197"/>
    </row>
    <row r="69" spans="1:21" s="12" customFormat="1" x14ac:dyDescent="0.25">
      <c r="A69" s="200" t="s">
        <v>1843</v>
      </c>
      <c r="B69" s="59">
        <v>6.2</v>
      </c>
      <c r="C69" s="59">
        <v>89.64</v>
      </c>
      <c r="D69" s="59">
        <v>54.45</v>
      </c>
      <c r="E69" s="59">
        <v>6.25</v>
      </c>
      <c r="F69" s="59">
        <v>4.6399999999999997</v>
      </c>
      <c r="G69" s="210" t="s">
        <v>43</v>
      </c>
      <c r="H69" s="210" t="s">
        <v>43</v>
      </c>
      <c r="I69" s="59">
        <v>0.19</v>
      </c>
      <c r="J69" s="59">
        <v>1.28</v>
      </c>
      <c r="K69" s="59">
        <v>7.73</v>
      </c>
      <c r="L69" s="59">
        <v>30.76</v>
      </c>
      <c r="M69" s="59">
        <v>17</v>
      </c>
      <c r="N69" s="59">
        <v>237.7</v>
      </c>
      <c r="O69" s="59">
        <v>0</v>
      </c>
      <c r="P69" s="59">
        <v>1.03</v>
      </c>
      <c r="Q69" s="59">
        <v>29.61</v>
      </c>
      <c r="R69" s="197"/>
      <c r="S69" s="197"/>
      <c r="T69" s="197"/>
      <c r="U69" s="197"/>
    </row>
    <row r="70" spans="1:21" s="12" customFormat="1" x14ac:dyDescent="0.25">
      <c r="A70" s="200" t="s">
        <v>1844</v>
      </c>
      <c r="B70" s="59">
        <v>9.59</v>
      </c>
      <c r="C70" s="59">
        <v>86.26</v>
      </c>
      <c r="D70" s="59">
        <v>55.29</v>
      </c>
      <c r="E70" s="59">
        <v>12.1</v>
      </c>
      <c r="F70" s="59">
        <v>10.93</v>
      </c>
      <c r="G70" s="210" t="s">
        <v>43</v>
      </c>
      <c r="H70" s="210" t="s">
        <v>43</v>
      </c>
      <c r="I70" s="59">
        <v>0.2</v>
      </c>
      <c r="J70" s="59">
        <v>0.97</v>
      </c>
      <c r="K70" s="59">
        <v>12.54</v>
      </c>
      <c r="L70" s="59">
        <v>29.69</v>
      </c>
      <c r="M70" s="59">
        <v>18</v>
      </c>
      <c r="N70" s="59">
        <v>150.30000000000001</v>
      </c>
      <c r="O70" s="59">
        <v>0</v>
      </c>
      <c r="P70" s="59">
        <v>1.03</v>
      </c>
      <c r="Q70" s="59">
        <v>30.11</v>
      </c>
      <c r="R70" s="197"/>
      <c r="S70" s="197"/>
      <c r="T70" s="197"/>
      <c r="U70" s="197"/>
    </row>
    <row r="71" spans="1:21" s="12" customFormat="1" x14ac:dyDescent="0.25">
      <c r="A71" s="200" t="s">
        <v>1845</v>
      </c>
      <c r="B71" s="59">
        <v>8.52</v>
      </c>
      <c r="C71" s="59">
        <v>86.67</v>
      </c>
      <c r="D71" s="59">
        <v>54.66</v>
      </c>
      <c r="E71" s="59">
        <v>12.49</v>
      </c>
      <c r="F71" s="59">
        <v>11.32</v>
      </c>
      <c r="G71" s="210" t="s">
        <v>43</v>
      </c>
      <c r="H71" s="210" t="s">
        <v>43</v>
      </c>
      <c r="I71" s="59">
        <v>0.22</v>
      </c>
      <c r="J71" s="59">
        <v>1.29</v>
      </c>
      <c r="K71" s="59">
        <v>12.51</v>
      </c>
      <c r="L71" s="59">
        <v>28.66</v>
      </c>
      <c r="M71" s="59">
        <v>20</v>
      </c>
      <c r="N71" s="59">
        <v>175.9</v>
      </c>
      <c r="O71" s="59">
        <v>0</v>
      </c>
      <c r="P71" s="59">
        <v>1.03</v>
      </c>
      <c r="Q71" s="59">
        <v>29</v>
      </c>
      <c r="R71" s="197"/>
      <c r="S71" s="197"/>
      <c r="T71" s="197"/>
      <c r="U71" s="197"/>
    </row>
    <row r="72" spans="1:21" s="12" customFormat="1" x14ac:dyDescent="0.25">
      <c r="A72" s="200" t="s">
        <v>1846</v>
      </c>
      <c r="B72" s="59">
        <v>7.95</v>
      </c>
      <c r="C72" s="59">
        <v>86.36</v>
      </c>
      <c r="D72" s="59">
        <v>54.03</v>
      </c>
      <c r="E72" s="59">
        <v>5.63</v>
      </c>
      <c r="F72" s="59">
        <v>9.98</v>
      </c>
      <c r="G72" s="210" t="s">
        <v>43</v>
      </c>
      <c r="H72" s="210" t="s">
        <v>43</v>
      </c>
      <c r="I72" s="59">
        <v>0.2</v>
      </c>
      <c r="J72" s="59">
        <v>1.29</v>
      </c>
      <c r="K72" s="59">
        <v>11.13</v>
      </c>
      <c r="L72" s="59">
        <v>28.11</v>
      </c>
      <c r="M72" s="59">
        <v>20</v>
      </c>
      <c r="N72" s="59">
        <v>64.8</v>
      </c>
      <c r="O72" s="59">
        <v>0</v>
      </c>
      <c r="P72" s="59">
        <v>1.01</v>
      </c>
      <c r="Q72" s="59">
        <v>28.25</v>
      </c>
      <c r="R72" s="197"/>
      <c r="S72" s="197"/>
      <c r="T72" s="197"/>
      <c r="U72" s="197"/>
    </row>
    <row r="73" spans="1:21" s="12" customFormat="1" x14ac:dyDescent="0.25">
      <c r="A73" s="200" t="s">
        <v>1847</v>
      </c>
      <c r="B73" s="59">
        <v>6.98</v>
      </c>
      <c r="C73" s="59">
        <v>89.13</v>
      </c>
      <c r="D73" s="59">
        <v>54.78</v>
      </c>
      <c r="E73" s="59">
        <v>8.07</v>
      </c>
      <c r="F73" s="59">
        <v>5.1100000000000003</v>
      </c>
      <c r="G73" s="210" t="s">
        <v>43</v>
      </c>
      <c r="H73" s="210" t="s">
        <v>43</v>
      </c>
      <c r="I73" s="59">
        <v>0.2</v>
      </c>
      <c r="J73" s="59">
        <v>0.76</v>
      </c>
      <c r="K73" s="59">
        <v>11.92</v>
      </c>
      <c r="L73" s="59">
        <v>27.73</v>
      </c>
      <c r="M73" s="59">
        <v>20</v>
      </c>
      <c r="N73" s="59">
        <v>52.4</v>
      </c>
      <c r="O73" s="59">
        <v>0</v>
      </c>
      <c r="P73" s="59">
        <v>1.04</v>
      </c>
      <c r="Q73" s="59">
        <v>27.63</v>
      </c>
      <c r="R73" s="197"/>
      <c r="S73" s="197"/>
      <c r="T73" s="197"/>
      <c r="U73" s="197"/>
    </row>
    <row r="74" spans="1:21" s="12" customFormat="1" x14ac:dyDescent="0.25">
      <c r="A74" s="200" t="s">
        <v>1848</v>
      </c>
      <c r="B74" s="59">
        <v>6.76</v>
      </c>
      <c r="C74" s="59">
        <v>88.75</v>
      </c>
      <c r="D74" s="59">
        <v>54.4</v>
      </c>
      <c r="E74" s="59">
        <v>5.49</v>
      </c>
      <c r="F74" s="59">
        <v>2.86</v>
      </c>
      <c r="G74" s="211" t="s">
        <v>40</v>
      </c>
      <c r="H74" s="211" t="s">
        <v>40</v>
      </c>
      <c r="I74" s="59">
        <v>0.2</v>
      </c>
      <c r="J74" s="59">
        <v>0.98</v>
      </c>
      <c r="K74" s="59">
        <v>12.68</v>
      </c>
      <c r="L74" s="59">
        <v>27.44</v>
      </c>
      <c r="M74" s="59">
        <v>21</v>
      </c>
      <c r="N74" s="59">
        <v>47.7</v>
      </c>
      <c r="O74" s="59">
        <v>0</v>
      </c>
      <c r="P74" s="59">
        <v>1.05</v>
      </c>
      <c r="Q74" s="59">
        <v>28.3</v>
      </c>
      <c r="R74" s="197"/>
      <c r="S74" s="197"/>
      <c r="T74" s="197"/>
      <c r="U74" s="197"/>
    </row>
    <row r="75" spans="1:21" s="12" customFormat="1" x14ac:dyDescent="0.25">
      <c r="A75" s="200" t="s">
        <v>1849</v>
      </c>
      <c r="B75" s="59">
        <v>8.09</v>
      </c>
      <c r="C75" s="59">
        <v>88.93</v>
      </c>
      <c r="D75" s="59">
        <v>55.57</v>
      </c>
      <c r="E75" s="59">
        <v>4.49</v>
      </c>
      <c r="F75" s="59">
        <v>2.0499999999999998</v>
      </c>
      <c r="G75" s="211" t="s">
        <v>40</v>
      </c>
      <c r="H75" s="211" t="s">
        <v>40</v>
      </c>
      <c r="I75" s="59">
        <v>0.21</v>
      </c>
      <c r="J75" s="59">
        <v>0.77</v>
      </c>
      <c r="K75" s="59">
        <v>12.27</v>
      </c>
      <c r="L75" s="59">
        <v>26.96</v>
      </c>
      <c r="M75" s="59">
        <v>23</v>
      </c>
      <c r="N75" s="59">
        <v>42</v>
      </c>
      <c r="O75" s="59">
        <v>0</v>
      </c>
      <c r="P75" s="59">
        <v>1.08</v>
      </c>
      <c r="Q75" s="59">
        <v>29.52</v>
      </c>
      <c r="R75" s="197"/>
      <c r="S75" s="197"/>
      <c r="T75" s="197"/>
      <c r="U75" s="197"/>
    </row>
    <row r="76" spans="1:21" s="12" customFormat="1" x14ac:dyDescent="0.25">
      <c r="A76" s="200" t="s">
        <v>1850</v>
      </c>
      <c r="B76" s="59">
        <v>10.01</v>
      </c>
      <c r="C76" s="59">
        <v>91.58</v>
      </c>
      <c r="D76" s="59">
        <v>58.56</v>
      </c>
      <c r="E76" s="59">
        <v>5.99</v>
      </c>
      <c r="F76" s="59">
        <v>3.98</v>
      </c>
      <c r="G76" s="211" t="s">
        <v>40</v>
      </c>
      <c r="H76" s="211" t="s">
        <v>40</v>
      </c>
      <c r="I76" s="59">
        <v>0.22</v>
      </c>
      <c r="J76" s="59">
        <v>0.31</v>
      </c>
      <c r="K76" s="59">
        <v>24.38</v>
      </c>
      <c r="L76" s="59">
        <v>26.09</v>
      </c>
      <c r="M76" s="59">
        <v>24</v>
      </c>
      <c r="N76" s="59">
        <v>36.1</v>
      </c>
      <c r="O76" s="59">
        <v>0</v>
      </c>
      <c r="P76" s="59">
        <v>1.17</v>
      </c>
      <c r="Q76" s="59">
        <v>30.19</v>
      </c>
      <c r="R76" s="197"/>
      <c r="S76" s="197"/>
      <c r="T76" s="197"/>
      <c r="U76" s="197"/>
    </row>
    <row r="77" spans="1:21" s="12" customFormat="1" x14ac:dyDescent="0.25">
      <c r="A77" s="200" t="s">
        <v>1851</v>
      </c>
      <c r="B77" s="59">
        <v>20.37</v>
      </c>
      <c r="C77" s="59">
        <v>99.34</v>
      </c>
      <c r="D77" s="59">
        <v>71.16</v>
      </c>
      <c r="E77" s="59">
        <v>8.02</v>
      </c>
      <c r="F77" s="59">
        <v>4.6500000000000004</v>
      </c>
      <c r="G77" s="59">
        <v>29.21</v>
      </c>
      <c r="H77" s="59">
        <v>11.44</v>
      </c>
      <c r="I77" s="59">
        <v>0.24</v>
      </c>
      <c r="J77" s="59">
        <v>0.47</v>
      </c>
      <c r="K77" s="59">
        <v>12.95</v>
      </c>
      <c r="L77" s="59">
        <v>25.51</v>
      </c>
      <c r="M77" s="59">
        <v>26</v>
      </c>
      <c r="N77" s="59">
        <v>29.8</v>
      </c>
      <c r="O77" s="59">
        <v>0</v>
      </c>
      <c r="P77" s="59">
        <v>1.41</v>
      </c>
      <c r="Q77" s="59">
        <v>30.61</v>
      </c>
      <c r="R77" s="197"/>
      <c r="S77" s="197"/>
      <c r="T77" s="197"/>
      <c r="U77" s="197"/>
    </row>
    <row r="78" spans="1:21" s="12" customFormat="1" x14ac:dyDescent="0.25">
      <c r="A78" s="200" t="s">
        <v>1852</v>
      </c>
      <c r="B78" s="59">
        <v>18.25</v>
      </c>
      <c r="C78" s="59">
        <v>96.43</v>
      </c>
      <c r="D78" s="59">
        <v>67.86</v>
      </c>
      <c r="E78" s="59">
        <v>6.92</v>
      </c>
      <c r="F78" s="59">
        <v>2.77</v>
      </c>
      <c r="G78" s="59">
        <v>61.24</v>
      </c>
      <c r="H78" s="59">
        <v>32.18</v>
      </c>
      <c r="I78" s="59">
        <v>0.25</v>
      </c>
      <c r="J78" s="59">
        <v>0.24</v>
      </c>
      <c r="K78" s="59">
        <v>18.82</v>
      </c>
      <c r="L78" s="59">
        <v>24.79</v>
      </c>
      <c r="M78" s="59">
        <v>28</v>
      </c>
      <c r="N78" s="59">
        <v>25.8</v>
      </c>
      <c r="O78" s="59">
        <v>0</v>
      </c>
      <c r="P78" s="59">
        <v>1.46</v>
      </c>
      <c r="Q78" s="59">
        <v>31.36</v>
      </c>
      <c r="R78" s="197"/>
      <c r="S78" s="197"/>
      <c r="T78" s="197"/>
      <c r="U78" s="197"/>
    </row>
    <row r="79" spans="1:21" s="12" customFormat="1" x14ac:dyDescent="0.25">
      <c r="A79" s="200" t="s">
        <v>1853</v>
      </c>
      <c r="B79" s="59">
        <v>20.99</v>
      </c>
      <c r="C79" s="59">
        <v>100.26</v>
      </c>
      <c r="D79" s="59">
        <v>72.17</v>
      </c>
      <c r="E79" s="59">
        <v>5.5</v>
      </c>
      <c r="F79" s="59">
        <v>1.36</v>
      </c>
      <c r="G79" s="59">
        <v>61.24</v>
      </c>
      <c r="H79" s="59">
        <v>32.18</v>
      </c>
      <c r="I79" s="59">
        <v>0.28999999999999998</v>
      </c>
      <c r="J79" s="59">
        <v>0.13</v>
      </c>
      <c r="K79" s="59">
        <v>46.46</v>
      </c>
      <c r="L79" s="59">
        <v>24.11</v>
      </c>
      <c r="M79" s="59">
        <v>30</v>
      </c>
      <c r="N79" s="59">
        <v>24.3</v>
      </c>
      <c r="O79" s="59">
        <v>0</v>
      </c>
      <c r="P79" s="59">
        <v>1.52</v>
      </c>
      <c r="Q79" s="59">
        <v>32.89</v>
      </c>
      <c r="R79" s="197"/>
      <c r="S79" s="197"/>
      <c r="T79" s="197"/>
      <c r="U79" s="197"/>
    </row>
    <row r="80" spans="1:21" s="12" customFormat="1" x14ac:dyDescent="0.25">
      <c r="A80" s="200" t="s">
        <v>1854</v>
      </c>
      <c r="B80" s="59">
        <v>20.22</v>
      </c>
      <c r="C80" s="59">
        <v>98.04</v>
      </c>
      <c r="D80" s="59">
        <v>70.319999999999993</v>
      </c>
      <c r="E80" s="59">
        <v>5.25</v>
      </c>
      <c r="F80" s="59">
        <v>1.21</v>
      </c>
      <c r="G80" s="59">
        <v>61.24</v>
      </c>
      <c r="H80" s="59">
        <v>32.18</v>
      </c>
      <c r="I80" s="59">
        <v>0.32</v>
      </c>
      <c r="J80" s="59">
        <v>0.28000000000000003</v>
      </c>
      <c r="K80" s="59">
        <v>81.14</v>
      </c>
      <c r="L80" s="59">
        <v>24</v>
      </c>
      <c r="M80" s="59">
        <v>31</v>
      </c>
      <c r="N80" s="59">
        <v>23.7</v>
      </c>
      <c r="O80" s="59">
        <v>0</v>
      </c>
      <c r="P80" s="59">
        <v>1.53</v>
      </c>
      <c r="Q80" s="59">
        <v>34.01</v>
      </c>
      <c r="R80" s="197"/>
      <c r="S80" s="197"/>
      <c r="T80" s="197"/>
      <c r="U80" s="197"/>
    </row>
    <row r="81" spans="1:26" s="12" customFormat="1" x14ac:dyDescent="0.25">
      <c r="A81" s="200" t="s">
        <v>1855</v>
      </c>
      <c r="B81" s="59">
        <v>23.08</v>
      </c>
      <c r="C81" s="59">
        <v>98.47</v>
      </c>
      <c r="D81" s="59">
        <v>72.849999999999994</v>
      </c>
      <c r="E81" s="59">
        <v>5.62</v>
      </c>
      <c r="F81" s="59">
        <v>1.03</v>
      </c>
      <c r="G81" s="59">
        <v>67.790000000000006</v>
      </c>
      <c r="H81" s="59">
        <v>31.3</v>
      </c>
      <c r="I81" s="59">
        <v>0.35</v>
      </c>
      <c r="J81" s="59">
        <v>0.34</v>
      </c>
      <c r="K81" s="59">
        <v>19.440000000000001</v>
      </c>
      <c r="L81" s="59">
        <v>23.54</v>
      </c>
      <c r="M81" s="59">
        <v>33</v>
      </c>
      <c r="N81" s="59">
        <v>23.7</v>
      </c>
      <c r="O81" s="59">
        <v>0</v>
      </c>
      <c r="P81" s="59">
        <v>1.62</v>
      </c>
      <c r="Q81" s="59">
        <v>35.04</v>
      </c>
      <c r="R81" s="197"/>
      <c r="S81" s="197"/>
      <c r="T81" s="197"/>
      <c r="U81" s="197"/>
    </row>
    <row r="82" spans="1:26" s="12" customFormat="1" x14ac:dyDescent="0.25">
      <c r="A82" s="200" t="s">
        <v>1856</v>
      </c>
      <c r="B82" s="59">
        <v>23.04</v>
      </c>
      <c r="C82" s="59">
        <v>94.14</v>
      </c>
      <c r="D82" s="59">
        <v>70.430000000000007</v>
      </c>
      <c r="E82" s="59">
        <v>5.18</v>
      </c>
      <c r="F82" s="59">
        <v>1.06</v>
      </c>
      <c r="G82" s="59">
        <v>74.94</v>
      </c>
      <c r="H82" s="59">
        <v>29.77</v>
      </c>
      <c r="I82" s="59">
        <v>0.38</v>
      </c>
      <c r="J82" s="59">
        <v>0.18</v>
      </c>
      <c r="K82" s="59">
        <v>54.91</v>
      </c>
      <c r="L82" s="59">
        <v>23.12</v>
      </c>
      <c r="M82" s="59">
        <v>33</v>
      </c>
      <c r="N82" s="59">
        <v>24.1</v>
      </c>
      <c r="O82" s="59">
        <v>0</v>
      </c>
      <c r="P82" s="59">
        <v>1.64</v>
      </c>
      <c r="Q82" s="59">
        <v>36.020000000000003</v>
      </c>
      <c r="R82" s="197"/>
      <c r="S82" s="197"/>
      <c r="T82" s="197"/>
      <c r="U82" s="197"/>
    </row>
    <row r="83" spans="1:26" s="12" customFormat="1" x14ac:dyDescent="0.25">
      <c r="A83" s="200" t="s">
        <v>1857</v>
      </c>
      <c r="B83" s="59">
        <v>22.28</v>
      </c>
      <c r="C83" s="59">
        <v>92.6</v>
      </c>
      <c r="D83" s="59">
        <v>68.97</v>
      </c>
      <c r="E83" s="59">
        <v>4.5999999999999996</v>
      </c>
      <c r="F83" s="59">
        <v>0.94</v>
      </c>
      <c r="G83" s="59">
        <v>74.94</v>
      </c>
      <c r="H83" s="59">
        <v>29.77</v>
      </c>
      <c r="I83" s="59">
        <v>0.4</v>
      </c>
      <c r="J83" s="59">
        <v>0.27</v>
      </c>
      <c r="K83" s="59">
        <v>65.83</v>
      </c>
      <c r="L83" s="59">
        <v>22.78</v>
      </c>
      <c r="M83" s="59">
        <v>34</v>
      </c>
      <c r="N83" s="59">
        <v>23.9</v>
      </c>
      <c r="O83" s="59">
        <v>0</v>
      </c>
      <c r="P83" s="59">
        <v>1.67</v>
      </c>
      <c r="Q83" s="59">
        <v>37.590000000000003</v>
      </c>
      <c r="R83" s="197"/>
      <c r="S83" s="197"/>
      <c r="T83" s="197"/>
      <c r="U83" s="197"/>
    </row>
    <row r="84" spans="1:26" s="12" customFormat="1" x14ac:dyDescent="0.25">
      <c r="A84" s="200" t="s">
        <v>1858</v>
      </c>
      <c r="B84" s="59">
        <v>22.17</v>
      </c>
      <c r="C84" s="59">
        <v>91.72</v>
      </c>
      <c r="D84" s="59">
        <v>68.400000000000006</v>
      </c>
      <c r="E84" s="59">
        <v>4.3</v>
      </c>
      <c r="F84" s="59">
        <v>0.7</v>
      </c>
      <c r="G84" s="59">
        <v>74.94</v>
      </c>
      <c r="H84" s="59">
        <v>29.77</v>
      </c>
      <c r="I84" s="59">
        <v>0.42</v>
      </c>
      <c r="J84" s="59">
        <v>0.27</v>
      </c>
      <c r="K84" s="59">
        <v>65.67</v>
      </c>
      <c r="L84" s="59">
        <v>22.46</v>
      </c>
      <c r="M84" s="59">
        <v>34</v>
      </c>
      <c r="N84" s="59">
        <v>23.8</v>
      </c>
      <c r="O84" s="59">
        <v>0</v>
      </c>
      <c r="P84" s="59">
        <v>1.72</v>
      </c>
      <c r="Q84" s="59">
        <v>38.619999999999997</v>
      </c>
      <c r="R84" s="197"/>
      <c r="S84" s="197"/>
      <c r="T84" s="197"/>
      <c r="U84" s="197"/>
    </row>
    <row r="85" spans="1:26" s="12" customFormat="1" x14ac:dyDescent="0.25">
      <c r="A85" s="200" t="s">
        <v>1859</v>
      </c>
      <c r="B85" s="59">
        <v>20.83</v>
      </c>
      <c r="C85" s="59">
        <v>91.24</v>
      </c>
      <c r="D85" s="59">
        <v>67.06</v>
      </c>
      <c r="E85" s="59">
        <v>4.12</v>
      </c>
      <c r="F85" s="59">
        <v>0.68</v>
      </c>
      <c r="G85" s="59">
        <v>76.989999999999995</v>
      </c>
      <c r="H85" s="59">
        <v>30.69</v>
      </c>
      <c r="I85" s="59">
        <v>0.44</v>
      </c>
      <c r="J85" s="59">
        <v>0.26</v>
      </c>
      <c r="K85" s="59">
        <v>63.57</v>
      </c>
      <c r="L85" s="59">
        <v>22.12</v>
      </c>
      <c r="M85" s="59">
        <v>35</v>
      </c>
      <c r="N85" s="59">
        <v>23.8</v>
      </c>
      <c r="O85" s="59">
        <v>0</v>
      </c>
      <c r="P85" s="59">
        <v>1.68</v>
      </c>
      <c r="Q85" s="59">
        <v>38.75</v>
      </c>
      <c r="R85" s="197"/>
      <c r="S85" s="197"/>
      <c r="T85" s="197"/>
      <c r="U85" s="197"/>
    </row>
    <row r="86" spans="1:26" s="12" customFormat="1" x14ac:dyDescent="0.25">
      <c r="A86" s="200" t="s">
        <v>1860</v>
      </c>
      <c r="B86" s="59">
        <v>19.12</v>
      </c>
      <c r="C86" s="59">
        <v>90.28</v>
      </c>
      <c r="D86" s="59">
        <v>65.16</v>
      </c>
      <c r="E86" s="59">
        <v>4.1399999999999997</v>
      </c>
      <c r="F86" s="59">
        <v>0.79</v>
      </c>
      <c r="G86" s="59">
        <v>79.17</v>
      </c>
      <c r="H86" s="59">
        <v>32.28</v>
      </c>
      <c r="I86" s="59">
        <v>0.47</v>
      </c>
      <c r="J86" s="59">
        <v>0.32</v>
      </c>
      <c r="K86" s="59">
        <v>59.02</v>
      </c>
      <c r="L86" s="59">
        <v>22.09</v>
      </c>
      <c r="M86" s="59">
        <v>35</v>
      </c>
      <c r="N86" s="59">
        <v>23.5</v>
      </c>
      <c r="O86" s="59">
        <v>0</v>
      </c>
      <c r="P86" s="59">
        <v>1.73</v>
      </c>
      <c r="Q86" s="59">
        <v>38.479999999999997</v>
      </c>
      <c r="R86" s="197"/>
      <c r="S86" s="197"/>
      <c r="T86" s="197"/>
      <c r="U86" s="197"/>
    </row>
    <row r="87" spans="1:26" s="12" customFormat="1" x14ac:dyDescent="0.25">
      <c r="A87" s="200" t="s">
        <v>1861</v>
      </c>
      <c r="B87" s="59">
        <v>18.100000000000001</v>
      </c>
      <c r="C87" s="59">
        <v>90.31</v>
      </c>
      <c r="D87" s="59">
        <v>64.349999999999994</v>
      </c>
      <c r="E87" s="59">
        <v>4.21</v>
      </c>
      <c r="F87" s="59">
        <v>0.77</v>
      </c>
      <c r="G87" s="59">
        <v>79.17</v>
      </c>
      <c r="H87" s="59">
        <v>32.28</v>
      </c>
      <c r="I87" s="59">
        <v>0.47</v>
      </c>
      <c r="J87" s="59">
        <v>0.2</v>
      </c>
      <c r="K87" s="59">
        <v>42.74</v>
      </c>
      <c r="L87" s="59">
        <v>21.6</v>
      </c>
      <c r="M87" s="59">
        <v>37</v>
      </c>
      <c r="N87" s="59">
        <v>24.2</v>
      </c>
      <c r="O87" s="59">
        <v>0</v>
      </c>
      <c r="P87" s="59">
        <v>1.74</v>
      </c>
      <c r="Q87" s="59">
        <v>38.35</v>
      </c>
      <c r="R87" s="197"/>
      <c r="S87" s="197"/>
      <c r="T87" s="197"/>
      <c r="U87" s="197"/>
    </row>
    <row r="88" spans="1:26" s="12" customFormat="1" x14ac:dyDescent="0.25">
      <c r="A88" s="200" t="s">
        <v>1862</v>
      </c>
      <c r="B88" s="59">
        <v>19.399999999999999</v>
      </c>
      <c r="C88" s="59">
        <v>92.04</v>
      </c>
      <c r="D88" s="59">
        <v>66.349999999999994</v>
      </c>
      <c r="E88" s="59">
        <v>1.8</v>
      </c>
      <c r="F88" s="59">
        <v>0.68</v>
      </c>
      <c r="G88" s="59">
        <v>79.17</v>
      </c>
      <c r="H88" s="59">
        <v>32.28</v>
      </c>
      <c r="I88" s="59">
        <v>0.47</v>
      </c>
      <c r="J88" s="59">
        <v>0.11</v>
      </c>
      <c r="K88" s="59">
        <v>10.75</v>
      </c>
      <c r="L88" s="59">
        <v>20.69</v>
      </c>
      <c r="M88" s="59">
        <v>41</v>
      </c>
      <c r="N88" s="59">
        <v>24.4</v>
      </c>
      <c r="O88" s="59">
        <v>0</v>
      </c>
      <c r="P88" s="59">
        <v>1.86</v>
      </c>
      <c r="Q88" s="59">
        <v>38.5</v>
      </c>
      <c r="R88" s="197"/>
      <c r="S88" s="197"/>
      <c r="T88" s="197"/>
      <c r="U88" s="197"/>
    </row>
    <row r="89" spans="1:26" s="12" customFormat="1" x14ac:dyDescent="0.25">
      <c r="A89" s="200" t="s">
        <v>1863</v>
      </c>
      <c r="B89" s="59">
        <v>24.53</v>
      </c>
      <c r="C89" s="59">
        <v>95.08</v>
      </c>
      <c r="D89" s="59">
        <v>72.14</v>
      </c>
      <c r="E89" s="59">
        <v>3.47</v>
      </c>
      <c r="F89" s="59">
        <v>0.65</v>
      </c>
      <c r="G89" s="59">
        <v>80.069999999999993</v>
      </c>
      <c r="H89" s="59">
        <v>31.78</v>
      </c>
      <c r="I89" s="59">
        <v>0.48</v>
      </c>
      <c r="J89" s="59">
        <v>0.09</v>
      </c>
      <c r="K89" s="59">
        <v>322.57</v>
      </c>
      <c r="L89" s="59">
        <v>20.02</v>
      </c>
      <c r="M89" s="59">
        <v>44</v>
      </c>
      <c r="N89" s="59">
        <v>24.3</v>
      </c>
      <c r="O89" s="59">
        <v>0</v>
      </c>
      <c r="P89" s="59">
        <v>2.06</v>
      </c>
      <c r="Q89" s="59">
        <v>38.659999999999997</v>
      </c>
      <c r="R89" s="197"/>
      <c r="S89" s="197"/>
      <c r="T89" s="197"/>
      <c r="U89" s="197"/>
    </row>
    <row r="90" spans="1:26" s="12" customFormat="1" x14ac:dyDescent="0.25">
      <c r="A90" s="200" t="s">
        <v>1864</v>
      </c>
      <c r="B90" s="59">
        <v>35.9</v>
      </c>
      <c r="C90" s="59">
        <v>99.84</v>
      </c>
      <c r="D90" s="59">
        <v>83.88</v>
      </c>
      <c r="E90" s="59">
        <v>3.92</v>
      </c>
      <c r="F90" s="59">
        <v>0.91</v>
      </c>
      <c r="G90" s="59">
        <v>83.13</v>
      </c>
      <c r="H90" s="59">
        <v>30.91</v>
      </c>
      <c r="I90" s="59">
        <v>0.52</v>
      </c>
      <c r="J90" s="59">
        <v>0.2</v>
      </c>
      <c r="K90" s="59">
        <v>317.11</v>
      </c>
      <c r="L90" s="59">
        <v>19.7</v>
      </c>
      <c r="M90" s="59">
        <v>48</v>
      </c>
      <c r="N90" s="59">
        <v>24</v>
      </c>
      <c r="O90" s="59">
        <v>0</v>
      </c>
      <c r="P90" s="59">
        <v>2.25</v>
      </c>
      <c r="Q90" s="59">
        <v>38.5</v>
      </c>
      <c r="R90" s="197"/>
      <c r="S90" s="197"/>
      <c r="T90" s="197"/>
      <c r="U90" s="197"/>
    </row>
    <row r="91" spans="1:26" s="12" customFormat="1" x14ac:dyDescent="0.25">
      <c r="A91" s="200" t="s">
        <v>1865</v>
      </c>
      <c r="B91" s="59">
        <v>45.09</v>
      </c>
      <c r="C91" s="59">
        <v>103.3</v>
      </c>
      <c r="D91" s="59">
        <v>93.17</v>
      </c>
      <c r="E91" s="59">
        <v>3.94</v>
      </c>
      <c r="F91" s="59">
        <v>0.75</v>
      </c>
      <c r="G91" s="59">
        <v>83.13</v>
      </c>
      <c r="H91" s="59">
        <v>30.91</v>
      </c>
      <c r="I91" s="59">
        <v>0.56000000000000005</v>
      </c>
      <c r="J91" s="59">
        <v>0.1</v>
      </c>
      <c r="K91" s="59">
        <v>326.5</v>
      </c>
      <c r="L91" s="59">
        <v>19.09</v>
      </c>
      <c r="M91" s="59">
        <v>53</v>
      </c>
      <c r="N91" s="59">
        <v>24.2</v>
      </c>
      <c r="O91" s="59">
        <v>0</v>
      </c>
      <c r="P91" s="59">
        <v>2.46</v>
      </c>
      <c r="Q91" s="59">
        <v>39.049999999999997</v>
      </c>
      <c r="R91" s="197"/>
      <c r="S91" s="197"/>
      <c r="T91" s="197"/>
      <c r="U91" s="197"/>
    </row>
    <row r="92" spans="1:26" s="12" customFormat="1" x14ac:dyDescent="0.25">
      <c r="A92" s="200" t="s">
        <v>1866</v>
      </c>
      <c r="B92" s="59">
        <v>51.54</v>
      </c>
      <c r="C92" s="59">
        <v>106.17</v>
      </c>
      <c r="D92" s="59">
        <v>99.93</v>
      </c>
      <c r="E92" s="59">
        <v>4.5999999999999996</v>
      </c>
      <c r="F92" s="59">
        <v>0.62</v>
      </c>
      <c r="G92" s="59">
        <v>83.13</v>
      </c>
      <c r="H92" s="59">
        <v>30.91</v>
      </c>
      <c r="I92" s="59">
        <v>0.62</v>
      </c>
      <c r="J92" s="59">
        <v>0.06</v>
      </c>
      <c r="K92" s="59">
        <v>342.29</v>
      </c>
      <c r="L92" s="59">
        <v>18.940000000000001</v>
      </c>
      <c r="M92" s="59">
        <v>48</v>
      </c>
      <c r="N92" s="59">
        <v>24</v>
      </c>
      <c r="O92" s="59">
        <v>0</v>
      </c>
      <c r="P92" s="59">
        <v>2.64</v>
      </c>
      <c r="Q92" s="59">
        <v>40.159999999999997</v>
      </c>
      <c r="R92" s="197"/>
      <c r="S92" s="197"/>
      <c r="T92" s="197"/>
      <c r="U92" s="197"/>
    </row>
    <row r="93" spans="1:26" s="12" customFormat="1" x14ac:dyDescent="0.25">
      <c r="A93" s="200" t="s">
        <v>1867</v>
      </c>
      <c r="B93" s="59">
        <v>54.84</v>
      </c>
      <c r="C93" s="59">
        <v>110.05</v>
      </c>
      <c r="D93" s="59">
        <v>104.71</v>
      </c>
      <c r="E93" s="59">
        <v>4.62</v>
      </c>
      <c r="F93" s="59">
        <v>0.66</v>
      </c>
      <c r="G93" s="59">
        <v>93.26</v>
      </c>
      <c r="H93" s="59">
        <v>31.13</v>
      </c>
      <c r="I93" s="59">
        <v>0.7</v>
      </c>
      <c r="J93" s="59">
        <v>0.06</v>
      </c>
      <c r="K93" s="59">
        <v>329.68</v>
      </c>
      <c r="L93" s="59">
        <v>19.22</v>
      </c>
      <c r="M93" s="59">
        <v>46</v>
      </c>
      <c r="N93" s="59">
        <v>24</v>
      </c>
      <c r="O93" s="59">
        <v>0</v>
      </c>
      <c r="P93" s="59">
        <v>2.74</v>
      </c>
      <c r="Q93" s="59">
        <v>41.11</v>
      </c>
      <c r="R93" s="197"/>
      <c r="S93" s="197"/>
      <c r="T93" s="197"/>
      <c r="U93" s="197"/>
    </row>
    <row r="94" spans="1:26" s="12" customFormat="1" x14ac:dyDescent="0.25">
      <c r="A94" s="200" t="s">
        <v>1868</v>
      </c>
      <c r="B94" s="59">
        <v>56.09</v>
      </c>
      <c r="C94" s="59">
        <v>107.22</v>
      </c>
      <c r="D94" s="59">
        <v>104.15</v>
      </c>
      <c r="E94" s="59">
        <v>4.18</v>
      </c>
      <c r="F94" s="59">
        <v>0.63</v>
      </c>
      <c r="G94" s="59">
        <v>104.02</v>
      </c>
      <c r="H94" s="59">
        <v>31.52</v>
      </c>
      <c r="I94" s="59">
        <v>0.76</v>
      </c>
      <c r="J94" s="59">
        <v>0.14000000000000001</v>
      </c>
      <c r="K94" s="59">
        <v>344.73</v>
      </c>
      <c r="L94" s="59">
        <v>19.309999999999999</v>
      </c>
      <c r="M94" s="59">
        <v>47</v>
      </c>
      <c r="N94" s="59">
        <v>23.8</v>
      </c>
      <c r="O94" s="59">
        <v>0</v>
      </c>
      <c r="P94" s="59">
        <v>2.8</v>
      </c>
      <c r="Q94" s="59">
        <v>41.81</v>
      </c>
      <c r="R94" s="197"/>
      <c r="S94" s="197"/>
      <c r="T94" s="197"/>
      <c r="U94" s="197"/>
    </row>
    <row r="95" spans="1:26" s="12" customFormat="1" x14ac:dyDescent="0.25">
      <c r="A95" s="200" t="s">
        <v>1869</v>
      </c>
      <c r="B95" s="59">
        <v>61.46</v>
      </c>
      <c r="C95" s="59">
        <v>108.47</v>
      </c>
      <c r="D95" s="59">
        <v>109.15</v>
      </c>
      <c r="E95" s="59">
        <v>4.5199999999999996</v>
      </c>
      <c r="F95" s="59">
        <v>0.66</v>
      </c>
      <c r="G95" s="59">
        <v>104.02</v>
      </c>
      <c r="H95" s="59">
        <v>31.52</v>
      </c>
      <c r="I95" s="59">
        <v>0.81</v>
      </c>
      <c r="J95" s="59">
        <v>0.08</v>
      </c>
      <c r="K95" s="59">
        <v>286.26</v>
      </c>
      <c r="L95" s="59">
        <v>18.96</v>
      </c>
      <c r="M95" s="59">
        <v>50</v>
      </c>
      <c r="N95" s="59">
        <v>24.1</v>
      </c>
      <c r="O95" s="59">
        <v>0</v>
      </c>
      <c r="P95" s="59">
        <v>2.9</v>
      </c>
      <c r="Q95" s="59">
        <v>42.52</v>
      </c>
      <c r="R95" s="197"/>
      <c r="S95" s="197"/>
      <c r="T95" s="197"/>
      <c r="U95" s="197"/>
    </row>
    <row r="96" spans="1:26" s="12" customFormat="1" x14ac:dyDescent="0.25">
      <c r="A96" s="200" t="s">
        <v>1870</v>
      </c>
      <c r="B96" s="59">
        <v>68.59</v>
      </c>
      <c r="C96" s="59">
        <v>110.07</v>
      </c>
      <c r="D96" s="59">
        <v>115.75</v>
      </c>
      <c r="E96" s="59">
        <v>4.57</v>
      </c>
      <c r="F96" s="59">
        <v>0.64</v>
      </c>
      <c r="G96" s="59">
        <v>104.02</v>
      </c>
      <c r="H96" s="59">
        <v>31.52</v>
      </c>
      <c r="I96" s="59">
        <v>0.83</v>
      </c>
      <c r="J96" s="59">
        <v>0.1</v>
      </c>
      <c r="K96" s="59">
        <v>319.54000000000002</v>
      </c>
      <c r="L96" s="59">
        <v>18.8</v>
      </c>
      <c r="M96" s="59">
        <v>48</v>
      </c>
      <c r="N96" s="59">
        <v>24.1</v>
      </c>
      <c r="O96" s="59">
        <v>0</v>
      </c>
      <c r="P96" s="59">
        <v>2.97</v>
      </c>
      <c r="Q96" s="59">
        <v>43.24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1871</v>
      </c>
      <c r="B97" s="59">
        <v>73.48</v>
      </c>
      <c r="C97" s="59">
        <v>113.23</v>
      </c>
      <c r="D97" s="59">
        <v>121.41</v>
      </c>
      <c r="E97" s="59">
        <v>4.74</v>
      </c>
      <c r="F97" s="59">
        <v>0.72</v>
      </c>
      <c r="G97" s="59">
        <v>114.09</v>
      </c>
      <c r="H97" s="59">
        <v>32.25</v>
      </c>
      <c r="I97" s="59">
        <v>0.89</v>
      </c>
      <c r="J97" s="59">
        <v>0.09</v>
      </c>
      <c r="K97" s="59">
        <v>42.56</v>
      </c>
      <c r="L97" s="59">
        <v>18.46</v>
      </c>
      <c r="M97" s="59">
        <v>51</v>
      </c>
      <c r="N97" s="59">
        <v>23.9</v>
      </c>
      <c r="O97" s="59">
        <v>0</v>
      </c>
      <c r="P97" s="59">
        <v>3.05</v>
      </c>
      <c r="Q97" s="59">
        <v>43.77</v>
      </c>
      <c r="R97" s="197"/>
      <c r="S97" s="197"/>
      <c r="T97" s="197"/>
      <c r="U97" s="197"/>
    </row>
    <row r="98" spans="1:33" s="12" customFormat="1" x14ac:dyDescent="0.25">
      <c r="A98" s="200" t="s">
        <v>1872</v>
      </c>
      <c r="B98" s="59">
        <v>76.41</v>
      </c>
      <c r="C98" s="59">
        <v>113.8</v>
      </c>
      <c r="D98" s="59">
        <v>124.08</v>
      </c>
      <c r="E98" s="59">
        <v>4.68</v>
      </c>
      <c r="F98" s="59">
        <v>0.64</v>
      </c>
      <c r="G98" s="59">
        <v>124.79</v>
      </c>
      <c r="H98" s="59">
        <v>33.520000000000003</v>
      </c>
      <c r="I98" s="59">
        <v>0.92</v>
      </c>
      <c r="J98" s="59">
        <v>0.23</v>
      </c>
      <c r="K98" s="59">
        <v>57.98</v>
      </c>
      <c r="L98" s="59">
        <v>18.82</v>
      </c>
      <c r="M98" s="59">
        <v>47</v>
      </c>
      <c r="N98" s="59">
        <v>23.2</v>
      </c>
      <c r="O98" s="59">
        <v>0</v>
      </c>
      <c r="P98" s="59">
        <v>3.13</v>
      </c>
      <c r="Q98" s="59">
        <v>44.73</v>
      </c>
      <c r="R98" s="197"/>
      <c r="S98" s="197"/>
      <c r="T98" s="197"/>
      <c r="U98" s="197"/>
    </row>
    <row r="99" spans="1:33" s="12" customFormat="1" x14ac:dyDescent="0.25">
      <c r="A99" s="200" t="s">
        <v>1873</v>
      </c>
      <c r="B99" s="59">
        <v>77.38</v>
      </c>
      <c r="C99" s="59">
        <v>114.69</v>
      </c>
      <c r="D99" s="59">
        <v>125.35</v>
      </c>
      <c r="E99" s="59">
        <v>4.5</v>
      </c>
      <c r="F99" s="59">
        <v>0.67</v>
      </c>
      <c r="G99" s="59">
        <v>124.79</v>
      </c>
      <c r="H99" s="59">
        <v>33.520000000000003</v>
      </c>
      <c r="I99" s="59">
        <v>0.97</v>
      </c>
      <c r="J99" s="59">
        <v>0.28999999999999998</v>
      </c>
      <c r="K99" s="59">
        <v>46.78</v>
      </c>
      <c r="L99" s="59">
        <v>19.559999999999999</v>
      </c>
      <c r="M99" s="59">
        <v>42</v>
      </c>
      <c r="N99" s="59">
        <v>23</v>
      </c>
      <c r="O99" s="59">
        <v>0</v>
      </c>
      <c r="P99" s="59">
        <v>3.12</v>
      </c>
      <c r="Q99" s="59">
        <v>44.68</v>
      </c>
      <c r="R99" s="197"/>
      <c r="S99" s="197"/>
      <c r="T99" s="197"/>
      <c r="U99" s="197"/>
    </row>
    <row r="100" spans="1:33" s="12" customFormat="1" x14ac:dyDescent="0.25">
      <c r="A100" s="200" t="s">
        <v>1874</v>
      </c>
      <c r="B100" s="59">
        <v>76.319999999999993</v>
      </c>
      <c r="C100" s="59">
        <v>115.53</v>
      </c>
      <c r="D100" s="59">
        <v>124.96</v>
      </c>
      <c r="E100" s="59">
        <v>4.79</v>
      </c>
      <c r="F100" s="59">
        <v>0.67</v>
      </c>
      <c r="G100" s="59">
        <v>124.79</v>
      </c>
      <c r="H100" s="59">
        <v>33.520000000000003</v>
      </c>
      <c r="I100" s="59">
        <v>1.1000000000000001</v>
      </c>
      <c r="J100" s="59">
        <v>0.26</v>
      </c>
      <c r="K100" s="59">
        <v>20.72</v>
      </c>
      <c r="L100" s="59">
        <v>19.829999999999998</v>
      </c>
      <c r="M100" s="59">
        <v>40</v>
      </c>
      <c r="N100" s="59">
        <v>23.5</v>
      </c>
      <c r="O100" s="59">
        <v>0</v>
      </c>
      <c r="P100" s="59">
        <v>3.04</v>
      </c>
      <c r="Q100" s="59">
        <v>44.43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1875</v>
      </c>
      <c r="B101" s="59">
        <v>72.19</v>
      </c>
      <c r="C101" s="59">
        <v>114.01</v>
      </c>
      <c r="D101" s="59">
        <v>120.81</v>
      </c>
      <c r="E101" s="59">
        <v>4.95</v>
      </c>
      <c r="F101" s="59">
        <v>0.67</v>
      </c>
      <c r="G101" s="59">
        <v>93.3</v>
      </c>
      <c r="H101" s="59">
        <v>33.9</v>
      </c>
      <c r="I101" s="59">
        <v>0.96</v>
      </c>
      <c r="J101" s="59">
        <v>0.32</v>
      </c>
      <c r="K101" s="59">
        <v>50.01</v>
      </c>
      <c r="L101" s="59">
        <v>19.75</v>
      </c>
      <c r="M101" s="59">
        <v>40</v>
      </c>
      <c r="N101" s="59">
        <v>23.6</v>
      </c>
      <c r="O101" s="59">
        <v>0</v>
      </c>
      <c r="P101" s="59">
        <v>2.92</v>
      </c>
      <c r="Q101" s="59">
        <v>43.76</v>
      </c>
      <c r="R101" s="197"/>
      <c r="S101" s="197"/>
      <c r="T101" s="197"/>
      <c r="U101" s="197"/>
    </row>
    <row r="102" spans="1:33" s="12" customFormat="1" x14ac:dyDescent="0.25">
      <c r="A102" s="200" t="s">
        <v>1876</v>
      </c>
      <c r="B102" s="59">
        <v>67.13</v>
      </c>
      <c r="C102" s="59">
        <v>111.53</v>
      </c>
      <c r="D102" s="59">
        <v>115.38</v>
      </c>
      <c r="E102" s="59">
        <v>5.0999999999999996</v>
      </c>
      <c r="F102" s="59">
        <v>0.82</v>
      </c>
      <c r="G102" s="59">
        <v>51.98</v>
      </c>
      <c r="H102" s="59">
        <v>34.54</v>
      </c>
      <c r="I102" s="59">
        <v>0.93</v>
      </c>
      <c r="J102" s="59">
        <v>0.35</v>
      </c>
      <c r="K102" s="59">
        <v>51.26</v>
      </c>
      <c r="L102" s="59">
        <v>19.62</v>
      </c>
      <c r="M102" s="59">
        <v>40</v>
      </c>
      <c r="N102" s="59">
        <v>23.9</v>
      </c>
      <c r="O102" s="59">
        <v>0</v>
      </c>
      <c r="P102" s="59">
        <v>2.8</v>
      </c>
      <c r="Q102" s="59">
        <v>43.04</v>
      </c>
      <c r="R102" s="197"/>
      <c r="S102" s="197"/>
      <c r="T102" s="197"/>
      <c r="U102" s="197"/>
    </row>
    <row r="103" spans="1:33" s="12" customFormat="1" x14ac:dyDescent="0.25">
      <c r="A103" s="200" t="s">
        <v>1877</v>
      </c>
      <c r="B103" s="59">
        <v>62.68</v>
      </c>
      <c r="C103" s="59">
        <v>109.21</v>
      </c>
      <c r="D103" s="59">
        <v>110.53</v>
      </c>
      <c r="E103" s="59">
        <v>4.59</v>
      </c>
      <c r="F103" s="59">
        <v>0.76</v>
      </c>
      <c r="G103" s="59">
        <v>51.98</v>
      </c>
      <c r="H103" s="59">
        <v>34.54</v>
      </c>
      <c r="I103" s="59">
        <v>0.89</v>
      </c>
      <c r="J103" s="59">
        <v>0.23</v>
      </c>
      <c r="K103" s="59">
        <v>24.8</v>
      </c>
      <c r="L103" s="59">
        <v>19.260000000000002</v>
      </c>
      <c r="M103" s="59">
        <v>43</v>
      </c>
      <c r="N103" s="59">
        <v>24.4</v>
      </c>
      <c r="O103" s="59">
        <v>0</v>
      </c>
      <c r="P103" s="59">
        <v>2.68</v>
      </c>
      <c r="Q103" s="59">
        <v>42.38</v>
      </c>
      <c r="R103" s="197"/>
      <c r="S103" s="197"/>
      <c r="T103" s="197"/>
      <c r="U103" s="197"/>
    </row>
    <row r="104" spans="1:33" s="12" customFormat="1" x14ac:dyDescent="0.25">
      <c r="A104" s="200" t="s">
        <v>1878</v>
      </c>
      <c r="B104" s="59">
        <v>59.08</v>
      </c>
      <c r="C104" s="59">
        <v>107.37</v>
      </c>
      <c r="D104" s="59">
        <v>106.63</v>
      </c>
      <c r="E104" s="59">
        <v>2.75</v>
      </c>
      <c r="F104" s="59">
        <v>0.94</v>
      </c>
      <c r="G104" s="59">
        <v>51.98</v>
      </c>
      <c r="H104" s="59">
        <v>34.54</v>
      </c>
      <c r="I104" s="59">
        <v>0.85</v>
      </c>
      <c r="J104" s="59">
        <v>0.22</v>
      </c>
      <c r="K104" s="59">
        <v>23.85</v>
      </c>
      <c r="L104" s="59">
        <v>18.62</v>
      </c>
      <c r="M104" s="59">
        <v>47</v>
      </c>
      <c r="N104" s="59">
        <v>24.3</v>
      </c>
      <c r="O104" s="59">
        <v>0</v>
      </c>
      <c r="P104" s="59">
        <v>2.59</v>
      </c>
      <c r="Q104" s="59">
        <v>41.69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3.79</v>
      </c>
      <c r="C106" s="66">
        <f>MIN(C9:C104)</f>
        <v>72.150000000000006</v>
      </c>
      <c r="D106" s="66">
        <f t="shared" ref="D106:Q106" si="0">MIN(D9:D104)</f>
        <v>49.62</v>
      </c>
      <c r="E106" s="66">
        <f t="shared" si="0"/>
        <v>1.8</v>
      </c>
      <c r="F106" s="66">
        <f t="shared" si="0"/>
        <v>0.43</v>
      </c>
      <c r="G106" s="66">
        <f t="shared" si="0"/>
        <v>27.6</v>
      </c>
      <c r="H106" s="66">
        <f t="shared" si="0"/>
        <v>11.44</v>
      </c>
      <c r="I106" s="66">
        <f t="shared" si="0"/>
        <v>0.19</v>
      </c>
      <c r="J106" s="66">
        <f t="shared" si="0"/>
        <v>0.06</v>
      </c>
      <c r="K106" s="66">
        <f t="shared" si="0"/>
        <v>0.31</v>
      </c>
      <c r="L106" s="66">
        <f t="shared" si="0"/>
        <v>18.46</v>
      </c>
      <c r="M106" s="66">
        <f t="shared" si="0"/>
        <v>17</v>
      </c>
      <c r="N106" s="66">
        <f t="shared" si="0"/>
        <v>23</v>
      </c>
      <c r="O106" s="66">
        <f t="shared" si="0"/>
        <v>0</v>
      </c>
      <c r="P106" s="66">
        <f t="shared" si="0"/>
        <v>1</v>
      </c>
      <c r="Q106" s="66">
        <f t="shared" si="0"/>
        <v>27.61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106.59</v>
      </c>
      <c r="C107" s="65">
        <f t="shared" ref="C107:Q107" si="1">MAX(C9:C104)</f>
        <v>115.53</v>
      </c>
      <c r="D107" s="65">
        <f t="shared" si="1"/>
        <v>146.47999999999999</v>
      </c>
      <c r="E107" s="65">
        <f t="shared" si="1"/>
        <v>26.63</v>
      </c>
      <c r="F107" s="65">
        <f t="shared" si="1"/>
        <v>11.32</v>
      </c>
      <c r="G107" s="65">
        <f t="shared" si="1"/>
        <v>142.55000000000001</v>
      </c>
      <c r="H107" s="65">
        <f t="shared" si="1"/>
        <v>34.54</v>
      </c>
      <c r="I107" s="65">
        <f t="shared" si="1"/>
        <v>1.62</v>
      </c>
      <c r="J107" s="65">
        <f t="shared" si="1"/>
        <v>1.42</v>
      </c>
      <c r="K107" s="65">
        <f t="shared" si="1"/>
        <v>358.76</v>
      </c>
      <c r="L107" s="65">
        <f t="shared" si="1"/>
        <v>32.549999999999997</v>
      </c>
      <c r="M107" s="65">
        <f t="shared" si="1"/>
        <v>62</v>
      </c>
      <c r="N107" s="65">
        <f t="shared" si="1"/>
        <v>423.3</v>
      </c>
      <c r="O107" s="65">
        <f t="shared" si="1"/>
        <v>0</v>
      </c>
      <c r="P107" s="65">
        <f t="shared" si="1"/>
        <v>3.6</v>
      </c>
      <c r="Q107" s="65">
        <f t="shared" si="1"/>
        <v>54.04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31.131666666666671</v>
      </c>
      <c r="C108" s="66">
        <f t="shared" ref="C108:Q108" si="2">AVERAGE(C9:C104)</f>
        <v>89.523854166666695</v>
      </c>
      <c r="D108" s="66">
        <f t="shared" si="2"/>
        <v>74.371354166666663</v>
      </c>
      <c r="E108" s="66">
        <f t="shared" si="2"/>
        <v>6.149583333333335</v>
      </c>
      <c r="F108" s="66">
        <f t="shared" si="2"/>
        <v>2.2380208333333331</v>
      </c>
      <c r="G108" s="66">
        <f t="shared" si="2"/>
        <v>70.866266666666689</v>
      </c>
      <c r="H108" s="66">
        <f t="shared" si="2"/>
        <v>24.885866666666669</v>
      </c>
      <c r="I108" s="66">
        <f t="shared" si="2"/>
        <v>0.55187500000000023</v>
      </c>
      <c r="J108" s="66">
        <f t="shared" si="2"/>
        <v>0.51208333333333356</v>
      </c>
      <c r="K108" s="66">
        <f t="shared" si="2"/>
        <v>67.93854166666668</v>
      </c>
      <c r="L108" s="66">
        <f t="shared" si="2"/>
        <v>23.975208333333331</v>
      </c>
      <c r="M108" s="66">
        <f t="shared" si="2"/>
        <v>41.09375</v>
      </c>
      <c r="N108" s="66">
        <f t="shared" si="2"/>
        <v>130.34479166666662</v>
      </c>
      <c r="O108" s="66">
        <f t="shared" si="2"/>
        <v>0</v>
      </c>
      <c r="P108" s="66">
        <f t="shared" si="2"/>
        <v>1.6842708333333338</v>
      </c>
      <c r="Q108" s="66">
        <f t="shared" si="2"/>
        <v>38.61843750000002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26.49958151274992</v>
      </c>
      <c r="C109" s="66">
        <f t="shared" ref="C109:Q109" si="3">STDEV(C9:C104)</f>
        <v>12.611461818502793</v>
      </c>
      <c r="D109" s="66">
        <f t="shared" si="3"/>
        <v>26.330418535454225</v>
      </c>
      <c r="E109" s="66">
        <f t="shared" si="3"/>
        <v>3.4527639322620671</v>
      </c>
      <c r="F109" s="66">
        <f t="shared" si="3"/>
        <v>2.7585868311192518</v>
      </c>
      <c r="G109" s="66">
        <f t="shared" si="3"/>
        <v>29.78610712674223</v>
      </c>
      <c r="H109" s="66">
        <f t="shared" si="3"/>
        <v>7.1508642632699573</v>
      </c>
      <c r="I109" s="66">
        <f t="shared" si="3"/>
        <v>0.35127830472208316</v>
      </c>
      <c r="J109" s="66">
        <f t="shared" si="3"/>
        <v>0.33367780446559847</v>
      </c>
      <c r="K109" s="66">
        <f t="shared" si="3"/>
        <v>109.32568673925067</v>
      </c>
      <c r="L109" s="66">
        <f t="shared" si="3"/>
        <v>4.763578924156354</v>
      </c>
      <c r="M109" s="66">
        <f t="shared" si="3"/>
        <v>14.874972357338313</v>
      </c>
      <c r="N109" s="66">
        <f t="shared" si="3"/>
        <v>152.57732663854969</v>
      </c>
      <c r="O109" s="66">
        <f t="shared" si="3"/>
        <v>0</v>
      </c>
      <c r="P109" s="66">
        <f t="shared" si="3"/>
        <v>0.74778936633487114</v>
      </c>
      <c r="Q109" s="66">
        <f t="shared" si="3"/>
        <v>7.2197017474662371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>COUNT(G9:G104)+6</f>
        <v>81</v>
      </c>
      <c r="H110" s="65">
        <f>COUNT(H9:H104)+6</f>
        <v>81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78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18-12-2022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1879</v>
      </c>
      <c r="B9" s="59">
        <v>57.07</v>
      </c>
      <c r="C9" s="59">
        <v>104.87</v>
      </c>
      <c r="D9" s="59">
        <v>103.64</v>
      </c>
      <c r="E9" s="59">
        <v>4.71</v>
      </c>
      <c r="F9" s="59">
        <v>1.21</v>
      </c>
      <c r="G9" s="59">
        <v>41.5</v>
      </c>
      <c r="H9" s="59">
        <v>33.049999999999997</v>
      </c>
      <c r="I9" s="59">
        <v>0.8</v>
      </c>
      <c r="J9" s="59">
        <v>0.16</v>
      </c>
      <c r="K9" s="59">
        <v>15.37</v>
      </c>
      <c r="L9" s="59">
        <v>18.22</v>
      </c>
      <c r="M9" s="59">
        <v>49</v>
      </c>
      <c r="N9" s="59">
        <v>24.3</v>
      </c>
      <c r="O9" s="59">
        <v>0</v>
      </c>
      <c r="P9" s="59">
        <v>2.5299999999999998</v>
      </c>
      <c r="Q9" s="59">
        <v>41.22</v>
      </c>
      <c r="R9" s="197"/>
      <c r="S9" s="197"/>
      <c r="T9" s="197"/>
      <c r="U9" s="197"/>
    </row>
    <row r="10" spans="1:21" s="12" customFormat="1" x14ac:dyDescent="0.25">
      <c r="A10" s="200" t="s">
        <v>1880</v>
      </c>
      <c r="B10" s="59">
        <v>54.77</v>
      </c>
      <c r="C10" s="59">
        <v>101.33</v>
      </c>
      <c r="D10" s="59">
        <v>99.84</v>
      </c>
      <c r="E10" s="59">
        <v>5.18</v>
      </c>
      <c r="F10" s="59">
        <v>1.39</v>
      </c>
      <c r="G10" s="210" t="s">
        <v>43</v>
      </c>
      <c r="H10" s="59">
        <v>30.48</v>
      </c>
      <c r="I10" s="59">
        <v>0.76</v>
      </c>
      <c r="J10" s="59">
        <v>0.25</v>
      </c>
      <c r="K10" s="59">
        <v>55.41</v>
      </c>
      <c r="L10" s="59">
        <v>18.53</v>
      </c>
      <c r="M10" s="59">
        <v>44</v>
      </c>
      <c r="N10" s="59">
        <v>23.5</v>
      </c>
      <c r="O10" s="59">
        <v>0</v>
      </c>
      <c r="P10" s="59">
        <v>2.4500000000000002</v>
      </c>
      <c r="Q10" s="59">
        <v>41.19</v>
      </c>
      <c r="R10" s="197"/>
      <c r="S10" s="197"/>
      <c r="T10" s="197"/>
      <c r="U10" s="197"/>
    </row>
    <row r="11" spans="1:21" s="12" customFormat="1" x14ac:dyDescent="0.25">
      <c r="A11" s="200" t="s">
        <v>1881</v>
      </c>
      <c r="B11" s="59">
        <v>51.4</v>
      </c>
      <c r="C11" s="59">
        <v>99.25</v>
      </c>
      <c r="D11" s="59">
        <v>95.99</v>
      </c>
      <c r="E11" s="59">
        <v>5.17</v>
      </c>
      <c r="F11" s="59">
        <v>0.94</v>
      </c>
      <c r="G11" s="210" t="s">
        <v>43</v>
      </c>
      <c r="H11" s="59">
        <v>30.48</v>
      </c>
      <c r="I11" s="59">
        <v>0.75</v>
      </c>
      <c r="J11" s="59">
        <v>0.31</v>
      </c>
      <c r="K11" s="59">
        <v>6.6</v>
      </c>
      <c r="L11" s="59">
        <v>18.32</v>
      </c>
      <c r="M11" s="59">
        <v>47</v>
      </c>
      <c r="N11" s="59">
        <v>23.9</v>
      </c>
      <c r="O11" s="59">
        <v>0</v>
      </c>
      <c r="P11" s="59">
        <v>2.36</v>
      </c>
      <c r="Q11" s="59">
        <v>41.4</v>
      </c>
      <c r="R11" s="197"/>
      <c r="S11" s="197"/>
      <c r="T11" s="197"/>
      <c r="U11" s="197"/>
    </row>
    <row r="12" spans="1:21" s="12" customFormat="1" x14ac:dyDescent="0.25">
      <c r="A12" s="200" t="s">
        <v>1882</v>
      </c>
      <c r="B12" s="59">
        <v>49.09</v>
      </c>
      <c r="C12" s="59">
        <v>96.98</v>
      </c>
      <c r="D12" s="59">
        <v>92.89</v>
      </c>
      <c r="E12" s="59">
        <v>5.08</v>
      </c>
      <c r="F12" s="59">
        <v>0.83</v>
      </c>
      <c r="G12" s="210" t="s">
        <v>43</v>
      </c>
      <c r="H12" s="59">
        <v>30.48</v>
      </c>
      <c r="I12" s="59">
        <v>0.74</v>
      </c>
      <c r="J12" s="59">
        <v>0.23</v>
      </c>
      <c r="K12" s="59">
        <v>359.58</v>
      </c>
      <c r="L12" s="59">
        <v>18.149999999999999</v>
      </c>
      <c r="M12" s="59">
        <v>47</v>
      </c>
      <c r="N12" s="59">
        <v>23.8</v>
      </c>
      <c r="O12" s="59">
        <v>0</v>
      </c>
      <c r="P12" s="59">
        <v>2.27</v>
      </c>
      <c r="Q12" s="59">
        <v>41.68</v>
      </c>
      <c r="R12" s="197"/>
      <c r="S12" s="197"/>
      <c r="T12" s="197"/>
      <c r="U12" s="197"/>
    </row>
    <row r="13" spans="1:21" s="12" customFormat="1" x14ac:dyDescent="0.25">
      <c r="A13" s="200" t="s">
        <v>1883</v>
      </c>
      <c r="B13" s="59">
        <v>46.03</v>
      </c>
      <c r="C13" s="59">
        <v>93.72</v>
      </c>
      <c r="D13" s="59">
        <v>88.64</v>
      </c>
      <c r="E13" s="59">
        <v>5.24</v>
      </c>
      <c r="F13" s="59">
        <v>0.84</v>
      </c>
      <c r="G13" s="210" t="s">
        <v>43</v>
      </c>
      <c r="H13" s="59">
        <v>29.14</v>
      </c>
      <c r="I13" s="59">
        <v>0.73</v>
      </c>
      <c r="J13" s="59">
        <v>0.25</v>
      </c>
      <c r="K13" s="59">
        <v>20.260000000000002</v>
      </c>
      <c r="L13" s="59">
        <v>18.12</v>
      </c>
      <c r="M13" s="59">
        <v>47</v>
      </c>
      <c r="N13" s="59">
        <v>23.8</v>
      </c>
      <c r="O13" s="59">
        <v>0</v>
      </c>
      <c r="P13" s="59">
        <v>2.13</v>
      </c>
      <c r="Q13" s="59">
        <v>41.96</v>
      </c>
      <c r="R13" s="197"/>
      <c r="S13" s="197"/>
      <c r="T13" s="197"/>
      <c r="U13" s="197"/>
    </row>
    <row r="14" spans="1:21" s="12" customFormat="1" x14ac:dyDescent="0.25">
      <c r="A14" s="200" t="s">
        <v>1884</v>
      </c>
      <c r="B14" s="59">
        <v>42.96</v>
      </c>
      <c r="C14" s="59">
        <v>91.15</v>
      </c>
      <c r="D14" s="59">
        <v>84.76</v>
      </c>
      <c r="E14" s="59">
        <v>5.18</v>
      </c>
      <c r="F14" s="59">
        <v>0.71</v>
      </c>
      <c r="G14" s="210" t="s">
        <v>43</v>
      </c>
      <c r="H14" s="59">
        <v>26.7</v>
      </c>
      <c r="I14" s="59">
        <v>0.71</v>
      </c>
      <c r="J14" s="59">
        <v>0.21</v>
      </c>
      <c r="K14" s="59">
        <v>30.88</v>
      </c>
      <c r="L14" s="59">
        <v>18.03</v>
      </c>
      <c r="M14" s="59">
        <v>47</v>
      </c>
      <c r="N14" s="59">
        <v>23.8</v>
      </c>
      <c r="O14" s="59">
        <v>0</v>
      </c>
      <c r="P14" s="59">
        <v>2.09</v>
      </c>
      <c r="Q14" s="59">
        <v>41.96</v>
      </c>
      <c r="R14" s="197"/>
      <c r="S14" s="197"/>
      <c r="T14" s="197"/>
      <c r="U14" s="197"/>
    </row>
    <row r="15" spans="1:21" s="12" customFormat="1" x14ac:dyDescent="0.25">
      <c r="A15" s="200" t="s">
        <v>1885</v>
      </c>
      <c r="B15" s="59">
        <v>39.729999999999997</v>
      </c>
      <c r="C15" s="59">
        <v>88.81</v>
      </c>
      <c r="D15" s="59">
        <v>80.87</v>
      </c>
      <c r="E15" s="59">
        <v>5.05</v>
      </c>
      <c r="F15" s="59">
        <v>0.74</v>
      </c>
      <c r="G15" s="210" t="s">
        <v>43</v>
      </c>
      <c r="H15" s="59">
        <v>26.7</v>
      </c>
      <c r="I15" s="59">
        <v>0.69</v>
      </c>
      <c r="J15" s="59">
        <v>0.32</v>
      </c>
      <c r="K15" s="59">
        <v>39.1</v>
      </c>
      <c r="L15" s="59">
        <v>18.04</v>
      </c>
      <c r="M15" s="59">
        <v>47</v>
      </c>
      <c r="N15" s="59">
        <v>23.5</v>
      </c>
      <c r="O15" s="59">
        <v>0</v>
      </c>
      <c r="P15" s="59">
        <v>2</v>
      </c>
      <c r="Q15" s="59">
        <v>41.77</v>
      </c>
      <c r="R15" s="197"/>
      <c r="S15" s="197"/>
      <c r="T15" s="197"/>
      <c r="U15" s="197"/>
    </row>
    <row r="16" spans="1:21" s="12" customFormat="1" x14ac:dyDescent="0.25">
      <c r="A16" s="200" t="s">
        <v>1886</v>
      </c>
      <c r="B16" s="59">
        <v>36.619999999999997</v>
      </c>
      <c r="C16" s="59">
        <v>86.71</v>
      </c>
      <c r="D16" s="59">
        <v>77.22</v>
      </c>
      <c r="E16" s="59">
        <v>4.75</v>
      </c>
      <c r="F16" s="59">
        <v>0.72</v>
      </c>
      <c r="G16" s="210" t="s">
        <v>43</v>
      </c>
      <c r="H16" s="59">
        <v>26.7</v>
      </c>
      <c r="I16" s="59">
        <v>0.67</v>
      </c>
      <c r="J16" s="59">
        <v>0.38</v>
      </c>
      <c r="K16" s="59">
        <v>11.11</v>
      </c>
      <c r="L16" s="59">
        <v>17.96</v>
      </c>
      <c r="M16" s="59">
        <v>48</v>
      </c>
      <c r="N16" s="59">
        <v>23.8</v>
      </c>
      <c r="O16" s="59">
        <v>0</v>
      </c>
      <c r="P16" s="59">
        <v>1.9</v>
      </c>
      <c r="Q16" s="59">
        <v>41.89</v>
      </c>
      <c r="R16" s="197"/>
      <c r="S16" s="197"/>
      <c r="T16" s="197"/>
      <c r="U16" s="197"/>
    </row>
    <row r="17" spans="1:21" s="12" customFormat="1" x14ac:dyDescent="0.25">
      <c r="A17" s="200" t="s">
        <v>1887</v>
      </c>
      <c r="B17" s="59">
        <v>32.82</v>
      </c>
      <c r="C17" s="59">
        <v>84.31</v>
      </c>
      <c r="D17" s="59">
        <v>72.84</v>
      </c>
      <c r="E17" s="59">
        <v>4.6399999999999997</v>
      </c>
      <c r="F17" s="59">
        <v>0.59</v>
      </c>
      <c r="G17" s="210" t="s">
        <v>43</v>
      </c>
      <c r="H17" s="59">
        <v>26.25</v>
      </c>
      <c r="I17" s="59">
        <v>0.65</v>
      </c>
      <c r="J17" s="59">
        <v>0.32</v>
      </c>
      <c r="K17" s="59">
        <v>39.549999999999997</v>
      </c>
      <c r="L17" s="59">
        <v>17.62</v>
      </c>
      <c r="M17" s="59">
        <v>49</v>
      </c>
      <c r="N17" s="59">
        <v>24</v>
      </c>
      <c r="O17" s="59">
        <v>0</v>
      </c>
      <c r="P17" s="59">
        <v>1.8</v>
      </c>
      <c r="Q17" s="59">
        <v>41.09</v>
      </c>
      <c r="R17" s="197"/>
      <c r="S17" s="197"/>
      <c r="T17" s="197"/>
      <c r="U17" s="197"/>
    </row>
    <row r="18" spans="1:21" s="12" customFormat="1" x14ac:dyDescent="0.25">
      <c r="A18" s="200" t="s">
        <v>1888</v>
      </c>
      <c r="B18" s="59">
        <v>29.42</v>
      </c>
      <c r="C18" s="59">
        <v>81.97</v>
      </c>
      <c r="D18" s="59">
        <v>68.83</v>
      </c>
      <c r="E18" s="59">
        <v>4.9400000000000004</v>
      </c>
      <c r="F18" s="59">
        <v>0.7</v>
      </c>
      <c r="G18" s="59">
        <v>29.92</v>
      </c>
      <c r="H18" s="59">
        <v>25.48</v>
      </c>
      <c r="I18" s="59">
        <v>0.61</v>
      </c>
      <c r="J18" s="59">
        <v>0.34</v>
      </c>
      <c r="K18" s="59">
        <v>56.05</v>
      </c>
      <c r="L18" s="59">
        <v>17.57</v>
      </c>
      <c r="M18" s="59">
        <v>49</v>
      </c>
      <c r="N18" s="59">
        <v>23.5</v>
      </c>
      <c r="O18" s="59">
        <v>0</v>
      </c>
      <c r="P18" s="59">
        <v>1.7</v>
      </c>
      <c r="Q18" s="59">
        <v>40.01</v>
      </c>
      <c r="R18" s="197"/>
      <c r="S18" s="197"/>
      <c r="T18" s="197"/>
      <c r="U18" s="197"/>
    </row>
    <row r="19" spans="1:21" s="12" customFormat="1" x14ac:dyDescent="0.25">
      <c r="A19" s="200" t="s">
        <v>1889</v>
      </c>
      <c r="B19" s="59">
        <v>26.35</v>
      </c>
      <c r="C19" s="59">
        <v>79.83</v>
      </c>
      <c r="D19" s="59">
        <v>65.180000000000007</v>
      </c>
      <c r="E19" s="59">
        <v>4.8</v>
      </c>
      <c r="F19" s="59">
        <v>0.68</v>
      </c>
      <c r="G19" s="59">
        <v>29.92</v>
      </c>
      <c r="H19" s="59">
        <v>25.48</v>
      </c>
      <c r="I19" s="59">
        <v>0.56999999999999995</v>
      </c>
      <c r="J19" s="59">
        <v>0.48</v>
      </c>
      <c r="K19" s="59">
        <v>9.86</v>
      </c>
      <c r="L19" s="59">
        <v>17.77</v>
      </c>
      <c r="M19" s="59">
        <v>48</v>
      </c>
      <c r="N19" s="59">
        <v>23.3</v>
      </c>
      <c r="O19" s="59">
        <v>0</v>
      </c>
      <c r="P19" s="59">
        <v>1.6</v>
      </c>
      <c r="Q19" s="59">
        <v>39.46</v>
      </c>
      <c r="R19" s="197"/>
      <c r="S19" s="197"/>
      <c r="T19" s="197"/>
      <c r="U19" s="197"/>
    </row>
    <row r="20" spans="1:21" s="12" customFormat="1" x14ac:dyDescent="0.25">
      <c r="A20" s="200" t="s">
        <v>1890</v>
      </c>
      <c r="B20" s="59">
        <v>23.09</v>
      </c>
      <c r="C20" s="59">
        <v>77.760000000000005</v>
      </c>
      <c r="D20" s="59">
        <v>61.43</v>
      </c>
      <c r="E20" s="59">
        <v>4.59</v>
      </c>
      <c r="F20" s="59">
        <v>0.99</v>
      </c>
      <c r="G20" s="59">
        <v>29.92</v>
      </c>
      <c r="H20" s="59">
        <v>25.48</v>
      </c>
      <c r="I20" s="59">
        <v>0.55000000000000004</v>
      </c>
      <c r="J20" s="59">
        <v>0.47</v>
      </c>
      <c r="K20" s="59">
        <v>10.48</v>
      </c>
      <c r="L20" s="59">
        <v>17.82</v>
      </c>
      <c r="M20" s="59">
        <v>47</v>
      </c>
      <c r="N20" s="59">
        <v>23.7</v>
      </c>
      <c r="O20" s="59">
        <v>0</v>
      </c>
      <c r="P20" s="59">
        <v>1.5</v>
      </c>
      <c r="Q20" s="59">
        <v>38.79</v>
      </c>
      <c r="R20" s="197"/>
      <c r="S20" s="197"/>
      <c r="T20" s="197"/>
      <c r="U20" s="197"/>
    </row>
    <row r="21" spans="1:21" s="12" customFormat="1" x14ac:dyDescent="0.25">
      <c r="A21" s="200" t="s">
        <v>1891</v>
      </c>
      <c r="B21" s="59">
        <v>20.25</v>
      </c>
      <c r="C21" s="59">
        <v>76.17</v>
      </c>
      <c r="D21" s="59">
        <v>58.27</v>
      </c>
      <c r="E21" s="59">
        <v>4.99</v>
      </c>
      <c r="F21" s="59">
        <v>0.87</v>
      </c>
      <c r="G21" s="59">
        <v>29.92</v>
      </c>
      <c r="H21" s="59">
        <v>24.68</v>
      </c>
      <c r="I21" s="59">
        <v>0.52</v>
      </c>
      <c r="J21" s="59">
        <v>0.5</v>
      </c>
      <c r="K21" s="59">
        <v>16.46</v>
      </c>
      <c r="L21" s="59">
        <v>17.57</v>
      </c>
      <c r="M21" s="59">
        <v>48</v>
      </c>
      <c r="N21" s="59">
        <v>23.8</v>
      </c>
      <c r="O21" s="59">
        <v>0</v>
      </c>
      <c r="P21" s="59">
        <v>1.41</v>
      </c>
      <c r="Q21" s="59">
        <v>38.1</v>
      </c>
      <c r="R21" s="197"/>
      <c r="S21" s="197"/>
      <c r="T21" s="197"/>
      <c r="U21" s="197"/>
    </row>
    <row r="22" spans="1:21" s="12" customFormat="1" x14ac:dyDescent="0.25">
      <c r="A22" s="200" t="s">
        <v>1892</v>
      </c>
      <c r="B22" s="59">
        <v>17.63</v>
      </c>
      <c r="C22" s="59">
        <v>74.19</v>
      </c>
      <c r="D22" s="59">
        <v>55.08</v>
      </c>
      <c r="E22" s="59">
        <v>5.26</v>
      </c>
      <c r="F22" s="59">
        <v>0.93</v>
      </c>
      <c r="G22" s="210" t="s">
        <v>43</v>
      </c>
      <c r="H22" s="59">
        <v>23.29</v>
      </c>
      <c r="I22" s="59">
        <v>0.48</v>
      </c>
      <c r="J22" s="59">
        <v>0.97</v>
      </c>
      <c r="K22" s="59">
        <v>8.66</v>
      </c>
      <c r="L22" s="59">
        <v>17.600000000000001</v>
      </c>
      <c r="M22" s="59">
        <v>48</v>
      </c>
      <c r="N22" s="59">
        <v>23.5</v>
      </c>
      <c r="O22" s="59">
        <v>0</v>
      </c>
      <c r="P22" s="59">
        <v>1.33</v>
      </c>
      <c r="Q22" s="59">
        <v>37.32</v>
      </c>
      <c r="R22" s="197"/>
      <c r="S22" s="197"/>
      <c r="T22" s="197"/>
      <c r="U22" s="197"/>
    </row>
    <row r="23" spans="1:21" s="12" customFormat="1" x14ac:dyDescent="0.25">
      <c r="A23" s="200" t="s">
        <v>1893</v>
      </c>
      <c r="B23" s="59">
        <v>15.15</v>
      </c>
      <c r="C23" s="59">
        <v>73</v>
      </c>
      <c r="D23" s="59">
        <v>52.44</v>
      </c>
      <c r="E23" s="59">
        <v>5.67</v>
      </c>
      <c r="F23" s="59">
        <v>0.97</v>
      </c>
      <c r="G23" s="210" t="s">
        <v>43</v>
      </c>
      <c r="H23" s="59">
        <v>23.29</v>
      </c>
      <c r="I23" s="59">
        <v>0.46</v>
      </c>
      <c r="J23" s="59">
        <v>0.78</v>
      </c>
      <c r="K23" s="59">
        <v>9.6</v>
      </c>
      <c r="L23" s="59">
        <v>17.41</v>
      </c>
      <c r="M23" s="59">
        <v>50</v>
      </c>
      <c r="N23" s="59">
        <v>24</v>
      </c>
      <c r="O23" s="59">
        <v>0</v>
      </c>
      <c r="P23" s="59">
        <v>1.24</v>
      </c>
      <c r="Q23" s="59">
        <v>36.700000000000003</v>
      </c>
      <c r="R23" s="197"/>
      <c r="S23" s="197"/>
      <c r="T23" s="197"/>
      <c r="U23" s="197"/>
    </row>
    <row r="24" spans="1:21" s="12" customFormat="1" x14ac:dyDescent="0.25">
      <c r="A24" s="200" t="s">
        <v>1894</v>
      </c>
      <c r="B24" s="59">
        <v>13.73</v>
      </c>
      <c r="C24" s="59">
        <v>72.5</v>
      </c>
      <c r="D24" s="59">
        <v>51.03</v>
      </c>
      <c r="E24" s="59">
        <v>2.97</v>
      </c>
      <c r="F24" s="59">
        <v>1.04</v>
      </c>
      <c r="G24" s="210" t="s">
        <v>43</v>
      </c>
      <c r="H24" s="59">
        <v>23.29</v>
      </c>
      <c r="I24" s="59">
        <v>0.43</v>
      </c>
      <c r="J24" s="59">
        <v>0.88</v>
      </c>
      <c r="K24" s="59">
        <v>9.8699999999999992</v>
      </c>
      <c r="L24" s="59">
        <v>17.16</v>
      </c>
      <c r="M24" s="59">
        <v>50</v>
      </c>
      <c r="N24" s="59">
        <v>23.9</v>
      </c>
      <c r="O24" s="59">
        <v>0</v>
      </c>
      <c r="P24" s="59">
        <v>1.19</v>
      </c>
      <c r="Q24" s="59">
        <v>36.54</v>
      </c>
      <c r="R24" s="197"/>
      <c r="S24" s="197"/>
      <c r="T24" s="197"/>
      <c r="U24" s="197"/>
    </row>
    <row r="25" spans="1:21" s="12" customFormat="1" x14ac:dyDescent="0.25">
      <c r="A25" s="200" t="s">
        <v>1895</v>
      </c>
      <c r="B25" s="59">
        <v>12.61</v>
      </c>
      <c r="C25" s="59">
        <v>71.92</v>
      </c>
      <c r="D25" s="59">
        <v>49.8</v>
      </c>
      <c r="E25" s="59">
        <v>5.1100000000000003</v>
      </c>
      <c r="F25" s="59">
        <v>0.92</v>
      </c>
      <c r="G25" s="210" t="s">
        <v>43</v>
      </c>
      <c r="H25" s="59">
        <v>22.23</v>
      </c>
      <c r="I25" s="59">
        <v>0.41</v>
      </c>
      <c r="J25" s="59">
        <v>0.76</v>
      </c>
      <c r="K25" s="59">
        <v>10.47</v>
      </c>
      <c r="L25" s="59">
        <v>17.010000000000002</v>
      </c>
      <c r="M25" s="59">
        <v>51</v>
      </c>
      <c r="N25" s="59">
        <v>24.1</v>
      </c>
      <c r="O25" s="59">
        <v>0</v>
      </c>
      <c r="P25" s="59">
        <v>1.1200000000000001</v>
      </c>
      <c r="Q25" s="59">
        <v>36.1</v>
      </c>
      <c r="R25" s="197"/>
      <c r="S25" s="197"/>
      <c r="T25" s="197"/>
      <c r="U25" s="197"/>
    </row>
    <row r="26" spans="1:21" s="12" customFormat="1" x14ac:dyDescent="0.25">
      <c r="A26" s="200" t="s">
        <v>1896</v>
      </c>
      <c r="B26" s="59">
        <v>11.83</v>
      </c>
      <c r="C26" s="59">
        <v>71.03</v>
      </c>
      <c r="D26" s="59">
        <v>48.69</v>
      </c>
      <c r="E26" s="59">
        <v>5.15</v>
      </c>
      <c r="F26" s="59">
        <v>0.87</v>
      </c>
      <c r="G26" s="210" t="s">
        <v>43</v>
      </c>
      <c r="H26" s="59">
        <v>20.38</v>
      </c>
      <c r="I26" s="59">
        <v>0.41</v>
      </c>
      <c r="J26" s="59">
        <v>0.84</v>
      </c>
      <c r="K26" s="59">
        <v>8.81</v>
      </c>
      <c r="L26" s="59">
        <v>16.87</v>
      </c>
      <c r="M26" s="59">
        <v>52</v>
      </c>
      <c r="N26" s="59">
        <v>23.8</v>
      </c>
      <c r="O26" s="59">
        <v>0</v>
      </c>
      <c r="P26" s="59">
        <v>1.07</v>
      </c>
      <c r="Q26" s="59">
        <v>35.520000000000003</v>
      </c>
      <c r="R26" s="197"/>
      <c r="S26" s="197"/>
      <c r="T26" s="197"/>
      <c r="U26" s="197"/>
    </row>
    <row r="27" spans="1:21" s="12" customFormat="1" x14ac:dyDescent="0.25">
      <c r="A27" s="200" t="s">
        <v>1897</v>
      </c>
      <c r="B27" s="59">
        <v>10.86</v>
      </c>
      <c r="C27" s="59">
        <v>69.95</v>
      </c>
      <c r="D27" s="59">
        <v>47.31</v>
      </c>
      <c r="E27" s="59">
        <v>4.9400000000000004</v>
      </c>
      <c r="F27" s="59">
        <v>0.81</v>
      </c>
      <c r="G27" s="210" t="s">
        <v>43</v>
      </c>
      <c r="H27" s="59">
        <v>20.38</v>
      </c>
      <c r="I27" s="59">
        <v>0.4</v>
      </c>
      <c r="J27" s="59">
        <v>0.82</v>
      </c>
      <c r="K27" s="59">
        <v>9.15</v>
      </c>
      <c r="L27" s="59">
        <v>16.68</v>
      </c>
      <c r="M27" s="59">
        <v>52</v>
      </c>
      <c r="N27" s="59">
        <v>24</v>
      </c>
      <c r="O27" s="59">
        <v>0</v>
      </c>
      <c r="P27" s="59">
        <v>1.02</v>
      </c>
      <c r="Q27" s="59">
        <v>35.57</v>
      </c>
      <c r="R27" s="197"/>
      <c r="S27" s="197"/>
      <c r="T27" s="197"/>
      <c r="U27" s="197"/>
    </row>
    <row r="28" spans="1:21" s="12" customFormat="1" x14ac:dyDescent="0.25">
      <c r="A28" s="200" t="s">
        <v>1898</v>
      </c>
      <c r="B28" s="59">
        <v>10.24</v>
      </c>
      <c r="C28" s="59">
        <v>69.010000000000005</v>
      </c>
      <c r="D28" s="59">
        <v>46.3</v>
      </c>
      <c r="E28" s="59">
        <v>4.46</v>
      </c>
      <c r="F28" s="59">
        <v>0.81</v>
      </c>
      <c r="G28" s="210" t="s">
        <v>43</v>
      </c>
      <c r="H28" s="59">
        <v>20.38</v>
      </c>
      <c r="I28" s="59">
        <v>0.39</v>
      </c>
      <c r="J28" s="59">
        <v>1</v>
      </c>
      <c r="K28" s="59">
        <v>9.4700000000000006</v>
      </c>
      <c r="L28" s="59">
        <v>16.57</v>
      </c>
      <c r="M28" s="59">
        <v>53</v>
      </c>
      <c r="N28" s="59">
        <v>23.7</v>
      </c>
      <c r="O28" s="59">
        <v>0</v>
      </c>
      <c r="P28" s="59">
        <v>0.98</v>
      </c>
      <c r="Q28" s="59">
        <v>35.47</v>
      </c>
      <c r="R28" s="197"/>
      <c r="S28" s="197"/>
      <c r="T28" s="197"/>
      <c r="U28" s="197"/>
    </row>
    <row r="29" spans="1:21" s="12" customFormat="1" x14ac:dyDescent="0.25">
      <c r="A29" s="200" t="s">
        <v>1899</v>
      </c>
      <c r="B29" s="59">
        <v>9.92</v>
      </c>
      <c r="C29" s="59">
        <v>68.680000000000007</v>
      </c>
      <c r="D29" s="59">
        <v>45.86</v>
      </c>
      <c r="E29" s="59">
        <v>4.63</v>
      </c>
      <c r="F29" s="59">
        <v>0.84</v>
      </c>
      <c r="G29" s="210" t="s">
        <v>43</v>
      </c>
      <c r="H29" s="59">
        <v>18.82</v>
      </c>
      <c r="I29" s="59">
        <v>0.38</v>
      </c>
      <c r="J29" s="59">
        <v>0.68</v>
      </c>
      <c r="K29" s="59">
        <v>7.94</v>
      </c>
      <c r="L29" s="59">
        <v>16.47</v>
      </c>
      <c r="M29" s="59">
        <v>53</v>
      </c>
      <c r="N29" s="59">
        <v>24</v>
      </c>
      <c r="O29" s="59">
        <v>0</v>
      </c>
      <c r="P29" s="59">
        <v>0.94</v>
      </c>
      <c r="Q29" s="59">
        <v>35.35</v>
      </c>
      <c r="R29" s="197"/>
      <c r="S29" s="197"/>
      <c r="T29" s="197"/>
      <c r="U29" s="197"/>
    </row>
    <row r="30" spans="1:21" s="12" customFormat="1" x14ac:dyDescent="0.25">
      <c r="A30" s="200" t="s">
        <v>1900</v>
      </c>
      <c r="B30" s="59">
        <v>10.19</v>
      </c>
      <c r="C30" s="59">
        <v>68.63</v>
      </c>
      <c r="D30" s="59">
        <v>46.04</v>
      </c>
      <c r="E30" s="59">
        <v>4.26</v>
      </c>
      <c r="F30" s="59">
        <v>0.89</v>
      </c>
      <c r="G30" s="210" t="s">
        <v>43</v>
      </c>
      <c r="H30" s="59">
        <v>16.12</v>
      </c>
      <c r="I30" s="59">
        <v>0.37</v>
      </c>
      <c r="J30" s="59">
        <v>0.57999999999999996</v>
      </c>
      <c r="K30" s="59">
        <v>16.18</v>
      </c>
      <c r="L30" s="59">
        <v>16.23</v>
      </c>
      <c r="M30" s="59">
        <v>54</v>
      </c>
      <c r="N30" s="59">
        <v>24.1</v>
      </c>
      <c r="O30" s="59">
        <v>0</v>
      </c>
      <c r="P30" s="59">
        <v>0.9</v>
      </c>
      <c r="Q30" s="59">
        <v>35.49</v>
      </c>
      <c r="R30" s="197"/>
      <c r="S30" s="197"/>
      <c r="T30" s="197"/>
      <c r="U30" s="197"/>
    </row>
    <row r="31" spans="1:21" s="12" customFormat="1" x14ac:dyDescent="0.25">
      <c r="A31" s="200" t="s">
        <v>1901</v>
      </c>
      <c r="B31" s="59">
        <v>9.9499999999999993</v>
      </c>
      <c r="C31" s="59">
        <v>68.13</v>
      </c>
      <c r="D31" s="59">
        <v>45.58</v>
      </c>
      <c r="E31" s="59">
        <v>4.13</v>
      </c>
      <c r="F31" s="59">
        <v>0.78</v>
      </c>
      <c r="G31" s="210" t="s">
        <v>43</v>
      </c>
      <c r="H31" s="59">
        <v>16.12</v>
      </c>
      <c r="I31" s="59">
        <v>0.36</v>
      </c>
      <c r="J31" s="59">
        <v>0.28999999999999998</v>
      </c>
      <c r="K31" s="59">
        <v>58.17</v>
      </c>
      <c r="L31" s="59">
        <v>15.97</v>
      </c>
      <c r="M31" s="59">
        <v>55</v>
      </c>
      <c r="N31" s="59">
        <v>24</v>
      </c>
      <c r="O31" s="59">
        <v>0</v>
      </c>
      <c r="P31" s="59">
        <v>0.87</v>
      </c>
      <c r="Q31" s="59">
        <v>35.630000000000003</v>
      </c>
      <c r="R31" s="197"/>
      <c r="S31" s="197"/>
      <c r="T31" s="197"/>
      <c r="U31" s="197"/>
    </row>
    <row r="32" spans="1:21" s="12" customFormat="1" x14ac:dyDescent="0.25">
      <c r="A32" s="200" t="s">
        <v>1902</v>
      </c>
      <c r="B32" s="59">
        <v>9.7899999999999991</v>
      </c>
      <c r="C32" s="59">
        <v>67.540000000000006</v>
      </c>
      <c r="D32" s="59">
        <v>45.12</v>
      </c>
      <c r="E32" s="59">
        <v>4.55</v>
      </c>
      <c r="F32" s="59">
        <v>0.86</v>
      </c>
      <c r="G32" s="210" t="s">
        <v>43</v>
      </c>
      <c r="H32" s="59">
        <v>16.12</v>
      </c>
      <c r="I32" s="59">
        <v>0.35</v>
      </c>
      <c r="J32" s="59">
        <v>0.3</v>
      </c>
      <c r="K32" s="59">
        <v>55.46</v>
      </c>
      <c r="L32" s="59">
        <v>15.79</v>
      </c>
      <c r="M32" s="59">
        <v>56</v>
      </c>
      <c r="N32" s="59">
        <v>24.1</v>
      </c>
      <c r="O32" s="59">
        <v>0</v>
      </c>
      <c r="P32" s="59">
        <v>0.84</v>
      </c>
      <c r="Q32" s="59">
        <v>35.270000000000003</v>
      </c>
      <c r="R32" s="197"/>
      <c r="S32" s="197"/>
      <c r="T32" s="197"/>
      <c r="U32" s="197"/>
    </row>
    <row r="33" spans="1:21" s="12" customFormat="1" x14ac:dyDescent="0.25">
      <c r="A33" s="200" t="s">
        <v>1903</v>
      </c>
      <c r="B33" s="59">
        <v>9.76</v>
      </c>
      <c r="C33" s="59">
        <v>67.25</v>
      </c>
      <c r="D33" s="59">
        <v>44.94</v>
      </c>
      <c r="E33" s="59">
        <v>4.21</v>
      </c>
      <c r="F33" s="59">
        <v>0.7</v>
      </c>
      <c r="G33" s="210" t="s">
        <v>43</v>
      </c>
      <c r="H33" s="59">
        <v>16.73</v>
      </c>
      <c r="I33" s="59">
        <v>0.34</v>
      </c>
      <c r="J33" s="59">
        <v>0.28999999999999998</v>
      </c>
      <c r="K33" s="59">
        <v>36.409999999999997</v>
      </c>
      <c r="L33" s="59">
        <v>15.46</v>
      </c>
      <c r="M33" s="59">
        <v>57</v>
      </c>
      <c r="N33" s="59">
        <v>24.2</v>
      </c>
      <c r="O33" s="59">
        <v>0</v>
      </c>
      <c r="P33" s="59">
        <v>0.81</v>
      </c>
      <c r="Q33" s="59">
        <v>34.86</v>
      </c>
      <c r="R33" s="197"/>
      <c r="S33" s="197"/>
      <c r="T33" s="197"/>
      <c r="U33" s="197"/>
    </row>
    <row r="34" spans="1:21" s="12" customFormat="1" x14ac:dyDescent="0.25">
      <c r="A34" s="200" t="s">
        <v>1904</v>
      </c>
      <c r="B34" s="59">
        <v>9.68</v>
      </c>
      <c r="C34" s="59">
        <v>67.180000000000007</v>
      </c>
      <c r="D34" s="59">
        <v>44.84</v>
      </c>
      <c r="E34" s="59">
        <v>4.16</v>
      </c>
      <c r="F34" s="59">
        <v>0.79</v>
      </c>
      <c r="G34" s="210" t="s">
        <v>43</v>
      </c>
      <c r="H34" s="59">
        <v>17.79</v>
      </c>
      <c r="I34" s="59">
        <v>0.33</v>
      </c>
      <c r="J34" s="59">
        <v>0.25</v>
      </c>
      <c r="K34" s="59">
        <v>70.56</v>
      </c>
      <c r="L34" s="59">
        <v>15.3</v>
      </c>
      <c r="M34" s="59">
        <v>58</v>
      </c>
      <c r="N34" s="59">
        <v>25.7</v>
      </c>
      <c r="O34" s="59">
        <v>0</v>
      </c>
      <c r="P34" s="59">
        <v>0.8</v>
      </c>
      <c r="Q34" s="59">
        <v>34.56</v>
      </c>
      <c r="R34" s="197"/>
      <c r="S34" s="197"/>
      <c r="T34" s="197"/>
      <c r="U34" s="197"/>
    </row>
    <row r="35" spans="1:21" s="12" customFormat="1" x14ac:dyDescent="0.25">
      <c r="A35" s="200" t="s">
        <v>1905</v>
      </c>
      <c r="B35" s="59">
        <v>9.99</v>
      </c>
      <c r="C35" s="59">
        <v>67.349999999999994</v>
      </c>
      <c r="D35" s="59">
        <v>45.18</v>
      </c>
      <c r="E35" s="59">
        <v>4.13</v>
      </c>
      <c r="F35" s="59">
        <v>0.8</v>
      </c>
      <c r="G35" s="210" t="s">
        <v>43</v>
      </c>
      <c r="H35" s="59">
        <v>17.79</v>
      </c>
      <c r="I35" s="59">
        <v>0.32</v>
      </c>
      <c r="J35" s="59">
        <v>0.4</v>
      </c>
      <c r="K35" s="59">
        <v>75.709999999999994</v>
      </c>
      <c r="L35" s="59">
        <v>15.34</v>
      </c>
      <c r="M35" s="59">
        <v>58</v>
      </c>
      <c r="N35" s="59">
        <v>30</v>
      </c>
      <c r="O35" s="59">
        <v>0</v>
      </c>
      <c r="P35" s="59">
        <v>0.78</v>
      </c>
      <c r="Q35" s="59">
        <v>34.479999999999997</v>
      </c>
      <c r="R35" s="197"/>
      <c r="S35" s="197"/>
      <c r="T35" s="197"/>
      <c r="U35" s="197"/>
    </row>
    <row r="36" spans="1:21" s="12" customFormat="1" x14ac:dyDescent="0.25">
      <c r="A36" s="200" t="s">
        <v>1906</v>
      </c>
      <c r="B36" s="59">
        <v>10.41</v>
      </c>
      <c r="C36" s="59">
        <v>67.510000000000005</v>
      </c>
      <c r="D36" s="59">
        <v>45.61</v>
      </c>
      <c r="E36" s="59">
        <v>4.3899999999999997</v>
      </c>
      <c r="F36" s="59">
        <v>0.89</v>
      </c>
      <c r="G36" s="210" t="s">
        <v>43</v>
      </c>
      <c r="H36" s="59">
        <v>17.79</v>
      </c>
      <c r="I36" s="59">
        <v>0.31</v>
      </c>
      <c r="J36" s="59">
        <v>0.39</v>
      </c>
      <c r="K36" s="59">
        <v>85.58</v>
      </c>
      <c r="L36" s="59">
        <v>15.55</v>
      </c>
      <c r="M36" s="59">
        <v>57</v>
      </c>
      <c r="N36" s="59">
        <v>37.700000000000003</v>
      </c>
      <c r="O36" s="59">
        <v>0</v>
      </c>
      <c r="P36" s="59">
        <v>0.77</v>
      </c>
      <c r="Q36" s="59">
        <v>34.44</v>
      </c>
      <c r="R36" s="197"/>
      <c r="S36" s="197"/>
      <c r="T36" s="197"/>
      <c r="U36" s="197"/>
    </row>
    <row r="37" spans="1:21" s="12" customFormat="1" x14ac:dyDescent="0.25">
      <c r="A37" s="200" t="s">
        <v>1907</v>
      </c>
      <c r="B37" s="59">
        <v>10.59</v>
      </c>
      <c r="C37" s="59">
        <v>67.62</v>
      </c>
      <c r="D37" s="59">
        <v>45.81</v>
      </c>
      <c r="E37" s="59">
        <v>4.45</v>
      </c>
      <c r="F37" s="59">
        <v>1.1200000000000001</v>
      </c>
      <c r="G37" s="210" t="s">
        <v>43</v>
      </c>
      <c r="H37" s="59">
        <v>16.62</v>
      </c>
      <c r="I37" s="59">
        <v>0.31</v>
      </c>
      <c r="J37" s="59">
        <v>0.35</v>
      </c>
      <c r="K37" s="59">
        <v>73.28</v>
      </c>
      <c r="L37" s="59">
        <v>15.65</v>
      </c>
      <c r="M37" s="59">
        <v>57</v>
      </c>
      <c r="N37" s="59">
        <v>45.1</v>
      </c>
      <c r="O37" s="59">
        <v>0</v>
      </c>
      <c r="P37" s="59">
        <v>0.76</v>
      </c>
      <c r="Q37" s="59">
        <v>33.96</v>
      </c>
      <c r="R37" s="197"/>
      <c r="S37" s="197"/>
      <c r="T37" s="197"/>
      <c r="U37" s="197"/>
    </row>
    <row r="38" spans="1:21" s="12" customFormat="1" x14ac:dyDescent="0.25">
      <c r="A38" s="200" t="s">
        <v>1908</v>
      </c>
      <c r="B38" s="59">
        <v>11.21</v>
      </c>
      <c r="C38" s="59">
        <v>67.66</v>
      </c>
      <c r="D38" s="59">
        <v>46.33</v>
      </c>
      <c r="E38" s="59">
        <v>4.42</v>
      </c>
      <c r="F38" s="59">
        <v>0.85</v>
      </c>
      <c r="G38" s="210" t="s">
        <v>43</v>
      </c>
      <c r="H38" s="59">
        <v>14.6</v>
      </c>
      <c r="I38" s="59">
        <v>0.3</v>
      </c>
      <c r="J38" s="59">
        <v>0.3</v>
      </c>
      <c r="K38" s="59">
        <v>87.95</v>
      </c>
      <c r="L38" s="59">
        <v>15.98</v>
      </c>
      <c r="M38" s="59">
        <v>57</v>
      </c>
      <c r="N38" s="59">
        <v>57.1</v>
      </c>
      <c r="O38" s="59">
        <v>0</v>
      </c>
      <c r="P38" s="59">
        <v>0.81</v>
      </c>
      <c r="Q38" s="59">
        <v>34.049999999999997</v>
      </c>
      <c r="R38" s="197"/>
      <c r="S38" s="197"/>
      <c r="T38" s="197"/>
      <c r="U38" s="197"/>
    </row>
    <row r="39" spans="1:21" s="12" customFormat="1" x14ac:dyDescent="0.25">
      <c r="A39" s="200" t="s">
        <v>1909</v>
      </c>
      <c r="B39" s="59">
        <v>11.66</v>
      </c>
      <c r="C39" s="59">
        <v>67.59</v>
      </c>
      <c r="D39" s="59">
        <v>46.65</v>
      </c>
      <c r="E39" s="59">
        <v>4.41</v>
      </c>
      <c r="F39" s="59">
        <v>0.59</v>
      </c>
      <c r="G39" s="210" t="s">
        <v>43</v>
      </c>
      <c r="H39" s="59">
        <v>14.6</v>
      </c>
      <c r="I39" s="59">
        <v>0.3</v>
      </c>
      <c r="J39" s="59">
        <v>0.64</v>
      </c>
      <c r="K39" s="59">
        <v>101.9</v>
      </c>
      <c r="L39" s="59">
        <v>16.68</v>
      </c>
      <c r="M39" s="59">
        <v>54</v>
      </c>
      <c r="N39" s="59">
        <v>136.9</v>
      </c>
      <c r="O39" s="59">
        <v>0</v>
      </c>
      <c r="P39" s="59">
        <v>0.8</v>
      </c>
      <c r="Q39" s="59">
        <v>34.51</v>
      </c>
      <c r="R39" s="197"/>
      <c r="S39" s="197"/>
      <c r="T39" s="197"/>
      <c r="U39" s="197"/>
    </row>
    <row r="40" spans="1:21" s="12" customFormat="1" x14ac:dyDescent="0.25">
      <c r="A40" s="200" t="s">
        <v>1910</v>
      </c>
      <c r="B40" s="59">
        <v>11.97</v>
      </c>
      <c r="C40" s="59">
        <v>67.540000000000006</v>
      </c>
      <c r="D40" s="59">
        <v>46.87</v>
      </c>
      <c r="E40" s="59">
        <v>3.68</v>
      </c>
      <c r="F40" s="59">
        <v>0.81</v>
      </c>
      <c r="G40" s="210" t="s">
        <v>43</v>
      </c>
      <c r="H40" s="59">
        <v>14.6</v>
      </c>
      <c r="I40" s="59">
        <v>0.31</v>
      </c>
      <c r="J40" s="59">
        <v>0.46</v>
      </c>
      <c r="K40" s="59">
        <v>65.599999999999994</v>
      </c>
      <c r="L40" s="59">
        <v>18.64</v>
      </c>
      <c r="M40" s="59">
        <v>48</v>
      </c>
      <c r="N40" s="59">
        <v>219</v>
      </c>
      <c r="O40" s="59">
        <v>0</v>
      </c>
      <c r="P40" s="59">
        <v>0.8</v>
      </c>
      <c r="Q40" s="59">
        <v>34.92</v>
      </c>
      <c r="R40" s="197"/>
      <c r="S40" s="197"/>
      <c r="T40" s="197"/>
      <c r="U40" s="197"/>
    </row>
    <row r="41" spans="1:21" s="12" customFormat="1" x14ac:dyDescent="0.25">
      <c r="A41" s="200" t="s">
        <v>1911</v>
      </c>
      <c r="B41" s="59">
        <v>13</v>
      </c>
      <c r="C41" s="59">
        <v>68.27</v>
      </c>
      <c r="D41" s="59">
        <v>48.1</v>
      </c>
      <c r="E41" s="59">
        <v>6.81</v>
      </c>
      <c r="F41" s="59">
        <v>0.66</v>
      </c>
      <c r="G41" s="210" t="s">
        <v>43</v>
      </c>
      <c r="H41" s="59">
        <v>17.260000000000002</v>
      </c>
      <c r="I41" s="59">
        <v>0.31</v>
      </c>
      <c r="J41" s="59">
        <v>0.39</v>
      </c>
      <c r="K41" s="59">
        <v>65</v>
      </c>
      <c r="L41" s="59">
        <v>20.22</v>
      </c>
      <c r="M41" s="59">
        <v>44</v>
      </c>
      <c r="N41" s="59">
        <v>247.8</v>
      </c>
      <c r="O41" s="59">
        <v>0</v>
      </c>
      <c r="P41" s="59">
        <v>0.81</v>
      </c>
      <c r="Q41" s="59">
        <v>35.15</v>
      </c>
      <c r="R41" s="197"/>
      <c r="S41" s="197"/>
      <c r="T41" s="197"/>
      <c r="U41" s="197"/>
    </row>
    <row r="42" spans="1:21" s="12" customFormat="1" x14ac:dyDescent="0.25">
      <c r="A42" s="200" t="s">
        <v>1912</v>
      </c>
      <c r="B42" s="59">
        <v>14.77</v>
      </c>
      <c r="C42" s="59">
        <v>69.78</v>
      </c>
      <c r="D42" s="59">
        <v>50.36</v>
      </c>
      <c r="E42" s="59">
        <v>7</v>
      </c>
      <c r="F42" s="59">
        <v>0.56999999999999995</v>
      </c>
      <c r="G42" s="210" t="s">
        <v>43</v>
      </c>
      <c r="H42" s="59">
        <v>21.86</v>
      </c>
      <c r="I42" s="59">
        <v>0.32</v>
      </c>
      <c r="J42" s="59">
        <v>0.78</v>
      </c>
      <c r="K42" s="59">
        <v>96.8</v>
      </c>
      <c r="L42" s="59">
        <v>20.68</v>
      </c>
      <c r="M42" s="59">
        <v>43</v>
      </c>
      <c r="N42" s="59">
        <v>287.10000000000002</v>
      </c>
      <c r="O42" s="59">
        <v>0</v>
      </c>
      <c r="P42" s="59">
        <v>0.83</v>
      </c>
      <c r="Q42" s="59">
        <v>35.409999999999997</v>
      </c>
      <c r="R42" s="197"/>
      <c r="S42" s="197"/>
      <c r="T42" s="197"/>
      <c r="U42" s="197"/>
    </row>
    <row r="43" spans="1:21" s="12" customFormat="1" x14ac:dyDescent="0.25">
      <c r="A43" s="200" t="s">
        <v>1913</v>
      </c>
      <c r="B43" s="59">
        <v>15.92</v>
      </c>
      <c r="C43" s="59">
        <v>70.430000000000007</v>
      </c>
      <c r="D43" s="59">
        <v>51.64</v>
      </c>
      <c r="E43" s="59">
        <v>6.87</v>
      </c>
      <c r="F43" s="59">
        <v>0.64</v>
      </c>
      <c r="G43" s="210" t="s">
        <v>43</v>
      </c>
      <c r="H43" s="59">
        <v>21.86</v>
      </c>
      <c r="I43" s="59">
        <v>0.33</v>
      </c>
      <c r="J43" s="59">
        <v>1.18</v>
      </c>
      <c r="K43" s="59">
        <v>108.07</v>
      </c>
      <c r="L43" s="59">
        <v>19.989999999999998</v>
      </c>
      <c r="M43" s="59">
        <v>44</v>
      </c>
      <c r="N43" s="59">
        <v>311</v>
      </c>
      <c r="O43" s="59">
        <v>0</v>
      </c>
      <c r="P43" s="59">
        <v>0.84</v>
      </c>
      <c r="Q43" s="59">
        <v>36.340000000000003</v>
      </c>
      <c r="R43" s="197"/>
      <c r="S43" s="197"/>
      <c r="T43" s="197"/>
      <c r="U43" s="197"/>
    </row>
    <row r="44" spans="1:21" s="12" customFormat="1" x14ac:dyDescent="0.25">
      <c r="A44" s="200" t="s">
        <v>1914</v>
      </c>
      <c r="B44" s="59">
        <v>16.11</v>
      </c>
      <c r="C44" s="59">
        <v>70.59</v>
      </c>
      <c r="D44" s="59">
        <v>51.88</v>
      </c>
      <c r="E44" s="59">
        <v>7.03</v>
      </c>
      <c r="F44" s="59">
        <v>0.84</v>
      </c>
      <c r="G44" s="210" t="s">
        <v>43</v>
      </c>
      <c r="H44" s="59">
        <v>21.86</v>
      </c>
      <c r="I44" s="59">
        <v>0.33</v>
      </c>
      <c r="J44" s="59">
        <v>1</v>
      </c>
      <c r="K44" s="59">
        <v>94.65</v>
      </c>
      <c r="L44" s="59">
        <v>20.89</v>
      </c>
      <c r="M44" s="59">
        <v>42</v>
      </c>
      <c r="N44" s="59">
        <v>346.7</v>
      </c>
      <c r="O44" s="59">
        <v>0</v>
      </c>
      <c r="P44" s="59">
        <v>0.85</v>
      </c>
      <c r="Q44" s="59">
        <v>36.4</v>
      </c>
      <c r="R44" s="197"/>
      <c r="S44" s="197"/>
      <c r="T44" s="197"/>
      <c r="U44" s="197"/>
    </row>
    <row r="45" spans="1:21" s="12" customFormat="1" x14ac:dyDescent="0.25">
      <c r="A45" s="200" t="s">
        <v>1915</v>
      </c>
      <c r="B45" s="59">
        <v>15.66</v>
      </c>
      <c r="C45" s="59">
        <v>70.86</v>
      </c>
      <c r="D45" s="59">
        <v>51.66</v>
      </c>
      <c r="E45" s="59">
        <v>6.93</v>
      </c>
      <c r="F45" s="59">
        <v>0.9</v>
      </c>
      <c r="G45" s="210" t="s">
        <v>43</v>
      </c>
      <c r="H45" s="59">
        <v>23.25</v>
      </c>
      <c r="I45" s="59">
        <v>0.33</v>
      </c>
      <c r="J45" s="59">
        <v>0.69</v>
      </c>
      <c r="K45" s="59">
        <v>74.72</v>
      </c>
      <c r="L45" s="59">
        <v>21.92</v>
      </c>
      <c r="M45" s="59">
        <v>40</v>
      </c>
      <c r="N45" s="59">
        <v>361.5</v>
      </c>
      <c r="O45" s="59">
        <v>0</v>
      </c>
      <c r="P45" s="59">
        <v>0.85</v>
      </c>
      <c r="Q45" s="59">
        <v>41.7</v>
      </c>
      <c r="R45" s="197"/>
      <c r="S45" s="197"/>
      <c r="T45" s="197"/>
      <c r="U45" s="197"/>
    </row>
    <row r="46" spans="1:21" s="12" customFormat="1" x14ac:dyDescent="0.25">
      <c r="A46" s="200" t="s">
        <v>1916</v>
      </c>
      <c r="B46" s="59">
        <v>14.8</v>
      </c>
      <c r="C46" s="59">
        <v>71.37</v>
      </c>
      <c r="D46" s="59">
        <v>51.25</v>
      </c>
      <c r="E46" s="59">
        <v>6.83</v>
      </c>
      <c r="F46" s="59">
        <v>1.1399999999999999</v>
      </c>
      <c r="G46" s="210" t="s">
        <v>43</v>
      </c>
      <c r="H46" s="59">
        <v>25.65</v>
      </c>
      <c r="I46" s="59">
        <v>0.33</v>
      </c>
      <c r="J46" s="59">
        <v>1.1200000000000001</v>
      </c>
      <c r="K46" s="59">
        <v>88.26</v>
      </c>
      <c r="L46" s="59">
        <v>22.32</v>
      </c>
      <c r="M46" s="59">
        <v>39</v>
      </c>
      <c r="N46" s="59">
        <v>368.8</v>
      </c>
      <c r="O46" s="59">
        <v>0</v>
      </c>
      <c r="P46" s="59">
        <v>0.85</v>
      </c>
      <c r="Q46" s="59">
        <v>39.479999999999997</v>
      </c>
      <c r="R46" s="197"/>
      <c r="S46" s="197"/>
      <c r="T46" s="197"/>
      <c r="U46" s="197"/>
    </row>
    <row r="47" spans="1:21" s="12" customFormat="1" x14ac:dyDescent="0.25">
      <c r="A47" s="200" t="s">
        <v>1917</v>
      </c>
      <c r="B47" s="59">
        <v>13.4</v>
      </c>
      <c r="C47" s="59">
        <v>71.39</v>
      </c>
      <c r="D47" s="59">
        <v>50.15</v>
      </c>
      <c r="E47" s="59">
        <v>7.06</v>
      </c>
      <c r="F47" s="59">
        <v>1.21</v>
      </c>
      <c r="G47" s="210" t="s">
        <v>43</v>
      </c>
      <c r="H47" s="59">
        <v>25.65</v>
      </c>
      <c r="I47" s="59">
        <v>0.33</v>
      </c>
      <c r="J47" s="59">
        <v>1.34</v>
      </c>
      <c r="K47" s="59">
        <v>95.49</v>
      </c>
      <c r="L47" s="59">
        <v>22.12</v>
      </c>
      <c r="M47" s="59">
        <v>39</v>
      </c>
      <c r="N47" s="59">
        <v>386.3</v>
      </c>
      <c r="O47" s="59">
        <v>0</v>
      </c>
      <c r="P47" s="59">
        <v>0.83</v>
      </c>
      <c r="Q47" s="59">
        <v>37.909999999999997</v>
      </c>
      <c r="R47" s="197"/>
      <c r="S47" s="197"/>
      <c r="T47" s="197"/>
      <c r="U47" s="197"/>
    </row>
    <row r="48" spans="1:21" s="12" customFormat="1" x14ac:dyDescent="0.25">
      <c r="A48" s="200" t="s">
        <v>1918</v>
      </c>
      <c r="B48" s="59">
        <v>12.21</v>
      </c>
      <c r="C48" s="59">
        <v>71.87</v>
      </c>
      <c r="D48" s="59">
        <v>49.45</v>
      </c>
      <c r="E48" s="59">
        <v>6.91</v>
      </c>
      <c r="F48" s="59">
        <v>1.19</v>
      </c>
      <c r="G48" s="210" t="s">
        <v>43</v>
      </c>
      <c r="H48" s="59">
        <v>25.65</v>
      </c>
      <c r="I48" s="59">
        <v>0.32</v>
      </c>
      <c r="J48" s="59">
        <v>0.96</v>
      </c>
      <c r="K48" s="59">
        <v>77.3</v>
      </c>
      <c r="L48" s="59">
        <v>23.88</v>
      </c>
      <c r="M48" s="59">
        <v>36</v>
      </c>
      <c r="N48" s="59">
        <v>391.4</v>
      </c>
      <c r="O48" s="59">
        <v>0</v>
      </c>
      <c r="P48" s="59">
        <v>0.82</v>
      </c>
      <c r="Q48" s="59">
        <v>36.92</v>
      </c>
      <c r="R48" s="197"/>
      <c r="S48" s="197"/>
      <c r="T48" s="197"/>
      <c r="U48" s="197"/>
    </row>
    <row r="49" spans="1:21" s="12" customFormat="1" x14ac:dyDescent="0.25">
      <c r="A49" s="200" t="s">
        <v>1919</v>
      </c>
      <c r="B49" s="59">
        <v>11.14</v>
      </c>
      <c r="C49" s="59">
        <v>72.09</v>
      </c>
      <c r="D49" s="59">
        <v>48.72</v>
      </c>
      <c r="E49" s="59">
        <v>6.62</v>
      </c>
      <c r="F49" s="59">
        <v>1.02</v>
      </c>
      <c r="G49" s="210" t="s">
        <v>43</v>
      </c>
      <c r="H49" s="59">
        <v>24.92</v>
      </c>
      <c r="I49" s="59">
        <v>0.31</v>
      </c>
      <c r="J49" s="59">
        <v>0.85</v>
      </c>
      <c r="K49" s="59">
        <v>83.33</v>
      </c>
      <c r="L49" s="59">
        <v>23.62</v>
      </c>
      <c r="M49" s="59">
        <v>37</v>
      </c>
      <c r="N49" s="59">
        <v>405.6</v>
      </c>
      <c r="O49" s="59">
        <v>0</v>
      </c>
      <c r="P49" s="59">
        <v>0.82</v>
      </c>
      <c r="Q49" s="59">
        <v>36.409999999999997</v>
      </c>
      <c r="R49" s="197"/>
      <c r="S49" s="197"/>
      <c r="T49" s="197"/>
      <c r="U49" s="197"/>
    </row>
    <row r="50" spans="1:21" s="12" customFormat="1" x14ac:dyDescent="0.25">
      <c r="A50" s="200" t="s">
        <v>1920</v>
      </c>
      <c r="B50" s="59">
        <v>10.01</v>
      </c>
      <c r="C50" s="59">
        <v>71.84</v>
      </c>
      <c r="D50" s="59">
        <v>47.67</v>
      </c>
      <c r="E50" s="59">
        <v>6.62</v>
      </c>
      <c r="F50" s="59">
        <v>0.99</v>
      </c>
      <c r="G50" s="210" t="s">
        <v>43</v>
      </c>
      <c r="H50" s="59">
        <v>23.65</v>
      </c>
      <c r="I50" s="59">
        <v>0.33</v>
      </c>
      <c r="J50" s="59">
        <v>1.54</v>
      </c>
      <c r="K50" s="59">
        <v>104.47</v>
      </c>
      <c r="L50" s="59">
        <v>23.73</v>
      </c>
      <c r="M50" s="59">
        <v>36</v>
      </c>
      <c r="N50" s="59">
        <v>421.6</v>
      </c>
      <c r="O50" s="59">
        <v>0</v>
      </c>
      <c r="P50" s="59">
        <v>0.82</v>
      </c>
      <c r="Q50" s="59">
        <v>36.049999999999997</v>
      </c>
      <c r="R50" s="197"/>
      <c r="S50" s="197"/>
      <c r="T50" s="197"/>
      <c r="U50" s="197"/>
    </row>
    <row r="51" spans="1:21" s="12" customFormat="1" x14ac:dyDescent="0.25">
      <c r="A51" s="200" t="s">
        <v>1921</v>
      </c>
      <c r="B51" s="59">
        <v>8.83</v>
      </c>
      <c r="C51" s="59">
        <v>70.91</v>
      </c>
      <c r="D51" s="59">
        <v>46.22</v>
      </c>
      <c r="E51" s="59">
        <v>7.27</v>
      </c>
      <c r="F51" s="59">
        <v>1.45</v>
      </c>
      <c r="G51" s="210" t="s">
        <v>43</v>
      </c>
      <c r="H51" s="59">
        <v>23.65</v>
      </c>
      <c r="I51" s="59">
        <v>0.28999999999999998</v>
      </c>
      <c r="J51" s="59">
        <v>0.75</v>
      </c>
      <c r="K51" s="59">
        <v>62.13</v>
      </c>
      <c r="L51" s="59">
        <v>25.18</v>
      </c>
      <c r="M51" s="59">
        <v>32</v>
      </c>
      <c r="N51" s="59">
        <v>425.9</v>
      </c>
      <c r="O51" s="59">
        <v>0</v>
      </c>
      <c r="P51" s="59">
        <v>0.79</v>
      </c>
      <c r="Q51" s="59">
        <v>35.89</v>
      </c>
      <c r="R51" s="197"/>
      <c r="S51" s="197"/>
      <c r="T51" s="197"/>
      <c r="U51" s="197"/>
    </row>
    <row r="52" spans="1:21" s="12" customFormat="1" x14ac:dyDescent="0.25">
      <c r="A52" s="200" t="s">
        <v>1922</v>
      </c>
      <c r="B52" s="59">
        <v>8.66</v>
      </c>
      <c r="C52" s="59">
        <v>71.02</v>
      </c>
      <c r="D52" s="59">
        <v>46.14</v>
      </c>
      <c r="E52" s="59">
        <v>7.96</v>
      </c>
      <c r="F52" s="59">
        <v>1.5</v>
      </c>
      <c r="G52" s="210" t="s">
        <v>43</v>
      </c>
      <c r="H52" s="59">
        <v>23.65</v>
      </c>
      <c r="I52" s="59">
        <v>0.28000000000000003</v>
      </c>
      <c r="J52" s="59">
        <v>0.68</v>
      </c>
      <c r="K52" s="59">
        <v>60.91</v>
      </c>
      <c r="L52" s="59">
        <v>27.25</v>
      </c>
      <c r="M52" s="59">
        <v>29</v>
      </c>
      <c r="N52" s="59">
        <v>426.3</v>
      </c>
      <c r="O52" s="59">
        <v>0</v>
      </c>
      <c r="P52" s="59">
        <v>0.8</v>
      </c>
      <c r="Q52" s="59">
        <v>36.44</v>
      </c>
      <c r="R52" s="197"/>
      <c r="S52" s="197"/>
      <c r="T52" s="197"/>
      <c r="U52" s="197"/>
    </row>
    <row r="53" spans="1:21" s="12" customFormat="1" x14ac:dyDescent="0.25">
      <c r="A53" s="200" t="s">
        <v>1923</v>
      </c>
      <c r="B53" s="59">
        <v>8.8699999999999992</v>
      </c>
      <c r="C53" s="59">
        <v>71.33</v>
      </c>
      <c r="D53" s="59">
        <v>46.48</v>
      </c>
      <c r="E53" s="59">
        <v>6.95</v>
      </c>
      <c r="F53" s="59">
        <v>1.27</v>
      </c>
      <c r="G53" s="210" t="s">
        <v>43</v>
      </c>
      <c r="H53" s="59">
        <v>24.48</v>
      </c>
      <c r="I53" s="59">
        <v>0.27</v>
      </c>
      <c r="J53" s="59">
        <v>0.76</v>
      </c>
      <c r="K53" s="59">
        <v>59.61</v>
      </c>
      <c r="L53" s="59">
        <v>26.32</v>
      </c>
      <c r="M53" s="59">
        <v>29</v>
      </c>
      <c r="N53" s="59">
        <v>426.8</v>
      </c>
      <c r="O53" s="59">
        <v>0</v>
      </c>
      <c r="P53" s="59">
        <v>0.78</v>
      </c>
      <c r="Q53" s="59">
        <v>36.53</v>
      </c>
      <c r="R53" s="197"/>
      <c r="S53" s="197"/>
      <c r="T53" s="197"/>
      <c r="U53" s="197"/>
    </row>
    <row r="54" spans="1:21" s="12" customFormat="1" x14ac:dyDescent="0.25">
      <c r="A54" s="200" t="s">
        <v>1924</v>
      </c>
      <c r="B54" s="59">
        <v>11.28</v>
      </c>
      <c r="C54" s="59">
        <v>72.47</v>
      </c>
      <c r="D54" s="59">
        <v>49.05</v>
      </c>
      <c r="E54" s="59">
        <v>7.8</v>
      </c>
      <c r="F54" s="59">
        <v>1.57</v>
      </c>
      <c r="G54" s="210" t="s">
        <v>43</v>
      </c>
      <c r="H54" s="59">
        <v>25.91</v>
      </c>
      <c r="I54" s="59">
        <v>0.27</v>
      </c>
      <c r="J54" s="59">
        <v>0.77</v>
      </c>
      <c r="K54" s="59">
        <v>7.13</v>
      </c>
      <c r="L54" s="59">
        <v>29.22</v>
      </c>
      <c r="M54" s="59">
        <v>25</v>
      </c>
      <c r="N54" s="59">
        <v>428.1</v>
      </c>
      <c r="O54" s="59">
        <v>0</v>
      </c>
      <c r="P54" s="59">
        <v>0.79</v>
      </c>
      <c r="Q54" s="59">
        <v>36.31</v>
      </c>
      <c r="R54" s="197"/>
      <c r="S54" s="197"/>
      <c r="T54" s="197"/>
      <c r="U54" s="197"/>
    </row>
    <row r="55" spans="1:21" s="12" customFormat="1" x14ac:dyDescent="0.25">
      <c r="A55" s="200" t="s">
        <v>1925</v>
      </c>
      <c r="B55" s="59">
        <v>10.55</v>
      </c>
      <c r="C55" s="59">
        <v>74.7</v>
      </c>
      <c r="D55" s="59">
        <v>49.69</v>
      </c>
      <c r="E55" s="59">
        <v>8.14</v>
      </c>
      <c r="F55" s="59">
        <v>1.37</v>
      </c>
      <c r="G55" s="210" t="s">
        <v>43</v>
      </c>
      <c r="H55" s="59">
        <v>25.91</v>
      </c>
      <c r="I55" s="59">
        <v>0.27</v>
      </c>
      <c r="J55" s="59">
        <v>1.25</v>
      </c>
      <c r="K55" s="59">
        <v>8.2200000000000006</v>
      </c>
      <c r="L55" s="59">
        <v>30.24</v>
      </c>
      <c r="M55" s="59">
        <v>23</v>
      </c>
      <c r="N55" s="59">
        <v>419.6</v>
      </c>
      <c r="O55" s="59">
        <v>0</v>
      </c>
      <c r="P55" s="59">
        <v>0.81</v>
      </c>
      <c r="Q55" s="59">
        <v>36.56</v>
      </c>
      <c r="R55" s="197"/>
      <c r="S55" s="197"/>
      <c r="T55" s="197"/>
      <c r="U55" s="197"/>
    </row>
    <row r="56" spans="1:21" s="12" customFormat="1" x14ac:dyDescent="0.25">
      <c r="A56" s="200" t="s">
        <v>1926</v>
      </c>
      <c r="B56" s="59">
        <v>10.46</v>
      </c>
      <c r="C56" s="59">
        <v>76.790000000000006</v>
      </c>
      <c r="D56" s="59">
        <v>50.77</v>
      </c>
      <c r="E56" s="59">
        <v>4.9400000000000004</v>
      </c>
      <c r="F56" s="59">
        <v>1.49</v>
      </c>
      <c r="G56" s="210" t="s">
        <v>43</v>
      </c>
      <c r="H56" s="59">
        <v>25.91</v>
      </c>
      <c r="I56" s="59">
        <v>0.27</v>
      </c>
      <c r="J56" s="59">
        <v>0.97</v>
      </c>
      <c r="K56" s="59">
        <v>12.52</v>
      </c>
      <c r="L56" s="59">
        <v>31.11</v>
      </c>
      <c r="M56" s="59">
        <v>21</v>
      </c>
      <c r="N56" s="59">
        <v>417.4</v>
      </c>
      <c r="O56" s="59">
        <v>0</v>
      </c>
      <c r="P56" s="59">
        <v>0.82</v>
      </c>
      <c r="Q56" s="59">
        <v>36.92</v>
      </c>
      <c r="R56" s="197"/>
      <c r="S56" s="197"/>
      <c r="T56" s="197"/>
      <c r="U56" s="197"/>
    </row>
    <row r="57" spans="1:21" s="12" customFormat="1" x14ac:dyDescent="0.25">
      <c r="A57" s="200" t="s">
        <v>1927</v>
      </c>
      <c r="B57" s="59">
        <v>10.89</v>
      </c>
      <c r="C57" s="59">
        <v>77.790000000000006</v>
      </c>
      <c r="D57" s="59">
        <v>51.66</v>
      </c>
      <c r="E57" s="59">
        <v>7.54</v>
      </c>
      <c r="F57" s="59">
        <v>1.68</v>
      </c>
      <c r="G57" s="210" t="s">
        <v>43</v>
      </c>
      <c r="H57" s="59">
        <v>25.91</v>
      </c>
      <c r="I57" s="59">
        <v>0.27</v>
      </c>
      <c r="J57" s="59">
        <v>0.82</v>
      </c>
      <c r="K57" s="59">
        <v>115.23</v>
      </c>
      <c r="L57" s="59">
        <v>27.71</v>
      </c>
      <c r="M57" s="59">
        <v>25</v>
      </c>
      <c r="N57" s="59">
        <v>423</v>
      </c>
      <c r="O57" s="59">
        <v>0</v>
      </c>
      <c r="P57" s="59">
        <v>0.82</v>
      </c>
      <c r="Q57" s="59">
        <v>36.96</v>
      </c>
      <c r="R57" s="197"/>
      <c r="S57" s="197"/>
      <c r="T57" s="197"/>
      <c r="U57" s="197"/>
    </row>
    <row r="58" spans="1:21" s="12" customFormat="1" x14ac:dyDescent="0.25">
      <c r="A58" s="200" t="s">
        <v>1928</v>
      </c>
      <c r="B58" s="59">
        <v>11.36</v>
      </c>
      <c r="C58" s="59">
        <v>77.22</v>
      </c>
      <c r="D58" s="59">
        <v>51.73</v>
      </c>
      <c r="E58" s="59">
        <v>7.06</v>
      </c>
      <c r="F58" s="59">
        <v>1.82</v>
      </c>
      <c r="G58" s="210" t="s">
        <v>43</v>
      </c>
      <c r="H58" s="59">
        <v>25.91</v>
      </c>
      <c r="I58" s="59">
        <v>0.28000000000000003</v>
      </c>
      <c r="J58" s="59">
        <v>0.46</v>
      </c>
      <c r="K58" s="59">
        <v>80.67</v>
      </c>
      <c r="L58" s="59">
        <v>28.16</v>
      </c>
      <c r="M58" s="59">
        <v>24</v>
      </c>
      <c r="N58" s="59">
        <v>416</v>
      </c>
      <c r="O58" s="59">
        <v>0</v>
      </c>
      <c r="P58" s="59">
        <v>0.81</v>
      </c>
      <c r="Q58" s="59">
        <v>37.18</v>
      </c>
      <c r="R58" s="197"/>
      <c r="S58" s="197"/>
      <c r="T58" s="197"/>
      <c r="U58" s="197"/>
    </row>
    <row r="59" spans="1:21" s="12" customFormat="1" x14ac:dyDescent="0.25">
      <c r="A59" s="200" t="s">
        <v>1929</v>
      </c>
      <c r="B59" s="59">
        <v>11.45</v>
      </c>
      <c r="C59" s="59">
        <v>76.709999999999994</v>
      </c>
      <c r="D59" s="59">
        <v>51.51</v>
      </c>
      <c r="E59" s="59">
        <v>7.61</v>
      </c>
      <c r="F59" s="59">
        <v>1.47</v>
      </c>
      <c r="G59" s="210" t="s">
        <v>43</v>
      </c>
      <c r="H59" s="59">
        <v>25.91</v>
      </c>
      <c r="I59" s="59">
        <v>0.28000000000000003</v>
      </c>
      <c r="J59" s="59">
        <v>0.64</v>
      </c>
      <c r="K59" s="59">
        <v>48</v>
      </c>
      <c r="L59" s="59">
        <v>28.2</v>
      </c>
      <c r="M59" s="59">
        <v>23</v>
      </c>
      <c r="N59" s="59">
        <v>419.3</v>
      </c>
      <c r="O59" s="59">
        <v>0</v>
      </c>
      <c r="P59" s="59">
        <v>0.8</v>
      </c>
      <c r="Q59" s="59">
        <v>38.21</v>
      </c>
      <c r="R59" s="197"/>
      <c r="S59" s="197"/>
      <c r="T59" s="197"/>
      <c r="U59" s="197"/>
    </row>
    <row r="60" spans="1:21" s="12" customFormat="1" x14ac:dyDescent="0.25">
      <c r="A60" s="200" t="s">
        <v>1930</v>
      </c>
      <c r="B60" s="59">
        <v>11.52</v>
      </c>
      <c r="C60" s="59">
        <v>77.36</v>
      </c>
      <c r="D60" s="59">
        <v>51.93</v>
      </c>
      <c r="E60" s="59">
        <v>7.35</v>
      </c>
      <c r="F60" s="59">
        <v>1.05</v>
      </c>
      <c r="G60" s="210" t="s">
        <v>43</v>
      </c>
      <c r="H60" s="59">
        <v>25.91</v>
      </c>
      <c r="I60" s="59">
        <v>0.28999999999999998</v>
      </c>
      <c r="J60" s="59">
        <v>0.54</v>
      </c>
      <c r="K60" s="59">
        <v>16.07</v>
      </c>
      <c r="L60" s="59">
        <v>30.37</v>
      </c>
      <c r="M60" s="59">
        <v>20</v>
      </c>
      <c r="N60" s="59">
        <v>402.3</v>
      </c>
      <c r="O60" s="59">
        <v>0</v>
      </c>
      <c r="P60" s="59">
        <v>0.81</v>
      </c>
      <c r="Q60" s="59">
        <v>38.39</v>
      </c>
      <c r="R60" s="197"/>
      <c r="S60" s="197"/>
      <c r="T60" s="197"/>
      <c r="U60" s="197"/>
    </row>
    <row r="61" spans="1:21" s="12" customFormat="1" x14ac:dyDescent="0.25">
      <c r="A61" s="200" t="s">
        <v>1931</v>
      </c>
      <c r="B61" s="59">
        <v>11.79</v>
      </c>
      <c r="C61" s="59">
        <v>78.930000000000007</v>
      </c>
      <c r="D61" s="59">
        <v>53.01</v>
      </c>
      <c r="E61" s="59">
        <v>7.36</v>
      </c>
      <c r="F61" s="59">
        <v>1</v>
      </c>
      <c r="G61" s="210" t="s">
        <v>43</v>
      </c>
      <c r="H61" s="59">
        <v>25.41</v>
      </c>
      <c r="I61" s="59">
        <v>0.28000000000000003</v>
      </c>
      <c r="J61" s="59">
        <v>0.6</v>
      </c>
      <c r="K61" s="59">
        <v>63.06</v>
      </c>
      <c r="L61" s="59">
        <v>29.24</v>
      </c>
      <c r="M61" s="59">
        <v>21</v>
      </c>
      <c r="N61" s="59">
        <v>403.5</v>
      </c>
      <c r="O61" s="59">
        <v>0</v>
      </c>
      <c r="P61" s="59">
        <v>0.8</v>
      </c>
      <c r="Q61" s="59">
        <v>38.380000000000003</v>
      </c>
      <c r="R61" s="197"/>
      <c r="S61" s="197"/>
      <c r="T61" s="197"/>
      <c r="U61" s="197"/>
    </row>
    <row r="62" spans="1:21" s="12" customFormat="1" x14ac:dyDescent="0.25">
      <c r="A62" s="200" t="s">
        <v>1932</v>
      </c>
      <c r="B62" s="59">
        <v>11.66</v>
      </c>
      <c r="C62" s="59">
        <v>79.319999999999993</v>
      </c>
      <c r="D62" s="59">
        <v>53.13</v>
      </c>
      <c r="E62" s="59">
        <v>7.33</v>
      </c>
      <c r="F62" s="59">
        <v>2.0699999999999998</v>
      </c>
      <c r="G62" s="210" t="s">
        <v>43</v>
      </c>
      <c r="H62" s="59">
        <v>24.55</v>
      </c>
      <c r="I62" s="59">
        <v>0.28000000000000003</v>
      </c>
      <c r="J62" s="59">
        <v>0.71</v>
      </c>
      <c r="K62" s="59">
        <v>101.66</v>
      </c>
      <c r="L62" s="59">
        <v>28.37</v>
      </c>
      <c r="M62" s="59">
        <v>21</v>
      </c>
      <c r="N62" s="59">
        <v>399.3</v>
      </c>
      <c r="O62" s="59">
        <v>0</v>
      </c>
      <c r="P62" s="59">
        <v>0.8</v>
      </c>
      <c r="Q62" s="59">
        <v>38.43</v>
      </c>
      <c r="R62" s="197"/>
      <c r="S62" s="197"/>
      <c r="T62" s="197"/>
      <c r="U62" s="197"/>
    </row>
    <row r="63" spans="1:21" s="12" customFormat="1" x14ac:dyDescent="0.25">
      <c r="A63" s="200" t="s">
        <v>1933</v>
      </c>
      <c r="B63" s="59">
        <v>11.49</v>
      </c>
      <c r="C63" s="59">
        <v>79.75</v>
      </c>
      <c r="D63" s="59">
        <v>53.23</v>
      </c>
      <c r="E63" s="59">
        <v>8.7200000000000006</v>
      </c>
      <c r="F63" s="59">
        <v>1.31</v>
      </c>
      <c r="G63" s="210" t="s">
        <v>43</v>
      </c>
      <c r="H63" s="59">
        <v>24.55</v>
      </c>
      <c r="I63" s="59">
        <v>0.27</v>
      </c>
      <c r="J63" s="59">
        <v>0.75</v>
      </c>
      <c r="K63" s="59">
        <v>143.91999999999999</v>
      </c>
      <c r="L63" s="59">
        <v>27.78</v>
      </c>
      <c r="M63" s="59">
        <v>21</v>
      </c>
      <c r="N63" s="59">
        <v>382.6</v>
      </c>
      <c r="O63" s="59">
        <v>0</v>
      </c>
      <c r="P63" s="59">
        <v>0.8</v>
      </c>
      <c r="Q63" s="59">
        <v>38.4</v>
      </c>
      <c r="R63" s="197"/>
      <c r="S63" s="197"/>
      <c r="T63" s="197"/>
      <c r="U63" s="197"/>
    </row>
    <row r="64" spans="1:21" s="12" customFormat="1" x14ac:dyDescent="0.25">
      <c r="A64" s="200" t="s">
        <v>1934</v>
      </c>
      <c r="B64" s="59">
        <v>10.72</v>
      </c>
      <c r="C64" s="59">
        <v>80.17</v>
      </c>
      <c r="D64" s="59">
        <v>52.84</v>
      </c>
      <c r="E64" s="59">
        <v>8.3800000000000008</v>
      </c>
      <c r="F64" s="59">
        <v>1.59</v>
      </c>
      <c r="G64" s="210" t="s">
        <v>43</v>
      </c>
      <c r="H64" s="59">
        <v>24.55</v>
      </c>
      <c r="I64" s="59">
        <v>0.26</v>
      </c>
      <c r="J64" s="59">
        <v>0.61</v>
      </c>
      <c r="K64" s="59">
        <v>43.29</v>
      </c>
      <c r="L64" s="59">
        <v>28.99</v>
      </c>
      <c r="M64" s="59">
        <v>20</v>
      </c>
      <c r="N64" s="59">
        <v>361</v>
      </c>
      <c r="O64" s="59">
        <v>0</v>
      </c>
      <c r="P64" s="59">
        <v>0.79</v>
      </c>
      <c r="Q64" s="59">
        <v>38.36</v>
      </c>
      <c r="R64" s="197"/>
      <c r="S64" s="197"/>
      <c r="T64" s="197"/>
      <c r="U64" s="197"/>
    </row>
    <row r="65" spans="1:21" s="12" customFormat="1" x14ac:dyDescent="0.25">
      <c r="A65" s="200" t="s">
        <v>1935</v>
      </c>
      <c r="B65" s="59">
        <v>10.029999999999999</v>
      </c>
      <c r="C65" s="59">
        <v>80.8</v>
      </c>
      <c r="D65" s="59">
        <v>52.64</v>
      </c>
      <c r="E65" s="59">
        <v>7.94</v>
      </c>
      <c r="F65" s="59">
        <v>1.73</v>
      </c>
      <c r="G65" s="210" t="s">
        <v>43</v>
      </c>
      <c r="H65" s="59">
        <v>67.77</v>
      </c>
      <c r="I65" s="59">
        <v>0.26</v>
      </c>
      <c r="J65" s="59">
        <v>1.1399999999999999</v>
      </c>
      <c r="K65" s="59">
        <v>127.99</v>
      </c>
      <c r="L65" s="59">
        <v>27.88</v>
      </c>
      <c r="M65" s="59">
        <v>22</v>
      </c>
      <c r="N65" s="59">
        <v>353.4</v>
      </c>
      <c r="O65" s="59">
        <v>0</v>
      </c>
      <c r="P65" s="59">
        <v>0.8</v>
      </c>
      <c r="Q65" s="59">
        <v>38.19</v>
      </c>
      <c r="R65" s="197"/>
      <c r="S65" s="197"/>
      <c r="T65" s="197"/>
      <c r="U65" s="197"/>
    </row>
    <row r="66" spans="1:21" s="12" customFormat="1" x14ac:dyDescent="0.25">
      <c r="A66" s="200" t="s">
        <v>1936</v>
      </c>
      <c r="B66" s="59">
        <v>9.5500000000000007</v>
      </c>
      <c r="C66" s="59">
        <v>80.180000000000007</v>
      </c>
      <c r="D66" s="59">
        <v>51.9</v>
      </c>
      <c r="E66" s="59">
        <v>8.6</v>
      </c>
      <c r="F66" s="59">
        <v>2.14</v>
      </c>
      <c r="G66" s="210" t="s">
        <v>43</v>
      </c>
      <c r="H66" s="59">
        <v>142.41999999999999</v>
      </c>
      <c r="I66" s="59">
        <v>0.26</v>
      </c>
      <c r="J66" s="59">
        <v>0.44</v>
      </c>
      <c r="K66" s="59">
        <v>54.03</v>
      </c>
      <c r="L66" s="59">
        <v>28.38</v>
      </c>
      <c r="M66" s="59">
        <v>21</v>
      </c>
      <c r="N66" s="59">
        <v>183</v>
      </c>
      <c r="O66" s="59">
        <v>0</v>
      </c>
      <c r="P66" s="59">
        <v>0.78</v>
      </c>
      <c r="Q66" s="59">
        <v>38.380000000000003</v>
      </c>
      <c r="R66" s="197"/>
      <c r="S66" s="197"/>
      <c r="T66" s="197"/>
      <c r="U66" s="197"/>
    </row>
    <row r="67" spans="1:21" s="12" customFormat="1" x14ac:dyDescent="0.25">
      <c r="A67" s="200" t="s">
        <v>1937</v>
      </c>
      <c r="B67" s="59">
        <v>11.91</v>
      </c>
      <c r="C67" s="59">
        <v>83.75</v>
      </c>
      <c r="D67" s="59">
        <v>55.77</v>
      </c>
      <c r="E67" s="59">
        <v>18.84</v>
      </c>
      <c r="F67" s="59">
        <v>4.4800000000000004</v>
      </c>
      <c r="G67" s="210" t="s">
        <v>43</v>
      </c>
      <c r="H67" s="59">
        <v>142.41999999999999</v>
      </c>
      <c r="I67" s="59">
        <v>0.26</v>
      </c>
      <c r="J67" s="59">
        <v>0.56999999999999995</v>
      </c>
      <c r="K67" s="59">
        <v>22.37</v>
      </c>
      <c r="L67" s="59">
        <v>30.44</v>
      </c>
      <c r="M67" s="59">
        <v>18</v>
      </c>
      <c r="N67" s="59">
        <v>148.9</v>
      </c>
      <c r="O67" s="59">
        <v>0</v>
      </c>
      <c r="P67" s="59">
        <v>0.81</v>
      </c>
      <c r="Q67" s="59">
        <v>38.71</v>
      </c>
      <c r="R67" s="197"/>
      <c r="S67" s="197"/>
      <c r="T67" s="197"/>
      <c r="U67" s="197"/>
    </row>
    <row r="68" spans="1:21" s="12" customFormat="1" x14ac:dyDescent="0.25">
      <c r="A68" s="200" t="s">
        <v>1938</v>
      </c>
      <c r="B68" s="59">
        <v>11.31</v>
      </c>
      <c r="C68" s="59">
        <v>81.16</v>
      </c>
      <c r="D68" s="59">
        <v>53.86</v>
      </c>
      <c r="E68" s="59">
        <v>9.48</v>
      </c>
      <c r="F68" s="59">
        <v>2.2000000000000002</v>
      </c>
      <c r="G68" s="210" t="s">
        <v>43</v>
      </c>
      <c r="H68" s="59">
        <v>142.41999999999999</v>
      </c>
      <c r="I68" s="59">
        <v>0.25</v>
      </c>
      <c r="J68" s="59">
        <v>1.38</v>
      </c>
      <c r="K68" s="59">
        <v>133.6</v>
      </c>
      <c r="L68" s="59">
        <v>28.07</v>
      </c>
      <c r="M68" s="59">
        <v>21</v>
      </c>
      <c r="N68" s="59">
        <v>265.2</v>
      </c>
      <c r="O68" s="59">
        <v>0</v>
      </c>
      <c r="P68" s="59">
        <v>0.8</v>
      </c>
      <c r="Q68" s="59">
        <v>39.11</v>
      </c>
      <c r="R68" s="197"/>
      <c r="S68" s="197"/>
      <c r="T68" s="197"/>
      <c r="U68" s="197"/>
    </row>
    <row r="69" spans="1:21" s="12" customFormat="1" x14ac:dyDescent="0.25">
      <c r="A69" s="200" t="s">
        <v>1939</v>
      </c>
      <c r="B69" s="59">
        <v>12.8</v>
      </c>
      <c r="C69" s="59">
        <v>82.07</v>
      </c>
      <c r="D69" s="59">
        <v>55.56</v>
      </c>
      <c r="E69" s="59">
        <v>16.97</v>
      </c>
      <c r="F69" s="59">
        <v>3.13</v>
      </c>
      <c r="G69" s="209" t="s">
        <v>36</v>
      </c>
      <c r="H69" s="59">
        <v>102.75</v>
      </c>
      <c r="I69" s="59">
        <v>0.25</v>
      </c>
      <c r="J69" s="59">
        <v>0.26</v>
      </c>
      <c r="K69" s="59">
        <v>75.69</v>
      </c>
      <c r="L69" s="59">
        <v>27.61</v>
      </c>
      <c r="M69" s="59">
        <v>22</v>
      </c>
      <c r="N69" s="59">
        <v>237</v>
      </c>
      <c r="O69" s="59">
        <v>0</v>
      </c>
      <c r="P69" s="59">
        <v>0.79</v>
      </c>
      <c r="Q69" s="59">
        <v>39.33</v>
      </c>
      <c r="R69" s="197"/>
      <c r="S69" s="197"/>
      <c r="T69" s="197"/>
      <c r="U69" s="197"/>
    </row>
    <row r="70" spans="1:21" s="12" customFormat="1" x14ac:dyDescent="0.25">
      <c r="A70" s="200" t="s">
        <v>1940</v>
      </c>
      <c r="B70" s="59">
        <v>13.72</v>
      </c>
      <c r="C70" s="59">
        <v>83.49</v>
      </c>
      <c r="D70" s="59">
        <v>57.08</v>
      </c>
      <c r="E70" s="59">
        <v>17.059999999999999</v>
      </c>
      <c r="F70" s="59">
        <v>3.25</v>
      </c>
      <c r="G70" s="209" t="s">
        <v>36</v>
      </c>
      <c r="H70" s="59">
        <v>34.25</v>
      </c>
      <c r="I70" s="59">
        <v>0.27</v>
      </c>
      <c r="J70" s="59">
        <v>0.63</v>
      </c>
      <c r="K70" s="59">
        <v>27.67</v>
      </c>
      <c r="L70" s="59">
        <v>27.65</v>
      </c>
      <c r="M70" s="59">
        <v>22</v>
      </c>
      <c r="N70" s="59">
        <v>155.1</v>
      </c>
      <c r="O70" s="59">
        <v>0</v>
      </c>
      <c r="P70" s="59">
        <v>0.8</v>
      </c>
      <c r="Q70" s="59">
        <v>39.35</v>
      </c>
      <c r="R70" s="197"/>
      <c r="S70" s="197"/>
      <c r="T70" s="197"/>
      <c r="U70" s="197"/>
    </row>
    <row r="71" spans="1:21" s="12" customFormat="1" x14ac:dyDescent="0.25">
      <c r="A71" s="200" t="s">
        <v>1941</v>
      </c>
      <c r="B71" s="59">
        <v>15.06</v>
      </c>
      <c r="C71" s="59">
        <v>82.33</v>
      </c>
      <c r="D71" s="59">
        <v>57.52</v>
      </c>
      <c r="E71" s="59">
        <v>16.73</v>
      </c>
      <c r="F71" s="59">
        <v>2.82</v>
      </c>
      <c r="G71" s="209" t="s">
        <v>36</v>
      </c>
      <c r="H71" s="59">
        <v>34.25</v>
      </c>
      <c r="I71" s="59">
        <v>0.26</v>
      </c>
      <c r="J71" s="59">
        <v>0.43</v>
      </c>
      <c r="K71" s="59">
        <v>75.37</v>
      </c>
      <c r="L71" s="59">
        <v>27.1</v>
      </c>
      <c r="M71" s="59">
        <v>22</v>
      </c>
      <c r="N71" s="59">
        <v>172.3</v>
      </c>
      <c r="O71" s="59">
        <v>0</v>
      </c>
      <c r="P71" s="59">
        <v>0.81</v>
      </c>
      <c r="Q71" s="59">
        <v>39.9</v>
      </c>
      <c r="R71" s="197"/>
      <c r="S71" s="197"/>
      <c r="T71" s="197"/>
      <c r="U71" s="197"/>
    </row>
    <row r="72" spans="1:21" s="12" customFormat="1" x14ac:dyDescent="0.25">
      <c r="A72" s="200" t="s">
        <v>1942</v>
      </c>
      <c r="B72" s="59">
        <v>15.55</v>
      </c>
      <c r="C72" s="59">
        <v>83.01</v>
      </c>
      <c r="D72" s="59">
        <v>58.28</v>
      </c>
      <c r="E72" s="59">
        <v>11.72</v>
      </c>
      <c r="F72" s="59">
        <v>2.98</v>
      </c>
      <c r="G72" s="209" t="s">
        <v>36</v>
      </c>
      <c r="H72" s="59">
        <v>34.25</v>
      </c>
      <c r="I72" s="59">
        <v>0.26</v>
      </c>
      <c r="J72" s="59">
        <v>0.46</v>
      </c>
      <c r="K72" s="59">
        <v>50.51</v>
      </c>
      <c r="L72" s="59">
        <v>26.86</v>
      </c>
      <c r="M72" s="59">
        <v>24</v>
      </c>
      <c r="N72" s="59">
        <v>73.7</v>
      </c>
      <c r="O72" s="59">
        <v>0</v>
      </c>
      <c r="P72" s="59">
        <v>0.83</v>
      </c>
      <c r="Q72" s="59">
        <v>40.5</v>
      </c>
      <c r="R72" s="197"/>
      <c r="S72" s="197"/>
      <c r="T72" s="197"/>
      <c r="U72" s="197"/>
    </row>
    <row r="73" spans="1:21" s="12" customFormat="1" x14ac:dyDescent="0.25">
      <c r="A73" s="200" t="s">
        <v>1943</v>
      </c>
      <c r="B73" s="59">
        <v>15.9</v>
      </c>
      <c r="C73" s="59">
        <v>81.05</v>
      </c>
      <c r="D73" s="59">
        <v>57.48</v>
      </c>
      <c r="E73" s="59">
        <v>12.48</v>
      </c>
      <c r="F73" s="59">
        <v>1.67</v>
      </c>
      <c r="G73" s="209" t="s">
        <v>36</v>
      </c>
      <c r="H73" s="59">
        <v>30.88</v>
      </c>
      <c r="I73" s="59">
        <v>0.26</v>
      </c>
      <c r="J73" s="59">
        <v>0.89</v>
      </c>
      <c r="K73" s="59">
        <v>6.84</v>
      </c>
      <c r="L73" s="59">
        <v>26.75</v>
      </c>
      <c r="M73" s="59">
        <v>26</v>
      </c>
      <c r="N73" s="59">
        <v>56.2</v>
      </c>
      <c r="O73" s="59">
        <v>0</v>
      </c>
      <c r="P73" s="59">
        <v>0.84</v>
      </c>
      <c r="Q73" s="59">
        <v>41.41</v>
      </c>
      <c r="R73" s="197"/>
      <c r="S73" s="197"/>
      <c r="T73" s="197"/>
      <c r="U73" s="197"/>
    </row>
    <row r="74" spans="1:21" s="12" customFormat="1" x14ac:dyDescent="0.25">
      <c r="A74" s="200" t="s">
        <v>1944</v>
      </c>
      <c r="B74" s="59">
        <v>16.22</v>
      </c>
      <c r="C74" s="59">
        <v>82.68</v>
      </c>
      <c r="D74" s="59">
        <v>58.64</v>
      </c>
      <c r="E74" s="59">
        <v>9.4</v>
      </c>
      <c r="F74" s="59">
        <v>1.26</v>
      </c>
      <c r="G74" s="209" t="s">
        <v>36</v>
      </c>
      <c r="H74" s="59">
        <v>25.06</v>
      </c>
      <c r="I74" s="59">
        <v>0.27</v>
      </c>
      <c r="J74" s="59">
        <v>1.1100000000000001</v>
      </c>
      <c r="K74" s="59">
        <v>8.41</v>
      </c>
      <c r="L74" s="59">
        <v>26.44</v>
      </c>
      <c r="M74" s="59">
        <v>27</v>
      </c>
      <c r="N74" s="59">
        <v>49.3</v>
      </c>
      <c r="O74" s="59">
        <v>0</v>
      </c>
      <c r="P74" s="59">
        <v>0.9</v>
      </c>
      <c r="Q74" s="59">
        <v>41.55</v>
      </c>
      <c r="R74" s="197"/>
      <c r="S74" s="197"/>
      <c r="T74" s="197"/>
      <c r="U74" s="197"/>
    </row>
    <row r="75" spans="1:21" s="12" customFormat="1" x14ac:dyDescent="0.25">
      <c r="A75" s="200" t="s">
        <v>1945</v>
      </c>
      <c r="B75" s="59">
        <v>16.07</v>
      </c>
      <c r="C75" s="59">
        <v>86.14</v>
      </c>
      <c r="D75" s="59">
        <v>60.43</v>
      </c>
      <c r="E75" s="59">
        <v>8.67</v>
      </c>
      <c r="F75" s="59">
        <v>1.1399999999999999</v>
      </c>
      <c r="G75" s="209" t="s">
        <v>36</v>
      </c>
      <c r="H75" s="59">
        <v>25.06</v>
      </c>
      <c r="I75" s="59">
        <v>0.28000000000000003</v>
      </c>
      <c r="J75" s="59">
        <v>1.23</v>
      </c>
      <c r="K75" s="59">
        <v>10.5</v>
      </c>
      <c r="L75" s="59">
        <v>25.97</v>
      </c>
      <c r="M75" s="59">
        <v>28</v>
      </c>
      <c r="N75" s="59">
        <v>42.7</v>
      </c>
      <c r="O75" s="59">
        <v>0</v>
      </c>
      <c r="P75" s="59">
        <v>0.94</v>
      </c>
      <c r="Q75" s="59">
        <v>41.31</v>
      </c>
      <c r="R75" s="197"/>
      <c r="S75" s="197"/>
      <c r="T75" s="197"/>
      <c r="U75" s="197"/>
    </row>
    <row r="76" spans="1:21" s="12" customFormat="1" x14ac:dyDescent="0.25">
      <c r="A76" s="200" t="s">
        <v>1946</v>
      </c>
      <c r="B76" s="59">
        <v>15.62</v>
      </c>
      <c r="C76" s="59">
        <v>87.25</v>
      </c>
      <c r="D76" s="59">
        <v>60.68</v>
      </c>
      <c r="E76" s="59">
        <v>8.92</v>
      </c>
      <c r="F76" s="59">
        <v>1.18</v>
      </c>
      <c r="G76" s="209" t="s">
        <v>36</v>
      </c>
      <c r="H76" s="59">
        <v>25.06</v>
      </c>
      <c r="I76" s="59">
        <v>0.28000000000000003</v>
      </c>
      <c r="J76" s="59">
        <v>1.4</v>
      </c>
      <c r="K76" s="59">
        <v>8.26</v>
      </c>
      <c r="L76" s="59">
        <v>25.41</v>
      </c>
      <c r="M76" s="59">
        <v>29</v>
      </c>
      <c r="N76" s="59">
        <v>35.799999999999997</v>
      </c>
      <c r="O76" s="59">
        <v>0</v>
      </c>
      <c r="P76" s="59">
        <v>1</v>
      </c>
      <c r="Q76" s="59">
        <v>40.92</v>
      </c>
      <c r="R76" s="197"/>
      <c r="S76" s="197"/>
      <c r="T76" s="197"/>
      <c r="U76" s="197"/>
    </row>
    <row r="77" spans="1:21" s="12" customFormat="1" x14ac:dyDescent="0.25">
      <c r="A77" s="200" t="s">
        <v>1947</v>
      </c>
      <c r="B77" s="59">
        <v>14.98</v>
      </c>
      <c r="C77" s="59">
        <v>89.11</v>
      </c>
      <c r="D77" s="59">
        <v>61.19</v>
      </c>
      <c r="E77" s="59">
        <v>8.09</v>
      </c>
      <c r="F77" s="59">
        <v>1.23</v>
      </c>
      <c r="G77" s="209" t="s">
        <v>36</v>
      </c>
      <c r="H77" s="59">
        <v>25.75</v>
      </c>
      <c r="I77" s="59">
        <v>0.28000000000000003</v>
      </c>
      <c r="J77" s="59">
        <v>1.19</v>
      </c>
      <c r="K77" s="59">
        <v>13.38</v>
      </c>
      <c r="L77" s="59">
        <v>24.88</v>
      </c>
      <c r="M77" s="59">
        <v>30</v>
      </c>
      <c r="N77" s="59">
        <v>30</v>
      </c>
      <c r="O77" s="59">
        <v>0</v>
      </c>
      <c r="P77" s="59">
        <v>1.04</v>
      </c>
      <c r="Q77" s="59">
        <v>40.270000000000003</v>
      </c>
      <c r="R77" s="197"/>
      <c r="S77" s="197"/>
      <c r="T77" s="197"/>
      <c r="U77" s="197"/>
    </row>
    <row r="78" spans="1:21" s="12" customFormat="1" x14ac:dyDescent="0.25">
      <c r="A78" s="200" t="s">
        <v>1948</v>
      </c>
      <c r="B78" s="59">
        <v>14.32</v>
      </c>
      <c r="C78" s="59">
        <v>90.32</v>
      </c>
      <c r="D78" s="59">
        <v>61.32</v>
      </c>
      <c r="E78" s="59">
        <v>7.43</v>
      </c>
      <c r="F78" s="59">
        <v>1.2</v>
      </c>
      <c r="G78" s="209" t="s">
        <v>36</v>
      </c>
      <c r="H78" s="59">
        <v>26.94</v>
      </c>
      <c r="I78" s="59">
        <v>0.28999999999999998</v>
      </c>
      <c r="J78" s="59">
        <v>0.89</v>
      </c>
      <c r="K78" s="59">
        <v>12.87</v>
      </c>
      <c r="L78" s="59">
        <v>24.32</v>
      </c>
      <c r="M78" s="59">
        <v>31</v>
      </c>
      <c r="N78" s="59">
        <v>25.8</v>
      </c>
      <c r="O78" s="59">
        <v>0</v>
      </c>
      <c r="P78" s="59">
        <v>1.1000000000000001</v>
      </c>
      <c r="Q78" s="59">
        <v>39.78</v>
      </c>
      <c r="R78" s="197"/>
      <c r="S78" s="197"/>
      <c r="T78" s="197"/>
      <c r="U78" s="197"/>
    </row>
    <row r="79" spans="1:21" s="12" customFormat="1" x14ac:dyDescent="0.25">
      <c r="A79" s="200" t="s">
        <v>1949</v>
      </c>
      <c r="B79" s="59">
        <v>13.54</v>
      </c>
      <c r="C79" s="59">
        <v>91.47</v>
      </c>
      <c r="D79" s="59">
        <v>61.33</v>
      </c>
      <c r="E79" s="59">
        <v>7.09</v>
      </c>
      <c r="F79" s="59">
        <v>1.0900000000000001</v>
      </c>
      <c r="G79" s="209" t="s">
        <v>36</v>
      </c>
      <c r="H79" s="59">
        <v>26.94</v>
      </c>
      <c r="I79" s="59">
        <v>0.28000000000000003</v>
      </c>
      <c r="J79" s="59">
        <v>0.66</v>
      </c>
      <c r="K79" s="59">
        <v>16.21</v>
      </c>
      <c r="L79" s="59">
        <v>23.73</v>
      </c>
      <c r="M79" s="59">
        <v>33</v>
      </c>
      <c r="N79" s="59">
        <v>24.4</v>
      </c>
      <c r="O79" s="59">
        <v>0</v>
      </c>
      <c r="P79" s="59">
        <v>1.1499999999999999</v>
      </c>
      <c r="Q79" s="59">
        <v>39.450000000000003</v>
      </c>
      <c r="R79" s="197"/>
      <c r="S79" s="197"/>
      <c r="T79" s="197"/>
      <c r="U79" s="197"/>
    </row>
    <row r="80" spans="1:21" s="12" customFormat="1" x14ac:dyDescent="0.25">
      <c r="A80" s="200" t="s">
        <v>1950</v>
      </c>
      <c r="B80" s="59">
        <v>14.9</v>
      </c>
      <c r="C80" s="59">
        <v>94.78</v>
      </c>
      <c r="D80" s="59">
        <v>64.260000000000005</v>
      </c>
      <c r="E80" s="59">
        <v>7.59</v>
      </c>
      <c r="F80" s="59">
        <v>2.67</v>
      </c>
      <c r="G80" s="209" t="s">
        <v>36</v>
      </c>
      <c r="H80" s="59">
        <v>26.94</v>
      </c>
      <c r="I80" s="59">
        <v>0.28999999999999998</v>
      </c>
      <c r="J80" s="59">
        <v>0.46</v>
      </c>
      <c r="K80" s="59">
        <v>17.77</v>
      </c>
      <c r="L80" s="59">
        <v>23.06</v>
      </c>
      <c r="M80" s="59">
        <v>36</v>
      </c>
      <c r="N80" s="59">
        <v>24.2</v>
      </c>
      <c r="O80" s="59">
        <v>0</v>
      </c>
      <c r="P80" s="59">
        <v>1.27</v>
      </c>
      <c r="Q80" s="59">
        <v>39.14</v>
      </c>
      <c r="R80" s="197"/>
      <c r="S80" s="197"/>
      <c r="T80" s="197"/>
      <c r="U80" s="197"/>
    </row>
    <row r="81" spans="1:26" s="12" customFormat="1" x14ac:dyDescent="0.25">
      <c r="A81" s="200" t="s">
        <v>1951</v>
      </c>
      <c r="B81" s="59">
        <v>16.04</v>
      </c>
      <c r="C81" s="59">
        <v>94.62</v>
      </c>
      <c r="D81" s="59">
        <v>65.08</v>
      </c>
      <c r="E81" s="59">
        <v>7.34</v>
      </c>
      <c r="F81" s="59">
        <v>2.17</v>
      </c>
      <c r="G81" s="209" t="s">
        <v>36</v>
      </c>
      <c r="H81" s="59">
        <v>32.270000000000003</v>
      </c>
      <c r="I81" s="59">
        <v>0.3</v>
      </c>
      <c r="J81" s="59">
        <v>0.31</v>
      </c>
      <c r="K81" s="59">
        <v>15.86</v>
      </c>
      <c r="L81" s="59">
        <v>22.55</v>
      </c>
      <c r="M81" s="59">
        <v>36</v>
      </c>
      <c r="N81" s="59">
        <v>24.1</v>
      </c>
      <c r="O81" s="59">
        <v>0</v>
      </c>
      <c r="P81" s="59">
        <v>1.32</v>
      </c>
      <c r="Q81" s="59">
        <v>38.97</v>
      </c>
      <c r="R81" s="197"/>
      <c r="S81" s="197"/>
      <c r="T81" s="197"/>
      <c r="U81" s="197"/>
    </row>
    <row r="82" spans="1:26" s="12" customFormat="1" x14ac:dyDescent="0.25">
      <c r="A82" s="200" t="s">
        <v>1952</v>
      </c>
      <c r="B82" s="59">
        <v>16.73</v>
      </c>
      <c r="C82" s="59">
        <v>93.72</v>
      </c>
      <c r="D82" s="59">
        <v>65.14</v>
      </c>
      <c r="E82" s="59">
        <v>7.19</v>
      </c>
      <c r="F82" s="59">
        <v>1.64</v>
      </c>
      <c r="G82" s="209" t="s">
        <v>36</v>
      </c>
      <c r="H82" s="59">
        <v>41.47</v>
      </c>
      <c r="I82" s="59">
        <v>0.31</v>
      </c>
      <c r="J82" s="59">
        <v>0.33</v>
      </c>
      <c r="K82" s="59">
        <v>16.16</v>
      </c>
      <c r="L82" s="59">
        <v>22.09</v>
      </c>
      <c r="M82" s="59">
        <v>38</v>
      </c>
      <c r="N82" s="59">
        <v>24</v>
      </c>
      <c r="O82" s="59">
        <v>0</v>
      </c>
      <c r="P82" s="59">
        <v>1.37</v>
      </c>
      <c r="Q82" s="59">
        <v>39.409999999999997</v>
      </c>
      <c r="R82" s="197"/>
      <c r="S82" s="197"/>
      <c r="T82" s="197"/>
      <c r="U82" s="197"/>
    </row>
    <row r="83" spans="1:26" s="12" customFormat="1" x14ac:dyDescent="0.25">
      <c r="A83" s="200" t="s">
        <v>1953</v>
      </c>
      <c r="B83" s="59">
        <v>19.57</v>
      </c>
      <c r="C83" s="59">
        <v>98.17</v>
      </c>
      <c r="D83" s="59">
        <v>69.87</v>
      </c>
      <c r="E83" s="59">
        <v>7.81</v>
      </c>
      <c r="F83" s="59">
        <v>1.08</v>
      </c>
      <c r="G83" s="209" t="s">
        <v>36</v>
      </c>
      <c r="H83" s="59">
        <v>41.47</v>
      </c>
      <c r="I83" s="59">
        <v>0.33</v>
      </c>
      <c r="J83" s="59">
        <v>0.14000000000000001</v>
      </c>
      <c r="K83" s="59">
        <v>6.41</v>
      </c>
      <c r="L83" s="59">
        <v>21.58</v>
      </c>
      <c r="M83" s="59">
        <v>39</v>
      </c>
      <c r="N83" s="59">
        <v>24.3</v>
      </c>
      <c r="O83" s="59">
        <v>0</v>
      </c>
      <c r="P83" s="59">
        <v>1.45</v>
      </c>
      <c r="Q83" s="59">
        <v>40.18</v>
      </c>
      <c r="R83" s="197"/>
      <c r="S83" s="197"/>
      <c r="T83" s="197"/>
      <c r="U83" s="197"/>
    </row>
    <row r="84" spans="1:26" s="12" customFormat="1" x14ac:dyDescent="0.25">
      <c r="A84" s="200" t="s">
        <v>1954</v>
      </c>
      <c r="B84" s="59">
        <v>20.54</v>
      </c>
      <c r="C84" s="59">
        <v>98.37</v>
      </c>
      <c r="D84" s="59">
        <v>70.760000000000005</v>
      </c>
      <c r="E84" s="59">
        <v>7.12</v>
      </c>
      <c r="F84" s="59">
        <v>0.81</v>
      </c>
      <c r="G84" s="209" t="s">
        <v>36</v>
      </c>
      <c r="H84" s="59">
        <v>41.47</v>
      </c>
      <c r="I84" s="59">
        <v>0.36</v>
      </c>
      <c r="J84" s="59">
        <v>0.09</v>
      </c>
      <c r="K84" s="59">
        <v>72.89</v>
      </c>
      <c r="L84" s="59">
        <v>21.15</v>
      </c>
      <c r="M84" s="59">
        <v>42</v>
      </c>
      <c r="N84" s="59">
        <v>24.2</v>
      </c>
      <c r="O84" s="59">
        <v>0</v>
      </c>
      <c r="P84" s="59">
        <v>1.54</v>
      </c>
      <c r="Q84" s="59">
        <v>40.99</v>
      </c>
      <c r="R84" s="197"/>
      <c r="S84" s="197"/>
      <c r="T84" s="197"/>
      <c r="U84" s="197"/>
    </row>
    <row r="85" spans="1:26" s="12" customFormat="1" x14ac:dyDescent="0.25">
      <c r="A85" s="200" t="s">
        <v>1955</v>
      </c>
      <c r="B85" s="59">
        <v>26.21</v>
      </c>
      <c r="C85" s="59">
        <v>97.4</v>
      </c>
      <c r="D85" s="59">
        <v>74.77</v>
      </c>
      <c r="E85" s="59">
        <v>7.03</v>
      </c>
      <c r="F85" s="59">
        <v>0.71</v>
      </c>
      <c r="G85" s="59">
        <v>84.71</v>
      </c>
      <c r="H85" s="59">
        <v>39.630000000000003</v>
      </c>
      <c r="I85" s="59">
        <v>0.39</v>
      </c>
      <c r="J85" s="59">
        <v>0.13</v>
      </c>
      <c r="K85" s="59">
        <v>5.07</v>
      </c>
      <c r="L85" s="59">
        <v>20.73</v>
      </c>
      <c r="M85" s="59">
        <v>45</v>
      </c>
      <c r="N85" s="59">
        <v>24.2</v>
      </c>
      <c r="O85" s="59">
        <v>0</v>
      </c>
      <c r="P85" s="59">
        <v>1.55</v>
      </c>
      <c r="Q85" s="59">
        <v>41.11</v>
      </c>
      <c r="R85" s="197"/>
      <c r="S85" s="197"/>
      <c r="T85" s="197"/>
      <c r="U85" s="197"/>
    </row>
    <row r="86" spans="1:26" s="12" customFormat="1" x14ac:dyDescent="0.25">
      <c r="A86" s="200" t="s">
        <v>1956</v>
      </c>
      <c r="B86" s="59">
        <v>29.39</v>
      </c>
      <c r="C86" s="59">
        <v>98.22</v>
      </c>
      <c r="D86" s="59">
        <v>77.77</v>
      </c>
      <c r="E86" s="59">
        <v>6.73</v>
      </c>
      <c r="F86" s="59">
        <v>0.68</v>
      </c>
      <c r="G86" s="59">
        <v>135.69</v>
      </c>
      <c r="H86" s="59">
        <v>36.450000000000003</v>
      </c>
      <c r="I86" s="59">
        <v>0.43</v>
      </c>
      <c r="J86" s="59">
        <v>0.18</v>
      </c>
      <c r="K86" s="59">
        <v>14.47</v>
      </c>
      <c r="L86" s="59">
        <v>20.07</v>
      </c>
      <c r="M86" s="59">
        <v>49</v>
      </c>
      <c r="N86" s="59">
        <v>24</v>
      </c>
      <c r="O86" s="59">
        <v>0</v>
      </c>
      <c r="P86" s="59">
        <v>1.74</v>
      </c>
      <c r="Q86" s="59">
        <v>41.82</v>
      </c>
      <c r="R86" s="197"/>
      <c r="S86" s="197"/>
      <c r="T86" s="197"/>
      <c r="U86" s="197"/>
    </row>
    <row r="87" spans="1:26" s="12" customFormat="1" x14ac:dyDescent="0.25">
      <c r="A87" s="200" t="s">
        <v>1957</v>
      </c>
      <c r="B87" s="59">
        <v>35.32</v>
      </c>
      <c r="C87" s="59">
        <v>100.16</v>
      </c>
      <c r="D87" s="59">
        <v>83.6</v>
      </c>
      <c r="E87" s="59">
        <v>7.18</v>
      </c>
      <c r="F87" s="59">
        <v>0.66</v>
      </c>
      <c r="G87" s="59">
        <v>135.69</v>
      </c>
      <c r="H87" s="59">
        <v>36.450000000000003</v>
      </c>
      <c r="I87" s="59">
        <v>0.47</v>
      </c>
      <c r="J87" s="59">
        <v>0.16</v>
      </c>
      <c r="K87" s="59">
        <v>359.87</v>
      </c>
      <c r="L87" s="59">
        <v>19.72</v>
      </c>
      <c r="M87" s="59">
        <v>49</v>
      </c>
      <c r="N87" s="59">
        <v>24</v>
      </c>
      <c r="O87" s="59">
        <v>0</v>
      </c>
      <c r="P87" s="59">
        <v>1.94</v>
      </c>
      <c r="Q87" s="59">
        <v>43.18</v>
      </c>
      <c r="R87" s="197"/>
      <c r="S87" s="197"/>
      <c r="T87" s="197"/>
      <c r="U87" s="197"/>
    </row>
    <row r="88" spans="1:26" s="12" customFormat="1" x14ac:dyDescent="0.25">
      <c r="A88" s="200" t="s">
        <v>1958</v>
      </c>
      <c r="B88" s="59">
        <v>40.33</v>
      </c>
      <c r="C88" s="59">
        <v>102.28</v>
      </c>
      <c r="D88" s="59">
        <v>88.79</v>
      </c>
      <c r="E88" s="59">
        <v>3.49</v>
      </c>
      <c r="F88" s="59">
        <v>0.56000000000000005</v>
      </c>
      <c r="G88" s="59">
        <v>135.69</v>
      </c>
      <c r="H88" s="59">
        <v>36.450000000000003</v>
      </c>
      <c r="I88" s="59">
        <v>0.51</v>
      </c>
      <c r="J88" s="59">
        <v>0.13</v>
      </c>
      <c r="K88" s="59">
        <v>38.86</v>
      </c>
      <c r="L88" s="59">
        <v>19.66</v>
      </c>
      <c r="M88" s="59">
        <v>47</v>
      </c>
      <c r="N88" s="59">
        <v>24.1</v>
      </c>
      <c r="O88" s="59">
        <v>0</v>
      </c>
      <c r="P88" s="59">
        <v>2.1800000000000002</v>
      </c>
      <c r="Q88" s="59">
        <v>44.33</v>
      </c>
      <c r="R88" s="197"/>
      <c r="S88" s="197"/>
      <c r="T88" s="197"/>
      <c r="U88" s="197"/>
    </row>
    <row r="89" spans="1:26" s="12" customFormat="1" x14ac:dyDescent="0.25">
      <c r="A89" s="200" t="s">
        <v>1959</v>
      </c>
      <c r="B89" s="59">
        <v>44.88</v>
      </c>
      <c r="C89" s="59">
        <v>105.73</v>
      </c>
      <c r="D89" s="59">
        <v>94.34</v>
      </c>
      <c r="E89" s="59">
        <v>6.99</v>
      </c>
      <c r="F89" s="59">
        <v>0.67</v>
      </c>
      <c r="G89" s="59">
        <v>155.63</v>
      </c>
      <c r="H89" s="59">
        <v>44.2</v>
      </c>
      <c r="I89" s="59">
        <v>0.56999999999999995</v>
      </c>
      <c r="J89" s="59">
        <v>0.16</v>
      </c>
      <c r="K89" s="59">
        <v>29.07</v>
      </c>
      <c r="L89" s="59">
        <v>19.89</v>
      </c>
      <c r="M89" s="59">
        <v>47</v>
      </c>
      <c r="N89" s="59">
        <v>23.9</v>
      </c>
      <c r="O89" s="59">
        <v>0</v>
      </c>
      <c r="P89" s="59">
        <v>2.35</v>
      </c>
      <c r="Q89" s="59">
        <v>44.45</v>
      </c>
      <c r="R89" s="197"/>
      <c r="S89" s="197"/>
      <c r="T89" s="197"/>
      <c r="U89" s="197"/>
    </row>
    <row r="90" spans="1:26" s="12" customFormat="1" x14ac:dyDescent="0.25">
      <c r="A90" s="200" t="s">
        <v>1960</v>
      </c>
      <c r="B90" s="59">
        <v>50.6</v>
      </c>
      <c r="C90" s="59">
        <v>109.46</v>
      </c>
      <c r="D90" s="59">
        <v>100.98</v>
      </c>
      <c r="E90" s="59">
        <v>6.86</v>
      </c>
      <c r="F90" s="59">
        <v>0.71</v>
      </c>
      <c r="G90" s="59">
        <v>223.43</v>
      </c>
      <c r="H90" s="59">
        <v>57.57</v>
      </c>
      <c r="I90" s="59">
        <v>0.65</v>
      </c>
      <c r="J90" s="59">
        <v>0.13</v>
      </c>
      <c r="K90" s="59">
        <v>347.18</v>
      </c>
      <c r="L90" s="59">
        <v>19.38</v>
      </c>
      <c r="M90" s="59">
        <v>52</v>
      </c>
      <c r="N90" s="59">
        <v>24.2</v>
      </c>
      <c r="O90" s="59">
        <v>0</v>
      </c>
      <c r="P90" s="59">
        <v>2.56</v>
      </c>
      <c r="Q90" s="59">
        <v>44.41</v>
      </c>
      <c r="R90" s="197"/>
      <c r="S90" s="197"/>
      <c r="T90" s="197"/>
      <c r="U90" s="197"/>
    </row>
    <row r="91" spans="1:26" s="12" customFormat="1" x14ac:dyDescent="0.25">
      <c r="A91" s="200" t="s">
        <v>1961</v>
      </c>
      <c r="B91" s="59">
        <v>56.03</v>
      </c>
      <c r="C91" s="59">
        <v>112.92</v>
      </c>
      <c r="D91" s="59">
        <v>107.25</v>
      </c>
      <c r="E91" s="59">
        <v>6.99</v>
      </c>
      <c r="F91" s="59">
        <v>0.63</v>
      </c>
      <c r="G91" s="59">
        <v>223.43</v>
      </c>
      <c r="H91" s="59">
        <v>57.57</v>
      </c>
      <c r="I91" s="59">
        <v>0.65</v>
      </c>
      <c r="J91" s="59">
        <v>0.06</v>
      </c>
      <c r="K91" s="59">
        <v>271.06</v>
      </c>
      <c r="L91" s="59">
        <v>18.78</v>
      </c>
      <c r="M91" s="59">
        <v>52</v>
      </c>
      <c r="N91" s="59">
        <v>24.4</v>
      </c>
      <c r="O91" s="59">
        <v>0</v>
      </c>
      <c r="P91" s="59">
        <v>2.77</v>
      </c>
      <c r="Q91" s="59">
        <v>44.61</v>
      </c>
      <c r="R91" s="197"/>
      <c r="S91" s="197"/>
      <c r="T91" s="197"/>
      <c r="U91" s="197"/>
    </row>
    <row r="92" spans="1:26" s="12" customFormat="1" x14ac:dyDescent="0.25">
      <c r="A92" s="200" t="s">
        <v>1962</v>
      </c>
      <c r="B92" s="59">
        <v>59.79</v>
      </c>
      <c r="C92" s="59">
        <v>115.56</v>
      </c>
      <c r="D92" s="59">
        <v>111.72</v>
      </c>
      <c r="E92" s="59">
        <v>6.82</v>
      </c>
      <c r="F92" s="59">
        <v>0.6</v>
      </c>
      <c r="G92" s="59">
        <v>223.43</v>
      </c>
      <c r="H92" s="59">
        <v>57.57</v>
      </c>
      <c r="I92" s="59">
        <v>0.68</v>
      </c>
      <c r="J92" s="59">
        <v>0.06</v>
      </c>
      <c r="K92" s="59">
        <v>315.11</v>
      </c>
      <c r="L92" s="59">
        <v>18.12</v>
      </c>
      <c r="M92" s="59">
        <v>55</v>
      </c>
      <c r="N92" s="59">
        <v>24.4</v>
      </c>
      <c r="O92" s="59">
        <v>0</v>
      </c>
      <c r="P92" s="59">
        <v>2.9</v>
      </c>
      <c r="Q92" s="59">
        <v>44.71</v>
      </c>
      <c r="R92" s="197"/>
      <c r="S92" s="197"/>
      <c r="T92" s="197"/>
      <c r="U92" s="197"/>
    </row>
    <row r="93" spans="1:26" s="12" customFormat="1" x14ac:dyDescent="0.25">
      <c r="A93" s="200" t="s">
        <v>1963</v>
      </c>
      <c r="B93" s="59">
        <v>66.22</v>
      </c>
      <c r="C93" s="59">
        <v>119.23</v>
      </c>
      <c r="D93" s="59">
        <v>118.9</v>
      </c>
      <c r="E93" s="59">
        <v>6.82</v>
      </c>
      <c r="F93" s="59">
        <v>0.69</v>
      </c>
      <c r="G93" s="59">
        <v>205.01</v>
      </c>
      <c r="H93" s="59">
        <v>58.25</v>
      </c>
      <c r="I93" s="59">
        <v>0.74</v>
      </c>
      <c r="J93" s="59">
        <v>0.1</v>
      </c>
      <c r="K93" s="59">
        <v>258.77999999999997</v>
      </c>
      <c r="L93" s="59">
        <v>17.829999999999998</v>
      </c>
      <c r="M93" s="59">
        <v>58</v>
      </c>
      <c r="N93" s="59">
        <v>24</v>
      </c>
      <c r="O93" s="59">
        <v>0</v>
      </c>
      <c r="P93" s="59">
        <v>3.03</v>
      </c>
      <c r="Q93" s="59">
        <v>44.85</v>
      </c>
      <c r="R93" s="197"/>
      <c r="S93" s="197"/>
      <c r="T93" s="197"/>
      <c r="U93" s="197"/>
    </row>
    <row r="94" spans="1:26" s="12" customFormat="1" x14ac:dyDescent="0.25">
      <c r="A94" s="200" t="s">
        <v>1964</v>
      </c>
      <c r="B94" s="59">
        <v>76.12</v>
      </c>
      <c r="C94" s="59">
        <v>123.98</v>
      </c>
      <c r="D94" s="59">
        <v>129.47</v>
      </c>
      <c r="E94" s="59">
        <v>6.61</v>
      </c>
      <c r="F94" s="59">
        <v>0.71</v>
      </c>
      <c r="G94" s="59">
        <v>185.43</v>
      </c>
      <c r="H94" s="59">
        <v>59.41</v>
      </c>
      <c r="I94" s="59">
        <v>0.84</v>
      </c>
      <c r="J94" s="59">
        <v>0.02</v>
      </c>
      <c r="K94" s="59">
        <v>348.1</v>
      </c>
      <c r="L94" s="59">
        <v>17.66</v>
      </c>
      <c r="M94" s="59">
        <v>60</v>
      </c>
      <c r="N94" s="59">
        <v>24.1</v>
      </c>
      <c r="O94" s="59">
        <v>0</v>
      </c>
      <c r="P94" s="59">
        <v>3.11</v>
      </c>
      <c r="Q94" s="59">
        <v>44.87</v>
      </c>
      <c r="R94" s="197"/>
      <c r="S94" s="197"/>
      <c r="T94" s="197"/>
      <c r="U94" s="197"/>
    </row>
    <row r="95" spans="1:26" s="12" customFormat="1" x14ac:dyDescent="0.25">
      <c r="A95" s="200" t="s">
        <v>1965</v>
      </c>
      <c r="B95" s="59">
        <v>80.569999999999993</v>
      </c>
      <c r="C95" s="59">
        <v>127.21</v>
      </c>
      <c r="D95" s="59">
        <v>134.82</v>
      </c>
      <c r="E95" s="59">
        <v>6.41</v>
      </c>
      <c r="F95" s="59">
        <v>0.67</v>
      </c>
      <c r="G95" s="59">
        <v>185.43</v>
      </c>
      <c r="H95" s="59">
        <v>59.41</v>
      </c>
      <c r="I95" s="59">
        <v>0.81</v>
      </c>
      <c r="J95" s="59">
        <v>0.04</v>
      </c>
      <c r="K95" s="59">
        <v>216.27</v>
      </c>
      <c r="L95" s="59">
        <v>17.47</v>
      </c>
      <c r="M95" s="59">
        <v>63</v>
      </c>
      <c r="N95" s="59">
        <v>24.1</v>
      </c>
      <c r="O95" s="59">
        <v>0</v>
      </c>
      <c r="P95" s="59">
        <v>3.18</v>
      </c>
      <c r="Q95" s="59">
        <v>45.53</v>
      </c>
      <c r="R95" s="197"/>
      <c r="S95" s="197"/>
      <c r="T95" s="197"/>
      <c r="U95" s="197"/>
    </row>
    <row r="96" spans="1:26" s="12" customFormat="1" x14ac:dyDescent="0.25">
      <c r="A96" s="200" t="s">
        <v>1966</v>
      </c>
      <c r="B96" s="59">
        <v>85.63</v>
      </c>
      <c r="C96" s="59">
        <v>127.43</v>
      </c>
      <c r="D96" s="59">
        <v>138.99</v>
      </c>
      <c r="E96" s="59">
        <v>6.48</v>
      </c>
      <c r="F96" s="59">
        <v>0.67</v>
      </c>
      <c r="G96" s="59">
        <v>185.43</v>
      </c>
      <c r="H96" s="59">
        <v>59.41</v>
      </c>
      <c r="I96" s="59">
        <v>0.86</v>
      </c>
      <c r="J96" s="59">
        <v>0.1</v>
      </c>
      <c r="K96" s="59">
        <v>329.57</v>
      </c>
      <c r="L96" s="59">
        <v>17.27</v>
      </c>
      <c r="M96" s="59">
        <v>64</v>
      </c>
      <c r="N96" s="59">
        <v>24.1</v>
      </c>
      <c r="O96" s="59">
        <v>0</v>
      </c>
      <c r="P96" s="59">
        <v>3.26</v>
      </c>
      <c r="Q96" s="59">
        <v>46.38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1967</v>
      </c>
      <c r="B97" s="59">
        <v>95.35</v>
      </c>
      <c r="C97" s="59">
        <v>130.22999999999999</v>
      </c>
      <c r="D97" s="59">
        <v>148.33000000000001</v>
      </c>
      <c r="E97" s="59">
        <v>7.25</v>
      </c>
      <c r="F97" s="59">
        <v>0.56999999999999995</v>
      </c>
      <c r="G97" s="59">
        <v>204.94</v>
      </c>
      <c r="H97" s="59">
        <v>64.45</v>
      </c>
      <c r="I97" s="59">
        <v>0.9</v>
      </c>
      <c r="J97" s="59">
        <v>0.1</v>
      </c>
      <c r="K97" s="59">
        <v>332.79</v>
      </c>
      <c r="L97" s="59">
        <v>17.02</v>
      </c>
      <c r="M97" s="59">
        <v>67</v>
      </c>
      <c r="N97" s="59">
        <v>23.9</v>
      </c>
      <c r="O97" s="59">
        <v>0</v>
      </c>
      <c r="P97" s="59">
        <v>3.38</v>
      </c>
      <c r="Q97" s="59">
        <v>47.43</v>
      </c>
      <c r="R97" s="197"/>
      <c r="S97" s="197"/>
      <c r="T97" s="197"/>
      <c r="U97" s="197"/>
    </row>
    <row r="98" spans="1:33" s="12" customFormat="1" x14ac:dyDescent="0.25">
      <c r="A98" s="200" t="s">
        <v>1968</v>
      </c>
      <c r="B98" s="59">
        <v>103.74</v>
      </c>
      <c r="C98" s="59">
        <v>132.47</v>
      </c>
      <c r="D98" s="59">
        <v>156.30000000000001</v>
      </c>
      <c r="E98" s="59">
        <v>7.03</v>
      </c>
      <c r="F98" s="59">
        <v>0.67</v>
      </c>
      <c r="G98" s="59">
        <v>225.67</v>
      </c>
      <c r="H98" s="59">
        <v>73.150000000000006</v>
      </c>
      <c r="I98" s="59">
        <v>0.94</v>
      </c>
      <c r="J98" s="59">
        <v>0.06</v>
      </c>
      <c r="K98" s="59">
        <v>44.78</v>
      </c>
      <c r="L98" s="59">
        <v>17.03</v>
      </c>
      <c r="M98" s="59">
        <v>67</v>
      </c>
      <c r="N98" s="59">
        <v>23.7</v>
      </c>
      <c r="O98" s="59">
        <v>0</v>
      </c>
      <c r="P98" s="59">
        <v>3.5</v>
      </c>
      <c r="Q98" s="59">
        <v>48.27</v>
      </c>
      <c r="R98" s="197"/>
      <c r="S98" s="197"/>
      <c r="T98" s="197"/>
      <c r="U98" s="197"/>
    </row>
    <row r="99" spans="1:33" s="12" customFormat="1" x14ac:dyDescent="0.25">
      <c r="A99" s="200" t="s">
        <v>1969</v>
      </c>
      <c r="B99" s="59">
        <v>110.59</v>
      </c>
      <c r="C99" s="59">
        <v>134.01</v>
      </c>
      <c r="D99" s="59">
        <v>162.63999999999999</v>
      </c>
      <c r="E99" s="59">
        <v>7.3</v>
      </c>
      <c r="F99" s="59">
        <v>0.62</v>
      </c>
      <c r="G99" s="59">
        <v>225.67</v>
      </c>
      <c r="H99" s="59">
        <v>73.150000000000006</v>
      </c>
      <c r="I99" s="59">
        <v>1</v>
      </c>
      <c r="J99" s="59">
        <v>7.0000000000000007E-2</v>
      </c>
      <c r="K99" s="59">
        <v>53.34</v>
      </c>
      <c r="L99" s="59">
        <v>16.940000000000001</v>
      </c>
      <c r="M99" s="59">
        <v>66</v>
      </c>
      <c r="N99" s="59">
        <v>23.9</v>
      </c>
      <c r="O99" s="59">
        <v>0</v>
      </c>
      <c r="P99" s="59">
        <v>3.65</v>
      </c>
      <c r="Q99" s="59">
        <v>49.04</v>
      </c>
      <c r="R99" s="197"/>
      <c r="S99" s="197"/>
      <c r="T99" s="197"/>
      <c r="U99" s="197"/>
    </row>
    <row r="100" spans="1:33" s="12" customFormat="1" x14ac:dyDescent="0.25">
      <c r="A100" s="200" t="s">
        <v>1970</v>
      </c>
      <c r="B100" s="59">
        <v>113.71</v>
      </c>
      <c r="C100" s="59">
        <v>134.13999999999999</v>
      </c>
      <c r="D100" s="59">
        <v>165.21</v>
      </c>
      <c r="E100" s="59">
        <v>7.01</v>
      </c>
      <c r="F100" s="59">
        <v>0.6</v>
      </c>
      <c r="G100" s="59">
        <v>225.67</v>
      </c>
      <c r="H100" s="59">
        <v>73.150000000000006</v>
      </c>
      <c r="I100" s="59">
        <v>1.05</v>
      </c>
      <c r="J100" s="59">
        <v>0.09</v>
      </c>
      <c r="K100" s="59">
        <v>6.21</v>
      </c>
      <c r="L100" s="59">
        <v>17.36</v>
      </c>
      <c r="M100" s="59">
        <v>57</v>
      </c>
      <c r="N100" s="59">
        <v>23.8</v>
      </c>
      <c r="O100" s="59">
        <v>0</v>
      </c>
      <c r="P100" s="59">
        <v>3.71</v>
      </c>
      <c r="Q100" s="59">
        <v>49.44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1971</v>
      </c>
      <c r="B101" s="59">
        <v>115.1</v>
      </c>
      <c r="C101" s="59">
        <v>134.30000000000001</v>
      </c>
      <c r="D101" s="59">
        <v>166.42</v>
      </c>
      <c r="E101" s="59">
        <v>7.02</v>
      </c>
      <c r="F101" s="59">
        <v>0.6</v>
      </c>
      <c r="G101" s="59">
        <v>191.68</v>
      </c>
      <c r="H101" s="59">
        <v>69.040000000000006</v>
      </c>
      <c r="I101" s="59">
        <v>1.0900000000000001</v>
      </c>
      <c r="J101" s="59">
        <v>0.06</v>
      </c>
      <c r="K101" s="59">
        <v>24.9</v>
      </c>
      <c r="L101" s="59">
        <v>17.36</v>
      </c>
      <c r="M101" s="59">
        <v>54</v>
      </c>
      <c r="N101" s="59">
        <v>23.8</v>
      </c>
      <c r="O101" s="59">
        <v>0</v>
      </c>
      <c r="P101" s="59">
        <v>3.71</v>
      </c>
      <c r="Q101" s="59">
        <v>49.55</v>
      </c>
      <c r="R101" s="197"/>
      <c r="S101" s="197"/>
      <c r="T101" s="197"/>
      <c r="U101" s="197"/>
    </row>
    <row r="102" spans="1:33" s="12" customFormat="1" x14ac:dyDescent="0.25">
      <c r="A102" s="200" t="s">
        <v>1972</v>
      </c>
      <c r="B102" s="59">
        <v>112.27</v>
      </c>
      <c r="C102" s="59">
        <v>133.11000000000001</v>
      </c>
      <c r="D102" s="59">
        <v>163.49</v>
      </c>
      <c r="E102" s="59">
        <v>7.2</v>
      </c>
      <c r="F102" s="59">
        <v>0.65</v>
      </c>
      <c r="G102" s="59">
        <v>155.56</v>
      </c>
      <c r="H102" s="59">
        <v>61.93</v>
      </c>
      <c r="I102" s="59">
        <v>1.1100000000000001</v>
      </c>
      <c r="J102" s="59">
        <v>7.0000000000000007E-2</v>
      </c>
      <c r="K102" s="59">
        <v>340.85</v>
      </c>
      <c r="L102" s="59">
        <v>17.47</v>
      </c>
      <c r="M102" s="59">
        <v>54</v>
      </c>
      <c r="N102" s="59">
        <v>24.1</v>
      </c>
      <c r="O102" s="59">
        <v>0</v>
      </c>
      <c r="P102" s="59">
        <v>3.64</v>
      </c>
      <c r="Q102" s="59">
        <v>49.58</v>
      </c>
      <c r="R102" s="197"/>
      <c r="S102" s="197"/>
      <c r="T102" s="197"/>
      <c r="U102" s="197"/>
    </row>
    <row r="103" spans="1:33" s="12" customFormat="1" x14ac:dyDescent="0.25">
      <c r="A103" s="200" t="s">
        <v>1973</v>
      </c>
      <c r="B103" s="59">
        <v>105.91</v>
      </c>
      <c r="C103" s="59">
        <v>130.72999999999999</v>
      </c>
      <c r="D103" s="59">
        <v>157.08000000000001</v>
      </c>
      <c r="E103" s="59">
        <v>7.44</v>
      </c>
      <c r="F103" s="59">
        <v>0.66</v>
      </c>
      <c r="G103" s="59">
        <v>155.56</v>
      </c>
      <c r="H103" s="59">
        <v>61.93</v>
      </c>
      <c r="I103" s="59">
        <v>1.1000000000000001</v>
      </c>
      <c r="J103" s="59">
        <v>0.12</v>
      </c>
      <c r="K103" s="59">
        <v>288.14999999999998</v>
      </c>
      <c r="L103" s="59">
        <v>17.23</v>
      </c>
      <c r="M103" s="59">
        <v>54</v>
      </c>
      <c r="N103" s="59">
        <v>24</v>
      </c>
      <c r="O103" s="59">
        <v>0</v>
      </c>
      <c r="P103" s="59">
        <v>3.58</v>
      </c>
      <c r="Q103" s="59">
        <v>48.79</v>
      </c>
      <c r="R103" s="197"/>
      <c r="S103" s="197"/>
      <c r="T103" s="197"/>
      <c r="U103" s="197"/>
    </row>
    <row r="104" spans="1:33" s="12" customFormat="1" x14ac:dyDescent="0.25">
      <c r="A104" s="200" t="s">
        <v>1974</v>
      </c>
      <c r="B104" s="59">
        <v>98.82</v>
      </c>
      <c r="C104" s="59">
        <v>127.57</v>
      </c>
      <c r="D104" s="59">
        <v>149.63999999999999</v>
      </c>
      <c r="E104" s="59">
        <v>2.91</v>
      </c>
      <c r="F104" s="59">
        <v>0.74</v>
      </c>
      <c r="G104" s="59">
        <v>155.56</v>
      </c>
      <c r="H104" s="59">
        <v>61.93</v>
      </c>
      <c r="I104" s="59">
        <v>1.06</v>
      </c>
      <c r="J104" s="59">
        <v>0.09</v>
      </c>
      <c r="K104" s="59">
        <v>311.98</v>
      </c>
      <c r="L104" s="59">
        <v>16.78</v>
      </c>
      <c r="M104" s="59">
        <v>59</v>
      </c>
      <c r="N104" s="59">
        <v>24.4</v>
      </c>
      <c r="O104" s="59">
        <v>0</v>
      </c>
      <c r="P104" s="59">
        <v>3.51</v>
      </c>
      <c r="Q104" s="59">
        <v>47.76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8.66</v>
      </c>
      <c r="C106" s="66">
        <f>MIN(C9:C104)</f>
        <v>67.180000000000007</v>
      </c>
      <c r="D106" s="66">
        <f t="shared" ref="D106:Q106" si="0">MIN(D9:D104)</f>
        <v>44.84</v>
      </c>
      <c r="E106" s="66">
        <f t="shared" si="0"/>
        <v>2.91</v>
      </c>
      <c r="F106" s="66">
        <f t="shared" si="0"/>
        <v>0.56000000000000005</v>
      </c>
      <c r="G106" s="66">
        <f t="shared" si="0"/>
        <v>29.92</v>
      </c>
      <c r="H106" s="66">
        <f t="shared" si="0"/>
        <v>14.6</v>
      </c>
      <c r="I106" s="66">
        <f t="shared" si="0"/>
        <v>0.25</v>
      </c>
      <c r="J106" s="66">
        <f t="shared" si="0"/>
        <v>0.02</v>
      </c>
      <c r="K106" s="66">
        <f t="shared" si="0"/>
        <v>5.07</v>
      </c>
      <c r="L106" s="66">
        <f t="shared" si="0"/>
        <v>15.3</v>
      </c>
      <c r="M106" s="66">
        <f t="shared" si="0"/>
        <v>18</v>
      </c>
      <c r="N106" s="66">
        <f t="shared" si="0"/>
        <v>23.3</v>
      </c>
      <c r="O106" s="66">
        <f t="shared" si="0"/>
        <v>0</v>
      </c>
      <c r="P106" s="66">
        <f t="shared" si="0"/>
        <v>0.76</v>
      </c>
      <c r="Q106" s="66">
        <f t="shared" si="0"/>
        <v>33.96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115.1</v>
      </c>
      <c r="C107" s="65">
        <f t="shared" ref="C107:Q107" si="1">MAX(C9:C104)</f>
        <v>134.30000000000001</v>
      </c>
      <c r="D107" s="65">
        <f t="shared" si="1"/>
        <v>166.42</v>
      </c>
      <c r="E107" s="65">
        <f t="shared" si="1"/>
        <v>18.84</v>
      </c>
      <c r="F107" s="65">
        <f t="shared" si="1"/>
        <v>4.4800000000000004</v>
      </c>
      <c r="G107" s="65">
        <f t="shared" si="1"/>
        <v>225.67</v>
      </c>
      <c r="H107" s="65">
        <f t="shared" si="1"/>
        <v>142.41999999999999</v>
      </c>
      <c r="I107" s="65">
        <f t="shared" si="1"/>
        <v>1.1100000000000001</v>
      </c>
      <c r="J107" s="65">
        <f t="shared" si="1"/>
        <v>1.54</v>
      </c>
      <c r="K107" s="65">
        <f t="shared" si="1"/>
        <v>359.87</v>
      </c>
      <c r="L107" s="65">
        <f t="shared" si="1"/>
        <v>31.11</v>
      </c>
      <c r="M107" s="65">
        <f t="shared" si="1"/>
        <v>67</v>
      </c>
      <c r="N107" s="65">
        <f t="shared" si="1"/>
        <v>428.1</v>
      </c>
      <c r="O107" s="65">
        <f t="shared" si="1"/>
        <v>0</v>
      </c>
      <c r="P107" s="65">
        <f t="shared" si="1"/>
        <v>3.71</v>
      </c>
      <c r="Q107" s="65">
        <f t="shared" si="1"/>
        <v>49.58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29.315208333333327</v>
      </c>
      <c r="C108" s="66">
        <f t="shared" ref="C108:Q108" si="2">AVERAGE(C9:C104)</f>
        <v>87.403229166666662</v>
      </c>
      <c r="D108" s="66">
        <f t="shared" si="2"/>
        <v>71.744270833333346</v>
      </c>
      <c r="E108" s="66">
        <f t="shared" si="2"/>
        <v>6.8794791666666688</v>
      </c>
      <c r="F108" s="66">
        <f t="shared" si="2"/>
        <v>1.1481250000000001</v>
      </c>
      <c r="G108" s="66">
        <f t="shared" si="2"/>
        <v>151.21959999999999</v>
      </c>
      <c r="H108" s="66">
        <f t="shared" si="2"/>
        <v>36.529166666666661</v>
      </c>
      <c r="I108" s="66">
        <f t="shared" si="2"/>
        <v>0.46104166666666679</v>
      </c>
      <c r="J108" s="66">
        <f t="shared" si="2"/>
        <v>0.53437500000000027</v>
      </c>
      <c r="K108" s="66">
        <f t="shared" si="2"/>
        <v>82.199895833333315</v>
      </c>
      <c r="L108" s="66">
        <f t="shared" si="2"/>
        <v>21.2425</v>
      </c>
      <c r="M108" s="66">
        <f t="shared" si="2"/>
        <v>42.260416666666664</v>
      </c>
      <c r="N108" s="66">
        <f t="shared" si="2"/>
        <v>134.17916666666667</v>
      </c>
      <c r="O108" s="66">
        <f t="shared" si="2"/>
        <v>0</v>
      </c>
      <c r="P108" s="66">
        <f t="shared" si="2"/>
        <v>1.4864583333333334</v>
      </c>
      <c r="Q108" s="66">
        <f t="shared" si="2"/>
        <v>39.718229166666674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29.273098085701278</v>
      </c>
      <c r="C109" s="66">
        <f t="shared" ref="C109:Q109" si="3">STDEV(C9:C104)</f>
        <v>19.823758074582216</v>
      </c>
      <c r="D109" s="66">
        <f t="shared" si="3"/>
        <v>33.889767365597201</v>
      </c>
      <c r="E109" s="66">
        <f t="shared" si="3"/>
        <v>2.7869282731282055</v>
      </c>
      <c r="F109" s="66">
        <f t="shared" si="3"/>
        <v>0.68112957651242922</v>
      </c>
      <c r="G109" s="66">
        <f t="shared" si="3"/>
        <v>70.508498984165001</v>
      </c>
      <c r="H109" s="66">
        <f t="shared" si="3"/>
        <v>25.601836433582829</v>
      </c>
      <c r="I109" s="66">
        <f t="shared" si="3"/>
        <v>0.24121830761744531</v>
      </c>
      <c r="J109" s="66">
        <f t="shared" si="3"/>
        <v>0.38124674286788068</v>
      </c>
      <c r="K109" s="66">
        <f t="shared" si="3"/>
        <v>99.427136775416884</v>
      </c>
      <c r="L109" s="66">
        <f t="shared" si="3"/>
        <v>4.6975763067665888</v>
      </c>
      <c r="M109" s="66">
        <f t="shared" si="3"/>
        <v>13.605915734799193</v>
      </c>
      <c r="N109" s="66">
        <f t="shared" si="3"/>
        <v>158.67689177210445</v>
      </c>
      <c r="O109" s="66">
        <f t="shared" si="3"/>
        <v>0</v>
      </c>
      <c r="P109" s="66">
        <f t="shared" si="3"/>
        <v>0.91847583031737534</v>
      </c>
      <c r="Q109" s="66">
        <f t="shared" si="3"/>
        <v>4.0405809886545931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>COUNT(G9:G104)+16</f>
        <v>41</v>
      </c>
      <c r="H110" s="65">
        <f>COUNT(H9:H104)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19-12-2022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1975</v>
      </c>
      <c r="B9" s="59">
        <v>92.88</v>
      </c>
      <c r="C9" s="59">
        <v>124.82</v>
      </c>
      <c r="D9" s="59">
        <v>143.37</v>
      </c>
      <c r="E9" s="59">
        <v>4.82</v>
      </c>
      <c r="F9" s="59">
        <v>0.74</v>
      </c>
      <c r="G9" s="59">
        <v>149.22999999999999</v>
      </c>
      <c r="H9" s="59">
        <v>57.49</v>
      </c>
      <c r="I9" s="59">
        <v>1.02</v>
      </c>
      <c r="J9" s="59">
        <v>0.12</v>
      </c>
      <c r="K9" s="59">
        <v>341.66</v>
      </c>
      <c r="L9" s="59">
        <v>16.489999999999998</v>
      </c>
      <c r="M9" s="59">
        <v>59</v>
      </c>
      <c r="N9" s="59">
        <v>24.1</v>
      </c>
      <c r="O9" s="59">
        <v>0</v>
      </c>
      <c r="P9" s="59">
        <v>3.44</v>
      </c>
      <c r="Q9" s="59">
        <v>46.79</v>
      </c>
      <c r="R9" s="197"/>
      <c r="S9" s="197"/>
      <c r="T9" s="197"/>
      <c r="U9" s="197"/>
    </row>
    <row r="10" spans="1:21" s="12" customFormat="1" x14ac:dyDescent="0.25">
      <c r="A10" s="200" t="s">
        <v>1976</v>
      </c>
      <c r="B10" s="59">
        <v>89.12</v>
      </c>
      <c r="C10" s="59">
        <v>122.72</v>
      </c>
      <c r="D10" s="59">
        <v>139.19999999999999</v>
      </c>
      <c r="E10" s="59">
        <v>4.9400000000000004</v>
      </c>
      <c r="F10" s="59">
        <v>0.76</v>
      </c>
      <c r="G10" s="59">
        <v>127.7</v>
      </c>
      <c r="H10" s="59">
        <v>49.8</v>
      </c>
      <c r="I10" s="59">
        <v>0.98</v>
      </c>
      <c r="J10" s="59">
        <v>0.1</v>
      </c>
      <c r="K10" s="59">
        <v>301.89999999999998</v>
      </c>
      <c r="L10" s="59">
        <v>16.329999999999998</v>
      </c>
      <c r="M10" s="59">
        <v>56</v>
      </c>
      <c r="N10" s="59">
        <v>24.1</v>
      </c>
      <c r="O10" s="59">
        <v>0</v>
      </c>
      <c r="P10" s="59">
        <v>3.37</v>
      </c>
      <c r="Q10" s="59">
        <v>46.02</v>
      </c>
      <c r="R10" s="197"/>
      <c r="S10" s="197"/>
      <c r="T10" s="197"/>
      <c r="U10" s="197"/>
    </row>
    <row r="11" spans="1:21" s="12" customFormat="1" x14ac:dyDescent="0.25">
      <c r="A11" s="200" t="s">
        <v>1977</v>
      </c>
      <c r="B11" s="59">
        <v>83.69</v>
      </c>
      <c r="C11" s="59">
        <v>120.12</v>
      </c>
      <c r="D11" s="59">
        <v>133.4</v>
      </c>
      <c r="E11" s="59">
        <v>5.47</v>
      </c>
      <c r="F11" s="59">
        <v>0.75</v>
      </c>
      <c r="G11" s="59">
        <v>127.7</v>
      </c>
      <c r="H11" s="59">
        <v>49.8</v>
      </c>
      <c r="I11" s="59">
        <v>0.95</v>
      </c>
      <c r="J11" s="59">
        <v>0.14000000000000001</v>
      </c>
      <c r="K11" s="59">
        <v>349.64</v>
      </c>
      <c r="L11" s="59">
        <v>16.2</v>
      </c>
      <c r="M11" s="59">
        <v>60</v>
      </c>
      <c r="N11" s="59">
        <v>24.1</v>
      </c>
      <c r="O11" s="59">
        <v>0</v>
      </c>
      <c r="P11" s="59">
        <v>3.28</v>
      </c>
      <c r="Q11" s="59">
        <v>45.52</v>
      </c>
      <c r="R11" s="197"/>
      <c r="S11" s="197"/>
      <c r="T11" s="197"/>
      <c r="U11" s="197"/>
    </row>
    <row r="12" spans="1:21" s="12" customFormat="1" x14ac:dyDescent="0.25">
      <c r="A12" s="200" t="s">
        <v>1978</v>
      </c>
      <c r="B12" s="59">
        <v>78.16</v>
      </c>
      <c r="C12" s="59">
        <v>117.25</v>
      </c>
      <c r="D12" s="59">
        <v>127.38</v>
      </c>
      <c r="E12" s="59">
        <v>4.96</v>
      </c>
      <c r="F12" s="59">
        <v>0.72</v>
      </c>
      <c r="G12" s="59">
        <v>127.7</v>
      </c>
      <c r="H12" s="59">
        <v>49.8</v>
      </c>
      <c r="I12" s="59">
        <v>0.92</v>
      </c>
      <c r="J12" s="59">
        <v>0.06</v>
      </c>
      <c r="K12" s="59">
        <v>334.71</v>
      </c>
      <c r="L12" s="59">
        <v>16.239999999999998</v>
      </c>
      <c r="M12" s="59">
        <v>57</v>
      </c>
      <c r="N12" s="59">
        <v>24.2</v>
      </c>
      <c r="O12" s="59">
        <v>0</v>
      </c>
      <c r="P12" s="59">
        <v>3.18</v>
      </c>
      <c r="Q12" s="59">
        <v>44.81</v>
      </c>
      <c r="R12" s="197"/>
      <c r="S12" s="197"/>
      <c r="T12" s="197"/>
      <c r="U12" s="197"/>
    </row>
    <row r="13" spans="1:21" s="12" customFormat="1" x14ac:dyDescent="0.25">
      <c r="A13" s="200" t="s">
        <v>1979</v>
      </c>
      <c r="B13" s="59">
        <v>72.97</v>
      </c>
      <c r="C13" s="59">
        <v>114.16</v>
      </c>
      <c r="D13" s="59">
        <v>121.52</v>
      </c>
      <c r="E13" s="59">
        <v>5.27</v>
      </c>
      <c r="F13" s="59">
        <v>0.56999999999999995</v>
      </c>
      <c r="G13" s="59">
        <v>112.42</v>
      </c>
      <c r="H13" s="59">
        <v>44.98</v>
      </c>
      <c r="I13" s="59">
        <v>0.88</v>
      </c>
      <c r="J13" s="59">
        <v>0.12</v>
      </c>
      <c r="K13" s="59">
        <v>234.4</v>
      </c>
      <c r="L13" s="59">
        <v>16.77</v>
      </c>
      <c r="M13" s="59">
        <v>51</v>
      </c>
      <c r="N13" s="59">
        <v>23.4</v>
      </c>
      <c r="O13" s="59">
        <v>0</v>
      </c>
      <c r="P13" s="59">
        <v>2.96</v>
      </c>
      <c r="Q13" s="59">
        <v>44.17</v>
      </c>
      <c r="R13" s="197"/>
      <c r="S13" s="197"/>
      <c r="T13" s="197"/>
      <c r="U13" s="197"/>
    </row>
    <row r="14" spans="1:21" s="12" customFormat="1" x14ac:dyDescent="0.25">
      <c r="A14" s="200" t="s">
        <v>1980</v>
      </c>
      <c r="B14" s="59">
        <v>67.61</v>
      </c>
      <c r="C14" s="59">
        <v>110.39</v>
      </c>
      <c r="D14" s="59">
        <v>115.14</v>
      </c>
      <c r="E14" s="59">
        <v>5.59</v>
      </c>
      <c r="F14" s="59">
        <v>0.56000000000000005</v>
      </c>
      <c r="G14" s="59">
        <v>95.66</v>
      </c>
      <c r="H14" s="59">
        <v>36.659999999999997</v>
      </c>
      <c r="I14" s="59">
        <v>0.85</v>
      </c>
      <c r="J14" s="59">
        <v>0.14000000000000001</v>
      </c>
      <c r="K14" s="59">
        <v>296.97000000000003</v>
      </c>
      <c r="L14" s="59">
        <v>17.29</v>
      </c>
      <c r="M14" s="59">
        <v>50</v>
      </c>
      <c r="N14" s="59">
        <v>23.6</v>
      </c>
      <c r="O14" s="59">
        <v>0</v>
      </c>
      <c r="P14" s="59">
        <v>2.91</v>
      </c>
      <c r="Q14" s="59">
        <v>43.75</v>
      </c>
      <c r="R14" s="197"/>
      <c r="S14" s="197"/>
      <c r="T14" s="197"/>
      <c r="U14" s="197"/>
    </row>
    <row r="15" spans="1:21" s="12" customFormat="1" x14ac:dyDescent="0.25">
      <c r="A15" s="200" t="s">
        <v>1981</v>
      </c>
      <c r="B15" s="59">
        <v>62.12</v>
      </c>
      <c r="C15" s="59">
        <v>106.04</v>
      </c>
      <c r="D15" s="59">
        <v>108.34</v>
      </c>
      <c r="E15" s="59">
        <v>5.01</v>
      </c>
      <c r="F15" s="59">
        <v>0.6</v>
      </c>
      <c r="G15" s="59">
        <v>95.66</v>
      </c>
      <c r="H15" s="59">
        <v>36.659999999999997</v>
      </c>
      <c r="I15" s="59">
        <v>0.83</v>
      </c>
      <c r="J15" s="59">
        <v>0.12</v>
      </c>
      <c r="K15" s="59">
        <v>344.87</v>
      </c>
      <c r="L15" s="59">
        <v>16.28</v>
      </c>
      <c r="M15" s="59">
        <v>56</v>
      </c>
      <c r="N15" s="59">
        <v>24.6</v>
      </c>
      <c r="O15" s="59">
        <v>0</v>
      </c>
      <c r="P15" s="59">
        <v>2.78</v>
      </c>
      <c r="Q15" s="59">
        <v>43.25</v>
      </c>
      <c r="R15" s="197"/>
      <c r="S15" s="197"/>
      <c r="T15" s="197"/>
      <c r="U15" s="197"/>
    </row>
    <row r="16" spans="1:21" s="12" customFormat="1" x14ac:dyDescent="0.25">
      <c r="A16" s="200" t="s">
        <v>1982</v>
      </c>
      <c r="B16" s="59">
        <v>56.94</v>
      </c>
      <c r="C16" s="59">
        <v>101.86</v>
      </c>
      <c r="D16" s="59">
        <v>101.88</v>
      </c>
      <c r="E16" s="59">
        <v>5.15</v>
      </c>
      <c r="F16" s="59">
        <v>0.59</v>
      </c>
      <c r="G16" s="59">
        <v>95.66</v>
      </c>
      <c r="H16" s="59">
        <v>36.659999999999997</v>
      </c>
      <c r="I16" s="59">
        <v>0.79</v>
      </c>
      <c r="J16" s="59">
        <v>0.21</v>
      </c>
      <c r="K16" s="59">
        <v>245.44</v>
      </c>
      <c r="L16" s="59">
        <v>15.82</v>
      </c>
      <c r="M16" s="59">
        <v>57</v>
      </c>
      <c r="N16" s="59">
        <v>23.6</v>
      </c>
      <c r="O16" s="59">
        <v>0</v>
      </c>
      <c r="P16" s="59">
        <v>2.65</v>
      </c>
      <c r="Q16" s="59">
        <v>42.75</v>
      </c>
      <c r="R16" s="197"/>
      <c r="S16" s="197"/>
      <c r="T16" s="197"/>
      <c r="U16" s="197"/>
    </row>
    <row r="17" spans="1:21" s="12" customFormat="1" x14ac:dyDescent="0.25">
      <c r="A17" s="200" t="s">
        <v>1983</v>
      </c>
      <c r="B17" s="59">
        <v>52.64</v>
      </c>
      <c r="C17" s="59">
        <v>98.39</v>
      </c>
      <c r="D17" s="59">
        <v>96.51</v>
      </c>
      <c r="E17" s="59">
        <v>4.58</v>
      </c>
      <c r="F17" s="59">
        <v>0.56000000000000005</v>
      </c>
      <c r="G17" s="59">
        <v>79.52</v>
      </c>
      <c r="H17" s="59">
        <v>37.979999999999997</v>
      </c>
      <c r="I17" s="59">
        <v>0.76</v>
      </c>
      <c r="J17" s="59">
        <v>0.16</v>
      </c>
      <c r="K17" s="59">
        <v>254.55</v>
      </c>
      <c r="L17" s="59">
        <v>16.3</v>
      </c>
      <c r="M17" s="59">
        <v>62</v>
      </c>
      <c r="N17" s="59">
        <v>23.9</v>
      </c>
      <c r="O17" s="59">
        <v>0</v>
      </c>
      <c r="P17" s="59">
        <v>2.52</v>
      </c>
      <c r="Q17" s="59">
        <v>42.17</v>
      </c>
      <c r="R17" s="197"/>
      <c r="S17" s="197"/>
      <c r="T17" s="197"/>
      <c r="U17" s="197"/>
    </row>
    <row r="18" spans="1:21" s="12" customFormat="1" x14ac:dyDescent="0.25">
      <c r="A18" s="200" t="s">
        <v>1984</v>
      </c>
      <c r="B18" s="59">
        <v>49.3</v>
      </c>
      <c r="C18" s="59">
        <v>95.59</v>
      </c>
      <c r="D18" s="59">
        <v>92.29</v>
      </c>
      <c r="E18" s="59">
        <v>4.74</v>
      </c>
      <c r="F18" s="59">
        <v>0.56999999999999995</v>
      </c>
      <c r="G18" s="59">
        <v>62.36</v>
      </c>
      <c r="H18" s="59">
        <v>40.270000000000003</v>
      </c>
      <c r="I18" s="59">
        <v>0.73</v>
      </c>
      <c r="J18" s="59">
        <v>0.11</v>
      </c>
      <c r="K18" s="59">
        <v>346.63</v>
      </c>
      <c r="L18" s="59">
        <v>15.39</v>
      </c>
      <c r="M18" s="59">
        <v>69</v>
      </c>
      <c r="N18" s="59">
        <v>24.5</v>
      </c>
      <c r="O18" s="59">
        <v>0</v>
      </c>
      <c r="P18" s="59">
        <v>2.4300000000000002</v>
      </c>
      <c r="Q18" s="59">
        <v>41.93</v>
      </c>
      <c r="R18" s="197"/>
      <c r="S18" s="197"/>
      <c r="T18" s="197"/>
      <c r="U18" s="197"/>
    </row>
    <row r="19" spans="1:21" s="12" customFormat="1" x14ac:dyDescent="0.25">
      <c r="A19" s="200" t="s">
        <v>1985</v>
      </c>
      <c r="B19" s="59">
        <v>46.71</v>
      </c>
      <c r="C19" s="59">
        <v>92.98</v>
      </c>
      <c r="D19" s="59">
        <v>88.77</v>
      </c>
      <c r="E19" s="59">
        <v>4.04</v>
      </c>
      <c r="F19" s="59">
        <v>0.54</v>
      </c>
      <c r="G19" s="59">
        <v>62.36</v>
      </c>
      <c r="H19" s="59">
        <v>40.270000000000003</v>
      </c>
      <c r="I19" s="59">
        <v>0.71</v>
      </c>
      <c r="J19" s="59">
        <v>0.16</v>
      </c>
      <c r="K19" s="59">
        <v>284.18</v>
      </c>
      <c r="L19" s="59">
        <v>15.12</v>
      </c>
      <c r="M19" s="59">
        <v>72</v>
      </c>
      <c r="N19" s="59">
        <v>24</v>
      </c>
      <c r="O19" s="59">
        <v>0</v>
      </c>
      <c r="P19" s="59">
        <v>2.34</v>
      </c>
      <c r="Q19" s="59">
        <v>41.74</v>
      </c>
      <c r="R19" s="197"/>
      <c r="S19" s="197"/>
      <c r="T19" s="197"/>
      <c r="U19" s="197"/>
    </row>
    <row r="20" spans="1:21" s="12" customFormat="1" x14ac:dyDescent="0.25">
      <c r="A20" s="200" t="s">
        <v>1986</v>
      </c>
      <c r="B20" s="59">
        <v>44.32</v>
      </c>
      <c r="C20" s="59">
        <v>90.08</v>
      </c>
      <c r="D20" s="59">
        <v>85.25</v>
      </c>
      <c r="E20" s="59">
        <v>4.67</v>
      </c>
      <c r="F20" s="59">
        <v>0.51</v>
      </c>
      <c r="G20" s="59">
        <v>62.36</v>
      </c>
      <c r="H20" s="59">
        <v>40.270000000000003</v>
      </c>
      <c r="I20" s="59">
        <v>0.69</v>
      </c>
      <c r="J20" s="59">
        <v>0.13</v>
      </c>
      <c r="K20" s="59">
        <v>338.44</v>
      </c>
      <c r="L20" s="59">
        <v>14.73</v>
      </c>
      <c r="M20" s="59">
        <v>74</v>
      </c>
      <c r="N20" s="59">
        <v>24.4</v>
      </c>
      <c r="O20" s="59">
        <v>0</v>
      </c>
      <c r="P20" s="59">
        <v>2.2799999999999998</v>
      </c>
      <c r="Q20" s="59">
        <v>41.76</v>
      </c>
      <c r="R20" s="197"/>
      <c r="S20" s="197"/>
      <c r="T20" s="197"/>
      <c r="U20" s="197"/>
    </row>
    <row r="21" spans="1:21" s="12" customFormat="1" x14ac:dyDescent="0.25">
      <c r="A21" s="200" t="s">
        <v>1987</v>
      </c>
      <c r="B21" s="59">
        <v>42.1</v>
      </c>
      <c r="C21" s="59">
        <v>87.72</v>
      </c>
      <c r="D21" s="59">
        <v>82.17</v>
      </c>
      <c r="E21" s="59">
        <v>4.3099999999999996</v>
      </c>
      <c r="F21" s="59">
        <v>0.63</v>
      </c>
      <c r="G21" s="59">
        <v>83.04</v>
      </c>
      <c r="H21" s="59">
        <v>36.46</v>
      </c>
      <c r="I21" s="59">
        <v>0.66</v>
      </c>
      <c r="J21" s="59">
        <v>0.03</v>
      </c>
      <c r="K21" s="59">
        <v>42.77</v>
      </c>
      <c r="L21" s="59">
        <v>14.38</v>
      </c>
      <c r="M21" s="59">
        <v>77</v>
      </c>
      <c r="N21" s="59">
        <v>24.1</v>
      </c>
      <c r="O21" s="59">
        <v>0</v>
      </c>
      <c r="P21" s="59">
        <v>2.21</v>
      </c>
      <c r="Q21" s="59">
        <v>41.08</v>
      </c>
      <c r="R21" s="197"/>
      <c r="S21" s="197"/>
      <c r="T21" s="197"/>
      <c r="U21" s="197"/>
    </row>
    <row r="22" spans="1:21" s="12" customFormat="1" x14ac:dyDescent="0.25">
      <c r="A22" s="200" t="s">
        <v>1988</v>
      </c>
      <c r="B22" s="59">
        <v>40.54</v>
      </c>
      <c r="C22" s="59">
        <v>85.77</v>
      </c>
      <c r="D22" s="59">
        <v>79.84</v>
      </c>
      <c r="E22" s="59">
        <v>4.2300000000000004</v>
      </c>
      <c r="F22" s="59">
        <v>0.57999999999999996</v>
      </c>
      <c r="G22" s="59">
        <v>105.01</v>
      </c>
      <c r="H22" s="59">
        <v>29.88</v>
      </c>
      <c r="I22" s="59">
        <v>0.64</v>
      </c>
      <c r="J22" s="59">
        <v>0.01</v>
      </c>
      <c r="K22" s="59">
        <v>43.76</v>
      </c>
      <c r="L22" s="59">
        <v>14.32</v>
      </c>
      <c r="M22" s="59">
        <v>77</v>
      </c>
      <c r="N22" s="59">
        <v>24.2</v>
      </c>
      <c r="O22" s="59">
        <v>0</v>
      </c>
      <c r="P22" s="59">
        <v>2.15</v>
      </c>
      <c r="Q22" s="59">
        <v>40.49</v>
      </c>
      <c r="R22" s="197"/>
      <c r="S22" s="197"/>
      <c r="T22" s="197"/>
      <c r="U22" s="197"/>
    </row>
    <row r="23" spans="1:21" s="12" customFormat="1" x14ac:dyDescent="0.25">
      <c r="A23" s="200" t="s">
        <v>1989</v>
      </c>
      <c r="B23" s="59">
        <v>39.17</v>
      </c>
      <c r="C23" s="59">
        <v>84.21</v>
      </c>
      <c r="D23" s="59">
        <v>77.89</v>
      </c>
      <c r="E23" s="59">
        <v>4.34</v>
      </c>
      <c r="F23" s="59">
        <v>0.7</v>
      </c>
      <c r="G23" s="59">
        <v>105.01</v>
      </c>
      <c r="H23" s="59">
        <v>29.88</v>
      </c>
      <c r="I23" s="59">
        <v>0.62</v>
      </c>
      <c r="J23" s="59">
        <v>0.11</v>
      </c>
      <c r="K23" s="59">
        <v>81.260000000000005</v>
      </c>
      <c r="L23" s="59">
        <v>14.8</v>
      </c>
      <c r="M23" s="59">
        <v>68</v>
      </c>
      <c r="N23" s="59">
        <v>23.5</v>
      </c>
      <c r="O23" s="59">
        <v>0</v>
      </c>
      <c r="P23" s="59">
        <v>2.11</v>
      </c>
      <c r="Q23" s="59">
        <v>40.07</v>
      </c>
      <c r="R23" s="197"/>
      <c r="S23" s="197"/>
      <c r="T23" s="197"/>
      <c r="U23" s="197"/>
    </row>
    <row r="24" spans="1:21" s="12" customFormat="1" x14ac:dyDescent="0.25">
      <c r="A24" s="200" t="s">
        <v>1990</v>
      </c>
      <c r="B24" s="59">
        <v>36.9</v>
      </c>
      <c r="C24" s="59">
        <v>82.67</v>
      </c>
      <c r="D24" s="59">
        <v>75.209999999999994</v>
      </c>
      <c r="E24" s="59">
        <v>2.54</v>
      </c>
      <c r="F24" s="59">
        <v>0.73</v>
      </c>
      <c r="G24" s="59">
        <v>105.01</v>
      </c>
      <c r="H24" s="59">
        <v>29.88</v>
      </c>
      <c r="I24" s="59">
        <v>0.59</v>
      </c>
      <c r="J24" s="59">
        <v>0.26</v>
      </c>
      <c r="K24" s="59">
        <v>79.680000000000007</v>
      </c>
      <c r="L24" s="59">
        <v>16.079999999999998</v>
      </c>
      <c r="M24" s="59">
        <v>53</v>
      </c>
      <c r="N24" s="59">
        <v>22.8</v>
      </c>
      <c r="O24" s="59">
        <v>0</v>
      </c>
      <c r="P24" s="59">
        <v>2.0299999999999998</v>
      </c>
      <c r="Q24" s="59">
        <v>39.630000000000003</v>
      </c>
      <c r="R24" s="197"/>
      <c r="S24" s="197"/>
      <c r="T24" s="197"/>
      <c r="U24" s="197"/>
    </row>
    <row r="25" spans="1:21" s="12" customFormat="1" x14ac:dyDescent="0.25">
      <c r="A25" s="200" t="s">
        <v>1991</v>
      </c>
      <c r="B25" s="59">
        <v>33.93</v>
      </c>
      <c r="C25" s="59">
        <v>81.819999999999993</v>
      </c>
      <c r="D25" s="59">
        <v>72.36</v>
      </c>
      <c r="E25" s="59">
        <v>5.19</v>
      </c>
      <c r="F25" s="59">
        <v>0.83</v>
      </c>
      <c r="G25" s="59">
        <v>103.14</v>
      </c>
      <c r="H25" s="59">
        <v>33.17</v>
      </c>
      <c r="I25" s="59">
        <v>0.59</v>
      </c>
      <c r="J25" s="59">
        <v>0.36</v>
      </c>
      <c r="K25" s="59">
        <v>23.87</v>
      </c>
      <c r="L25" s="59">
        <v>16.11</v>
      </c>
      <c r="M25" s="59">
        <v>54</v>
      </c>
      <c r="N25" s="59">
        <v>23.4</v>
      </c>
      <c r="O25" s="59">
        <v>0</v>
      </c>
      <c r="P25" s="59">
        <v>1.95</v>
      </c>
      <c r="Q25" s="59">
        <v>39.14</v>
      </c>
      <c r="R25" s="197"/>
      <c r="S25" s="197"/>
      <c r="T25" s="197"/>
      <c r="U25" s="197"/>
    </row>
    <row r="26" spans="1:21" s="12" customFormat="1" x14ac:dyDescent="0.25">
      <c r="A26" s="200" t="s">
        <v>1992</v>
      </c>
      <c r="B26" s="59">
        <v>31.66</v>
      </c>
      <c r="C26" s="59">
        <v>81.97</v>
      </c>
      <c r="D26" s="59">
        <v>70.63</v>
      </c>
      <c r="E26" s="59">
        <v>4.9000000000000004</v>
      </c>
      <c r="F26" s="59">
        <v>1.37</v>
      </c>
      <c r="G26" s="59">
        <v>96.8</v>
      </c>
      <c r="H26" s="59">
        <v>38.86</v>
      </c>
      <c r="I26" s="59">
        <v>0.56000000000000005</v>
      </c>
      <c r="J26" s="59">
        <v>0.03</v>
      </c>
      <c r="K26" s="59">
        <v>33.47</v>
      </c>
      <c r="L26" s="59">
        <v>15.63</v>
      </c>
      <c r="M26" s="59">
        <v>56</v>
      </c>
      <c r="N26" s="59">
        <v>24.3</v>
      </c>
      <c r="O26" s="59">
        <v>0</v>
      </c>
      <c r="P26" s="59">
        <v>1.92</v>
      </c>
      <c r="Q26" s="59">
        <v>38.450000000000003</v>
      </c>
      <c r="R26" s="197"/>
      <c r="S26" s="197"/>
      <c r="T26" s="197"/>
      <c r="U26" s="197"/>
    </row>
    <row r="27" spans="1:21" s="12" customFormat="1" x14ac:dyDescent="0.25">
      <c r="A27" s="200" t="s">
        <v>1993</v>
      </c>
      <c r="B27" s="59">
        <v>29.93</v>
      </c>
      <c r="C27" s="59">
        <v>82.11</v>
      </c>
      <c r="D27" s="59">
        <v>69.31</v>
      </c>
      <c r="E27" s="59">
        <v>4.97</v>
      </c>
      <c r="F27" s="59">
        <v>1.42</v>
      </c>
      <c r="G27" s="59">
        <v>96.8</v>
      </c>
      <c r="H27" s="59">
        <v>38.86</v>
      </c>
      <c r="I27" s="59">
        <v>0.53</v>
      </c>
      <c r="J27" s="59">
        <v>0.1</v>
      </c>
      <c r="K27" s="59">
        <v>267.64999999999998</v>
      </c>
      <c r="L27" s="59">
        <v>15.28</v>
      </c>
      <c r="M27" s="59">
        <v>58</v>
      </c>
      <c r="N27" s="59">
        <v>24.2</v>
      </c>
      <c r="O27" s="59">
        <v>0</v>
      </c>
      <c r="P27" s="59">
        <v>1.89</v>
      </c>
      <c r="Q27" s="59">
        <v>38.22</v>
      </c>
      <c r="R27" s="197"/>
      <c r="S27" s="197"/>
      <c r="T27" s="197"/>
      <c r="U27" s="197"/>
    </row>
    <row r="28" spans="1:21" s="12" customFormat="1" x14ac:dyDescent="0.25">
      <c r="A28" s="200" t="s">
        <v>1994</v>
      </c>
      <c r="B28" s="59">
        <v>29.13</v>
      </c>
      <c r="C28" s="59">
        <v>82.32</v>
      </c>
      <c r="D28" s="59">
        <v>68.790000000000006</v>
      </c>
      <c r="E28" s="59">
        <v>4.6900000000000004</v>
      </c>
      <c r="F28" s="59">
        <v>0.04</v>
      </c>
      <c r="G28" s="59">
        <v>96.8</v>
      </c>
      <c r="H28" s="59">
        <v>38.86</v>
      </c>
      <c r="I28" s="59">
        <v>0.51</v>
      </c>
      <c r="J28" s="59">
        <v>0.13</v>
      </c>
      <c r="K28" s="59">
        <v>142.97999999999999</v>
      </c>
      <c r="L28" s="59">
        <v>15.23</v>
      </c>
      <c r="M28" s="59">
        <v>58</v>
      </c>
      <c r="N28" s="59">
        <v>23.9</v>
      </c>
      <c r="O28" s="59">
        <v>0</v>
      </c>
      <c r="P28" s="59">
        <v>1.84</v>
      </c>
      <c r="Q28" s="59">
        <v>38.29</v>
      </c>
      <c r="R28" s="197"/>
      <c r="S28" s="197"/>
      <c r="T28" s="197"/>
      <c r="U28" s="197"/>
    </row>
    <row r="29" spans="1:21" s="12" customFormat="1" x14ac:dyDescent="0.25">
      <c r="A29" s="200" t="s">
        <v>1995</v>
      </c>
      <c r="B29" s="59">
        <v>28.22</v>
      </c>
      <c r="C29" s="59">
        <v>81.739999999999995</v>
      </c>
      <c r="D29" s="59">
        <v>67.739999999999995</v>
      </c>
      <c r="E29" s="59">
        <v>4.9400000000000004</v>
      </c>
      <c r="F29" s="59">
        <v>0.26</v>
      </c>
      <c r="G29" s="59">
        <v>69.22</v>
      </c>
      <c r="H29" s="59">
        <v>39.01</v>
      </c>
      <c r="I29" s="59">
        <v>0.5</v>
      </c>
      <c r="J29" s="59">
        <v>0.09</v>
      </c>
      <c r="K29" s="59">
        <v>82.08</v>
      </c>
      <c r="L29" s="59">
        <v>15.16</v>
      </c>
      <c r="M29" s="59">
        <v>58</v>
      </c>
      <c r="N29" s="59">
        <v>24.2</v>
      </c>
      <c r="O29" s="59">
        <v>0</v>
      </c>
      <c r="P29" s="59">
        <v>1.79</v>
      </c>
      <c r="Q29" s="59">
        <v>38.229999999999997</v>
      </c>
      <c r="R29" s="197"/>
      <c r="S29" s="197"/>
      <c r="T29" s="197"/>
      <c r="U29" s="197"/>
    </row>
    <row r="30" spans="1:21" s="12" customFormat="1" x14ac:dyDescent="0.25">
      <c r="A30" s="200" t="s">
        <v>1996</v>
      </c>
      <c r="B30" s="59">
        <v>27.56</v>
      </c>
      <c r="C30" s="59">
        <v>81.13</v>
      </c>
      <c r="D30" s="59">
        <v>66.87</v>
      </c>
      <c r="E30" s="59">
        <v>4.76</v>
      </c>
      <c r="F30" s="59">
        <v>0.52</v>
      </c>
      <c r="G30" s="59">
        <v>39.92</v>
      </c>
      <c r="H30" s="59">
        <v>39.26</v>
      </c>
      <c r="I30" s="59">
        <v>0.49</v>
      </c>
      <c r="J30" s="59">
        <v>7.0000000000000007E-2</v>
      </c>
      <c r="K30" s="59">
        <v>225.97</v>
      </c>
      <c r="L30" s="59">
        <v>15.07</v>
      </c>
      <c r="M30" s="59">
        <v>58</v>
      </c>
      <c r="N30" s="59">
        <v>24</v>
      </c>
      <c r="O30" s="59">
        <v>0</v>
      </c>
      <c r="P30" s="59">
        <v>1.76</v>
      </c>
      <c r="Q30" s="59">
        <v>38.11</v>
      </c>
      <c r="R30" s="197"/>
      <c r="S30" s="197"/>
      <c r="T30" s="197"/>
      <c r="U30" s="197"/>
    </row>
    <row r="31" spans="1:21" s="12" customFormat="1" x14ac:dyDescent="0.25">
      <c r="A31" s="200" t="s">
        <v>1997</v>
      </c>
      <c r="B31" s="59">
        <v>26.61</v>
      </c>
      <c r="C31" s="59">
        <v>80.41</v>
      </c>
      <c r="D31" s="59">
        <v>65.709999999999994</v>
      </c>
      <c r="E31" s="59">
        <v>4.74</v>
      </c>
      <c r="F31" s="59">
        <v>0.35</v>
      </c>
      <c r="G31" s="59">
        <v>39.92</v>
      </c>
      <c r="H31" s="59">
        <v>39.26</v>
      </c>
      <c r="I31" s="59">
        <v>0.47</v>
      </c>
      <c r="J31" s="59">
        <v>0.1</v>
      </c>
      <c r="K31" s="59">
        <v>170.08</v>
      </c>
      <c r="L31" s="59">
        <v>14.94</v>
      </c>
      <c r="M31" s="59">
        <v>59</v>
      </c>
      <c r="N31" s="59">
        <v>23.9</v>
      </c>
      <c r="O31" s="59">
        <v>0</v>
      </c>
      <c r="P31" s="59">
        <v>1.7</v>
      </c>
      <c r="Q31" s="59">
        <v>38.159999999999997</v>
      </c>
      <c r="R31" s="197"/>
      <c r="S31" s="197"/>
      <c r="T31" s="197"/>
      <c r="U31" s="197"/>
    </row>
    <row r="32" spans="1:21" s="12" customFormat="1" x14ac:dyDescent="0.25">
      <c r="A32" s="200" t="s">
        <v>1998</v>
      </c>
      <c r="B32" s="59">
        <v>25.76</v>
      </c>
      <c r="C32" s="59">
        <v>79.42</v>
      </c>
      <c r="D32" s="59">
        <v>64.489999999999995</v>
      </c>
      <c r="E32" s="59">
        <v>5.13</v>
      </c>
      <c r="F32" s="59">
        <v>0.41</v>
      </c>
      <c r="G32" s="59">
        <v>39.92</v>
      </c>
      <c r="H32" s="59">
        <v>39.26</v>
      </c>
      <c r="I32" s="59">
        <v>0.47</v>
      </c>
      <c r="J32" s="59">
        <v>0.16</v>
      </c>
      <c r="K32" s="59">
        <v>24.21</v>
      </c>
      <c r="L32" s="59">
        <v>14.87</v>
      </c>
      <c r="M32" s="59">
        <v>61</v>
      </c>
      <c r="N32" s="59">
        <v>24.2</v>
      </c>
      <c r="O32" s="59">
        <v>0</v>
      </c>
      <c r="P32" s="59">
        <v>1.66</v>
      </c>
      <c r="Q32" s="59">
        <v>37.96</v>
      </c>
      <c r="R32" s="197"/>
      <c r="S32" s="197"/>
      <c r="T32" s="197"/>
      <c r="U32" s="197"/>
    </row>
    <row r="33" spans="1:21" s="12" customFormat="1" x14ac:dyDescent="0.25">
      <c r="A33" s="200" t="s">
        <v>1999</v>
      </c>
      <c r="B33" s="59">
        <v>28.35</v>
      </c>
      <c r="C33" s="59">
        <v>79.84</v>
      </c>
      <c r="D33" s="59">
        <v>66.8</v>
      </c>
      <c r="E33" s="59">
        <v>4.9000000000000004</v>
      </c>
      <c r="F33" s="59">
        <v>0.48</v>
      </c>
      <c r="G33" s="59">
        <v>81.77</v>
      </c>
      <c r="H33" s="59">
        <v>42.33</v>
      </c>
      <c r="I33" s="59">
        <v>0.46</v>
      </c>
      <c r="J33" s="59">
        <v>0.18</v>
      </c>
      <c r="K33" s="59">
        <v>21.67</v>
      </c>
      <c r="L33" s="59">
        <v>14.61</v>
      </c>
      <c r="M33" s="59">
        <v>61</v>
      </c>
      <c r="N33" s="59">
        <v>23.9</v>
      </c>
      <c r="O33" s="59">
        <v>0</v>
      </c>
      <c r="P33" s="59">
        <v>1.65</v>
      </c>
      <c r="Q33" s="59">
        <v>38.04</v>
      </c>
      <c r="R33" s="197"/>
      <c r="S33" s="197"/>
      <c r="T33" s="197"/>
      <c r="U33" s="197"/>
    </row>
    <row r="34" spans="1:21" s="12" customFormat="1" x14ac:dyDescent="0.25">
      <c r="A34" s="200" t="s">
        <v>2000</v>
      </c>
      <c r="B34" s="59">
        <v>30.64</v>
      </c>
      <c r="C34" s="59">
        <v>80.98</v>
      </c>
      <c r="D34" s="59">
        <v>69.27</v>
      </c>
      <c r="E34" s="59">
        <v>4.5</v>
      </c>
      <c r="F34" s="59">
        <v>0.57999999999999996</v>
      </c>
      <c r="G34" s="59">
        <v>126.25</v>
      </c>
      <c r="H34" s="59">
        <v>47.64</v>
      </c>
      <c r="I34" s="59">
        <v>0.45</v>
      </c>
      <c r="J34" s="59">
        <v>0.14000000000000001</v>
      </c>
      <c r="K34" s="59">
        <v>49.11</v>
      </c>
      <c r="L34" s="59">
        <v>14.96</v>
      </c>
      <c r="M34" s="59">
        <v>59</v>
      </c>
      <c r="N34" s="59">
        <v>24.7</v>
      </c>
      <c r="O34" s="59">
        <v>0</v>
      </c>
      <c r="P34" s="59">
        <v>1.62</v>
      </c>
      <c r="Q34" s="59">
        <v>38.65</v>
      </c>
      <c r="R34" s="197"/>
      <c r="S34" s="197"/>
      <c r="T34" s="197"/>
      <c r="U34" s="197"/>
    </row>
    <row r="35" spans="1:21" s="12" customFormat="1" x14ac:dyDescent="0.25">
      <c r="A35" s="200" t="s">
        <v>2001</v>
      </c>
      <c r="B35" s="59">
        <v>31</v>
      </c>
      <c r="C35" s="59">
        <v>81.45</v>
      </c>
      <c r="D35" s="59">
        <v>69.819999999999993</v>
      </c>
      <c r="E35" s="59">
        <v>4.82</v>
      </c>
      <c r="F35" s="59">
        <v>0.55000000000000004</v>
      </c>
      <c r="G35" s="59">
        <v>126.25</v>
      </c>
      <c r="H35" s="59">
        <v>47.64</v>
      </c>
      <c r="I35" s="59">
        <v>0.45</v>
      </c>
      <c r="J35" s="59">
        <v>7.0000000000000007E-2</v>
      </c>
      <c r="K35" s="59">
        <v>113.7</v>
      </c>
      <c r="L35" s="59">
        <v>14.83</v>
      </c>
      <c r="M35" s="59">
        <v>60</v>
      </c>
      <c r="N35" s="59">
        <v>29</v>
      </c>
      <c r="O35" s="59">
        <v>0</v>
      </c>
      <c r="P35" s="59">
        <v>1.58</v>
      </c>
      <c r="Q35" s="59">
        <v>38.229999999999997</v>
      </c>
      <c r="R35" s="197"/>
      <c r="S35" s="197"/>
      <c r="T35" s="197"/>
      <c r="U35" s="197"/>
    </row>
    <row r="36" spans="1:21" s="12" customFormat="1" x14ac:dyDescent="0.25">
      <c r="A36" s="200" t="s">
        <v>2002</v>
      </c>
      <c r="B36" s="59">
        <v>30.32</v>
      </c>
      <c r="C36" s="59">
        <v>81.260000000000005</v>
      </c>
      <c r="D36" s="59">
        <v>69.16</v>
      </c>
      <c r="E36" s="59">
        <v>4.74</v>
      </c>
      <c r="F36" s="59">
        <v>0.82</v>
      </c>
      <c r="G36" s="59">
        <v>126.25</v>
      </c>
      <c r="H36" s="59">
        <v>47.64</v>
      </c>
      <c r="I36" s="59">
        <v>0.44</v>
      </c>
      <c r="J36" s="59">
        <v>0.14000000000000001</v>
      </c>
      <c r="K36" s="59">
        <v>109.17</v>
      </c>
      <c r="L36" s="59">
        <v>14.94</v>
      </c>
      <c r="M36" s="59">
        <v>59</v>
      </c>
      <c r="N36" s="59">
        <v>37.299999999999997</v>
      </c>
      <c r="O36" s="59">
        <v>0</v>
      </c>
      <c r="P36" s="59">
        <v>1.55</v>
      </c>
      <c r="Q36" s="59">
        <v>37.21</v>
      </c>
      <c r="R36" s="197"/>
      <c r="S36" s="197"/>
      <c r="T36" s="197"/>
      <c r="U36" s="197"/>
    </row>
    <row r="37" spans="1:21" s="12" customFormat="1" x14ac:dyDescent="0.25">
      <c r="A37" s="200" t="s">
        <v>2003</v>
      </c>
      <c r="B37" s="59">
        <v>28.73</v>
      </c>
      <c r="C37" s="59">
        <v>80.709999999999994</v>
      </c>
      <c r="D37" s="59">
        <v>67.58</v>
      </c>
      <c r="E37" s="59">
        <v>4.05</v>
      </c>
      <c r="F37" s="59">
        <v>0.54</v>
      </c>
      <c r="G37" s="59">
        <v>122.65</v>
      </c>
      <c r="H37" s="59">
        <v>42.59</v>
      </c>
      <c r="I37" s="59">
        <v>0.42</v>
      </c>
      <c r="J37" s="59">
        <v>0.34</v>
      </c>
      <c r="K37" s="59">
        <v>101.93</v>
      </c>
      <c r="L37" s="59">
        <v>15.44</v>
      </c>
      <c r="M37" s="59">
        <v>57</v>
      </c>
      <c r="N37" s="59">
        <v>46.2</v>
      </c>
      <c r="O37" s="59">
        <v>0</v>
      </c>
      <c r="P37" s="59">
        <v>1.47</v>
      </c>
      <c r="Q37" s="59">
        <v>36.380000000000003</v>
      </c>
      <c r="R37" s="197"/>
      <c r="S37" s="197"/>
      <c r="T37" s="197"/>
      <c r="U37" s="197"/>
    </row>
    <row r="38" spans="1:21" s="12" customFormat="1" x14ac:dyDescent="0.25">
      <c r="A38" s="200" t="s">
        <v>2004</v>
      </c>
      <c r="B38" s="59">
        <v>27.15</v>
      </c>
      <c r="C38" s="59">
        <v>80.03</v>
      </c>
      <c r="D38" s="59">
        <v>65.930000000000007</v>
      </c>
      <c r="E38" s="59">
        <v>4.6900000000000004</v>
      </c>
      <c r="F38" s="59">
        <v>0.91</v>
      </c>
      <c r="G38" s="59">
        <v>118.83</v>
      </c>
      <c r="H38" s="59">
        <v>33.86</v>
      </c>
      <c r="I38" s="59">
        <v>0.41</v>
      </c>
      <c r="J38" s="59">
        <v>0.21</v>
      </c>
      <c r="K38" s="59">
        <v>83.94</v>
      </c>
      <c r="L38" s="59">
        <v>16.04</v>
      </c>
      <c r="M38" s="59">
        <v>56</v>
      </c>
      <c r="N38" s="59">
        <v>55.8</v>
      </c>
      <c r="O38" s="59">
        <v>0</v>
      </c>
      <c r="P38" s="59">
        <v>1.49</v>
      </c>
      <c r="Q38" s="59">
        <v>35.909999999999997</v>
      </c>
      <c r="R38" s="197"/>
      <c r="S38" s="197"/>
      <c r="T38" s="197"/>
      <c r="U38" s="197"/>
    </row>
    <row r="39" spans="1:21" s="12" customFormat="1" x14ac:dyDescent="0.25">
      <c r="A39" s="200" t="s">
        <v>2005</v>
      </c>
      <c r="B39" s="59">
        <v>27</v>
      </c>
      <c r="C39" s="59">
        <v>80.78</v>
      </c>
      <c r="D39" s="59">
        <v>66.23</v>
      </c>
      <c r="E39" s="59">
        <v>4.71</v>
      </c>
      <c r="F39" s="59">
        <v>0.81</v>
      </c>
      <c r="G39" s="59">
        <v>118.83</v>
      </c>
      <c r="H39" s="59">
        <v>33.86</v>
      </c>
      <c r="I39" s="59">
        <v>0.4</v>
      </c>
      <c r="J39" s="59">
        <v>0.21</v>
      </c>
      <c r="K39" s="59">
        <v>77.56</v>
      </c>
      <c r="L39" s="59">
        <v>16.670000000000002</v>
      </c>
      <c r="M39" s="59">
        <v>54</v>
      </c>
      <c r="N39" s="59">
        <v>118.7</v>
      </c>
      <c r="O39" s="59">
        <v>0</v>
      </c>
      <c r="P39" s="59">
        <v>1.5</v>
      </c>
      <c r="Q39" s="59">
        <v>35.840000000000003</v>
      </c>
      <c r="R39" s="197"/>
      <c r="S39" s="197"/>
      <c r="T39" s="197"/>
      <c r="U39" s="197"/>
    </row>
    <row r="40" spans="1:21" s="12" customFormat="1" x14ac:dyDescent="0.25">
      <c r="A40" s="200" t="s">
        <v>2006</v>
      </c>
      <c r="B40" s="59">
        <v>27.89</v>
      </c>
      <c r="C40" s="59">
        <v>82.25</v>
      </c>
      <c r="D40" s="59">
        <v>67.760000000000005</v>
      </c>
      <c r="E40" s="59">
        <v>3.32</v>
      </c>
      <c r="F40" s="59">
        <v>1.32</v>
      </c>
      <c r="G40" s="59">
        <v>118.83</v>
      </c>
      <c r="H40" s="59">
        <v>33.86</v>
      </c>
      <c r="I40" s="59">
        <v>0.4</v>
      </c>
      <c r="J40" s="59">
        <v>0.61</v>
      </c>
      <c r="K40" s="59">
        <v>111.56</v>
      </c>
      <c r="L40" s="59">
        <v>18.16</v>
      </c>
      <c r="M40" s="59">
        <v>48</v>
      </c>
      <c r="N40" s="59">
        <v>197</v>
      </c>
      <c r="O40" s="59">
        <v>0</v>
      </c>
      <c r="P40" s="59">
        <v>1.48</v>
      </c>
      <c r="Q40" s="59">
        <v>35.76</v>
      </c>
      <c r="R40" s="197"/>
      <c r="S40" s="197"/>
      <c r="T40" s="197"/>
      <c r="U40" s="197"/>
    </row>
    <row r="41" spans="1:21" s="12" customFormat="1" x14ac:dyDescent="0.25">
      <c r="A41" s="200" t="s">
        <v>2007</v>
      </c>
      <c r="B41" s="59">
        <v>27.98</v>
      </c>
      <c r="C41" s="59">
        <v>83.23</v>
      </c>
      <c r="D41" s="59">
        <v>68.37</v>
      </c>
      <c r="E41" s="59">
        <v>5.51</v>
      </c>
      <c r="F41" s="59">
        <v>1.1200000000000001</v>
      </c>
      <c r="G41" s="59">
        <v>117.1</v>
      </c>
      <c r="H41" s="59">
        <v>35.58</v>
      </c>
      <c r="I41" s="59">
        <v>0.4</v>
      </c>
      <c r="J41" s="59">
        <v>0.34</v>
      </c>
      <c r="K41" s="59">
        <v>91.4</v>
      </c>
      <c r="L41" s="59">
        <v>19.989999999999998</v>
      </c>
      <c r="M41" s="59">
        <v>44</v>
      </c>
      <c r="N41" s="59">
        <v>229</v>
      </c>
      <c r="O41" s="59">
        <v>0</v>
      </c>
      <c r="P41" s="59">
        <v>1.48</v>
      </c>
      <c r="Q41" s="59">
        <v>35.35</v>
      </c>
      <c r="R41" s="197"/>
      <c r="S41" s="197"/>
      <c r="T41" s="197"/>
      <c r="U41" s="197"/>
    </row>
    <row r="42" spans="1:21" s="12" customFormat="1" x14ac:dyDescent="0.25">
      <c r="A42" s="200" t="s">
        <v>2008</v>
      </c>
      <c r="B42" s="59">
        <v>27.98</v>
      </c>
      <c r="C42" s="59">
        <v>84.28</v>
      </c>
      <c r="D42" s="59">
        <v>68.95</v>
      </c>
      <c r="E42" s="59">
        <v>5.78</v>
      </c>
      <c r="F42" s="59">
        <v>0.88</v>
      </c>
      <c r="G42" s="59">
        <v>111.21</v>
      </c>
      <c r="H42" s="59">
        <v>38.56</v>
      </c>
      <c r="I42" s="59">
        <v>0.4</v>
      </c>
      <c r="J42" s="59">
        <v>0.52</v>
      </c>
      <c r="K42" s="59">
        <v>21.07</v>
      </c>
      <c r="L42" s="59">
        <v>22.43</v>
      </c>
      <c r="M42" s="59">
        <v>38</v>
      </c>
      <c r="N42" s="59">
        <v>260.89999999999998</v>
      </c>
      <c r="O42" s="59">
        <v>0</v>
      </c>
      <c r="P42" s="59">
        <v>1.48</v>
      </c>
      <c r="Q42" s="59">
        <v>35.619999999999997</v>
      </c>
      <c r="R42" s="197"/>
      <c r="S42" s="197"/>
      <c r="T42" s="197"/>
      <c r="U42" s="197"/>
    </row>
    <row r="43" spans="1:21" s="12" customFormat="1" x14ac:dyDescent="0.25">
      <c r="A43" s="200" t="s">
        <v>2009</v>
      </c>
      <c r="B43" s="59">
        <v>28.11</v>
      </c>
      <c r="C43" s="59">
        <v>86.4</v>
      </c>
      <c r="D43" s="59">
        <v>70.22</v>
      </c>
      <c r="E43" s="59">
        <v>6.11</v>
      </c>
      <c r="F43" s="59">
        <v>0.84</v>
      </c>
      <c r="G43" s="59">
        <v>111.21</v>
      </c>
      <c r="H43" s="59">
        <v>38.56</v>
      </c>
      <c r="I43" s="59">
        <v>0.41</v>
      </c>
      <c r="J43" s="59">
        <v>0.7</v>
      </c>
      <c r="K43" s="59">
        <v>13.62</v>
      </c>
      <c r="L43" s="59">
        <v>24.45</v>
      </c>
      <c r="M43" s="59">
        <v>34</v>
      </c>
      <c r="N43" s="59">
        <v>294.89999999999998</v>
      </c>
      <c r="O43" s="59">
        <v>0</v>
      </c>
      <c r="P43" s="59">
        <v>1.49</v>
      </c>
      <c r="Q43" s="59">
        <v>36.380000000000003</v>
      </c>
      <c r="R43" s="197"/>
      <c r="S43" s="197"/>
      <c r="T43" s="197"/>
      <c r="U43" s="197"/>
    </row>
    <row r="44" spans="1:21" s="12" customFormat="1" x14ac:dyDescent="0.25">
      <c r="A44" s="200" t="s">
        <v>2010</v>
      </c>
      <c r="B44" s="59">
        <v>27.47</v>
      </c>
      <c r="C44" s="59">
        <v>87.4</v>
      </c>
      <c r="D44" s="59">
        <v>70.27</v>
      </c>
      <c r="E44" s="59">
        <v>6.19</v>
      </c>
      <c r="F44" s="59">
        <v>0.45</v>
      </c>
      <c r="G44" s="59">
        <v>111.21</v>
      </c>
      <c r="H44" s="59">
        <v>38.56</v>
      </c>
      <c r="I44" s="59">
        <v>0.41</v>
      </c>
      <c r="J44" s="59">
        <v>0.51</v>
      </c>
      <c r="K44" s="59">
        <v>40.03</v>
      </c>
      <c r="L44" s="59">
        <v>25.43</v>
      </c>
      <c r="M44" s="59">
        <v>32</v>
      </c>
      <c r="N44" s="59">
        <v>324</v>
      </c>
      <c r="O44" s="59">
        <v>0</v>
      </c>
      <c r="P44" s="59">
        <v>1.48</v>
      </c>
      <c r="Q44" s="59">
        <v>36.72</v>
      </c>
      <c r="R44" s="197"/>
      <c r="S44" s="197"/>
      <c r="T44" s="197"/>
      <c r="U44" s="197"/>
    </row>
    <row r="45" spans="1:21" s="12" customFormat="1" x14ac:dyDescent="0.25">
      <c r="A45" s="200" t="s">
        <v>2011</v>
      </c>
      <c r="B45" s="59">
        <v>26.09</v>
      </c>
      <c r="C45" s="59">
        <v>87.03</v>
      </c>
      <c r="D45" s="59">
        <v>68.95</v>
      </c>
      <c r="E45" s="59">
        <v>5.74</v>
      </c>
      <c r="F45" s="59">
        <v>0.8</v>
      </c>
      <c r="G45" s="59">
        <v>66.680000000000007</v>
      </c>
      <c r="H45" s="59">
        <v>37.950000000000003</v>
      </c>
      <c r="I45" s="59">
        <v>0.42</v>
      </c>
      <c r="J45" s="59">
        <v>1.62</v>
      </c>
      <c r="K45" s="59">
        <v>134.35</v>
      </c>
      <c r="L45" s="59">
        <v>21.54</v>
      </c>
      <c r="M45" s="59">
        <v>39</v>
      </c>
      <c r="N45" s="59">
        <v>348.3</v>
      </c>
      <c r="O45" s="59">
        <v>0</v>
      </c>
      <c r="P45" s="59">
        <v>1.46</v>
      </c>
      <c r="Q45" s="59">
        <v>36.86</v>
      </c>
      <c r="R45" s="197"/>
      <c r="S45" s="197"/>
      <c r="T45" s="197"/>
      <c r="U45" s="197"/>
    </row>
    <row r="46" spans="1:21" s="12" customFormat="1" x14ac:dyDescent="0.25">
      <c r="A46" s="200" t="s">
        <v>2012</v>
      </c>
      <c r="B46" s="59">
        <v>24.17</v>
      </c>
      <c r="C46" s="59">
        <v>84.92</v>
      </c>
      <c r="D46" s="59">
        <v>66.25</v>
      </c>
      <c r="E46" s="59">
        <v>5.72</v>
      </c>
      <c r="F46" s="59">
        <v>0.82</v>
      </c>
      <c r="G46" s="59">
        <v>19.37</v>
      </c>
      <c r="H46" s="59">
        <v>36.909999999999997</v>
      </c>
      <c r="I46" s="59">
        <v>0.42</v>
      </c>
      <c r="J46" s="59">
        <v>0.8</v>
      </c>
      <c r="K46" s="59">
        <v>116.09</v>
      </c>
      <c r="L46" s="59">
        <v>21.77</v>
      </c>
      <c r="M46" s="59">
        <v>40</v>
      </c>
      <c r="N46" s="59">
        <v>348.4</v>
      </c>
      <c r="O46" s="59">
        <v>0</v>
      </c>
      <c r="P46" s="59">
        <v>1.42</v>
      </c>
      <c r="Q46" s="59">
        <v>36.9</v>
      </c>
      <c r="R46" s="197"/>
      <c r="S46" s="197"/>
      <c r="T46" s="197"/>
      <c r="U46" s="197"/>
    </row>
    <row r="47" spans="1:21" s="12" customFormat="1" x14ac:dyDescent="0.25">
      <c r="A47" s="200" t="s">
        <v>2013</v>
      </c>
      <c r="B47" s="59">
        <v>22.05</v>
      </c>
      <c r="C47" s="59">
        <v>83.36</v>
      </c>
      <c r="D47" s="59">
        <v>63.69</v>
      </c>
      <c r="E47" s="59">
        <v>5.95</v>
      </c>
      <c r="F47" s="59">
        <v>0.47</v>
      </c>
      <c r="G47" s="59">
        <v>19.37</v>
      </c>
      <c r="H47" s="59">
        <v>36.909999999999997</v>
      </c>
      <c r="I47" s="59">
        <v>0.42</v>
      </c>
      <c r="J47" s="59">
        <v>1.1599999999999999</v>
      </c>
      <c r="K47" s="59">
        <v>114.63</v>
      </c>
      <c r="L47" s="59">
        <v>22.06</v>
      </c>
      <c r="M47" s="59">
        <v>40</v>
      </c>
      <c r="N47" s="59">
        <v>354.7</v>
      </c>
      <c r="O47" s="59">
        <v>0</v>
      </c>
      <c r="P47" s="59">
        <v>1.4</v>
      </c>
      <c r="Q47" s="59">
        <v>37.369999999999997</v>
      </c>
      <c r="R47" s="197"/>
      <c r="S47" s="197"/>
      <c r="T47" s="197"/>
      <c r="U47" s="197"/>
    </row>
    <row r="48" spans="1:21" s="12" customFormat="1" x14ac:dyDescent="0.25">
      <c r="A48" s="200" t="s">
        <v>2014</v>
      </c>
      <c r="B48" s="59">
        <v>19.82</v>
      </c>
      <c r="C48" s="59">
        <v>82.09</v>
      </c>
      <c r="D48" s="59">
        <v>61.2</v>
      </c>
      <c r="E48" s="59">
        <v>6</v>
      </c>
      <c r="F48" s="59">
        <v>0.48</v>
      </c>
      <c r="G48" s="59">
        <v>19.37</v>
      </c>
      <c r="H48" s="59">
        <v>36.909999999999997</v>
      </c>
      <c r="I48" s="59">
        <v>0.43</v>
      </c>
      <c r="J48" s="59">
        <v>1.38</v>
      </c>
      <c r="K48" s="59">
        <v>137.91</v>
      </c>
      <c r="L48" s="59">
        <v>22.25</v>
      </c>
      <c r="M48" s="59">
        <v>40</v>
      </c>
      <c r="N48" s="59">
        <v>365.9</v>
      </c>
      <c r="O48" s="59">
        <v>0</v>
      </c>
      <c r="P48" s="59">
        <v>1.37</v>
      </c>
      <c r="Q48" s="59">
        <v>37.880000000000003</v>
      </c>
      <c r="R48" s="197"/>
      <c r="S48" s="197"/>
      <c r="T48" s="197"/>
      <c r="U48" s="197"/>
    </row>
    <row r="49" spans="1:21" s="12" customFormat="1" x14ac:dyDescent="0.25">
      <c r="A49" s="200" t="s">
        <v>2015</v>
      </c>
      <c r="B49" s="59">
        <v>17.079999999999998</v>
      </c>
      <c r="C49" s="59">
        <v>81.31</v>
      </c>
      <c r="D49" s="59">
        <v>58.57</v>
      </c>
      <c r="E49" s="59">
        <v>5.75</v>
      </c>
      <c r="F49" s="59">
        <v>1.65</v>
      </c>
      <c r="G49" s="59">
        <v>72.239999999999995</v>
      </c>
      <c r="H49" s="59">
        <v>35.340000000000003</v>
      </c>
      <c r="I49" s="59">
        <v>0.43</v>
      </c>
      <c r="J49" s="59">
        <v>0.97</v>
      </c>
      <c r="K49" s="59">
        <v>127.13</v>
      </c>
      <c r="L49" s="59">
        <v>22.92</v>
      </c>
      <c r="M49" s="59">
        <v>39</v>
      </c>
      <c r="N49" s="59">
        <v>378.8</v>
      </c>
      <c r="O49" s="59">
        <v>0</v>
      </c>
      <c r="P49" s="59">
        <v>1.32</v>
      </c>
      <c r="Q49" s="59">
        <v>38.24</v>
      </c>
      <c r="R49" s="197"/>
      <c r="S49" s="197"/>
      <c r="T49" s="197"/>
      <c r="U49" s="197"/>
    </row>
    <row r="50" spans="1:21" s="12" customFormat="1" x14ac:dyDescent="0.25">
      <c r="A50" s="200" t="s">
        <v>2016</v>
      </c>
      <c r="B50" s="59">
        <v>14.55</v>
      </c>
      <c r="C50" s="59">
        <v>81.55</v>
      </c>
      <c r="D50" s="59">
        <v>56.67</v>
      </c>
      <c r="E50" s="59">
        <v>5.96</v>
      </c>
      <c r="F50" s="59">
        <v>1.94</v>
      </c>
      <c r="G50" s="59">
        <v>128.41</v>
      </c>
      <c r="H50" s="59">
        <v>32.630000000000003</v>
      </c>
      <c r="I50" s="59">
        <v>0.43</v>
      </c>
      <c r="J50" s="59">
        <v>0.5</v>
      </c>
      <c r="K50" s="59">
        <v>106.52</v>
      </c>
      <c r="L50" s="59">
        <v>24.79</v>
      </c>
      <c r="M50" s="59">
        <v>35</v>
      </c>
      <c r="N50" s="59">
        <v>389.4</v>
      </c>
      <c r="O50" s="59">
        <v>0</v>
      </c>
      <c r="P50" s="59">
        <v>1.29</v>
      </c>
      <c r="Q50" s="59">
        <v>38.01</v>
      </c>
      <c r="R50" s="197"/>
      <c r="S50" s="197"/>
      <c r="T50" s="197"/>
      <c r="U50" s="197"/>
    </row>
    <row r="51" spans="1:21" s="12" customFormat="1" x14ac:dyDescent="0.25">
      <c r="A51" s="200" t="s">
        <v>2017</v>
      </c>
      <c r="B51" s="59">
        <v>11.49</v>
      </c>
      <c r="C51" s="59">
        <v>82.52</v>
      </c>
      <c r="D51" s="59">
        <v>54.76</v>
      </c>
      <c r="E51" s="59">
        <v>8.0399999999999991</v>
      </c>
      <c r="F51" s="59">
        <v>1.49</v>
      </c>
      <c r="G51" s="59">
        <v>128.41</v>
      </c>
      <c r="H51" s="59">
        <v>32.630000000000003</v>
      </c>
      <c r="I51" s="59">
        <v>0.41</v>
      </c>
      <c r="J51" s="59">
        <v>0.95</v>
      </c>
      <c r="K51" s="59">
        <v>121.72</v>
      </c>
      <c r="L51" s="59">
        <v>25.05</v>
      </c>
      <c r="M51" s="59">
        <v>34</v>
      </c>
      <c r="N51" s="59">
        <v>402.2</v>
      </c>
      <c r="O51" s="59">
        <v>0</v>
      </c>
      <c r="P51" s="59">
        <v>1.23</v>
      </c>
      <c r="Q51" s="59">
        <v>37.159999999999997</v>
      </c>
      <c r="R51" s="197"/>
      <c r="S51" s="197"/>
      <c r="T51" s="197"/>
      <c r="U51" s="197"/>
    </row>
    <row r="52" spans="1:21" s="12" customFormat="1" x14ac:dyDescent="0.25">
      <c r="A52" s="200" t="s">
        <v>2018</v>
      </c>
      <c r="B52" s="59">
        <v>7.74</v>
      </c>
      <c r="C52" s="59">
        <v>82.68</v>
      </c>
      <c r="D52" s="59">
        <v>51.84</v>
      </c>
      <c r="E52" s="59">
        <v>8.76</v>
      </c>
      <c r="F52" s="59">
        <v>2.61</v>
      </c>
      <c r="G52" s="59">
        <v>128.41</v>
      </c>
      <c r="H52" s="59">
        <v>32.630000000000003</v>
      </c>
      <c r="I52" s="59">
        <v>0.39</v>
      </c>
      <c r="J52" s="59">
        <v>0.73</v>
      </c>
      <c r="K52" s="59">
        <v>100.59</v>
      </c>
      <c r="L52" s="59">
        <v>25.61</v>
      </c>
      <c r="M52" s="59">
        <v>32</v>
      </c>
      <c r="N52" s="59">
        <v>408.8</v>
      </c>
      <c r="O52" s="59">
        <v>0</v>
      </c>
      <c r="P52" s="59">
        <v>1.17</v>
      </c>
      <c r="Q52" s="59">
        <v>35.130000000000003</v>
      </c>
      <c r="R52" s="197"/>
      <c r="S52" s="197"/>
      <c r="T52" s="197"/>
      <c r="U52" s="197"/>
    </row>
    <row r="53" spans="1:21" s="12" customFormat="1" x14ac:dyDescent="0.25">
      <c r="A53" s="200" t="s">
        <v>2019</v>
      </c>
      <c r="B53" s="59">
        <v>6.4</v>
      </c>
      <c r="C53" s="59">
        <v>83.71</v>
      </c>
      <c r="D53" s="59">
        <v>51.33</v>
      </c>
      <c r="E53" s="59">
        <v>6.19</v>
      </c>
      <c r="F53" s="59">
        <v>1.38</v>
      </c>
      <c r="G53" s="59">
        <v>128.41</v>
      </c>
      <c r="H53" s="59">
        <v>32.630000000000003</v>
      </c>
      <c r="I53" s="59">
        <v>0.36</v>
      </c>
      <c r="J53" s="59">
        <v>0.9</v>
      </c>
      <c r="K53" s="59">
        <v>100.23</v>
      </c>
      <c r="L53" s="59">
        <v>25.64</v>
      </c>
      <c r="M53" s="59">
        <v>30</v>
      </c>
      <c r="N53" s="59">
        <v>417.2</v>
      </c>
      <c r="O53" s="59">
        <v>0</v>
      </c>
      <c r="P53" s="59">
        <v>1.1399999999999999</v>
      </c>
      <c r="Q53" s="59">
        <v>34.630000000000003</v>
      </c>
      <c r="R53" s="197"/>
      <c r="S53" s="197"/>
      <c r="T53" s="197"/>
      <c r="U53" s="197"/>
    </row>
    <row r="54" spans="1:21" s="12" customFormat="1" x14ac:dyDescent="0.25">
      <c r="A54" s="200" t="s">
        <v>2020</v>
      </c>
      <c r="B54" s="59">
        <v>5.72</v>
      </c>
      <c r="C54" s="59">
        <v>81.97</v>
      </c>
      <c r="D54" s="59">
        <v>59.21</v>
      </c>
      <c r="E54" s="59">
        <v>6.28</v>
      </c>
      <c r="F54" s="59">
        <v>2.27</v>
      </c>
      <c r="G54" s="59">
        <v>128.41</v>
      </c>
      <c r="H54" s="59">
        <v>32.630000000000003</v>
      </c>
      <c r="I54" s="59">
        <v>0.32</v>
      </c>
      <c r="J54" s="59">
        <v>1.56</v>
      </c>
      <c r="K54" s="59">
        <v>132.94</v>
      </c>
      <c r="L54" s="59">
        <v>25.09</v>
      </c>
      <c r="M54" s="59">
        <v>29</v>
      </c>
      <c r="N54" s="59">
        <v>420.5</v>
      </c>
      <c r="O54" s="59">
        <v>0</v>
      </c>
      <c r="P54" s="59">
        <v>1.1100000000000001</v>
      </c>
      <c r="Q54" s="59">
        <v>34.35</v>
      </c>
      <c r="R54" s="197"/>
      <c r="S54" s="197"/>
      <c r="T54" s="197"/>
      <c r="U54" s="197"/>
    </row>
    <row r="55" spans="1:21" s="12" customFormat="1" x14ac:dyDescent="0.25">
      <c r="A55" s="200" t="s">
        <v>2021</v>
      </c>
      <c r="B55" s="59">
        <v>3.82</v>
      </c>
      <c r="C55" s="59">
        <v>75.27</v>
      </c>
      <c r="D55" s="59">
        <v>79.09</v>
      </c>
      <c r="E55" s="59">
        <v>11.85</v>
      </c>
      <c r="F55" s="59">
        <v>346</v>
      </c>
      <c r="G55" s="59">
        <v>128.41</v>
      </c>
      <c r="H55" s="59">
        <v>32.630000000000003</v>
      </c>
      <c r="I55" s="59">
        <v>0.31</v>
      </c>
      <c r="J55" s="59">
        <v>1.31</v>
      </c>
      <c r="K55" s="59">
        <v>131.6</v>
      </c>
      <c r="L55" s="59">
        <v>25.52</v>
      </c>
      <c r="M55" s="59">
        <v>28</v>
      </c>
      <c r="N55" s="59">
        <v>418.8</v>
      </c>
      <c r="O55" s="59">
        <v>0</v>
      </c>
      <c r="P55" s="59">
        <v>0.91</v>
      </c>
      <c r="Q55" s="59">
        <v>32.14</v>
      </c>
      <c r="R55" s="197"/>
      <c r="S55" s="197"/>
      <c r="T55" s="197"/>
      <c r="U55" s="197"/>
    </row>
    <row r="56" spans="1:21" s="12" customFormat="1" x14ac:dyDescent="0.25">
      <c r="A56" s="200" t="s">
        <v>2022</v>
      </c>
      <c r="B56" s="59">
        <v>2.83</v>
      </c>
      <c r="C56" s="59">
        <v>69.39</v>
      </c>
      <c r="D56" s="59">
        <v>72.22</v>
      </c>
      <c r="E56" s="59">
        <v>47.01</v>
      </c>
      <c r="F56" s="59">
        <v>337.44</v>
      </c>
      <c r="G56" s="59">
        <v>128.41</v>
      </c>
      <c r="H56" s="59">
        <v>32.630000000000003</v>
      </c>
      <c r="I56" s="59">
        <v>0.28999999999999998</v>
      </c>
      <c r="J56" s="59">
        <v>1.29</v>
      </c>
      <c r="K56" s="59">
        <v>136.08000000000001</v>
      </c>
      <c r="L56" s="59">
        <v>25.93</v>
      </c>
      <c r="M56" s="59">
        <v>28</v>
      </c>
      <c r="N56" s="59">
        <v>416.6</v>
      </c>
      <c r="O56" s="59">
        <v>0</v>
      </c>
      <c r="P56" s="59">
        <v>0.83</v>
      </c>
      <c r="Q56" s="59">
        <v>30.32</v>
      </c>
      <c r="R56" s="197"/>
      <c r="S56" s="197"/>
      <c r="T56" s="197"/>
      <c r="U56" s="197"/>
    </row>
    <row r="57" spans="1:21" s="12" customFormat="1" x14ac:dyDescent="0.25">
      <c r="A57" s="200" t="s">
        <v>2023</v>
      </c>
      <c r="B57" s="59">
        <v>3.75</v>
      </c>
      <c r="C57" s="59">
        <v>67.290000000000006</v>
      </c>
      <c r="D57" s="59">
        <v>71.040000000000006</v>
      </c>
      <c r="E57" s="59">
        <v>111.15</v>
      </c>
      <c r="F57" s="59">
        <v>6.82</v>
      </c>
      <c r="G57" s="59">
        <v>128.41</v>
      </c>
      <c r="H57" s="59">
        <v>32.630000000000003</v>
      </c>
      <c r="I57" s="59">
        <v>0.24</v>
      </c>
      <c r="J57" s="59">
        <v>1</v>
      </c>
      <c r="K57" s="59">
        <v>115.77</v>
      </c>
      <c r="L57" s="59">
        <v>26.46</v>
      </c>
      <c r="M57" s="59">
        <v>27</v>
      </c>
      <c r="N57" s="59">
        <v>409.4</v>
      </c>
      <c r="O57" s="59">
        <v>0</v>
      </c>
      <c r="P57" s="59">
        <v>0.76</v>
      </c>
      <c r="Q57" s="59">
        <v>28.78</v>
      </c>
      <c r="R57" s="197"/>
      <c r="S57" s="197"/>
      <c r="T57" s="197"/>
      <c r="U57" s="197"/>
    </row>
    <row r="58" spans="1:21" s="12" customFormat="1" x14ac:dyDescent="0.25">
      <c r="A58" s="200" t="s">
        <v>2024</v>
      </c>
      <c r="B58" s="59">
        <v>3.48</v>
      </c>
      <c r="C58" s="59">
        <v>65.62</v>
      </c>
      <c r="D58" s="59">
        <v>69.099999999999994</v>
      </c>
      <c r="E58" s="59">
        <v>190.12</v>
      </c>
      <c r="F58" s="59">
        <v>111.9</v>
      </c>
      <c r="G58" s="59">
        <v>75.62</v>
      </c>
      <c r="H58" s="59">
        <v>19.21</v>
      </c>
      <c r="I58" s="59">
        <v>0.21</v>
      </c>
      <c r="J58" s="59">
        <v>0.82</v>
      </c>
      <c r="K58" s="59">
        <v>127.3</v>
      </c>
      <c r="L58" s="59">
        <v>26.47</v>
      </c>
      <c r="M58" s="59">
        <v>26</v>
      </c>
      <c r="N58" s="59">
        <v>407.4</v>
      </c>
      <c r="O58" s="59">
        <v>0</v>
      </c>
      <c r="P58" s="59">
        <v>0.71</v>
      </c>
      <c r="Q58" s="59">
        <v>28.95</v>
      </c>
      <c r="R58" s="197"/>
      <c r="S58" s="197"/>
      <c r="T58" s="197"/>
      <c r="U58" s="197"/>
    </row>
    <row r="59" spans="1:21" s="12" customFormat="1" x14ac:dyDescent="0.25">
      <c r="A59" s="200" t="s">
        <v>2025</v>
      </c>
      <c r="B59" s="59">
        <v>5.25</v>
      </c>
      <c r="C59" s="59">
        <v>68.510000000000005</v>
      </c>
      <c r="D59" s="59">
        <v>73.77</v>
      </c>
      <c r="E59" s="59">
        <v>24.02</v>
      </c>
      <c r="F59" s="59">
        <v>11.4</v>
      </c>
      <c r="G59" s="211" t="s">
        <v>40</v>
      </c>
      <c r="H59" s="211" t="s">
        <v>40</v>
      </c>
      <c r="I59" s="59">
        <v>0.2</v>
      </c>
      <c r="J59" s="59">
        <v>0.98</v>
      </c>
      <c r="K59" s="59">
        <v>9.94</v>
      </c>
      <c r="L59" s="59">
        <v>29.7</v>
      </c>
      <c r="M59" s="59">
        <v>21</v>
      </c>
      <c r="N59" s="59">
        <v>395.9</v>
      </c>
      <c r="O59" s="59">
        <v>0</v>
      </c>
      <c r="P59" s="59">
        <v>0.72</v>
      </c>
      <c r="Q59" s="59">
        <v>28.78</v>
      </c>
      <c r="R59" s="197"/>
      <c r="S59" s="197"/>
      <c r="T59" s="197"/>
      <c r="U59" s="197"/>
    </row>
    <row r="60" spans="1:21" s="12" customFormat="1" x14ac:dyDescent="0.25">
      <c r="A60" s="200" t="s">
        <v>2026</v>
      </c>
      <c r="B60" s="59">
        <v>5.5</v>
      </c>
      <c r="C60" s="59">
        <v>71.7</v>
      </c>
      <c r="D60" s="59">
        <v>77.2</v>
      </c>
      <c r="E60" s="59">
        <v>18.350000000000001</v>
      </c>
      <c r="F60" s="59">
        <v>4.0199999999999996</v>
      </c>
      <c r="G60" s="211" t="s">
        <v>40</v>
      </c>
      <c r="H60" s="211" t="s">
        <v>40</v>
      </c>
      <c r="I60" s="59">
        <v>0.19</v>
      </c>
      <c r="J60" s="59">
        <v>0.43</v>
      </c>
      <c r="K60" s="59">
        <v>90.5</v>
      </c>
      <c r="L60" s="59">
        <v>29.02</v>
      </c>
      <c r="M60" s="59">
        <v>22</v>
      </c>
      <c r="N60" s="59">
        <v>399.4</v>
      </c>
      <c r="O60" s="59">
        <v>0</v>
      </c>
      <c r="P60" s="59">
        <v>0.72</v>
      </c>
      <c r="Q60" s="59">
        <v>28.36</v>
      </c>
      <c r="R60" s="197"/>
      <c r="S60" s="197"/>
      <c r="T60" s="197"/>
      <c r="U60" s="197"/>
    </row>
    <row r="61" spans="1:21" s="12" customFormat="1" x14ac:dyDescent="0.25">
      <c r="A61" s="200" t="s">
        <v>2027</v>
      </c>
      <c r="B61" s="59">
        <v>4.5</v>
      </c>
      <c r="C61" s="59">
        <v>73.78</v>
      </c>
      <c r="D61" s="59">
        <v>78.28</v>
      </c>
      <c r="E61" s="59">
        <v>9.68</v>
      </c>
      <c r="F61" s="59">
        <v>2.2200000000000002</v>
      </c>
      <c r="G61" s="211" t="s">
        <v>40</v>
      </c>
      <c r="H61" s="211" t="s">
        <v>40</v>
      </c>
      <c r="I61" s="59">
        <v>0.19</v>
      </c>
      <c r="J61" s="59">
        <v>0.67</v>
      </c>
      <c r="K61" s="59">
        <v>357.76</v>
      </c>
      <c r="L61" s="59">
        <v>31.63</v>
      </c>
      <c r="M61" s="59">
        <v>19</v>
      </c>
      <c r="N61" s="59">
        <v>396.5</v>
      </c>
      <c r="O61" s="59">
        <v>0</v>
      </c>
      <c r="P61" s="59">
        <v>0.72</v>
      </c>
      <c r="Q61" s="59">
        <v>28.83</v>
      </c>
      <c r="R61" s="197"/>
      <c r="S61" s="197"/>
      <c r="T61" s="197"/>
      <c r="U61" s="197"/>
    </row>
    <row r="62" spans="1:21" s="12" customFormat="1" x14ac:dyDescent="0.25">
      <c r="A62" s="200" t="s">
        <v>2028</v>
      </c>
      <c r="B62" s="59">
        <v>4.66</v>
      </c>
      <c r="C62" s="59">
        <v>75.349999999999994</v>
      </c>
      <c r="D62" s="59">
        <v>80.010000000000005</v>
      </c>
      <c r="E62" s="59">
        <v>8.09</v>
      </c>
      <c r="F62" s="59">
        <v>2.36</v>
      </c>
      <c r="G62" s="59">
        <v>16.32</v>
      </c>
      <c r="H62" s="59">
        <v>11.72</v>
      </c>
      <c r="I62" s="59">
        <v>0.21</v>
      </c>
      <c r="J62" s="59">
        <v>0.72</v>
      </c>
      <c r="K62" s="59">
        <v>123.53</v>
      </c>
      <c r="L62" s="59">
        <v>29.45</v>
      </c>
      <c r="M62" s="59">
        <v>21</v>
      </c>
      <c r="N62" s="59">
        <v>382.5</v>
      </c>
      <c r="O62" s="59">
        <v>0</v>
      </c>
      <c r="P62" s="59">
        <v>0.74</v>
      </c>
      <c r="Q62" s="59">
        <v>29.83</v>
      </c>
      <c r="R62" s="197"/>
      <c r="S62" s="197"/>
      <c r="T62" s="197"/>
      <c r="U62" s="197"/>
    </row>
    <row r="63" spans="1:21" s="12" customFormat="1" x14ac:dyDescent="0.25">
      <c r="A63" s="200" t="s">
        <v>2029</v>
      </c>
      <c r="B63" s="59">
        <v>4.6500000000000004</v>
      </c>
      <c r="C63" s="59">
        <v>75.3</v>
      </c>
      <c r="D63" s="59">
        <v>79.95</v>
      </c>
      <c r="E63" s="59">
        <v>8.08</v>
      </c>
      <c r="F63" s="59">
        <v>1.51</v>
      </c>
      <c r="G63" s="59">
        <v>28.35</v>
      </c>
      <c r="H63" s="59">
        <v>27.04</v>
      </c>
      <c r="I63" s="59">
        <v>0.22</v>
      </c>
      <c r="J63" s="59">
        <v>0.33</v>
      </c>
      <c r="K63" s="59">
        <v>115.61</v>
      </c>
      <c r="L63" s="59">
        <v>29.01</v>
      </c>
      <c r="M63" s="59">
        <v>21</v>
      </c>
      <c r="N63" s="59">
        <v>367.1</v>
      </c>
      <c r="O63" s="59">
        <v>0</v>
      </c>
      <c r="P63" s="59">
        <v>0.74</v>
      </c>
      <c r="Q63" s="59">
        <v>31.4</v>
      </c>
      <c r="R63" s="197"/>
      <c r="S63" s="197"/>
      <c r="T63" s="197"/>
      <c r="U63" s="197"/>
    </row>
    <row r="64" spans="1:21" s="12" customFormat="1" x14ac:dyDescent="0.25">
      <c r="A64" s="200" t="s">
        <v>2030</v>
      </c>
      <c r="B64" s="59">
        <v>5.03</v>
      </c>
      <c r="C64" s="59">
        <v>74.75</v>
      </c>
      <c r="D64" s="59">
        <v>79.790000000000006</v>
      </c>
      <c r="E64" s="59">
        <v>7.24</v>
      </c>
      <c r="F64" s="59">
        <v>0.84</v>
      </c>
      <c r="G64" s="59">
        <v>28.35</v>
      </c>
      <c r="H64" s="59">
        <v>27.04</v>
      </c>
      <c r="I64" s="59">
        <v>0.22</v>
      </c>
      <c r="J64" s="59">
        <v>0.4</v>
      </c>
      <c r="K64" s="59">
        <v>14.94</v>
      </c>
      <c r="L64" s="59">
        <v>29.88</v>
      </c>
      <c r="M64" s="59">
        <v>21</v>
      </c>
      <c r="N64" s="59">
        <v>351.6</v>
      </c>
      <c r="O64" s="59">
        <v>0</v>
      </c>
      <c r="P64" s="59">
        <v>0.74</v>
      </c>
      <c r="Q64" s="59">
        <v>31.95</v>
      </c>
      <c r="R64" s="197"/>
      <c r="S64" s="197"/>
      <c r="T64" s="197"/>
      <c r="U64" s="197"/>
    </row>
    <row r="65" spans="1:21" s="12" customFormat="1" x14ac:dyDescent="0.25">
      <c r="A65" s="200" t="s">
        <v>2031</v>
      </c>
      <c r="B65" s="59">
        <v>5.92</v>
      </c>
      <c r="C65" s="59">
        <v>75.95</v>
      </c>
      <c r="D65" s="59">
        <v>81.87</v>
      </c>
      <c r="E65" s="59">
        <v>8.2799999999999994</v>
      </c>
      <c r="F65" s="59">
        <v>1.07</v>
      </c>
      <c r="G65" s="59">
        <v>28.35</v>
      </c>
      <c r="H65" s="59">
        <v>27.04</v>
      </c>
      <c r="I65" s="59">
        <v>0.23</v>
      </c>
      <c r="J65" s="59">
        <v>0.28000000000000003</v>
      </c>
      <c r="K65" s="59">
        <v>127.82</v>
      </c>
      <c r="L65" s="59">
        <v>30.2</v>
      </c>
      <c r="M65" s="59">
        <v>20</v>
      </c>
      <c r="N65" s="59">
        <v>332.7</v>
      </c>
      <c r="O65" s="59">
        <v>0</v>
      </c>
      <c r="P65" s="59">
        <v>0.75</v>
      </c>
      <c r="Q65" s="59">
        <v>32.78</v>
      </c>
      <c r="R65" s="197"/>
      <c r="S65" s="197"/>
      <c r="T65" s="197"/>
      <c r="U65" s="197"/>
    </row>
    <row r="66" spans="1:21" s="12" customFormat="1" x14ac:dyDescent="0.25">
      <c r="A66" s="200" t="s">
        <v>2032</v>
      </c>
      <c r="B66" s="59">
        <v>6.15</v>
      </c>
      <c r="C66" s="59">
        <v>77.260000000000005</v>
      </c>
      <c r="D66" s="59">
        <v>83.41</v>
      </c>
      <c r="E66" s="59">
        <v>8.7799999999999994</v>
      </c>
      <c r="F66" s="59">
        <v>1.72</v>
      </c>
      <c r="G66" s="59">
        <v>35.24</v>
      </c>
      <c r="H66" s="59">
        <v>27.74</v>
      </c>
      <c r="I66" s="59">
        <v>0.22</v>
      </c>
      <c r="J66" s="59">
        <v>0.37</v>
      </c>
      <c r="K66" s="59">
        <v>49.39</v>
      </c>
      <c r="L66" s="59">
        <v>30.03</v>
      </c>
      <c r="M66" s="59">
        <v>19</v>
      </c>
      <c r="N66" s="59">
        <v>157.9</v>
      </c>
      <c r="O66" s="59">
        <v>0</v>
      </c>
      <c r="P66" s="59">
        <v>0.77</v>
      </c>
      <c r="Q66" s="59">
        <v>33.11</v>
      </c>
      <c r="R66" s="197"/>
      <c r="S66" s="197"/>
      <c r="T66" s="197"/>
      <c r="U66" s="197"/>
    </row>
    <row r="67" spans="1:21" s="12" customFormat="1" x14ac:dyDescent="0.25">
      <c r="A67" s="200" t="s">
        <v>2033</v>
      </c>
      <c r="B67" s="59">
        <v>6.32</v>
      </c>
      <c r="C67" s="59">
        <v>78.36</v>
      </c>
      <c r="D67" s="59">
        <v>84.68</v>
      </c>
      <c r="E67" s="59">
        <v>7.58</v>
      </c>
      <c r="F67" s="59">
        <v>3.25</v>
      </c>
      <c r="G67" s="59">
        <v>40.31</v>
      </c>
      <c r="H67" s="59">
        <v>28.65</v>
      </c>
      <c r="I67" s="59">
        <v>0.21</v>
      </c>
      <c r="J67" s="59">
        <v>0.95</v>
      </c>
      <c r="K67" s="59">
        <v>117.73</v>
      </c>
      <c r="L67" s="59">
        <v>28.58</v>
      </c>
      <c r="M67" s="59">
        <v>21</v>
      </c>
      <c r="N67" s="59">
        <v>181</v>
      </c>
      <c r="O67" s="59">
        <v>0</v>
      </c>
      <c r="P67" s="59">
        <v>0.79</v>
      </c>
      <c r="Q67" s="59">
        <v>32.75</v>
      </c>
      <c r="R67" s="197"/>
      <c r="S67" s="197"/>
      <c r="T67" s="197"/>
      <c r="U67" s="197"/>
    </row>
    <row r="68" spans="1:21" s="12" customFormat="1" x14ac:dyDescent="0.25">
      <c r="A68" s="200" t="s">
        <v>2034</v>
      </c>
      <c r="B68" s="59">
        <v>6.18</v>
      </c>
      <c r="C68" s="59">
        <v>76.400000000000006</v>
      </c>
      <c r="D68" s="59">
        <v>82.58</v>
      </c>
      <c r="E68" s="59">
        <v>6.89</v>
      </c>
      <c r="F68" s="59">
        <v>1.47</v>
      </c>
      <c r="G68" s="59">
        <v>40.31</v>
      </c>
      <c r="H68" s="59">
        <v>28.65</v>
      </c>
      <c r="I68" s="59">
        <v>0.21</v>
      </c>
      <c r="J68" s="59">
        <v>1.1599999999999999</v>
      </c>
      <c r="K68" s="59">
        <v>115.49</v>
      </c>
      <c r="L68" s="59">
        <v>27.66</v>
      </c>
      <c r="M68" s="59">
        <v>22</v>
      </c>
      <c r="N68" s="59">
        <v>255.5</v>
      </c>
      <c r="O68" s="59">
        <v>0</v>
      </c>
      <c r="P68" s="59">
        <v>0.76</v>
      </c>
      <c r="Q68" s="59">
        <v>32.92</v>
      </c>
      <c r="R68" s="197"/>
      <c r="S68" s="197"/>
      <c r="T68" s="197"/>
      <c r="U68" s="197"/>
    </row>
    <row r="69" spans="1:21" s="12" customFormat="1" x14ac:dyDescent="0.25">
      <c r="A69" s="200" t="s">
        <v>2035</v>
      </c>
      <c r="B69" s="59">
        <v>6.18</v>
      </c>
      <c r="C69" s="59">
        <v>74.33</v>
      </c>
      <c r="D69" s="59">
        <v>80.510000000000005</v>
      </c>
      <c r="E69" s="59">
        <v>6.94</v>
      </c>
      <c r="F69" s="59">
        <v>1.56</v>
      </c>
      <c r="G69" s="59">
        <v>40.31</v>
      </c>
      <c r="H69" s="59">
        <v>28.65</v>
      </c>
      <c r="I69" s="59">
        <v>0.21</v>
      </c>
      <c r="J69" s="59">
        <v>1.0900000000000001</v>
      </c>
      <c r="K69" s="59">
        <v>119.49</v>
      </c>
      <c r="L69" s="59">
        <v>27.28</v>
      </c>
      <c r="M69" s="59">
        <v>22</v>
      </c>
      <c r="N69" s="59">
        <v>228.1</v>
      </c>
      <c r="O69" s="59">
        <v>0</v>
      </c>
      <c r="P69" s="59">
        <v>0.74</v>
      </c>
      <c r="Q69" s="59">
        <v>32.46</v>
      </c>
      <c r="R69" s="197"/>
      <c r="S69" s="197"/>
      <c r="T69" s="197"/>
      <c r="U69" s="197"/>
    </row>
    <row r="70" spans="1:21" s="12" customFormat="1" x14ac:dyDescent="0.25">
      <c r="A70" s="200" t="s">
        <v>2036</v>
      </c>
      <c r="B70" s="59">
        <v>6.07</v>
      </c>
      <c r="C70" s="59">
        <v>72.27</v>
      </c>
      <c r="D70" s="59">
        <v>78.34</v>
      </c>
      <c r="E70" s="59">
        <v>7.44</v>
      </c>
      <c r="F70" s="59">
        <v>2.13</v>
      </c>
      <c r="G70" s="59">
        <v>49.37</v>
      </c>
      <c r="H70" s="59">
        <v>28.09</v>
      </c>
      <c r="I70" s="59">
        <v>0.21</v>
      </c>
      <c r="J70" s="59">
        <v>1.03</v>
      </c>
      <c r="K70" s="59">
        <v>114.44</v>
      </c>
      <c r="L70" s="59">
        <v>27.06</v>
      </c>
      <c r="M70" s="59">
        <v>23</v>
      </c>
      <c r="N70" s="59">
        <v>150.1</v>
      </c>
      <c r="O70" s="59">
        <v>0</v>
      </c>
      <c r="P70" s="59">
        <v>0.72</v>
      </c>
      <c r="Q70" s="59">
        <v>32.57</v>
      </c>
      <c r="R70" s="197"/>
      <c r="S70" s="197"/>
      <c r="T70" s="197"/>
      <c r="U70" s="197"/>
    </row>
    <row r="71" spans="1:21" s="12" customFormat="1" x14ac:dyDescent="0.25">
      <c r="A71" s="200" t="s">
        <v>2037</v>
      </c>
      <c r="B71" s="59">
        <v>7.21</v>
      </c>
      <c r="C71" s="59">
        <v>70.75</v>
      </c>
      <c r="D71" s="59">
        <v>77.959999999999994</v>
      </c>
      <c r="E71" s="59">
        <v>11.93</v>
      </c>
      <c r="F71" s="59">
        <v>2.57</v>
      </c>
      <c r="G71" s="59">
        <v>56.04</v>
      </c>
      <c r="H71" s="59">
        <v>27.36</v>
      </c>
      <c r="I71" s="59">
        <v>0.21</v>
      </c>
      <c r="J71" s="59">
        <v>0.42</v>
      </c>
      <c r="K71" s="59">
        <v>92.2</v>
      </c>
      <c r="L71" s="59">
        <v>27.19</v>
      </c>
      <c r="M71" s="59">
        <v>24</v>
      </c>
      <c r="N71" s="59">
        <v>162.6</v>
      </c>
      <c r="O71" s="59">
        <v>0</v>
      </c>
      <c r="P71" s="59">
        <v>0.72</v>
      </c>
      <c r="Q71" s="59">
        <v>33.29</v>
      </c>
      <c r="R71" s="197"/>
      <c r="S71" s="197"/>
      <c r="T71" s="197"/>
      <c r="U71" s="197"/>
    </row>
    <row r="72" spans="1:21" s="12" customFormat="1" x14ac:dyDescent="0.25">
      <c r="A72" s="200" t="s">
        <v>2038</v>
      </c>
      <c r="B72" s="59">
        <v>8.26</v>
      </c>
      <c r="C72" s="59">
        <v>72.849999999999994</v>
      </c>
      <c r="D72" s="59">
        <v>81.11</v>
      </c>
      <c r="E72" s="59">
        <v>5.83</v>
      </c>
      <c r="F72" s="59">
        <v>2.52</v>
      </c>
      <c r="G72" s="59">
        <v>56.04</v>
      </c>
      <c r="H72" s="59">
        <v>27.36</v>
      </c>
      <c r="I72" s="59">
        <v>0.21</v>
      </c>
      <c r="J72" s="59">
        <v>0.6</v>
      </c>
      <c r="K72" s="59">
        <v>96.86</v>
      </c>
      <c r="L72" s="59">
        <v>26.92</v>
      </c>
      <c r="M72" s="59">
        <v>23</v>
      </c>
      <c r="N72" s="59">
        <v>78.3</v>
      </c>
      <c r="O72" s="59">
        <v>0</v>
      </c>
      <c r="P72" s="59">
        <v>0.73</v>
      </c>
      <c r="Q72" s="59">
        <v>34.76</v>
      </c>
      <c r="R72" s="197"/>
      <c r="S72" s="197"/>
      <c r="T72" s="197"/>
      <c r="U72" s="197"/>
    </row>
    <row r="73" spans="1:21" s="12" customFormat="1" x14ac:dyDescent="0.25">
      <c r="A73" s="200" t="s">
        <v>2039</v>
      </c>
      <c r="B73" s="59">
        <v>8.77</v>
      </c>
      <c r="C73" s="59">
        <v>72.069999999999993</v>
      </c>
      <c r="D73" s="59">
        <v>80.84</v>
      </c>
      <c r="E73" s="59">
        <v>13.99</v>
      </c>
      <c r="F73" s="59">
        <v>1.79</v>
      </c>
      <c r="G73" s="59">
        <v>56.04</v>
      </c>
      <c r="H73" s="59">
        <v>27.36</v>
      </c>
      <c r="I73" s="59">
        <v>0.22</v>
      </c>
      <c r="J73" s="59">
        <v>0.5</v>
      </c>
      <c r="K73" s="59">
        <v>90.88</v>
      </c>
      <c r="L73" s="59">
        <v>26.73</v>
      </c>
      <c r="M73" s="59">
        <v>23</v>
      </c>
      <c r="N73" s="59">
        <v>57.6</v>
      </c>
      <c r="O73" s="59">
        <v>0</v>
      </c>
      <c r="P73" s="59">
        <v>0.71</v>
      </c>
      <c r="Q73" s="59">
        <v>35.770000000000003</v>
      </c>
      <c r="R73" s="197"/>
      <c r="S73" s="197"/>
      <c r="T73" s="197"/>
      <c r="U73" s="197"/>
    </row>
    <row r="74" spans="1:21" s="12" customFormat="1" x14ac:dyDescent="0.25">
      <c r="A74" s="200" t="s">
        <v>2040</v>
      </c>
      <c r="B74" s="59">
        <v>10.56</v>
      </c>
      <c r="C74" s="59">
        <v>76.27</v>
      </c>
      <c r="D74" s="59">
        <v>86.83</v>
      </c>
      <c r="E74" s="59">
        <v>22.07</v>
      </c>
      <c r="F74" s="59">
        <v>2.5</v>
      </c>
      <c r="G74" s="59">
        <v>54.75</v>
      </c>
      <c r="H74" s="59">
        <v>27.18</v>
      </c>
      <c r="I74" s="59">
        <v>0.22</v>
      </c>
      <c r="J74" s="59">
        <v>0.45</v>
      </c>
      <c r="K74" s="59">
        <v>92.12</v>
      </c>
      <c r="L74" s="59">
        <v>26.47</v>
      </c>
      <c r="M74" s="59">
        <v>24</v>
      </c>
      <c r="N74" s="59">
        <v>50</v>
      </c>
      <c r="O74" s="59">
        <v>0</v>
      </c>
      <c r="P74" s="59">
        <v>0.72</v>
      </c>
      <c r="Q74" s="59">
        <v>36.479999999999997</v>
      </c>
      <c r="R74" s="197"/>
      <c r="S74" s="197"/>
      <c r="T74" s="197"/>
      <c r="U74" s="197"/>
    </row>
    <row r="75" spans="1:21" s="12" customFormat="1" x14ac:dyDescent="0.25">
      <c r="A75" s="200" t="s">
        <v>2041</v>
      </c>
      <c r="B75" s="59">
        <v>14.85</v>
      </c>
      <c r="C75" s="59">
        <v>81.96</v>
      </c>
      <c r="D75" s="59">
        <v>96.81</v>
      </c>
      <c r="E75" s="59">
        <v>26.7</v>
      </c>
      <c r="F75" s="59">
        <v>2.79</v>
      </c>
      <c r="G75" s="59">
        <v>52.18</v>
      </c>
      <c r="H75" s="59">
        <v>26.94</v>
      </c>
      <c r="I75" s="59">
        <v>0.22</v>
      </c>
      <c r="J75" s="59">
        <v>0.27</v>
      </c>
      <c r="K75" s="59">
        <v>65</v>
      </c>
      <c r="L75" s="59">
        <v>26.1</v>
      </c>
      <c r="M75" s="59">
        <v>25</v>
      </c>
      <c r="N75" s="59">
        <v>42.8</v>
      </c>
      <c r="O75" s="59">
        <v>0</v>
      </c>
      <c r="P75" s="59">
        <v>0.82</v>
      </c>
      <c r="Q75" s="59">
        <v>36.94</v>
      </c>
      <c r="R75" s="197"/>
      <c r="S75" s="197"/>
      <c r="T75" s="197"/>
      <c r="U75" s="197"/>
    </row>
    <row r="76" spans="1:21" s="12" customFormat="1" x14ac:dyDescent="0.25">
      <c r="A76" s="200" t="s">
        <v>2042</v>
      </c>
      <c r="B76" s="59">
        <v>39.24</v>
      </c>
      <c r="C76" s="59">
        <v>118</v>
      </c>
      <c r="D76" s="59">
        <v>103.46</v>
      </c>
      <c r="E76" s="59">
        <v>57.08</v>
      </c>
      <c r="F76" s="59">
        <v>2.25</v>
      </c>
      <c r="G76" s="59">
        <v>52.18</v>
      </c>
      <c r="H76" s="59">
        <v>26.94</v>
      </c>
      <c r="I76" s="59">
        <v>0.23</v>
      </c>
      <c r="J76" s="59">
        <v>0.13</v>
      </c>
      <c r="K76" s="59">
        <v>28.41</v>
      </c>
      <c r="L76" s="59">
        <v>25.64</v>
      </c>
      <c r="M76" s="59">
        <v>28</v>
      </c>
      <c r="N76" s="59">
        <v>35.799999999999997</v>
      </c>
      <c r="O76" s="59">
        <v>0</v>
      </c>
      <c r="P76" s="59">
        <v>1.57</v>
      </c>
      <c r="Q76" s="59">
        <v>34.590000000000003</v>
      </c>
      <c r="R76" s="197"/>
      <c r="S76" s="197"/>
      <c r="T76" s="197"/>
      <c r="U76" s="197"/>
    </row>
    <row r="77" spans="1:21" s="12" customFormat="1" x14ac:dyDescent="0.25">
      <c r="A77" s="200" t="s">
        <v>2043</v>
      </c>
      <c r="B77" s="59">
        <v>41.85</v>
      </c>
      <c r="C77" s="59">
        <v>114.67</v>
      </c>
      <c r="D77" s="59">
        <v>96.85</v>
      </c>
      <c r="E77" s="59">
        <v>16.96</v>
      </c>
      <c r="F77" s="59">
        <v>0.53</v>
      </c>
      <c r="G77" s="59">
        <v>52.18</v>
      </c>
      <c r="H77" s="59">
        <v>26.94</v>
      </c>
      <c r="I77" s="59">
        <v>0.26</v>
      </c>
      <c r="J77" s="59">
        <v>0.1</v>
      </c>
      <c r="K77" s="59">
        <v>14.3</v>
      </c>
      <c r="L77" s="59">
        <v>24.92</v>
      </c>
      <c r="M77" s="59">
        <v>32</v>
      </c>
      <c r="N77" s="59">
        <v>29.8</v>
      </c>
      <c r="O77" s="59">
        <v>0</v>
      </c>
      <c r="P77" s="59">
        <v>1.53</v>
      </c>
      <c r="Q77" s="59">
        <v>34.39</v>
      </c>
      <c r="R77" s="197"/>
      <c r="S77" s="197"/>
      <c r="T77" s="197"/>
      <c r="U77" s="197"/>
    </row>
    <row r="78" spans="1:21" s="12" customFormat="1" x14ac:dyDescent="0.25">
      <c r="A78" s="200" t="s">
        <v>2044</v>
      </c>
      <c r="B78" s="59">
        <v>57.09</v>
      </c>
      <c r="C78" s="59">
        <v>122.66</v>
      </c>
      <c r="D78" s="59">
        <v>113.47</v>
      </c>
      <c r="E78" s="59">
        <v>12.67</v>
      </c>
      <c r="F78" s="59">
        <v>0.19</v>
      </c>
      <c r="G78" s="59">
        <v>59.08</v>
      </c>
      <c r="H78" s="59">
        <v>27.6</v>
      </c>
      <c r="I78" s="59">
        <v>0.37</v>
      </c>
      <c r="J78" s="59">
        <v>0.13</v>
      </c>
      <c r="K78" s="59">
        <v>20.29</v>
      </c>
      <c r="L78" s="59">
        <v>23.86</v>
      </c>
      <c r="M78" s="59">
        <v>37</v>
      </c>
      <c r="N78" s="59">
        <v>25.8</v>
      </c>
      <c r="O78" s="59">
        <v>0</v>
      </c>
      <c r="P78" s="59">
        <v>1.93</v>
      </c>
      <c r="Q78" s="59">
        <v>35.340000000000003</v>
      </c>
      <c r="R78" s="197"/>
      <c r="S78" s="197"/>
      <c r="T78" s="197"/>
      <c r="U78" s="197"/>
    </row>
    <row r="79" spans="1:21" s="12" customFormat="1" x14ac:dyDescent="0.25">
      <c r="A79" s="200" t="s">
        <v>2045</v>
      </c>
      <c r="B79" s="59">
        <v>58.06</v>
      </c>
      <c r="C79" s="59">
        <v>123.26</v>
      </c>
      <c r="D79" s="59">
        <v>114.58</v>
      </c>
      <c r="E79" s="59">
        <v>8.76</v>
      </c>
      <c r="F79" s="59">
        <v>1.06</v>
      </c>
      <c r="G79" s="59">
        <v>64.17</v>
      </c>
      <c r="H79" s="59">
        <v>28.47</v>
      </c>
      <c r="I79" s="59">
        <v>0.43</v>
      </c>
      <c r="J79" s="59">
        <v>0.06</v>
      </c>
      <c r="K79" s="59">
        <v>86.5</v>
      </c>
      <c r="L79" s="59">
        <v>23.49</v>
      </c>
      <c r="M79" s="59">
        <v>34</v>
      </c>
      <c r="N79" s="59">
        <v>24.4</v>
      </c>
      <c r="O79" s="59">
        <v>0</v>
      </c>
      <c r="P79" s="59">
        <v>2.0099999999999998</v>
      </c>
      <c r="Q79" s="59">
        <v>36.29</v>
      </c>
      <c r="R79" s="197"/>
      <c r="S79" s="197"/>
      <c r="T79" s="197"/>
      <c r="U79" s="197"/>
    </row>
    <row r="80" spans="1:21" s="12" customFormat="1" x14ac:dyDescent="0.25">
      <c r="A80" s="200" t="s">
        <v>2046</v>
      </c>
      <c r="B80" s="59">
        <v>57.4</v>
      </c>
      <c r="C80" s="59">
        <v>123.18</v>
      </c>
      <c r="D80" s="59">
        <v>114.01</v>
      </c>
      <c r="E80" s="59">
        <v>7.64</v>
      </c>
      <c r="F80" s="59">
        <v>0.03</v>
      </c>
      <c r="G80" s="59">
        <v>64.17</v>
      </c>
      <c r="H80" s="59">
        <v>28.47</v>
      </c>
      <c r="I80" s="59">
        <v>0.48</v>
      </c>
      <c r="J80" s="59">
        <v>0.15</v>
      </c>
      <c r="K80" s="59">
        <v>66.39</v>
      </c>
      <c r="L80" s="59">
        <v>23.33</v>
      </c>
      <c r="M80" s="59">
        <v>35</v>
      </c>
      <c r="N80" s="59">
        <v>24</v>
      </c>
      <c r="O80" s="59">
        <v>0</v>
      </c>
      <c r="P80" s="59">
        <v>2.08</v>
      </c>
      <c r="Q80" s="59">
        <v>37.32</v>
      </c>
      <c r="R80" s="197"/>
      <c r="S80" s="197"/>
      <c r="T80" s="197"/>
      <c r="U80" s="197"/>
    </row>
    <row r="81" spans="1:26" s="12" customFormat="1" x14ac:dyDescent="0.25">
      <c r="A81" s="200" t="s">
        <v>2047</v>
      </c>
      <c r="B81" s="59">
        <v>57.14</v>
      </c>
      <c r="C81" s="59">
        <v>124.26</v>
      </c>
      <c r="D81" s="59">
        <v>114.39</v>
      </c>
      <c r="E81" s="59">
        <v>6.98</v>
      </c>
      <c r="F81" s="59">
        <v>0.08</v>
      </c>
      <c r="G81" s="59">
        <v>64.17</v>
      </c>
      <c r="H81" s="59">
        <v>28.47</v>
      </c>
      <c r="I81" s="59">
        <v>0.52</v>
      </c>
      <c r="J81" s="59">
        <v>0.26</v>
      </c>
      <c r="K81" s="59">
        <v>76.709999999999994</v>
      </c>
      <c r="L81" s="59">
        <v>23.01</v>
      </c>
      <c r="M81" s="59">
        <v>38</v>
      </c>
      <c r="N81" s="59">
        <v>23.8</v>
      </c>
      <c r="O81" s="59">
        <v>0</v>
      </c>
      <c r="P81" s="59">
        <v>2.1800000000000002</v>
      </c>
      <c r="Q81" s="59">
        <v>37.81</v>
      </c>
      <c r="R81" s="197"/>
      <c r="S81" s="197"/>
      <c r="T81" s="197"/>
      <c r="U81" s="197"/>
    </row>
    <row r="82" spans="1:26" s="12" customFormat="1" x14ac:dyDescent="0.25">
      <c r="A82" s="200" t="s">
        <v>2048</v>
      </c>
      <c r="B82" s="59">
        <v>61.57</v>
      </c>
      <c r="C82" s="59">
        <v>127.62</v>
      </c>
      <c r="D82" s="59">
        <v>119.8</v>
      </c>
      <c r="E82" s="59">
        <v>6.91</v>
      </c>
      <c r="F82" s="59">
        <v>0.15</v>
      </c>
      <c r="G82" s="59">
        <v>105.16</v>
      </c>
      <c r="H82" s="59">
        <v>34.9</v>
      </c>
      <c r="I82" s="59">
        <v>0.53</v>
      </c>
      <c r="J82" s="59">
        <v>0.22</v>
      </c>
      <c r="K82" s="59">
        <v>73.7</v>
      </c>
      <c r="L82" s="59">
        <v>22.62</v>
      </c>
      <c r="M82" s="59">
        <v>40</v>
      </c>
      <c r="N82" s="59">
        <v>23.8</v>
      </c>
      <c r="O82" s="59">
        <v>0</v>
      </c>
      <c r="P82" s="59">
        <v>2.37</v>
      </c>
      <c r="Q82" s="59">
        <v>38.450000000000003</v>
      </c>
      <c r="R82" s="197"/>
      <c r="S82" s="197"/>
      <c r="T82" s="197"/>
      <c r="U82" s="197"/>
    </row>
    <row r="83" spans="1:26" s="12" customFormat="1" x14ac:dyDescent="0.25">
      <c r="A83" s="200" t="s">
        <v>2049</v>
      </c>
      <c r="B83" s="59">
        <v>65.77</v>
      </c>
      <c r="C83" s="59">
        <v>131.1</v>
      </c>
      <c r="D83" s="59">
        <v>125.09</v>
      </c>
      <c r="E83" s="59">
        <v>6.78</v>
      </c>
      <c r="F83" s="59">
        <v>0.35</v>
      </c>
      <c r="G83" s="59">
        <v>135.37</v>
      </c>
      <c r="H83" s="59">
        <v>43.32</v>
      </c>
      <c r="I83" s="59">
        <v>0.56000000000000005</v>
      </c>
      <c r="J83" s="59">
        <v>0.16</v>
      </c>
      <c r="K83" s="59">
        <v>70.94</v>
      </c>
      <c r="L83" s="59">
        <v>22.63</v>
      </c>
      <c r="M83" s="59">
        <v>39</v>
      </c>
      <c r="N83" s="59">
        <v>24</v>
      </c>
      <c r="O83" s="59">
        <v>0</v>
      </c>
      <c r="P83" s="59">
        <v>2.5499999999999998</v>
      </c>
      <c r="Q83" s="59">
        <v>39.22</v>
      </c>
      <c r="R83" s="197"/>
      <c r="S83" s="197"/>
      <c r="T83" s="197"/>
      <c r="U83" s="197"/>
    </row>
    <row r="84" spans="1:26" s="12" customFormat="1" x14ac:dyDescent="0.25">
      <c r="A84" s="200" t="s">
        <v>2050</v>
      </c>
      <c r="B84" s="59">
        <v>69.84</v>
      </c>
      <c r="C84" s="59">
        <v>136.37</v>
      </c>
      <c r="D84" s="59">
        <v>131.26</v>
      </c>
      <c r="E84" s="59">
        <v>7.72</v>
      </c>
      <c r="F84" s="59">
        <v>1.25</v>
      </c>
      <c r="G84" s="59">
        <v>135.37</v>
      </c>
      <c r="H84" s="59">
        <v>43.32</v>
      </c>
      <c r="I84" s="59">
        <v>0.66</v>
      </c>
      <c r="J84" s="59">
        <v>0.01</v>
      </c>
      <c r="K84" s="59">
        <v>290.36</v>
      </c>
      <c r="L84" s="59">
        <v>21.75</v>
      </c>
      <c r="M84" s="59">
        <v>43</v>
      </c>
      <c r="N84" s="59">
        <v>24.5</v>
      </c>
      <c r="O84" s="59">
        <v>0</v>
      </c>
      <c r="P84" s="59">
        <v>2.74</v>
      </c>
      <c r="Q84" s="59">
        <v>38.979999999999997</v>
      </c>
      <c r="R84" s="197"/>
      <c r="S84" s="197"/>
      <c r="T84" s="197"/>
      <c r="U84" s="197"/>
    </row>
    <row r="85" spans="1:26" s="12" customFormat="1" x14ac:dyDescent="0.25">
      <c r="A85" s="200" t="s">
        <v>2051</v>
      </c>
      <c r="B85" s="59">
        <v>71.14</v>
      </c>
      <c r="C85" s="59">
        <v>136.79</v>
      </c>
      <c r="D85" s="59">
        <v>132.54</v>
      </c>
      <c r="E85" s="59">
        <v>7.32</v>
      </c>
      <c r="F85" s="59">
        <v>0.71</v>
      </c>
      <c r="G85" s="59">
        <v>135.37</v>
      </c>
      <c r="H85" s="59">
        <v>43.32</v>
      </c>
      <c r="I85" s="59">
        <v>0.74</v>
      </c>
      <c r="J85" s="59">
        <v>0.08</v>
      </c>
      <c r="K85" s="59">
        <v>47.86</v>
      </c>
      <c r="L85" s="59">
        <v>20.85</v>
      </c>
      <c r="M85" s="59">
        <v>45</v>
      </c>
      <c r="N85" s="59">
        <v>24.3</v>
      </c>
      <c r="O85" s="59">
        <v>0</v>
      </c>
      <c r="P85" s="59">
        <v>2.73</v>
      </c>
      <c r="Q85" s="59">
        <v>39.35</v>
      </c>
      <c r="R85" s="197"/>
      <c r="S85" s="197"/>
      <c r="T85" s="197"/>
      <c r="U85" s="197"/>
    </row>
    <row r="86" spans="1:26" s="12" customFormat="1" x14ac:dyDescent="0.25">
      <c r="A86" s="200" t="s">
        <v>2052</v>
      </c>
      <c r="B86" s="59">
        <v>71.650000000000006</v>
      </c>
      <c r="C86" s="59">
        <v>131.11000000000001</v>
      </c>
      <c r="D86" s="59">
        <v>129.81</v>
      </c>
      <c r="E86" s="59">
        <v>7.1</v>
      </c>
      <c r="F86" s="59">
        <v>0.74</v>
      </c>
      <c r="G86" s="59">
        <v>144.4</v>
      </c>
      <c r="H86" s="59">
        <v>49.88</v>
      </c>
      <c r="I86" s="59">
        <v>0.8</v>
      </c>
      <c r="J86" s="59">
        <v>0.08</v>
      </c>
      <c r="K86" s="59">
        <v>61.98</v>
      </c>
      <c r="L86" s="59">
        <v>20.66</v>
      </c>
      <c r="M86" s="59">
        <v>45</v>
      </c>
      <c r="N86" s="59">
        <v>24.2</v>
      </c>
      <c r="O86" s="59">
        <v>0</v>
      </c>
      <c r="P86" s="59">
        <v>2.89</v>
      </c>
      <c r="Q86" s="59">
        <v>39.82</v>
      </c>
      <c r="R86" s="197"/>
      <c r="S86" s="197"/>
      <c r="T86" s="197"/>
      <c r="U86" s="197"/>
    </row>
    <row r="87" spans="1:26" s="12" customFormat="1" x14ac:dyDescent="0.25">
      <c r="A87" s="200" t="s">
        <v>2053</v>
      </c>
      <c r="B87" s="59">
        <v>71.89</v>
      </c>
      <c r="C87" s="59">
        <v>129.54</v>
      </c>
      <c r="D87" s="59">
        <v>129.13999999999999</v>
      </c>
      <c r="E87" s="59">
        <v>7.12</v>
      </c>
      <c r="F87" s="59">
        <v>0.39</v>
      </c>
      <c r="G87" s="59">
        <v>151.06</v>
      </c>
      <c r="H87" s="59">
        <v>58.45</v>
      </c>
      <c r="I87" s="59">
        <v>0.86</v>
      </c>
      <c r="J87" s="59">
        <v>0.11</v>
      </c>
      <c r="K87" s="59">
        <v>258.89999999999998</v>
      </c>
      <c r="L87" s="59">
        <v>20.23</v>
      </c>
      <c r="M87" s="59">
        <v>48</v>
      </c>
      <c r="N87" s="59">
        <v>24.3</v>
      </c>
      <c r="O87" s="59">
        <v>0</v>
      </c>
      <c r="P87" s="59">
        <v>2.94</v>
      </c>
      <c r="Q87" s="59">
        <v>40.44</v>
      </c>
      <c r="R87" s="197"/>
      <c r="S87" s="197"/>
      <c r="T87" s="197"/>
      <c r="U87" s="197"/>
    </row>
    <row r="88" spans="1:26" s="12" customFormat="1" x14ac:dyDescent="0.25">
      <c r="A88" s="200" t="s">
        <v>2054</v>
      </c>
      <c r="B88" s="59">
        <v>73.63</v>
      </c>
      <c r="C88" s="59">
        <v>128.32</v>
      </c>
      <c r="D88" s="59">
        <v>129.86000000000001</v>
      </c>
      <c r="E88" s="59">
        <v>3.75</v>
      </c>
      <c r="F88" s="59">
        <v>0.17</v>
      </c>
      <c r="G88" s="59">
        <v>151.06</v>
      </c>
      <c r="H88" s="59">
        <v>58.45</v>
      </c>
      <c r="I88" s="59">
        <v>0.91</v>
      </c>
      <c r="J88" s="59">
        <v>0.09</v>
      </c>
      <c r="K88" s="59">
        <v>300.73</v>
      </c>
      <c r="L88" s="59">
        <v>20.03</v>
      </c>
      <c r="M88" s="59">
        <v>50</v>
      </c>
      <c r="N88" s="59">
        <v>24.1</v>
      </c>
      <c r="O88" s="59">
        <v>0</v>
      </c>
      <c r="P88" s="59">
        <v>2.99</v>
      </c>
      <c r="Q88" s="59">
        <v>41.12</v>
      </c>
      <c r="R88" s="197"/>
      <c r="S88" s="197"/>
      <c r="T88" s="197"/>
      <c r="U88" s="197"/>
    </row>
    <row r="89" spans="1:26" s="12" customFormat="1" x14ac:dyDescent="0.25">
      <c r="A89" s="200" t="s">
        <v>2055</v>
      </c>
      <c r="B89" s="59">
        <v>75.66</v>
      </c>
      <c r="C89" s="59">
        <v>128.35</v>
      </c>
      <c r="D89" s="59">
        <v>131.51</v>
      </c>
      <c r="E89" s="59">
        <v>6.33</v>
      </c>
      <c r="F89" s="59">
        <v>0.23</v>
      </c>
      <c r="G89" s="59">
        <v>151.06</v>
      </c>
      <c r="H89" s="59">
        <v>58.45</v>
      </c>
      <c r="I89" s="59">
        <v>0.96</v>
      </c>
      <c r="J89" s="59">
        <v>0.11</v>
      </c>
      <c r="K89" s="59">
        <v>343</v>
      </c>
      <c r="L89" s="59">
        <v>19.47</v>
      </c>
      <c r="M89" s="59">
        <v>55</v>
      </c>
      <c r="N89" s="59">
        <v>24.1</v>
      </c>
      <c r="O89" s="59">
        <v>0</v>
      </c>
      <c r="P89" s="59">
        <v>3.04</v>
      </c>
      <c r="Q89" s="59">
        <v>41.86</v>
      </c>
      <c r="R89" s="197"/>
      <c r="S89" s="197"/>
      <c r="T89" s="197"/>
      <c r="U89" s="197"/>
    </row>
    <row r="90" spans="1:26" s="12" customFormat="1" x14ac:dyDescent="0.25">
      <c r="A90" s="200" t="s">
        <v>2056</v>
      </c>
      <c r="B90" s="59">
        <v>81.319999999999993</v>
      </c>
      <c r="C90" s="59">
        <v>126.38</v>
      </c>
      <c r="D90" s="59">
        <v>134.96</v>
      </c>
      <c r="E90" s="59">
        <v>6.59</v>
      </c>
      <c r="F90" s="59">
        <v>0.14000000000000001</v>
      </c>
      <c r="G90" s="59">
        <v>169.93</v>
      </c>
      <c r="H90" s="59">
        <v>65.5</v>
      </c>
      <c r="I90" s="59">
        <v>1</v>
      </c>
      <c r="J90" s="59">
        <v>0.13</v>
      </c>
      <c r="K90" s="59">
        <v>321.89999999999998</v>
      </c>
      <c r="L90" s="59">
        <v>19.059999999999999</v>
      </c>
      <c r="M90" s="59">
        <v>58</v>
      </c>
      <c r="N90" s="59">
        <v>24.1</v>
      </c>
      <c r="O90" s="59">
        <v>0</v>
      </c>
      <c r="P90" s="59">
        <v>3.19</v>
      </c>
      <c r="Q90" s="59">
        <v>42.39</v>
      </c>
      <c r="R90" s="197"/>
      <c r="S90" s="197"/>
      <c r="T90" s="197"/>
      <c r="U90" s="197"/>
    </row>
    <row r="91" spans="1:26" s="12" customFormat="1" x14ac:dyDescent="0.25">
      <c r="A91" s="200" t="s">
        <v>2057</v>
      </c>
      <c r="B91" s="59">
        <v>90.13</v>
      </c>
      <c r="C91" s="59">
        <v>128.94999999999999</v>
      </c>
      <c r="D91" s="59">
        <v>143.44</v>
      </c>
      <c r="E91" s="59">
        <v>6.3</v>
      </c>
      <c r="F91" s="59">
        <v>0.11</v>
      </c>
      <c r="G91" s="59">
        <v>207.66</v>
      </c>
      <c r="H91" s="59">
        <v>74.73</v>
      </c>
      <c r="I91" s="59">
        <v>1.03</v>
      </c>
      <c r="J91" s="59">
        <v>0.11</v>
      </c>
      <c r="K91" s="59">
        <v>320.22000000000003</v>
      </c>
      <c r="L91" s="59">
        <v>18.55</v>
      </c>
      <c r="M91" s="59">
        <v>61</v>
      </c>
      <c r="N91" s="59">
        <v>24.1</v>
      </c>
      <c r="O91" s="59">
        <v>0</v>
      </c>
      <c r="P91" s="59">
        <v>3.36</v>
      </c>
      <c r="Q91" s="59">
        <v>43.91</v>
      </c>
      <c r="R91" s="197"/>
      <c r="S91" s="197"/>
      <c r="T91" s="197"/>
      <c r="U91" s="197"/>
    </row>
    <row r="92" spans="1:26" s="12" customFormat="1" x14ac:dyDescent="0.25">
      <c r="A92" s="200" t="s">
        <v>2058</v>
      </c>
      <c r="B92" s="59">
        <v>101.41</v>
      </c>
      <c r="C92" s="59">
        <v>133.5</v>
      </c>
      <c r="D92" s="59">
        <v>155</v>
      </c>
      <c r="E92" s="59">
        <v>6.46</v>
      </c>
      <c r="F92" s="59">
        <v>0.06</v>
      </c>
      <c r="G92" s="59">
        <v>207.66</v>
      </c>
      <c r="H92" s="59">
        <v>74.73</v>
      </c>
      <c r="I92" s="59">
        <v>1.0900000000000001</v>
      </c>
      <c r="J92" s="59">
        <v>0.12</v>
      </c>
      <c r="K92" s="59">
        <v>326.87</v>
      </c>
      <c r="L92" s="59">
        <v>18.260000000000002</v>
      </c>
      <c r="M92" s="59">
        <v>59</v>
      </c>
      <c r="N92" s="59">
        <v>24</v>
      </c>
      <c r="O92" s="59">
        <v>0</v>
      </c>
      <c r="P92" s="59">
        <v>3.59</v>
      </c>
      <c r="Q92" s="59">
        <v>46.22</v>
      </c>
      <c r="R92" s="197"/>
      <c r="S92" s="197"/>
      <c r="T92" s="197"/>
      <c r="U92" s="197"/>
    </row>
    <row r="93" spans="1:26" s="12" customFormat="1" x14ac:dyDescent="0.25">
      <c r="A93" s="200" t="s">
        <v>2059</v>
      </c>
      <c r="B93" s="59">
        <v>113.45</v>
      </c>
      <c r="C93" s="59">
        <v>138.87</v>
      </c>
      <c r="D93" s="59">
        <v>167.62</v>
      </c>
      <c r="E93" s="59">
        <v>6.56</v>
      </c>
      <c r="F93" s="59">
        <v>0.15</v>
      </c>
      <c r="G93" s="59">
        <v>207.66</v>
      </c>
      <c r="H93" s="59">
        <v>74.73</v>
      </c>
      <c r="I93" s="59">
        <v>1.1499999999999999</v>
      </c>
      <c r="J93" s="59">
        <v>0.11</v>
      </c>
      <c r="K93" s="59">
        <v>321.56</v>
      </c>
      <c r="L93" s="59">
        <v>17.98</v>
      </c>
      <c r="M93" s="59">
        <v>62</v>
      </c>
      <c r="N93" s="59">
        <v>24.1</v>
      </c>
      <c r="O93" s="59">
        <v>0</v>
      </c>
      <c r="P93" s="59">
        <v>3.83</v>
      </c>
      <c r="Q93" s="59">
        <v>47.27</v>
      </c>
      <c r="R93" s="197"/>
      <c r="S93" s="197"/>
      <c r="T93" s="197"/>
      <c r="U93" s="197"/>
    </row>
    <row r="94" spans="1:26" s="12" customFormat="1" x14ac:dyDescent="0.25">
      <c r="A94" s="200" t="s">
        <v>2060</v>
      </c>
      <c r="B94" s="59">
        <v>124.45</v>
      </c>
      <c r="C94" s="59">
        <v>143.32</v>
      </c>
      <c r="D94" s="59">
        <v>178.9</v>
      </c>
      <c r="E94" s="59">
        <v>6.62</v>
      </c>
      <c r="F94" s="59">
        <v>0.15</v>
      </c>
      <c r="G94" s="59">
        <v>214.9</v>
      </c>
      <c r="H94" s="59">
        <v>78.12</v>
      </c>
      <c r="I94" s="59">
        <v>1.23</v>
      </c>
      <c r="J94" s="59">
        <v>0.11</v>
      </c>
      <c r="K94" s="59">
        <v>334.8</v>
      </c>
      <c r="L94" s="59">
        <v>17.739999999999998</v>
      </c>
      <c r="M94" s="59">
        <v>63</v>
      </c>
      <c r="N94" s="59">
        <v>24</v>
      </c>
      <c r="O94" s="59">
        <v>0</v>
      </c>
      <c r="P94" s="59">
        <v>4</v>
      </c>
      <c r="Q94" s="59">
        <v>47.77</v>
      </c>
      <c r="R94" s="197"/>
      <c r="S94" s="197"/>
      <c r="T94" s="197"/>
      <c r="U94" s="197"/>
    </row>
    <row r="95" spans="1:26" s="12" customFormat="1" x14ac:dyDescent="0.25">
      <c r="A95" s="200" t="s">
        <v>2061</v>
      </c>
      <c r="B95" s="59">
        <v>140.21</v>
      </c>
      <c r="C95" s="59">
        <v>149.01</v>
      </c>
      <c r="D95" s="59">
        <v>194.67</v>
      </c>
      <c r="E95" s="59">
        <v>6.65</v>
      </c>
      <c r="F95" s="59">
        <v>0.2</v>
      </c>
      <c r="G95" s="59">
        <v>220.23</v>
      </c>
      <c r="H95" s="59">
        <v>82.55</v>
      </c>
      <c r="I95" s="59">
        <v>1.29</v>
      </c>
      <c r="J95" s="59">
        <v>0.09</v>
      </c>
      <c r="K95" s="59">
        <v>316.52</v>
      </c>
      <c r="L95" s="59">
        <v>17.72</v>
      </c>
      <c r="M95" s="59">
        <v>63</v>
      </c>
      <c r="N95" s="59">
        <v>24.1</v>
      </c>
      <c r="O95" s="59">
        <v>0</v>
      </c>
      <c r="P95" s="59">
        <v>4.3099999999999996</v>
      </c>
      <c r="Q95" s="59">
        <v>48.91</v>
      </c>
      <c r="R95" s="197"/>
      <c r="S95" s="197"/>
      <c r="T95" s="197"/>
      <c r="U95" s="197"/>
    </row>
    <row r="96" spans="1:26" s="12" customFormat="1" x14ac:dyDescent="0.25">
      <c r="A96" s="200" t="s">
        <v>2062</v>
      </c>
      <c r="B96" s="59">
        <v>153.76</v>
      </c>
      <c r="C96" s="59">
        <v>154.33000000000001</v>
      </c>
      <c r="D96" s="59">
        <v>208.47</v>
      </c>
      <c r="E96" s="59">
        <v>6.9</v>
      </c>
      <c r="F96" s="59">
        <v>0.22</v>
      </c>
      <c r="G96" s="59">
        <v>220.23</v>
      </c>
      <c r="H96" s="59">
        <v>82.55</v>
      </c>
      <c r="I96" s="59">
        <v>1.33</v>
      </c>
      <c r="J96" s="59">
        <v>7.0000000000000007E-2</v>
      </c>
      <c r="K96" s="59">
        <v>30.93</v>
      </c>
      <c r="L96" s="59">
        <v>17.72</v>
      </c>
      <c r="M96" s="59">
        <v>63</v>
      </c>
      <c r="N96" s="59">
        <v>23.9</v>
      </c>
      <c r="O96" s="59">
        <v>0</v>
      </c>
      <c r="P96" s="59">
        <v>4.5199999999999996</v>
      </c>
      <c r="Q96" s="59">
        <v>50.83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2063</v>
      </c>
      <c r="B97" s="59">
        <v>183.81</v>
      </c>
      <c r="C97" s="59">
        <v>166.73</v>
      </c>
      <c r="D97" s="59">
        <v>239.42</v>
      </c>
      <c r="E97" s="59">
        <v>7.06</v>
      </c>
      <c r="F97" s="59">
        <v>0.21</v>
      </c>
      <c r="G97" s="59">
        <v>220.23</v>
      </c>
      <c r="H97" s="59">
        <v>82.55</v>
      </c>
      <c r="I97" s="59">
        <v>1.43</v>
      </c>
      <c r="J97" s="59">
        <v>0.05</v>
      </c>
      <c r="K97" s="59">
        <v>230.06</v>
      </c>
      <c r="L97" s="59">
        <v>17.63</v>
      </c>
      <c r="M97" s="59">
        <v>65</v>
      </c>
      <c r="N97" s="59">
        <v>23.9</v>
      </c>
      <c r="O97" s="59">
        <v>0</v>
      </c>
      <c r="P97" s="59">
        <v>4.68</v>
      </c>
      <c r="Q97" s="59">
        <v>52.45</v>
      </c>
      <c r="R97" s="197"/>
      <c r="S97" s="197"/>
      <c r="T97" s="197"/>
      <c r="U97" s="197"/>
    </row>
    <row r="98" spans="1:33" s="12" customFormat="1" x14ac:dyDescent="0.25">
      <c r="A98" s="200" t="s">
        <v>2064</v>
      </c>
      <c r="B98" s="59">
        <v>204.25</v>
      </c>
      <c r="C98" s="59">
        <v>174.07</v>
      </c>
      <c r="D98" s="59">
        <v>259.86</v>
      </c>
      <c r="E98" s="59">
        <v>7.4</v>
      </c>
      <c r="F98" s="59">
        <v>0.2</v>
      </c>
      <c r="G98" s="59">
        <v>227.23</v>
      </c>
      <c r="H98" s="59">
        <v>85.23</v>
      </c>
      <c r="I98" s="59">
        <v>1.49</v>
      </c>
      <c r="J98" s="59">
        <v>0.13</v>
      </c>
      <c r="K98" s="59">
        <v>338.55</v>
      </c>
      <c r="L98" s="59">
        <v>17.27</v>
      </c>
      <c r="M98" s="59">
        <v>67</v>
      </c>
      <c r="N98" s="59">
        <v>24</v>
      </c>
      <c r="O98" s="59">
        <v>0</v>
      </c>
      <c r="P98" s="59">
        <v>4.7699999999999996</v>
      </c>
      <c r="Q98" s="59">
        <v>53.18</v>
      </c>
      <c r="R98" s="197"/>
      <c r="S98" s="197"/>
      <c r="T98" s="197"/>
      <c r="U98" s="197"/>
    </row>
    <row r="99" spans="1:33" s="12" customFormat="1" x14ac:dyDescent="0.25">
      <c r="A99" s="200" t="s">
        <v>2065</v>
      </c>
      <c r="B99" s="59">
        <v>210.09</v>
      </c>
      <c r="C99" s="59">
        <v>175.72</v>
      </c>
      <c r="D99" s="59">
        <v>265.45</v>
      </c>
      <c r="E99" s="59">
        <v>7.73</v>
      </c>
      <c r="F99" s="59">
        <v>0.27</v>
      </c>
      <c r="G99" s="59">
        <v>232.39</v>
      </c>
      <c r="H99" s="59">
        <v>88.75</v>
      </c>
      <c r="I99" s="59">
        <v>1.56</v>
      </c>
      <c r="J99" s="59">
        <v>0.11</v>
      </c>
      <c r="K99" s="59">
        <v>324.95999999999998</v>
      </c>
      <c r="L99" s="59">
        <v>16.98</v>
      </c>
      <c r="M99" s="59">
        <v>67</v>
      </c>
      <c r="N99" s="59">
        <v>24</v>
      </c>
      <c r="O99" s="59">
        <v>0</v>
      </c>
      <c r="P99" s="59">
        <v>4.87</v>
      </c>
      <c r="Q99" s="59">
        <v>53.2</v>
      </c>
      <c r="R99" s="197"/>
      <c r="S99" s="197"/>
      <c r="T99" s="197"/>
      <c r="U99" s="197"/>
    </row>
    <row r="100" spans="1:33" s="12" customFormat="1" x14ac:dyDescent="0.25">
      <c r="A100" s="200" t="s">
        <v>2066</v>
      </c>
      <c r="B100" s="59">
        <v>213.2</v>
      </c>
      <c r="C100" s="59">
        <v>175.83</v>
      </c>
      <c r="D100" s="59">
        <v>268.01</v>
      </c>
      <c r="E100" s="59">
        <v>7.21</v>
      </c>
      <c r="F100" s="59">
        <v>0.33</v>
      </c>
      <c r="G100" s="59">
        <v>232.39</v>
      </c>
      <c r="H100" s="59">
        <v>88.75</v>
      </c>
      <c r="I100" s="59">
        <v>1.62</v>
      </c>
      <c r="J100" s="59">
        <v>0.14000000000000001</v>
      </c>
      <c r="K100" s="59">
        <v>342.83</v>
      </c>
      <c r="L100" s="59">
        <v>17</v>
      </c>
      <c r="M100" s="59">
        <v>68</v>
      </c>
      <c r="N100" s="59">
        <v>24.1</v>
      </c>
      <c r="O100" s="59">
        <v>0</v>
      </c>
      <c r="P100" s="59">
        <v>4.93</v>
      </c>
      <c r="Q100" s="59">
        <v>53.89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2067</v>
      </c>
      <c r="B101" s="59">
        <v>215.11</v>
      </c>
      <c r="C101" s="59">
        <v>174.13</v>
      </c>
      <c r="D101" s="59">
        <v>268.60000000000002</v>
      </c>
      <c r="E101" s="59">
        <v>7.36</v>
      </c>
      <c r="F101" s="59">
        <v>2.2000000000000002</v>
      </c>
      <c r="G101" s="59">
        <v>232.39</v>
      </c>
      <c r="H101" s="59">
        <v>88.75</v>
      </c>
      <c r="I101" s="59">
        <v>1.66</v>
      </c>
      <c r="J101" s="59">
        <v>0.12</v>
      </c>
      <c r="K101" s="59">
        <v>330.76</v>
      </c>
      <c r="L101" s="59">
        <v>16.809999999999999</v>
      </c>
      <c r="M101" s="59">
        <v>69</v>
      </c>
      <c r="N101" s="59">
        <v>24</v>
      </c>
      <c r="O101" s="59">
        <v>0</v>
      </c>
      <c r="P101" s="59">
        <v>4.9800000000000004</v>
      </c>
      <c r="Q101" s="59">
        <v>55.01</v>
      </c>
      <c r="R101" s="197"/>
      <c r="S101" s="197"/>
      <c r="T101" s="197"/>
      <c r="U101" s="197"/>
    </row>
    <row r="102" spans="1:33" s="12" customFormat="1" x14ac:dyDescent="0.25">
      <c r="A102" s="200" t="s">
        <v>2068</v>
      </c>
      <c r="B102" s="59">
        <v>216.41</v>
      </c>
      <c r="C102" s="59">
        <v>172.49</v>
      </c>
      <c r="D102" s="59">
        <v>268.74</v>
      </c>
      <c r="E102" s="59">
        <v>7.92</v>
      </c>
      <c r="F102" s="59">
        <v>0.64</v>
      </c>
      <c r="G102" s="59">
        <v>212.15</v>
      </c>
      <c r="H102" s="59">
        <v>90.05</v>
      </c>
      <c r="I102" s="59">
        <v>1.67</v>
      </c>
      <c r="J102" s="59">
        <v>0.14000000000000001</v>
      </c>
      <c r="K102" s="59">
        <v>325.68</v>
      </c>
      <c r="L102" s="59">
        <v>16.79</v>
      </c>
      <c r="M102" s="59">
        <v>70</v>
      </c>
      <c r="N102" s="59">
        <v>23.9</v>
      </c>
      <c r="O102" s="59">
        <v>0</v>
      </c>
      <c r="P102" s="59">
        <v>5.05</v>
      </c>
      <c r="Q102" s="59">
        <v>55.2</v>
      </c>
      <c r="R102" s="197"/>
      <c r="S102" s="197"/>
      <c r="T102" s="197"/>
      <c r="U102" s="197"/>
    </row>
    <row r="103" spans="1:33" s="12" customFormat="1" x14ac:dyDescent="0.25">
      <c r="A103" s="200" t="s">
        <v>2069</v>
      </c>
      <c r="B103" s="59">
        <v>216.08</v>
      </c>
      <c r="C103" s="59">
        <v>170.53</v>
      </c>
      <c r="D103" s="59">
        <v>267.39</v>
      </c>
      <c r="E103" s="59">
        <v>7.6</v>
      </c>
      <c r="F103" s="59">
        <v>0.26</v>
      </c>
      <c r="G103" s="59">
        <v>197.24</v>
      </c>
      <c r="H103" s="59">
        <v>91.74</v>
      </c>
      <c r="I103" s="59">
        <v>1.71</v>
      </c>
      <c r="J103" s="59">
        <v>0.09</v>
      </c>
      <c r="K103" s="59">
        <v>290.44</v>
      </c>
      <c r="L103" s="59">
        <v>16.7</v>
      </c>
      <c r="M103" s="59">
        <v>70</v>
      </c>
      <c r="N103" s="59">
        <v>24.2</v>
      </c>
      <c r="O103" s="59">
        <v>0</v>
      </c>
      <c r="P103" s="59">
        <v>5.0599999999999996</v>
      </c>
      <c r="Q103" s="59">
        <v>54.96</v>
      </c>
      <c r="R103" s="197"/>
      <c r="S103" s="197"/>
      <c r="T103" s="197"/>
      <c r="U103" s="197"/>
    </row>
    <row r="104" spans="1:33" s="12" customFormat="1" x14ac:dyDescent="0.25">
      <c r="A104" s="200" t="s">
        <v>2070</v>
      </c>
      <c r="B104" s="59">
        <v>211.54</v>
      </c>
      <c r="C104" s="59">
        <v>166.56</v>
      </c>
      <c r="D104" s="59">
        <v>261.56</v>
      </c>
      <c r="E104" s="59">
        <v>3.42</v>
      </c>
      <c r="F104" s="59">
        <v>0.12</v>
      </c>
      <c r="G104" s="59">
        <v>197.24</v>
      </c>
      <c r="H104" s="59">
        <v>91.74</v>
      </c>
      <c r="I104" s="59">
        <v>1.75</v>
      </c>
      <c r="J104" s="59">
        <v>0.15</v>
      </c>
      <c r="K104" s="59">
        <v>304.95</v>
      </c>
      <c r="L104" s="59">
        <v>16.39</v>
      </c>
      <c r="M104" s="59">
        <v>72</v>
      </c>
      <c r="N104" s="59">
        <v>24</v>
      </c>
      <c r="O104" s="59">
        <v>0</v>
      </c>
      <c r="P104" s="59">
        <v>4.9800000000000004</v>
      </c>
      <c r="Q104" s="59">
        <v>54.34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2.83</v>
      </c>
      <c r="C106" s="66">
        <f>MIN(C9:C104)</f>
        <v>65.62</v>
      </c>
      <c r="D106" s="66">
        <f t="shared" ref="D106:Q106" si="0">MIN(D9:D104)</f>
        <v>51.33</v>
      </c>
      <c r="E106" s="66">
        <f t="shared" si="0"/>
        <v>2.54</v>
      </c>
      <c r="F106" s="66">
        <f t="shared" si="0"/>
        <v>0.03</v>
      </c>
      <c r="G106" s="66">
        <f t="shared" si="0"/>
        <v>16.32</v>
      </c>
      <c r="H106" s="66">
        <f t="shared" si="0"/>
        <v>11.72</v>
      </c>
      <c r="I106" s="66">
        <f t="shared" si="0"/>
        <v>0.19</v>
      </c>
      <c r="J106" s="66">
        <f t="shared" si="0"/>
        <v>0.01</v>
      </c>
      <c r="K106" s="66">
        <f t="shared" si="0"/>
        <v>9.94</v>
      </c>
      <c r="L106" s="66">
        <f t="shared" si="0"/>
        <v>14.32</v>
      </c>
      <c r="M106" s="66">
        <f t="shared" si="0"/>
        <v>19</v>
      </c>
      <c r="N106" s="66">
        <f t="shared" si="0"/>
        <v>22.8</v>
      </c>
      <c r="O106" s="66">
        <f t="shared" si="0"/>
        <v>0</v>
      </c>
      <c r="P106" s="66">
        <f t="shared" si="0"/>
        <v>0.71</v>
      </c>
      <c r="Q106" s="66">
        <f t="shared" si="0"/>
        <v>28.36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216.41</v>
      </c>
      <c r="C107" s="65">
        <f t="shared" ref="C107:Q107" si="1">MAX(C9:C104)</f>
        <v>175.83</v>
      </c>
      <c r="D107" s="65">
        <f t="shared" si="1"/>
        <v>268.74</v>
      </c>
      <c r="E107" s="65">
        <f t="shared" si="1"/>
        <v>190.12</v>
      </c>
      <c r="F107" s="65">
        <f t="shared" si="1"/>
        <v>346</v>
      </c>
      <c r="G107" s="65">
        <f t="shared" si="1"/>
        <v>232.39</v>
      </c>
      <c r="H107" s="65">
        <f t="shared" si="1"/>
        <v>91.74</v>
      </c>
      <c r="I107" s="65">
        <f t="shared" si="1"/>
        <v>1.75</v>
      </c>
      <c r="J107" s="65">
        <f t="shared" si="1"/>
        <v>1.62</v>
      </c>
      <c r="K107" s="65">
        <f t="shared" si="1"/>
        <v>357.76</v>
      </c>
      <c r="L107" s="65">
        <f t="shared" si="1"/>
        <v>31.63</v>
      </c>
      <c r="M107" s="65">
        <f t="shared" si="1"/>
        <v>77</v>
      </c>
      <c r="N107" s="65">
        <f t="shared" si="1"/>
        <v>420.5</v>
      </c>
      <c r="O107" s="65">
        <f t="shared" si="1"/>
        <v>0</v>
      </c>
      <c r="P107" s="65">
        <f t="shared" si="1"/>
        <v>5.0599999999999996</v>
      </c>
      <c r="Q107" s="65">
        <f t="shared" si="1"/>
        <v>55.2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53.779062499999988</v>
      </c>
      <c r="C108" s="66">
        <f t="shared" ref="C108:Q108" si="2">AVERAGE(C9:C104)</f>
        <v>101.83875</v>
      </c>
      <c r="D108" s="66">
        <f t="shared" si="2"/>
        <v>106.98062500000002</v>
      </c>
      <c r="E108" s="66">
        <f t="shared" si="2"/>
        <v>11.089687500000002</v>
      </c>
      <c r="F108" s="66">
        <f t="shared" si="2"/>
        <v>9.372812500000002</v>
      </c>
      <c r="G108" s="66">
        <f t="shared" si="2"/>
        <v>108.7691397849462</v>
      </c>
      <c r="H108" s="66">
        <f t="shared" si="2"/>
        <v>43.725806451612911</v>
      </c>
      <c r="I108" s="66">
        <f t="shared" si="2"/>
        <v>0.62281249999999988</v>
      </c>
      <c r="J108" s="66">
        <f t="shared" si="2"/>
        <v>0.37489583333333337</v>
      </c>
      <c r="K108" s="66">
        <f t="shared" si="2"/>
        <v>160.66239583333331</v>
      </c>
      <c r="L108" s="66">
        <f t="shared" si="2"/>
        <v>20.748750000000001</v>
      </c>
      <c r="M108" s="66">
        <f t="shared" si="2"/>
        <v>46.3125</v>
      </c>
      <c r="N108" s="66">
        <f t="shared" si="2"/>
        <v>129.26979166666663</v>
      </c>
      <c r="O108" s="66">
        <f t="shared" si="2"/>
        <v>0</v>
      </c>
      <c r="P108" s="66">
        <f t="shared" si="2"/>
        <v>2.1231250000000004</v>
      </c>
      <c r="Q108" s="66">
        <f t="shared" si="2"/>
        <v>39.237395833333331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56.891928630714993</v>
      </c>
      <c r="C109" s="66">
        <f t="shared" ref="C109:Q109" si="3">STDEV(C9:C104)</f>
        <v>30.929310583294562</v>
      </c>
      <c r="D109" s="66">
        <f t="shared" si="3"/>
        <v>56.822531943300135</v>
      </c>
      <c r="E109" s="66">
        <f t="shared" si="3"/>
        <v>22.570270732845618</v>
      </c>
      <c r="F109" s="66">
        <f t="shared" si="3"/>
        <v>50.051470890697786</v>
      </c>
      <c r="G109" s="66">
        <f t="shared" si="3"/>
        <v>58.778912805157809</v>
      </c>
      <c r="H109" s="66">
        <f t="shared" si="3"/>
        <v>19.235941298979434</v>
      </c>
      <c r="I109" s="66">
        <f t="shared" si="3"/>
        <v>0.40986956365473964</v>
      </c>
      <c r="J109" s="66">
        <f t="shared" si="3"/>
        <v>0.39534926541814464</v>
      </c>
      <c r="K109" s="66">
        <f t="shared" si="3"/>
        <v>113.95694261425695</v>
      </c>
      <c r="L109" s="66">
        <f t="shared" si="3"/>
        <v>5.0364518107597638</v>
      </c>
      <c r="M109" s="66">
        <f t="shared" si="3"/>
        <v>17.046260587002653</v>
      </c>
      <c r="N109" s="66">
        <f t="shared" si="3"/>
        <v>151.75759488133261</v>
      </c>
      <c r="O109" s="66">
        <f t="shared" si="3"/>
        <v>0</v>
      </c>
      <c r="P109" s="66">
        <f t="shared" si="3"/>
        <v>1.2509317054015965</v>
      </c>
      <c r="Q109" s="66">
        <f t="shared" si="3"/>
        <v>6.4671573914569906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>COUNT(G9:G104)+3</f>
        <v>96</v>
      </c>
      <c r="H110" s="65">
        <f>COUNT(H9:H104)+3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20-12-2022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2071</v>
      </c>
      <c r="B9" s="59">
        <v>207.76</v>
      </c>
      <c r="C9" s="59">
        <v>162.44</v>
      </c>
      <c r="D9" s="59">
        <v>256.26</v>
      </c>
      <c r="E9" s="59">
        <v>6.74</v>
      </c>
      <c r="F9" s="59">
        <v>1.25</v>
      </c>
      <c r="G9" s="59">
        <v>197.24</v>
      </c>
      <c r="H9" s="59">
        <v>91.74</v>
      </c>
      <c r="I9" s="59">
        <v>1.76</v>
      </c>
      <c r="J9" s="59">
        <v>0.17</v>
      </c>
      <c r="K9" s="59">
        <v>286.56</v>
      </c>
      <c r="L9" s="59">
        <v>16.510000000000002</v>
      </c>
      <c r="M9" s="59">
        <v>72</v>
      </c>
      <c r="N9" s="59">
        <v>23.7</v>
      </c>
      <c r="O9" s="59">
        <v>0</v>
      </c>
      <c r="P9" s="59">
        <v>4.92</v>
      </c>
      <c r="Q9" s="59">
        <v>54</v>
      </c>
      <c r="R9" s="197"/>
      <c r="S9" s="197"/>
      <c r="T9" s="197"/>
      <c r="U9" s="197"/>
    </row>
    <row r="10" spans="1:21" s="12" customFormat="1" x14ac:dyDescent="0.25">
      <c r="A10" s="200" t="s">
        <v>2072</v>
      </c>
      <c r="B10" s="59">
        <v>203.97</v>
      </c>
      <c r="C10" s="59">
        <v>158.16</v>
      </c>
      <c r="D10" s="59">
        <v>250.85</v>
      </c>
      <c r="E10" s="59">
        <v>6.46</v>
      </c>
      <c r="F10" s="59">
        <v>0.21</v>
      </c>
      <c r="G10" s="59">
        <v>192.06</v>
      </c>
      <c r="H10" s="59">
        <v>90.02</v>
      </c>
      <c r="I10" s="59">
        <v>1.78</v>
      </c>
      <c r="J10" s="59">
        <v>0.09</v>
      </c>
      <c r="K10" s="59">
        <v>268.82</v>
      </c>
      <c r="L10" s="59">
        <v>16.010000000000002</v>
      </c>
      <c r="M10" s="59">
        <v>74</v>
      </c>
      <c r="N10" s="59">
        <v>24.2</v>
      </c>
      <c r="O10" s="59">
        <v>0</v>
      </c>
      <c r="P10" s="59">
        <v>4.8499999999999996</v>
      </c>
      <c r="Q10" s="59">
        <v>54.5</v>
      </c>
      <c r="R10" s="197"/>
      <c r="S10" s="197"/>
      <c r="T10" s="197"/>
      <c r="U10" s="197"/>
    </row>
    <row r="11" spans="1:21" s="12" customFormat="1" x14ac:dyDescent="0.25">
      <c r="A11" s="200" t="s">
        <v>2073</v>
      </c>
      <c r="B11" s="59">
        <v>196.29</v>
      </c>
      <c r="C11" s="59">
        <v>152.44</v>
      </c>
      <c r="D11" s="59">
        <v>241.53</v>
      </c>
      <c r="E11" s="59">
        <v>6.66</v>
      </c>
      <c r="F11" s="59">
        <v>0.28999999999999998</v>
      </c>
      <c r="G11" s="59">
        <v>181.7</v>
      </c>
      <c r="H11" s="59">
        <v>87.78</v>
      </c>
      <c r="I11" s="59">
        <v>1.74</v>
      </c>
      <c r="J11" s="59">
        <v>0.16</v>
      </c>
      <c r="K11" s="59">
        <v>268.37</v>
      </c>
      <c r="L11" s="59">
        <v>15.75</v>
      </c>
      <c r="M11" s="59">
        <v>73</v>
      </c>
      <c r="N11" s="59">
        <v>23.9</v>
      </c>
      <c r="O11" s="59">
        <v>0</v>
      </c>
      <c r="P11" s="59">
        <v>4.68</v>
      </c>
      <c r="Q11" s="59">
        <v>53.69</v>
      </c>
      <c r="R11" s="197"/>
      <c r="S11" s="197"/>
      <c r="T11" s="197"/>
      <c r="U11" s="197"/>
    </row>
    <row r="12" spans="1:21" s="12" customFormat="1" x14ac:dyDescent="0.25">
      <c r="A12" s="200" t="s">
        <v>2074</v>
      </c>
      <c r="B12" s="59">
        <v>185.1</v>
      </c>
      <c r="C12" s="59">
        <v>145.53</v>
      </c>
      <c r="D12" s="59">
        <v>228.75</v>
      </c>
      <c r="E12" s="59">
        <v>6.2</v>
      </c>
      <c r="F12" s="59">
        <v>0.12</v>
      </c>
      <c r="G12" s="59">
        <v>181.7</v>
      </c>
      <c r="H12" s="59">
        <v>87.78</v>
      </c>
      <c r="I12" s="59">
        <v>1.71</v>
      </c>
      <c r="J12" s="59">
        <v>0.15</v>
      </c>
      <c r="K12" s="59">
        <v>244.06</v>
      </c>
      <c r="L12" s="59">
        <v>15.85</v>
      </c>
      <c r="M12" s="59">
        <v>71</v>
      </c>
      <c r="N12" s="59">
        <v>24.1</v>
      </c>
      <c r="O12" s="59">
        <v>0</v>
      </c>
      <c r="P12" s="59">
        <v>4.47</v>
      </c>
      <c r="Q12" s="59">
        <v>53.01</v>
      </c>
      <c r="R12" s="197"/>
      <c r="S12" s="197"/>
      <c r="T12" s="197"/>
      <c r="U12" s="197"/>
    </row>
    <row r="13" spans="1:21" s="12" customFormat="1" x14ac:dyDescent="0.25">
      <c r="A13" s="200" t="s">
        <v>2075</v>
      </c>
      <c r="B13" s="59">
        <v>174.25</v>
      </c>
      <c r="C13" s="59">
        <v>139.66</v>
      </c>
      <c r="D13" s="59">
        <v>216.81</v>
      </c>
      <c r="E13" s="59">
        <v>6.28</v>
      </c>
      <c r="F13" s="59">
        <v>0.13</v>
      </c>
      <c r="G13" s="59">
        <v>181.7</v>
      </c>
      <c r="H13" s="59">
        <v>87.78</v>
      </c>
      <c r="I13" s="59">
        <v>1.62</v>
      </c>
      <c r="J13" s="59">
        <v>0.09</v>
      </c>
      <c r="K13" s="59">
        <v>297.10000000000002</v>
      </c>
      <c r="L13" s="59">
        <v>15.22</v>
      </c>
      <c r="M13" s="59">
        <v>75</v>
      </c>
      <c r="N13" s="59">
        <v>24.4</v>
      </c>
      <c r="O13" s="59">
        <v>0</v>
      </c>
      <c r="P13" s="59">
        <v>3.95</v>
      </c>
      <c r="Q13" s="59">
        <v>52.86</v>
      </c>
      <c r="R13" s="197"/>
      <c r="S13" s="197"/>
      <c r="T13" s="197"/>
      <c r="U13" s="197"/>
    </row>
    <row r="14" spans="1:21" s="12" customFormat="1" x14ac:dyDescent="0.25">
      <c r="A14" s="200" t="s">
        <v>2076</v>
      </c>
      <c r="B14" s="59">
        <v>164.31</v>
      </c>
      <c r="C14" s="59">
        <v>134.49</v>
      </c>
      <c r="D14" s="59">
        <v>205.98</v>
      </c>
      <c r="E14" s="59">
        <v>5.6</v>
      </c>
      <c r="F14" s="59">
        <v>0.22</v>
      </c>
      <c r="G14" s="59">
        <v>158.54</v>
      </c>
      <c r="H14" s="59">
        <v>84.44</v>
      </c>
      <c r="I14" s="59">
        <v>1.41</v>
      </c>
      <c r="J14" s="59">
        <v>0.12</v>
      </c>
      <c r="K14" s="59">
        <v>298.64999999999998</v>
      </c>
      <c r="L14" s="59">
        <v>15.26</v>
      </c>
      <c r="M14" s="59">
        <v>76</v>
      </c>
      <c r="N14" s="59">
        <v>24</v>
      </c>
      <c r="O14" s="59">
        <v>0</v>
      </c>
      <c r="P14" s="59">
        <v>3.98</v>
      </c>
      <c r="Q14" s="59">
        <v>51.93</v>
      </c>
      <c r="R14" s="197"/>
      <c r="S14" s="197"/>
      <c r="T14" s="197"/>
      <c r="U14" s="197"/>
    </row>
    <row r="15" spans="1:21" s="12" customFormat="1" x14ac:dyDescent="0.25">
      <c r="A15" s="200" t="s">
        <v>2077</v>
      </c>
      <c r="B15" s="59">
        <v>154.88</v>
      </c>
      <c r="C15" s="59">
        <v>129.80000000000001</v>
      </c>
      <c r="D15" s="59">
        <v>195.83</v>
      </c>
      <c r="E15" s="59">
        <v>5.64</v>
      </c>
      <c r="F15" s="59">
        <v>0.15</v>
      </c>
      <c r="G15" s="59">
        <v>140.38</v>
      </c>
      <c r="H15" s="59">
        <v>79.87</v>
      </c>
      <c r="I15" s="59">
        <v>1.35</v>
      </c>
      <c r="J15" s="59">
        <v>0.12</v>
      </c>
      <c r="K15" s="59">
        <v>314.89</v>
      </c>
      <c r="L15" s="59">
        <v>15.18</v>
      </c>
      <c r="M15" s="59">
        <v>74</v>
      </c>
      <c r="N15" s="59">
        <v>24.2</v>
      </c>
      <c r="O15" s="59">
        <v>0</v>
      </c>
      <c r="P15" s="59">
        <v>3.82</v>
      </c>
      <c r="Q15" s="59">
        <v>50.87</v>
      </c>
      <c r="R15" s="197"/>
      <c r="S15" s="197"/>
      <c r="T15" s="197"/>
      <c r="U15" s="197"/>
    </row>
    <row r="16" spans="1:21" s="12" customFormat="1" x14ac:dyDescent="0.25">
      <c r="A16" s="200" t="s">
        <v>2078</v>
      </c>
      <c r="B16" s="59">
        <v>145.44999999999999</v>
      </c>
      <c r="C16" s="59">
        <v>125.35</v>
      </c>
      <c r="D16" s="59">
        <v>185.82</v>
      </c>
      <c r="E16" s="59">
        <v>5.72</v>
      </c>
      <c r="F16" s="59">
        <v>0.05</v>
      </c>
      <c r="G16" s="59">
        <v>140.38</v>
      </c>
      <c r="H16" s="59">
        <v>79.87</v>
      </c>
      <c r="I16" s="59">
        <v>1.28</v>
      </c>
      <c r="J16" s="59">
        <v>0.14000000000000001</v>
      </c>
      <c r="K16" s="59">
        <v>356.58</v>
      </c>
      <c r="L16" s="59">
        <v>14.97</v>
      </c>
      <c r="M16" s="59">
        <v>77</v>
      </c>
      <c r="N16" s="59">
        <v>24.1</v>
      </c>
      <c r="O16" s="59">
        <v>0</v>
      </c>
      <c r="P16" s="59">
        <v>3.65</v>
      </c>
      <c r="Q16" s="59">
        <v>49.58</v>
      </c>
      <c r="R16" s="197"/>
      <c r="S16" s="197"/>
      <c r="T16" s="197"/>
      <c r="U16" s="197"/>
    </row>
    <row r="17" spans="1:21" s="12" customFormat="1" x14ac:dyDescent="0.25">
      <c r="A17" s="200" t="s">
        <v>2079</v>
      </c>
      <c r="B17" s="59">
        <v>137.94</v>
      </c>
      <c r="C17" s="59">
        <v>121.33</v>
      </c>
      <c r="D17" s="59">
        <v>177.58</v>
      </c>
      <c r="E17" s="59">
        <v>5.75</v>
      </c>
      <c r="F17" s="59">
        <v>0.3</v>
      </c>
      <c r="G17" s="59">
        <v>140.38</v>
      </c>
      <c r="H17" s="59">
        <v>79.87</v>
      </c>
      <c r="I17" s="59">
        <v>1.23</v>
      </c>
      <c r="J17" s="59">
        <v>0.11</v>
      </c>
      <c r="K17" s="59">
        <v>309.64999999999998</v>
      </c>
      <c r="L17" s="59">
        <v>14.95</v>
      </c>
      <c r="M17" s="59">
        <v>77</v>
      </c>
      <c r="N17" s="59">
        <v>24</v>
      </c>
      <c r="O17" s="59">
        <v>0</v>
      </c>
      <c r="P17" s="59">
        <v>3.53</v>
      </c>
      <c r="Q17" s="59">
        <v>48.06</v>
      </c>
      <c r="R17" s="197"/>
      <c r="S17" s="197"/>
      <c r="T17" s="197"/>
      <c r="U17" s="197"/>
    </row>
    <row r="18" spans="1:21" s="12" customFormat="1" x14ac:dyDescent="0.25">
      <c r="A18" s="200" t="s">
        <v>2080</v>
      </c>
      <c r="B18" s="59">
        <v>131.30000000000001</v>
      </c>
      <c r="C18" s="59">
        <v>117.8</v>
      </c>
      <c r="D18" s="59">
        <v>170.31</v>
      </c>
      <c r="E18" s="59">
        <v>5.6</v>
      </c>
      <c r="F18" s="59">
        <v>1.64</v>
      </c>
      <c r="G18" s="59">
        <v>136.94999999999999</v>
      </c>
      <c r="H18" s="59">
        <v>77.34</v>
      </c>
      <c r="I18" s="59">
        <v>1.17</v>
      </c>
      <c r="J18" s="59">
        <v>0.22</v>
      </c>
      <c r="K18" s="59">
        <v>252.33</v>
      </c>
      <c r="L18" s="59">
        <v>15.48</v>
      </c>
      <c r="M18" s="59">
        <v>72</v>
      </c>
      <c r="N18" s="59">
        <v>23.4</v>
      </c>
      <c r="O18" s="59">
        <v>0</v>
      </c>
      <c r="P18" s="59">
        <v>3.41</v>
      </c>
      <c r="Q18" s="59">
        <v>46.83</v>
      </c>
      <c r="R18" s="197"/>
      <c r="S18" s="197"/>
      <c r="T18" s="197"/>
      <c r="U18" s="197"/>
    </row>
    <row r="19" spans="1:21" s="12" customFormat="1" x14ac:dyDescent="0.25">
      <c r="A19" s="200" t="s">
        <v>2081</v>
      </c>
      <c r="B19" s="59">
        <v>124.48</v>
      </c>
      <c r="C19" s="59">
        <v>114.89</v>
      </c>
      <c r="D19" s="59">
        <v>163.22999999999999</v>
      </c>
      <c r="E19" s="59">
        <v>5.65</v>
      </c>
      <c r="F19" s="59">
        <v>0.13</v>
      </c>
      <c r="G19" s="59">
        <v>134.36000000000001</v>
      </c>
      <c r="H19" s="59">
        <v>73.89</v>
      </c>
      <c r="I19" s="59">
        <v>1.1399999999999999</v>
      </c>
      <c r="J19" s="59">
        <v>0.2</v>
      </c>
      <c r="K19" s="59">
        <v>257.45999999999998</v>
      </c>
      <c r="L19" s="59">
        <v>15.82</v>
      </c>
      <c r="M19" s="59">
        <v>71</v>
      </c>
      <c r="N19" s="59">
        <v>23.4</v>
      </c>
      <c r="O19" s="59">
        <v>0</v>
      </c>
      <c r="P19" s="59">
        <v>3.25</v>
      </c>
      <c r="Q19" s="59">
        <v>46.32</v>
      </c>
      <c r="R19" s="197"/>
      <c r="S19" s="197"/>
      <c r="T19" s="197"/>
      <c r="U19" s="197"/>
    </row>
    <row r="20" spans="1:21" s="12" customFormat="1" x14ac:dyDescent="0.25">
      <c r="A20" s="200" t="s">
        <v>2082</v>
      </c>
      <c r="B20" s="59">
        <v>117.38</v>
      </c>
      <c r="C20" s="59">
        <v>111.53</v>
      </c>
      <c r="D20" s="59">
        <v>155.68</v>
      </c>
      <c r="E20" s="59">
        <v>5.35</v>
      </c>
      <c r="F20" s="59">
        <v>0.38</v>
      </c>
      <c r="G20" s="59">
        <v>134.36000000000001</v>
      </c>
      <c r="H20" s="59">
        <v>73.89</v>
      </c>
      <c r="I20" s="59">
        <v>1.1000000000000001</v>
      </c>
      <c r="J20" s="59">
        <v>0.14000000000000001</v>
      </c>
      <c r="K20" s="59">
        <v>306.85000000000002</v>
      </c>
      <c r="L20" s="59">
        <v>15.07</v>
      </c>
      <c r="M20" s="59">
        <v>74</v>
      </c>
      <c r="N20" s="59">
        <v>24.4</v>
      </c>
      <c r="O20" s="59">
        <v>0</v>
      </c>
      <c r="P20" s="59">
        <v>3.1</v>
      </c>
      <c r="Q20" s="59">
        <v>46.28</v>
      </c>
      <c r="R20" s="197"/>
      <c r="S20" s="197"/>
      <c r="T20" s="197"/>
      <c r="U20" s="197"/>
    </row>
    <row r="21" spans="1:21" s="12" customFormat="1" x14ac:dyDescent="0.25">
      <c r="A21" s="200" t="s">
        <v>2083</v>
      </c>
      <c r="B21" s="59">
        <v>110.24</v>
      </c>
      <c r="C21" s="59">
        <v>108.08</v>
      </c>
      <c r="D21" s="59">
        <v>148.05000000000001</v>
      </c>
      <c r="E21" s="59">
        <v>5.32</v>
      </c>
      <c r="F21" s="59">
        <v>0.1</v>
      </c>
      <c r="G21" s="59">
        <v>134.36000000000001</v>
      </c>
      <c r="H21" s="59">
        <v>73.89</v>
      </c>
      <c r="I21" s="59">
        <v>1.06</v>
      </c>
      <c r="J21" s="59">
        <v>0.15</v>
      </c>
      <c r="K21" s="59">
        <v>10.49</v>
      </c>
      <c r="L21" s="59">
        <v>14.5</v>
      </c>
      <c r="M21" s="59">
        <v>78</v>
      </c>
      <c r="N21" s="59">
        <v>24.4</v>
      </c>
      <c r="O21" s="59">
        <v>0</v>
      </c>
      <c r="P21" s="59">
        <v>2.96</v>
      </c>
      <c r="Q21" s="59">
        <v>45.89</v>
      </c>
      <c r="R21" s="197"/>
      <c r="S21" s="197"/>
      <c r="T21" s="197"/>
      <c r="U21" s="197"/>
    </row>
    <row r="22" spans="1:21" s="12" customFormat="1" x14ac:dyDescent="0.25">
      <c r="A22" s="200" t="s">
        <v>2084</v>
      </c>
      <c r="B22" s="59">
        <v>103.97</v>
      </c>
      <c r="C22" s="59">
        <v>104.64</v>
      </c>
      <c r="D22" s="59">
        <v>141.13</v>
      </c>
      <c r="E22" s="59">
        <v>5.18</v>
      </c>
      <c r="F22" s="59">
        <v>0.03</v>
      </c>
      <c r="G22" s="59">
        <v>127.96</v>
      </c>
      <c r="H22" s="59">
        <v>71</v>
      </c>
      <c r="I22" s="59">
        <v>1.01</v>
      </c>
      <c r="J22" s="59">
        <v>0.11</v>
      </c>
      <c r="K22" s="59">
        <v>333.3</v>
      </c>
      <c r="L22" s="59">
        <v>14.41</v>
      </c>
      <c r="M22" s="59">
        <v>78</v>
      </c>
      <c r="N22" s="59">
        <v>24.2</v>
      </c>
      <c r="O22" s="59">
        <v>0</v>
      </c>
      <c r="P22" s="59">
        <v>2.84</v>
      </c>
      <c r="Q22" s="59">
        <v>45.35</v>
      </c>
      <c r="R22" s="197"/>
      <c r="S22" s="197"/>
      <c r="T22" s="197"/>
      <c r="U22" s="197"/>
    </row>
    <row r="23" spans="1:21" s="12" customFormat="1" x14ac:dyDescent="0.25">
      <c r="A23" s="200" t="s">
        <v>2085</v>
      </c>
      <c r="B23" s="59">
        <v>98.32</v>
      </c>
      <c r="C23" s="59">
        <v>101.87</v>
      </c>
      <c r="D23" s="59">
        <v>135.06</v>
      </c>
      <c r="E23" s="59">
        <v>5.43</v>
      </c>
      <c r="F23" s="59">
        <v>0.19</v>
      </c>
      <c r="G23" s="59">
        <v>123.07</v>
      </c>
      <c r="H23" s="59">
        <v>67.040000000000006</v>
      </c>
      <c r="I23" s="59">
        <v>0.97</v>
      </c>
      <c r="J23" s="59">
        <v>7.0000000000000007E-2</v>
      </c>
      <c r="K23" s="59">
        <v>293.51</v>
      </c>
      <c r="L23" s="59">
        <v>14.42</v>
      </c>
      <c r="M23" s="59">
        <v>78</v>
      </c>
      <c r="N23" s="59">
        <v>23.9</v>
      </c>
      <c r="O23" s="59">
        <v>0</v>
      </c>
      <c r="P23" s="59">
        <v>2.72</v>
      </c>
      <c r="Q23" s="59">
        <v>44.87</v>
      </c>
      <c r="R23" s="197"/>
      <c r="S23" s="197"/>
      <c r="T23" s="197"/>
      <c r="U23" s="197"/>
    </row>
    <row r="24" spans="1:21" s="12" customFormat="1" x14ac:dyDescent="0.25">
      <c r="A24" s="200" t="s">
        <v>2086</v>
      </c>
      <c r="B24" s="59">
        <v>92.29</v>
      </c>
      <c r="C24" s="59">
        <v>99.35</v>
      </c>
      <c r="D24" s="59">
        <v>128.83000000000001</v>
      </c>
      <c r="E24" s="59">
        <v>2.58</v>
      </c>
      <c r="F24" s="59">
        <v>0.53</v>
      </c>
      <c r="G24" s="59">
        <v>123.07</v>
      </c>
      <c r="H24" s="59">
        <v>67.040000000000006</v>
      </c>
      <c r="I24" s="59">
        <v>0.93</v>
      </c>
      <c r="J24" s="59">
        <v>0.09</v>
      </c>
      <c r="K24" s="59">
        <v>262.64</v>
      </c>
      <c r="L24" s="59">
        <v>14.65</v>
      </c>
      <c r="M24" s="59">
        <v>74</v>
      </c>
      <c r="N24" s="59">
        <v>24</v>
      </c>
      <c r="O24" s="59">
        <v>0</v>
      </c>
      <c r="P24" s="59">
        <v>2.6</v>
      </c>
      <c r="Q24" s="59">
        <v>45.73</v>
      </c>
      <c r="R24" s="197"/>
      <c r="S24" s="197"/>
      <c r="T24" s="197"/>
      <c r="U24" s="197"/>
    </row>
    <row r="25" spans="1:21" s="12" customFormat="1" x14ac:dyDescent="0.25">
      <c r="A25" s="200" t="s">
        <v>2087</v>
      </c>
      <c r="B25" s="59">
        <v>85.63</v>
      </c>
      <c r="C25" s="59">
        <v>96.91</v>
      </c>
      <c r="D25" s="59">
        <v>122.16</v>
      </c>
      <c r="E25" s="59">
        <v>5.0199999999999996</v>
      </c>
      <c r="F25" s="59">
        <v>0.46</v>
      </c>
      <c r="G25" s="59">
        <v>123.07</v>
      </c>
      <c r="H25" s="59">
        <v>67.040000000000006</v>
      </c>
      <c r="I25" s="59">
        <v>0.88</v>
      </c>
      <c r="J25" s="59">
        <v>0.08</v>
      </c>
      <c r="K25" s="59">
        <v>5.07</v>
      </c>
      <c r="L25" s="59">
        <v>14.49</v>
      </c>
      <c r="M25" s="59">
        <v>77</v>
      </c>
      <c r="N25" s="59">
        <v>24.4</v>
      </c>
      <c r="O25" s="59">
        <v>0</v>
      </c>
      <c r="P25" s="59">
        <v>2.4700000000000002</v>
      </c>
      <c r="Q25" s="59">
        <v>45.77</v>
      </c>
      <c r="R25" s="197"/>
      <c r="S25" s="197"/>
      <c r="T25" s="197"/>
      <c r="U25" s="197"/>
    </row>
    <row r="26" spans="1:21" s="12" customFormat="1" x14ac:dyDescent="0.25">
      <c r="A26" s="200" t="s">
        <v>2088</v>
      </c>
      <c r="B26" s="59">
        <v>80.849999999999994</v>
      </c>
      <c r="C26" s="59">
        <v>94.92</v>
      </c>
      <c r="D26" s="59">
        <v>117.22</v>
      </c>
      <c r="E26" s="59">
        <v>5.17</v>
      </c>
      <c r="F26" s="59">
        <v>1.65</v>
      </c>
      <c r="G26" s="59">
        <v>120.77</v>
      </c>
      <c r="H26" s="59">
        <v>65.98</v>
      </c>
      <c r="I26" s="59">
        <v>0.84</v>
      </c>
      <c r="J26" s="59">
        <v>0.12</v>
      </c>
      <c r="K26" s="59">
        <v>136.62</v>
      </c>
      <c r="L26" s="59">
        <v>14.11</v>
      </c>
      <c r="M26" s="59">
        <v>78</v>
      </c>
      <c r="N26" s="59">
        <v>24.1</v>
      </c>
      <c r="O26" s="59">
        <v>0</v>
      </c>
      <c r="P26" s="59">
        <v>2.37</v>
      </c>
      <c r="Q26" s="59">
        <v>44.6</v>
      </c>
      <c r="R26" s="197"/>
      <c r="S26" s="197"/>
      <c r="T26" s="197"/>
      <c r="U26" s="197"/>
    </row>
    <row r="27" spans="1:21" s="12" customFormat="1" x14ac:dyDescent="0.25">
      <c r="A27" s="200" t="s">
        <v>2089</v>
      </c>
      <c r="B27" s="59">
        <v>76.92</v>
      </c>
      <c r="C27" s="59">
        <v>93.64</v>
      </c>
      <c r="D27" s="59">
        <v>113.37</v>
      </c>
      <c r="E27" s="59">
        <v>4.88</v>
      </c>
      <c r="F27" s="59">
        <v>1.45</v>
      </c>
      <c r="G27" s="59">
        <v>116.01</v>
      </c>
      <c r="H27" s="59">
        <v>64.61</v>
      </c>
      <c r="I27" s="59">
        <v>0.79</v>
      </c>
      <c r="J27" s="59">
        <v>0.1</v>
      </c>
      <c r="K27" s="59">
        <v>339.87</v>
      </c>
      <c r="L27" s="59">
        <v>14.13</v>
      </c>
      <c r="M27" s="59">
        <v>78</v>
      </c>
      <c r="N27" s="59">
        <v>23.9</v>
      </c>
      <c r="O27" s="59">
        <v>0</v>
      </c>
      <c r="P27" s="59">
        <v>2.29</v>
      </c>
      <c r="Q27" s="59">
        <v>43.76</v>
      </c>
      <c r="R27" s="197"/>
      <c r="S27" s="197"/>
      <c r="T27" s="197"/>
      <c r="U27" s="197"/>
    </row>
    <row r="28" spans="1:21" s="12" customFormat="1" x14ac:dyDescent="0.25">
      <c r="A28" s="200" t="s">
        <v>2090</v>
      </c>
      <c r="B28" s="59">
        <v>75.099999999999994</v>
      </c>
      <c r="C28" s="59">
        <v>93.67</v>
      </c>
      <c r="D28" s="59">
        <v>111.91</v>
      </c>
      <c r="E28" s="59">
        <v>5.29</v>
      </c>
      <c r="F28" s="59">
        <v>0.15</v>
      </c>
      <c r="G28" s="59">
        <v>116.01</v>
      </c>
      <c r="H28" s="59">
        <v>64.61</v>
      </c>
      <c r="I28" s="59">
        <v>0.76</v>
      </c>
      <c r="J28" s="59">
        <v>0.09</v>
      </c>
      <c r="K28" s="59">
        <v>289.55</v>
      </c>
      <c r="L28" s="59">
        <v>14.06</v>
      </c>
      <c r="M28" s="59">
        <v>77</v>
      </c>
      <c r="N28" s="59">
        <v>24.2</v>
      </c>
      <c r="O28" s="59">
        <v>0</v>
      </c>
      <c r="P28" s="59">
        <v>2.2400000000000002</v>
      </c>
      <c r="Q28" s="59">
        <v>43.7</v>
      </c>
      <c r="R28" s="197"/>
      <c r="S28" s="197"/>
      <c r="T28" s="197"/>
      <c r="U28" s="197"/>
    </row>
    <row r="29" spans="1:21" s="12" customFormat="1" x14ac:dyDescent="0.25">
      <c r="A29" s="200" t="s">
        <v>2091</v>
      </c>
      <c r="B29" s="59">
        <v>73.8</v>
      </c>
      <c r="C29" s="59">
        <v>94.02</v>
      </c>
      <c r="D29" s="59">
        <v>111.07</v>
      </c>
      <c r="E29" s="59">
        <v>4.95</v>
      </c>
      <c r="F29" s="59">
        <v>2.35</v>
      </c>
      <c r="G29" s="59">
        <v>116.01</v>
      </c>
      <c r="H29" s="59">
        <v>64.61</v>
      </c>
      <c r="I29" s="59">
        <v>0.73</v>
      </c>
      <c r="J29" s="59">
        <v>0.09</v>
      </c>
      <c r="K29" s="59">
        <v>8.5</v>
      </c>
      <c r="L29" s="59">
        <v>13.91</v>
      </c>
      <c r="M29" s="59">
        <v>79</v>
      </c>
      <c r="N29" s="59">
        <v>24.3</v>
      </c>
      <c r="O29" s="59">
        <v>0</v>
      </c>
      <c r="P29" s="59">
        <v>2.19</v>
      </c>
      <c r="Q29" s="59">
        <v>43.36</v>
      </c>
      <c r="R29" s="197"/>
      <c r="S29" s="197"/>
      <c r="T29" s="197"/>
      <c r="U29" s="197"/>
    </row>
    <row r="30" spans="1:21" s="12" customFormat="1" x14ac:dyDescent="0.25">
      <c r="A30" s="200" t="s">
        <v>2092</v>
      </c>
      <c r="B30" s="59">
        <v>73.81</v>
      </c>
      <c r="C30" s="59">
        <v>94.88</v>
      </c>
      <c r="D30" s="59">
        <v>111.56</v>
      </c>
      <c r="E30" s="59">
        <v>4.87</v>
      </c>
      <c r="F30" s="59">
        <v>0.75</v>
      </c>
      <c r="G30" s="59">
        <v>143.83000000000001</v>
      </c>
      <c r="H30" s="59">
        <v>69.650000000000006</v>
      </c>
      <c r="I30" s="59">
        <v>0.7</v>
      </c>
      <c r="J30" s="59">
        <v>7.0000000000000007E-2</v>
      </c>
      <c r="K30" s="59">
        <v>286.98</v>
      </c>
      <c r="L30" s="59">
        <v>13.87</v>
      </c>
      <c r="M30" s="59">
        <v>80</v>
      </c>
      <c r="N30" s="59">
        <v>24</v>
      </c>
      <c r="O30" s="59">
        <v>0</v>
      </c>
      <c r="P30" s="59">
        <v>2.15</v>
      </c>
      <c r="Q30" s="59">
        <v>42.99</v>
      </c>
      <c r="R30" s="197"/>
      <c r="S30" s="197"/>
      <c r="T30" s="197"/>
      <c r="U30" s="197"/>
    </row>
    <row r="31" spans="1:21" s="12" customFormat="1" x14ac:dyDescent="0.25">
      <c r="A31" s="200" t="s">
        <v>2093</v>
      </c>
      <c r="B31" s="59">
        <v>75.14</v>
      </c>
      <c r="C31" s="59">
        <v>95.68</v>
      </c>
      <c r="D31" s="59">
        <v>113.06</v>
      </c>
      <c r="E31" s="59">
        <v>4.96</v>
      </c>
      <c r="F31" s="59">
        <v>0.04</v>
      </c>
      <c r="G31" s="59">
        <v>164.34</v>
      </c>
      <c r="H31" s="59">
        <v>76.540000000000006</v>
      </c>
      <c r="I31" s="59">
        <v>0.68</v>
      </c>
      <c r="J31" s="59">
        <v>0.14000000000000001</v>
      </c>
      <c r="K31" s="59">
        <v>334.22</v>
      </c>
      <c r="L31" s="59">
        <v>13.9</v>
      </c>
      <c r="M31" s="59">
        <v>82</v>
      </c>
      <c r="N31" s="59">
        <v>23.9</v>
      </c>
      <c r="O31" s="59">
        <v>0</v>
      </c>
      <c r="P31" s="59">
        <v>2.12</v>
      </c>
      <c r="Q31" s="59">
        <v>42.06</v>
      </c>
      <c r="R31" s="197"/>
      <c r="S31" s="197"/>
      <c r="T31" s="197"/>
      <c r="U31" s="197"/>
    </row>
    <row r="32" spans="1:21" s="12" customFormat="1" x14ac:dyDescent="0.25">
      <c r="A32" s="200" t="s">
        <v>2094</v>
      </c>
      <c r="B32" s="59">
        <v>83.96</v>
      </c>
      <c r="C32" s="59">
        <v>99.04</v>
      </c>
      <c r="D32" s="59">
        <v>121.99</v>
      </c>
      <c r="E32" s="59">
        <v>4.9000000000000004</v>
      </c>
      <c r="F32" s="59">
        <v>0.86</v>
      </c>
      <c r="G32" s="59">
        <v>164.34</v>
      </c>
      <c r="H32" s="59">
        <v>76.540000000000006</v>
      </c>
      <c r="I32" s="59">
        <v>0.65</v>
      </c>
      <c r="J32" s="59">
        <v>0.12</v>
      </c>
      <c r="K32" s="59">
        <v>305.61</v>
      </c>
      <c r="L32" s="59">
        <v>13.82</v>
      </c>
      <c r="M32" s="59">
        <v>83</v>
      </c>
      <c r="N32" s="59">
        <v>24</v>
      </c>
      <c r="O32" s="59">
        <v>0</v>
      </c>
      <c r="P32" s="59">
        <v>2.13</v>
      </c>
      <c r="Q32" s="59">
        <v>42.45</v>
      </c>
      <c r="R32" s="197"/>
      <c r="S32" s="197"/>
      <c r="T32" s="197"/>
      <c r="U32" s="197"/>
    </row>
    <row r="33" spans="1:21" s="12" customFormat="1" x14ac:dyDescent="0.25">
      <c r="A33" s="200" t="s">
        <v>2095</v>
      </c>
      <c r="B33" s="59">
        <v>93.85</v>
      </c>
      <c r="C33" s="59">
        <v>102.63</v>
      </c>
      <c r="D33" s="59">
        <v>131.9</v>
      </c>
      <c r="E33" s="59">
        <v>5.08</v>
      </c>
      <c r="F33" s="59">
        <v>0.9</v>
      </c>
      <c r="G33" s="59">
        <v>164.34</v>
      </c>
      <c r="H33" s="59">
        <v>76.540000000000006</v>
      </c>
      <c r="I33" s="59">
        <v>0.64</v>
      </c>
      <c r="J33" s="59">
        <v>0.09</v>
      </c>
      <c r="K33" s="59">
        <v>299.49</v>
      </c>
      <c r="L33" s="59">
        <v>13.83</v>
      </c>
      <c r="M33" s="59">
        <v>82</v>
      </c>
      <c r="N33" s="59">
        <v>24.3</v>
      </c>
      <c r="O33" s="59">
        <v>0</v>
      </c>
      <c r="P33" s="59">
        <v>2.14</v>
      </c>
      <c r="Q33" s="59">
        <v>43.25</v>
      </c>
      <c r="R33" s="197"/>
      <c r="S33" s="197"/>
      <c r="T33" s="197"/>
      <c r="U33" s="197"/>
    </row>
    <row r="34" spans="1:21" s="12" customFormat="1" x14ac:dyDescent="0.25">
      <c r="A34" s="200" t="s">
        <v>2096</v>
      </c>
      <c r="B34" s="59">
        <v>100.95</v>
      </c>
      <c r="C34" s="59">
        <v>104.22</v>
      </c>
      <c r="D34" s="59">
        <v>138.47</v>
      </c>
      <c r="E34" s="59">
        <v>5.33</v>
      </c>
      <c r="F34" s="59">
        <v>0</v>
      </c>
      <c r="G34" s="59">
        <v>188.19</v>
      </c>
      <c r="H34" s="59">
        <v>82.28</v>
      </c>
      <c r="I34" s="59">
        <v>0.65</v>
      </c>
      <c r="J34" s="59">
        <v>7.0000000000000007E-2</v>
      </c>
      <c r="K34" s="59">
        <v>261.33999999999997</v>
      </c>
      <c r="L34" s="59">
        <v>13.79</v>
      </c>
      <c r="M34" s="59">
        <v>84</v>
      </c>
      <c r="N34" s="59">
        <v>25.2</v>
      </c>
      <c r="O34" s="59">
        <v>0</v>
      </c>
      <c r="P34" s="59">
        <v>2.15</v>
      </c>
      <c r="Q34" s="59">
        <v>43.47</v>
      </c>
      <c r="R34" s="197"/>
      <c r="S34" s="197"/>
      <c r="T34" s="197"/>
      <c r="U34" s="197"/>
    </row>
    <row r="35" spans="1:21" s="12" customFormat="1" x14ac:dyDescent="0.25">
      <c r="A35" s="200" t="s">
        <v>2097</v>
      </c>
      <c r="B35" s="59">
        <v>112.46</v>
      </c>
      <c r="C35" s="59">
        <v>108.04</v>
      </c>
      <c r="D35" s="59">
        <v>149.81</v>
      </c>
      <c r="E35" s="59">
        <v>5.22</v>
      </c>
      <c r="F35" s="59">
        <v>0</v>
      </c>
      <c r="G35" s="59">
        <v>205.76</v>
      </c>
      <c r="H35" s="59">
        <v>90.13</v>
      </c>
      <c r="I35" s="59">
        <v>0.64</v>
      </c>
      <c r="J35" s="59">
        <v>0.1</v>
      </c>
      <c r="K35" s="59">
        <v>299.8</v>
      </c>
      <c r="L35" s="59">
        <v>13.98</v>
      </c>
      <c r="M35" s="59">
        <v>82</v>
      </c>
      <c r="N35" s="59">
        <v>28.7</v>
      </c>
      <c r="O35" s="59">
        <v>0</v>
      </c>
      <c r="P35" s="59">
        <v>2.1800000000000002</v>
      </c>
      <c r="Q35" s="59">
        <v>44.39</v>
      </c>
      <c r="R35" s="197"/>
      <c r="S35" s="197"/>
      <c r="T35" s="197"/>
      <c r="U35" s="197"/>
    </row>
    <row r="36" spans="1:21" s="12" customFormat="1" x14ac:dyDescent="0.25">
      <c r="A36" s="200" t="s">
        <v>2098</v>
      </c>
      <c r="B36" s="59">
        <v>121.82</v>
      </c>
      <c r="C36" s="59">
        <v>111.51</v>
      </c>
      <c r="D36" s="59">
        <v>159.22999999999999</v>
      </c>
      <c r="E36" s="59">
        <v>5.8</v>
      </c>
      <c r="F36" s="59">
        <v>0.82</v>
      </c>
      <c r="G36" s="59">
        <v>205.76</v>
      </c>
      <c r="H36" s="59">
        <v>90.13</v>
      </c>
      <c r="I36" s="59">
        <v>0.64</v>
      </c>
      <c r="J36" s="59">
        <v>7.0000000000000007E-2</v>
      </c>
      <c r="K36" s="59">
        <v>268.57</v>
      </c>
      <c r="L36" s="59">
        <v>14.25</v>
      </c>
      <c r="M36" s="59">
        <v>81</v>
      </c>
      <c r="N36" s="59">
        <v>36.5</v>
      </c>
      <c r="O36" s="59">
        <v>0</v>
      </c>
      <c r="P36" s="59">
        <v>2.23</v>
      </c>
      <c r="Q36" s="59">
        <v>45.35</v>
      </c>
      <c r="R36" s="197"/>
      <c r="S36" s="197"/>
      <c r="T36" s="197"/>
      <c r="U36" s="197"/>
    </row>
    <row r="37" spans="1:21" s="12" customFormat="1" x14ac:dyDescent="0.25">
      <c r="A37" s="200" t="s">
        <v>2099</v>
      </c>
      <c r="B37" s="59">
        <v>125.45</v>
      </c>
      <c r="C37" s="59">
        <v>113.46</v>
      </c>
      <c r="D37" s="59">
        <v>163.22</v>
      </c>
      <c r="E37" s="59">
        <v>5.82</v>
      </c>
      <c r="F37" s="59">
        <v>0.45</v>
      </c>
      <c r="G37" s="59">
        <v>205.76</v>
      </c>
      <c r="H37" s="59">
        <v>90.13</v>
      </c>
      <c r="I37" s="59">
        <v>0.64</v>
      </c>
      <c r="J37" s="59">
        <v>0.11</v>
      </c>
      <c r="K37" s="59">
        <v>290.19</v>
      </c>
      <c r="L37" s="59">
        <v>14.89</v>
      </c>
      <c r="M37" s="59">
        <v>77</v>
      </c>
      <c r="N37" s="59">
        <v>45.1</v>
      </c>
      <c r="O37" s="59">
        <v>0</v>
      </c>
      <c r="P37" s="59">
        <v>2.17</v>
      </c>
      <c r="Q37" s="59">
        <v>45.79</v>
      </c>
      <c r="R37" s="197"/>
      <c r="S37" s="197"/>
      <c r="T37" s="197"/>
      <c r="U37" s="197"/>
    </row>
    <row r="38" spans="1:21" s="12" customFormat="1" x14ac:dyDescent="0.25">
      <c r="A38" s="200" t="s">
        <v>2100</v>
      </c>
      <c r="B38" s="59">
        <v>124.61</v>
      </c>
      <c r="C38" s="59">
        <v>113.82</v>
      </c>
      <c r="D38" s="59">
        <v>162.74</v>
      </c>
      <c r="E38" s="59">
        <v>5.68</v>
      </c>
      <c r="F38" s="59">
        <v>1.18</v>
      </c>
      <c r="G38" s="59">
        <v>209.66</v>
      </c>
      <c r="H38" s="59">
        <v>94.73</v>
      </c>
      <c r="I38" s="59">
        <v>0.64</v>
      </c>
      <c r="J38" s="59">
        <v>0.42</v>
      </c>
      <c r="K38" s="59">
        <v>219.95</v>
      </c>
      <c r="L38" s="59">
        <v>15.74</v>
      </c>
      <c r="M38" s="59">
        <v>75</v>
      </c>
      <c r="N38" s="59">
        <v>53.9</v>
      </c>
      <c r="O38" s="59">
        <v>0</v>
      </c>
      <c r="P38" s="59">
        <v>2.25</v>
      </c>
      <c r="Q38" s="59">
        <v>46.48</v>
      </c>
      <c r="R38" s="197"/>
      <c r="S38" s="197"/>
      <c r="T38" s="197"/>
      <c r="U38" s="197"/>
    </row>
    <row r="39" spans="1:21" s="12" customFormat="1" x14ac:dyDescent="0.25">
      <c r="A39" s="200" t="s">
        <v>2101</v>
      </c>
      <c r="B39" s="59">
        <v>119.99</v>
      </c>
      <c r="C39" s="59">
        <v>112.24</v>
      </c>
      <c r="D39" s="59">
        <v>158.16999999999999</v>
      </c>
      <c r="E39" s="59">
        <v>5.46</v>
      </c>
      <c r="F39" s="59">
        <v>0.55000000000000004</v>
      </c>
      <c r="G39" s="59">
        <v>212.54</v>
      </c>
      <c r="H39" s="59">
        <v>101.02</v>
      </c>
      <c r="I39" s="59">
        <v>0.65</v>
      </c>
      <c r="J39" s="59">
        <v>0.43</v>
      </c>
      <c r="K39" s="59">
        <v>204.27</v>
      </c>
      <c r="L39" s="59">
        <v>16</v>
      </c>
      <c r="M39" s="59">
        <v>74</v>
      </c>
      <c r="N39" s="59">
        <v>103.7</v>
      </c>
      <c r="O39" s="59">
        <v>0</v>
      </c>
      <c r="P39" s="59">
        <v>2.2400000000000002</v>
      </c>
      <c r="Q39" s="59">
        <v>46.96</v>
      </c>
      <c r="R39" s="197"/>
      <c r="S39" s="197"/>
      <c r="T39" s="197"/>
      <c r="U39" s="197"/>
    </row>
    <row r="40" spans="1:21" s="12" customFormat="1" x14ac:dyDescent="0.25">
      <c r="A40" s="200" t="s">
        <v>2102</v>
      </c>
      <c r="B40" s="59">
        <v>113.98</v>
      </c>
      <c r="C40" s="59">
        <v>114.86</v>
      </c>
      <c r="D40" s="59">
        <v>154.79</v>
      </c>
      <c r="E40" s="59">
        <v>2.85</v>
      </c>
      <c r="F40" s="59">
        <v>0.27</v>
      </c>
      <c r="G40" s="59">
        <v>212.54</v>
      </c>
      <c r="H40" s="59">
        <v>101.02</v>
      </c>
      <c r="I40" s="59">
        <v>0.64</v>
      </c>
      <c r="J40" s="59">
        <v>0.34</v>
      </c>
      <c r="K40" s="59">
        <v>222.11</v>
      </c>
      <c r="L40" s="59">
        <v>17.3</v>
      </c>
      <c r="M40" s="59">
        <v>69</v>
      </c>
      <c r="N40" s="59">
        <v>176</v>
      </c>
      <c r="O40" s="59">
        <v>0</v>
      </c>
      <c r="P40" s="59">
        <v>2.2000000000000002</v>
      </c>
      <c r="Q40" s="59">
        <v>46.42</v>
      </c>
      <c r="R40" s="197"/>
      <c r="S40" s="197"/>
      <c r="T40" s="197"/>
      <c r="U40" s="197"/>
    </row>
    <row r="41" spans="1:21" s="12" customFormat="1" x14ac:dyDescent="0.25">
      <c r="A41" s="200" t="s">
        <v>2103</v>
      </c>
      <c r="B41" s="59">
        <v>107.47</v>
      </c>
      <c r="C41" s="59">
        <v>116.96</v>
      </c>
      <c r="D41" s="59">
        <v>150.72999999999999</v>
      </c>
      <c r="E41" s="59">
        <v>5.16</v>
      </c>
      <c r="F41" s="59">
        <v>0.13</v>
      </c>
      <c r="G41" s="59">
        <v>212.54</v>
      </c>
      <c r="H41" s="59">
        <v>101.02</v>
      </c>
      <c r="I41" s="59">
        <v>0.62</v>
      </c>
      <c r="J41" s="59">
        <v>0.08</v>
      </c>
      <c r="K41" s="59">
        <v>188</v>
      </c>
      <c r="L41" s="59">
        <v>19.11</v>
      </c>
      <c r="M41" s="59">
        <v>63</v>
      </c>
      <c r="N41" s="59">
        <v>211</v>
      </c>
      <c r="O41" s="59">
        <v>0</v>
      </c>
      <c r="P41" s="59">
        <v>2.19</v>
      </c>
      <c r="Q41" s="59">
        <v>45.68</v>
      </c>
      <c r="R41" s="197"/>
      <c r="S41" s="197"/>
      <c r="T41" s="197"/>
      <c r="U41" s="197"/>
    </row>
    <row r="42" spans="1:21" s="12" customFormat="1" x14ac:dyDescent="0.25">
      <c r="A42" s="200" t="s">
        <v>2104</v>
      </c>
      <c r="B42" s="59">
        <v>101.96</v>
      </c>
      <c r="C42" s="59">
        <v>114.3</v>
      </c>
      <c r="D42" s="59">
        <v>144.84</v>
      </c>
      <c r="E42" s="59">
        <v>5.58</v>
      </c>
      <c r="F42" s="59">
        <v>0.08</v>
      </c>
      <c r="G42" s="59">
        <v>197.23</v>
      </c>
      <c r="H42" s="59">
        <v>94.51</v>
      </c>
      <c r="I42" s="59">
        <v>0.6</v>
      </c>
      <c r="J42" s="59">
        <v>0.2</v>
      </c>
      <c r="K42" s="59">
        <v>165.42</v>
      </c>
      <c r="L42" s="59">
        <v>20.75</v>
      </c>
      <c r="M42" s="59">
        <v>58</v>
      </c>
      <c r="N42" s="59">
        <v>240.7</v>
      </c>
      <c r="O42" s="59">
        <v>0</v>
      </c>
      <c r="P42" s="59">
        <v>2.2000000000000002</v>
      </c>
      <c r="Q42" s="59">
        <v>45.17</v>
      </c>
      <c r="R42" s="197"/>
      <c r="S42" s="197"/>
      <c r="T42" s="197"/>
      <c r="U42" s="197"/>
    </row>
    <row r="43" spans="1:21" s="12" customFormat="1" x14ac:dyDescent="0.25">
      <c r="A43" s="200" t="s">
        <v>2105</v>
      </c>
      <c r="B43" s="59">
        <v>96.16</v>
      </c>
      <c r="C43" s="59">
        <v>112.23</v>
      </c>
      <c r="D43" s="59">
        <v>139.05000000000001</v>
      </c>
      <c r="E43" s="59">
        <v>5.54</v>
      </c>
      <c r="F43" s="59">
        <v>0</v>
      </c>
      <c r="G43" s="59">
        <v>163.07</v>
      </c>
      <c r="H43" s="59">
        <v>85.6</v>
      </c>
      <c r="I43" s="59">
        <v>0.59</v>
      </c>
      <c r="J43" s="59">
        <v>0.26</v>
      </c>
      <c r="K43" s="59">
        <v>189.78</v>
      </c>
      <c r="L43" s="59">
        <v>21.51</v>
      </c>
      <c r="M43" s="59">
        <v>56</v>
      </c>
      <c r="N43" s="59">
        <v>267.3</v>
      </c>
      <c r="O43" s="59">
        <v>0</v>
      </c>
      <c r="P43" s="59">
        <v>2.2200000000000002</v>
      </c>
      <c r="Q43" s="59">
        <v>44.96</v>
      </c>
      <c r="R43" s="197"/>
      <c r="S43" s="197"/>
      <c r="T43" s="197"/>
      <c r="U43" s="197"/>
    </row>
    <row r="44" spans="1:21" s="12" customFormat="1" x14ac:dyDescent="0.25">
      <c r="A44" s="200" t="s">
        <v>2106</v>
      </c>
      <c r="B44" s="59">
        <v>89.6</v>
      </c>
      <c r="C44" s="59">
        <v>112.5</v>
      </c>
      <c r="D44" s="59">
        <v>133.94</v>
      </c>
      <c r="E44" s="59">
        <v>5.57</v>
      </c>
      <c r="F44" s="59">
        <v>0.05</v>
      </c>
      <c r="G44" s="59">
        <v>163.07</v>
      </c>
      <c r="H44" s="59">
        <v>85.6</v>
      </c>
      <c r="I44" s="59">
        <v>0.57999999999999996</v>
      </c>
      <c r="J44" s="59">
        <v>0.55000000000000004</v>
      </c>
      <c r="K44" s="59">
        <v>150.53</v>
      </c>
      <c r="L44" s="59">
        <v>22.24</v>
      </c>
      <c r="M44" s="59">
        <v>52</v>
      </c>
      <c r="N44" s="59">
        <v>297.7</v>
      </c>
      <c r="O44" s="59">
        <v>0</v>
      </c>
      <c r="P44" s="59">
        <v>2.21</v>
      </c>
      <c r="Q44" s="59">
        <v>45.03</v>
      </c>
      <c r="R44" s="197"/>
      <c r="S44" s="197"/>
      <c r="T44" s="197"/>
      <c r="U44" s="197"/>
    </row>
    <row r="45" spans="1:21" s="12" customFormat="1" x14ac:dyDescent="0.25">
      <c r="A45" s="200" t="s">
        <v>2107</v>
      </c>
      <c r="B45" s="59">
        <v>82.6</v>
      </c>
      <c r="C45" s="59">
        <v>112.76</v>
      </c>
      <c r="D45" s="59">
        <v>128.47</v>
      </c>
      <c r="E45" s="59">
        <v>5.43</v>
      </c>
      <c r="F45" s="59">
        <v>0.11</v>
      </c>
      <c r="G45" s="59">
        <v>163.07</v>
      </c>
      <c r="H45" s="59">
        <v>85.6</v>
      </c>
      <c r="I45" s="59">
        <v>0.57999999999999996</v>
      </c>
      <c r="J45" s="59">
        <v>0.5</v>
      </c>
      <c r="K45" s="59">
        <v>167.7</v>
      </c>
      <c r="L45" s="59">
        <v>23.15</v>
      </c>
      <c r="M45" s="59">
        <v>47</v>
      </c>
      <c r="N45" s="59">
        <v>316</v>
      </c>
      <c r="O45" s="59">
        <v>0</v>
      </c>
      <c r="P45" s="59">
        <v>2.2000000000000002</v>
      </c>
      <c r="Q45" s="59">
        <v>44.1</v>
      </c>
      <c r="R45" s="197"/>
      <c r="S45" s="197"/>
      <c r="T45" s="197"/>
      <c r="U45" s="197"/>
    </row>
    <row r="46" spans="1:21" s="12" customFormat="1" x14ac:dyDescent="0.25">
      <c r="A46" s="200" t="s">
        <v>2108</v>
      </c>
      <c r="B46" s="59">
        <v>76.56</v>
      </c>
      <c r="C46" s="59">
        <v>113.24</v>
      </c>
      <c r="D46" s="59">
        <v>123.89</v>
      </c>
      <c r="E46" s="59">
        <v>5.48</v>
      </c>
      <c r="F46" s="59">
        <v>0.25</v>
      </c>
      <c r="G46" s="59">
        <v>158.88999999999999</v>
      </c>
      <c r="H46" s="59">
        <v>85.02</v>
      </c>
      <c r="I46" s="59">
        <v>0.56999999999999995</v>
      </c>
      <c r="J46" s="59">
        <v>0.86</v>
      </c>
      <c r="K46" s="59">
        <v>119.2</v>
      </c>
      <c r="L46" s="59">
        <v>23.21</v>
      </c>
      <c r="M46" s="59">
        <v>46</v>
      </c>
      <c r="N46" s="59">
        <v>334.1</v>
      </c>
      <c r="O46" s="59">
        <v>0</v>
      </c>
      <c r="P46" s="59">
        <v>2.1800000000000002</v>
      </c>
      <c r="Q46" s="59">
        <v>43.83</v>
      </c>
      <c r="R46" s="197"/>
      <c r="S46" s="197"/>
      <c r="T46" s="197"/>
      <c r="U46" s="197"/>
    </row>
    <row r="47" spans="1:21" s="12" customFormat="1" x14ac:dyDescent="0.25">
      <c r="A47" s="200" t="s">
        <v>2109</v>
      </c>
      <c r="B47" s="59">
        <v>71.22</v>
      </c>
      <c r="C47" s="59">
        <v>112.13</v>
      </c>
      <c r="D47" s="59">
        <v>118.99</v>
      </c>
      <c r="E47" s="59">
        <v>5.71</v>
      </c>
      <c r="F47" s="59">
        <v>0.17</v>
      </c>
      <c r="G47" s="59">
        <v>155.81</v>
      </c>
      <c r="H47" s="59">
        <v>84.26</v>
      </c>
      <c r="I47" s="59">
        <v>0.56000000000000005</v>
      </c>
      <c r="J47" s="59">
        <v>0.74</v>
      </c>
      <c r="K47" s="59">
        <v>109.61</v>
      </c>
      <c r="L47" s="59">
        <v>23.48</v>
      </c>
      <c r="M47" s="59">
        <v>44</v>
      </c>
      <c r="N47" s="59">
        <v>342.4</v>
      </c>
      <c r="O47" s="59">
        <v>0</v>
      </c>
      <c r="P47" s="59">
        <v>2.15</v>
      </c>
      <c r="Q47" s="59">
        <v>44.05</v>
      </c>
      <c r="R47" s="197"/>
      <c r="S47" s="197"/>
      <c r="T47" s="197"/>
      <c r="U47" s="197"/>
    </row>
    <row r="48" spans="1:21" s="12" customFormat="1" x14ac:dyDescent="0.25">
      <c r="A48" s="200" t="s">
        <v>2110</v>
      </c>
      <c r="B48" s="59">
        <v>65.349999999999994</v>
      </c>
      <c r="C48" s="59">
        <v>111.12</v>
      </c>
      <c r="D48" s="59">
        <v>113.74</v>
      </c>
      <c r="E48" s="59">
        <v>5.88</v>
      </c>
      <c r="F48" s="59">
        <v>0.36</v>
      </c>
      <c r="G48" s="59">
        <v>155.81</v>
      </c>
      <c r="H48" s="59">
        <v>84.26</v>
      </c>
      <c r="I48" s="59">
        <v>0.56999999999999995</v>
      </c>
      <c r="J48" s="59">
        <v>0.44</v>
      </c>
      <c r="K48" s="59">
        <v>134.82</v>
      </c>
      <c r="L48" s="59">
        <v>24.48</v>
      </c>
      <c r="M48" s="59">
        <v>39</v>
      </c>
      <c r="N48" s="59">
        <v>351.3</v>
      </c>
      <c r="O48" s="59">
        <v>0</v>
      </c>
      <c r="P48" s="59">
        <v>2.11</v>
      </c>
      <c r="Q48" s="59">
        <v>44.33</v>
      </c>
      <c r="R48" s="197"/>
      <c r="S48" s="197"/>
      <c r="T48" s="197"/>
      <c r="U48" s="197"/>
    </row>
    <row r="49" spans="1:21" s="12" customFormat="1" x14ac:dyDescent="0.25">
      <c r="A49" s="200" t="s">
        <v>2111</v>
      </c>
      <c r="B49" s="59">
        <v>59.19</v>
      </c>
      <c r="C49" s="59">
        <v>110.88</v>
      </c>
      <c r="D49" s="59">
        <v>108.66</v>
      </c>
      <c r="E49" s="59">
        <v>5.83</v>
      </c>
      <c r="F49" s="59">
        <v>0.47</v>
      </c>
      <c r="G49" s="59">
        <v>155.81</v>
      </c>
      <c r="H49" s="59">
        <v>84.26</v>
      </c>
      <c r="I49" s="59">
        <v>0.56999999999999995</v>
      </c>
      <c r="J49" s="59">
        <v>0.39</v>
      </c>
      <c r="K49" s="59">
        <v>167.1</v>
      </c>
      <c r="L49" s="59">
        <v>26.21</v>
      </c>
      <c r="M49" s="59">
        <v>35</v>
      </c>
      <c r="N49" s="59">
        <v>362.4</v>
      </c>
      <c r="O49" s="59">
        <v>0</v>
      </c>
      <c r="P49" s="59">
        <v>2.06</v>
      </c>
      <c r="Q49" s="59">
        <v>44.37</v>
      </c>
      <c r="R49" s="197"/>
      <c r="S49" s="197"/>
      <c r="T49" s="197"/>
      <c r="U49" s="197"/>
    </row>
    <row r="50" spans="1:21" s="12" customFormat="1" x14ac:dyDescent="0.25">
      <c r="A50" s="200" t="s">
        <v>2112</v>
      </c>
      <c r="B50" s="59">
        <v>51.21</v>
      </c>
      <c r="C50" s="59">
        <v>108.86</v>
      </c>
      <c r="D50" s="59">
        <v>101.14</v>
      </c>
      <c r="E50" s="59">
        <v>7.36</v>
      </c>
      <c r="F50" s="59">
        <v>1.41</v>
      </c>
      <c r="G50" s="59">
        <v>135.63999999999999</v>
      </c>
      <c r="H50" s="59">
        <v>79.25</v>
      </c>
      <c r="I50" s="59">
        <v>0.56000000000000005</v>
      </c>
      <c r="J50" s="59">
        <v>0.22</v>
      </c>
      <c r="K50" s="59">
        <v>37.76</v>
      </c>
      <c r="L50" s="59">
        <v>27.65</v>
      </c>
      <c r="M50" s="59">
        <v>32</v>
      </c>
      <c r="N50" s="59">
        <v>369</v>
      </c>
      <c r="O50" s="59">
        <v>0</v>
      </c>
      <c r="P50" s="59">
        <v>2.0099999999999998</v>
      </c>
      <c r="Q50" s="59">
        <v>44.68</v>
      </c>
      <c r="R50" s="197"/>
      <c r="S50" s="197"/>
      <c r="T50" s="197"/>
      <c r="U50" s="197"/>
    </row>
    <row r="51" spans="1:21" s="12" customFormat="1" x14ac:dyDescent="0.25">
      <c r="A51" s="200" t="s">
        <v>2113</v>
      </c>
      <c r="B51" s="59">
        <v>47.76</v>
      </c>
      <c r="C51" s="59">
        <v>111.37</v>
      </c>
      <c r="D51" s="59">
        <v>99.77</v>
      </c>
      <c r="E51" s="59">
        <v>6.69</v>
      </c>
      <c r="F51" s="59">
        <v>0.61</v>
      </c>
      <c r="G51" s="59">
        <v>123.63</v>
      </c>
      <c r="H51" s="59">
        <v>73.78</v>
      </c>
      <c r="I51" s="59">
        <v>0.55000000000000004</v>
      </c>
      <c r="J51" s="59">
        <v>0.53</v>
      </c>
      <c r="K51" s="59">
        <v>23.85</v>
      </c>
      <c r="L51" s="59">
        <v>30.36</v>
      </c>
      <c r="M51" s="59">
        <v>27</v>
      </c>
      <c r="N51" s="59">
        <v>380.3</v>
      </c>
      <c r="O51" s="59">
        <v>0</v>
      </c>
      <c r="P51" s="59">
        <v>2</v>
      </c>
      <c r="Q51" s="59">
        <v>44.95</v>
      </c>
      <c r="R51" s="197"/>
      <c r="S51" s="197"/>
      <c r="T51" s="197"/>
      <c r="U51" s="197"/>
    </row>
    <row r="52" spans="1:21" s="12" customFormat="1" x14ac:dyDescent="0.25">
      <c r="A52" s="200" t="s">
        <v>2114</v>
      </c>
      <c r="B52" s="59">
        <v>42.61</v>
      </c>
      <c r="C52" s="59">
        <v>112.96</v>
      </c>
      <c r="D52" s="59">
        <v>96.51</v>
      </c>
      <c r="E52" s="59">
        <v>6.53</v>
      </c>
      <c r="F52" s="59">
        <v>0.25</v>
      </c>
      <c r="G52" s="59">
        <v>123.63</v>
      </c>
      <c r="H52" s="59">
        <v>73.78</v>
      </c>
      <c r="I52" s="59">
        <v>0.54</v>
      </c>
      <c r="J52" s="59">
        <v>0.75</v>
      </c>
      <c r="K52" s="59">
        <v>18.420000000000002</v>
      </c>
      <c r="L52" s="59">
        <v>30.68</v>
      </c>
      <c r="M52" s="59">
        <v>26</v>
      </c>
      <c r="N52" s="59">
        <v>387.4</v>
      </c>
      <c r="O52" s="59">
        <v>0</v>
      </c>
      <c r="P52" s="59">
        <v>1.98</v>
      </c>
      <c r="Q52" s="59">
        <v>45.64</v>
      </c>
      <c r="R52" s="197"/>
      <c r="S52" s="197"/>
      <c r="T52" s="197"/>
      <c r="U52" s="197"/>
    </row>
    <row r="53" spans="1:21" s="12" customFormat="1" x14ac:dyDescent="0.25">
      <c r="A53" s="200" t="s">
        <v>2115</v>
      </c>
      <c r="B53" s="59">
        <v>37.229999999999997</v>
      </c>
      <c r="C53" s="59">
        <v>115.6</v>
      </c>
      <c r="D53" s="59">
        <v>93.65</v>
      </c>
      <c r="E53" s="59">
        <v>5.92</v>
      </c>
      <c r="F53" s="59">
        <v>0.7</v>
      </c>
      <c r="G53" s="59">
        <v>123.63</v>
      </c>
      <c r="H53" s="59">
        <v>73.78</v>
      </c>
      <c r="I53" s="59">
        <v>0.55000000000000004</v>
      </c>
      <c r="J53" s="59">
        <v>0.46</v>
      </c>
      <c r="K53" s="59">
        <v>356.98</v>
      </c>
      <c r="L53" s="59">
        <v>31.93</v>
      </c>
      <c r="M53" s="59">
        <v>23</v>
      </c>
      <c r="N53" s="59">
        <v>400.8</v>
      </c>
      <c r="O53" s="59">
        <v>0</v>
      </c>
      <c r="P53" s="59">
        <v>1.93</v>
      </c>
      <c r="Q53" s="59">
        <v>46.73</v>
      </c>
      <c r="R53" s="197"/>
      <c r="S53" s="197"/>
      <c r="T53" s="197"/>
      <c r="U53" s="197"/>
    </row>
    <row r="54" spans="1:21" s="12" customFormat="1" x14ac:dyDescent="0.25">
      <c r="A54" s="200" t="s">
        <v>2116</v>
      </c>
      <c r="B54" s="59">
        <v>30.22</v>
      </c>
      <c r="C54" s="59">
        <v>118.4</v>
      </c>
      <c r="D54" s="59">
        <v>89.58</v>
      </c>
      <c r="E54" s="59">
        <v>5.83</v>
      </c>
      <c r="F54" s="59">
        <v>0.9</v>
      </c>
      <c r="G54" s="59">
        <v>111.51</v>
      </c>
      <c r="H54" s="59">
        <v>67.19</v>
      </c>
      <c r="I54" s="59">
        <v>0.54</v>
      </c>
      <c r="J54" s="59">
        <v>0.08</v>
      </c>
      <c r="K54" s="59">
        <v>319.81</v>
      </c>
      <c r="L54" s="59">
        <v>29.38</v>
      </c>
      <c r="M54" s="59">
        <v>26</v>
      </c>
      <c r="N54" s="59">
        <v>408.6</v>
      </c>
      <c r="O54" s="59">
        <v>0</v>
      </c>
      <c r="P54" s="59">
        <v>1.89</v>
      </c>
      <c r="Q54" s="59">
        <v>46.1</v>
      </c>
      <c r="R54" s="197"/>
      <c r="S54" s="197"/>
      <c r="T54" s="197"/>
      <c r="U54" s="197"/>
    </row>
    <row r="55" spans="1:21" s="12" customFormat="1" x14ac:dyDescent="0.25">
      <c r="A55" s="200" t="s">
        <v>2117</v>
      </c>
      <c r="B55" s="59">
        <v>22.89</v>
      </c>
      <c r="C55" s="59">
        <v>120.37</v>
      </c>
      <c r="D55" s="59">
        <v>84.78</v>
      </c>
      <c r="E55" s="59">
        <v>6</v>
      </c>
      <c r="F55" s="59">
        <v>0.72</v>
      </c>
      <c r="G55" s="59">
        <v>104.29</v>
      </c>
      <c r="H55" s="59">
        <v>59.99</v>
      </c>
      <c r="I55" s="59">
        <v>0.52</v>
      </c>
      <c r="J55" s="59">
        <v>0.44</v>
      </c>
      <c r="K55" s="59">
        <v>10.98</v>
      </c>
      <c r="L55" s="59">
        <v>31.85</v>
      </c>
      <c r="M55" s="59">
        <v>24</v>
      </c>
      <c r="N55" s="59">
        <v>391</v>
      </c>
      <c r="O55" s="59">
        <v>0</v>
      </c>
      <c r="P55" s="59">
        <v>1.84</v>
      </c>
      <c r="Q55" s="59">
        <v>45.67</v>
      </c>
      <c r="R55" s="197"/>
      <c r="S55" s="197"/>
      <c r="T55" s="197"/>
      <c r="U55" s="197"/>
    </row>
    <row r="56" spans="1:21" s="12" customFormat="1" x14ac:dyDescent="0.25">
      <c r="A56" s="200" t="s">
        <v>2118</v>
      </c>
      <c r="B56" s="59">
        <v>15.93</v>
      </c>
      <c r="C56" s="59">
        <v>122.75</v>
      </c>
      <c r="D56" s="59">
        <v>80.52</v>
      </c>
      <c r="E56" s="59">
        <v>3.62</v>
      </c>
      <c r="F56" s="59">
        <v>1.05</v>
      </c>
      <c r="G56" s="59">
        <v>104.29</v>
      </c>
      <c r="H56" s="59">
        <v>59.99</v>
      </c>
      <c r="I56" s="59">
        <v>0.5</v>
      </c>
      <c r="J56" s="59">
        <v>0.24</v>
      </c>
      <c r="K56" s="59">
        <v>17.55</v>
      </c>
      <c r="L56" s="59">
        <v>31.42</v>
      </c>
      <c r="M56" s="59">
        <v>25</v>
      </c>
      <c r="N56" s="59">
        <v>385.5</v>
      </c>
      <c r="O56" s="59">
        <v>0</v>
      </c>
      <c r="P56" s="59">
        <v>1.81</v>
      </c>
      <c r="Q56" s="59">
        <v>45.19</v>
      </c>
      <c r="R56" s="197"/>
      <c r="S56" s="197"/>
      <c r="T56" s="197"/>
      <c r="U56" s="197"/>
    </row>
    <row r="57" spans="1:21" s="12" customFormat="1" x14ac:dyDescent="0.25">
      <c r="A57" s="200" t="s">
        <v>2119</v>
      </c>
      <c r="B57" s="59">
        <v>9.6199999999999992</v>
      </c>
      <c r="C57" s="59">
        <v>123.72</v>
      </c>
      <c r="D57" s="59">
        <v>75.989999999999995</v>
      </c>
      <c r="E57" s="59">
        <v>5.9</v>
      </c>
      <c r="F57" s="59">
        <v>1.62</v>
      </c>
      <c r="G57" s="59">
        <v>104.29</v>
      </c>
      <c r="H57" s="59">
        <v>59.99</v>
      </c>
      <c r="I57" s="59">
        <v>0.49</v>
      </c>
      <c r="J57" s="59">
        <v>0.4</v>
      </c>
      <c r="K57" s="59">
        <v>17.53</v>
      </c>
      <c r="L57" s="59">
        <v>31.19</v>
      </c>
      <c r="M57" s="59">
        <v>25</v>
      </c>
      <c r="N57" s="59">
        <v>383.6</v>
      </c>
      <c r="O57" s="59">
        <v>0</v>
      </c>
      <c r="P57" s="59">
        <v>1.81</v>
      </c>
      <c r="Q57" s="59">
        <v>44.92</v>
      </c>
      <c r="R57" s="197"/>
      <c r="S57" s="197"/>
      <c r="T57" s="197"/>
      <c r="U57" s="197"/>
    </row>
    <row r="58" spans="1:21" s="12" customFormat="1" x14ac:dyDescent="0.25">
      <c r="A58" s="200" t="s">
        <v>2120</v>
      </c>
      <c r="B58" s="59">
        <v>5.36</v>
      </c>
      <c r="C58" s="59">
        <v>122.58</v>
      </c>
      <c r="D58" s="59">
        <v>71.95</v>
      </c>
      <c r="E58" s="59">
        <v>5.77</v>
      </c>
      <c r="F58" s="59">
        <v>2.19</v>
      </c>
      <c r="G58" s="59">
        <v>100.43</v>
      </c>
      <c r="H58" s="59">
        <v>55.03</v>
      </c>
      <c r="I58" s="59">
        <v>0.47</v>
      </c>
      <c r="J58" s="59">
        <v>0.41</v>
      </c>
      <c r="K58" s="59">
        <v>8.81</v>
      </c>
      <c r="L58" s="59">
        <v>32.78</v>
      </c>
      <c r="M58" s="59">
        <v>23</v>
      </c>
      <c r="N58" s="59">
        <v>357.8</v>
      </c>
      <c r="O58" s="59">
        <v>0</v>
      </c>
      <c r="P58" s="59">
        <v>1.79</v>
      </c>
      <c r="Q58" s="59">
        <v>44.27</v>
      </c>
      <c r="R58" s="197"/>
      <c r="S58" s="197"/>
      <c r="T58" s="197"/>
      <c r="U58" s="197"/>
    </row>
    <row r="59" spans="1:21" s="12" customFormat="1" x14ac:dyDescent="0.25">
      <c r="A59" s="200" t="s">
        <v>2121</v>
      </c>
      <c r="B59" s="59">
        <v>5.36</v>
      </c>
      <c r="C59" s="59">
        <v>122.58</v>
      </c>
      <c r="D59" s="59">
        <v>71.95</v>
      </c>
      <c r="E59" s="59">
        <v>5.77</v>
      </c>
      <c r="F59" s="59">
        <v>2.19</v>
      </c>
      <c r="G59" s="59">
        <v>100.43</v>
      </c>
      <c r="H59" s="59">
        <v>55.03</v>
      </c>
      <c r="I59" s="59">
        <v>0.47</v>
      </c>
      <c r="J59" s="59">
        <v>0.41</v>
      </c>
      <c r="K59" s="59">
        <v>8.81</v>
      </c>
      <c r="L59" s="59">
        <v>32.78</v>
      </c>
      <c r="M59" s="59">
        <v>23</v>
      </c>
      <c r="N59" s="59">
        <v>357.8</v>
      </c>
      <c r="O59" s="59">
        <v>0</v>
      </c>
      <c r="P59" s="59">
        <v>1.79</v>
      </c>
      <c r="Q59" s="59">
        <v>44.27</v>
      </c>
      <c r="R59" s="197"/>
      <c r="S59" s="197"/>
      <c r="T59" s="197"/>
      <c r="U59" s="197"/>
    </row>
    <row r="60" spans="1:21" s="12" customFormat="1" x14ac:dyDescent="0.25">
      <c r="A60" s="200" t="s">
        <v>2122</v>
      </c>
      <c r="B60" s="59">
        <v>3.2</v>
      </c>
      <c r="C60" s="59">
        <v>116.13</v>
      </c>
      <c r="D60" s="59">
        <v>66.650000000000006</v>
      </c>
      <c r="E60" s="59">
        <v>6.35</v>
      </c>
      <c r="F60" s="59">
        <v>3.59</v>
      </c>
      <c r="G60" s="59">
        <v>95.07</v>
      </c>
      <c r="H60" s="59">
        <v>49.35</v>
      </c>
      <c r="I60" s="59">
        <v>0.46</v>
      </c>
      <c r="J60" s="59">
        <v>0.22</v>
      </c>
      <c r="K60" s="59">
        <v>11.28</v>
      </c>
      <c r="L60" s="59">
        <v>31.79</v>
      </c>
      <c r="M60" s="59">
        <v>24</v>
      </c>
      <c r="N60" s="59">
        <v>341.7</v>
      </c>
      <c r="O60" s="59">
        <v>0</v>
      </c>
      <c r="P60" s="59">
        <v>1.78</v>
      </c>
      <c r="Q60" s="59">
        <v>42.7</v>
      </c>
      <c r="R60" s="197"/>
      <c r="S60" s="197"/>
      <c r="T60" s="197"/>
      <c r="U60" s="197"/>
    </row>
    <row r="61" spans="1:21" s="12" customFormat="1" x14ac:dyDescent="0.25">
      <c r="A61" s="200" t="s">
        <v>2123</v>
      </c>
      <c r="B61" s="59">
        <v>2.95</v>
      </c>
      <c r="C61" s="59">
        <v>109.95</v>
      </c>
      <c r="D61" s="59">
        <v>63.04</v>
      </c>
      <c r="E61" s="59">
        <v>6.81</v>
      </c>
      <c r="F61" s="59">
        <v>2.74</v>
      </c>
      <c r="G61" s="59">
        <v>95.07</v>
      </c>
      <c r="H61" s="59">
        <v>49.35</v>
      </c>
      <c r="I61" s="59">
        <v>0.46</v>
      </c>
      <c r="J61" s="59">
        <v>0.04</v>
      </c>
      <c r="K61" s="59">
        <v>80.94</v>
      </c>
      <c r="L61" s="59">
        <v>30.51</v>
      </c>
      <c r="M61" s="59">
        <v>26</v>
      </c>
      <c r="N61" s="59">
        <v>301.5</v>
      </c>
      <c r="O61" s="59">
        <v>0</v>
      </c>
      <c r="P61" s="59">
        <v>1.73</v>
      </c>
      <c r="Q61" s="59">
        <v>42.48</v>
      </c>
      <c r="R61" s="197"/>
      <c r="S61" s="197"/>
      <c r="T61" s="197"/>
      <c r="U61" s="197"/>
    </row>
    <row r="62" spans="1:21" s="12" customFormat="1" x14ac:dyDescent="0.25">
      <c r="A62" s="200" t="s">
        <v>2124</v>
      </c>
      <c r="B62" s="59">
        <v>2.9</v>
      </c>
      <c r="C62" s="59">
        <v>106.34</v>
      </c>
      <c r="D62" s="59">
        <v>61.02</v>
      </c>
      <c r="E62" s="59">
        <v>6.44</v>
      </c>
      <c r="F62" s="59">
        <v>3.54</v>
      </c>
      <c r="G62" s="59">
        <v>106.79</v>
      </c>
      <c r="H62" s="59">
        <v>50.94</v>
      </c>
      <c r="I62" s="59">
        <v>0.48</v>
      </c>
      <c r="J62" s="59">
        <v>0.18</v>
      </c>
      <c r="K62" s="59">
        <v>125.67</v>
      </c>
      <c r="L62" s="59">
        <v>30.69</v>
      </c>
      <c r="M62" s="59">
        <v>26</v>
      </c>
      <c r="N62" s="59">
        <v>304.7</v>
      </c>
      <c r="O62" s="59">
        <v>0</v>
      </c>
      <c r="P62" s="59">
        <v>1.82</v>
      </c>
      <c r="Q62" s="59">
        <v>42.6</v>
      </c>
      <c r="R62" s="197"/>
      <c r="S62" s="197"/>
      <c r="T62" s="197"/>
      <c r="U62" s="197"/>
    </row>
    <row r="63" spans="1:21" s="12" customFormat="1" x14ac:dyDescent="0.25">
      <c r="A63" s="200" t="s">
        <v>2125</v>
      </c>
      <c r="B63" s="59">
        <v>2.97</v>
      </c>
      <c r="C63" s="59">
        <v>102.05</v>
      </c>
      <c r="D63" s="59">
        <v>58.71</v>
      </c>
      <c r="E63" s="59">
        <v>8.4700000000000006</v>
      </c>
      <c r="F63" s="59">
        <v>7.27</v>
      </c>
      <c r="G63" s="59">
        <v>115.73</v>
      </c>
      <c r="H63" s="59">
        <v>53.11</v>
      </c>
      <c r="I63" s="59">
        <v>0.46</v>
      </c>
      <c r="J63" s="59">
        <v>0.21</v>
      </c>
      <c r="K63" s="59">
        <v>33.450000000000003</v>
      </c>
      <c r="L63" s="59">
        <v>30.83</v>
      </c>
      <c r="M63" s="59">
        <v>26</v>
      </c>
      <c r="N63" s="59">
        <v>287.10000000000002</v>
      </c>
      <c r="O63" s="59">
        <v>0</v>
      </c>
      <c r="P63" s="59">
        <v>1.81</v>
      </c>
      <c r="Q63" s="59">
        <v>43.15</v>
      </c>
      <c r="R63" s="197"/>
      <c r="S63" s="197"/>
      <c r="T63" s="197"/>
      <c r="U63" s="197"/>
    </row>
    <row r="64" spans="1:21" s="12" customFormat="1" x14ac:dyDescent="0.25">
      <c r="A64" s="200" t="s">
        <v>2126</v>
      </c>
      <c r="B64" s="59">
        <v>3.01</v>
      </c>
      <c r="C64" s="59">
        <v>97.84</v>
      </c>
      <c r="D64" s="59">
        <v>56.41</v>
      </c>
      <c r="E64" s="59">
        <v>9.8699999999999992</v>
      </c>
      <c r="F64" s="59">
        <v>9.65</v>
      </c>
      <c r="G64" s="59">
        <v>115.73</v>
      </c>
      <c r="H64" s="59">
        <v>53.11</v>
      </c>
      <c r="I64" s="59">
        <v>0.45</v>
      </c>
      <c r="J64" s="59">
        <v>0.21</v>
      </c>
      <c r="K64" s="59">
        <v>25.84</v>
      </c>
      <c r="L64" s="59">
        <v>31.03</v>
      </c>
      <c r="M64" s="59">
        <v>26</v>
      </c>
      <c r="N64" s="59">
        <v>280.89999999999998</v>
      </c>
      <c r="O64" s="59">
        <v>0</v>
      </c>
      <c r="P64" s="59">
        <v>1.8</v>
      </c>
      <c r="Q64" s="59">
        <v>43.75</v>
      </c>
      <c r="R64" s="197"/>
      <c r="S64" s="197"/>
      <c r="T64" s="197"/>
      <c r="U64" s="197"/>
    </row>
    <row r="65" spans="1:21" s="12" customFormat="1" x14ac:dyDescent="0.25">
      <c r="A65" s="200" t="s">
        <v>2127</v>
      </c>
      <c r="B65" s="59">
        <v>3.05</v>
      </c>
      <c r="C65" s="59">
        <v>94.63</v>
      </c>
      <c r="D65" s="59">
        <v>54.67</v>
      </c>
      <c r="E65" s="59">
        <v>13.88</v>
      </c>
      <c r="F65" s="59">
        <v>11.16</v>
      </c>
      <c r="G65" s="59">
        <v>115.73</v>
      </c>
      <c r="H65" s="59">
        <v>53.11</v>
      </c>
      <c r="I65" s="59">
        <v>0.45</v>
      </c>
      <c r="J65" s="59">
        <v>0.05</v>
      </c>
      <c r="K65" s="59">
        <v>247.25</v>
      </c>
      <c r="L65" s="59">
        <v>31.66</v>
      </c>
      <c r="M65" s="59">
        <v>23</v>
      </c>
      <c r="N65" s="59">
        <v>251</v>
      </c>
      <c r="O65" s="59">
        <v>0</v>
      </c>
      <c r="P65" s="59">
        <v>1.76</v>
      </c>
      <c r="Q65" s="59">
        <v>44.61</v>
      </c>
      <c r="R65" s="197"/>
      <c r="S65" s="197"/>
      <c r="T65" s="197"/>
      <c r="U65" s="197"/>
    </row>
    <row r="66" spans="1:21" s="12" customFormat="1" x14ac:dyDescent="0.25">
      <c r="A66" s="200" t="s">
        <v>2128</v>
      </c>
      <c r="B66" s="59">
        <v>3.21</v>
      </c>
      <c r="C66" s="59">
        <v>92.5</v>
      </c>
      <c r="D66" s="59">
        <v>53.62</v>
      </c>
      <c r="E66" s="59">
        <v>10.1</v>
      </c>
      <c r="F66" s="59">
        <v>6.01</v>
      </c>
      <c r="G66" s="59">
        <v>112.8</v>
      </c>
      <c r="H66" s="59">
        <v>54.43</v>
      </c>
      <c r="I66" s="59">
        <v>0.44</v>
      </c>
      <c r="J66" s="59">
        <v>0.47</v>
      </c>
      <c r="K66" s="59">
        <v>0.53</v>
      </c>
      <c r="L66" s="59">
        <v>32.04</v>
      </c>
      <c r="M66" s="59">
        <v>20</v>
      </c>
      <c r="N66" s="59">
        <v>154.9</v>
      </c>
      <c r="O66" s="59">
        <v>0</v>
      </c>
      <c r="P66" s="59">
        <v>1.77</v>
      </c>
      <c r="Q66" s="59">
        <v>45.25</v>
      </c>
      <c r="R66" s="197"/>
      <c r="S66" s="197"/>
      <c r="T66" s="197"/>
      <c r="U66" s="197"/>
    </row>
    <row r="67" spans="1:21" s="12" customFormat="1" x14ac:dyDescent="0.25">
      <c r="A67" s="200" t="s">
        <v>2129</v>
      </c>
      <c r="B67" s="59">
        <v>3.74</v>
      </c>
      <c r="C67" s="59">
        <v>93.96</v>
      </c>
      <c r="D67" s="59">
        <v>54.86</v>
      </c>
      <c r="E67" s="59">
        <v>6.95</v>
      </c>
      <c r="F67" s="59">
        <v>1.56</v>
      </c>
      <c r="G67" s="59">
        <v>110.57</v>
      </c>
      <c r="H67" s="59">
        <v>56.23</v>
      </c>
      <c r="I67" s="59">
        <v>0.44</v>
      </c>
      <c r="J67" s="59">
        <v>0.97</v>
      </c>
      <c r="K67" s="59">
        <v>14.33</v>
      </c>
      <c r="L67" s="59">
        <v>32.47</v>
      </c>
      <c r="M67" s="59">
        <v>18</v>
      </c>
      <c r="N67" s="59">
        <v>169.5</v>
      </c>
      <c r="O67" s="59">
        <v>0</v>
      </c>
      <c r="P67" s="59">
        <v>1.78</v>
      </c>
      <c r="Q67" s="59">
        <v>46.92</v>
      </c>
      <c r="R67" s="197"/>
      <c r="S67" s="197"/>
      <c r="T67" s="197"/>
      <c r="U67" s="197"/>
    </row>
    <row r="68" spans="1:21" s="12" customFormat="1" x14ac:dyDescent="0.25">
      <c r="A68" s="200" t="s">
        <v>2130</v>
      </c>
      <c r="B68" s="59">
        <v>4.33</v>
      </c>
      <c r="C68" s="59">
        <v>95.64</v>
      </c>
      <c r="D68" s="59">
        <v>56.25</v>
      </c>
      <c r="E68" s="59">
        <v>7.45</v>
      </c>
      <c r="F68" s="59">
        <v>2.0099999999999998</v>
      </c>
      <c r="G68" s="59">
        <v>110.57</v>
      </c>
      <c r="H68" s="59">
        <v>56.23</v>
      </c>
      <c r="I68" s="59">
        <v>0.46</v>
      </c>
      <c r="J68" s="59">
        <v>0.86</v>
      </c>
      <c r="K68" s="59">
        <v>12.5</v>
      </c>
      <c r="L68" s="59">
        <v>32.32</v>
      </c>
      <c r="M68" s="59">
        <v>17</v>
      </c>
      <c r="N68" s="59">
        <v>218.7</v>
      </c>
      <c r="O68" s="59">
        <v>0</v>
      </c>
      <c r="P68" s="59">
        <v>1.75</v>
      </c>
      <c r="Q68" s="59">
        <v>47.26</v>
      </c>
      <c r="R68" s="197"/>
      <c r="S68" s="197"/>
      <c r="T68" s="197"/>
      <c r="U68" s="197"/>
    </row>
    <row r="69" spans="1:21" s="12" customFormat="1" x14ac:dyDescent="0.25">
      <c r="A69" s="200" t="s">
        <v>2131</v>
      </c>
      <c r="B69" s="59">
        <v>4.67</v>
      </c>
      <c r="C69" s="59">
        <v>95.74</v>
      </c>
      <c r="D69" s="59">
        <v>56.58</v>
      </c>
      <c r="E69" s="59">
        <v>6.99</v>
      </c>
      <c r="F69" s="59">
        <v>2.14</v>
      </c>
      <c r="G69" s="59">
        <v>110.57</v>
      </c>
      <c r="H69" s="59">
        <v>56.23</v>
      </c>
      <c r="I69" s="59">
        <v>0.46</v>
      </c>
      <c r="J69" s="59">
        <v>0.69</v>
      </c>
      <c r="K69" s="59">
        <v>349.04</v>
      </c>
      <c r="L69" s="59">
        <v>31.56</v>
      </c>
      <c r="M69" s="59">
        <v>18</v>
      </c>
      <c r="N69" s="59">
        <v>199.5</v>
      </c>
      <c r="O69" s="59">
        <v>0</v>
      </c>
      <c r="P69" s="59">
        <v>1.71</v>
      </c>
      <c r="Q69" s="59">
        <v>46.31</v>
      </c>
      <c r="R69" s="197"/>
      <c r="S69" s="197"/>
      <c r="T69" s="197"/>
      <c r="U69" s="197"/>
    </row>
    <row r="70" spans="1:21" s="12" customFormat="1" x14ac:dyDescent="0.25">
      <c r="A70" s="200" t="s">
        <v>2132</v>
      </c>
      <c r="B70" s="59">
        <v>5.75</v>
      </c>
      <c r="C70" s="59">
        <v>95.59</v>
      </c>
      <c r="D70" s="59">
        <v>57.36</v>
      </c>
      <c r="E70" s="59">
        <v>9.31</v>
      </c>
      <c r="F70" s="59">
        <v>3.91</v>
      </c>
      <c r="G70" s="59">
        <v>106.37</v>
      </c>
      <c r="H70" s="59">
        <v>52.46</v>
      </c>
      <c r="I70" s="59">
        <v>0.43</v>
      </c>
      <c r="J70" s="59">
        <v>0.67</v>
      </c>
      <c r="K70" s="59">
        <v>7.55</v>
      </c>
      <c r="L70" s="59">
        <v>30.54</v>
      </c>
      <c r="M70" s="59">
        <v>19</v>
      </c>
      <c r="N70" s="59">
        <v>139.9</v>
      </c>
      <c r="O70" s="59">
        <v>0</v>
      </c>
      <c r="P70" s="59">
        <v>1.66</v>
      </c>
      <c r="Q70" s="59">
        <v>45.25</v>
      </c>
      <c r="R70" s="197"/>
      <c r="S70" s="197"/>
      <c r="T70" s="197"/>
      <c r="U70" s="197"/>
    </row>
    <row r="71" spans="1:21" s="12" customFormat="1" x14ac:dyDescent="0.25">
      <c r="A71" s="200" t="s">
        <v>2133</v>
      </c>
      <c r="B71" s="59">
        <v>5.79</v>
      </c>
      <c r="C71" s="59">
        <v>95.73</v>
      </c>
      <c r="D71" s="59">
        <v>57.48</v>
      </c>
      <c r="E71" s="59">
        <v>7.48</v>
      </c>
      <c r="F71" s="59">
        <v>2.86</v>
      </c>
      <c r="G71" s="59">
        <v>103.08</v>
      </c>
      <c r="H71" s="59">
        <v>47.31</v>
      </c>
      <c r="I71" s="59">
        <v>0.41</v>
      </c>
      <c r="J71" s="59">
        <v>0.8</v>
      </c>
      <c r="K71" s="59">
        <v>10.18</v>
      </c>
      <c r="L71" s="59">
        <v>29.81</v>
      </c>
      <c r="M71" s="59">
        <v>21</v>
      </c>
      <c r="N71" s="59">
        <v>153.1</v>
      </c>
      <c r="O71" s="59">
        <v>0</v>
      </c>
      <c r="P71" s="59">
        <v>1.66</v>
      </c>
      <c r="Q71" s="59">
        <v>44.92</v>
      </c>
      <c r="R71" s="197"/>
      <c r="S71" s="197"/>
      <c r="T71" s="197"/>
      <c r="U71" s="197"/>
    </row>
    <row r="72" spans="1:21" s="12" customFormat="1" x14ac:dyDescent="0.25">
      <c r="A72" s="200" t="s">
        <v>2134</v>
      </c>
      <c r="B72" s="59">
        <v>7.03</v>
      </c>
      <c r="C72" s="59">
        <v>95.7</v>
      </c>
      <c r="D72" s="59">
        <v>58.46</v>
      </c>
      <c r="E72" s="59">
        <v>4.1500000000000004</v>
      </c>
      <c r="F72" s="59">
        <v>3.16</v>
      </c>
      <c r="G72" s="59">
        <v>103.08</v>
      </c>
      <c r="H72" s="59">
        <v>47.31</v>
      </c>
      <c r="I72" s="59">
        <v>0.4</v>
      </c>
      <c r="J72" s="59">
        <v>0.89</v>
      </c>
      <c r="K72" s="59">
        <v>12.04</v>
      </c>
      <c r="L72" s="59">
        <v>29.27</v>
      </c>
      <c r="M72" s="59">
        <v>21</v>
      </c>
      <c r="N72" s="59">
        <v>75.7</v>
      </c>
      <c r="O72" s="59">
        <v>0</v>
      </c>
      <c r="P72" s="59">
        <v>1.65</v>
      </c>
      <c r="Q72" s="59">
        <v>44.54</v>
      </c>
      <c r="R72" s="197"/>
      <c r="S72" s="197"/>
      <c r="T72" s="197"/>
      <c r="U72" s="197"/>
    </row>
    <row r="73" spans="1:21" s="12" customFormat="1" x14ac:dyDescent="0.25">
      <c r="A73" s="200" t="s">
        <v>2135</v>
      </c>
      <c r="B73" s="59">
        <v>8.89</v>
      </c>
      <c r="C73" s="59">
        <v>96.2</v>
      </c>
      <c r="D73" s="59">
        <v>60.22</v>
      </c>
      <c r="E73" s="59">
        <v>13.91</v>
      </c>
      <c r="F73" s="59">
        <v>6.77</v>
      </c>
      <c r="G73" s="59">
        <v>103.08</v>
      </c>
      <c r="H73" s="59">
        <v>47.31</v>
      </c>
      <c r="I73" s="59">
        <v>0.39</v>
      </c>
      <c r="J73" s="59">
        <v>0.74</v>
      </c>
      <c r="K73" s="59">
        <v>15.34</v>
      </c>
      <c r="L73" s="59">
        <v>28.79</v>
      </c>
      <c r="M73" s="59">
        <v>20</v>
      </c>
      <c r="N73" s="59">
        <v>57.1</v>
      </c>
      <c r="O73" s="59">
        <v>0</v>
      </c>
      <c r="P73" s="59">
        <v>1.63</v>
      </c>
      <c r="Q73" s="59">
        <v>43.86</v>
      </c>
      <c r="R73" s="197"/>
      <c r="S73" s="197"/>
      <c r="T73" s="197"/>
      <c r="U73" s="197"/>
    </row>
    <row r="74" spans="1:21" s="12" customFormat="1" x14ac:dyDescent="0.25">
      <c r="A74" s="200" t="s">
        <v>2136</v>
      </c>
      <c r="B74" s="59">
        <v>10.53</v>
      </c>
      <c r="C74" s="59">
        <v>100.68</v>
      </c>
      <c r="D74" s="59">
        <v>64.010000000000005</v>
      </c>
      <c r="E74" s="59">
        <v>15.38</v>
      </c>
      <c r="F74" s="59">
        <v>6.67</v>
      </c>
      <c r="G74" s="59">
        <v>101.07</v>
      </c>
      <c r="H74" s="59">
        <v>44.85</v>
      </c>
      <c r="I74" s="59">
        <v>0.39</v>
      </c>
      <c r="J74" s="59">
        <v>0.87</v>
      </c>
      <c r="K74" s="59">
        <v>16.7</v>
      </c>
      <c r="L74" s="59">
        <v>28.17</v>
      </c>
      <c r="M74" s="59">
        <v>24</v>
      </c>
      <c r="N74" s="59">
        <v>49</v>
      </c>
      <c r="O74" s="59">
        <v>0</v>
      </c>
      <c r="P74" s="59">
        <v>1.67</v>
      </c>
      <c r="Q74" s="59">
        <v>42.34</v>
      </c>
      <c r="R74" s="197"/>
      <c r="S74" s="197"/>
      <c r="T74" s="197"/>
      <c r="U74" s="197"/>
    </row>
    <row r="75" spans="1:21" s="12" customFormat="1" x14ac:dyDescent="0.25">
      <c r="A75" s="200" t="s">
        <v>2137</v>
      </c>
      <c r="B75" s="59">
        <v>10.18</v>
      </c>
      <c r="C75" s="59">
        <v>100.06</v>
      </c>
      <c r="D75" s="59">
        <v>63.39</v>
      </c>
      <c r="E75" s="59">
        <v>12.07</v>
      </c>
      <c r="F75" s="59">
        <v>6.36</v>
      </c>
      <c r="G75" s="59">
        <v>96.57</v>
      </c>
      <c r="H75" s="59">
        <v>41.49</v>
      </c>
      <c r="I75" s="59">
        <v>0.36</v>
      </c>
      <c r="J75" s="59">
        <v>0.43</v>
      </c>
      <c r="K75" s="59">
        <v>11.49</v>
      </c>
      <c r="L75" s="59">
        <v>27.47</v>
      </c>
      <c r="M75" s="59">
        <v>25</v>
      </c>
      <c r="N75" s="59">
        <v>42.1</v>
      </c>
      <c r="O75" s="59">
        <v>0</v>
      </c>
      <c r="P75" s="59">
        <v>1.69</v>
      </c>
      <c r="Q75" s="59">
        <v>42.06</v>
      </c>
      <c r="R75" s="197"/>
      <c r="S75" s="197"/>
      <c r="T75" s="197"/>
      <c r="U75" s="197"/>
    </row>
    <row r="76" spans="1:21" s="12" customFormat="1" x14ac:dyDescent="0.25">
      <c r="A76" s="200" t="s">
        <v>2138</v>
      </c>
      <c r="B76" s="59">
        <v>15.5</v>
      </c>
      <c r="C76" s="59">
        <v>107</v>
      </c>
      <c r="D76" s="59">
        <v>71.48</v>
      </c>
      <c r="E76" s="59">
        <v>12.87</v>
      </c>
      <c r="F76" s="59">
        <v>4.4400000000000004</v>
      </c>
      <c r="G76" s="59">
        <v>96.57</v>
      </c>
      <c r="H76" s="59">
        <v>41.49</v>
      </c>
      <c r="I76" s="59">
        <v>0.35</v>
      </c>
      <c r="J76" s="59">
        <v>0.35</v>
      </c>
      <c r="K76" s="59">
        <v>12.55</v>
      </c>
      <c r="L76" s="59">
        <v>26.63</v>
      </c>
      <c r="M76" s="59">
        <v>27</v>
      </c>
      <c r="N76" s="59">
        <v>35.799999999999997</v>
      </c>
      <c r="O76" s="59">
        <v>0</v>
      </c>
      <c r="P76" s="59">
        <v>1.81</v>
      </c>
      <c r="Q76" s="59">
        <v>42.21</v>
      </c>
      <c r="R76" s="197"/>
      <c r="S76" s="197"/>
      <c r="T76" s="197"/>
      <c r="U76" s="197"/>
    </row>
    <row r="77" spans="1:21" s="12" customFormat="1" x14ac:dyDescent="0.25">
      <c r="A77" s="200" t="s">
        <v>2139</v>
      </c>
      <c r="B77" s="59">
        <v>14.08</v>
      </c>
      <c r="C77" s="59">
        <v>112.11</v>
      </c>
      <c r="D77" s="59">
        <v>73.16</v>
      </c>
      <c r="E77" s="59">
        <v>10.66</v>
      </c>
      <c r="F77" s="59">
        <v>2.39</v>
      </c>
      <c r="G77" s="59">
        <v>96.57</v>
      </c>
      <c r="H77" s="59">
        <v>41.49</v>
      </c>
      <c r="I77" s="59">
        <v>0.38</v>
      </c>
      <c r="J77" s="59">
        <v>0.25</v>
      </c>
      <c r="K77" s="59">
        <v>84.91</v>
      </c>
      <c r="L77" s="59">
        <v>26.04</v>
      </c>
      <c r="M77" s="59">
        <v>28</v>
      </c>
      <c r="N77" s="59">
        <v>29.8</v>
      </c>
      <c r="O77" s="59">
        <v>0</v>
      </c>
      <c r="P77" s="59">
        <v>1.87</v>
      </c>
      <c r="Q77" s="59">
        <v>42.52</v>
      </c>
      <c r="R77" s="197"/>
      <c r="S77" s="197"/>
      <c r="T77" s="197"/>
      <c r="U77" s="197"/>
    </row>
    <row r="78" spans="1:21" s="12" customFormat="1" x14ac:dyDescent="0.25">
      <c r="A78" s="200" t="s">
        <v>2140</v>
      </c>
      <c r="B78" s="59">
        <v>13.39</v>
      </c>
      <c r="C78" s="59">
        <v>110.8</v>
      </c>
      <c r="D78" s="59">
        <v>71.89</v>
      </c>
      <c r="E78" s="59">
        <v>11.21</v>
      </c>
      <c r="F78" s="59">
        <v>1.88</v>
      </c>
      <c r="G78" s="59">
        <v>96.3</v>
      </c>
      <c r="H78" s="59">
        <v>40.869999999999997</v>
      </c>
      <c r="I78" s="59">
        <v>0.41</v>
      </c>
      <c r="J78" s="59">
        <v>0.28000000000000003</v>
      </c>
      <c r="K78" s="59">
        <v>76.09</v>
      </c>
      <c r="L78" s="59">
        <v>25.4</v>
      </c>
      <c r="M78" s="59">
        <v>30</v>
      </c>
      <c r="N78" s="59">
        <v>25.9</v>
      </c>
      <c r="O78" s="59">
        <v>0</v>
      </c>
      <c r="P78" s="59">
        <v>1.91</v>
      </c>
      <c r="Q78" s="59">
        <v>43.36</v>
      </c>
      <c r="R78" s="197"/>
      <c r="S78" s="197"/>
      <c r="T78" s="197"/>
      <c r="U78" s="197"/>
    </row>
    <row r="79" spans="1:21" s="12" customFormat="1" x14ac:dyDescent="0.25">
      <c r="A79" s="200" t="s">
        <v>2141</v>
      </c>
      <c r="B79" s="59">
        <v>18.510000000000002</v>
      </c>
      <c r="C79" s="59">
        <v>113.12</v>
      </c>
      <c r="D79" s="59">
        <v>77.27</v>
      </c>
      <c r="E79" s="59">
        <v>8.99</v>
      </c>
      <c r="F79" s="59">
        <v>1.51</v>
      </c>
      <c r="G79" s="59">
        <v>96.08</v>
      </c>
      <c r="H79" s="59">
        <v>40.020000000000003</v>
      </c>
      <c r="I79" s="59">
        <v>0.45</v>
      </c>
      <c r="J79" s="59">
        <v>0.19</v>
      </c>
      <c r="K79" s="59">
        <v>74.290000000000006</v>
      </c>
      <c r="L79" s="59">
        <v>24.95</v>
      </c>
      <c r="M79" s="59">
        <v>32</v>
      </c>
      <c r="N79" s="59">
        <v>24.5</v>
      </c>
      <c r="O79" s="59">
        <v>0</v>
      </c>
      <c r="P79" s="59">
        <v>2.04</v>
      </c>
      <c r="Q79" s="59">
        <v>44.02</v>
      </c>
      <c r="R79" s="197"/>
      <c r="S79" s="197"/>
      <c r="T79" s="197"/>
      <c r="U79" s="197"/>
    </row>
    <row r="80" spans="1:21" s="12" customFormat="1" x14ac:dyDescent="0.25">
      <c r="A80" s="200" t="s">
        <v>2142</v>
      </c>
      <c r="B80" s="59">
        <v>22.69</v>
      </c>
      <c r="C80" s="59">
        <v>109.06</v>
      </c>
      <c r="D80" s="59">
        <v>78.38</v>
      </c>
      <c r="E80" s="59">
        <v>8.1</v>
      </c>
      <c r="F80" s="59">
        <v>0.52</v>
      </c>
      <c r="G80" s="59">
        <v>96.08</v>
      </c>
      <c r="H80" s="59">
        <v>40.020000000000003</v>
      </c>
      <c r="I80" s="59">
        <v>0.48</v>
      </c>
      <c r="J80" s="59">
        <v>0.28999999999999998</v>
      </c>
      <c r="K80" s="59">
        <v>89.31</v>
      </c>
      <c r="L80" s="59">
        <v>24.18</v>
      </c>
      <c r="M80" s="59">
        <v>35</v>
      </c>
      <c r="N80" s="59">
        <v>24.2</v>
      </c>
      <c r="O80" s="59">
        <v>0</v>
      </c>
      <c r="P80" s="59">
        <v>2.12</v>
      </c>
      <c r="Q80" s="59">
        <v>43.54</v>
      </c>
      <c r="R80" s="197"/>
      <c r="S80" s="197"/>
      <c r="T80" s="197"/>
      <c r="U80" s="197"/>
    </row>
    <row r="81" spans="1:26" s="12" customFormat="1" x14ac:dyDescent="0.25">
      <c r="A81" s="200" t="s">
        <v>2143</v>
      </c>
      <c r="B81" s="59">
        <v>20.63</v>
      </c>
      <c r="C81" s="59">
        <v>106.32</v>
      </c>
      <c r="D81" s="59">
        <v>75.22</v>
      </c>
      <c r="E81" s="59">
        <v>7.06</v>
      </c>
      <c r="F81" s="59">
        <v>0.15</v>
      </c>
      <c r="G81" s="59">
        <v>96.08</v>
      </c>
      <c r="H81" s="59">
        <v>40.020000000000003</v>
      </c>
      <c r="I81" s="59">
        <v>0.51</v>
      </c>
      <c r="J81" s="59">
        <v>0.36</v>
      </c>
      <c r="K81" s="59">
        <v>85.39</v>
      </c>
      <c r="L81" s="59">
        <v>23.72</v>
      </c>
      <c r="M81" s="59">
        <v>37</v>
      </c>
      <c r="N81" s="59">
        <v>24.2</v>
      </c>
      <c r="O81" s="59">
        <v>0</v>
      </c>
      <c r="P81" s="59">
        <v>2.0699999999999998</v>
      </c>
      <c r="Q81" s="59">
        <v>46.58</v>
      </c>
      <c r="R81" s="197"/>
      <c r="S81" s="197"/>
      <c r="T81" s="197"/>
      <c r="U81" s="197"/>
    </row>
    <row r="82" spans="1:26" s="12" customFormat="1" x14ac:dyDescent="0.25">
      <c r="A82" s="200" t="s">
        <v>2144</v>
      </c>
      <c r="B82" s="59">
        <v>20.86</v>
      </c>
      <c r="C82" s="59">
        <v>104.73</v>
      </c>
      <c r="D82" s="59">
        <v>74.53</v>
      </c>
      <c r="E82" s="59">
        <v>6.1</v>
      </c>
      <c r="F82" s="59">
        <v>0.02</v>
      </c>
      <c r="G82" s="59">
        <v>106.61</v>
      </c>
      <c r="H82" s="59">
        <v>41.73</v>
      </c>
      <c r="I82" s="59">
        <v>0.56999999999999995</v>
      </c>
      <c r="J82" s="59">
        <v>0.28999999999999998</v>
      </c>
      <c r="K82" s="59">
        <v>59.41</v>
      </c>
      <c r="L82" s="59">
        <v>23.27</v>
      </c>
      <c r="M82" s="59">
        <v>36</v>
      </c>
      <c r="N82" s="59">
        <v>24.1</v>
      </c>
      <c r="O82" s="59">
        <v>0</v>
      </c>
      <c r="P82" s="59">
        <v>2.15</v>
      </c>
      <c r="Q82" s="59">
        <v>47.96</v>
      </c>
      <c r="R82" s="197"/>
      <c r="S82" s="197"/>
      <c r="T82" s="197"/>
      <c r="U82" s="197"/>
    </row>
    <row r="83" spans="1:26" s="12" customFormat="1" x14ac:dyDescent="0.25">
      <c r="A83" s="200" t="s">
        <v>2145</v>
      </c>
      <c r="B83" s="59">
        <v>21.38</v>
      </c>
      <c r="C83" s="59">
        <v>104.81</v>
      </c>
      <c r="D83" s="59">
        <v>74.989999999999995</v>
      </c>
      <c r="E83" s="59">
        <v>5.9</v>
      </c>
      <c r="F83" s="59">
        <v>0.23</v>
      </c>
      <c r="G83" s="59">
        <v>114.86</v>
      </c>
      <c r="H83" s="59">
        <v>44.06</v>
      </c>
      <c r="I83" s="59">
        <v>0.56999999999999995</v>
      </c>
      <c r="J83" s="59">
        <v>0.19</v>
      </c>
      <c r="K83" s="59">
        <v>29.98</v>
      </c>
      <c r="L83" s="59">
        <v>22.95</v>
      </c>
      <c r="M83" s="59">
        <v>39</v>
      </c>
      <c r="N83" s="59">
        <v>24.4</v>
      </c>
      <c r="O83" s="59">
        <v>0</v>
      </c>
      <c r="P83" s="59">
        <v>2.23</v>
      </c>
      <c r="Q83" s="59">
        <v>47.81</v>
      </c>
      <c r="R83" s="197"/>
      <c r="S83" s="197"/>
      <c r="T83" s="197"/>
      <c r="U83" s="197"/>
    </row>
    <row r="84" spans="1:26" s="12" customFormat="1" x14ac:dyDescent="0.25">
      <c r="A84" s="200" t="s">
        <v>2146</v>
      </c>
      <c r="B84" s="59">
        <v>23.56</v>
      </c>
      <c r="C84" s="59">
        <v>106.02</v>
      </c>
      <c r="D84" s="59">
        <v>77.41</v>
      </c>
      <c r="E84" s="59">
        <v>5.94</v>
      </c>
      <c r="F84" s="59">
        <v>0.98</v>
      </c>
      <c r="G84" s="59">
        <v>114.86</v>
      </c>
      <c r="H84" s="59">
        <v>44.06</v>
      </c>
      <c r="I84" s="59">
        <v>0.6</v>
      </c>
      <c r="J84" s="59">
        <v>0.23</v>
      </c>
      <c r="K84" s="59">
        <v>52.99</v>
      </c>
      <c r="L84" s="59">
        <v>22.71</v>
      </c>
      <c r="M84" s="59">
        <v>37</v>
      </c>
      <c r="N84" s="59">
        <v>24.1</v>
      </c>
      <c r="O84" s="59">
        <v>0</v>
      </c>
      <c r="P84" s="59">
        <v>2.35</v>
      </c>
      <c r="Q84" s="59">
        <v>47.44</v>
      </c>
      <c r="R84" s="197"/>
      <c r="S84" s="197"/>
      <c r="T84" s="197"/>
      <c r="U84" s="197"/>
    </row>
    <row r="85" spans="1:26" s="12" customFormat="1" x14ac:dyDescent="0.25">
      <c r="A85" s="200" t="s">
        <v>2147</v>
      </c>
      <c r="B85" s="59">
        <v>26.98</v>
      </c>
      <c r="C85" s="59">
        <v>108.63</v>
      </c>
      <c r="D85" s="59">
        <v>81.58</v>
      </c>
      <c r="E85" s="59">
        <v>6.08</v>
      </c>
      <c r="F85" s="59">
        <v>0.24</v>
      </c>
      <c r="G85" s="59">
        <v>114.86</v>
      </c>
      <c r="H85" s="59">
        <v>44.06</v>
      </c>
      <c r="I85" s="59">
        <v>0.62</v>
      </c>
      <c r="J85" s="59">
        <v>0.23</v>
      </c>
      <c r="K85" s="59">
        <v>48.63</v>
      </c>
      <c r="L85" s="59">
        <v>22.59</v>
      </c>
      <c r="M85" s="59">
        <v>37</v>
      </c>
      <c r="N85" s="59">
        <v>24.1</v>
      </c>
      <c r="O85" s="59">
        <v>0</v>
      </c>
      <c r="P85" s="59">
        <v>2.3199999999999998</v>
      </c>
      <c r="Q85" s="59">
        <v>47.35</v>
      </c>
      <c r="R85" s="197"/>
      <c r="S85" s="197"/>
      <c r="T85" s="197"/>
      <c r="U85" s="197"/>
    </row>
    <row r="86" spans="1:26" s="12" customFormat="1" x14ac:dyDescent="0.25">
      <c r="A86" s="200" t="s">
        <v>2148</v>
      </c>
      <c r="B86" s="59">
        <v>30.13</v>
      </c>
      <c r="C86" s="59">
        <v>111.07</v>
      </c>
      <c r="D86" s="59">
        <v>85.46</v>
      </c>
      <c r="E86" s="59">
        <v>6.14</v>
      </c>
      <c r="F86" s="59">
        <v>1.1100000000000001</v>
      </c>
      <c r="G86" s="59">
        <v>113.81</v>
      </c>
      <c r="H86" s="59">
        <v>46.23</v>
      </c>
      <c r="I86" s="59">
        <v>0.66</v>
      </c>
      <c r="J86" s="59">
        <v>0.19</v>
      </c>
      <c r="K86" s="59">
        <v>59.8</v>
      </c>
      <c r="L86" s="59">
        <v>22.22</v>
      </c>
      <c r="M86" s="59">
        <v>38</v>
      </c>
      <c r="N86" s="59">
        <v>24.3</v>
      </c>
      <c r="O86" s="59">
        <v>0</v>
      </c>
      <c r="P86" s="59">
        <v>2.5299999999999998</v>
      </c>
      <c r="Q86" s="59">
        <v>46.96</v>
      </c>
      <c r="R86" s="197"/>
      <c r="S86" s="197"/>
      <c r="T86" s="197"/>
      <c r="U86" s="197"/>
    </row>
    <row r="87" spans="1:26" s="12" customFormat="1" x14ac:dyDescent="0.25">
      <c r="A87" s="200" t="s">
        <v>2149</v>
      </c>
      <c r="B87" s="59">
        <v>33.590000000000003</v>
      </c>
      <c r="C87" s="59">
        <v>113.01</v>
      </c>
      <c r="D87" s="59">
        <v>89.31</v>
      </c>
      <c r="E87" s="59">
        <v>6.39</v>
      </c>
      <c r="F87" s="59">
        <v>0.49</v>
      </c>
      <c r="G87" s="59">
        <v>113.01</v>
      </c>
      <c r="H87" s="59">
        <v>49.07</v>
      </c>
      <c r="I87" s="59">
        <v>0.68</v>
      </c>
      <c r="J87" s="59">
        <v>0.17</v>
      </c>
      <c r="K87" s="59">
        <v>86.13</v>
      </c>
      <c r="L87" s="59">
        <v>22.12</v>
      </c>
      <c r="M87" s="59">
        <v>38</v>
      </c>
      <c r="N87" s="59">
        <v>24.2</v>
      </c>
      <c r="O87" s="59">
        <v>0</v>
      </c>
      <c r="P87" s="59">
        <v>2.63</v>
      </c>
      <c r="Q87" s="59">
        <v>46.65</v>
      </c>
      <c r="R87" s="197"/>
      <c r="S87" s="197"/>
      <c r="T87" s="197"/>
      <c r="U87" s="197"/>
    </row>
    <row r="88" spans="1:26" s="12" customFormat="1" x14ac:dyDescent="0.25">
      <c r="A88" s="200" t="s">
        <v>2150</v>
      </c>
      <c r="B88" s="59">
        <v>34.299999999999997</v>
      </c>
      <c r="C88" s="59">
        <v>115.05</v>
      </c>
      <c r="D88" s="59">
        <v>91</v>
      </c>
      <c r="E88" s="59">
        <v>2.81</v>
      </c>
      <c r="F88" s="59">
        <v>0.02</v>
      </c>
      <c r="G88" s="59">
        <v>113.01</v>
      </c>
      <c r="H88" s="59">
        <v>49.07</v>
      </c>
      <c r="I88" s="59">
        <v>0.71</v>
      </c>
      <c r="J88" s="59">
        <v>0.06</v>
      </c>
      <c r="K88" s="59">
        <v>61.56</v>
      </c>
      <c r="L88" s="59">
        <v>21.83</v>
      </c>
      <c r="M88" s="59">
        <v>39</v>
      </c>
      <c r="N88" s="59">
        <v>24.3</v>
      </c>
      <c r="O88" s="59">
        <v>0</v>
      </c>
      <c r="P88" s="59">
        <v>2.67</v>
      </c>
      <c r="Q88" s="59">
        <v>45.57</v>
      </c>
      <c r="R88" s="197"/>
      <c r="S88" s="197"/>
      <c r="T88" s="197"/>
      <c r="U88" s="197"/>
    </row>
    <row r="89" spans="1:26" s="12" customFormat="1" x14ac:dyDescent="0.25">
      <c r="A89" s="200" t="s">
        <v>2151</v>
      </c>
      <c r="B89" s="59">
        <v>34.07</v>
      </c>
      <c r="C89" s="59">
        <v>113.52</v>
      </c>
      <c r="D89" s="59">
        <v>89.98</v>
      </c>
      <c r="E89" s="59">
        <v>4.33</v>
      </c>
      <c r="F89" s="59">
        <v>0.22</v>
      </c>
      <c r="G89" s="59">
        <v>113.01</v>
      </c>
      <c r="H89" s="59">
        <v>49.07</v>
      </c>
      <c r="I89" s="59">
        <v>0.75</v>
      </c>
      <c r="J89" s="59">
        <v>0.09</v>
      </c>
      <c r="K89" s="59">
        <v>354.53</v>
      </c>
      <c r="L89" s="59">
        <v>21.42</v>
      </c>
      <c r="M89" s="59">
        <v>41</v>
      </c>
      <c r="N89" s="59">
        <v>24.3</v>
      </c>
      <c r="O89" s="59">
        <v>0</v>
      </c>
      <c r="P89" s="59">
        <v>2.68</v>
      </c>
      <c r="Q89" s="59">
        <v>45.05</v>
      </c>
      <c r="R89" s="197"/>
      <c r="S89" s="197"/>
      <c r="T89" s="197"/>
      <c r="U89" s="197"/>
    </row>
    <row r="90" spans="1:26" s="12" customFormat="1" x14ac:dyDescent="0.25">
      <c r="A90" s="200" t="s">
        <v>2152</v>
      </c>
      <c r="B90" s="59">
        <v>38.5</v>
      </c>
      <c r="C90" s="59">
        <v>113.43</v>
      </c>
      <c r="D90" s="59">
        <v>93.48</v>
      </c>
      <c r="E90" s="59">
        <v>5.14</v>
      </c>
      <c r="F90" s="59">
        <v>0.19</v>
      </c>
      <c r="G90" s="59">
        <v>113.57</v>
      </c>
      <c r="H90" s="59">
        <v>49.51</v>
      </c>
      <c r="I90" s="59">
        <v>0.77</v>
      </c>
      <c r="J90" s="59">
        <v>0.13</v>
      </c>
      <c r="K90" s="59">
        <v>316.66000000000003</v>
      </c>
      <c r="L90" s="59">
        <v>20.87</v>
      </c>
      <c r="M90" s="59">
        <v>44</v>
      </c>
      <c r="N90" s="59">
        <v>24.4</v>
      </c>
      <c r="O90" s="59">
        <v>0</v>
      </c>
      <c r="P90" s="59">
        <v>2.77</v>
      </c>
      <c r="Q90" s="59">
        <v>45.18</v>
      </c>
      <c r="R90" s="197"/>
      <c r="S90" s="197"/>
      <c r="T90" s="197"/>
      <c r="U90" s="197"/>
    </row>
    <row r="91" spans="1:26" s="12" customFormat="1" x14ac:dyDescent="0.25">
      <c r="A91" s="200" t="s">
        <v>2153</v>
      </c>
      <c r="B91" s="59">
        <v>41.91</v>
      </c>
      <c r="C91" s="59">
        <v>112.2</v>
      </c>
      <c r="D91" s="59">
        <v>95.53</v>
      </c>
      <c r="E91" s="59">
        <v>4.75</v>
      </c>
      <c r="F91" s="59">
        <v>0.26</v>
      </c>
      <c r="G91" s="59">
        <v>114.68</v>
      </c>
      <c r="H91" s="59">
        <v>50.12</v>
      </c>
      <c r="I91" s="59">
        <v>0.78</v>
      </c>
      <c r="J91" s="59">
        <v>0.15</v>
      </c>
      <c r="K91" s="59">
        <v>297.47000000000003</v>
      </c>
      <c r="L91" s="59">
        <v>20.45</v>
      </c>
      <c r="M91" s="59">
        <v>46</v>
      </c>
      <c r="N91" s="59">
        <v>24.4</v>
      </c>
      <c r="O91" s="59">
        <v>0</v>
      </c>
      <c r="P91" s="59">
        <v>2.83</v>
      </c>
      <c r="Q91" s="59">
        <v>45.5</v>
      </c>
      <c r="R91" s="197"/>
      <c r="S91" s="197"/>
      <c r="T91" s="197"/>
      <c r="U91" s="197"/>
    </row>
    <row r="92" spans="1:26" s="12" customFormat="1" x14ac:dyDescent="0.25">
      <c r="A92" s="200" t="s">
        <v>2154</v>
      </c>
      <c r="B92" s="59">
        <v>46.06</v>
      </c>
      <c r="C92" s="59">
        <v>113.89</v>
      </c>
      <c r="D92" s="59">
        <v>99.79</v>
      </c>
      <c r="E92" s="59">
        <v>4.63</v>
      </c>
      <c r="F92" s="59">
        <v>0.26</v>
      </c>
      <c r="G92" s="59">
        <v>114.68</v>
      </c>
      <c r="H92" s="59">
        <v>50.12</v>
      </c>
      <c r="I92" s="59">
        <v>0.83</v>
      </c>
      <c r="J92" s="59">
        <v>0.1</v>
      </c>
      <c r="K92" s="59">
        <v>316.05</v>
      </c>
      <c r="L92" s="59">
        <v>20.309999999999999</v>
      </c>
      <c r="M92" s="59">
        <v>48</v>
      </c>
      <c r="N92" s="59">
        <v>24.4</v>
      </c>
      <c r="O92" s="59">
        <v>0</v>
      </c>
      <c r="P92" s="59">
        <v>2.91</v>
      </c>
      <c r="Q92" s="59">
        <v>46.04</v>
      </c>
      <c r="R92" s="197"/>
      <c r="S92" s="197"/>
      <c r="T92" s="197"/>
      <c r="U92" s="197"/>
    </row>
    <row r="93" spans="1:26" s="12" customFormat="1" x14ac:dyDescent="0.25">
      <c r="A93" s="200" t="s">
        <v>2155</v>
      </c>
      <c r="B93" s="59">
        <v>50.54</v>
      </c>
      <c r="C93" s="59">
        <v>112.52</v>
      </c>
      <c r="D93" s="59">
        <v>102.63</v>
      </c>
      <c r="E93" s="59">
        <v>5.0599999999999996</v>
      </c>
      <c r="F93" s="59">
        <v>7.0000000000000007E-2</v>
      </c>
      <c r="G93" s="59">
        <v>114.68</v>
      </c>
      <c r="H93" s="59">
        <v>50.12</v>
      </c>
      <c r="I93" s="59">
        <v>0.87</v>
      </c>
      <c r="J93" s="59">
        <v>0.14000000000000001</v>
      </c>
      <c r="K93" s="59">
        <v>323.64999999999998</v>
      </c>
      <c r="L93" s="59">
        <v>19.78</v>
      </c>
      <c r="M93" s="59">
        <v>51</v>
      </c>
      <c r="N93" s="59">
        <v>24.4</v>
      </c>
      <c r="O93" s="59">
        <v>0</v>
      </c>
      <c r="P93" s="59">
        <v>3.03</v>
      </c>
      <c r="Q93" s="59">
        <v>46.58</v>
      </c>
      <c r="R93" s="197"/>
      <c r="S93" s="197"/>
      <c r="T93" s="197"/>
      <c r="U93" s="197"/>
    </row>
    <row r="94" spans="1:26" s="12" customFormat="1" x14ac:dyDescent="0.25">
      <c r="A94" s="200" t="s">
        <v>2156</v>
      </c>
      <c r="B94" s="59">
        <v>60.25</v>
      </c>
      <c r="C94" s="59">
        <v>114.95</v>
      </c>
      <c r="D94" s="59">
        <v>111.75</v>
      </c>
      <c r="E94" s="59">
        <v>5.19</v>
      </c>
      <c r="F94" s="59">
        <v>0.86</v>
      </c>
      <c r="G94" s="59">
        <v>124.81</v>
      </c>
      <c r="H94" s="59">
        <v>53.91</v>
      </c>
      <c r="I94" s="59">
        <v>0.9</v>
      </c>
      <c r="J94" s="59">
        <v>0.14000000000000001</v>
      </c>
      <c r="K94" s="59">
        <v>10.53</v>
      </c>
      <c r="L94" s="59">
        <v>19.34</v>
      </c>
      <c r="M94" s="59">
        <v>55</v>
      </c>
      <c r="N94" s="59">
        <v>24.5</v>
      </c>
      <c r="O94" s="59">
        <v>0</v>
      </c>
      <c r="P94" s="59">
        <v>3.13</v>
      </c>
      <c r="Q94" s="59">
        <v>47.21</v>
      </c>
      <c r="R94" s="197"/>
      <c r="S94" s="197"/>
      <c r="T94" s="197"/>
      <c r="U94" s="197"/>
    </row>
    <row r="95" spans="1:26" s="12" customFormat="1" x14ac:dyDescent="0.25">
      <c r="A95" s="200" t="s">
        <v>2157</v>
      </c>
      <c r="B95" s="59">
        <v>69.39</v>
      </c>
      <c r="C95" s="59">
        <v>118.87</v>
      </c>
      <c r="D95" s="59">
        <v>121.25</v>
      </c>
      <c r="E95" s="59">
        <v>5.0999999999999996</v>
      </c>
      <c r="F95" s="59">
        <v>1.1100000000000001</v>
      </c>
      <c r="G95" s="59">
        <v>132.54</v>
      </c>
      <c r="H95" s="59">
        <v>59.08</v>
      </c>
      <c r="I95" s="59">
        <v>0.94</v>
      </c>
      <c r="J95" s="59">
        <v>0.11</v>
      </c>
      <c r="K95" s="59">
        <v>300.13</v>
      </c>
      <c r="L95" s="59">
        <v>19.13</v>
      </c>
      <c r="M95" s="59">
        <v>54</v>
      </c>
      <c r="N95" s="59">
        <v>24.2</v>
      </c>
      <c r="O95" s="59">
        <v>0</v>
      </c>
      <c r="P95" s="59">
        <v>3.26</v>
      </c>
      <c r="Q95" s="59">
        <v>48.67</v>
      </c>
      <c r="R95" s="197"/>
      <c r="S95" s="197"/>
      <c r="T95" s="197"/>
      <c r="U95" s="197"/>
    </row>
    <row r="96" spans="1:26" s="12" customFormat="1" x14ac:dyDescent="0.25">
      <c r="A96" s="200" t="s">
        <v>2158</v>
      </c>
      <c r="B96" s="59">
        <v>79.53</v>
      </c>
      <c r="C96" s="59">
        <v>121.21</v>
      </c>
      <c r="D96" s="59">
        <v>130.66999999999999</v>
      </c>
      <c r="E96" s="59">
        <v>5.39</v>
      </c>
      <c r="F96" s="59">
        <v>0.33</v>
      </c>
      <c r="G96" s="59">
        <v>132.54</v>
      </c>
      <c r="H96" s="59">
        <v>59.08</v>
      </c>
      <c r="I96" s="59">
        <v>0.99</v>
      </c>
      <c r="J96" s="59">
        <v>0.2</v>
      </c>
      <c r="K96" s="59">
        <v>7.01</v>
      </c>
      <c r="L96" s="59">
        <v>18.86</v>
      </c>
      <c r="M96" s="59">
        <v>60</v>
      </c>
      <c r="N96" s="59">
        <v>24.2</v>
      </c>
      <c r="O96" s="59">
        <v>0</v>
      </c>
      <c r="P96" s="59">
        <v>3.4</v>
      </c>
      <c r="Q96" s="59">
        <v>50.46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2159</v>
      </c>
      <c r="B97" s="59">
        <v>102.78</v>
      </c>
      <c r="C97" s="59">
        <v>130.27000000000001</v>
      </c>
      <c r="D97" s="59">
        <v>154.32</v>
      </c>
      <c r="E97" s="59">
        <v>5.03</v>
      </c>
      <c r="F97" s="59">
        <v>0.08</v>
      </c>
      <c r="G97" s="59">
        <v>132.54</v>
      </c>
      <c r="H97" s="59">
        <v>59.08</v>
      </c>
      <c r="I97" s="59">
        <v>1.05</v>
      </c>
      <c r="J97" s="59">
        <v>0.09</v>
      </c>
      <c r="K97" s="59">
        <v>313.58999999999997</v>
      </c>
      <c r="L97" s="59">
        <v>18.52</v>
      </c>
      <c r="M97" s="59">
        <v>61</v>
      </c>
      <c r="N97" s="59">
        <v>24.4</v>
      </c>
      <c r="O97" s="59">
        <v>0</v>
      </c>
      <c r="P97" s="59">
        <v>3.69</v>
      </c>
      <c r="Q97" s="59">
        <v>51.85</v>
      </c>
      <c r="R97" s="197"/>
      <c r="S97" s="197"/>
      <c r="T97" s="197"/>
      <c r="U97" s="197"/>
    </row>
    <row r="98" spans="1:33" s="12" customFormat="1" x14ac:dyDescent="0.25">
      <c r="A98" s="200" t="s">
        <v>2160</v>
      </c>
      <c r="B98" s="59">
        <v>122.62</v>
      </c>
      <c r="C98" s="59">
        <v>138.02000000000001</v>
      </c>
      <c r="D98" s="59">
        <v>174.51</v>
      </c>
      <c r="E98" s="59">
        <v>5.31</v>
      </c>
      <c r="F98" s="59">
        <v>0.18</v>
      </c>
      <c r="G98" s="59">
        <v>199.11</v>
      </c>
      <c r="H98" s="59">
        <v>65.959999999999994</v>
      </c>
      <c r="I98" s="59">
        <v>1.21</v>
      </c>
      <c r="J98" s="59">
        <v>0.11</v>
      </c>
      <c r="K98" s="59">
        <v>316.52</v>
      </c>
      <c r="L98" s="59">
        <v>18.260000000000002</v>
      </c>
      <c r="M98" s="59">
        <v>62</v>
      </c>
      <c r="N98" s="59">
        <v>24.3</v>
      </c>
      <c r="O98" s="59">
        <v>0</v>
      </c>
      <c r="P98" s="59">
        <v>3.91</v>
      </c>
      <c r="Q98" s="59">
        <v>52.77</v>
      </c>
      <c r="R98" s="197"/>
      <c r="S98" s="197"/>
      <c r="T98" s="197"/>
      <c r="U98" s="197"/>
    </row>
    <row r="99" spans="1:33" s="12" customFormat="1" x14ac:dyDescent="0.25">
      <c r="A99" s="200" t="s">
        <v>2161</v>
      </c>
      <c r="B99" s="59">
        <v>145.33000000000001</v>
      </c>
      <c r="C99" s="59">
        <v>146.72</v>
      </c>
      <c r="D99" s="59">
        <v>197.51</v>
      </c>
      <c r="E99" s="59">
        <v>5.73</v>
      </c>
      <c r="F99" s="59">
        <v>0.04</v>
      </c>
      <c r="G99" s="59">
        <v>248.17</v>
      </c>
      <c r="H99" s="59">
        <v>74.959999999999994</v>
      </c>
      <c r="I99" s="59">
        <v>1.29</v>
      </c>
      <c r="J99" s="59">
        <v>0.16</v>
      </c>
      <c r="K99" s="59">
        <v>359.36</v>
      </c>
      <c r="L99" s="59">
        <v>18.100000000000001</v>
      </c>
      <c r="M99" s="59">
        <v>66</v>
      </c>
      <c r="N99" s="59">
        <v>24.2</v>
      </c>
      <c r="O99" s="59">
        <v>0</v>
      </c>
      <c r="P99" s="59">
        <v>4.0999999999999996</v>
      </c>
      <c r="Q99" s="59">
        <v>53.89</v>
      </c>
      <c r="R99" s="197"/>
      <c r="S99" s="197"/>
      <c r="T99" s="197"/>
      <c r="U99" s="197"/>
    </row>
    <row r="100" spans="1:33" s="12" customFormat="1" x14ac:dyDescent="0.25">
      <c r="A100" s="200" t="s">
        <v>2162</v>
      </c>
      <c r="B100" s="59">
        <v>166.38</v>
      </c>
      <c r="C100" s="59">
        <v>154.78</v>
      </c>
      <c r="D100" s="59">
        <v>218.85</v>
      </c>
      <c r="E100" s="59">
        <v>5.73</v>
      </c>
      <c r="F100" s="59">
        <v>0.02</v>
      </c>
      <c r="G100" s="59">
        <v>248.17</v>
      </c>
      <c r="H100" s="59">
        <v>74.959999999999994</v>
      </c>
      <c r="I100" s="59">
        <v>1.27</v>
      </c>
      <c r="J100" s="59">
        <v>0.14000000000000001</v>
      </c>
      <c r="K100" s="59">
        <v>295.7</v>
      </c>
      <c r="L100" s="59">
        <v>18.2</v>
      </c>
      <c r="M100" s="59">
        <v>62</v>
      </c>
      <c r="N100" s="59">
        <v>23.9</v>
      </c>
      <c r="O100" s="59">
        <v>0</v>
      </c>
      <c r="P100" s="59">
        <v>4.3099999999999996</v>
      </c>
      <c r="Q100" s="59">
        <v>55.25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2163</v>
      </c>
      <c r="B101" s="59">
        <v>173.07</v>
      </c>
      <c r="C101" s="59">
        <v>156.93</v>
      </c>
      <c r="D101" s="59">
        <v>225.39</v>
      </c>
      <c r="E101" s="59">
        <v>6.17</v>
      </c>
      <c r="F101" s="59">
        <v>0.1</v>
      </c>
      <c r="G101" s="59">
        <v>248.17</v>
      </c>
      <c r="H101" s="59">
        <v>74.959999999999994</v>
      </c>
      <c r="I101" s="59">
        <v>1.49</v>
      </c>
      <c r="J101" s="59">
        <v>0.14000000000000001</v>
      </c>
      <c r="K101" s="59">
        <v>341.14</v>
      </c>
      <c r="L101" s="59">
        <v>18.260000000000002</v>
      </c>
      <c r="M101" s="59">
        <v>63</v>
      </c>
      <c r="N101" s="59">
        <v>24.2</v>
      </c>
      <c r="O101" s="59">
        <v>0</v>
      </c>
      <c r="P101" s="59">
        <v>4.32</v>
      </c>
      <c r="Q101" s="59">
        <v>55.71</v>
      </c>
      <c r="R101" s="197"/>
      <c r="S101" s="197"/>
      <c r="T101" s="197"/>
      <c r="U101" s="197"/>
    </row>
    <row r="102" spans="1:33" s="12" customFormat="1" x14ac:dyDescent="0.25">
      <c r="A102" s="200" t="s">
        <v>2164</v>
      </c>
      <c r="B102" s="59">
        <v>173.35</v>
      </c>
      <c r="C102" s="59">
        <v>156.16999999999999</v>
      </c>
      <c r="D102" s="59">
        <v>225.2</v>
      </c>
      <c r="E102" s="59">
        <v>6.39</v>
      </c>
      <c r="F102" s="59">
        <v>0.4</v>
      </c>
      <c r="G102" s="59">
        <v>213.1</v>
      </c>
      <c r="H102" s="59">
        <v>74.989999999999995</v>
      </c>
      <c r="I102" s="59">
        <v>1.54</v>
      </c>
      <c r="J102" s="59">
        <v>0.3</v>
      </c>
      <c r="K102" s="59">
        <v>221.29</v>
      </c>
      <c r="L102" s="59">
        <v>18.260000000000002</v>
      </c>
      <c r="M102" s="59">
        <v>60</v>
      </c>
      <c r="N102" s="59">
        <v>23.1</v>
      </c>
      <c r="O102" s="59">
        <v>0</v>
      </c>
      <c r="P102" s="59">
        <v>4.3099999999999996</v>
      </c>
      <c r="Q102" s="59">
        <v>55.08</v>
      </c>
      <c r="R102" s="197"/>
      <c r="S102" s="197"/>
      <c r="T102" s="197"/>
      <c r="U102" s="197"/>
    </row>
    <row r="103" spans="1:33" s="12" customFormat="1" x14ac:dyDescent="0.25">
      <c r="A103" s="200" t="s">
        <v>2165</v>
      </c>
      <c r="B103" s="59">
        <v>167.66</v>
      </c>
      <c r="C103" s="59">
        <v>153</v>
      </c>
      <c r="D103" s="59">
        <v>218.88</v>
      </c>
      <c r="E103" s="59">
        <v>6.06</v>
      </c>
      <c r="F103" s="59">
        <v>0.77</v>
      </c>
      <c r="G103" s="59">
        <v>187.27</v>
      </c>
      <c r="H103" s="59">
        <v>75.03</v>
      </c>
      <c r="I103" s="59">
        <v>1.54</v>
      </c>
      <c r="J103" s="59">
        <v>0.12</v>
      </c>
      <c r="K103" s="59">
        <v>252.07</v>
      </c>
      <c r="L103" s="59">
        <v>18.57</v>
      </c>
      <c r="M103" s="59">
        <v>59</v>
      </c>
      <c r="N103" s="59">
        <v>24.1</v>
      </c>
      <c r="O103" s="59">
        <v>0</v>
      </c>
      <c r="P103" s="59">
        <v>4.2300000000000004</v>
      </c>
      <c r="Q103" s="59">
        <v>54.22</v>
      </c>
      <c r="R103" s="197"/>
      <c r="S103" s="197"/>
      <c r="T103" s="197"/>
      <c r="U103" s="197"/>
    </row>
    <row r="104" spans="1:33" s="12" customFormat="1" x14ac:dyDescent="0.25">
      <c r="A104" s="200" t="s">
        <v>2166</v>
      </c>
      <c r="B104" s="59">
        <v>163.22</v>
      </c>
      <c r="C104" s="59">
        <v>147.35</v>
      </c>
      <c r="D104" s="59">
        <v>212.21</v>
      </c>
      <c r="E104" s="59">
        <v>2.85</v>
      </c>
      <c r="F104" s="59">
        <v>0.37</v>
      </c>
      <c r="G104" s="59">
        <v>187.27</v>
      </c>
      <c r="H104" s="59">
        <v>75.03</v>
      </c>
      <c r="I104" s="59">
        <v>1.52</v>
      </c>
      <c r="J104" s="59">
        <v>0.22</v>
      </c>
      <c r="K104" s="59">
        <v>1.46</v>
      </c>
      <c r="L104" s="59">
        <v>17.600000000000001</v>
      </c>
      <c r="M104" s="59">
        <v>65</v>
      </c>
      <c r="N104" s="59">
        <v>24.6</v>
      </c>
      <c r="O104" s="59">
        <v>0</v>
      </c>
      <c r="P104" s="59">
        <v>4.1399999999999997</v>
      </c>
      <c r="Q104" s="59">
        <v>53.58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2.9</v>
      </c>
      <c r="C106" s="66">
        <f>MIN(C9:C104)</f>
        <v>92.5</v>
      </c>
      <c r="D106" s="66">
        <f t="shared" ref="D106:Q106" si="0">MIN(D9:D104)</f>
        <v>53.62</v>
      </c>
      <c r="E106" s="66">
        <f t="shared" si="0"/>
        <v>2.58</v>
      </c>
      <c r="F106" s="66">
        <f t="shared" si="0"/>
        <v>0</v>
      </c>
      <c r="G106" s="66">
        <f t="shared" si="0"/>
        <v>95.07</v>
      </c>
      <c r="H106" s="66">
        <f t="shared" si="0"/>
        <v>40.020000000000003</v>
      </c>
      <c r="I106" s="66">
        <f t="shared" si="0"/>
        <v>0.35</v>
      </c>
      <c r="J106" s="66">
        <f t="shared" si="0"/>
        <v>0.04</v>
      </c>
      <c r="K106" s="66">
        <f t="shared" si="0"/>
        <v>0.53</v>
      </c>
      <c r="L106" s="66">
        <f t="shared" si="0"/>
        <v>13.79</v>
      </c>
      <c r="M106" s="66">
        <f t="shared" si="0"/>
        <v>17</v>
      </c>
      <c r="N106" s="66">
        <f t="shared" si="0"/>
        <v>23.1</v>
      </c>
      <c r="O106" s="66">
        <f t="shared" si="0"/>
        <v>0</v>
      </c>
      <c r="P106" s="66">
        <f t="shared" si="0"/>
        <v>1.63</v>
      </c>
      <c r="Q106" s="66">
        <f t="shared" si="0"/>
        <v>42.06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207.76</v>
      </c>
      <c r="C107" s="65">
        <f t="shared" ref="C107:Q107" si="1">MAX(C9:C104)</f>
        <v>162.44</v>
      </c>
      <c r="D107" s="65">
        <f t="shared" si="1"/>
        <v>256.26</v>
      </c>
      <c r="E107" s="65">
        <f t="shared" si="1"/>
        <v>15.38</v>
      </c>
      <c r="F107" s="65">
        <f t="shared" si="1"/>
        <v>11.16</v>
      </c>
      <c r="G107" s="65">
        <f t="shared" si="1"/>
        <v>248.17</v>
      </c>
      <c r="H107" s="65">
        <f t="shared" si="1"/>
        <v>101.02</v>
      </c>
      <c r="I107" s="65">
        <f t="shared" si="1"/>
        <v>1.78</v>
      </c>
      <c r="J107" s="65">
        <f t="shared" si="1"/>
        <v>0.97</v>
      </c>
      <c r="K107" s="65">
        <f t="shared" si="1"/>
        <v>359.36</v>
      </c>
      <c r="L107" s="65">
        <f t="shared" si="1"/>
        <v>32.78</v>
      </c>
      <c r="M107" s="65">
        <f t="shared" si="1"/>
        <v>84</v>
      </c>
      <c r="N107" s="65">
        <f t="shared" si="1"/>
        <v>408.6</v>
      </c>
      <c r="O107" s="65">
        <f t="shared" si="1"/>
        <v>0</v>
      </c>
      <c r="P107" s="65">
        <f t="shared" si="1"/>
        <v>4.92</v>
      </c>
      <c r="Q107" s="65">
        <f t="shared" si="1"/>
        <v>55.71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72.052187500000002</v>
      </c>
      <c r="C108" s="66">
        <f t="shared" ref="C108:Q108" si="2">AVERAGE(C9:C104)</f>
        <v>114.38031250000002</v>
      </c>
      <c r="D108" s="66">
        <f t="shared" si="2"/>
        <v>120.90499999999993</v>
      </c>
      <c r="E108" s="66">
        <f t="shared" si="2"/>
        <v>6.330520833333332</v>
      </c>
      <c r="F108" s="66">
        <f t="shared" si="2"/>
        <v>1.3489583333333333</v>
      </c>
      <c r="G108" s="66">
        <f t="shared" si="2"/>
        <v>140.09479166666674</v>
      </c>
      <c r="H108" s="66">
        <f t="shared" si="2"/>
        <v>66.330520833333324</v>
      </c>
      <c r="I108" s="66">
        <f t="shared" si="2"/>
        <v>0.77635416666666657</v>
      </c>
      <c r="J108" s="66">
        <f t="shared" si="2"/>
        <v>0.27343750000000011</v>
      </c>
      <c r="K108" s="66">
        <f t="shared" si="2"/>
        <v>168.42072916666669</v>
      </c>
      <c r="L108" s="66">
        <f t="shared" si="2"/>
        <v>21.810104166666665</v>
      </c>
      <c r="M108" s="66">
        <f t="shared" si="2"/>
        <v>50.520833333333336</v>
      </c>
      <c r="N108" s="66">
        <f t="shared" si="2"/>
        <v>118.36562500000004</v>
      </c>
      <c r="O108" s="66">
        <f t="shared" si="2"/>
        <v>0</v>
      </c>
      <c r="P108" s="66">
        <f t="shared" si="2"/>
        <v>2.5626041666666661</v>
      </c>
      <c r="Q108" s="66">
        <f t="shared" si="2"/>
        <v>46.474166666666683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57.859958506054646</v>
      </c>
      <c r="C109" s="66">
        <f t="shared" ref="C109:Q109" si="3">STDEV(C9:C104)</f>
        <v>16.772451689922399</v>
      </c>
      <c r="D109" s="66">
        <f t="shared" si="3"/>
        <v>53.312579832728723</v>
      </c>
      <c r="E109" s="66">
        <f t="shared" si="3"/>
        <v>2.2643360220192701</v>
      </c>
      <c r="F109" s="66">
        <f t="shared" si="3"/>
        <v>2.092395494047139</v>
      </c>
      <c r="G109" s="66">
        <f t="shared" si="3"/>
        <v>40.353190286171035</v>
      </c>
      <c r="H109" s="66">
        <f t="shared" si="3"/>
        <v>17.088214674989004</v>
      </c>
      <c r="I109" s="66">
        <f t="shared" si="3"/>
        <v>0.37518309857473658</v>
      </c>
      <c r="J109" s="66">
        <f t="shared" si="3"/>
        <v>0.22956172487223503</v>
      </c>
      <c r="K109" s="66">
        <f t="shared" si="3"/>
        <v>128.84641339488607</v>
      </c>
      <c r="L109" s="66">
        <f t="shared" si="3"/>
        <v>6.4427317669304083</v>
      </c>
      <c r="M109" s="66">
        <f t="shared" si="3"/>
        <v>22.291362106461857</v>
      </c>
      <c r="N109" s="66">
        <f t="shared" si="3"/>
        <v>136.40266769124963</v>
      </c>
      <c r="O109" s="66">
        <f t="shared" si="3"/>
        <v>0</v>
      </c>
      <c r="P109" s="66">
        <f t="shared" si="3"/>
        <v>0.87068181969095504</v>
      </c>
      <c r="Q109" s="66">
        <f t="shared" si="3"/>
        <v>3.4976947796984552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G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 t="shared" ref="H110:Q110" si="5">COUNT(H9:H104)</f>
        <v>96</v>
      </c>
      <c r="I110" s="65">
        <f t="shared" si="5"/>
        <v>96</v>
      </c>
      <c r="J110" s="65">
        <f t="shared" si="5"/>
        <v>96</v>
      </c>
      <c r="K110" s="65">
        <f t="shared" si="5"/>
        <v>96</v>
      </c>
      <c r="L110" s="65">
        <f t="shared" si="5"/>
        <v>96</v>
      </c>
      <c r="M110" s="65">
        <f t="shared" si="5"/>
        <v>96</v>
      </c>
      <c r="N110" s="65">
        <f t="shared" si="5"/>
        <v>96</v>
      </c>
      <c r="O110" s="65">
        <f t="shared" si="5"/>
        <v>96</v>
      </c>
      <c r="P110" s="65">
        <f t="shared" si="5"/>
        <v>96</v>
      </c>
      <c r="Q110" s="65">
        <f t="shared" si="5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21-12-2022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2167</v>
      </c>
      <c r="B9" s="59">
        <v>160.83000000000001</v>
      </c>
      <c r="C9" s="59">
        <v>144.65</v>
      </c>
      <c r="D9" s="59">
        <v>208.8</v>
      </c>
      <c r="E9" s="59">
        <v>5.2</v>
      </c>
      <c r="F9" s="59">
        <v>0.02</v>
      </c>
      <c r="G9" s="59">
        <v>187.27</v>
      </c>
      <c r="H9" s="59">
        <v>75.03</v>
      </c>
      <c r="I9" s="59">
        <v>1.5</v>
      </c>
      <c r="J9" s="59">
        <v>7.0000000000000007E-2</v>
      </c>
      <c r="K9" s="59">
        <v>306.64</v>
      </c>
      <c r="L9" s="59">
        <v>17</v>
      </c>
      <c r="M9" s="59">
        <v>68</v>
      </c>
      <c r="N9" s="59">
        <v>24.5</v>
      </c>
      <c r="O9" s="59">
        <v>0</v>
      </c>
      <c r="P9" s="59">
        <v>4.08</v>
      </c>
      <c r="Q9" s="59">
        <v>53.15</v>
      </c>
      <c r="R9" s="197"/>
      <c r="S9" s="197"/>
      <c r="T9" s="197"/>
      <c r="U9" s="197"/>
    </row>
    <row r="10" spans="1:21" s="12" customFormat="1" x14ac:dyDescent="0.25">
      <c r="A10" s="200" t="s">
        <v>2168</v>
      </c>
      <c r="B10" s="59">
        <v>156.87</v>
      </c>
      <c r="C10" s="59">
        <v>141.02000000000001</v>
      </c>
      <c r="D10" s="59">
        <v>203.63</v>
      </c>
      <c r="E10" s="59">
        <v>5.16</v>
      </c>
      <c r="F10" s="59">
        <v>0.53</v>
      </c>
      <c r="G10" s="59">
        <v>172.03</v>
      </c>
      <c r="H10" s="59">
        <v>72.930000000000007</v>
      </c>
      <c r="I10" s="59">
        <v>1.46</v>
      </c>
      <c r="J10" s="59">
        <v>0.13</v>
      </c>
      <c r="K10" s="59">
        <v>326.77</v>
      </c>
      <c r="L10" s="59">
        <v>16.88</v>
      </c>
      <c r="M10" s="59">
        <v>68</v>
      </c>
      <c r="N10" s="59">
        <v>24.3</v>
      </c>
      <c r="O10" s="59">
        <v>0</v>
      </c>
      <c r="P10" s="59">
        <v>4</v>
      </c>
      <c r="Q10" s="59">
        <v>52.61</v>
      </c>
      <c r="R10" s="197"/>
      <c r="S10" s="197"/>
      <c r="T10" s="197"/>
      <c r="U10" s="197"/>
    </row>
    <row r="11" spans="1:21" s="12" customFormat="1" x14ac:dyDescent="0.25">
      <c r="A11" s="200" t="s">
        <v>2169</v>
      </c>
      <c r="B11" s="59">
        <v>152.44999999999999</v>
      </c>
      <c r="C11" s="59">
        <v>137.02000000000001</v>
      </c>
      <c r="D11" s="59">
        <v>197.87</v>
      </c>
      <c r="E11" s="59">
        <v>5.18</v>
      </c>
      <c r="F11" s="59">
        <v>0.24</v>
      </c>
      <c r="G11" s="59">
        <v>141.54</v>
      </c>
      <c r="H11" s="59">
        <v>70.19</v>
      </c>
      <c r="I11" s="59">
        <v>1.33</v>
      </c>
      <c r="J11" s="59">
        <v>0.1</v>
      </c>
      <c r="K11" s="59">
        <v>337.17</v>
      </c>
      <c r="L11" s="59">
        <v>16.690000000000001</v>
      </c>
      <c r="M11" s="59">
        <v>70</v>
      </c>
      <c r="N11" s="59">
        <v>24.3</v>
      </c>
      <c r="O11" s="59">
        <v>0</v>
      </c>
      <c r="P11" s="59">
        <v>3.91</v>
      </c>
      <c r="Q11" s="59">
        <v>52.22</v>
      </c>
      <c r="R11" s="197"/>
      <c r="S11" s="197"/>
      <c r="T11" s="197"/>
      <c r="U11" s="197"/>
    </row>
    <row r="12" spans="1:21" s="12" customFormat="1" x14ac:dyDescent="0.25">
      <c r="A12" s="200" t="s">
        <v>2170</v>
      </c>
      <c r="B12" s="59">
        <v>147.03</v>
      </c>
      <c r="C12" s="59">
        <v>132.88999999999999</v>
      </c>
      <c r="D12" s="59">
        <v>191.25</v>
      </c>
      <c r="E12" s="59">
        <v>5.31</v>
      </c>
      <c r="F12" s="59">
        <v>0.13</v>
      </c>
      <c r="G12" s="59">
        <v>141.54</v>
      </c>
      <c r="H12" s="59">
        <v>70.19</v>
      </c>
      <c r="I12" s="59">
        <v>1.43</v>
      </c>
      <c r="J12" s="59">
        <v>0.12</v>
      </c>
      <c r="K12" s="59">
        <v>338.47</v>
      </c>
      <c r="L12" s="59">
        <v>16.43</v>
      </c>
      <c r="M12" s="59">
        <v>71</v>
      </c>
      <c r="N12" s="59">
        <v>24.3</v>
      </c>
      <c r="O12" s="59">
        <v>0</v>
      </c>
      <c r="P12" s="59">
        <v>3.81</v>
      </c>
      <c r="Q12" s="59">
        <v>51.98</v>
      </c>
      <c r="R12" s="197"/>
      <c r="S12" s="197"/>
      <c r="T12" s="197"/>
      <c r="U12" s="197"/>
    </row>
    <row r="13" spans="1:21" s="12" customFormat="1" x14ac:dyDescent="0.25">
      <c r="A13" s="200" t="s">
        <v>2171</v>
      </c>
      <c r="B13" s="59">
        <v>141.62</v>
      </c>
      <c r="C13" s="59">
        <v>129.51</v>
      </c>
      <c r="D13" s="59">
        <v>185.04</v>
      </c>
      <c r="E13" s="59">
        <v>4.9800000000000004</v>
      </c>
      <c r="F13" s="59">
        <v>0.14000000000000001</v>
      </c>
      <c r="G13" s="59">
        <v>141.54</v>
      </c>
      <c r="H13" s="59">
        <v>70.19</v>
      </c>
      <c r="I13" s="59">
        <v>1.41</v>
      </c>
      <c r="J13" s="59">
        <v>0.19</v>
      </c>
      <c r="K13" s="59">
        <v>3.55</v>
      </c>
      <c r="L13" s="59">
        <v>16.25</v>
      </c>
      <c r="M13" s="59">
        <v>73</v>
      </c>
      <c r="N13" s="59">
        <v>24.1</v>
      </c>
      <c r="O13" s="59">
        <v>0</v>
      </c>
      <c r="P13" s="59">
        <v>3.48</v>
      </c>
      <c r="Q13" s="59">
        <v>51.87</v>
      </c>
      <c r="R13" s="197"/>
      <c r="S13" s="197"/>
      <c r="T13" s="197"/>
      <c r="U13" s="197"/>
    </row>
    <row r="14" spans="1:21" s="12" customFormat="1" x14ac:dyDescent="0.25">
      <c r="A14" s="200" t="s">
        <v>2172</v>
      </c>
      <c r="B14" s="59">
        <v>136.66</v>
      </c>
      <c r="C14" s="59">
        <v>126.27</v>
      </c>
      <c r="D14" s="59">
        <v>179.28</v>
      </c>
      <c r="E14" s="59">
        <v>4.96</v>
      </c>
      <c r="F14" s="59">
        <v>0.08</v>
      </c>
      <c r="G14" s="59">
        <v>148.35</v>
      </c>
      <c r="H14" s="59">
        <v>70.08</v>
      </c>
      <c r="I14" s="59">
        <v>1.26</v>
      </c>
      <c r="J14" s="59">
        <v>7.0000000000000007E-2</v>
      </c>
      <c r="K14" s="59">
        <v>350.38</v>
      </c>
      <c r="L14" s="59">
        <v>16.36</v>
      </c>
      <c r="M14" s="59">
        <v>73</v>
      </c>
      <c r="N14" s="59">
        <v>24</v>
      </c>
      <c r="O14" s="59">
        <v>0</v>
      </c>
      <c r="P14" s="59">
        <v>3.55</v>
      </c>
      <c r="Q14" s="59">
        <v>52.41</v>
      </c>
      <c r="R14" s="197"/>
      <c r="S14" s="197"/>
      <c r="T14" s="197"/>
      <c r="U14" s="197"/>
    </row>
    <row r="15" spans="1:21" s="12" customFormat="1" x14ac:dyDescent="0.25">
      <c r="A15" s="200" t="s">
        <v>2173</v>
      </c>
      <c r="B15" s="59">
        <v>130.55000000000001</v>
      </c>
      <c r="C15" s="59">
        <v>123.49</v>
      </c>
      <c r="D15" s="59">
        <v>172.85</v>
      </c>
      <c r="E15" s="59">
        <v>4.78</v>
      </c>
      <c r="F15" s="59">
        <v>0.94</v>
      </c>
      <c r="G15" s="59">
        <v>153.54</v>
      </c>
      <c r="H15" s="59">
        <v>69.92</v>
      </c>
      <c r="I15" s="59">
        <v>1.23</v>
      </c>
      <c r="J15" s="59">
        <v>0.12</v>
      </c>
      <c r="K15" s="59">
        <v>359.34</v>
      </c>
      <c r="L15" s="59">
        <v>17</v>
      </c>
      <c r="M15" s="59">
        <v>70</v>
      </c>
      <c r="N15" s="59">
        <v>23.5</v>
      </c>
      <c r="O15" s="59">
        <v>0</v>
      </c>
      <c r="P15" s="59">
        <v>3.46</v>
      </c>
      <c r="Q15" s="59">
        <v>51.71</v>
      </c>
      <c r="R15" s="197"/>
      <c r="S15" s="197"/>
      <c r="T15" s="197"/>
      <c r="U15" s="197"/>
    </row>
    <row r="16" spans="1:21" s="12" customFormat="1" x14ac:dyDescent="0.25">
      <c r="A16" s="200" t="s">
        <v>2174</v>
      </c>
      <c r="B16" s="59">
        <v>123.04</v>
      </c>
      <c r="C16" s="59">
        <v>120.98</v>
      </c>
      <c r="D16" s="59">
        <v>165.44</v>
      </c>
      <c r="E16" s="59">
        <v>5.03</v>
      </c>
      <c r="F16" s="59">
        <v>1.68</v>
      </c>
      <c r="G16" s="59">
        <v>153.54</v>
      </c>
      <c r="H16" s="59">
        <v>69.92</v>
      </c>
      <c r="I16" s="59">
        <v>1.2</v>
      </c>
      <c r="J16" s="59">
        <v>7.0000000000000007E-2</v>
      </c>
      <c r="K16" s="59">
        <v>276.07</v>
      </c>
      <c r="L16" s="59">
        <v>16.88</v>
      </c>
      <c r="M16" s="59">
        <v>67</v>
      </c>
      <c r="N16" s="59">
        <v>24.2</v>
      </c>
      <c r="O16" s="59">
        <v>0</v>
      </c>
      <c r="P16" s="59">
        <v>3.39</v>
      </c>
      <c r="Q16" s="59">
        <v>50.87</v>
      </c>
      <c r="R16" s="197"/>
      <c r="S16" s="197"/>
      <c r="T16" s="197"/>
      <c r="U16" s="197"/>
    </row>
    <row r="17" spans="1:21" s="12" customFormat="1" x14ac:dyDescent="0.25">
      <c r="A17" s="200" t="s">
        <v>2175</v>
      </c>
      <c r="B17" s="59">
        <v>115.73</v>
      </c>
      <c r="C17" s="59">
        <v>118.97</v>
      </c>
      <c r="D17" s="59">
        <v>158.46</v>
      </c>
      <c r="E17" s="59">
        <v>5.14</v>
      </c>
      <c r="F17" s="59">
        <v>0.37</v>
      </c>
      <c r="G17" s="59">
        <v>153.54</v>
      </c>
      <c r="H17" s="59">
        <v>69.92</v>
      </c>
      <c r="I17" s="59">
        <v>1.17</v>
      </c>
      <c r="J17" s="59">
        <v>0.05</v>
      </c>
      <c r="K17" s="59">
        <v>240.15</v>
      </c>
      <c r="L17" s="59">
        <v>16.78</v>
      </c>
      <c r="M17" s="59">
        <v>66</v>
      </c>
      <c r="N17" s="59">
        <v>24.4</v>
      </c>
      <c r="O17" s="59">
        <v>0</v>
      </c>
      <c r="P17" s="59">
        <v>3.32</v>
      </c>
      <c r="Q17" s="59">
        <v>49.87</v>
      </c>
      <c r="R17" s="197"/>
      <c r="S17" s="197"/>
      <c r="T17" s="197"/>
      <c r="U17" s="197"/>
    </row>
    <row r="18" spans="1:21" s="12" customFormat="1" x14ac:dyDescent="0.25">
      <c r="A18" s="200" t="s">
        <v>2176</v>
      </c>
      <c r="B18" s="59">
        <v>109.17</v>
      </c>
      <c r="C18" s="59">
        <v>117.35</v>
      </c>
      <c r="D18" s="59">
        <v>152.31</v>
      </c>
      <c r="E18" s="59">
        <v>4.9000000000000004</v>
      </c>
      <c r="F18" s="59">
        <v>0.88</v>
      </c>
      <c r="G18" s="59">
        <v>146.07</v>
      </c>
      <c r="H18" s="59">
        <v>71.069999999999993</v>
      </c>
      <c r="I18" s="59">
        <v>1.1499999999999999</v>
      </c>
      <c r="J18" s="59">
        <v>0.1</v>
      </c>
      <c r="K18" s="59">
        <v>295</v>
      </c>
      <c r="L18" s="59">
        <v>16.649999999999999</v>
      </c>
      <c r="M18" s="59">
        <v>67</v>
      </c>
      <c r="N18" s="59">
        <v>24.1</v>
      </c>
      <c r="O18" s="59">
        <v>0</v>
      </c>
      <c r="P18" s="59">
        <v>3.24</v>
      </c>
      <c r="Q18" s="59">
        <v>48.96</v>
      </c>
      <c r="R18" s="197"/>
      <c r="S18" s="197"/>
      <c r="T18" s="197"/>
      <c r="U18" s="197"/>
    </row>
    <row r="19" spans="1:21" s="12" customFormat="1" x14ac:dyDescent="0.25">
      <c r="A19" s="200" t="s">
        <v>2177</v>
      </c>
      <c r="B19" s="59">
        <v>103.38</v>
      </c>
      <c r="C19" s="59">
        <v>115.44</v>
      </c>
      <c r="D19" s="59">
        <v>146.61000000000001</v>
      </c>
      <c r="E19" s="59">
        <v>4.91</v>
      </c>
      <c r="F19" s="59">
        <v>0.7</v>
      </c>
      <c r="G19" s="59">
        <v>140.21</v>
      </c>
      <c r="H19" s="59">
        <v>72.650000000000006</v>
      </c>
      <c r="I19" s="59">
        <v>1.1299999999999999</v>
      </c>
      <c r="J19" s="59">
        <v>0.09</v>
      </c>
      <c r="K19" s="59">
        <v>334.18</v>
      </c>
      <c r="L19" s="59">
        <v>16.489999999999998</v>
      </c>
      <c r="M19" s="59">
        <v>68</v>
      </c>
      <c r="N19" s="59">
        <v>24.4</v>
      </c>
      <c r="O19" s="59">
        <v>0</v>
      </c>
      <c r="P19" s="59">
        <v>3.17</v>
      </c>
      <c r="Q19" s="59">
        <v>48.36</v>
      </c>
      <c r="R19" s="197"/>
      <c r="S19" s="197"/>
      <c r="T19" s="197"/>
      <c r="U19" s="197"/>
    </row>
    <row r="20" spans="1:21" s="12" customFormat="1" x14ac:dyDescent="0.25">
      <c r="A20" s="200" t="s">
        <v>2178</v>
      </c>
      <c r="B20" s="59">
        <v>97.29</v>
      </c>
      <c r="C20" s="59">
        <v>113.63</v>
      </c>
      <c r="D20" s="59">
        <v>140.72999999999999</v>
      </c>
      <c r="E20" s="59">
        <v>4.8099999999999996</v>
      </c>
      <c r="F20" s="59">
        <v>0.04</v>
      </c>
      <c r="G20" s="59">
        <v>140.21</v>
      </c>
      <c r="H20" s="59">
        <v>72.650000000000006</v>
      </c>
      <c r="I20" s="59">
        <v>1.08</v>
      </c>
      <c r="J20" s="59">
        <v>0.12</v>
      </c>
      <c r="K20" s="59">
        <v>32.409999999999997</v>
      </c>
      <c r="L20" s="59">
        <v>16.36</v>
      </c>
      <c r="M20" s="59">
        <v>69</v>
      </c>
      <c r="N20" s="59">
        <v>24</v>
      </c>
      <c r="O20" s="59">
        <v>0</v>
      </c>
      <c r="P20" s="59">
        <v>3.1</v>
      </c>
      <c r="Q20" s="59">
        <v>47.26</v>
      </c>
      <c r="R20" s="197"/>
      <c r="S20" s="197"/>
      <c r="T20" s="197"/>
      <c r="U20" s="197"/>
    </row>
    <row r="21" spans="1:21" s="12" customFormat="1" x14ac:dyDescent="0.25">
      <c r="A21" s="200" t="s">
        <v>2179</v>
      </c>
      <c r="B21" s="59">
        <v>92.13</v>
      </c>
      <c r="C21" s="59">
        <v>111.32</v>
      </c>
      <c r="D21" s="59">
        <v>135.32</v>
      </c>
      <c r="E21" s="59">
        <v>4.8499999999999996</v>
      </c>
      <c r="F21" s="59">
        <v>0.22</v>
      </c>
      <c r="G21" s="59">
        <v>140.21</v>
      </c>
      <c r="H21" s="59">
        <v>72.650000000000006</v>
      </c>
      <c r="I21" s="59">
        <v>1.05</v>
      </c>
      <c r="J21" s="59">
        <v>0.31</v>
      </c>
      <c r="K21" s="59">
        <v>356.89</v>
      </c>
      <c r="L21" s="59">
        <v>16.73</v>
      </c>
      <c r="M21" s="59">
        <v>65</v>
      </c>
      <c r="N21" s="59">
        <v>23.5</v>
      </c>
      <c r="O21" s="59">
        <v>0</v>
      </c>
      <c r="P21" s="59">
        <v>3.03</v>
      </c>
      <c r="Q21" s="59">
        <v>46.26</v>
      </c>
      <c r="R21" s="197"/>
      <c r="S21" s="197"/>
      <c r="T21" s="197"/>
      <c r="U21" s="197"/>
    </row>
    <row r="22" spans="1:21" s="12" customFormat="1" x14ac:dyDescent="0.25">
      <c r="A22" s="200" t="s">
        <v>2180</v>
      </c>
      <c r="B22" s="59">
        <v>87.27</v>
      </c>
      <c r="C22" s="59">
        <v>108.69</v>
      </c>
      <c r="D22" s="59">
        <v>129.97</v>
      </c>
      <c r="E22" s="59">
        <v>4.92</v>
      </c>
      <c r="F22" s="59">
        <v>7.0000000000000007E-2</v>
      </c>
      <c r="G22" s="59">
        <v>158.62</v>
      </c>
      <c r="H22" s="59">
        <v>76.2</v>
      </c>
      <c r="I22" s="59">
        <v>1.01</v>
      </c>
      <c r="J22" s="59">
        <v>7.0000000000000007E-2</v>
      </c>
      <c r="K22" s="59">
        <v>113.49</v>
      </c>
      <c r="L22" s="59">
        <v>16.7</v>
      </c>
      <c r="M22" s="59">
        <v>64</v>
      </c>
      <c r="N22" s="59">
        <v>24.3</v>
      </c>
      <c r="O22" s="59">
        <v>0</v>
      </c>
      <c r="P22" s="59">
        <v>2.94</v>
      </c>
      <c r="Q22" s="59">
        <v>45.83</v>
      </c>
      <c r="R22" s="197"/>
      <c r="S22" s="197"/>
      <c r="T22" s="197"/>
      <c r="U22" s="197"/>
    </row>
    <row r="23" spans="1:21" s="12" customFormat="1" x14ac:dyDescent="0.25">
      <c r="A23" s="200" t="s">
        <v>2181</v>
      </c>
      <c r="B23" s="59">
        <v>81.760000000000005</v>
      </c>
      <c r="C23" s="59">
        <v>106.27</v>
      </c>
      <c r="D23" s="59">
        <v>124.21</v>
      </c>
      <c r="E23" s="59">
        <v>4.78</v>
      </c>
      <c r="F23" s="59">
        <v>0.08</v>
      </c>
      <c r="G23" s="59">
        <v>173.04</v>
      </c>
      <c r="H23" s="59">
        <v>81.05</v>
      </c>
      <c r="I23" s="59">
        <v>0.99</v>
      </c>
      <c r="J23" s="59">
        <v>0.06</v>
      </c>
      <c r="K23" s="59">
        <v>80.8</v>
      </c>
      <c r="L23" s="59">
        <v>16.7</v>
      </c>
      <c r="M23" s="59">
        <v>64</v>
      </c>
      <c r="N23" s="59">
        <v>24.2</v>
      </c>
      <c r="O23" s="59">
        <v>0</v>
      </c>
      <c r="P23" s="59">
        <v>2.85</v>
      </c>
      <c r="Q23" s="59">
        <v>45.45</v>
      </c>
      <c r="R23" s="197"/>
      <c r="S23" s="197"/>
      <c r="T23" s="197"/>
      <c r="U23" s="197"/>
    </row>
    <row r="24" spans="1:21" s="12" customFormat="1" x14ac:dyDescent="0.25">
      <c r="A24" s="200" t="s">
        <v>2182</v>
      </c>
      <c r="B24" s="59">
        <v>76.39</v>
      </c>
      <c r="C24" s="59">
        <v>104.09</v>
      </c>
      <c r="D24" s="59">
        <v>118.71</v>
      </c>
      <c r="E24" s="59">
        <v>2.61</v>
      </c>
      <c r="F24" s="59">
        <v>0.21</v>
      </c>
      <c r="G24" s="59">
        <v>173.04</v>
      </c>
      <c r="H24" s="59">
        <v>81.05</v>
      </c>
      <c r="I24" s="59">
        <v>0.95</v>
      </c>
      <c r="J24" s="59">
        <v>0.18</v>
      </c>
      <c r="K24" s="59">
        <v>17</v>
      </c>
      <c r="L24" s="59">
        <v>16.55</v>
      </c>
      <c r="M24" s="59">
        <v>67</v>
      </c>
      <c r="N24" s="59">
        <v>24</v>
      </c>
      <c r="O24" s="59">
        <v>0</v>
      </c>
      <c r="P24" s="59">
        <v>2.8</v>
      </c>
      <c r="Q24" s="59">
        <v>45.06</v>
      </c>
      <c r="R24" s="197"/>
      <c r="S24" s="197"/>
      <c r="T24" s="197"/>
      <c r="U24" s="197"/>
    </row>
    <row r="25" spans="1:21" s="12" customFormat="1" x14ac:dyDescent="0.25">
      <c r="A25" s="200" t="s">
        <v>2183</v>
      </c>
      <c r="B25" s="59">
        <v>72.59</v>
      </c>
      <c r="C25" s="59">
        <v>102.56</v>
      </c>
      <c r="D25" s="59">
        <v>114.81</v>
      </c>
      <c r="E25" s="59">
        <v>5.27</v>
      </c>
      <c r="F25" s="59">
        <v>0.03</v>
      </c>
      <c r="G25" s="59">
        <v>173.04</v>
      </c>
      <c r="H25" s="59">
        <v>81.05</v>
      </c>
      <c r="I25" s="59">
        <v>0.91</v>
      </c>
      <c r="J25" s="59">
        <v>0.24</v>
      </c>
      <c r="K25" s="59">
        <v>50.47</v>
      </c>
      <c r="L25" s="59">
        <v>16.96</v>
      </c>
      <c r="M25" s="59">
        <v>64</v>
      </c>
      <c r="N25" s="59">
        <v>23.7</v>
      </c>
      <c r="O25" s="59">
        <v>0</v>
      </c>
      <c r="P25" s="59">
        <v>2.79</v>
      </c>
      <c r="Q25" s="59">
        <v>44.79</v>
      </c>
      <c r="R25" s="197"/>
      <c r="S25" s="197"/>
      <c r="T25" s="197"/>
      <c r="U25" s="197"/>
    </row>
    <row r="26" spans="1:21" s="12" customFormat="1" x14ac:dyDescent="0.25">
      <c r="A26" s="200" t="s">
        <v>2184</v>
      </c>
      <c r="B26" s="59">
        <v>70.27</v>
      </c>
      <c r="C26" s="59">
        <v>101.34</v>
      </c>
      <c r="D26" s="59">
        <v>112.28</v>
      </c>
      <c r="E26" s="59">
        <v>6.1</v>
      </c>
      <c r="F26" s="59">
        <v>0.03</v>
      </c>
      <c r="G26" s="59">
        <v>177.37</v>
      </c>
      <c r="H26" s="59">
        <v>84.33</v>
      </c>
      <c r="I26" s="59">
        <v>0.88</v>
      </c>
      <c r="J26" s="59">
        <v>0.23</v>
      </c>
      <c r="K26" s="59">
        <v>32.729999999999997</v>
      </c>
      <c r="L26" s="59">
        <v>16.940000000000001</v>
      </c>
      <c r="M26" s="59">
        <v>63</v>
      </c>
      <c r="N26" s="59">
        <v>24</v>
      </c>
      <c r="O26" s="59">
        <v>0</v>
      </c>
      <c r="P26" s="59">
        <v>2.84</v>
      </c>
      <c r="Q26" s="59">
        <v>44.49</v>
      </c>
      <c r="R26" s="197"/>
      <c r="S26" s="197"/>
      <c r="T26" s="197"/>
      <c r="U26" s="197"/>
    </row>
    <row r="27" spans="1:21" s="12" customFormat="1" x14ac:dyDescent="0.25">
      <c r="A27" s="200" t="s">
        <v>2185</v>
      </c>
      <c r="B27" s="59">
        <v>68.47</v>
      </c>
      <c r="C27" s="59">
        <v>99.85</v>
      </c>
      <c r="D27" s="59">
        <v>110.01</v>
      </c>
      <c r="E27" s="59">
        <v>5.76</v>
      </c>
      <c r="F27" s="59">
        <v>0.1</v>
      </c>
      <c r="G27" s="59">
        <v>186.69</v>
      </c>
      <c r="H27" s="59">
        <v>88.62</v>
      </c>
      <c r="I27" s="59">
        <v>0.85</v>
      </c>
      <c r="J27" s="59">
        <v>0.22</v>
      </c>
      <c r="K27" s="59">
        <v>79.55</v>
      </c>
      <c r="L27" s="59">
        <v>16.87</v>
      </c>
      <c r="M27" s="59">
        <v>63</v>
      </c>
      <c r="N27" s="59">
        <v>24.3</v>
      </c>
      <c r="O27" s="59">
        <v>0</v>
      </c>
      <c r="P27" s="59">
        <v>2.86</v>
      </c>
      <c r="Q27" s="59">
        <v>44.17</v>
      </c>
      <c r="R27" s="197"/>
      <c r="S27" s="197"/>
      <c r="T27" s="197"/>
      <c r="U27" s="197"/>
    </row>
    <row r="28" spans="1:21" s="12" customFormat="1" x14ac:dyDescent="0.25">
      <c r="A28" s="200" t="s">
        <v>2186</v>
      </c>
      <c r="B28" s="59">
        <v>65.790000000000006</v>
      </c>
      <c r="C28" s="59">
        <v>98.11</v>
      </c>
      <c r="D28" s="59">
        <v>106.9</v>
      </c>
      <c r="E28" s="59">
        <v>5.46</v>
      </c>
      <c r="F28" s="59">
        <v>0.01</v>
      </c>
      <c r="G28" s="59">
        <v>186.69</v>
      </c>
      <c r="H28" s="59">
        <v>88.62</v>
      </c>
      <c r="I28" s="59">
        <v>0.81</v>
      </c>
      <c r="J28" s="59">
        <v>0.19</v>
      </c>
      <c r="K28" s="59">
        <v>80.94</v>
      </c>
      <c r="L28" s="59">
        <v>16.600000000000001</v>
      </c>
      <c r="M28" s="59">
        <v>63</v>
      </c>
      <c r="N28" s="59">
        <v>24.4</v>
      </c>
      <c r="O28" s="59">
        <v>0</v>
      </c>
      <c r="P28" s="59">
        <v>2.83</v>
      </c>
      <c r="Q28" s="59">
        <v>45.34</v>
      </c>
      <c r="R28" s="197"/>
      <c r="S28" s="197"/>
      <c r="T28" s="197"/>
      <c r="U28" s="197"/>
    </row>
    <row r="29" spans="1:21" s="12" customFormat="1" x14ac:dyDescent="0.25">
      <c r="A29" s="200" t="s">
        <v>2187</v>
      </c>
      <c r="B29" s="59">
        <v>61.5</v>
      </c>
      <c r="C29" s="59">
        <v>96.23</v>
      </c>
      <c r="D29" s="59">
        <v>102.42</v>
      </c>
      <c r="E29" s="59">
        <v>5.51</v>
      </c>
      <c r="F29" s="59">
        <v>0.01</v>
      </c>
      <c r="G29" s="59">
        <v>186.69</v>
      </c>
      <c r="H29" s="59">
        <v>88.62</v>
      </c>
      <c r="I29" s="59">
        <v>0.78</v>
      </c>
      <c r="J29" s="59">
        <v>0.15</v>
      </c>
      <c r="K29" s="59">
        <v>102.73</v>
      </c>
      <c r="L29" s="59">
        <v>16.61</v>
      </c>
      <c r="M29" s="59">
        <v>63</v>
      </c>
      <c r="N29" s="59">
        <v>24.3</v>
      </c>
      <c r="O29" s="59">
        <v>0</v>
      </c>
      <c r="P29" s="59">
        <v>2.75</v>
      </c>
      <c r="Q29" s="59">
        <v>45.24</v>
      </c>
      <c r="R29" s="197"/>
      <c r="S29" s="197"/>
      <c r="T29" s="197"/>
      <c r="U29" s="197"/>
    </row>
    <row r="30" spans="1:21" s="12" customFormat="1" x14ac:dyDescent="0.25">
      <c r="A30" s="200" t="s">
        <v>2188</v>
      </c>
      <c r="B30" s="59">
        <v>56.95</v>
      </c>
      <c r="C30" s="59">
        <v>94.46</v>
      </c>
      <c r="D30" s="59">
        <v>97.8</v>
      </c>
      <c r="E30" s="59">
        <v>4.9400000000000004</v>
      </c>
      <c r="F30" s="214" t="s">
        <v>47</v>
      </c>
      <c r="G30" s="59">
        <v>172.53</v>
      </c>
      <c r="H30" s="59">
        <v>87.81</v>
      </c>
      <c r="I30" s="59">
        <v>0.74</v>
      </c>
      <c r="J30" s="59">
        <v>0.19</v>
      </c>
      <c r="K30" s="59">
        <v>104.74</v>
      </c>
      <c r="L30" s="59">
        <v>16.48</v>
      </c>
      <c r="M30" s="59">
        <v>63</v>
      </c>
      <c r="N30" s="59">
        <v>24.1</v>
      </c>
      <c r="O30" s="59">
        <v>0</v>
      </c>
      <c r="P30" s="59">
        <v>2.64</v>
      </c>
      <c r="Q30" s="59">
        <v>44.38</v>
      </c>
      <c r="R30" s="197"/>
      <c r="S30" s="197"/>
      <c r="T30" s="197"/>
      <c r="U30" s="197"/>
    </row>
    <row r="31" spans="1:21" s="12" customFormat="1" x14ac:dyDescent="0.25">
      <c r="A31" s="200" t="s">
        <v>2189</v>
      </c>
      <c r="B31" s="59">
        <v>52.53</v>
      </c>
      <c r="C31" s="59">
        <v>92.83</v>
      </c>
      <c r="D31" s="59">
        <v>93.35</v>
      </c>
      <c r="E31" s="59">
        <v>5.28</v>
      </c>
      <c r="F31" s="59">
        <v>0.02</v>
      </c>
      <c r="G31" s="59">
        <v>161.43</v>
      </c>
      <c r="H31" s="59">
        <v>86.74</v>
      </c>
      <c r="I31" s="59">
        <v>0.7</v>
      </c>
      <c r="J31" s="59">
        <v>0.17</v>
      </c>
      <c r="K31" s="59">
        <v>93.53</v>
      </c>
      <c r="L31" s="59">
        <v>16.399999999999999</v>
      </c>
      <c r="M31" s="59">
        <v>63</v>
      </c>
      <c r="N31" s="59">
        <v>24.2</v>
      </c>
      <c r="O31" s="59">
        <v>0</v>
      </c>
      <c r="P31" s="59">
        <v>2.54</v>
      </c>
      <c r="Q31" s="59">
        <v>43.72</v>
      </c>
      <c r="R31" s="197"/>
      <c r="S31" s="197"/>
      <c r="T31" s="197"/>
      <c r="U31" s="197"/>
    </row>
    <row r="32" spans="1:21" s="12" customFormat="1" x14ac:dyDescent="0.25">
      <c r="A32" s="200" t="s">
        <v>2190</v>
      </c>
      <c r="B32" s="59">
        <v>48.45</v>
      </c>
      <c r="C32" s="59">
        <v>91.44</v>
      </c>
      <c r="D32" s="59">
        <v>89.32</v>
      </c>
      <c r="E32" s="59">
        <v>5.19</v>
      </c>
      <c r="F32" s="59">
        <v>0.13</v>
      </c>
      <c r="G32" s="59">
        <v>161.43</v>
      </c>
      <c r="H32" s="59">
        <v>86.74</v>
      </c>
      <c r="I32" s="59">
        <v>0.66</v>
      </c>
      <c r="J32" s="59">
        <v>0.15</v>
      </c>
      <c r="K32" s="59">
        <v>73.040000000000006</v>
      </c>
      <c r="L32" s="59">
        <v>16.239999999999998</v>
      </c>
      <c r="M32" s="59">
        <v>63</v>
      </c>
      <c r="N32" s="59">
        <v>24.2</v>
      </c>
      <c r="O32" s="59">
        <v>0</v>
      </c>
      <c r="P32" s="59">
        <v>2.4300000000000002</v>
      </c>
      <c r="Q32" s="59">
        <v>43.19</v>
      </c>
      <c r="R32" s="197"/>
      <c r="S32" s="197"/>
      <c r="T32" s="197"/>
      <c r="U32" s="197"/>
    </row>
    <row r="33" spans="1:21" s="12" customFormat="1" x14ac:dyDescent="0.25">
      <c r="A33" s="200" t="s">
        <v>2191</v>
      </c>
      <c r="B33" s="59">
        <v>44.45</v>
      </c>
      <c r="C33" s="59">
        <v>89.94</v>
      </c>
      <c r="D33" s="59">
        <v>85.28</v>
      </c>
      <c r="E33" s="59">
        <v>5.07</v>
      </c>
      <c r="F33" s="59">
        <v>0.16</v>
      </c>
      <c r="G33" s="59">
        <v>161.43</v>
      </c>
      <c r="H33" s="59">
        <v>86.74</v>
      </c>
      <c r="I33" s="59">
        <v>0.62</v>
      </c>
      <c r="J33" s="59">
        <v>0.16</v>
      </c>
      <c r="K33" s="59">
        <v>124.13</v>
      </c>
      <c r="L33" s="59">
        <v>16.28</v>
      </c>
      <c r="M33" s="59">
        <v>62</v>
      </c>
      <c r="N33" s="59">
        <v>24.1</v>
      </c>
      <c r="O33" s="59">
        <v>0</v>
      </c>
      <c r="P33" s="59">
        <v>2.31</v>
      </c>
      <c r="Q33" s="59">
        <v>42.65</v>
      </c>
      <c r="R33" s="197"/>
      <c r="S33" s="197"/>
      <c r="T33" s="197"/>
      <c r="U33" s="197"/>
    </row>
    <row r="34" spans="1:21" s="12" customFormat="1" x14ac:dyDescent="0.25">
      <c r="A34" s="200" t="s">
        <v>2192</v>
      </c>
      <c r="B34" s="59">
        <v>40.61</v>
      </c>
      <c r="C34" s="59">
        <v>88.54</v>
      </c>
      <c r="D34" s="59">
        <v>81.430000000000007</v>
      </c>
      <c r="E34" s="59">
        <v>5.03</v>
      </c>
      <c r="F34" s="59">
        <v>0.04</v>
      </c>
      <c r="G34" s="59">
        <v>131.4</v>
      </c>
      <c r="H34" s="59">
        <v>80.09</v>
      </c>
      <c r="I34" s="59">
        <v>0.59</v>
      </c>
      <c r="J34" s="59">
        <v>0.1</v>
      </c>
      <c r="K34" s="59">
        <v>60.22</v>
      </c>
      <c r="L34" s="59">
        <v>16.329999999999998</v>
      </c>
      <c r="M34" s="59">
        <v>62</v>
      </c>
      <c r="N34" s="59">
        <v>25.1</v>
      </c>
      <c r="O34" s="59">
        <v>0</v>
      </c>
      <c r="P34" s="59">
        <v>2.19</v>
      </c>
      <c r="Q34" s="59">
        <v>41.83</v>
      </c>
      <c r="R34" s="197"/>
      <c r="S34" s="197"/>
      <c r="T34" s="197"/>
      <c r="U34" s="197"/>
    </row>
    <row r="35" spans="1:21" s="12" customFormat="1" x14ac:dyDescent="0.25">
      <c r="A35" s="200" t="s">
        <v>2193</v>
      </c>
      <c r="B35" s="59">
        <v>40.799999999999997</v>
      </c>
      <c r="C35" s="59">
        <v>89.05</v>
      </c>
      <c r="D35" s="59">
        <v>81.86</v>
      </c>
      <c r="E35" s="59">
        <v>4.93</v>
      </c>
      <c r="F35" s="59">
        <v>0.09</v>
      </c>
      <c r="G35" s="59">
        <v>109.27</v>
      </c>
      <c r="H35" s="59">
        <v>71.39</v>
      </c>
      <c r="I35" s="59">
        <v>0.56000000000000005</v>
      </c>
      <c r="J35" s="59">
        <v>0.13</v>
      </c>
      <c r="K35" s="59">
        <v>346.66</v>
      </c>
      <c r="L35" s="59">
        <v>15.96</v>
      </c>
      <c r="M35" s="59">
        <v>66</v>
      </c>
      <c r="N35" s="59">
        <v>29.1</v>
      </c>
      <c r="O35" s="59">
        <v>0</v>
      </c>
      <c r="P35" s="59">
        <v>2.12</v>
      </c>
      <c r="Q35" s="59">
        <v>40.64</v>
      </c>
      <c r="R35" s="197"/>
      <c r="S35" s="197"/>
      <c r="T35" s="197"/>
      <c r="U35" s="197"/>
    </row>
    <row r="36" spans="1:21" s="12" customFormat="1" x14ac:dyDescent="0.25">
      <c r="A36" s="200" t="s">
        <v>2194</v>
      </c>
      <c r="B36" s="59">
        <v>48.35</v>
      </c>
      <c r="C36" s="59">
        <v>92.73</v>
      </c>
      <c r="D36" s="59">
        <v>89.95</v>
      </c>
      <c r="E36" s="59">
        <v>4.84</v>
      </c>
      <c r="F36" s="59">
        <v>0.21</v>
      </c>
      <c r="G36" s="59">
        <v>109.27</v>
      </c>
      <c r="H36" s="59">
        <v>71.39</v>
      </c>
      <c r="I36" s="59">
        <v>0.53</v>
      </c>
      <c r="J36" s="59">
        <v>0.1</v>
      </c>
      <c r="K36" s="59">
        <v>6.14</v>
      </c>
      <c r="L36" s="59">
        <v>15.84</v>
      </c>
      <c r="M36" s="59">
        <v>66</v>
      </c>
      <c r="N36" s="59">
        <v>36.200000000000003</v>
      </c>
      <c r="O36" s="59">
        <v>0</v>
      </c>
      <c r="P36" s="59">
        <v>2.1</v>
      </c>
      <c r="Q36" s="59">
        <v>41.15</v>
      </c>
      <c r="R36" s="197"/>
      <c r="S36" s="197"/>
      <c r="T36" s="197"/>
      <c r="U36" s="197"/>
    </row>
    <row r="37" spans="1:21" s="12" customFormat="1" x14ac:dyDescent="0.25">
      <c r="A37" s="200" t="s">
        <v>2195</v>
      </c>
      <c r="B37" s="59">
        <v>56.14</v>
      </c>
      <c r="C37" s="59">
        <v>96.18</v>
      </c>
      <c r="D37" s="59">
        <v>98.1</v>
      </c>
      <c r="E37" s="59">
        <v>4.8600000000000003</v>
      </c>
      <c r="F37" s="59">
        <v>0.18</v>
      </c>
      <c r="G37" s="59">
        <v>109.27</v>
      </c>
      <c r="H37" s="59">
        <v>71.39</v>
      </c>
      <c r="I37" s="59">
        <v>0.53</v>
      </c>
      <c r="J37" s="59">
        <v>0.23</v>
      </c>
      <c r="K37" s="59">
        <v>17.170000000000002</v>
      </c>
      <c r="L37" s="59">
        <v>16.260000000000002</v>
      </c>
      <c r="M37" s="59">
        <v>65</v>
      </c>
      <c r="N37" s="59">
        <v>44.9</v>
      </c>
      <c r="O37" s="59">
        <v>0</v>
      </c>
      <c r="P37" s="59">
        <v>2.0099999999999998</v>
      </c>
      <c r="Q37" s="59">
        <v>41.72</v>
      </c>
      <c r="R37" s="197"/>
      <c r="S37" s="197"/>
      <c r="T37" s="197"/>
      <c r="U37" s="197"/>
    </row>
    <row r="38" spans="1:21" s="12" customFormat="1" x14ac:dyDescent="0.25">
      <c r="A38" s="200" t="s">
        <v>2196</v>
      </c>
      <c r="B38" s="59">
        <v>61.23</v>
      </c>
      <c r="C38" s="59">
        <v>98.57</v>
      </c>
      <c r="D38" s="59">
        <v>103.5</v>
      </c>
      <c r="E38" s="59">
        <v>4.82</v>
      </c>
      <c r="F38" s="59">
        <v>0.21</v>
      </c>
      <c r="G38" s="59">
        <v>113.58</v>
      </c>
      <c r="H38" s="59">
        <v>71.14</v>
      </c>
      <c r="I38" s="59">
        <v>0.53</v>
      </c>
      <c r="J38" s="59">
        <v>0.18</v>
      </c>
      <c r="K38" s="59">
        <v>21.72</v>
      </c>
      <c r="L38" s="59">
        <v>16.86</v>
      </c>
      <c r="M38" s="59">
        <v>61</v>
      </c>
      <c r="N38" s="59">
        <v>54</v>
      </c>
      <c r="O38" s="59">
        <v>0</v>
      </c>
      <c r="P38" s="59">
        <v>2.13</v>
      </c>
      <c r="Q38" s="59">
        <v>42.13</v>
      </c>
      <c r="R38" s="197"/>
      <c r="S38" s="197"/>
      <c r="T38" s="197"/>
      <c r="U38" s="197"/>
    </row>
    <row r="39" spans="1:21" s="12" customFormat="1" x14ac:dyDescent="0.25">
      <c r="A39" s="200" t="s">
        <v>2197</v>
      </c>
      <c r="B39" s="59">
        <v>63.03</v>
      </c>
      <c r="C39" s="59">
        <v>100.23</v>
      </c>
      <c r="D39" s="59">
        <v>105.86</v>
      </c>
      <c r="E39" s="59">
        <v>4.8600000000000003</v>
      </c>
      <c r="F39" s="59">
        <v>0.17</v>
      </c>
      <c r="G39" s="59">
        <v>116.86</v>
      </c>
      <c r="H39" s="59">
        <v>70.83</v>
      </c>
      <c r="I39" s="59">
        <v>0.52</v>
      </c>
      <c r="J39" s="59">
        <v>0.26</v>
      </c>
      <c r="K39" s="59">
        <v>92.09</v>
      </c>
      <c r="L39" s="59">
        <v>17.8</v>
      </c>
      <c r="M39" s="59">
        <v>56</v>
      </c>
      <c r="N39" s="59">
        <v>110.6</v>
      </c>
      <c r="O39" s="59">
        <v>0</v>
      </c>
      <c r="P39" s="59">
        <v>2.13</v>
      </c>
      <c r="Q39" s="59">
        <v>42.17</v>
      </c>
      <c r="R39" s="197"/>
      <c r="S39" s="197"/>
      <c r="T39" s="197"/>
      <c r="U39" s="197"/>
    </row>
    <row r="40" spans="1:21" s="12" customFormat="1" x14ac:dyDescent="0.25">
      <c r="A40" s="200" t="s">
        <v>2198</v>
      </c>
      <c r="B40" s="59">
        <v>61.61</v>
      </c>
      <c r="C40" s="59">
        <v>98.86</v>
      </c>
      <c r="D40" s="59">
        <v>103.96</v>
      </c>
      <c r="E40" s="59">
        <v>2.87</v>
      </c>
      <c r="F40" s="59">
        <v>0.3</v>
      </c>
      <c r="G40" s="59">
        <v>116.86</v>
      </c>
      <c r="H40" s="59">
        <v>70.83</v>
      </c>
      <c r="I40" s="59">
        <v>0.53</v>
      </c>
      <c r="J40" s="59">
        <v>0.51</v>
      </c>
      <c r="K40" s="59">
        <v>115.77</v>
      </c>
      <c r="L40" s="59">
        <v>19.61</v>
      </c>
      <c r="M40" s="59">
        <v>50</v>
      </c>
      <c r="N40" s="59">
        <v>189.3</v>
      </c>
      <c r="O40" s="59">
        <v>0</v>
      </c>
      <c r="P40" s="59">
        <v>2.08</v>
      </c>
      <c r="Q40" s="59">
        <v>42.31</v>
      </c>
      <c r="R40" s="197"/>
      <c r="S40" s="197"/>
      <c r="T40" s="197"/>
      <c r="U40" s="197"/>
    </row>
    <row r="41" spans="1:21" s="12" customFormat="1" x14ac:dyDescent="0.25">
      <c r="A41" s="200" t="s">
        <v>2199</v>
      </c>
      <c r="B41" s="59">
        <v>58.67</v>
      </c>
      <c r="C41" s="59">
        <v>97.11</v>
      </c>
      <c r="D41" s="59">
        <v>100.64</v>
      </c>
      <c r="E41" s="59">
        <v>5.26</v>
      </c>
      <c r="F41" s="59">
        <v>0.16</v>
      </c>
      <c r="G41" s="59">
        <v>116.86</v>
      </c>
      <c r="H41" s="59">
        <v>70.83</v>
      </c>
      <c r="I41" s="59">
        <v>0.52</v>
      </c>
      <c r="J41" s="59">
        <v>0.75</v>
      </c>
      <c r="K41" s="59">
        <v>122.09</v>
      </c>
      <c r="L41" s="59">
        <v>20.7</v>
      </c>
      <c r="M41" s="59">
        <v>46</v>
      </c>
      <c r="N41" s="59">
        <v>226.3</v>
      </c>
      <c r="O41" s="59">
        <v>0</v>
      </c>
      <c r="P41" s="59">
        <v>2.0299999999999998</v>
      </c>
      <c r="Q41" s="59">
        <v>42.31</v>
      </c>
      <c r="R41" s="197"/>
      <c r="S41" s="197"/>
      <c r="T41" s="197"/>
      <c r="U41" s="197"/>
    </row>
    <row r="42" spans="1:21" s="12" customFormat="1" x14ac:dyDescent="0.25">
      <c r="A42" s="200" t="s">
        <v>2200</v>
      </c>
      <c r="B42" s="59">
        <v>55.11</v>
      </c>
      <c r="C42" s="59">
        <v>95.57</v>
      </c>
      <c r="D42" s="59">
        <v>96.94</v>
      </c>
      <c r="E42" s="59">
        <v>5.59</v>
      </c>
      <c r="F42" s="59">
        <v>0.08</v>
      </c>
      <c r="G42" s="59">
        <v>117.7</v>
      </c>
      <c r="H42" s="59">
        <v>67.650000000000006</v>
      </c>
      <c r="I42" s="59">
        <v>0.52</v>
      </c>
      <c r="J42" s="59">
        <v>0.91</v>
      </c>
      <c r="K42" s="59">
        <v>126.17</v>
      </c>
      <c r="L42" s="59">
        <v>21.15</v>
      </c>
      <c r="M42" s="59">
        <v>43</v>
      </c>
      <c r="N42" s="59">
        <v>261.10000000000002</v>
      </c>
      <c r="O42" s="59">
        <v>0</v>
      </c>
      <c r="P42" s="59">
        <v>1.97</v>
      </c>
      <c r="Q42" s="59">
        <v>43</v>
      </c>
      <c r="R42" s="197"/>
      <c r="S42" s="197"/>
      <c r="T42" s="197"/>
      <c r="U42" s="197"/>
    </row>
    <row r="43" spans="1:21" s="12" customFormat="1" x14ac:dyDescent="0.25">
      <c r="A43" s="200" t="s">
        <v>2201</v>
      </c>
      <c r="B43" s="59">
        <v>50.7</v>
      </c>
      <c r="C43" s="59">
        <v>94.16</v>
      </c>
      <c r="D43" s="59">
        <v>92.62</v>
      </c>
      <c r="E43" s="59">
        <v>5.12</v>
      </c>
      <c r="F43" s="59">
        <v>0.15</v>
      </c>
      <c r="G43" s="59">
        <v>119.44</v>
      </c>
      <c r="H43" s="59">
        <v>63.5</v>
      </c>
      <c r="I43" s="59">
        <v>0.52</v>
      </c>
      <c r="J43" s="59">
        <v>1.51</v>
      </c>
      <c r="K43" s="59">
        <v>118.55</v>
      </c>
      <c r="L43" s="59">
        <v>21.44</v>
      </c>
      <c r="M43" s="59">
        <v>39</v>
      </c>
      <c r="N43" s="59">
        <v>295.10000000000002</v>
      </c>
      <c r="O43" s="59">
        <v>0</v>
      </c>
      <c r="P43" s="59">
        <v>1.9</v>
      </c>
      <c r="Q43" s="59">
        <v>43.55</v>
      </c>
      <c r="R43" s="197"/>
      <c r="S43" s="197"/>
      <c r="T43" s="197"/>
      <c r="U43" s="197"/>
    </row>
    <row r="44" spans="1:21" s="12" customFormat="1" x14ac:dyDescent="0.25">
      <c r="A44" s="200" t="s">
        <v>2202</v>
      </c>
      <c r="B44" s="59">
        <v>44.02</v>
      </c>
      <c r="C44" s="59">
        <v>92.04</v>
      </c>
      <c r="D44" s="59">
        <v>86.1</v>
      </c>
      <c r="E44" s="59">
        <v>5.46</v>
      </c>
      <c r="F44" s="59">
        <v>0.42</v>
      </c>
      <c r="G44" s="59">
        <v>119.44</v>
      </c>
      <c r="H44" s="59">
        <v>63.5</v>
      </c>
      <c r="I44" s="59">
        <v>0.51</v>
      </c>
      <c r="J44" s="59">
        <v>1.39</v>
      </c>
      <c r="K44" s="59">
        <v>113.24</v>
      </c>
      <c r="L44" s="59">
        <v>21.74</v>
      </c>
      <c r="M44" s="59">
        <v>39</v>
      </c>
      <c r="N44" s="59">
        <v>317.5</v>
      </c>
      <c r="O44" s="59">
        <v>0</v>
      </c>
      <c r="P44" s="59">
        <v>1.81</v>
      </c>
      <c r="Q44" s="59">
        <v>43.47</v>
      </c>
      <c r="R44" s="197"/>
      <c r="S44" s="197"/>
      <c r="T44" s="197"/>
      <c r="U44" s="197"/>
    </row>
    <row r="45" spans="1:21" s="12" customFormat="1" x14ac:dyDescent="0.25">
      <c r="A45" s="200" t="s">
        <v>2203</v>
      </c>
      <c r="B45" s="59">
        <v>39.69</v>
      </c>
      <c r="C45" s="59">
        <v>91.14</v>
      </c>
      <c r="D45" s="59">
        <v>82.12</v>
      </c>
      <c r="E45" s="59">
        <v>5.41</v>
      </c>
      <c r="F45" s="59">
        <v>0.32</v>
      </c>
      <c r="G45" s="59">
        <v>119.44</v>
      </c>
      <c r="H45" s="59">
        <v>63.5</v>
      </c>
      <c r="I45" s="59">
        <v>0.5</v>
      </c>
      <c r="J45" s="59">
        <v>0.69</v>
      </c>
      <c r="K45" s="59">
        <v>102.7</v>
      </c>
      <c r="L45" s="59">
        <v>22.8</v>
      </c>
      <c r="M45" s="59">
        <v>39</v>
      </c>
      <c r="N45" s="59">
        <v>330.5</v>
      </c>
      <c r="O45" s="59">
        <v>0</v>
      </c>
      <c r="P45" s="59">
        <v>1.73</v>
      </c>
      <c r="Q45" s="59">
        <v>42.89</v>
      </c>
      <c r="R45" s="197"/>
      <c r="S45" s="197"/>
      <c r="T45" s="197"/>
      <c r="U45" s="197"/>
    </row>
    <row r="46" spans="1:21" s="12" customFormat="1" x14ac:dyDescent="0.25">
      <c r="A46" s="200" t="s">
        <v>2204</v>
      </c>
      <c r="B46" s="59">
        <v>35.69</v>
      </c>
      <c r="C46" s="59">
        <v>91.44</v>
      </c>
      <c r="D46" s="59">
        <v>79.08</v>
      </c>
      <c r="E46" s="59">
        <v>4.8499999999999996</v>
      </c>
      <c r="F46" s="59">
        <v>0.31</v>
      </c>
      <c r="G46" s="59">
        <v>103.7</v>
      </c>
      <c r="H46" s="59">
        <v>59.27</v>
      </c>
      <c r="I46" s="59">
        <v>0.48</v>
      </c>
      <c r="J46" s="59">
        <v>1.02</v>
      </c>
      <c r="K46" s="59">
        <v>104.89</v>
      </c>
      <c r="L46" s="59">
        <v>23.56</v>
      </c>
      <c r="M46" s="59">
        <v>35</v>
      </c>
      <c r="N46" s="59">
        <v>346.6</v>
      </c>
      <c r="O46" s="59">
        <v>0</v>
      </c>
      <c r="P46" s="59">
        <v>1.66</v>
      </c>
      <c r="Q46" s="59">
        <v>42.28</v>
      </c>
      <c r="R46" s="197"/>
      <c r="S46" s="197"/>
      <c r="T46" s="197"/>
      <c r="U46" s="197"/>
    </row>
    <row r="47" spans="1:21" s="12" customFormat="1" x14ac:dyDescent="0.25">
      <c r="A47" s="200" t="s">
        <v>2205</v>
      </c>
      <c r="B47" s="59">
        <v>31.12</v>
      </c>
      <c r="C47" s="59">
        <v>90.47</v>
      </c>
      <c r="D47" s="59">
        <v>74.88</v>
      </c>
      <c r="E47" s="59">
        <v>5.78</v>
      </c>
      <c r="F47" s="59">
        <v>0.53</v>
      </c>
      <c r="G47" s="59">
        <v>92.11</v>
      </c>
      <c r="H47" s="59">
        <v>53.48</v>
      </c>
      <c r="I47" s="59">
        <v>0.46</v>
      </c>
      <c r="J47" s="59">
        <v>0.76</v>
      </c>
      <c r="K47" s="59">
        <v>77.209999999999994</v>
      </c>
      <c r="L47" s="59">
        <v>24.36</v>
      </c>
      <c r="M47" s="59">
        <v>32</v>
      </c>
      <c r="N47" s="59">
        <v>356.9</v>
      </c>
      <c r="O47" s="59">
        <v>0</v>
      </c>
      <c r="P47" s="59">
        <v>1.58</v>
      </c>
      <c r="Q47" s="59">
        <v>41.75</v>
      </c>
      <c r="R47" s="197"/>
      <c r="S47" s="197"/>
      <c r="T47" s="197"/>
      <c r="U47" s="197"/>
    </row>
    <row r="48" spans="1:21" s="12" customFormat="1" x14ac:dyDescent="0.25">
      <c r="A48" s="200" t="s">
        <v>2206</v>
      </c>
      <c r="B48" s="59">
        <v>26.96</v>
      </c>
      <c r="C48" s="59">
        <v>91.08</v>
      </c>
      <c r="D48" s="59">
        <v>71.89</v>
      </c>
      <c r="E48" s="59">
        <v>5.69</v>
      </c>
      <c r="F48" s="59">
        <v>0.43</v>
      </c>
      <c r="G48" s="59">
        <v>92.11</v>
      </c>
      <c r="H48" s="59">
        <v>53.48</v>
      </c>
      <c r="I48" s="59">
        <v>0.43</v>
      </c>
      <c r="J48" s="59">
        <v>1.01</v>
      </c>
      <c r="K48" s="59">
        <v>95.83</v>
      </c>
      <c r="L48" s="59">
        <v>24.7</v>
      </c>
      <c r="M48" s="59">
        <v>32</v>
      </c>
      <c r="N48" s="59">
        <v>365.6</v>
      </c>
      <c r="O48" s="59">
        <v>0</v>
      </c>
      <c r="P48" s="59">
        <v>1.53</v>
      </c>
      <c r="Q48" s="59">
        <v>41.28</v>
      </c>
      <c r="R48" s="197"/>
      <c r="S48" s="197"/>
      <c r="T48" s="197"/>
      <c r="U48" s="197"/>
    </row>
    <row r="49" spans="1:21" s="12" customFormat="1" x14ac:dyDescent="0.25">
      <c r="A49" s="200" t="s">
        <v>2207</v>
      </c>
      <c r="B49" s="59">
        <v>23.52</v>
      </c>
      <c r="C49" s="59">
        <v>90.47</v>
      </c>
      <c r="D49" s="59">
        <v>68.790000000000006</v>
      </c>
      <c r="E49" s="59">
        <v>4.99</v>
      </c>
      <c r="F49" s="59">
        <v>0.44</v>
      </c>
      <c r="G49" s="59">
        <v>92.11</v>
      </c>
      <c r="H49" s="59">
        <v>53.48</v>
      </c>
      <c r="I49" s="59">
        <v>0.41</v>
      </c>
      <c r="J49" s="59">
        <v>1.58</v>
      </c>
      <c r="K49" s="59">
        <v>116.87</v>
      </c>
      <c r="L49" s="59">
        <v>24.15</v>
      </c>
      <c r="M49" s="59">
        <v>34</v>
      </c>
      <c r="N49" s="59">
        <v>377.5</v>
      </c>
      <c r="O49" s="59">
        <v>0</v>
      </c>
      <c r="P49" s="59">
        <v>1.46</v>
      </c>
      <c r="Q49" s="59">
        <v>40.03</v>
      </c>
      <c r="R49" s="197"/>
      <c r="S49" s="197"/>
      <c r="T49" s="197"/>
      <c r="U49" s="197"/>
    </row>
    <row r="50" spans="1:21" s="12" customFormat="1" x14ac:dyDescent="0.25">
      <c r="A50" s="200" t="s">
        <v>2208</v>
      </c>
      <c r="B50" s="59">
        <v>20.73</v>
      </c>
      <c r="C50" s="59">
        <v>88.02</v>
      </c>
      <c r="D50" s="59">
        <v>65.2</v>
      </c>
      <c r="E50" s="59">
        <v>4.9800000000000004</v>
      </c>
      <c r="F50" s="59">
        <v>0.46</v>
      </c>
      <c r="G50" s="59">
        <v>83.7</v>
      </c>
      <c r="H50" s="59">
        <v>49.33</v>
      </c>
      <c r="I50" s="59">
        <v>0.4</v>
      </c>
      <c r="J50" s="59">
        <v>1.55</v>
      </c>
      <c r="K50" s="59">
        <v>114.22</v>
      </c>
      <c r="L50" s="59">
        <v>24.78</v>
      </c>
      <c r="M50" s="59">
        <v>33</v>
      </c>
      <c r="N50" s="59">
        <v>386.4</v>
      </c>
      <c r="O50" s="59">
        <v>0</v>
      </c>
      <c r="P50" s="59">
        <v>1.39</v>
      </c>
      <c r="Q50" s="59">
        <v>39.39</v>
      </c>
      <c r="R50" s="197"/>
      <c r="S50" s="197"/>
      <c r="T50" s="197"/>
      <c r="U50" s="197"/>
    </row>
    <row r="51" spans="1:21" s="12" customFormat="1" x14ac:dyDescent="0.25">
      <c r="A51" s="200" t="s">
        <v>2209</v>
      </c>
      <c r="B51" s="59">
        <v>15.24</v>
      </c>
      <c r="C51" s="59">
        <v>82.56</v>
      </c>
      <c r="D51" s="59">
        <v>57.78</v>
      </c>
      <c r="E51" s="59">
        <v>7.74</v>
      </c>
      <c r="F51" s="59">
        <v>2.17</v>
      </c>
      <c r="G51" s="59">
        <v>77.5</v>
      </c>
      <c r="H51" s="59">
        <v>43.91</v>
      </c>
      <c r="I51" s="59">
        <v>0.39</v>
      </c>
      <c r="J51" s="59">
        <v>1.51</v>
      </c>
      <c r="K51" s="59">
        <v>114.62</v>
      </c>
      <c r="L51" s="59">
        <v>24.96</v>
      </c>
      <c r="M51" s="59">
        <v>33</v>
      </c>
      <c r="N51" s="59">
        <v>394.5</v>
      </c>
      <c r="O51" s="59">
        <v>0</v>
      </c>
      <c r="P51" s="59">
        <v>1.24</v>
      </c>
      <c r="Q51" s="59">
        <v>37.46</v>
      </c>
      <c r="R51" s="197"/>
      <c r="S51" s="197"/>
      <c r="T51" s="197"/>
      <c r="U51" s="197"/>
    </row>
    <row r="52" spans="1:21" s="12" customFormat="1" x14ac:dyDescent="0.25">
      <c r="A52" s="200" t="s">
        <v>2210</v>
      </c>
      <c r="B52" s="59">
        <v>7.96</v>
      </c>
      <c r="C52" s="59">
        <v>78.239999999999995</v>
      </c>
      <c r="D52" s="59">
        <v>49.56</v>
      </c>
      <c r="E52" s="59">
        <v>10.34</v>
      </c>
      <c r="F52" s="59">
        <v>8.66</v>
      </c>
      <c r="G52" s="59">
        <v>77.5</v>
      </c>
      <c r="H52" s="59">
        <v>43.91</v>
      </c>
      <c r="I52" s="59">
        <v>0.38</v>
      </c>
      <c r="J52" s="59">
        <v>0.84</v>
      </c>
      <c r="K52" s="59">
        <v>47.44</v>
      </c>
      <c r="L52" s="59">
        <v>27.36</v>
      </c>
      <c r="M52" s="59">
        <v>27</v>
      </c>
      <c r="N52" s="59">
        <v>393.9</v>
      </c>
      <c r="O52" s="59">
        <v>0</v>
      </c>
      <c r="P52" s="59">
        <v>1.05</v>
      </c>
      <c r="Q52" s="59">
        <v>33.36</v>
      </c>
      <c r="R52" s="197"/>
      <c r="S52" s="197"/>
      <c r="T52" s="197"/>
      <c r="U52" s="197"/>
    </row>
    <row r="53" spans="1:21" s="12" customFormat="1" x14ac:dyDescent="0.25">
      <c r="A53" s="200" t="s">
        <v>2211</v>
      </c>
      <c r="B53" s="59">
        <v>9.25</v>
      </c>
      <c r="C53" s="59">
        <v>75.37</v>
      </c>
      <c r="D53" s="59">
        <v>49.01</v>
      </c>
      <c r="E53" s="59">
        <v>13.36</v>
      </c>
      <c r="F53" s="59">
        <v>14.14</v>
      </c>
      <c r="G53" s="59">
        <v>77.5</v>
      </c>
      <c r="H53" s="59">
        <v>43.91</v>
      </c>
      <c r="I53" s="59">
        <v>0.32</v>
      </c>
      <c r="J53" s="59">
        <v>1.1299999999999999</v>
      </c>
      <c r="K53" s="59">
        <v>26.34</v>
      </c>
      <c r="L53" s="59">
        <v>30.34</v>
      </c>
      <c r="M53" s="59">
        <v>22</v>
      </c>
      <c r="N53" s="59">
        <v>396.9</v>
      </c>
      <c r="O53" s="59">
        <v>0</v>
      </c>
      <c r="P53" s="59">
        <v>1.04</v>
      </c>
      <c r="Q53" s="59">
        <v>30.99</v>
      </c>
      <c r="R53" s="197"/>
      <c r="S53" s="197"/>
      <c r="T53" s="197"/>
      <c r="U53" s="197"/>
    </row>
    <row r="54" spans="1:21" s="12" customFormat="1" x14ac:dyDescent="0.25">
      <c r="A54" s="200" t="s">
        <v>2212</v>
      </c>
      <c r="B54" s="59">
        <v>9.8800000000000008</v>
      </c>
      <c r="C54" s="59">
        <v>77.739999999999995</v>
      </c>
      <c r="D54" s="59">
        <v>50.82</v>
      </c>
      <c r="E54" s="59">
        <v>14.86</v>
      </c>
      <c r="F54" s="59">
        <v>14.03</v>
      </c>
      <c r="G54" s="59">
        <v>69.31</v>
      </c>
      <c r="H54" s="59">
        <v>40.369999999999997</v>
      </c>
      <c r="I54" s="59">
        <v>0.24</v>
      </c>
      <c r="J54" s="59">
        <v>1.07</v>
      </c>
      <c r="K54" s="59">
        <v>20.86</v>
      </c>
      <c r="L54" s="59">
        <v>31.19</v>
      </c>
      <c r="M54" s="59">
        <v>21</v>
      </c>
      <c r="N54" s="59">
        <v>397.4</v>
      </c>
      <c r="O54" s="59">
        <v>0</v>
      </c>
      <c r="P54" s="59">
        <v>0.99</v>
      </c>
      <c r="Q54" s="59">
        <v>29.53</v>
      </c>
      <c r="R54" s="197"/>
      <c r="S54" s="197"/>
      <c r="T54" s="197"/>
      <c r="U54" s="197"/>
    </row>
    <row r="55" spans="1:21" s="12" customFormat="1" x14ac:dyDescent="0.25">
      <c r="A55" s="200" t="s">
        <v>2213</v>
      </c>
      <c r="B55" s="59">
        <v>9.81</v>
      </c>
      <c r="C55" s="59">
        <v>85.53</v>
      </c>
      <c r="D55" s="59">
        <v>55.07</v>
      </c>
      <c r="E55" s="59">
        <v>14.21</v>
      </c>
      <c r="F55" s="59">
        <v>8.48</v>
      </c>
      <c r="G55" s="59">
        <v>63.06</v>
      </c>
      <c r="H55" s="59">
        <v>35.74</v>
      </c>
      <c r="I55" s="59">
        <v>0.2</v>
      </c>
      <c r="J55" s="59">
        <v>0.73</v>
      </c>
      <c r="K55" s="59">
        <v>24.67</v>
      </c>
      <c r="L55" s="59">
        <v>31.65</v>
      </c>
      <c r="M55" s="59">
        <v>20</v>
      </c>
      <c r="N55" s="59">
        <v>396.5</v>
      </c>
      <c r="O55" s="59">
        <v>0</v>
      </c>
      <c r="P55" s="59">
        <v>1</v>
      </c>
      <c r="Q55" s="59">
        <v>28.33</v>
      </c>
      <c r="R55" s="197"/>
      <c r="S55" s="197"/>
      <c r="T55" s="197"/>
      <c r="U55" s="197"/>
    </row>
    <row r="56" spans="1:21" s="12" customFormat="1" x14ac:dyDescent="0.25">
      <c r="A56" s="200" t="s">
        <v>2214</v>
      </c>
      <c r="B56" s="59">
        <v>9.69</v>
      </c>
      <c r="C56" s="59">
        <v>86.25</v>
      </c>
      <c r="D56" s="59">
        <v>55.36</v>
      </c>
      <c r="E56" s="59">
        <v>6.61</v>
      </c>
      <c r="F56" s="59">
        <v>10.130000000000001</v>
      </c>
      <c r="G56" s="59">
        <v>63.06</v>
      </c>
      <c r="H56" s="59">
        <v>35.74</v>
      </c>
      <c r="I56" s="59">
        <v>0.19</v>
      </c>
      <c r="J56" s="59">
        <v>0.93</v>
      </c>
      <c r="K56" s="59">
        <v>42.68</v>
      </c>
      <c r="L56" s="59">
        <v>31.84</v>
      </c>
      <c r="M56" s="59">
        <v>21</v>
      </c>
      <c r="N56" s="59">
        <v>394.6</v>
      </c>
      <c r="O56" s="59">
        <v>0</v>
      </c>
      <c r="P56" s="59">
        <v>0.96</v>
      </c>
      <c r="Q56" s="59">
        <v>27.56</v>
      </c>
      <c r="R56" s="197"/>
      <c r="S56" s="197"/>
      <c r="T56" s="197"/>
      <c r="U56" s="197"/>
    </row>
    <row r="57" spans="1:21" s="12" customFormat="1" x14ac:dyDescent="0.25">
      <c r="A57" s="200" t="s">
        <v>2215</v>
      </c>
      <c r="B57" s="59">
        <v>7.87</v>
      </c>
      <c r="C57" s="59">
        <v>89.77</v>
      </c>
      <c r="D57" s="59">
        <v>55.85</v>
      </c>
      <c r="E57" s="59">
        <v>7.59</v>
      </c>
      <c r="F57" s="59">
        <v>4.0199999999999996</v>
      </c>
      <c r="G57" s="59">
        <v>63.06</v>
      </c>
      <c r="H57" s="59">
        <v>35.74</v>
      </c>
      <c r="I57" s="59">
        <v>0.2</v>
      </c>
      <c r="J57" s="59">
        <v>0.56999999999999995</v>
      </c>
      <c r="K57" s="59">
        <v>74.38</v>
      </c>
      <c r="L57" s="59">
        <v>29.45</v>
      </c>
      <c r="M57" s="59">
        <v>24</v>
      </c>
      <c r="N57" s="59">
        <v>389.9</v>
      </c>
      <c r="O57" s="59">
        <v>0</v>
      </c>
      <c r="P57" s="59">
        <v>0.97</v>
      </c>
      <c r="Q57" s="59">
        <v>28.69</v>
      </c>
      <c r="R57" s="197"/>
      <c r="S57" s="197"/>
      <c r="T57" s="197"/>
      <c r="U57" s="197"/>
    </row>
    <row r="58" spans="1:21" s="12" customFormat="1" x14ac:dyDescent="0.25">
      <c r="A58" s="200" t="s">
        <v>2216</v>
      </c>
      <c r="B58" s="59">
        <v>10.34</v>
      </c>
      <c r="C58" s="59">
        <v>88.34</v>
      </c>
      <c r="D58" s="59">
        <v>57.05</v>
      </c>
      <c r="E58" s="59">
        <v>8.4</v>
      </c>
      <c r="F58" s="59">
        <v>3.67</v>
      </c>
      <c r="G58" s="59">
        <v>60.91</v>
      </c>
      <c r="H58" s="59">
        <v>33.86</v>
      </c>
      <c r="I58" s="59">
        <v>0.19</v>
      </c>
      <c r="J58" s="59">
        <v>0.81</v>
      </c>
      <c r="K58" s="59">
        <v>48.07</v>
      </c>
      <c r="L58" s="59">
        <v>30.09</v>
      </c>
      <c r="M58" s="59">
        <v>23</v>
      </c>
      <c r="N58" s="59">
        <v>389.7</v>
      </c>
      <c r="O58" s="59">
        <v>0</v>
      </c>
      <c r="P58" s="59">
        <v>0.94</v>
      </c>
      <c r="Q58" s="59">
        <v>28.95</v>
      </c>
      <c r="R58" s="197"/>
      <c r="S58" s="197"/>
      <c r="T58" s="197"/>
      <c r="U58" s="197"/>
    </row>
    <row r="59" spans="1:21" s="12" customFormat="1" x14ac:dyDescent="0.25">
      <c r="A59" s="200" t="s">
        <v>2217</v>
      </c>
      <c r="B59" s="59">
        <v>7.55</v>
      </c>
      <c r="C59" s="59">
        <v>88.64</v>
      </c>
      <c r="D59" s="59">
        <v>54.98</v>
      </c>
      <c r="E59" s="59">
        <v>8.99</v>
      </c>
      <c r="F59" s="59">
        <v>4.5</v>
      </c>
      <c r="G59" s="59">
        <v>56.28</v>
      </c>
      <c r="H59" s="59">
        <v>31.41</v>
      </c>
      <c r="I59" s="59">
        <v>0.2</v>
      </c>
      <c r="J59" s="59">
        <v>0.53</v>
      </c>
      <c r="K59" s="59">
        <v>43.81</v>
      </c>
      <c r="L59" s="59">
        <v>31.03</v>
      </c>
      <c r="M59" s="59">
        <v>21</v>
      </c>
      <c r="N59" s="59">
        <v>382.3</v>
      </c>
      <c r="O59" s="59">
        <v>0</v>
      </c>
      <c r="P59" s="59">
        <v>0.93</v>
      </c>
      <c r="Q59" s="59">
        <v>29.26</v>
      </c>
      <c r="R59" s="197"/>
      <c r="S59" s="197"/>
      <c r="T59" s="197"/>
      <c r="U59" s="197"/>
    </row>
    <row r="60" spans="1:21" s="12" customFormat="1" x14ac:dyDescent="0.25">
      <c r="A60" s="200" t="s">
        <v>2218</v>
      </c>
      <c r="B60" s="59">
        <v>7.35</v>
      </c>
      <c r="C60" s="59">
        <v>88.2</v>
      </c>
      <c r="D60" s="59">
        <v>54.57</v>
      </c>
      <c r="E60" s="59">
        <v>7.9</v>
      </c>
      <c r="F60" s="59">
        <v>4.12</v>
      </c>
      <c r="G60" s="59">
        <v>56.28</v>
      </c>
      <c r="H60" s="59">
        <v>31.41</v>
      </c>
      <c r="I60" s="59">
        <v>0.19</v>
      </c>
      <c r="J60" s="59">
        <v>0.69</v>
      </c>
      <c r="K60" s="59">
        <v>73.47</v>
      </c>
      <c r="L60" s="59">
        <v>29.91</v>
      </c>
      <c r="M60" s="59">
        <v>23</v>
      </c>
      <c r="N60" s="59">
        <v>382.4</v>
      </c>
      <c r="O60" s="59">
        <v>0</v>
      </c>
      <c r="P60" s="59">
        <v>0.92</v>
      </c>
      <c r="Q60" s="59">
        <v>29.55</v>
      </c>
      <c r="R60" s="197"/>
      <c r="S60" s="197"/>
      <c r="T60" s="197"/>
      <c r="U60" s="197"/>
    </row>
    <row r="61" spans="1:21" s="12" customFormat="1" x14ac:dyDescent="0.25">
      <c r="A61" s="200" t="s">
        <v>2219</v>
      </c>
      <c r="B61" s="59">
        <v>6.57</v>
      </c>
      <c r="C61" s="59">
        <v>87.74</v>
      </c>
      <c r="D61" s="59">
        <v>53.69</v>
      </c>
      <c r="E61" s="59">
        <v>10.55</v>
      </c>
      <c r="F61" s="59">
        <v>7.04</v>
      </c>
      <c r="G61" s="59">
        <v>56.28</v>
      </c>
      <c r="H61" s="59">
        <v>31.41</v>
      </c>
      <c r="I61" s="59">
        <v>0.19</v>
      </c>
      <c r="J61" s="59">
        <v>0.87</v>
      </c>
      <c r="K61" s="59">
        <v>30.09</v>
      </c>
      <c r="L61" s="59">
        <v>30.93</v>
      </c>
      <c r="M61" s="59">
        <v>21</v>
      </c>
      <c r="N61" s="59">
        <v>375</v>
      </c>
      <c r="O61" s="59">
        <v>0</v>
      </c>
      <c r="P61" s="59">
        <v>0.95</v>
      </c>
      <c r="Q61" s="59">
        <v>29.16</v>
      </c>
      <c r="R61" s="197"/>
      <c r="S61" s="197"/>
      <c r="T61" s="197"/>
      <c r="U61" s="197"/>
    </row>
    <row r="62" spans="1:21" s="12" customFormat="1" x14ac:dyDescent="0.25">
      <c r="A62" s="200" t="s">
        <v>2220</v>
      </c>
      <c r="B62" s="59">
        <v>6.1</v>
      </c>
      <c r="C62" s="59">
        <v>84.29</v>
      </c>
      <c r="D62" s="59">
        <v>51.41</v>
      </c>
      <c r="E62" s="59">
        <v>11.28</v>
      </c>
      <c r="F62" s="59">
        <v>7.36</v>
      </c>
      <c r="G62" s="59">
        <v>54.25</v>
      </c>
      <c r="H62" s="59">
        <v>29.86</v>
      </c>
      <c r="I62" s="59">
        <v>0.19</v>
      </c>
      <c r="J62" s="59">
        <v>0.85</v>
      </c>
      <c r="K62" s="59">
        <v>56.71</v>
      </c>
      <c r="L62" s="59">
        <v>31.13</v>
      </c>
      <c r="M62" s="59">
        <v>20</v>
      </c>
      <c r="N62" s="59">
        <v>360.2</v>
      </c>
      <c r="O62" s="59">
        <v>0</v>
      </c>
      <c r="P62" s="59">
        <v>1.03</v>
      </c>
      <c r="Q62" s="59">
        <v>28.72</v>
      </c>
      <c r="R62" s="197"/>
      <c r="S62" s="197"/>
      <c r="T62" s="197"/>
      <c r="U62" s="197"/>
    </row>
    <row r="63" spans="1:21" s="12" customFormat="1" x14ac:dyDescent="0.25">
      <c r="A63" s="200" t="s">
        <v>2221</v>
      </c>
      <c r="B63" s="59">
        <v>4.76</v>
      </c>
      <c r="C63" s="59">
        <v>84.37</v>
      </c>
      <c r="D63" s="59">
        <v>50.38</v>
      </c>
      <c r="E63" s="59">
        <v>9.58</v>
      </c>
      <c r="F63" s="59">
        <v>4.91</v>
      </c>
      <c r="G63" s="59">
        <v>52.76</v>
      </c>
      <c r="H63" s="59">
        <v>27.84</v>
      </c>
      <c r="I63" s="59">
        <v>0.18</v>
      </c>
      <c r="J63" s="59">
        <v>0.7</v>
      </c>
      <c r="K63" s="59">
        <v>86.37</v>
      </c>
      <c r="L63" s="59">
        <v>28.94</v>
      </c>
      <c r="M63" s="59">
        <v>22</v>
      </c>
      <c r="N63" s="59">
        <v>342.5</v>
      </c>
      <c r="O63" s="59">
        <v>0</v>
      </c>
      <c r="P63" s="59">
        <v>1.02</v>
      </c>
      <c r="Q63" s="59">
        <v>27.86</v>
      </c>
      <c r="R63" s="197"/>
      <c r="S63" s="197"/>
      <c r="T63" s="197"/>
      <c r="U63" s="197"/>
    </row>
    <row r="64" spans="1:21" s="12" customFormat="1" x14ac:dyDescent="0.25">
      <c r="A64" s="200" t="s">
        <v>2222</v>
      </c>
      <c r="B64" s="59">
        <v>4.92</v>
      </c>
      <c r="C64" s="59">
        <v>82.91</v>
      </c>
      <c r="D64" s="59">
        <v>49.7</v>
      </c>
      <c r="E64" s="59">
        <v>12.17</v>
      </c>
      <c r="F64" s="59">
        <v>4.87</v>
      </c>
      <c r="G64" s="59">
        <v>52.76</v>
      </c>
      <c r="H64" s="59">
        <v>27.84</v>
      </c>
      <c r="I64" s="59">
        <v>0.17</v>
      </c>
      <c r="J64" s="59">
        <v>0.67</v>
      </c>
      <c r="K64" s="59">
        <v>41.66</v>
      </c>
      <c r="L64" s="59">
        <v>30.5</v>
      </c>
      <c r="M64" s="59">
        <v>21</v>
      </c>
      <c r="N64" s="59">
        <v>319.8</v>
      </c>
      <c r="O64" s="59">
        <v>0</v>
      </c>
      <c r="P64" s="59">
        <v>1.03</v>
      </c>
      <c r="Q64" s="59">
        <v>28.22</v>
      </c>
      <c r="R64" s="197"/>
      <c r="S64" s="197"/>
      <c r="T64" s="197"/>
      <c r="U64" s="197"/>
    </row>
    <row r="65" spans="1:21" s="12" customFormat="1" x14ac:dyDescent="0.25">
      <c r="A65" s="200" t="s">
        <v>2223</v>
      </c>
      <c r="B65" s="59">
        <v>5.44</v>
      </c>
      <c r="C65" s="59">
        <v>83.4</v>
      </c>
      <c r="D65" s="59">
        <v>50.39</v>
      </c>
      <c r="E65" s="59">
        <v>11.31</v>
      </c>
      <c r="F65" s="59">
        <v>7.45</v>
      </c>
      <c r="G65" s="59">
        <v>52.76</v>
      </c>
      <c r="H65" s="59">
        <v>27.84</v>
      </c>
      <c r="I65" s="59">
        <v>0.17</v>
      </c>
      <c r="J65" s="59">
        <v>1.19</v>
      </c>
      <c r="K65" s="59">
        <v>26.38</v>
      </c>
      <c r="L65" s="59">
        <v>31.13</v>
      </c>
      <c r="M65" s="59">
        <v>20</v>
      </c>
      <c r="N65" s="59">
        <v>303.10000000000002</v>
      </c>
      <c r="O65" s="59">
        <v>0</v>
      </c>
      <c r="P65" s="59">
        <v>1.04</v>
      </c>
      <c r="Q65" s="59">
        <v>29.03</v>
      </c>
      <c r="R65" s="197"/>
      <c r="S65" s="197"/>
      <c r="T65" s="197"/>
      <c r="U65" s="197"/>
    </row>
    <row r="66" spans="1:21" s="12" customFormat="1" x14ac:dyDescent="0.25">
      <c r="A66" s="200" t="s">
        <v>2224</v>
      </c>
      <c r="B66" s="59">
        <v>6.63</v>
      </c>
      <c r="C66" s="59">
        <v>82.29</v>
      </c>
      <c r="D66" s="59">
        <v>50.73</v>
      </c>
      <c r="E66" s="59">
        <v>17.29</v>
      </c>
      <c r="F66" s="59">
        <v>11.61</v>
      </c>
      <c r="G66" s="59">
        <v>59.56</v>
      </c>
      <c r="H66" s="59">
        <v>27.29</v>
      </c>
      <c r="I66" s="59">
        <v>0.18</v>
      </c>
      <c r="J66" s="59">
        <v>0.64</v>
      </c>
      <c r="K66" s="59">
        <v>37.29</v>
      </c>
      <c r="L66" s="59">
        <v>31.2</v>
      </c>
      <c r="M66" s="59">
        <v>19</v>
      </c>
      <c r="N66" s="59">
        <v>174.7</v>
      </c>
      <c r="O66" s="59">
        <v>0</v>
      </c>
      <c r="P66" s="59">
        <v>1.05</v>
      </c>
      <c r="Q66" s="59">
        <v>29.42</v>
      </c>
      <c r="R66" s="197"/>
      <c r="S66" s="197"/>
      <c r="T66" s="197"/>
      <c r="U66" s="197"/>
    </row>
    <row r="67" spans="1:21" s="12" customFormat="1" x14ac:dyDescent="0.25">
      <c r="A67" s="200" t="s">
        <v>2225</v>
      </c>
      <c r="B67" s="59">
        <v>6.12</v>
      </c>
      <c r="C67" s="59">
        <v>79.95</v>
      </c>
      <c r="D67" s="59">
        <v>49.03</v>
      </c>
      <c r="E67" s="59">
        <v>9.61</v>
      </c>
      <c r="F67" s="59">
        <v>6.19</v>
      </c>
      <c r="G67" s="59">
        <v>64.709999999999994</v>
      </c>
      <c r="H67" s="59">
        <v>26.59</v>
      </c>
      <c r="I67" s="59">
        <v>0.19</v>
      </c>
      <c r="J67" s="59">
        <v>0.6</v>
      </c>
      <c r="K67" s="59">
        <v>70.510000000000005</v>
      </c>
      <c r="L67" s="59">
        <v>29.24</v>
      </c>
      <c r="M67" s="59">
        <v>23</v>
      </c>
      <c r="N67" s="59">
        <v>150.4</v>
      </c>
      <c r="O67" s="59">
        <v>0</v>
      </c>
      <c r="P67" s="59">
        <v>1.06</v>
      </c>
      <c r="Q67" s="59">
        <v>30.06</v>
      </c>
      <c r="R67" s="197"/>
      <c r="S67" s="197"/>
      <c r="T67" s="197"/>
      <c r="U67" s="197"/>
    </row>
    <row r="68" spans="1:21" s="12" customFormat="1" x14ac:dyDescent="0.25">
      <c r="A68" s="200" t="s">
        <v>2226</v>
      </c>
      <c r="B68" s="59">
        <v>6.82</v>
      </c>
      <c r="C68" s="59">
        <v>78.42</v>
      </c>
      <c r="D68" s="59">
        <v>48.75</v>
      </c>
      <c r="E68" s="59">
        <v>8.64</v>
      </c>
      <c r="F68" s="59">
        <v>3.22</v>
      </c>
      <c r="G68" s="59">
        <v>64.709999999999994</v>
      </c>
      <c r="H68" s="59">
        <v>26.59</v>
      </c>
      <c r="I68" s="59">
        <v>0.18</v>
      </c>
      <c r="J68" s="59">
        <v>0.57999999999999996</v>
      </c>
      <c r="K68" s="59">
        <v>48.12</v>
      </c>
      <c r="L68" s="59">
        <v>28.2</v>
      </c>
      <c r="M68" s="59">
        <v>30</v>
      </c>
      <c r="N68" s="59">
        <v>229.2</v>
      </c>
      <c r="O68" s="59">
        <v>0</v>
      </c>
      <c r="P68" s="59">
        <v>1.07</v>
      </c>
      <c r="Q68" s="59">
        <v>31.23</v>
      </c>
      <c r="R68" s="197"/>
      <c r="S68" s="197"/>
      <c r="T68" s="197"/>
      <c r="U68" s="197"/>
    </row>
    <row r="69" spans="1:21" s="12" customFormat="1" x14ac:dyDescent="0.25">
      <c r="A69" s="200" t="s">
        <v>2227</v>
      </c>
      <c r="B69" s="59">
        <v>7.97</v>
      </c>
      <c r="C69" s="59">
        <v>77.760000000000005</v>
      </c>
      <c r="D69" s="59">
        <v>49.31</v>
      </c>
      <c r="E69" s="59">
        <v>11.12</v>
      </c>
      <c r="F69" s="59">
        <v>8.2799999999999994</v>
      </c>
      <c r="G69" s="59">
        <v>64.709999999999994</v>
      </c>
      <c r="H69" s="59">
        <v>26.59</v>
      </c>
      <c r="I69" s="59">
        <v>0.21</v>
      </c>
      <c r="J69" s="59">
        <v>0.76</v>
      </c>
      <c r="K69" s="59">
        <v>31.99</v>
      </c>
      <c r="L69" s="59">
        <v>28.02</v>
      </c>
      <c r="M69" s="59">
        <v>28</v>
      </c>
      <c r="N69" s="59">
        <v>208.9</v>
      </c>
      <c r="O69" s="59">
        <v>0</v>
      </c>
      <c r="P69" s="59">
        <v>1.0900000000000001</v>
      </c>
      <c r="Q69" s="59">
        <v>32.380000000000003</v>
      </c>
      <c r="R69" s="197"/>
      <c r="S69" s="197"/>
      <c r="T69" s="197"/>
      <c r="U69" s="197"/>
    </row>
    <row r="70" spans="1:21" s="12" customFormat="1" x14ac:dyDescent="0.25">
      <c r="A70" s="200" t="s">
        <v>2228</v>
      </c>
      <c r="B70" s="59">
        <v>6.29</v>
      </c>
      <c r="C70" s="59">
        <v>79.739999999999995</v>
      </c>
      <c r="D70" s="59">
        <v>49.05</v>
      </c>
      <c r="E70" s="59">
        <v>17.79</v>
      </c>
      <c r="F70" s="59">
        <v>13.54</v>
      </c>
      <c r="G70" s="59">
        <v>57.67</v>
      </c>
      <c r="H70" s="59">
        <v>26.34</v>
      </c>
      <c r="I70" s="59">
        <v>0.21</v>
      </c>
      <c r="J70" s="59">
        <v>0.67</v>
      </c>
      <c r="K70" s="59">
        <v>46.66</v>
      </c>
      <c r="L70" s="59">
        <v>27.3</v>
      </c>
      <c r="M70" s="59">
        <v>30</v>
      </c>
      <c r="N70" s="59">
        <v>149.4</v>
      </c>
      <c r="O70" s="59">
        <v>0</v>
      </c>
      <c r="P70" s="59">
        <v>1.06</v>
      </c>
      <c r="Q70" s="59">
        <v>32.36</v>
      </c>
      <c r="R70" s="197"/>
      <c r="S70" s="197"/>
      <c r="T70" s="197"/>
      <c r="U70" s="197"/>
    </row>
    <row r="71" spans="1:21" s="12" customFormat="1" x14ac:dyDescent="0.25">
      <c r="A71" s="200" t="s">
        <v>2229</v>
      </c>
      <c r="B71" s="59">
        <v>5.92</v>
      </c>
      <c r="C71" s="59">
        <v>90.2</v>
      </c>
      <c r="D71" s="59">
        <v>54.52</v>
      </c>
      <c r="E71" s="59">
        <v>13.57</v>
      </c>
      <c r="F71" s="59">
        <v>9.31</v>
      </c>
      <c r="G71" s="59">
        <v>52.34</v>
      </c>
      <c r="H71" s="59">
        <v>26.02</v>
      </c>
      <c r="I71" s="59">
        <v>0.21</v>
      </c>
      <c r="J71" s="59">
        <v>0.63</v>
      </c>
      <c r="K71" s="59">
        <v>55.47</v>
      </c>
      <c r="L71" s="59">
        <v>27.17</v>
      </c>
      <c r="M71" s="59">
        <v>28</v>
      </c>
      <c r="N71" s="59">
        <v>153.30000000000001</v>
      </c>
      <c r="O71" s="59">
        <v>0</v>
      </c>
      <c r="P71" s="59">
        <v>1.1299999999999999</v>
      </c>
      <c r="Q71" s="59">
        <v>32.46</v>
      </c>
      <c r="R71" s="197"/>
      <c r="S71" s="197"/>
      <c r="T71" s="197"/>
      <c r="U71" s="197"/>
    </row>
    <row r="72" spans="1:21" s="12" customFormat="1" x14ac:dyDescent="0.25">
      <c r="A72" s="200" t="s">
        <v>2230</v>
      </c>
      <c r="B72" s="59">
        <v>4.45</v>
      </c>
      <c r="C72" s="59">
        <v>87.16</v>
      </c>
      <c r="D72" s="59">
        <v>51.67</v>
      </c>
      <c r="E72" s="59">
        <v>5.0199999999999996</v>
      </c>
      <c r="F72" s="59">
        <v>8.7899999999999991</v>
      </c>
      <c r="G72" s="59">
        <v>52.34</v>
      </c>
      <c r="H72" s="59">
        <v>26.02</v>
      </c>
      <c r="I72" s="59">
        <v>0.19</v>
      </c>
      <c r="J72" s="59">
        <v>0.37</v>
      </c>
      <c r="K72" s="59">
        <v>40.57</v>
      </c>
      <c r="L72" s="59">
        <v>26.86</v>
      </c>
      <c r="M72" s="59">
        <v>31</v>
      </c>
      <c r="N72" s="59">
        <v>78.099999999999994</v>
      </c>
      <c r="O72" s="59">
        <v>0</v>
      </c>
      <c r="P72" s="59">
        <v>1.1100000000000001</v>
      </c>
      <c r="Q72" s="59">
        <v>32.22</v>
      </c>
      <c r="R72" s="197"/>
      <c r="S72" s="197"/>
      <c r="T72" s="197"/>
      <c r="U72" s="197"/>
    </row>
    <row r="73" spans="1:21" s="12" customFormat="1" x14ac:dyDescent="0.25">
      <c r="A73" s="200" t="s">
        <v>2231</v>
      </c>
      <c r="B73" s="59">
        <v>4.88</v>
      </c>
      <c r="C73" s="59">
        <v>89.33</v>
      </c>
      <c r="D73" s="59">
        <v>53.21</v>
      </c>
      <c r="E73" s="59">
        <v>9.2100000000000009</v>
      </c>
      <c r="F73" s="59">
        <v>7.9</v>
      </c>
      <c r="G73" s="59">
        <v>52.34</v>
      </c>
      <c r="H73" s="59">
        <v>26.02</v>
      </c>
      <c r="I73" s="59">
        <v>0.2</v>
      </c>
      <c r="J73" s="59">
        <v>0.44</v>
      </c>
      <c r="K73" s="59">
        <v>29.49</v>
      </c>
      <c r="L73" s="59">
        <v>26.38</v>
      </c>
      <c r="M73" s="59">
        <v>30</v>
      </c>
      <c r="N73" s="59">
        <v>55.4</v>
      </c>
      <c r="O73" s="59">
        <v>0</v>
      </c>
      <c r="P73" s="59">
        <v>1.1100000000000001</v>
      </c>
      <c r="Q73" s="59">
        <v>30.46</v>
      </c>
      <c r="R73" s="197"/>
      <c r="S73" s="197"/>
      <c r="T73" s="197"/>
      <c r="U73" s="197"/>
    </row>
    <row r="74" spans="1:21" s="12" customFormat="1" x14ac:dyDescent="0.25">
      <c r="A74" s="200" t="s">
        <v>2232</v>
      </c>
      <c r="B74" s="59">
        <v>6.36</v>
      </c>
      <c r="C74" s="59">
        <v>89.94</v>
      </c>
      <c r="D74" s="59">
        <v>54.74</v>
      </c>
      <c r="E74" s="59">
        <v>10.97</v>
      </c>
      <c r="F74" s="59">
        <v>7.88</v>
      </c>
      <c r="G74" s="59">
        <v>54.65</v>
      </c>
      <c r="H74" s="59">
        <v>27.24</v>
      </c>
      <c r="I74" s="59">
        <v>0.19</v>
      </c>
      <c r="J74" s="59">
        <v>0.91</v>
      </c>
      <c r="K74" s="59">
        <v>31.86</v>
      </c>
      <c r="L74" s="59">
        <v>26.76</v>
      </c>
      <c r="M74" s="59">
        <v>24</v>
      </c>
      <c r="N74" s="59">
        <v>47</v>
      </c>
      <c r="O74" s="59">
        <v>0</v>
      </c>
      <c r="P74" s="59">
        <v>1.1499999999999999</v>
      </c>
      <c r="Q74" s="59">
        <v>29.42</v>
      </c>
      <c r="R74" s="197"/>
      <c r="S74" s="197"/>
      <c r="T74" s="197"/>
      <c r="U74" s="197"/>
    </row>
    <row r="75" spans="1:21" s="12" customFormat="1" x14ac:dyDescent="0.25">
      <c r="A75" s="200" t="s">
        <v>2233</v>
      </c>
      <c r="B75" s="59">
        <v>7.83</v>
      </c>
      <c r="C75" s="59">
        <v>95.88</v>
      </c>
      <c r="D75" s="59">
        <v>59.2</v>
      </c>
      <c r="E75" s="59">
        <v>6.81</v>
      </c>
      <c r="F75" s="59">
        <v>3.58</v>
      </c>
      <c r="G75" s="59">
        <v>59.27</v>
      </c>
      <c r="H75" s="59">
        <v>28.83</v>
      </c>
      <c r="I75" s="59">
        <v>0.19</v>
      </c>
      <c r="J75" s="59">
        <v>0.48</v>
      </c>
      <c r="K75" s="59">
        <v>25.06</v>
      </c>
      <c r="L75" s="59">
        <v>26.48</v>
      </c>
      <c r="M75" s="59">
        <v>25</v>
      </c>
      <c r="N75" s="59">
        <v>40.5</v>
      </c>
      <c r="O75" s="59">
        <v>0</v>
      </c>
      <c r="P75" s="59">
        <v>1.21</v>
      </c>
      <c r="Q75" s="59">
        <v>29.87</v>
      </c>
      <c r="R75" s="197"/>
      <c r="S75" s="197"/>
      <c r="T75" s="197"/>
      <c r="U75" s="197"/>
    </row>
    <row r="76" spans="1:21" s="12" customFormat="1" x14ac:dyDescent="0.25">
      <c r="A76" s="200" t="s">
        <v>2234</v>
      </c>
      <c r="B76" s="59">
        <v>8.93</v>
      </c>
      <c r="C76" s="59">
        <v>100.85</v>
      </c>
      <c r="D76" s="59">
        <v>62.82</v>
      </c>
      <c r="E76" s="59">
        <v>5.67</v>
      </c>
      <c r="F76" s="59">
        <v>1.95</v>
      </c>
      <c r="G76" s="59">
        <v>59.27</v>
      </c>
      <c r="H76" s="59">
        <v>28.83</v>
      </c>
      <c r="I76" s="59">
        <v>0.18</v>
      </c>
      <c r="J76" s="59">
        <v>0.52</v>
      </c>
      <c r="K76" s="59">
        <v>20.28</v>
      </c>
      <c r="L76" s="59">
        <v>26.06</v>
      </c>
      <c r="M76" s="59">
        <v>27</v>
      </c>
      <c r="N76" s="59">
        <v>36.299999999999997</v>
      </c>
      <c r="O76" s="59">
        <v>0</v>
      </c>
      <c r="P76" s="59">
        <v>1.3</v>
      </c>
      <c r="Q76" s="59">
        <v>30.91</v>
      </c>
      <c r="R76" s="197"/>
      <c r="S76" s="197"/>
      <c r="T76" s="197"/>
      <c r="U76" s="197"/>
    </row>
    <row r="77" spans="1:21" s="12" customFormat="1" x14ac:dyDescent="0.25">
      <c r="A77" s="200" t="s">
        <v>2235</v>
      </c>
      <c r="B77" s="59">
        <v>11.65</v>
      </c>
      <c r="C77" s="59">
        <v>106.42</v>
      </c>
      <c r="D77" s="59">
        <v>68.069999999999993</v>
      </c>
      <c r="E77" s="59">
        <v>6.05</v>
      </c>
      <c r="F77" s="59">
        <v>1.63</v>
      </c>
      <c r="G77" s="59">
        <v>59.27</v>
      </c>
      <c r="H77" s="59">
        <v>28.83</v>
      </c>
      <c r="I77" s="59">
        <v>0.21</v>
      </c>
      <c r="J77" s="59">
        <v>0.25</v>
      </c>
      <c r="K77" s="59">
        <v>30.01</v>
      </c>
      <c r="L77" s="59">
        <v>25.45</v>
      </c>
      <c r="M77" s="59">
        <v>29</v>
      </c>
      <c r="N77" s="59">
        <v>30.8</v>
      </c>
      <c r="O77" s="59">
        <v>0</v>
      </c>
      <c r="P77" s="59">
        <v>1.44</v>
      </c>
      <c r="Q77" s="59">
        <v>31.97</v>
      </c>
      <c r="R77" s="197"/>
      <c r="S77" s="197"/>
      <c r="T77" s="197"/>
      <c r="U77" s="197"/>
    </row>
    <row r="78" spans="1:21" s="12" customFormat="1" x14ac:dyDescent="0.25">
      <c r="A78" s="200" t="s">
        <v>2236</v>
      </c>
      <c r="B78" s="59">
        <v>13.65</v>
      </c>
      <c r="C78" s="59">
        <v>108.74</v>
      </c>
      <c r="D78" s="59">
        <v>70.959999999999994</v>
      </c>
      <c r="E78" s="59">
        <v>7.38</v>
      </c>
      <c r="F78" s="59">
        <v>2.86</v>
      </c>
      <c r="G78" s="59">
        <v>66.8</v>
      </c>
      <c r="H78" s="59">
        <v>31.5</v>
      </c>
      <c r="I78" s="59">
        <v>0.22</v>
      </c>
      <c r="J78" s="59">
        <v>0.18</v>
      </c>
      <c r="K78" s="59">
        <v>51.5</v>
      </c>
      <c r="L78" s="59">
        <v>24.65</v>
      </c>
      <c r="M78" s="59">
        <v>35</v>
      </c>
      <c r="N78" s="59">
        <v>26.2</v>
      </c>
      <c r="O78" s="59">
        <v>0</v>
      </c>
      <c r="P78" s="59">
        <v>1.55</v>
      </c>
      <c r="Q78" s="59">
        <v>32.35</v>
      </c>
      <c r="R78" s="197"/>
      <c r="S78" s="197"/>
      <c r="T78" s="197"/>
      <c r="U78" s="197"/>
    </row>
    <row r="79" spans="1:21" s="12" customFormat="1" x14ac:dyDescent="0.25">
      <c r="A79" s="200" t="s">
        <v>2237</v>
      </c>
      <c r="B79" s="59">
        <v>17.57</v>
      </c>
      <c r="C79" s="59">
        <v>112.94</v>
      </c>
      <c r="D79" s="59">
        <v>76.42</v>
      </c>
      <c r="E79" s="59">
        <v>5.93</v>
      </c>
      <c r="F79" s="59">
        <v>1.01</v>
      </c>
      <c r="G79" s="59">
        <v>72.349999999999994</v>
      </c>
      <c r="H79" s="59">
        <v>34.99</v>
      </c>
      <c r="I79" s="59">
        <v>0.25</v>
      </c>
      <c r="J79" s="59">
        <v>0.18</v>
      </c>
      <c r="K79" s="59">
        <v>60.81</v>
      </c>
      <c r="L79" s="59">
        <v>24.06</v>
      </c>
      <c r="M79" s="59">
        <v>35</v>
      </c>
      <c r="N79" s="59">
        <v>24.5</v>
      </c>
      <c r="O79" s="59">
        <v>0</v>
      </c>
      <c r="P79" s="59">
        <v>1.62</v>
      </c>
      <c r="Q79" s="59">
        <v>32.770000000000003</v>
      </c>
      <c r="R79" s="197"/>
      <c r="S79" s="197"/>
      <c r="T79" s="197"/>
      <c r="U79" s="197"/>
    </row>
    <row r="80" spans="1:21" s="12" customFormat="1" x14ac:dyDescent="0.25">
      <c r="A80" s="200" t="s">
        <v>2238</v>
      </c>
      <c r="B80" s="59">
        <v>15.41</v>
      </c>
      <c r="C80" s="59">
        <v>110.19</v>
      </c>
      <c r="D80" s="59">
        <v>73.17</v>
      </c>
      <c r="E80" s="59">
        <v>5.27</v>
      </c>
      <c r="F80" s="59">
        <v>1.18</v>
      </c>
      <c r="G80" s="59">
        <v>72.349999999999994</v>
      </c>
      <c r="H80" s="59">
        <v>34.99</v>
      </c>
      <c r="I80" s="59">
        <v>0.28000000000000003</v>
      </c>
      <c r="J80" s="59">
        <v>0.21</v>
      </c>
      <c r="K80" s="59">
        <v>88.23</v>
      </c>
      <c r="L80" s="59">
        <v>23.85</v>
      </c>
      <c r="M80" s="59">
        <v>32</v>
      </c>
      <c r="N80" s="59">
        <v>24.3</v>
      </c>
      <c r="O80" s="59">
        <v>0</v>
      </c>
      <c r="P80" s="59">
        <v>1.66</v>
      </c>
      <c r="Q80" s="59">
        <v>34.15</v>
      </c>
      <c r="R80" s="197"/>
      <c r="S80" s="197"/>
      <c r="T80" s="197"/>
      <c r="U80" s="197"/>
    </row>
    <row r="81" spans="1:26" s="12" customFormat="1" x14ac:dyDescent="0.25">
      <c r="A81" s="200" t="s">
        <v>2239</v>
      </c>
      <c r="B81" s="59">
        <v>18.309999999999999</v>
      </c>
      <c r="C81" s="59">
        <v>111.69</v>
      </c>
      <c r="D81" s="59">
        <v>76.319999999999993</v>
      </c>
      <c r="E81" s="59">
        <v>5.43</v>
      </c>
      <c r="F81" s="59">
        <v>0.47</v>
      </c>
      <c r="G81" s="59">
        <v>72.349999999999994</v>
      </c>
      <c r="H81" s="59">
        <v>34.99</v>
      </c>
      <c r="I81" s="59">
        <v>0.32</v>
      </c>
      <c r="J81" s="59">
        <v>0.28000000000000003</v>
      </c>
      <c r="K81" s="59">
        <v>94.46</v>
      </c>
      <c r="L81" s="59">
        <v>23.53</v>
      </c>
      <c r="M81" s="59">
        <v>34</v>
      </c>
      <c r="N81" s="59">
        <v>24.1</v>
      </c>
      <c r="O81" s="59">
        <v>0</v>
      </c>
      <c r="P81" s="59">
        <v>1.72</v>
      </c>
      <c r="Q81" s="59">
        <v>35.51</v>
      </c>
      <c r="R81" s="197"/>
      <c r="S81" s="197"/>
      <c r="T81" s="197"/>
      <c r="U81" s="197"/>
    </row>
    <row r="82" spans="1:26" s="12" customFormat="1" x14ac:dyDescent="0.25">
      <c r="A82" s="200" t="s">
        <v>2240</v>
      </c>
      <c r="B82" s="59">
        <v>20.73</v>
      </c>
      <c r="C82" s="59">
        <v>108.19</v>
      </c>
      <c r="D82" s="59">
        <v>76.33</v>
      </c>
      <c r="E82" s="59">
        <v>5.41</v>
      </c>
      <c r="F82" s="59">
        <v>0.27</v>
      </c>
      <c r="G82" s="59">
        <v>87.62</v>
      </c>
      <c r="H82" s="59">
        <v>36.53</v>
      </c>
      <c r="I82" s="59">
        <v>0.35</v>
      </c>
      <c r="J82" s="59">
        <v>0.11</v>
      </c>
      <c r="K82" s="59">
        <v>21.47</v>
      </c>
      <c r="L82" s="59">
        <v>22.53</v>
      </c>
      <c r="M82" s="59">
        <v>40</v>
      </c>
      <c r="N82" s="59">
        <v>24.6</v>
      </c>
      <c r="O82" s="59">
        <v>0</v>
      </c>
      <c r="P82" s="59">
        <v>1.81</v>
      </c>
      <c r="Q82" s="59">
        <v>36.020000000000003</v>
      </c>
      <c r="R82" s="197"/>
      <c r="S82" s="197"/>
      <c r="T82" s="197"/>
      <c r="U82" s="197"/>
    </row>
    <row r="83" spans="1:26" s="12" customFormat="1" x14ac:dyDescent="0.25">
      <c r="A83" s="200" t="s">
        <v>2241</v>
      </c>
      <c r="B83" s="59">
        <v>33.81</v>
      </c>
      <c r="C83" s="59">
        <v>110.95</v>
      </c>
      <c r="D83" s="59">
        <v>88.35</v>
      </c>
      <c r="E83" s="59">
        <v>4.43</v>
      </c>
      <c r="F83" s="59">
        <v>0.25</v>
      </c>
      <c r="G83" s="59">
        <v>99.27</v>
      </c>
      <c r="H83" s="59">
        <v>38.630000000000003</v>
      </c>
      <c r="I83" s="59">
        <v>0.38</v>
      </c>
      <c r="J83" s="59">
        <v>0.16</v>
      </c>
      <c r="K83" s="59">
        <v>354.34</v>
      </c>
      <c r="L83" s="59">
        <v>21.55</v>
      </c>
      <c r="M83" s="59">
        <v>49</v>
      </c>
      <c r="N83" s="59">
        <v>24.6</v>
      </c>
      <c r="O83" s="59">
        <v>0</v>
      </c>
      <c r="P83" s="59">
        <v>2.04</v>
      </c>
      <c r="Q83" s="59">
        <v>35.659999999999997</v>
      </c>
      <c r="R83" s="197"/>
      <c r="S83" s="197"/>
      <c r="T83" s="197"/>
      <c r="U83" s="197"/>
    </row>
    <row r="84" spans="1:26" s="12" customFormat="1" x14ac:dyDescent="0.25">
      <c r="A84" s="200" t="s">
        <v>2242</v>
      </c>
      <c r="B84" s="59">
        <v>38.71</v>
      </c>
      <c r="C84" s="59">
        <v>111.93</v>
      </c>
      <c r="D84" s="59">
        <v>92.81</v>
      </c>
      <c r="E84" s="59">
        <v>4.75</v>
      </c>
      <c r="F84" s="59">
        <v>0.18</v>
      </c>
      <c r="G84" s="59">
        <v>99.27</v>
      </c>
      <c r="H84" s="59">
        <v>38.630000000000003</v>
      </c>
      <c r="I84" s="59">
        <v>0.43</v>
      </c>
      <c r="J84" s="59">
        <v>0.13</v>
      </c>
      <c r="K84" s="59">
        <v>341.17</v>
      </c>
      <c r="L84" s="59">
        <v>20.82</v>
      </c>
      <c r="M84" s="59">
        <v>50</v>
      </c>
      <c r="N84" s="59">
        <v>24.5</v>
      </c>
      <c r="O84" s="59">
        <v>0</v>
      </c>
      <c r="P84" s="59">
        <v>2.17</v>
      </c>
      <c r="Q84" s="59">
        <v>38.22</v>
      </c>
      <c r="R84" s="197"/>
      <c r="S84" s="197"/>
      <c r="T84" s="197"/>
      <c r="U84" s="197"/>
    </row>
    <row r="85" spans="1:26" s="12" customFormat="1" x14ac:dyDescent="0.25">
      <c r="A85" s="200" t="s">
        <v>2243</v>
      </c>
      <c r="B85" s="59">
        <v>43.05</v>
      </c>
      <c r="C85" s="59">
        <v>113.9</v>
      </c>
      <c r="D85" s="59">
        <v>97.38</v>
      </c>
      <c r="E85" s="59">
        <v>5.07</v>
      </c>
      <c r="F85" s="59">
        <v>0.18</v>
      </c>
      <c r="G85" s="59">
        <v>99.27</v>
      </c>
      <c r="H85" s="59">
        <v>38.630000000000003</v>
      </c>
      <c r="I85" s="59">
        <v>0.49</v>
      </c>
      <c r="J85" s="59">
        <v>0.1</v>
      </c>
      <c r="K85" s="59">
        <v>346.61</v>
      </c>
      <c r="L85" s="59">
        <v>20.420000000000002</v>
      </c>
      <c r="M85" s="59">
        <v>52</v>
      </c>
      <c r="N85" s="59">
        <v>24.5</v>
      </c>
      <c r="O85" s="59">
        <v>0</v>
      </c>
      <c r="P85" s="59">
        <v>2.19</v>
      </c>
      <c r="Q85" s="59">
        <v>41.31</v>
      </c>
      <c r="R85" s="197"/>
      <c r="S85" s="197"/>
      <c r="T85" s="197"/>
      <c r="U85" s="197"/>
    </row>
    <row r="86" spans="1:26" s="12" customFormat="1" x14ac:dyDescent="0.25">
      <c r="A86" s="200" t="s">
        <v>2244</v>
      </c>
      <c r="B86" s="59">
        <v>61.09</v>
      </c>
      <c r="C86" s="59">
        <v>121.84</v>
      </c>
      <c r="D86" s="59">
        <v>116.23</v>
      </c>
      <c r="E86" s="59">
        <v>5.61</v>
      </c>
      <c r="F86" s="59">
        <v>7.0000000000000007E-2</v>
      </c>
      <c r="G86" s="59">
        <v>164.82</v>
      </c>
      <c r="H86" s="59">
        <v>46.51</v>
      </c>
      <c r="I86" s="59">
        <v>0.55000000000000004</v>
      </c>
      <c r="J86" s="59">
        <v>0.1</v>
      </c>
      <c r="K86" s="59">
        <v>338.33</v>
      </c>
      <c r="L86" s="59">
        <v>20.05</v>
      </c>
      <c r="M86" s="59">
        <v>54</v>
      </c>
      <c r="N86" s="59">
        <v>24.2</v>
      </c>
      <c r="O86" s="59">
        <v>0</v>
      </c>
      <c r="P86" s="59">
        <v>2.69</v>
      </c>
      <c r="Q86" s="59">
        <v>43.76</v>
      </c>
      <c r="R86" s="197"/>
      <c r="S86" s="197"/>
      <c r="T86" s="197"/>
      <c r="U86" s="197"/>
    </row>
    <row r="87" spans="1:26" s="12" customFormat="1" x14ac:dyDescent="0.25">
      <c r="A87" s="200" t="s">
        <v>2245</v>
      </c>
      <c r="B87" s="59">
        <v>76.66</v>
      </c>
      <c r="C87" s="59">
        <v>129.05000000000001</v>
      </c>
      <c r="D87" s="59">
        <v>132.69</v>
      </c>
      <c r="E87" s="59">
        <v>4.95</v>
      </c>
      <c r="F87" s="59">
        <v>0.14000000000000001</v>
      </c>
      <c r="G87" s="59">
        <v>216.19</v>
      </c>
      <c r="H87" s="59">
        <v>57.3</v>
      </c>
      <c r="I87" s="59">
        <v>0.62</v>
      </c>
      <c r="J87" s="59">
        <v>0.06</v>
      </c>
      <c r="K87" s="59">
        <v>255.66</v>
      </c>
      <c r="L87" s="59">
        <v>19.75</v>
      </c>
      <c r="M87" s="59">
        <v>54</v>
      </c>
      <c r="N87" s="59">
        <v>24.4</v>
      </c>
      <c r="O87" s="59">
        <v>0</v>
      </c>
      <c r="P87" s="59">
        <v>3.09</v>
      </c>
      <c r="Q87" s="59">
        <v>45.23</v>
      </c>
      <c r="R87" s="197"/>
      <c r="S87" s="197"/>
      <c r="T87" s="197"/>
      <c r="U87" s="197"/>
    </row>
    <row r="88" spans="1:26" s="12" customFormat="1" x14ac:dyDescent="0.25">
      <c r="A88" s="200" t="s">
        <v>2246</v>
      </c>
      <c r="B88" s="59">
        <v>91.53</v>
      </c>
      <c r="C88" s="59">
        <v>136.41</v>
      </c>
      <c r="D88" s="59">
        <v>148.68</v>
      </c>
      <c r="E88" s="59">
        <v>2.63</v>
      </c>
      <c r="F88" s="59">
        <v>0.27</v>
      </c>
      <c r="G88" s="59">
        <v>216.19</v>
      </c>
      <c r="H88" s="59">
        <v>57.3</v>
      </c>
      <c r="I88" s="59">
        <v>0.74</v>
      </c>
      <c r="J88" s="59">
        <v>0.03</v>
      </c>
      <c r="K88" s="59">
        <v>311.52</v>
      </c>
      <c r="L88" s="59">
        <v>19.41</v>
      </c>
      <c r="M88" s="59">
        <v>56</v>
      </c>
      <c r="N88" s="59">
        <v>24.5</v>
      </c>
      <c r="O88" s="59">
        <v>0</v>
      </c>
      <c r="P88" s="59">
        <v>3.32</v>
      </c>
      <c r="Q88" s="59">
        <v>46.42</v>
      </c>
      <c r="R88" s="197"/>
      <c r="S88" s="197"/>
      <c r="T88" s="197"/>
      <c r="U88" s="197"/>
    </row>
    <row r="89" spans="1:26" s="12" customFormat="1" x14ac:dyDescent="0.25">
      <c r="A89" s="200" t="s">
        <v>2247</v>
      </c>
      <c r="B89" s="59">
        <v>110.49</v>
      </c>
      <c r="C89" s="59">
        <v>146.06</v>
      </c>
      <c r="D89" s="59">
        <v>169.21</v>
      </c>
      <c r="E89" s="59">
        <v>4.9800000000000004</v>
      </c>
      <c r="F89" s="59">
        <v>0.37</v>
      </c>
      <c r="G89" s="59">
        <v>216.19</v>
      </c>
      <c r="H89" s="59">
        <v>57.3</v>
      </c>
      <c r="I89" s="59">
        <v>0.88</v>
      </c>
      <c r="J89" s="59">
        <v>0.05</v>
      </c>
      <c r="K89" s="59">
        <v>345.82</v>
      </c>
      <c r="L89" s="59">
        <v>19.260000000000002</v>
      </c>
      <c r="M89" s="59">
        <v>56</v>
      </c>
      <c r="N89" s="59">
        <v>24.3</v>
      </c>
      <c r="O89" s="59">
        <v>0</v>
      </c>
      <c r="P89" s="59">
        <v>3.57</v>
      </c>
      <c r="Q89" s="59">
        <v>47.97</v>
      </c>
      <c r="R89" s="197"/>
      <c r="S89" s="197"/>
      <c r="T89" s="197"/>
      <c r="U89" s="197"/>
    </row>
    <row r="90" spans="1:26" s="12" customFormat="1" x14ac:dyDescent="0.25">
      <c r="A90" s="200" t="s">
        <v>2248</v>
      </c>
      <c r="B90" s="59">
        <v>122.17</v>
      </c>
      <c r="C90" s="59">
        <v>150.9</v>
      </c>
      <c r="D90" s="59">
        <v>181.25</v>
      </c>
      <c r="E90" s="59">
        <v>5.01</v>
      </c>
      <c r="F90" s="59">
        <v>0.23</v>
      </c>
      <c r="G90" s="59">
        <v>216.19</v>
      </c>
      <c r="H90" s="59">
        <v>66.81</v>
      </c>
      <c r="I90" s="59">
        <v>1.07</v>
      </c>
      <c r="J90" s="59">
        <v>0.14000000000000001</v>
      </c>
      <c r="K90" s="59">
        <v>334.62</v>
      </c>
      <c r="L90" s="59">
        <v>19.07</v>
      </c>
      <c r="M90" s="59">
        <v>60</v>
      </c>
      <c r="N90" s="59">
        <v>23.9</v>
      </c>
      <c r="O90" s="59">
        <v>0</v>
      </c>
      <c r="P90" s="59">
        <v>3.81</v>
      </c>
      <c r="Q90" s="59">
        <v>48.99</v>
      </c>
      <c r="R90" s="197"/>
      <c r="S90" s="197"/>
      <c r="T90" s="197"/>
      <c r="U90" s="197"/>
    </row>
    <row r="91" spans="1:26" s="12" customFormat="1" x14ac:dyDescent="0.25">
      <c r="A91" s="200" t="s">
        <v>2249</v>
      </c>
      <c r="B91" s="59">
        <v>135.71</v>
      </c>
      <c r="C91" s="59">
        <v>155.15</v>
      </c>
      <c r="D91" s="59">
        <v>194.46</v>
      </c>
      <c r="E91" s="59">
        <v>4.82</v>
      </c>
      <c r="F91" s="59">
        <v>0.09</v>
      </c>
      <c r="G91" s="59">
        <v>279.12</v>
      </c>
      <c r="H91" s="59">
        <v>79.81</v>
      </c>
      <c r="I91" s="59">
        <v>1.2</v>
      </c>
      <c r="J91" s="59">
        <v>0.1</v>
      </c>
      <c r="K91" s="59">
        <v>279.27</v>
      </c>
      <c r="L91" s="59">
        <v>19.05</v>
      </c>
      <c r="M91" s="59">
        <v>56</v>
      </c>
      <c r="N91" s="59">
        <v>24</v>
      </c>
      <c r="O91" s="59">
        <v>0</v>
      </c>
      <c r="P91" s="59">
        <v>4.1900000000000004</v>
      </c>
      <c r="Q91" s="59">
        <v>49.88</v>
      </c>
      <c r="R91" s="197"/>
      <c r="S91" s="197"/>
      <c r="T91" s="197"/>
      <c r="U91" s="197"/>
    </row>
    <row r="92" spans="1:26" s="12" customFormat="1" x14ac:dyDescent="0.25">
      <c r="A92" s="200" t="s">
        <v>2250</v>
      </c>
      <c r="B92" s="59">
        <v>150.34</v>
      </c>
      <c r="C92" s="59">
        <v>159.38</v>
      </c>
      <c r="D92" s="59">
        <v>208.52</v>
      </c>
      <c r="E92" s="59">
        <v>5.38</v>
      </c>
      <c r="F92" s="59">
        <v>0.23</v>
      </c>
      <c r="G92" s="59">
        <v>279.12</v>
      </c>
      <c r="H92" s="59">
        <v>79.81</v>
      </c>
      <c r="I92" s="59">
        <v>1.32</v>
      </c>
      <c r="J92" s="59">
        <v>0.11</v>
      </c>
      <c r="K92" s="59">
        <v>83.2</v>
      </c>
      <c r="L92" s="59">
        <v>19.100000000000001</v>
      </c>
      <c r="M92" s="59">
        <v>57</v>
      </c>
      <c r="N92" s="59">
        <v>24</v>
      </c>
      <c r="O92" s="59">
        <v>0</v>
      </c>
      <c r="P92" s="59">
        <v>4.3600000000000003</v>
      </c>
      <c r="Q92" s="59">
        <v>50.29</v>
      </c>
      <c r="R92" s="197"/>
      <c r="S92" s="197"/>
      <c r="T92" s="197"/>
      <c r="U92" s="197"/>
    </row>
    <row r="93" spans="1:26" s="12" customFormat="1" x14ac:dyDescent="0.25">
      <c r="A93" s="200" t="s">
        <v>2251</v>
      </c>
      <c r="B93" s="59">
        <v>168.31</v>
      </c>
      <c r="C93" s="59">
        <v>165.86</v>
      </c>
      <c r="D93" s="59">
        <v>226.51</v>
      </c>
      <c r="E93" s="59">
        <v>5.28</v>
      </c>
      <c r="F93" s="59">
        <v>0.33</v>
      </c>
      <c r="G93" s="59">
        <v>279.12</v>
      </c>
      <c r="H93" s="59">
        <v>79.81</v>
      </c>
      <c r="I93" s="59">
        <v>1.42</v>
      </c>
      <c r="J93" s="59">
        <v>0.11</v>
      </c>
      <c r="K93" s="59">
        <v>348.7</v>
      </c>
      <c r="L93" s="59">
        <v>18.73</v>
      </c>
      <c r="M93" s="59">
        <v>62</v>
      </c>
      <c r="N93" s="59">
        <v>24.2</v>
      </c>
      <c r="O93" s="59">
        <v>0</v>
      </c>
      <c r="P93" s="59">
        <v>4.63</v>
      </c>
      <c r="Q93" s="59">
        <v>50.74</v>
      </c>
      <c r="R93" s="197"/>
      <c r="S93" s="197"/>
      <c r="T93" s="197"/>
      <c r="U93" s="197"/>
    </row>
    <row r="94" spans="1:26" s="12" customFormat="1" x14ac:dyDescent="0.25">
      <c r="A94" s="200" t="s">
        <v>2252</v>
      </c>
      <c r="B94" s="59">
        <v>182.12</v>
      </c>
      <c r="C94" s="59">
        <v>168.19</v>
      </c>
      <c r="D94" s="59">
        <v>238.86</v>
      </c>
      <c r="E94" s="59">
        <v>5.73</v>
      </c>
      <c r="F94" s="59">
        <v>0.22</v>
      </c>
      <c r="G94" s="59">
        <v>288.39999999999998</v>
      </c>
      <c r="H94" s="59">
        <v>88.06</v>
      </c>
      <c r="I94" s="59">
        <v>1.5</v>
      </c>
      <c r="J94" s="59">
        <v>0.08</v>
      </c>
      <c r="K94" s="59">
        <v>274.97000000000003</v>
      </c>
      <c r="L94" s="59">
        <v>18.61</v>
      </c>
      <c r="M94" s="59">
        <v>60</v>
      </c>
      <c r="N94" s="59">
        <v>24.3</v>
      </c>
      <c r="O94" s="59">
        <v>0</v>
      </c>
      <c r="P94" s="59">
        <v>4.8600000000000003</v>
      </c>
      <c r="Q94" s="59">
        <v>52.39</v>
      </c>
      <c r="R94" s="197"/>
      <c r="S94" s="197"/>
      <c r="T94" s="197"/>
      <c r="U94" s="197"/>
    </row>
    <row r="95" spans="1:26" s="12" customFormat="1" x14ac:dyDescent="0.25">
      <c r="A95" s="200" t="s">
        <v>2253</v>
      </c>
      <c r="B95" s="59">
        <v>194.61</v>
      </c>
      <c r="C95" s="59">
        <v>171.32</v>
      </c>
      <c r="D95" s="59">
        <v>250.61</v>
      </c>
      <c r="E95" s="59">
        <v>5.86</v>
      </c>
      <c r="F95" s="59">
        <v>0.22</v>
      </c>
      <c r="G95" s="59">
        <v>295.48</v>
      </c>
      <c r="H95" s="59">
        <v>99.35</v>
      </c>
      <c r="I95" s="59">
        <v>1.62</v>
      </c>
      <c r="J95" s="59">
        <v>0.08</v>
      </c>
      <c r="K95" s="59">
        <v>313.63</v>
      </c>
      <c r="L95" s="59">
        <v>18.21</v>
      </c>
      <c r="M95" s="59">
        <v>62</v>
      </c>
      <c r="N95" s="59">
        <v>24.3</v>
      </c>
      <c r="O95" s="59">
        <v>0</v>
      </c>
      <c r="P95" s="59">
        <v>4.99</v>
      </c>
      <c r="Q95" s="59">
        <v>54.14</v>
      </c>
      <c r="R95" s="197"/>
      <c r="S95" s="197"/>
      <c r="T95" s="197"/>
      <c r="U95" s="197"/>
    </row>
    <row r="96" spans="1:26" s="12" customFormat="1" x14ac:dyDescent="0.25">
      <c r="A96" s="200" t="s">
        <v>2254</v>
      </c>
      <c r="B96" s="59">
        <v>207.34</v>
      </c>
      <c r="C96" s="59">
        <v>176.03</v>
      </c>
      <c r="D96" s="59">
        <v>263.42</v>
      </c>
      <c r="E96" s="59">
        <v>6.5</v>
      </c>
      <c r="F96" s="59">
        <v>0.05</v>
      </c>
      <c r="G96" s="59">
        <v>295.48</v>
      </c>
      <c r="H96" s="59">
        <v>99.35</v>
      </c>
      <c r="I96" s="59">
        <v>1.71</v>
      </c>
      <c r="J96" s="59">
        <v>0.09</v>
      </c>
      <c r="K96" s="59">
        <v>301.16000000000003</v>
      </c>
      <c r="L96" s="59">
        <v>18.079999999999998</v>
      </c>
      <c r="M96" s="59">
        <v>61</v>
      </c>
      <c r="N96" s="59">
        <v>24</v>
      </c>
      <c r="O96" s="59">
        <v>0</v>
      </c>
      <c r="P96" s="59">
        <v>5.0999999999999996</v>
      </c>
      <c r="Q96" s="59">
        <v>55.95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2255</v>
      </c>
      <c r="B97" s="59">
        <v>218.62</v>
      </c>
      <c r="C97" s="59">
        <v>178.4</v>
      </c>
      <c r="D97" s="59">
        <v>273.77</v>
      </c>
      <c r="E97" s="59">
        <v>6.47</v>
      </c>
      <c r="F97" s="59">
        <v>0.06</v>
      </c>
      <c r="G97" s="59">
        <v>295.48</v>
      </c>
      <c r="H97" s="59">
        <v>99.35</v>
      </c>
      <c r="I97" s="59">
        <v>1.78</v>
      </c>
      <c r="J97" s="59">
        <v>0.12</v>
      </c>
      <c r="K97" s="59">
        <v>330.98</v>
      </c>
      <c r="L97" s="59">
        <v>18.05</v>
      </c>
      <c r="M97" s="59">
        <v>61</v>
      </c>
      <c r="N97" s="59">
        <v>24.2</v>
      </c>
      <c r="O97" s="59">
        <v>0</v>
      </c>
      <c r="P97" s="59">
        <v>5.17</v>
      </c>
      <c r="Q97" s="59">
        <v>57.24</v>
      </c>
      <c r="R97" s="197"/>
      <c r="S97" s="197"/>
      <c r="T97" s="197"/>
      <c r="U97" s="197"/>
    </row>
    <row r="98" spans="1:33" s="12" customFormat="1" x14ac:dyDescent="0.25">
      <c r="A98" s="200" t="s">
        <v>2256</v>
      </c>
      <c r="B98" s="59">
        <v>221.67</v>
      </c>
      <c r="C98" s="59">
        <v>178.71</v>
      </c>
      <c r="D98" s="59">
        <v>276.39</v>
      </c>
      <c r="E98" s="59">
        <v>6.2</v>
      </c>
      <c r="F98" s="59">
        <v>0.03</v>
      </c>
      <c r="G98" s="59">
        <v>246.21</v>
      </c>
      <c r="H98" s="59">
        <v>98.12</v>
      </c>
      <c r="I98" s="59">
        <v>1.82</v>
      </c>
      <c r="J98" s="59">
        <v>0.11</v>
      </c>
      <c r="K98" s="59">
        <v>320.85000000000002</v>
      </c>
      <c r="L98" s="59">
        <v>17.760000000000002</v>
      </c>
      <c r="M98" s="59">
        <v>61</v>
      </c>
      <c r="N98" s="59">
        <v>24.2</v>
      </c>
      <c r="O98" s="59">
        <v>0</v>
      </c>
      <c r="P98" s="59">
        <v>5.21</v>
      </c>
      <c r="Q98" s="59">
        <v>57.62</v>
      </c>
      <c r="R98" s="197"/>
      <c r="S98" s="197"/>
      <c r="T98" s="197"/>
      <c r="U98" s="197"/>
    </row>
    <row r="99" spans="1:33" s="12" customFormat="1" x14ac:dyDescent="0.25">
      <c r="A99" s="200" t="s">
        <v>2257</v>
      </c>
      <c r="B99" s="59">
        <v>224.44</v>
      </c>
      <c r="C99" s="59">
        <v>177.71</v>
      </c>
      <c r="D99" s="59">
        <v>278.06</v>
      </c>
      <c r="E99" s="59">
        <v>6.61</v>
      </c>
      <c r="F99" s="59">
        <v>0.16</v>
      </c>
      <c r="G99" s="59">
        <v>246.21</v>
      </c>
      <c r="H99" s="59">
        <v>96.52</v>
      </c>
      <c r="I99" s="59">
        <v>1.87</v>
      </c>
      <c r="J99" s="59">
        <v>0.12</v>
      </c>
      <c r="K99" s="59">
        <v>282.54000000000002</v>
      </c>
      <c r="L99" s="59">
        <v>17.71</v>
      </c>
      <c r="M99" s="59">
        <v>63</v>
      </c>
      <c r="N99" s="59">
        <v>24.1</v>
      </c>
      <c r="O99" s="59">
        <v>0</v>
      </c>
      <c r="P99" s="59">
        <v>5.26</v>
      </c>
      <c r="Q99" s="59">
        <v>58.39</v>
      </c>
      <c r="R99" s="197"/>
      <c r="S99" s="197"/>
      <c r="T99" s="197"/>
      <c r="U99" s="197"/>
    </row>
    <row r="100" spans="1:33" s="12" customFormat="1" x14ac:dyDescent="0.25">
      <c r="A100" s="200" t="s">
        <v>2258</v>
      </c>
      <c r="B100" s="59">
        <v>224.44</v>
      </c>
      <c r="C100" s="59">
        <v>176.97</v>
      </c>
      <c r="D100" s="59">
        <v>277.64999999999998</v>
      </c>
      <c r="E100" s="59">
        <v>6.33</v>
      </c>
      <c r="F100" s="59">
        <v>1.52</v>
      </c>
      <c r="G100" s="59">
        <v>246.21</v>
      </c>
      <c r="H100" s="59">
        <v>96.52</v>
      </c>
      <c r="I100" s="59">
        <v>1.91</v>
      </c>
      <c r="J100" s="59">
        <v>0.13</v>
      </c>
      <c r="K100" s="59">
        <v>294.02</v>
      </c>
      <c r="L100" s="59">
        <v>17.89</v>
      </c>
      <c r="M100" s="59">
        <v>58</v>
      </c>
      <c r="N100" s="59">
        <v>23.9</v>
      </c>
      <c r="O100" s="59">
        <v>0</v>
      </c>
      <c r="P100" s="59">
        <v>5.26</v>
      </c>
      <c r="Q100" s="59">
        <v>59.21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2259</v>
      </c>
      <c r="B101" s="59">
        <v>225.77</v>
      </c>
      <c r="C101" s="59">
        <v>177.17</v>
      </c>
      <c r="D101" s="59">
        <v>278.82</v>
      </c>
      <c r="E101" s="59">
        <v>6.48</v>
      </c>
      <c r="F101" s="59">
        <v>0.1</v>
      </c>
      <c r="G101" s="59">
        <v>246.21</v>
      </c>
      <c r="H101" s="59">
        <v>96.52</v>
      </c>
      <c r="I101" s="59">
        <v>1.91</v>
      </c>
      <c r="J101" s="59">
        <v>0.16</v>
      </c>
      <c r="K101" s="59">
        <v>344.73</v>
      </c>
      <c r="L101" s="59">
        <v>17.63</v>
      </c>
      <c r="M101" s="59">
        <v>65</v>
      </c>
      <c r="N101" s="59">
        <v>24.2</v>
      </c>
      <c r="O101" s="59">
        <v>0</v>
      </c>
      <c r="P101" s="59">
        <v>5.29</v>
      </c>
      <c r="Q101" s="59">
        <v>59.22</v>
      </c>
      <c r="R101" s="197"/>
      <c r="S101" s="197"/>
      <c r="T101" s="197"/>
      <c r="U101" s="197"/>
    </row>
    <row r="102" spans="1:33" s="12" customFormat="1" x14ac:dyDescent="0.25">
      <c r="A102" s="200" t="s">
        <v>2260</v>
      </c>
      <c r="B102" s="59">
        <v>231.22</v>
      </c>
      <c r="C102" s="59">
        <v>179.15</v>
      </c>
      <c r="D102" s="59">
        <v>284.27999999999997</v>
      </c>
      <c r="E102" s="59">
        <v>6.53</v>
      </c>
      <c r="F102" s="59">
        <v>0.14000000000000001</v>
      </c>
      <c r="G102" s="59">
        <v>238.12</v>
      </c>
      <c r="H102" s="59">
        <v>97.94</v>
      </c>
      <c r="I102" s="59">
        <v>1.92</v>
      </c>
      <c r="J102" s="59">
        <v>0.12</v>
      </c>
      <c r="K102" s="59">
        <v>310.66000000000003</v>
      </c>
      <c r="L102" s="59">
        <v>17.5</v>
      </c>
      <c r="M102" s="59">
        <v>61</v>
      </c>
      <c r="N102" s="59">
        <v>24</v>
      </c>
      <c r="O102" s="59">
        <v>0</v>
      </c>
      <c r="P102" s="59">
        <v>5.34</v>
      </c>
      <c r="Q102" s="59">
        <v>59.37</v>
      </c>
      <c r="R102" s="197"/>
      <c r="S102" s="197"/>
      <c r="T102" s="197"/>
      <c r="U102" s="197"/>
    </row>
    <row r="103" spans="1:33" s="12" customFormat="1" x14ac:dyDescent="0.25">
      <c r="A103" s="200" t="s">
        <v>2261</v>
      </c>
      <c r="B103" s="59">
        <v>233.64</v>
      </c>
      <c r="C103" s="59">
        <v>179.34</v>
      </c>
      <c r="D103" s="59">
        <v>286.33999999999997</v>
      </c>
      <c r="E103" s="59">
        <v>6.33</v>
      </c>
      <c r="F103" s="59">
        <v>0.15</v>
      </c>
      <c r="G103" s="59">
        <v>232.16</v>
      </c>
      <c r="H103" s="59">
        <v>99.79</v>
      </c>
      <c r="I103" s="59">
        <v>1.91</v>
      </c>
      <c r="J103" s="59">
        <v>0.09</v>
      </c>
      <c r="K103" s="59">
        <v>295.61</v>
      </c>
      <c r="L103" s="59">
        <v>17.420000000000002</v>
      </c>
      <c r="M103" s="59">
        <v>63</v>
      </c>
      <c r="N103" s="59">
        <v>24.2</v>
      </c>
      <c r="O103" s="59">
        <v>0</v>
      </c>
      <c r="P103" s="59">
        <v>5.37</v>
      </c>
      <c r="Q103" s="59">
        <v>59.38</v>
      </c>
      <c r="R103" s="197"/>
      <c r="S103" s="197"/>
      <c r="T103" s="197"/>
      <c r="U103" s="197"/>
    </row>
    <row r="104" spans="1:33" s="12" customFormat="1" x14ac:dyDescent="0.25">
      <c r="A104" s="200" t="s">
        <v>2262</v>
      </c>
      <c r="B104" s="59">
        <v>230.77</v>
      </c>
      <c r="C104" s="59">
        <v>178.07</v>
      </c>
      <c r="D104" s="59">
        <v>283.33999999999997</v>
      </c>
      <c r="E104" s="59">
        <v>2.96</v>
      </c>
      <c r="F104" s="59">
        <v>0.19</v>
      </c>
      <c r="G104" s="59">
        <v>232.16</v>
      </c>
      <c r="H104" s="59">
        <v>99.79</v>
      </c>
      <c r="I104" s="59">
        <v>1.92</v>
      </c>
      <c r="J104" s="59">
        <v>0.09</v>
      </c>
      <c r="K104" s="59">
        <v>280.41000000000003</v>
      </c>
      <c r="L104" s="59">
        <v>17.29</v>
      </c>
      <c r="M104" s="59">
        <v>60</v>
      </c>
      <c r="N104" s="59">
        <v>24.2</v>
      </c>
      <c r="O104" s="59">
        <v>0</v>
      </c>
      <c r="P104" s="59">
        <v>5.35</v>
      </c>
      <c r="Q104" s="59">
        <v>59.08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4.45</v>
      </c>
      <c r="C106" s="66">
        <f>MIN(C9:C104)</f>
        <v>75.37</v>
      </c>
      <c r="D106" s="66">
        <f t="shared" ref="D106:Q106" si="0">MIN(D9:D104)</f>
        <v>48.75</v>
      </c>
      <c r="E106" s="66">
        <f t="shared" si="0"/>
        <v>2.61</v>
      </c>
      <c r="F106" s="66">
        <f t="shared" si="0"/>
        <v>0.01</v>
      </c>
      <c r="G106" s="66">
        <f t="shared" si="0"/>
        <v>52.34</v>
      </c>
      <c r="H106" s="66">
        <f t="shared" si="0"/>
        <v>26.02</v>
      </c>
      <c r="I106" s="66">
        <f t="shared" si="0"/>
        <v>0.17</v>
      </c>
      <c r="J106" s="66">
        <f t="shared" si="0"/>
        <v>0.03</v>
      </c>
      <c r="K106" s="66">
        <f t="shared" si="0"/>
        <v>3.55</v>
      </c>
      <c r="L106" s="66">
        <f t="shared" si="0"/>
        <v>15.84</v>
      </c>
      <c r="M106" s="66">
        <f t="shared" si="0"/>
        <v>19</v>
      </c>
      <c r="N106" s="66">
        <f t="shared" si="0"/>
        <v>23.5</v>
      </c>
      <c r="O106" s="66">
        <f t="shared" si="0"/>
        <v>0</v>
      </c>
      <c r="P106" s="66">
        <f t="shared" si="0"/>
        <v>0.92</v>
      </c>
      <c r="Q106" s="66">
        <f t="shared" si="0"/>
        <v>27.56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233.64</v>
      </c>
      <c r="C107" s="65">
        <f t="shared" ref="C107:Q107" si="1">MAX(C9:C104)</f>
        <v>179.34</v>
      </c>
      <c r="D107" s="65">
        <f t="shared" si="1"/>
        <v>286.33999999999997</v>
      </c>
      <c r="E107" s="65">
        <f t="shared" si="1"/>
        <v>17.79</v>
      </c>
      <c r="F107" s="65">
        <f t="shared" si="1"/>
        <v>14.14</v>
      </c>
      <c r="G107" s="65">
        <f t="shared" si="1"/>
        <v>295.48</v>
      </c>
      <c r="H107" s="65">
        <f t="shared" si="1"/>
        <v>99.79</v>
      </c>
      <c r="I107" s="65">
        <f t="shared" si="1"/>
        <v>1.92</v>
      </c>
      <c r="J107" s="65">
        <f t="shared" si="1"/>
        <v>1.58</v>
      </c>
      <c r="K107" s="65">
        <f t="shared" si="1"/>
        <v>359.34</v>
      </c>
      <c r="L107" s="65">
        <f t="shared" si="1"/>
        <v>31.84</v>
      </c>
      <c r="M107" s="65">
        <f t="shared" si="1"/>
        <v>73</v>
      </c>
      <c r="N107" s="65">
        <f t="shared" si="1"/>
        <v>397.4</v>
      </c>
      <c r="O107" s="65">
        <f t="shared" si="1"/>
        <v>0</v>
      </c>
      <c r="P107" s="65">
        <f t="shared" si="1"/>
        <v>5.37</v>
      </c>
      <c r="Q107" s="65">
        <f t="shared" si="1"/>
        <v>59.38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72.186562500000022</v>
      </c>
      <c r="C108" s="66">
        <f t="shared" ref="C108:Q108" si="2">AVERAGE(C9:C104)</f>
        <v>111.66187499999995</v>
      </c>
      <c r="D108" s="66">
        <f t="shared" si="2"/>
        <v>119.51166666666667</v>
      </c>
      <c r="E108" s="66">
        <f t="shared" si="2"/>
        <v>6.6292708333333366</v>
      </c>
      <c r="F108" s="66">
        <f t="shared" si="2"/>
        <v>2.2286315789473687</v>
      </c>
      <c r="G108" s="66">
        <f t="shared" si="2"/>
        <v>134.65791666666669</v>
      </c>
      <c r="H108" s="66">
        <f t="shared" si="2"/>
        <v>60.217395833333363</v>
      </c>
      <c r="I108" s="66">
        <f t="shared" si="2"/>
        <v>0.73927083333333332</v>
      </c>
      <c r="J108" s="66">
        <f t="shared" si="2"/>
        <v>0.41052083333333339</v>
      </c>
      <c r="K108" s="66">
        <f t="shared" si="2"/>
        <v>150.95666666666671</v>
      </c>
      <c r="L108" s="66">
        <f t="shared" si="2"/>
        <v>21.618958333333339</v>
      </c>
      <c r="M108" s="66">
        <f t="shared" si="2"/>
        <v>47.65625</v>
      </c>
      <c r="N108" s="66">
        <f t="shared" si="2"/>
        <v>124.84583333333335</v>
      </c>
      <c r="O108" s="66">
        <f t="shared" si="2"/>
        <v>0</v>
      </c>
      <c r="P108" s="66">
        <f t="shared" si="2"/>
        <v>2.5046875000000006</v>
      </c>
      <c r="Q108" s="66">
        <f t="shared" si="2"/>
        <v>41.92114583333332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69.315183144640088</v>
      </c>
      <c r="C109" s="66">
        <f t="shared" ref="C109:Q109" si="3">STDEV(C9:C104)</f>
        <v>30.535044760940568</v>
      </c>
      <c r="D109" s="66">
        <f t="shared" si="3"/>
        <v>71.668048428947955</v>
      </c>
      <c r="E109" s="66">
        <f t="shared" si="3"/>
        <v>2.9551718250130294</v>
      </c>
      <c r="F109" s="66">
        <f t="shared" si="3"/>
        <v>3.5987041434046931</v>
      </c>
      <c r="G109" s="66">
        <f t="shared" si="3"/>
        <v>71.126165307877329</v>
      </c>
      <c r="H109" s="66">
        <f t="shared" si="3"/>
        <v>24.164506038698434</v>
      </c>
      <c r="I109" s="66">
        <f t="shared" si="3"/>
        <v>0.54203951068197131</v>
      </c>
      <c r="J109" s="66">
        <f t="shared" si="3"/>
        <v>0.40500648413696083</v>
      </c>
      <c r="K109" s="66">
        <f t="shared" si="3"/>
        <v>125.78278082025845</v>
      </c>
      <c r="L109" s="66">
        <f t="shared" si="3"/>
        <v>5.2267027906131416</v>
      </c>
      <c r="M109" s="66">
        <f t="shared" si="3"/>
        <v>17.826549168674173</v>
      </c>
      <c r="N109" s="66">
        <f t="shared" si="3"/>
        <v>145.35516858745592</v>
      </c>
      <c r="O109" s="66">
        <f t="shared" si="3"/>
        <v>0</v>
      </c>
      <c r="P109" s="66">
        <f t="shared" si="3"/>
        <v>1.3688734923863086</v>
      </c>
      <c r="Q109" s="66">
        <f t="shared" si="3"/>
        <v>9.3393292748903995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>COUNT(B9:B104)</f>
        <v>96</v>
      </c>
      <c r="C110" s="65">
        <f>COUNT(C9:C104)</f>
        <v>96</v>
      </c>
      <c r="D110" s="65">
        <f t="shared" ref="D110:P110" si="4">COUNT(D9:D104)</f>
        <v>96</v>
      </c>
      <c r="E110" s="65">
        <f t="shared" ref="E110:J110" si="5">COUNT(E9:E104)</f>
        <v>96</v>
      </c>
      <c r="F110" s="65">
        <f t="shared" si="5"/>
        <v>95</v>
      </c>
      <c r="G110" s="65">
        <f t="shared" si="5"/>
        <v>96</v>
      </c>
      <c r="H110" s="65">
        <f t="shared" si="5"/>
        <v>96</v>
      </c>
      <c r="I110" s="65">
        <f t="shared" si="5"/>
        <v>96</v>
      </c>
      <c r="J110" s="65">
        <f t="shared" si="5"/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>COUNT(Q9:Q104)</f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54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22-12-2022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2263</v>
      </c>
      <c r="B9" s="59">
        <v>220.45</v>
      </c>
      <c r="C9" s="59">
        <v>173.67</v>
      </c>
      <c r="D9" s="59">
        <v>272.63</v>
      </c>
      <c r="E9" s="59">
        <v>5.54</v>
      </c>
      <c r="F9" s="59">
        <v>0.14000000000000001</v>
      </c>
      <c r="G9" s="59">
        <v>232.16</v>
      </c>
      <c r="H9" s="59">
        <v>99.79</v>
      </c>
      <c r="I9" s="59">
        <v>1.93</v>
      </c>
      <c r="J9" s="59">
        <v>0.08</v>
      </c>
      <c r="K9" s="59">
        <v>286.24</v>
      </c>
      <c r="L9" s="59">
        <v>17.37</v>
      </c>
      <c r="M9" s="59">
        <v>56</v>
      </c>
      <c r="N9" s="59">
        <v>24.1</v>
      </c>
      <c r="O9" s="59">
        <v>0</v>
      </c>
      <c r="P9" s="59">
        <v>5.26</v>
      </c>
      <c r="Q9" s="59">
        <v>58.28</v>
      </c>
      <c r="R9" s="197"/>
      <c r="S9" s="197"/>
      <c r="T9" s="197"/>
      <c r="U9" s="197"/>
    </row>
    <row r="10" spans="1:21" s="12" customFormat="1" x14ac:dyDescent="0.25">
      <c r="A10" s="200" t="s">
        <v>2264</v>
      </c>
      <c r="B10" s="59">
        <v>203.88</v>
      </c>
      <c r="C10" s="59">
        <v>165.89</v>
      </c>
      <c r="D10" s="59">
        <v>255.05</v>
      </c>
      <c r="E10" s="59">
        <v>6.09</v>
      </c>
      <c r="F10" s="59">
        <v>0.26</v>
      </c>
      <c r="G10" s="59">
        <v>213.71</v>
      </c>
      <c r="H10" s="59">
        <v>96.57</v>
      </c>
      <c r="I10" s="59">
        <v>1.91</v>
      </c>
      <c r="J10" s="59">
        <v>0.06</v>
      </c>
      <c r="K10" s="59">
        <v>267.07</v>
      </c>
      <c r="L10" s="59">
        <v>17.34</v>
      </c>
      <c r="M10" s="59">
        <v>54</v>
      </c>
      <c r="N10" s="59">
        <v>24.2</v>
      </c>
      <c r="O10" s="59">
        <v>0</v>
      </c>
      <c r="P10" s="59">
        <v>5.13</v>
      </c>
      <c r="Q10" s="59">
        <v>56.54</v>
      </c>
      <c r="R10" s="197"/>
      <c r="S10" s="197"/>
      <c r="T10" s="197"/>
      <c r="U10" s="197"/>
    </row>
    <row r="11" spans="1:21" s="12" customFormat="1" x14ac:dyDescent="0.25">
      <c r="A11" s="200" t="s">
        <v>2265</v>
      </c>
      <c r="B11" s="59">
        <v>193.15</v>
      </c>
      <c r="C11" s="59">
        <v>161.04</v>
      </c>
      <c r="D11" s="59">
        <v>243.76</v>
      </c>
      <c r="E11" s="59">
        <v>4.97</v>
      </c>
      <c r="F11" s="59">
        <v>0.25</v>
      </c>
      <c r="G11" s="59">
        <v>176.8</v>
      </c>
      <c r="H11" s="59">
        <v>92.35</v>
      </c>
      <c r="I11" s="59">
        <v>1.89</v>
      </c>
      <c r="J11" s="59">
        <v>0.1</v>
      </c>
      <c r="K11" s="59">
        <v>289.49</v>
      </c>
      <c r="L11" s="59">
        <v>17.350000000000001</v>
      </c>
      <c r="M11" s="59">
        <v>53</v>
      </c>
      <c r="N11" s="59">
        <v>24.1</v>
      </c>
      <c r="O11" s="59">
        <v>0</v>
      </c>
      <c r="P11" s="59">
        <v>4.9800000000000004</v>
      </c>
      <c r="Q11" s="59">
        <v>55.35</v>
      </c>
      <c r="R11" s="197"/>
      <c r="S11" s="197"/>
      <c r="T11" s="197"/>
      <c r="U11" s="197"/>
    </row>
    <row r="12" spans="1:21" s="12" customFormat="1" x14ac:dyDescent="0.25">
      <c r="A12" s="200" t="s">
        <v>2266</v>
      </c>
      <c r="B12" s="59">
        <v>184.5</v>
      </c>
      <c r="C12" s="59">
        <v>156.31</v>
      </c>
      <c r="D12" s="59">
        <v>234.21</v>
      </c>
      <c r="E12" s="59">
        <v>5.31</v>
      </c>
      <c r="F12" s="59">
        <v>0.03</v>
      </c>
      <c r="G12" s="59">
        <v>176.8</v>
      </c>
      <c r="H12" s="59">
        <v>92.35</v>
      </c>
      <c r="I12" s="59">
        <v>1.84</v>
      </c>
      <c r="J12" s="59">
        <v>0.09</v>
      </c>
      <c r="K12" s="59">
        <v>272.7</v>
      </c>
      <c r="L12" s="59">
        <v>16.920000000000002</v>
      </c>
      <c r="M12" s="59">
        <v>53</v>
      </c>
      <c r="N12" s="59">
        <v>24.3</v>
      </c>
      <c r="O12" s="59">
        <v>0</v>
      </c>
      <c r="P12" s="59">
        <v>4.8499999999999996</v>
      </c>
      <c r="Q12" s="59">
        <v>54.6</v>
      </c>
      <c r="R12" s="197"/>
      <c r="S12" s="197"/>
      <c r="T12" s="197"/>
      <c r="U12" s="197"/>
    </row>
    <row r="13" spans="1:21" s="12" customFormat="1" x14ac:dyDescent="0.25">
      <c r="A13" s="200" t="s">
        <v>2267</v>
      </c>
      <c r="B13" s="59">
        <v>174.94</v>
      </c>
      <c r="C13" s="59">
        <v>151.19999999999999</v>
      </c>
      <c r="D13" s="59">
        <v>223.73</v>
      </c>
      <c r="E13" s="59">
        <v>5.72</v>
      </c>
      <c r="F13" s="59">
        <v>0.11</v>
      </c>
      <c r="G13" s="59">
        <v>176.8</v>
      </c>
      <c r="H13" s="59">
        <v>92.35</v>
      </c>
      <c r="I13" s="59">
        <v>1.82</v>
      </c>
      <c r="J13" s="59">
        <v>0.1</v>
      </c>
      <c r="K13" s="59">
        <v>300.37</v>
      </c>
      <c r="L13" s="59">
        <v>16.75</v>
      </c>
      <c r="M13" s="59">
        <v>54</v>
      </c>
      <c r="N13" s="59">
        <v>24.2</v>
      </c>
      <c r="O13" s="59">
        <v>0</v>
      </c>
      <c r="P13" s="59">
        <v>4.4000000000000004</v>
      </c>
      <c r="Q13" s="59">
        <v>53.86</v>
      </c>
      <c r="R13" s="197"/>
      <c r="S13" s="197"/>
      <c r="T13" s="197"/>
      <c r="U13" s="197"/>
    </row>
    <row r="14" spans="1:21" s="12" customFormat="1" x14ac:dyDescent="0.25">
      <c r="A14" s="200" t="s">
        <v>2268</v>
      </c>
      <c r="B14" s="59">
        <v>162.58000000000001</v>
      </c>
      <c r="C14" s="59">
        <v>145.33000000000001</v>
      </c>
      <c r="D14" s="59">
        <v>210.58</v>
      </c>
      <c r="E14" s="59">
        <v>5.29</v>
      </c>
      <c r="F14" s="59">
        <v>0.02</v>
      </c>
      <c r="G14" s="59">
        <v>139.44</v>
      </c>
      <c r="H14" s="59">
        <v>85.67</v>
      </c>
      <c r="I14" s="59">
        <v>1.78</v>
      </c>
      <c r="J14" s="59">
        <v>0.1</v>
      </c>
      <c r="K14" s="59">
        <v>285.08</v>
      </c>
      <c r="L14" s="59">
        <v>16.71</v>
      </c>
      <c r="M14" s="59">
        <v>52</v>
      </c>
      <c r="N14" s="59">
        <v>24.1</v>
      </c>
      <c r="O14" s="59">
        <v>0</v>
      </c>
      <c r="P14" s="59">
        <v>4.4000000000000004</v>
      </c>
      <c r="Q14" s="59">
        <v>53.02</v>
      </c>
      <c r="R14" s="197"/>
      <c r="S14" s="197"/>
      <c r="T14" s="197"/>
      <c r="U14" s="197"/>
    </row>
    <row r="15" spans="1:21" s="12" customFormat="1" x14ac:dyDescent="0.25">
      <c r="A15" s="200" t="s">
        <v>2269</v>
      </c>
      <c r="B15" s="59">
        <v>151.52000000000001</v>
      </c>
      <c r="C15" s="59">
        <v>141</v>
      </c>
      <c r="D15" s="59">
        <v>199.32</v>
      </c>
      <c r="E15" s="59">
        <v>5.3</v>
      </c>
      <c r="F15" s="59">
        <v>0.1</v>
      </c>
      <c r="G15" s="59">
        <v>110.93</v>
      </c>
      <c r="H15" s="59">
        <v>76.540000000000006</v>
      </c>
      <c r="I15" s="59">
        <v>1.71</v>
      </c>
      <c r="J15" s="59">
        <v>0.14000000000000001</v>
      </c>
      <c r="K15" s="59">
        <v>248.42</v>
      </c>
      <c r="L15" s="59">
        <v>16.579999999999998</v>
      </c>
      <c r="M15" s="59">
        <v>53</v>
      </c>
      <c r="N15" s="59">
        <v>24.2</v>
      </c>
      <c r="O15" s="59">
        <v>0</v>
      </c>
      <c r="P15" s="59">
        <v>4.2</v>
      </c>
      <c r="Q15" s="59">
        <v>52.11</v>
      </c>
      <c r="R15" s="197"/>
      <c r="S15" s="197"/>
      <c r="T15" s="197"/>
      <c r="U15" s="197"/>
    </row>
    <row r="16" spans="1:21" s="12" customFormat="1" x14ac:dyDescent="0.25">
      <c r="A16" s="200" t="s">
        <v>2270</v>
      </c>
      <c r="B16" s="59">
        <v>140.85</v>
      </c>
      <c r="C16" s="59">
        <v>136.93</v>
      </c>
      <c r="D16" s="59">
        <v>188.52</v>
      </c>
      <c r="E16" s="59">
        <v>5.0199999999999996</v>
      </c>
      <c r="F16" s="59">
        <v>0.15</v>
      </c>
      <c r="G16" s="59">
        <v>110.93</v>
      </c>
      <c r="H16" s="59">
        <v>76.540000000000006</v>
      </c>
      <c r="I16" s="59">
        <v>1.63</v>
      </c>
      <c r="J16" s="59">
        <v>0.12</v>
      </c>
      <c r="K16" s="59">
        <v>296.73</v>
      </c>
      <c r="L16" s="59">
        <v>16.37</v>
      </c>
      <c r="M16" s="59">
        <v>55</v>
      </c>
      <c r="N16" s="59">
        <v>24.2</v>
      </c>
      <c r="O16" s="59">
        <v>0</v>
      </c>
      <c r="P16" s="59">
        <v>4</v>
      </c>
      <c r="Q16" s="59">
        <v>51.39</v>
      </c>
      <c r="R16" s="197"/>
      <c r="S16" s="197"/>
      <c r="T16" s="197"/>
      <c r="U16" s="197"/>
    </row>
    <row r="17" spans="1:21" s="12" customFormat="1" x14ac:dyDescent="0.25">
      <c r="A17" s="200" t="s">
        <v>2271</v>
      </c>
      <c r="B17" s="59">
        <v>131</v>
      </c>
      <c r="C17" s="59">
        <v>132.21</v>
      </c>
      <c r="D17" s="59">
        <v>178.01</v>
      </c>
      <c r="E17" s="59">
        <v>4.96</v>
      </c>
      <c r="F17" s="59">
        <v>0.1</v>
      </c>
      <c r="G17" s="59">
        <v>110.93</v>
      </c>
      <c r="H17" s="59">
        <v>76.540000000000006</v>
      </c>
      <c r="I17" s="59">
        <v>1.55</v>
      </c>
      <c r="J17" s="59">
        <v>0.11</v>
      </c>
      <c r="K17" s="59">
        <v>316.39</v>
      </c>
      <c r="L17" s="59">
        <v>15.92</v>
      </c>
      <c r="M17" s="59">
        <v>57</v>
      </c>
      <c r="N17" s="59">
        <v>24.3</v>
      </c>
      <c r="O17" s="59">
        <v>0</v>
      </c>
      <c r="P17" s="59">
        <v>3.81</v>
      </c>
      <c r="Q17" s="59">
        <v>50.54</v>
      </c>
      <c r="R17" s="197"/>
      <c r="S17" s="197"/>
      <c r="T17" s="197"/>
      <c r="U17" s="197"/>
    </row>
    <row r="18" spans="1:21" s="12" customFormat="1" x14ac:dyDescent="0.25">
      <c r="A18" s="200" t="s">
        <v>2272</v>
      </c>
      <c r="B18" s="59">
        <v>121.12</v>
      </c>
      <c r="C18" s="59">
        <v>127.5</v>
      </c>
      <c r="D18" s="59">
        <v>167.49</v>
      </c>
      <c r="E18" s="59">
        <v>4.6399999999999997</v>
      </c>
      <c r="F18" s="59">
        <v>0.01</v>
      </c>
      <c r="G18" s="59">
        <v>97.89</v>
      </c>
      <c r="H18" s="59">
        <v>69.95</v>
      </c>
      <c r="I18" s="59">
        <v>1.37</v>
      </c>
      <c r="J18" s="59">
        <v>0.06</v>
      </c>
      <c r="K18" s="59">
        <v>325.19</v>
      </c>
      <c r="L18" s="59">
        <v>15.8</v>
      </c>
      <c r="M18" s="59">
        <v>60</v>
      </c>
      <c r="N18" s="59">
        <v>24.3</v>
      </c>
      <c r="O18" s="59">
        <v>0</v>
      </c>
      <c r="P18" s="59">
        <v>3.61</v>
      </c>
      <c r="Q18" s="59">
        <v>50.27</v>
      </c>
      <c r="R18" s="197"/>
      <c r="S18" s="197"/>
      <c r="T18" s="197"/>
      <c r="U18" s="197"/>
    </row>
    <row r="19" spans="1:21" s="12" customFormat="1" x14ac:dyDescent="0.25">
      <c r="A19" s="200" t="s">
        <v>2273</v>
      </c>
      <c r="B19" s="59">
        <v>112.91</v>
      </c>
      <c r="C19" s="59">
        <v>123.62</v>
      </c>
      <c r="D19" s="59">
        <v>158.77000000000001</v>
      </c>
      <c r="E19" s="59">
        <v>4.54</v>
      </c>
      <c r="F19" s="59">
        <v>0.03</v>
      </c>
      <c r="G19" s="59">
        <v>88.27</v>
      </c>
      <c r="H19" s="59">
        <v>61.35</v>
      </c>
      <c r="I19" s="59">
        <v>1.41</v>
      </c>
      <c r="J19" s="59">
        <v>0.05</v>
      </c>
      <c r="K19" s="59">
        <v>216.37</v>
      </c>
      <c r="L19" s="59">
        <v>15.62</v>
      </c>
      <c r="M19" s="59">
        <v>62</v>
      </c>
      <c r="N19" s="59">
        <v>24.4</v>
      </c>
      <c r="O19" s="59">
        <v>0</v>
      </c>
      <c r="P19" s="59">
        <v>3.43</v>
      </c>
      <c r="Q19" s="59">
        <v>49.29</v>
      </c>
      <c r="R19" s="197"/>
      <c r="S19" s="197"/>
      <c r="T19" s="197"/>
      <c r="U19" s="197"/>
    </row>
    <row r="20" spans="1:21" s="12" customFormat="1" x14ac:dyDescent="0.25">
      <c r="A20" s="200" t="s">
        <v>2274</v>
      </c>
      <c r="B20" s="59">
        <v>104.88</v>
      </c>
      <c r="C20" s="59">
        <v>120.02</v>
      </c>
      <c r="D20" s="59">
        <v>150.34</v>
      </c>
      <c r="E20" s="59">
        <v>4.62</v>
      </c>
      <c r="F20" s="59">
        <v>0.06</v>
      </c>
      <c r="G20" s="59">
        <v>88.27</v>
      </c>
      <c r="H20" s="59">
        <v>61.35</v>
      </c>
      <c r="I20" s="59">
        <v>1.22</v>
      </c>
      <c r="J20" s="59">
        <v>0.13</v>
      </c>
      <c r="K20" s="59">
        <v>270.89999999999998</v>
      </c>
      <c r="L20" s="59">
        <v>15.71</v>
      </c>
      <c r="M20" s="59">
        <v>63</v>
      </c>
      <c r="N20" s="59">
        <v>24</v>
      </c>
      <c r="O20" s="59">
        <v>0</v>
      </c>
      <c r="P20" s="59">
        <v>3.3</v>
      </c>
      <c r="Q20" s="59">
        <v>48.49</v>
      </c>
      <c r="R20" s="197"/>
      <c r="S20" s="197"/>
      <c r="T20" s="197"/>
      <c r="U20" s="197"/>
    </row>
    <row r="21" spans="1:21" s="12" customFormat="1" x14ac:dyDescent="0.25">
      <c r="A21" s="200" t="s">
        <v>2275</v>
      </c>
      <c r="B21" s="59">
        <v>97.28</v>
      </c>
      <c r="C21" s="59">
        <v>116.29</v>
      </c>
      <c r="D21" s="59">
        <v>142.19</v>
      </c>
      <c r="E21" s="59">
        <v>4.3099999999999996</v>
      </c>
      <c r="F21" s="59">
        <v>0.11</v>
      </c>
      <c r="G21" s="59">
        <v>88.27</v>
      </c>
      <c r="H21" s="59">
        <v>61.35</v>
      </c>
      <c r="I21" s="59">
        <v>1.1499999999999999</v>
      </c>
      <c r="J21" s="59">
        <v>0.26</v>
      </c>
      <c r="K21" s="59">
        <v>231.65</v>
      </c>
      <c r="L21" s="59">
        <v>16.14</v>
      </c>
      <c r="M21" s="59">
        <v>64</v>
      </c>
      <c r="N21" s="59">
        <v>23.3</v>
      </c>
      <c r="O21" s="59">
        <v>0</v>
      </c>
      <c r="P21" s="59">
        <v>3.2</v>
      </c>
      <c r="Q21" s="59">
        <v>47.64</v>
      </c>
      <c r="R21" s="197"/>
      <c r="S21" s="197"/>
      <c r="T21" s="197"/>
      <c r="U21" s="197"/>
    </row>
    <row r="22" spans="1:21" s="12" customFormat="1" x14ac:dyDescent="0.25">
      <c r="A22" s="200" t="s">
        <v>2276</v>
      </c>
      <c r="B22" s="59">
        <v>91.36</v>
      </c>
      <c r="C22" s="59">
        <v>112.84</v>
      </c>
      <c r="D22" s="59">
        <v>135.53</v>
      </c>
      <c r="E22" s="59">
        <v>4.63</v>
      </c>
      <c r="F22" s="59">
        <v>0.13</v>
      </c>
      <c r="G22" s="59">
        <v>110.64</v>
      </c>
      <c r="H22" s="59">
        <v>63.75</v>
      </c>
      <c r="I22" s="59">
        <v>1.08</v>
      </c>
      <c r="J22" s="59">
        <v>0.17</v>
      </c>
      <c r="K22" s="59">
        <v>236.28</v>
      </c>
      <c r="L22" s="59">
        <v>16.059999999999999</v>
      </c>
      <c r="M22" s="59">
        <v>69</v>
      </c>
      <c r="N22" s="59">
        <v>24.1</v>
      </c>
      <c r="O22" s="59">
        <v>0</v>
      </c>
      <c r="P22" s="59">
        <v>3.1</v>
      </c>
      <c r="Q22" s="59">
        <v>46.67</v>
      </c>
      <c r="R22" s="197"/>
      <c r="S22" s="197"/>
      <c r="T22" s="197"/>
      <c r="U22" s="197"/>
    </row>
    <row r="23" spans="1:21" s="12" customFormat="1" x14ac:dyDescent="0.25">
      <c r="A23" s="200" t="s">
        <v>2277</v>
      </c>
      <c r="B23" s="59">
        <v>85.98</v>
      </c>
      <c r="C23" s="59">
        <v>109.33</v>
      </c>
      <c r="D23" s="59">
        <v>129.28</v>
      </c>
      <c r="E23" s="59">
        <v>4.21</v>
      </c>
      <c r="F23" s="59">
        <v>0.14000000000000001</v>
      </c>
      <c r="G23" s="59">
        <v>128.16999999999999</v>
      </c>
      <c r="H23" s="59">
        <v>66.89</v>
      </c>
      <c r="I23" s="59">
        <v>1.03</v>
      </c>
      <c r="J23" s="59">
        <v>0.15</v>
      </c>
      <c r="K23" s="59">
        <v>227.97</v>
      </c>
      <c r="L23" s="59">
        <v>15.58</v>
      </c>
      <c r="M23" s="59">
        <v>71</v>
      </c>
      <c r="N23" s="59">
        <v>24.1</v>
      </c>
      <c r="O23" s="59">
        <v>0</v>
      </c>
      <c r="P23" s="59">
        <v>2.99</v>
      </c>
      <c r="Q23" s="59">
        <v>46.1</v>
      </c>
      <c r="R23" s="197"/>
      <c r="S23" s="197"/>
      <c r="T23" s="197"/>
      <c r="U23" s="197"/>
    </row>
    <row r="24" spans="1:21" s="12" customFormat="1" x14ac:dyDescent="0.25">
      <c r="A24" s="200" t="s">
        <v>2278</v>
      </c>
      <c r="B24" s="59">
        <v>80.48</v>
      </c>
      <c r="C24" s="59">
        <v>105.79</v>
      </c>
      <c r="D24" s="59">
        <v>122.92</v>
      </c>
      <c r="E24" s="59">
        <v>3.08</v>
      </c>
      <c r="F24" s="59">
        <v>0.04</v>
      </c>
      <c r="G24" s="59">
        <v>128.16999999999999</v>
      </c>
      <c r="H24" s="59">
        <v>66.89</v>
      </c>
      <c r="I24" s="59">
        <v>0.99</v>
      </c>
      <c r="J24" s="59">
        <v>0.14000000000000001</v>
      </c>
      <c r="K24" s="59">
        <v>267.02999999999997</v>
      </c>
      <c r="L24" s="59">
        <v>15.17</v>
      </c>
      <c r="M24" s="59">
        <v>72</v>
      </c>
      <c r="N24" s="59">
        <v>24.5</v>
      </c>
      <c r="O24" s="59">
        <v>0</v>
      </c>
      <c r="P24" s="59">
        <v>2.86</v>
      </c>
      <c r="Q24" s="59">
        <v>45.26</v>
      </c>
      <c r="R24" s="197"/>
      <c r="S24" s="197"/>
      <c r="T24" s="197"/>
      <c r="U24" s="197"/>
    </row>
    <row r="25" spans="1:21" s="12" customFormat="1" x14ac:dyDescent="0.25">
      <c r="A25" s="200" t="s">
        <v>2279</v>
      </c>
      <c r="B25" s="59">
        <v>76.239999999999995</v>
      </c>
      <c r="C25" s="59">
        <v>102.69</v>
      </c>
      <c r="D25" s="59">
        <v>117.81</v>
      </c>
      <c r="E25" s="59">
        <v>4.3499999999999996</v>
      </c>
      <c r="F25" s="59">
        <v>0.02</v>
      </c>
      <c r="G25" s="59">
        <v>128.16999999999999</v>
      </c>
      <c r="H25" s="59">
        <v>66.89</v>
      </c>
      <c r="I25" s="59">
        <v>0.95</v>
      </c>
      <c r="J25" s="59">
        <v>0.11</v>
      </c>
      <c r="K25" s="59">
        <v>290.98</v>
      </c>
      <c r="L25" s="59">
        <v>14.65</v>
      </c>
      <c r="M25" s="59">
        <v>74</v>
      </c>
      <c r="N25" s="59">
        <v>24.5</v>
      </c>
      <c r="O25" s="59">
        <v>0</v>
      </c>
      <c r="P25" s="59">
        <v>2.74</v>
      </c>
      <c r="Q25" s="59">
        <v>44.15</v>
      </c>
      <c r="R25" s="197"/>
      <c r="S25" s="197"/>
      <c r="T25" s="197"/>
      <c r="U25" s="197"/>
    </row>
    <row r="26" spans="1:21" s="12" customFormat="1" x14ac:dyDescent="0.25">
      <c r="A26" s="200" t="s">
        <v>2280</v>
      </c>
      <c r="B26" s="59">
        <v>73.010000000000005</v>
      </c>
      <c r="C26" s="59">
        <v>100.57</v>
      </c>
      <c r="D26" s="59">
        <v>114.05</v>
      </c>
      <c r="E26" s="59">
        <v>4.5999999999999996</v>
      </c>
      <c r="F26" s="59">
        <v>0.02</v>
      </c>
      <c r="G26" s="59">
        <v>115.53</v>
      </c>
      <c r="H26" s="59">
        <v>63.55</v>
      </c>
      <c r="I26" s="59">
        <v>0.91</v>
      </c>
      <c r="J26" s="59">
        <v>0.11</v>
      </c>
      <c r="K26" s="59">
        <v>318.39</v>
      </c>
      <c r="L26" s="59">
        <v>14.64</v>
      </c>
      <c r="M26" s="59">
        <v>73</v>
      </c>
      <c r="N26" s="59">
        <v>24.2</v>
      </c>
      <c r="O26" s="59">
        <v>0</v>
      </c>
      <c r="P26" s="59">
        <v>2.63</v>
      </c>
      <c r="Q26" s="59">
        <v>43.53</v>
      </c>
      <c r="R26" s="197"/>
      <c r="S26" s="197"/>
      <c r="T26" s="197"/>
      <c r="U26" s="197"/>
    </row>
    <row r="27" spans="1:21" s="12" customFormat="1" x14ac:dyDescent="0.25">
      <c r="A27" s="200" t="s">
        <v>2281</v>
      </c>
      <c r="B27" s="59">
        <v>70.69</v>
      </c>
      <c r="C27" s="59">
        <v>98.93</v>
      </c>
      <c r="D27" s="59">
        <v>111.29</v>
      </c>
      <c r="E27" s="59">
        <v>5.08</v>
      </c>
      <c r="F27" s="59">
        <v>0.16</v>
      </c>
      <c r="G27" s="59">
        <v>89.34</v>
      </c>
      <c r="H27" s="59">
        <v>58.97</v>
      </c>
      <c r="I27" s="59">
        <v>0.87</v>
      </c>
      <c r="J27" s="59">
        <v>0.15</v>
      </c>
      <c r="K27" s="59">
        <v>328.25</v>
      </c>
      <c r="L27" s="59">
        <v>14.32</v>
      </c>
      <c r="M27" s="59">
        <v>75</v>
      </c>
      <c r="N27" s="59">
        <v>24.2</v>
      </c>
      <c r="O27" s="59">
        <v>0</v>
      </c>
      <c r="P27" s="59">
        <v>2.5499999999999998</v>
      </c>
      <c r="Q27" s="59">
        <v>43.28</v>
      </c>
      <c r="R27" s="197"/>
      <c r="S27" s="197"/>
      <c r="T27" s="197"/>
      <c r="U27" s="197"/>
    </row>
    <row r="28" spans="1:21" s="12" customFormat="1" x14ac:dyDescent="0.25">
      <c r="A28" s="200" t="s">
        <v>2282</v>
      </c>
      <c r="B28" s="59">
        <v>71.19</v>
      </c>
      <c r="C28" s="59">
        <v>98.72</v>
      </c>
      <c r="D28" s="59">
        <v>111.57</v>
      </c>
      <c r="E28" s="59">
        <v>4.9000000000000004</v>
      </c>
      <c r="F28" s="59">
        <v>0.12</v>
      </c>
      <c r="G28" s="59">
        <v>89.34</v>
      </c>
      <c r="H28" s="59">
        <v>58.97</v>
      </c>
      <c r="I28" s="59">
        <v>0.84</v>
      </c>
      <c r="J28" s="59">
        <v>0.11</v>
      </c>
      <c r="K28" s="59">
        <v>311.85000000000002</v>
      </c>
      <c r="L28" s="59">
        <v>14.14</v>
      </c>
      <c r="M28" s="59">
        <v>76</v>
      </c>
      <c r="N28" s="59">
        <v>24.3</v>
      </c>
      <c r="O28" s="59">
        <v>0</v>
      </c>
      <c r="P28" s="59">
        <v>2.5099999999999998</v>
      </c>
      <c r="Q28" s="59">
        <v>43.54</v>
      </c>
      <c r="R28" s="197"/>
      <c r="S28" s="197"/>
      <c r="T28" s="197"/>
      <c r="U28" s="197"/>
    </row>
    <row r="29" spans="1:21" s="12" customFormat="1" x14ac:dyDescent="0.25">
      <c r="A29" s="200" t="s">
        <v>2283</v>
      </c>
      <c r="B29" s="59">
        <v>73.33</v>
      </c>
      <c r="C29" s="59">
        <v>99.22</v>
      </c>
      <c r="D29" s="59">
        <v>113.56</v>
      </c>
      <c r="E29" s="59">
        <v>4.76</v>
      </c>
      <c r="F29" s="59">
        <v>0.02</v>
      </c>
      <c r="G29" s="59">
        <v>89.34</v>
      </c>
      <c r="H29" s="59">
        <v>58.97</v>
      </c>
      <c r="I29" s="59">
        <v>0.81</v>
      </c>
      <c r="J29" s="59">
        <v>0.11</v>
      </c>
      <c r="K29" s="59">
        <v>277.02</v>
      </c>
      <c r="L29" s="59">
        <v>14.13</v>
      </c>
      <c r="M29" s="59">
        <v>75</v>
      </c>
      <c r="N29" s="59">
        <v>24.2</v>
      </c>
      <c r="O29" s="59">
        <v>0</v>
      </c>
      <c r="P29" s="59">
        <v>2.44</v>
      </c>
      <c r="Q29" s="59">
        <v>43.8</v>
      </c>
      <c r="R29" s="197"/>
      <c r="S29" s="197"/>
      <c r="T29" s="197"/>
      <c r="U29" s="197"/>
    </row>
    <row r="30" spans="1:21" s="12" customFormat="1" x14ac:dyDescent="0.25">
      <c r="A30" s="200" t="s">
        <v>2284</v>
      </c>
      <c r="B30" s="59">
        <v>73.86</v>
      </c>
      <c r="C30" s="59">
        <v>98.7</v>
      </c>
      <c r="D30" s="59">
        <v>113.7</v>
      </c>
      <c r="E30" s="59">
        <v>4.8600000000000003</v>
      </c>
      <c r="F30" s="59">
        <v>0.03</v>
      </c>
      <c r="G30" s="59">
        <v>139.93</v>
      </c>
      <c r="H30" s="59">
        <v>65.38</v>
      </c>
      <c r="I30" s="59">
        <v>0.79</v>
      </c>
      <c r="J30" s="59">
        <v>0.12</v>
      </c>
      <c r="K30" s="59">
        <v>299.8</v>
      </c>
      <c r="L30" s="59">
        <v>14.42</v>
      </c>
      <c r="M30" s="59">
        <v>71</v>
      </c>
      <c r="N30" s="59">
        <v>23.9</v>
      </c>
      <c r="O30" s="59">
        <v>0</v>
      </c>
      <c r="P30" s="59">
        <v>2.38</v>
      </c>
      <c r="Q30" s="59">
        <v>43.45</v>
      </c>
      <c r="R30" s="197"/>
      <c r="S30" s="197"/>
      <c r="T30" s="197"/>
      <c r="U30" s="197"/>
    </row>
    <row r="31" spans="1:21" s="12" customFormat="1" x14ac:dyDescent="0.25">
      <c r="A31" s="200" t="s">
        <v>2285</v>
      </c>
      <c r="B31" s="59">
        <v>76.22</v>
      </c>
      <c r="C31" s="59">
        <v>99.77</v>
      </c>
      <c r="D31" s="59">
        <v>116.19</v>
      </c>
      <c r="E31" s="59">
        <v>4.8099999999999996</v>
      </c>
      <c r="F31" s="59">
        <v>0.11</v>
      </c>
      <c r="G31" s="59">
        <v>177.2</v>
      </c>
      <c r="H31" s="59">
        <v>73.760000000000005</v>
      </c>
      <c r="I31" s="59">
        <v>0.77</v>
      </c>
      <c r="J31" s="59">
        <v>0.15</v>
      </c>
      <c r="K31" s="59">
        <v>334.05</v>
      </c>
      <c r="L31" s="59">
        <v>14.32</v>
      </c>
      <c r="M31" s="59">
        <v>72</v>
      </c>
      <c r="N31" s="59">
        <v>24.1</v>
      </c>
      <c r="O31" s="59">
        <v>0</v>
      </c>
      <c r="P31" s="59">
        <v>2.3199999999999998</v>
      </c>
      <c r="Q31" s="59">
        <v>43.73</v>
      </c>
      <c r="R31" s="197"/>
      <c r="S31" s="197"/>
      <c r="T31" s="197"/>
      <c r="U31" s="197"/>
    </row>
    <row r="32" spans="1:21" s="12" customFormat="1" x14ac:dyDescent="0.25">
      <c r="A32" s="200" t="s">
        <v>2286</v>
      </c>
      <c r="B32" s="59">
        <v>83.03</v>
      </c>
      <c r="C32" s="59">
        <v>102.63</v>
      </c>
      <c r="D32" s="59">
        <v>123.22</v>
      </c>
      <c r="E32" s="59">
        <v>5.05</v>
      </c>
      <c r="F32" s="59">
        <v>0.01</v>
      </c>
      <c r="G32" s="59">
        <v>177.2</v>
      </c>
      <c r="H32" s="59">
        <v>73.760000000000005</v>
      </c>
      <c r="I32" s="59">
        <v>0.75</v>
      </c>
      <c r="J32" s="59">
        <v>0.14000000000000001</v>
      </c>
      <c r="K32" s="59">
        <v>328.82</v>
      </c>
      <c r="L32" s="59">
        <v>14.08</v>
      </c>
      <c r="M32" s="59">
        <v>76</v>
      </c>
      <c r="N32" s="59">
        <v>24.2</v>
      </c>
      <c r="O32" s="59">
        <v>0</v>
      </c>
      <c r="P32" s="59">
        <v>2.2599999999999998</v>
      </c>
      <c r="Q32" s="59">
        <v>44.86</v>
      </c>
      <c r="R32" s="197"/>
      <c r="S32" s="197"/>
      <c r="T32" s="197"/>
      <c r="U32" s="197"/>
    </row>
    <row r="33" spans="1:21" s="12" customFormat="1" x14ac:dyDescent="0.25">
      <c r="A33" s="200" t="s">
        <v>2287</v>
      </c>
      <c r="B33" s="59">
        <v>91.38</v>
      </c>
      <c r="C33" s="59">
        <v>105.04</v>
      </c>
      <c r="D33" s="59">
        <v>131.25</v>
      </c>
      <c r="E33" s="59">
        <v>4.5999999999999996</v>
      </c>
      <c r="F33" s="59">
        <v>0.12</v>
      </c>
      <c r="G33" s="59">
        <v>177.2</v>
      </c>
      <c r="H33" s="59">
        <v>73.760000000000005</v>
      </c>
      <c r="I33" s="59">
        <v>0.72</v>
      </c>
      <c r="J33" s="59">
        <v>0.05</v>
      </c>
      <c r="K33" s="59">
        <v>19.100000000000001</v>
      </c>
      <c r="L33" s="59">
        <v>13.92</v>
      </c>
      <c r="M33" s="59">
        <v>74</v>
      </c>
      <c r="N33" s="59">
        <v>24.5</v>
      </c>
      <c r="O33" s="59">
        <v>0</v>
      </c>
      <c r="P33" s="59">
        <v>2.23</v>
      </c>
      <c r="Q33" s="59">
        <v>45.73</v>
      </c>
      <c r="R33" s="197"/>
      <c r="S33" s="197"/>
      <c r="T33" s="197"/>
      <c r="U33" s="197"/>
    </row>
    <row r="34" spans="1:21" s="12" customFormat="1" x14ac:dyDescent="0.25">
      <c r="A34" s="200" t="s">
        <v>2288</v>
      </c>
      <c r="B34" s="59">
        <v>96.49</v>
      </c>
      <c r="C34" s="59">
        <v>109.07</v>
      </c>
      <c r="D34" s="59">
        <v>137.57</v>
      </c>
      <c r="E34" s="59">
        <v>4.51</v>
      </c>
      <c r="F34" s="59">
        <v>0.09</v>
      </c>
      <c r="G34" s="59">
        <v>158.81</v>
      </c>
      <c r="H34" s="59">
        <v>71.47</v>
      </c>
      <c r="I34" s="59">
        <v>0.7</v>
      </c>
      <c r="J34" s="59">
        <v>0.08</v>
      </c>
      <c r="K34" s="59">
        <v>332.09</v>
      </c>
      <c r="L34" s="59">
        <v>13.94</v>
      </c>
      <c r="M34" s="59">
        <v>72</v>
      </c>
      <c r="N34" s="59">
        <v>25.3</v>
      </c>
      <c r="O34" s="59">
        <v>0</v>
      </c>
      <c r="P34" s="59">
        <v>2.17</v>
      </c>
      <c r="Q34" s="59">
        <v>45.9</v>
      </c>
      <c r="R34" s="197"/>
      <c r="S34" s="197"/>
      <c r="T34" s="197"/>
      <c r="U34" s="197"/>
    </row>
    <row r="35" spans="1:21" s="12" customFormat="1" x14ac:dyDescent="0.25">
      <c r="A35" s="200" t="s">
        <v>2289</v>
      </c>
      <c r="B35" s="59">
        <v>100.23</v>
      </c>
      <c r="C35" s="59">
        <v>111.15</v>
      </c>
      <c r="D35" s="59">
        <v>141.72</v>
      </c>
      <c r="E35" s="59">
        <v>5.1100000000000003</v>
      </c>
      <c r="F35" s="59">
        <v>0.18</v>
      </c>
      <c r="G35" s="59">
        <v>145.26</v>
      </c>
      <c r="H35" s="59">
        <v>68.47</v>
      </c>
      <c r="I35" s="59">
        <v>0.68</v>
      </c>
      <c r="J35" s="59">
        <v>0.11</v>
      </c>
      <c r="K35" s="59">
        <v>326.73</v>
      </c>
      <c r="L35" s="59">
        <v>14.11</v>
      </c>
      <c r="M35" s="59">
        <v>71</v>
      </c>
      <c r="N35" s="59">
        <v>31</v>
      </c>
      <c r="O35" s="59">
        <v>0</v>
      </c>
      <c r="P35" s="59">
        <v>2.13</v>
      </c>
      <c r="Q35" s="59">
        <v>46.11</v>
      </c>
      <c r="R35" s="197"/>
      <c r="S35" s="197"/>
      <c r="T35" s="197"/>
      <c r="U35" s="197"/>
    </row>
    <row r="36" spans="1:21" s="12" customFormat="1" x14ac:dyDescent="0.25">
      <c r="A36" s="200" t="s">
        <v>2290</v>
      </c>
      <c r="B36" s="59">
        <v>105.63</v>
      </c>
      <c r="C36" s="59">
        <v>113.71</v>
      </c>
      <c r="D36" s="59">
        <v>147.46</v>
      </c>
      <c r="E36" s="59">
        <v>5.22</v>
      </c>
      <c r="F36" s="59">
        <v>0.05</v>
      </c>
      <c r="G36" s="59">
        <v>145.26</v>
      </c>
      <c r="H36" s="59">
        <v>68.47</v>
      </c>
      <c r="I36" s="59">
        <v>0.65</v>
      </c>
      <c r="J36" s="59">
        <v>0.13</v>
      </c>
      <c r="K36" s="59">
        <v>348.73</v>
      </c>
      <c r="L36" s="59">
        <v>14.49</v>
      </c>
      <c r="M36" s="59">
        <v>73</v>
      </c>
      <c r="N36" s="59">
        <v>42</v>
      </c>
      <c r="O36" s="59">
        <v>0</v>
      </c>
      <c r="P36" s="59">
        <v>2.13</v>
      </c>
      <c r="Q36" s="59">
        <v>46.37</v>
      </c>
      <c r="R36" s="197"/>
      <c r="S36" s="197"/>
      <c r="T36" s="197"/>
      <c r="U36" s="197"/>
    </row>
    <row r="37" spans="1:21" s="12" customFormat="1" x14ac:dyDescent="0.25">
      <c r="A37" s="200" t="s">
        <v>2291</v>
      </c>
      <c r="B37" s="59">
        <v>112.9</v>
      </c>
      <c r="C37" s="59">
        <v>117.66</v>
      </c>
      <c r="D37" s="59">
        <v>155.47999999999999</v>
      </c>
      <c r="E37" s="59">
        <v>5.35</v>
      </c>
      <c r="F37" s="59">
        <v>0.88</v>
      </c>
      <c r="G37" s="59">
        <v>145.26</v>
      </c>
      <c r="H37" s="59">
        <v>68.47</v>
      </c>
      <c r="I37" s="59">
        <v>0.63</v>
      </c>
      <c r="J37" s="59">
        <v>0.09</v>
      </c>
      <c r="K37" s="59">
        <v>24.88</v>
      </c>
      <c r="L37" s="59">
        <v>15.16</v>
      </c>
      <c r="M37" s="59">
        <v>68</v>
      </c>
      <c r="N37" s="59">
        <v>51.3</v>
      </c>
      <c r="O37" s="59">
        <v>0</v>
      </c>
      <c r="P37" s="59">
        <v>2.0699999999999998</v>
      </c>
      <c r="Q37" s="59">
        <v>46.7</v>
      </c>
      <c r="R37" s="197"/>
      <c r="S37" s="197"/>
      <c r="T37" s="197"/>
      <c r="U37" s="197"/>
    </row>
    <row r="38" spans="1:21" s="12" customFormat="1" x14ac:dyDescent="0.25">
      <c r="A38" s="200" t="s">
        <v>2292</v>
      </c>
      <c r="B38" s="59">
        <v>117.23</v>
      </c>
      <c r="C38" s="59">
        <v>120.32</v>
      </c>
      <c r="D38" s="59">
        <v>160.41</v>
      </c>
      <c r="E38" s="59">
        <v>5.08</v>
      </c>
      <c r="F38" s="59">
        <v>0.28999999999999998</v>
      </c>
      <c r="G38" s="59">
        <v>141.28</v>
      </c>
      <c r="H38" s="59">
        <v>69.959999999999994</v>
      </c>
      <c r="I38" s="59">
        <v>0.62</v>
      </c>
      <c r="J38" s="59">
        <v>0.12</v>
      </c>
      <c r="K38" s="59">
        <v>23.55</v>
      </c>
      <c r="L38" s="59">
        <v>16.27</v>
      </c>
      <c r="M38" s="59">
        <v>61</v>
      </c>
      <c r="N38" s="59">
        <v>57.8</v>
      </c>
      <c r="O38" s="59">
        <v>0</v>
      </c>
      <c r="P38" s="59">
        <v>2.13</v>
      </c>
      <c r="Q38" s="59">
        <v>46.58</v>
      </c>
      <c r="R38" s="197"/>
      <c r="S38" s="197"/>
      <c r="T38" s="197"/>
      <c r="U38" s="197"/>
    </row>
    <row r="39" spans="1:21" s="12" customFormat="1" x14ac:dyDescent="0.25">
      <c r="A39" s="200" t="s">
        <v>2293</v>
      </c>
      <c r="B39" s="59">
        <v>117.47</v>
      </c>
      <c r="C39" s="59">
        <v>120.22</v>
      </c>
      <c r="D39" s="59">
        <v>160.55000000000001</v>
      </c>
      <c r="E39" s="59">
        <v>5.28</v>
      </c>
      <c r="F39" s="59">
        <v>1.01</v>
      </c>
      <c r="G39" s="59">
        <v>138.35</v>
      </c>
      <c r="H39" s="59">
        <v>72</v>
      </c>
      <c r="I39" s="59">
        <v>0.61</v>
      </c>
      <c r="J39" s="59">
        <v>0.38</v>
      </c>
      <c r="K39" s="59">
        <v>12.51</v>
      </c>
      <c r="L39" s="59">
        <v>17.5</v>
      </c>
      <c r="M39" s="59">
        <v>57</v>
      </c>
      <c r="N39" s="59">
        <v>113</v>
      </c>
      <c r="O39" s="59">
        <v>0</v>
      </c>
      <c r="P39" s="59">
        <v>2.12</v>
      </c>
      <c r="Q39" s="59">
        <v>46.22</v>
      </c>
      <c r="R39" s="197"/>
      <c r="S39" s="197"/>
      <c r="T39" s="197"/>
      <c r="U39" s="197"/>
    </row>
    <row r="40" spans="1:21" s="12" customFormat="1" x14ac:dyDescent="0.25">
      <c r="A40" s="200" t="s">
        <v>2294</v>
      </c>
      <c r="B40" s="59">
        <v>115.57</v>
      </c>
      <c r="C40" s="59">
        <v>120.09</v>
      </c>
      <c r="D40" s="59">
        <v>158.94999999999999</v>
      </c>
      <c r="E40" s="59">
        <v>3.18</v>
      </c>
      <c r="F40" s="59">
        <v>1.44</v>
      </c>
      <c r="G40" s="59">
        <v>138.35</v>
      </c>
      <c r="H40" s="59">
        <v>72</v>
      </c>
      <c r="I40" s="59">
        <v>0.61</v>
      </c>
      <c r="J40" s="59">
        <v>0.49</v>
      </c>
      <c r="K40" s="59">
        <v>15.86</v>
      </c>
      <c r="L40" s="59">
        <v>20.95</v>
      </c>
      <c r="M40" s="59">
        <v>42</v>
      </c>
      <c r="N40" s="59">
        <v>198.9</v>
      </c>
      <c r="O40" s="59">
        <v>0</v>
      </c>
      <c r="P40" s="59">
        <v>2.11</v>
      </c>
      <c r="Q40" s="59">
        <v>46.28</v>
      </c>
      <c r="R40" s="197"/>
      <c r="S40" s="197"/>
      <c r="T40" s="197"/>
      <c r="U40" s="197"/>
    </row>
    <row r="41" spans="1:21" s="12" customFormat="1" x14ac:dyDescent="0.25">
      <c r="A41" s="200" t="s">
        <v>2295</v>
      </c>
      <c r="B41" s="59">
        <v>110.89</v>
      </c>
      <c r="C41" s="59">
        <v>119.6</v>
      </c>
      <c r="D41" s="59">
        <v>154.93</v>
      </c>
      <c r="E41" s="59">
        <v>5.77</v>
      </c>
      <c r="F41" s="59">
        <v>1.54</v>
      </c>
      <c r="G41" s="59">
        <v>138.35</v>
      </c>
      <c r="H41" s="59">
        <v>72</v>
      </c>
      <c r="I41" s="59">
        <v>0.61</v>
      </c>
      <c r="J41" s="59">
        <v>0.54</v>
      </c>
      <c r="K41" s="59">
        <v>14.87</v>
      </c>
      <c r="L41" s="59">
        <v>23.88</v>
      </c>
      <c r="M41" s="59">
        <v>34</v>
      </c>
      <c r="N41" s="59">
        <v>232.1</v>
      </c>
      <c r="O41" s="59">
        <v>0</v>
      </c>
      <c r="P41" s="59">
        <v>2.0699999999999998</v>
      </c>
      <c r="Q41" s="59">
        <v>46.07</v>
      </c>
      <c r="R41" s="197"/>
      <c r="S41" s="197"/>
      <c r="T41" s="197"/>
      <c r="U41" s="197"/>
    </row>
    <row r="42" spans="1:21" s="12" customFormat="1" x14ac:dyDescent="0.25">
      <c r="A42" s="200" t="s">
        <v>2296</v>
      </c>
      <c r="B42" s="59">
        <v>103.35</v>
      </c>
      <c r="C42" s="59">
        <v>115.84</v>
      </c>
      <c r="D42" s="59">
        <v>146.81</v>
      </c>
      <c r="E42" s="59">
        <v>6.45</v>
      </c>
      <c r="F42" s="59">
        <v>0.61</v>
      </c>
      <c r="G42" s="59">
        <v>126.01</v>
      </c>
      <c r="H42" s="59">
        <v>68.3</v>
      </c>
      <c r="I42" s="59">
        <v>0.6</v>
      </c>
      <c r="J42" s="59">
        <v>0.79</v>
      </c>
      <c r="K42" s="59">
        <v>13.43</v>
      </c>
      <c r="L42" s="59">
        <v>24.93</v>
      </c>
      <c r="M42" s="59">
        <v>31</v>
      </c>
      <c r="N42" s="59">
        <v>267.2</v>
      </c>
      <c r="O42" s="59">
        <v>0</v>
      </c>
      <c r="P42" s="59">
        <v>2</v>
      </c>
      <c r="Q42" s="59">
        <v>45.64</v>
      </c>
      <c r="R42" s="197"/>
      <c r="S42" s="197"/>
      <c r="T42" s="197"/>
      <c r="U42" s="197"/>
    </row>
    <row r="43" spans="1:21" s="12" customFormat="1" x14ac:dyDescent="0.25">
      <c r="A43" s="200" t="s">
        <v>2297</v>
      </c>
      <c r="B43" s="59">
        <v>96.25</v>
      </c>
      <c r="C43" s="59">
        <v>116.06</v>
      </c>
      <c r="D43" s="59">
        <v>141.24</v>
      </c>
      <c r="E43" s="59">
        <v>6.67</v>
      </c>
      <c r="F43" s="59">
        <v>0.48</v>
      </c>
      <c r="G43" s="59">
        <v>101.34</v>
      </c>
      <c r="H43" s="59">
        <v>63.47</v>
      </c>
      <c r="I43" s="59">
        <v>0.59</v>
      </c>
      <c r="J43" s="59">
        <v>0.48</v>
      </c>
      <c r="K43" s="59">
        <v>27.43</v>
      </c>
      <c r="L43" s="59">
        <v>25.22</v>
      </c>
      <c r="M43" s="59">
        <v>31</v>
      </c>
      <c r="N43" s="59">
        <v>297</v>
      </c>
      <c r="O43" s="59">
        <v>0</v>
      </c>
      <c r="P43" s="59">
        <v>1.95</v>
      </c>
      <c r="Q43" s="59">
        <v>45.22</v>
      </c>
      <c r="R43" s="197"/>
      <c r="S43" s="197"/>
      <c r="T43" s="197"/>
      <c r="U43" s="197"/>
    </row>
    <row r="44" spans="1:21" s="12" customFormat="1" x14ac:dyDescent="0.25">
      <c r="A44" s="200" t="s">
        <v>2298</v>
      </c>
      <c r="B44" s="59">
        <v>90.16</v>
      </c>
      <c r="C44" s="59">
        <v>113.2</v>
      </c>
      <c r="D44" s="59">
        <v>134.78</v>
      </c>
      <c r="E44" s="59">
        <v>6.58</v>
      </c>
      <c r="F44" s="59">
        <v>1.49</v>
      </c>
      <c r="G44" s="59">
        <v>101.34</v>
      </c>
      <c r="H44" s="59">
        <v>63.47</v>
      </c>
      <c r="I44" s="59">
        <v>0.56999999999999995</v>
      </c>
      <c r="J44" s="59">
        <v>0.92</v>
      </c>
      <c r="K44" s="59">
        <v>14.49</v>
      </c>
      <c r="L44" s="59">
        <v>26.73</v>
      </c>
      <c r="M44" s="59">
        <v>27</v>
      </c>
      <c r="N44" s="59">
        <v>321.3</v>
      </c>
      <c r="O44" s="59">
        <v>0</v>
      </c>
      <c r="P44" s="59">
        <v>1.89</v>
      </c>
      <c r="Q44" s="59">
        <v>45.08</v>
      </c>
      <c r="R44" s="197"/>
      <c r="S44" s="197"/>
      <c r="T44" s="197"/>
      <c r="U44" s="197"/>
    </row>
    <row r="45" spans="1:21" s="12" customFormat="1" x14ac:dyDescent="0.25">
      <c r="A45" s="200" t="s">
        <v>2299</v>
      </c>
      <c r="B45" s="59">
        <v>83.14</v>
      </c>
      <c r="C45" s="59">
        <v>111.56</v>
      </c>
      <c r="D45" s="59">
        <v>128.24</v>
      </c>
      <c r="E45" s="59">
        <v>6.05</v>
      </c>
      <c r="F45" s="59">
        <v>0.06</v>
      </c>
      <c r="G45" s="59">
        <v>101.34</v>
      </c>
      <c r="H45" s="59">
        <v>63.47</v>
      </c>
      <c r="I45" s="59">
        <v>0.56000000000000005</v>
      </c>
      <c r="J45" s="59">
        <v>0.66</v>
      </c>
      <c r="K45" s="59">
        <v>74.47</v>
      </c>
      <c r="L45" s="59">
        <v>26.57</v>
      </c>
      <c r="M45" s="59">
        <v>27</v>
      </c>
      <c r="N45" s="59">
        <v>342.1</v>
      </c>
      <c r="O45" s="59">
        <v>0</v>
      </c>
      <c r="P45" s="59">
        <v>1.83</v>
      </c>
      <c r="Q45" s="59">
        <v>44.45</v>
      </c>
      <c r="R45" s="197"/>
      <c r="S45" s="197"/>
      <c r="T45" s="197"/>
      <c r="U45" s="197"/>
    </row>
    <row r="46" spans="1:21" s="12" customFormat="1" x14ac:dyDescent="0.25">
      <c r="A46" s="200" t="s">
        <v>2300</v>
      </c>
      <c r="B46" s="59">
        <v>75.84</v>
      </c>
      <c r="C46" s="59">
        <v>113.87</v>
      </c>
      <c r="D46" s="59">
        <v>123.65</v>
      </c>
      <c r="E46" s="59">
        <v>5.65</v>
      </c>
      <c r="F46" s="59">
        <v>0.39</v>
      </c>
      <c r="G46" s="59">
        <v>85.54</v>
      </c>
      <c r="H46" s="59">
        <v>57.93</v>
      </c>
      <c r="I46" s="59">
        <v>0.55000000000000004</v>
      </c>
      <c r="J46" s="59">
        <v>1.07</v>
      </c>
      <c r="K46" s="59">
        <v>111.59</v>
      </c>
      <c r="L46" s="59">
        <v>23.36</v>
      </c>
      <c r="M46" s="59">
        <v>33</v>
      </c>
      <c r="N46" s="59">
        <v>349.1</v>
      </c>
      <c r="O46" s="59">
        <v>0</v>
      </c>
      <c r="P46" s="59">
        <v>1.77</v>
      </c>
      <c r="Q46" s="59">
        <v>44.39</v>
      </c>
      <c r="R46" s="197"/>
      <c r="S46" s="197"/>
      <c r="T46" s="197"/>
      <c r="U46" s="197"/>
    </row>
    <row r="47" spans="1:21" s="12" customFormat="1" x14ac:dyDescent="0.25">
      <c r="A47" s="200" t="s">
        <v>2301</v>
      </c>
      <c r="B47" s="59">
        <v>70.03</v>
      </c>
      <c r="C47" s="59">
        <v>111.98</v>
      </c>
      <c r="D47" s="59">
        <v>117.95</v>
      </c>
      <c r="E47" s="59">
        <v>6.06</v>
      </c>
      <c r="F47" s="59">
        <v>0.15</v>
      </c>
      <c r="G47" s="59">
        <v>73.47</v>
      </c>
      <c r="H47" s="59">
        <v>50.68</v>
      </c>
      <c r="I47" s="59">
        <v>0.53</v>
      </c>
      <c r="J47" s="59">
        <v>0.6</v>
      </c>
      <c r="K47" s="59">
        <v>58.34</v>
      </c>
      <c r="L47" s="59">
        <v>24.79</v>
      </c>
      <c r="M47" s="59">
        <v>31</v>
      </c>
      <c r="N47" s="59">
        <v>351.4</v>
      </c>
      <c r="O47" s="59">
        <v>0</v>
      </c>
      <c r="P47" s="59">
        <v>1.7</v>
      </c>
      <c r="Q47" s="59">
        <v>44.54</v>
      </c>
      <c r="R47" s="197"/>
      <c r="S47" s="197"/>
      <c r="T47" s="197"/>
      <c r="U47" s="197"/>
    </row>
    <row r="48" spans="1:21" s="12" customFormat="1" x14ac:dyDescent="0.25">
      <c r="A48" s="200" t="s">
        <v>2302</v>
      </c>
      <c r="B48" s="59">
        <v>62.75</v>
      </c>
      <c r="C48" s="59">
        <v>110.67</v>
      </c>
      <c r="D48" s="59">
        <v>111.4</v>
      </c>
      <c r="E48" s="59">
        <v>5.86</v>
      </c>
      <c r="F48" s="59">
        <v>0.39</v>
      </c>
      <c r="G48" s="59">
        <v>73.47</v>
      </c>
      <c r="H48" s="59">
        <v>50.68</v>
      </c>
      <c r="I48" s="59">
        <v>0.52</v>
      </c>
      <c r="J48" s="59">
        <v>0.56000000000000005</v>
      </c>
      <c r="K48" s="59">
        <v>70.31</v>
      </c>
      <c r="L48" s="59">
        <v>26.35</v>
      </c>
      <c r="M48" s="59">
        <v>28</v>
      </c>
      <c r="N48" s="59">
        <v>362.2</v>
      </c>
      <c r="O48" s="59">
        <v>0</v>
      </c>
      <c r="P48" s="59">
        <v>1.63</v>
      </c>
      <c r="Q48" s="59">
        <v>44.14</v>
      </c>
      <c r="R48" s="197"/>
      <c r="S48" s="197"/>
      <c r="T48" s="197"/>
      <c r="U48" s="197"/>
    </row>
    <row r="49" spans="1:21" s="12" customFormat="1" x14ac:dyDescent="0.25">
      <c r="A49" s="200" t="s">
        <v>2303</v>
      </c>
      <c r="B49" s="59">
        <v>56.81</v>
      </c>
      <c r="C49" s="59">
        <v>108.59</v>
      </c>
      <c r="D49" s="59">
        <v>105.49</v>
      </c>
      <c r="E49" s="59">
        <v>5.79</v>
      </c>
      <c r="F49" s="59">
        <v>0.3</v>
      </c>
      <c r="G49" s="59">
        <v>73.47</v>
      </c>
      <c r="H49" s="59">
        <v>50.68</v>
      </c>
      <c r="I49" s="59">
        <v>0.5</v>
      </c>
      <c r="J49" s="59">
        <v>0.61</v>
      </c>
      <c r="K49" s="59">
        <v>69.8</v>
      </c>
      <c r="L49" s="59">
        <v>26.39</v>
      </c>
      <c r="M49" s="59">
        <v>27</v>
      </c>
      <c r="N49" s="59">
        <v>372.5</v>
      </c>
      <c r="O49" s="59">
        <v>0</v>
      </c>
      <c r="P49" s="59">
        <v>1.58</v>
      </c>
      <c r="Q49" s="59">
        <v>43.64</v>
      </c>
      <c r="R49" s="197"/>
      <c r="S49" s="197"/>
      <c r="T49" s="197"/>
      <c r="U49" s="197"/>
    </row>
    <row r="50" spans="1:21" s="12" customFormat="1" x14ac:dyDescent="0.25">
      <c r="A50" s="200" t="s">
        <v>2304</v>
      </c>
      <c r="B50" s="59">
        <v>50.63</v>
      </c>
      <c r="C50" s="59">
        <v>106.6</v>
      </c>
      <c r="D50" s="59">
        <v>99.43</v>
      </c>
      <c r="E50" s="59">
        <v>4.8499999999999996</v>
      </c>
      <c r="F50" s="59">
        <v>0.48</v>
      </c>
      <c r="G50" s="59">
        <v>72.78</v>
      </c>
      <c r="H50" s="59">
        <v>47.18</v>
      </c>
      <c r="I50" s="59">
        <v>0.48</v>
      </c>
      <c r="J50" s="59">
        <v>1.24</v>
      </c>
      <c r="K50" s="59">
        <v>108.94</v>
      </c>
      <c r="L50" s="59">
        <v>25.24</v>
      </c>
      <c r="M50" s="59">
        <v>29</v>
      </c>
      <c r="N50" s="59">
        <v>393.4</v>
      </c>
      <c r="O50" s="59">
        <v>0</v>
      </c>
      <c r="P50" s="59">
        <v>1.51</v>
      </c>
      <c r="Q50" s="59">
        <v>43.09</v>
      </c>
      <c r="R50" s="197"/>
      <c r="S50" s="197"/>
      <c r="T50" s="197"/>
      <c r="U50" s="197"/>
    </row>
    <row r="51" spans="1:21" s="12" customFormat="1" x14ac:dyDescent="0.25">
      <c r="A51" s="200" t="s">
        <v>2305</v>
      </c>
      <c r="B51" s="59">
        <v>44.19</v>
      </c>
      <c r="C51" s="59">
        <v>105</v>
      </c>
      <c r="D51" s="59">
        <v>93.38</v>
      </c>
      <c r="E51" s="59">
        <v>5.57</v>
      </c>
      <c r="F51" s="59">
        <v>0.54</v>
      </c>
      <c r="G51" s="59">
        <v>72.27</v>
      </c>
      <c r="H51" s="59">
        <v>42.61</v>
      </c>
      <c r="I51" s="59">
        <v>0.45</v>
      </c>
      <c r="J51" s="59">
        <v>1.37</v>
      </c>
      <c r="K51" s="59">
        <v>123.4</v>
      </c>
      <c r="L51" s="59">
        <v>25.52</v>
      </c>
      <c r="M51" s="59">
        <v>30</v>
      </c>
      <c r="N51" s="59">
        <v>378.7</v>
      </c>
      <c r="O51" s="59">
        <v>0</v>
      </c>
      <c r="P51" s="59">
        <v>1.43</v>
      </c>
      <c r="Q51" s="59">
        <v>42.69</v>
      </c>
      <c r="R51" s="197"/>
      <c r="S51" s="197"/>
      <c r="T51" s="197"/>
      <c r="U51" s="197"/>
    </row>
    <row r="52" spans="1:21" s="12" customFormat="1" x14ac:dyDescent="0.25">
      <c r="A52" s="200" t="s">
        <v>2306</v>
      </c>
      <c r="B52" s="59">
        <v>37.74</v>
      </c>
      <c r="C52" s="59">
        <v>103.13</v>
      </c>
      <c r="D52" s="59">
        <v>87.18</v>
      </c>
      <c r="E52" s="59">
        <v>5.17</v>
      </c>
      <c r="F52" s="59">
        <v>0.6</v>
      </c>
      <c r="G52" s="59">
        <v>72.27</v>
      </c>
      <c r="H52" s="59">
        <v>42.61</v>
      </c>
      <c r="I52" s="59">
        <v>0.43</v>
      </c>
      <c r="J52" s="59">
        <v>0.96</v>
      </c>
      <c r="K52" s="59">
        <v>113.69</v>
      </c>
      <c r="L52" s="59">
        <v>25.92</v>
      </c>
      <c r="M52" s="59">
        <v>29</v>
      </c>
      <c r="N52" s="59">
        <v>388.3</v>
      </c>
      <c r="O52" s="59">
        <v>0</v>
      </c>
      <c r="P52" s="59">
        <v>1.36</v>
      </c>
      <c r="Q52" s="59">
        <v>42.3</v>
      </c>
      <c r="R52" s="197"/>
      <c r="S52" s="197"/>
      <c r="T52" s="197"/>
      <c r="U52" s="197"/>
    </row>
    <row r="53" spans="1:21" s="12" customFormat="1" x14ac:dyDescent="0.25">
      <c r="A53" s="200" t="s">
        <v>2307</v>
      </c>
      <c r="B53" s="59">
        <v>31.92</v>
      </c>
      <c r="C53" s="59">
        <v>99.93</v>
      </c>
      <c r="D53" s="59">
        <v>80.75</v>
      </c>
      <c r="E53" s="59">
        <v>5.27</v>
      </c>
      <c r="F53" s="59">
        <v>0.55000000000000004</v>
      </c>
      <c r="G53" s="59">
        <v>72.27</v>
      </c>
      <c r="H53" s="59">
        <v>42.61</v>
      </c>
      <c r="I53" s="59">
        <v>0.42</v>
      </c>
      <c r="J53" s="59">
        <v>0.6</v>
      </c>
      <c r="K53" s="59">
        <v>80.34</v>
      </c>
      <c r="L53" s="59">
        <v>27.11</v>
      </c>
      <c r="M53" s="59">
        <v>28</v>
      </c>
      <c r="N53" s="59">
        <v>393.5</v>
      </c>
      <c r="O53" s="59">
        <v>0</v>
      </c>
      <c r="P53" s="59">
        <v>1.31</v>
      </c>
      <c r="Q53" s="59">
        <v>41.44</v>
      </c>
      <c r="R53" s="197"/>
      <c r="S53" s="197"/>
      <c r="T53" s="197"/>
      <c r="U53" s="197"/>
    </row>
    <row r="54" spans="1:21" s="12" customFormat="1" x14ac:dyDescent="0.25">
      <c r="A54" s="200" t="s">
        <v>2308</v>
      </c>
      <c r="B54" s="59">
        <v>12.36</v>
      </c>
      <c r="C54" s="59">
        <v>92.34</v>
      </c>
      <c r="D54" s="59">
        <v>60.87</v>
      </c>
      <c r="E54" s="59">
        <v>12.72</v>
      </c>
      <c r="F54" s="59">
        <v>13.99</v>
      </c>
      <c r="G54" s="59">
        <v>64.27</v>
      </c>
      <c r="H54" s="59">
        <v>39.020000000000003</v>
      </c>
      <c r="I54" s="59">
        <v>0.4</v>
      </c>
      <c r="J54" s="59">
        <v>1.1599999999999999</v>
      </c>
      <c r="K54" s="59">
        <v>22.36</v>
      </c>
      <c r="L54" s="59">
        <v>30.26</v>
      </c>
      <c r="M54" s="59">
        <v>22</v>
      </c>
      <c r="N54" s="59">
        <v>372</v>
      </c>
      <c r="O54" s="59">
        <v>0</v>
      </c>
      <c r="P54" s="59">
        <v>1.1299999999999999</v>
      </c>
      <c r="Q54" s="59">
        <v>29.29</v>
      </c>
      <c r="R54" s="197"/>
      <c r="S54" s="197"/>
      <c r="T54" s="197"/>
      <c r="U54" s="197"/>
    </row>
    <row r="55" spans="1:21" s="12" customFormat="1" x14ac:dyDescent="0.25">
      <c r="A55" s="200" t="s">
        <v>2309</v>
      </c>
      <c r="B55" s="59">
        <v>10.11</v>
      </c>
      <c r="C55" s="59">
        <v>93.95</v>
      </c>
      <c r="D55" s="59">
        <v>59.96</v>
      </c>
      <c r="E55" s="59">
        <v>12.67</v>
      </c>
      <c r="F55" s="59">
        <v>9.82</v>
      </c>
      <c r="G55" s="59">
        <v>58.21</v>
      </c>
      <c r="H55" s="59">
        <v>34.32</v>
      </c>
      <c r="I55" s="59">
        <v>0.37</v>
      </c>
      <c r="J55" s="59">
        <v>0.81</v>
      </c>
      <c r="K55" s="59">
        <v>25.89</v>
      </c>
      <c r="L55" s="59">
        <v>29.82</v>
      </c>
      <c r="M55" s="59">
        <v>22</v>
      </c>
      <c r="N55" s="59">
        <v>367.4</v>
      </c>
      <c r="O55" s="59">
        <v>0</v>
      </c>
      <c r="P55" s="59">
        <v>1.07</v>
      </c>
      <c r="Q55" s="59">
        <v>21.33</v>
      </c>
      <c r="R55" s="197"/>
      <c r="S55" s="197"/>
      <c r="T55" s="197"/>
      <c r="U55" s="197"/>
    </row>
    <row r="56" spans="1:21" s="12" customFormat="1" x14ac:dyDescent="0.25">
      <c r="A56" s="200" t="s">
        <v>2310</v>
      </c>
      <c r="B56" s="59">
        <v>7.74</v>
      </c>
      <c r="C56" s="59">
        <v>89.24</v>
      </c>
      <c r="D56" s="59">
        <v>55.46</v>
      </c>
      <c r="E56" s="59">
        <v>2.98</v>
      </c>
      <c r="F56" s="59">
        <v>5.97</v>
      </c>
      <c r="G56" s="59">
        <v>58.21</v>
      </c>
      <c r="H56" s="59">
        <v>34.32</v>
      </c>
      <c r="I56" s="59">
        <v>0.2</v>
      </c>
      <c r="J56" s="59">
        <v>1.28</v>
      </c>
      <c r="K56" s="59">
        <v>107.35</v>
      </c>
      <c r="L56" s="59">
        <v>28.14</v>
      </c>
      <c r="M56" s="59">
        <v>23</v>
      </c>
      <c r="N56" s="59">
        <v>409.5</v>
      </c>
      <c r="O56" s="59">
        <v>0</v>
      </c>
      <c r="P56" s="59">
        <v>1.02</v>
      </c>
      <c r="Q56" s="59">
        <v>21.4</v>
      </c>
      <c r="R56" s="197"/>
      <c r="S56" s="197"/>
      <c r="T56" s="197"/>
      <c r="U56" s="197"/>
    </row>
    <row r="57" spans="1:21" s="12" customFormat="1" x14ac:dyDescent="0.25">
      <c r="A57" s="200" t="s">
        <v>2311</v>
      </c>
      <c r="B57" s="59">
        <v>17.940000000000001</v>
      </c>
      <c r="C57" s="59">
        <v>93.78</v>
      </c>
      <c r="D57" s="59">
        <v>66.14</v>
      </c>
      <c r="E57" s="59">
        <v>26.96</v>
      </c>
      <c r="F57" s="59">
        <v>6.56</v>
      </c>
      <c r="G57" s="59">
        <v>58.21</v>
      </c>
      <c r="H57" s="59">
        <v>34.32</v>
      </c>
      <c r="I57" s="59">
        <v>0.14000000000000001</v>
      </c>
      <c r="J57" s="59">
        <v>0.68</v>
      </c>
      <c r="K57" s="59">
        <v>56.61</v>
      </c>
      <c r="L57" s="59">
        <v>28.92</v>
      </c>
      <c r="M57" s="59">
        <v>22</v>
      </c>
      <c r="N57" s="59">
        <v>384.2</v>
      </c>
      <c r="O57" s="59">
        <v>0</v>
      </c>
      <c r="P57" s="59">
        <v>0.89</v>
      </c>
      <c r="Q57" s="59">
        <v>21.95</v>
      </c>
      <c r="R57" s="197"/>
      <c r="S57" s="197"/>
      <c r="T57" s="197"/>
      <c r="U57" s="197"/>
    </row>
    <row r="58" spans="1:21" s="12" customFormat="1" x14ac:dyDescent="0.25">
      <c r="A58" s="200" t="s">
        <v>2312</v>
      </c>
      <c r="B58" s="59">
        <v>20.64</v>
      </c>
      <c r="C58" s="59">
        <v>96.53</v>
      </c>
      <c r="D58" s="59">
        <v>69.819999999999993</v>
      </c>
      <c r="E58" s="59">
        <v>25.04</v>
      </c>
      <c r="F58" s="59">
        <v>5.61</v>
      </c>
      <c r="G58" s="59">
        <v>57.9</v>
      </c>
      <c r="H58" s="59">
        <v>35.85</v>
      </c>
      <c r="I58" s="59">
        <v>0.15</v>
      </c>
      <c r="J58" s="59">
        <v>0.6</v>
      </c>
      <c r="K58" s="59">
        <v>76.72</v>
      </c>
      <c r="L58" s="59">
        <v>29.94</v>
      </c>
      <c r="M58" s="59">
        <v>20</v>
      </c>
      <c r="N58" s="59">
        <v>364.4</v>
      </c>
      <c r="O58" s="59">
        <v>0</v>
      </c>
      <c r="P58" s="59">
        <v>0.91</v>
      </c>
      <c r="Q58" s="59">
        <v>22.52</v>
      </c>
      <c r="R58" s="197"/>
      <c r="S58" s="197"/>
      <c r="T58" s="197"/>
      <c r="U58" s="197"/>
    </row>
    <row r="59" spans="1:21" s="12" customFormat="1" x14ac:dyDescent="0.25">
      <c r="A59" s="200" t="s">
        <v>2313</v>
      </c>
      <c r="B59" s="59">
        <v>16.53</v>
      </c>
      <c r="C59" s="59">
        <v>93.78</v>
      </c>
      <c r="D59" s="59">
        <v>65.010000000000005</v>
      </c>
      <c r="E59" s="59">
        <v>13.39</v>
      </c>
      <c r="F59" s="59">
        <v>3.79</v>
      </c>
      <c r="G59" s="59">
        <v>57.23</v>
      </c>
      <c r="H59" s="59">
        <v>37.85</v>
      </c>
      <c r="I59" s="59">
        <v>0.15</v>
      </c>
      <c r="J59" s="59">
        <v>0.81</v>
      </c>
      <c r="K59" s="59">
        <v>108</v>
      </c>
      <c r="L59" s="59">
        <v>29.09</v>
      </c>
      <c r="M59" s="59">
        <v>21</v>
      </c>
      <c r="N59" s="59">
        <v>368.4</v>
      </c>
      <c r="O59" s="59">
        <v>0</v>
      </c>
      <c r="P59" s="59">
        <v>0.86</v>
      </c>
      <c r="Q59" s="59">
        <v>23.92</v>
      </c>
      <c r="R59" s="197"/>
      <c r="S59" s="197"/>
      <c r="T59" s="197"/>
      <c r="U59" s="197"/>
    </row>
    <row r="60" spans="1:21" s="12" customFormat="1" x14ac:dyDescent="0.25">
      <c r="A60" s="200" t="s">
        <v>2314</v>
      </c>
      <c r="B60" s="59">
        <v>15.03</v>
      </c>
      <c r="C60" s="59">
        <v>94.03</v>
      </c>
      <c r="D60" s="59">
        <v>63.95</v>
      </c>
      <c r="E60" s="59">
        <v>7.03</v>
      </c>
      <c r="F60" s="59">
        <v>2.27</v>
      </c>
      <c r="G60" s="59">
        <v>57.23</v>
      </c>
      <c r="H60" s="59">
        <v>37.85</v>
      </c>
      <c r="I60" s="59">
        <v>0.16</v>
      </c>
      <c r="J60" s="59">
        <v>0.92</v>
      </c>
      <c r="K60" s="59">
        <v>115.5</v>
      </c>
      <c r="L60" s="59">
        <v>28.95</v>
      </c>
      <c r="M60" s="59">
        <v>21</v>
      </c>
      <c r="N60" s="59">
        <v>377.6</v>
      </c>
      <c r="O60" s="59">
        <v>0</v>
      </c>
      <c r="P60" s="59">
        <v>0.84</v>
      </c>
      <c r="Q60" s="59">
        <v>25.75</v>
      </c>
      <c r="R60" s="197"/>
      <c r="S60" s="197"/>
      <c r="T60" s="197"/>
      <c r="U60" s="197"/>
    </row>
    <row r="61" spans="1:21" s="12" customFormat="1" x14ac:dyDescent="0.25">
      <c r="A61" s="200" t="s">
        <v>2315</v>
      </c>
      <c r="B61" s="59">
        <v>14.1</v>
      </c>
      <c r="C61" s="59">
        <v>92.98</v>
      </c>
      <c r="D61" s="59">
        <v>62.62</v>
      </c>
      <c r="E61" s="59">
        <v>5.48</v>
      </c>
      <c r="F61" s="59">
        <v>1.0900000000000001</v>
      </c>
      <c r="G61" s="59">
        <v>57.23</v>
      </c>
      <c r="H61" s="59">
        <v>37.85</v>
      </c>
      <c r="I61" s="59">
        <v>0.17</v>
      </c>
      <c r="J61" s="59">
        <v>1.01</v>
      </c>
      <c r="K61" s="59">
        <v>117.24</v>
      </c>
      <c r="L61" s="59">
        <v>28.49</v>
      </c>
      <c r="M61" s="59">
        <v>21</v>
      </c>
      <c r="N61" s="59">
        <v>349.1</v>
      </c>
      <c r="O61" s="59">
        <v>0</v>
      </c>
      <c r="P61" s="59">
        <v>0.86</v>
      </c>
      <c r="Q61" s="59">
        <v>28.2</v>
      </c>
      <c r="R61" s="197"/>
      <c r="S61" s="197"/>
      <c r="T61" s="197"/>
      <c r="U61" s="197"/>
    </row>
    <row r="62" spans="1:21" s="12" customFormat="1" x14ac:dyDescent="0.25">
      <c r="A62" s="200" t="s">
        <v>2316</v>
      </c>
      <c r="B62" s="59">
        <v>16.309999999999999</v>
      </c>
      <c r="C62" s="59">
        <v>94.63</v>
      </c>
      <c r="D62" s="59">
        <v>65.31</v>
      </c>
      <c r="E62" s="59">
        <v>9.8000000000000007</v>
      </c>
      <c r="F62" s="59">
        <v>3.62</v>
      </c>
      <c r="G62" s="59">
        <v>48.23</v>
      </c>
      <c r="H62" s="59">
        <v>32.01</v>
      </c>
      <c r="I62" s="59">
        <v>0.18</v>
      </c>
      <c r="J62" s="59">
        <v>0.7</v>
      </c>
      <c r="K62" s="59">
        <v>24.45</v>
      </c>
      <c r="L62" s="59">
        <v>30.63</v>
      </c>
      <c r="M62" s="59">
        <v>19</v>
      </c>
      <c r="N62" s="59">
        <v>321.3</v>
      </c>
      <c r="O62" s="59">
        <v>0</v>
      </c>
      <c r="P62" s="59">
        <v>0.89</v>
      </c>
      <c r="Q62" s="59">
        <v>29.33</v>
      </c>
      <c r="R62" s="197"/>
      <c r="S62" s="197"/>
      <c r="T62" s="197"/>
      <c r="U62" s="197"/>
    </row>
    <row r="63" spans="1:21" s="12" customFormat="1" x14ac:dyDescent="0.25">
      <c r="A63" s="200" t="s">
        <v>2317</v>
      </c>
      <c r="B63" s="59">
        <v>18.670000000000002</v>
      </c>
      <c r="C63" s="59">
        <v>94.4</v>
      </c>
      <c r="D63" s="59">
        <v>67.069999999999993</v>
      </c>
      <c r="E63" s="59">
        <v>9.7899999999999991</v>
      </c>
      <c r="F63" s="59">
        <v>3.27</v>
      </c>
      <c r="G63" s="59">
        <v>41.43</v>
      </c>
      <c r="H63" s="59">
        <v>24.37</v>
      </c>
      <c r="I63" s="59">
        <v>0.18</v>
      </c>
      <c r="J63" s="59">
        <v>0.65</v>
      </c>
      <c r="K63" s="59">
        <v>64.260000000000005</v>
      </c>
      <c r="L63" s="59">
        <v>30.72</v>
      </c>
      <c r="M63" s="59">
        <v>18</v>
      </c>
      <c r="N63" s="59">
        <v>341.5</v>
      </c>
      <c r="O63" s="59">
        <v>0</v>
      </c>
      <c r="P63" s="59">
        <v>0.93</v>
      </c>
      <c r="Q63" s="59">
        <v>29.47</v>
      </c>
      <c r="R63" s="197"/>
      <c r="S63" s="197"/>
      <c r="T63" s="197"/>
      <c r="U63" s="197"/>
    </row>
    <row r="64" spans="1:21" s="12" customFormat="1" x14ac:dyDescent="0.25">
      <c r="A64" s="200" t="s">
        <v>2318</v>
      </c>
      <c r="B64" s="59">
        <v>16.47</v>
      </c>
      <c r="C64" s="59">
        <v>93.68</v>
      </c>
      <c r="D64" s="59">
        <v>64.91</v>
      </c>
      <c r="E64" s="59">
        <v>8.83</v>
      </c>
      <c r="F64" s="59">
        <v>1.99</v>
      </c>
      <c r="G64" s="59">
        <v>41.43</v>
      </c>
      <c r="H64" s="59">
        <v>24.37</v>
      </c>
      <c r="I64" s="59">
        <v>0.17</v>
      </c>
      <c r="J64" s="59">
        <v>0.67</v>
      </c>
      <c r="K64" s="59">
        <v>111.86</v>
      </c>
      <c r="L64" s="59">
        <v>28.82</v>
      </c>
      <c r="M64" s="59">
        <v>20</v>
      </c>
      <c r="N64" s="59">
        <v>318.8</v>
      </c>
      <c r="O64" s="59">
        <v>0</v>
      </c>
      <c r="P64" s="59">
        <v>0.87</v>
      </c>
      <c r="Q64" s="59">
        <v>29.63</v>
      </c>
      <c r="R64" s="197"/>
      <c r="S64" s="197"/>
      <c r="T64" s="197"/>
      <c r="U64" s="197"/>
    </row>
    <row r="65" spans="1:21" s="12" customFormat="1" x14ac:dyDescent="0.25">
      <c r="A65" s="200" t="s">
        <v>2319</v>
      </c>
      <c r="B65" s="59">
        <v>18</v>
      </c>
      <c r="C65" s="59">
        <v>97.22</v>
      </c>
      <c r="D65" s="59">
        <v>68.09</v>
      </c>
      <c r="E65" s="59">
        <v>21.62</v>
      </c>
      <c r="F65" s="59">
        <v>3.03</v>
      </c>
      <c r="G65" s="59">
        <v>41.43</v>
      </c>
      <c r="H65" s="59">
        <v>24.37</v>
      </c>
      <c r="I65" s="59">
        <v>0.17</v>
      </c>
      <c r="J65" s="59">
        <v>0.65</v>
      </c>
      <c r="K65" s="59">
        <v>36.090000000000003</v>
      </c>
      <c r="L65" s="59">
        <v>30.89</v>
      </c>
      <c r="M65" s="59">
        <v>18</v>
      </c>
      <c r="N65" s="59">
        <v>303.39999999999998</v>
      </c>
      <c r="O65" s="59">
        <v>0</v>
      </c>
      <c r="P65" s="59">
        <v>0.86</v>
      </c>
      <c r="Q65" s="59">
        <v>28.98</v>
      </c>
      <c r="R65" s="197"/>
      <c r="S65" s="197"/>
      <c r="T65" s="197"/>
      <c r="U65" s="197"/>
    </row>
    <row r="66" spans="1:21" s="12" customFormat="1" x14ac:dyDescent="0.25">
      <c r="A66" s="200" t="s">
        <v>2320</v>
      </c>
      <c r="B66" s="59">
        <v>17.760000000000002</v>
      </c>
      <c r="C66" s="59">
        <v>95.69</v>
      </c>
      <c r="D66" s="59">
        <v>67.05</v>
      </c>
      <c r="E66" s="59">
        <v>13.61</v>
      </c>
      <c r="F66" s="59">
        <v>3.08</v>
      </c>
      <c r="G66" s="59">
        <v>46.43</v>
      </c>
      <c r="H66" s="59">
        <v>25.45</v>
      </c>
      <c r="I66" s="59">
        <v>0.16</v>
      </c>
      <c r="J66" s="59">
        <v>1.04</v>
      </c>
      <c r="K66" s="59">
        <v>27.08</v>
      </c>
      <c r="L66" s="59">
        <v>31.17</v>
      </c>
      <c r="M66" s="59">
        <v>18</v>
      </c>
      <c r="N66" s="59">
        <v>185.3</v>
      </c>
      <c r="O66" s="59">
        <v>0</v>
      </c>
      <c r="P66" s="59">
        <v>0.88</v>
      </c>
      <c r="Q66" s="59">
        <v>28.32</v>
      </c>
      <c r="R66" s="197"/>
      <c r="S66" s="197"/>
      <c r="T66" s="197"/>
      <c r="U66" s="197"/>
    </row>
    <row r="67" spans="1:21" s="12" customFormat="1" x14ac:dyDescent="0.25">
      <c r="A67" s="200" t="s">
        <v>2321</v>
      </c>
      <c r="B67" s="59">
        <v>19.559999999999999</v>
      </c>
      <c r="C67" s="59">
        <v>93.03</v>
      </c>
      <c r="D67" s="59">
        <v>67.03</v>
      </c>
      <c r="E67" s="59">
        <v>12.03</v>
      </c>
      <c r="F67" s="59">
        <v>2.87</v>
      </c>
      <c r="G67" s="59">
        <v>50.22</v>
      </c>
      <c r="H67" s="59">
        <v>26.89</v>
      </c>
      <c r="I67" s="59">
        <v>0.15</v>
      </c>
      <c r="J67" s="59">
        <v>0.95</v>
      </c>
      <c r="K67" s="59">
        <v>31.44</v>
      </c>
      <c r="L67" s="59">
        <v>31.19</v>
      </c>
      <c r="M67" s="59">
        <v>18</v>
      </c>
      <c r="N67" s="59">
        <v>151.19999999999999</v>
      </c>
      <c r="O67" s="59">
        <v>0</v>
      </c>
      <c r="P67" s="59">
        <v>0.89</v>
      </c>
      <c r="Q67" s="59">
        <v>29.51</v>
      </c>
      <c r="R67" s="197"/>
      <c r="S67" s="197"/>
      <c r="T67" s="197"/>
      <c r="U67" s="197"/>
    </row>
    <row r="68" spans="1:21" s="12" customFormat="1" x14ac:dyDescent="0.25">
      <c r="A68" s="200" t="s">
        <v>2322</v>
      </c>
      <c r="B68" s="59">
        <v>18.920000000000002</v>
      </c>
      <c r="C68" s="59">
        <v>86.15</v>
      </c>
      <c r="D68" s="59">
        <v>62.71</v>
      </c>
      <c r="E68" s="59">
        <v>17.420000000000002</v>
      </c>
      <c r="F68" s="59">
        <v>6.29</v>
      </c>
      <c r="G68" s="59">
        <v>50.22</v>
      </c>
      <c r="H68" s="59">
        <v>26.89</v>
      </c>
      <c r="I68" s="59">
        <v>0.17</v>
      </c>
      <c r="J68" s="59">
        <v>0.67</v>
      </c>
      <c r="K68" s="59">
        <v>76.62</v>
      </c>
      <c r="L68" s="59">
        <v>30.44</v>
      </c>
      <c r="M68" s="59">
        <v>18</v>
      </c>
      <c r="N68" s="59">
        <v>231.7</v>
      </c>
      <c r="O68" s="59">
        <v>0</v>
      </c>
      <c r="P68" s="59">
        <v>0.89</v>
      </c>
      <c r="Q68" s="59">
        <v>30.91</v>
      </c>
      <c r="R68" s="197"/>
      <c r="S68" s="197"/>
      <c r="T68" s="197"/>
      <c r="U68" s="197"/>
    </row>
    <row r="69" spans="1:21" s="12" customFormat="1" x14ac:dyDescent="0.25">
      <c r="A69" s="200" t="s">
        <v>2323</v>
      </c>
      <c r="B69" s="59">
        <v>13.33</v>
      </c>
      <c r="C69" s="59">
        <v>79.5</v>
      </c>
      <c r="D69" s="59">
        <v>54.56</v>
      </c>
      <c r="E69" s="59">
        <v>21.09</v>
      </c>
      <c r="F69" s="59">
        <v>10.26</v>
      </c>
      <c r="G69" s="59">
        <v>50.22</v>
      </c>
      <c r="H69" s="59">
        <v>26.89</v>
      </c>
      <c r="I69" s="59">
        <v>0.16</v>
      </c>
      <c r="J69" s="59">
        <v>0.55000000000000004</v>
      </c>
      <c r="K69" s="59">
        <v>97.3</v>
      </c>
      <c r="L69" s="59">
        <v>28.49</v>
      </c>
      <c r="M69" s="59">
        <v>20</v>
      </c>
      <c r="N69" s="59">
        <v>212</v>
      </c>
      <c r="O69" s="59">
        <v>0</v>
      </c>
      <c r="P69" s="59">
        <v>0.79</v>
      </c>
      <c r="Q69" s="59">
        <v>30.76</v>
      </c>
      <c r="R69" s="197"/>
      <c r="S69" s="197"/>
      <c r="T69" s="197"/>
      <c r="U69" s="197"/>
    </row>
    <row r="70" spans="1:21" s="12" customFormat="1" x14ac:dyDescent="0.25">
      <c r="A70" s="200" t="s">
        <v>2324</v>
      </c>
      <c r="B70" s="59">
        <v>13.91</v>
      </c>
      <c r="C70" s="59">
        <v>83.72</v>
      </c>
      <c r="D70" s="59">
        <v>57.36</v>
      </c>
      <c r="E70" s="59">
        <v>21.8</v>
      </c>
      <c r="F70" s="59">
        <v>7.61</v>
      </c>
      <c r="G70" s="59">
        <v>51.66</v>
      </c>
      <c r="H70" s="59">
        <v>25.74</v>
      </c>
      <c r="I70" s="59">
        <v>0.16</v>
      </c>
      <c r="J70" s="59">
        <v>0.38</v>
      </c>
      <c r="K70" s="59">
        <v>109.41</v>
      </c>
      <c r="L70" s="59">
        <v>28.62</v>
      </c>
      <c r="M70" s="59">
        <v>20</v>
      </c>
      <c r="N70" s="59">
        <v>158.6</v>
      </c>
      <c r="O70" s="59">
        <v>0</v>
      </c>
      <c r="P70" s="59">
        <v>0.82</v>
      </c>
      <c r="Q70" s="59">
        <v>30.22</v>
      </c>
      <c r="R70" s="197"/>
      <c r="S70" s="197"/>
      <c r="T70" s="197"/>
      <c r="U70" s="197"/>
    </row>
    <row r="71" spans="1:21" s="12" customFormat="1" x14ac:dyDescent="0.25">
      <c r="A71" s="200" t="s">
        <v>2325</v>
      </c>
      <c r="B71" s="59">
        <v>13.48</v>
      </c>
      <c r="C71" s="59">
        <v>81.72</v>
      </c>
      <c r="D71" s="59">
        <v>55.91</v>
      </c>
      <c r="E71" s="59">
        <v>15.36</v>
      </c>
      <c r="F71" s="59">
        <v>5.53</v>
      </c>
      <c r="G71" s="59">
        <v>52.73</v>
      </c>
      <c r="H71" s="59">
        <v>24.22</v>
      </c>
      <c r="I71" s="59">
        <v>0.15</v>
      </c>
      <c r="J71" s="59">
        <v>0.67</v>
      </c>
      <c r="K71" s="59">
        <v>98.65</v>
      </c>
      <c r="L71" s="59">
        <v>27.94</v>
      </c>
      <c r="M71" s="59">
        <v>21</v>
      </c>
      <c r="N71" s="59">
        <v>140.9</v>
      </c>
      <c r="O71" s="59">
        <v>0</v>
      </c>
      <c r="P71" s="59">
        <v>0.83</v>
      </c>
      <c r="Q71" s="59">
        <v>30.91</v>
      </c>
      <c r="R71" s="197"/>
      <c r="S71" s="197"/>
      <c r="T71" s="197"/>
      <c r="U71" s="197"/>
    </row>
    <row r="72" spans="1:21" s="12" customFormat="1" x14ac:dyDescent="0.25">
      <c r="A72" s="200" t="s">
        <v>2326</v>
      </c>
      <c r="B72" s="59">
        <v>15.9</v>
      </c>
      <c r="C72" s="59">
        <v>80.22</v>
      </c>
      <c r="D72" s="59">
        <v>57.02</v>
      </c>
      <c r="E72" s="59">
        <v>23.03</v>
      </c>
      <c r="F72" s="59">
        <v>5.14</v>
      </c>
      <c r="G72" s="59">
        <v>52.73</v>
      </c>
      <c r="H72" s="59">
        <v>24.22</v>
      </c>
      <c r="I72" s="59">
        <v>0.18</v>
      </c>
      <c r="J72" s="59">
        <v>0.45</v>
      </c>
      <c r="K72" s="59">
        <v>61.57</v>
      </c>
      <c r="L72" s="59">
        <v>27.75</v>
      </c>
      <c r="M72" s="59">
        <v>21</v>
      </c>
      <c r="N72" s="59">
        <v>79.7</v>
      </c>
      <c r="O72" s="59">
        <v>0</v>
      </c>
      <c r="P72" s="59">
        <v>0.86</v>
      </c>
      <c r="Q72" s="59">
        <v>32.020000000000003</v>
      </c>
      <c r="R72" s="197"/>
      <c r="S72" s="197"/>
      <c r="T72" s="197"/>
      <c r="U72" s="197"/>
    </row>
    <row r="73" spans="1:21" s="12" customFormat="1" x14ac:dyDescent="0.25">
      <c r="A73" s="200" t="s">
        <v>2327</v>
      </c>
      <c r="B73" s="59">
        <v>21.22</v>
      </c>
      <c r="C73" s="59">
        <v>94.22</v>
      </c>
      <c r="D73" s="59">
        <v>69.010000000000005</v>
      </c>
      <c r="E73" s="59">
        <v>47.18</v>
      </c>
      <c r="F73" s="59">
        <v>13.72</v>
      </c>
      <c r="G73" s="59">
        <v>52.73</v>
      </c>
      <c r="H73" s="59">
        <v>24.22</v>
      </c>
      <c r="I73" s="59">
        <v>0.19</v>
      </c>
      <c r="J73" s="59">
        <v>0.4</v>
      </c>
      <c r="K73" s="59">
        <v>40.630000000000003</v>
      </c>
      <c r="L73" s="59">
        <v>27.83</v>
      </c>
      <c r="M73" s="59">
        <v>22</v>
      </c>
      <c r="N73" s="59">
        <v>63.7</v>
      </c>
      <c r="O73" s="59">
        <v>0</v>
      </c>
      <c r="P73" s="59">
        <v>1</v>
      </c>
      <c r="Q73" s="59">
        <v>30.77</v>
      </c>
      <c r="R73" s="197"/>
      <c r="S73" s="197"/>
      <c r="T73" s="197"/>
      <c r="U73" s="197"/>
    </row>
    <row r="74" spans="1:21" s="12" customFormat="1" x14ac:dyDescent="0.25">
      <c r="A74" s="200" t="s">
        <v>2328</v>
      </c>
      <c r="B74" s="59">
        <v>20.77</v>
      </c>
      <c r="C74" s="59">
        <v>97.04</v>
      </c>
      <c r="D74" s="59">
        <v>70.209999999999994</v>
      </c>
      <c r="E74" s="59">
        <v>44.81</v>
      </c>
      <c r="F74" s="59">
        <v>11.73</v>
      </c>
      <c r="G74" s="59">
        <v>55.23</v>
      </c>
      <c r="H74" s="59">
        <v>25.17</v>
      </c>
      <c r="I74" s="59">
        <v>0.18</v>
      </c>
      <c r="J74" s="59">
        <v>0.3</v>
      </c>
      <c r="K74" s="59">
        <v>31.77</v>
      </c>
      <c r="L74" s="59">
        <v>27.41</v>
      </c>
      <c r="M74" s="59">
        <v>23</v>
      </c>
      <c r="N74" s="59">
        <v>55.3</v>
      </c>
      <c r="O74" s="59">
        <v>0</v>
      </c>
      <c r="P74" s="59">
        <v>1.04</v>
      </c>
      <c r="Q74" s="59">
        <v>30.75</v>
      </c>
      <c r="R74" s="197"/>
      <c r="S74" s="197"/>
      <c r="T74" s="197"/>
      <c r="U74" s="197"/>
    </row>
    <row r="75" spans="1:21" s="12" customFormat="1" x14ac:dyDescent="0.25">
      <c r="A75" s="200" t="s">
        <v>2329</v>
      </c>
      <c r="B75" s="59">
        <v>16.84</v>
      </c>
      <c r="C75" s="59">
        <v>95.98</v>
      </c>
      <c r="D75" s="59">
        <v>66.48</v>
      </c>
      <c r="E75" s="59">
        <v>16.43</v>
      </c>
      <c r="F75" s="59">
        <v>2.82</v>
      </c>
      <c r="G75" s="59">
        <v>60.25</v>
      </c>
      <c r="H75" s="59">
        <v>26.4</v>
      </c>
      <c r="I75" s="59">
        <v>0.18</v>
      </c>
      <c r="J75" s="59">
        <v>0.51</v>
      </c>
      <c r="K75" s="59">
        <v>95.85</v>
      </c>
      <c r="L75" s="59">
        <v>26.9</v>
      </c>
      <c r="M75" s="59">
        <v>24</v>
      </c>
      <c r="N75" s="59">
        <v>44.7</v>
      </c>
      <c r="O75" s="59">
        <v>0</v>
      </c>
      <c r="P75" s="59">
        <v>0.98</v>
      </c>
      <c r="Q75" s="59">
        <v>32.75</v>
      </c>
      <c r="R75" s="197"/>
      <c r="S75" s="197"/>
      <c r="T75" s="197"/>
      <c r="U75" s="197"/>
    </row>
    <row r="76" spans="1:21" s="12" customFormat="1" x14ac:dyDescent="0.25">
      <c r="A76" s="200" t="s">
        <v>2330</v>
      </c>
      <c r="B76" s="59">
        <v>13.41</v>
      </c>
      <c r="C76" s="59">
        <v>94.41</v>
      </c>
      <c r="D76" s="59">
        <v>62.86</v>
      </c>
      <c r="E76" s="59">
        <v>12.07</v>
      </c>
      <c r="F76" s="59">
        <v>3.2</v>
      </c>
      <c r="G76" s="59">
        <v>60.25</v>
      </c>
      <c r="H76" s="59">
        <v>26.4</v>
      </c>
      <c r="I76" s="59">
        <v>0.19</v>
      </c>
      <c r="J76" s="59">
        <v>0.37</v>
      </c>
      <c r="K76" s="59">
        <v>101.82</v>
      </c>
      <c r="L76" s="59">
        <v>26.31</v>
      </c>
      <c r="M76" s="59">
        <v>26</v>
      </c>
      <c r="N76" s="59">
        <v>36.200000000000003</v>
      </c>
      <c r="O76" s="59">
        <v>0</v>
      </c>
      <c r="P76" s="59">
        <v>0.91</v>
      </c>
      <c r="Q76" s="59">
        <v>33.9</v>
      </c>
      <c r="R76" s="197"/>
      <c r="S76" s="197"/>
      <c r="T76" s="197"/>
      <c r="U76" s="197"/>
    </row>
    <row r="77" spans="1:21" s="12" customFormat="1" x14ac:dyDescent="0.25">
      <c r="A77" s="200" t="s">
        <v>2331</v>
      </c>
      <c r="B77" s="59">
        <v>10.65</v>
      </c>
      <c r="C77" s="59">
        <v>99.4</v>
      </c>
      <c r="D77" s="59">
        <v>63.4</v>
      </c>
      <c r="E77" s="59">
        <v>9.8699999999999992</v>
      </c>
      <c r="F77" s="59">
        <v>2.62</v>
      </c>
      <c r="G77" s="59">
        <v>60.25</v>
      </c>
      <c r="H77" s="59">
        <v>26.4</v>
      </c>
      <c r="I77" s="59">
        <v>0.23</v>
      </c>
      <c r="J77" s="59">
        <v>0.28000000000000003</v>
      </c>
      <c r="K77" s="59">
        <v>64.86</v>
      </c>
      <c r="L77" s="59">
        <v>25.78</v>
      </c>
      <c r="M77" s="59">
        <v>27</v>
      </c>
      <c r="N77" s="59">
        <v>29.9</v>
      </c>
      <c r="O77" s="59">
        <v>0</v>
      </c>
      <c r="P77" s="59">
        <v>0.95</v>
      </c>
      <c r="Q77" s="59">
        <v>33.39</v>
      </c>
      <c r="R77" s="197"/>
      <c r="S77" s="197"/>
      <c r="T77" s="197"/>
      <c r="U77" s="197"/>
    </row>
    <row r="78" spans="1:21" s="12" customFormat="1" x14ac:dyDescent="0.25">
      <c r="A78" s="200" t="s">
        <v>2332</v>
      </c>
      <c r="B78" s="59">
        <v>9.94</v>
      </c>
      <c r="C78" s="59">
        <v>105.51</v>
      </c>
      <c r="D78" s="59">
        <v>66.2</v>
      </c>
      <c r="E78" s="59">
        <v>8.6199999999999992</v>
      </c>
      <c r="F78" s="59">
        <v>1.17</v>
      </c>
      <c r="G78" s="59">
        <v>55</v>
      </c>
      <c r="H78" s="59">
        <v>27.16</v>
      </c>
      <c r="I78" s="59">
        <v>0.24</v>
      </c>
      <c r="J78" s="59">
        <v>0.27</v>
      </c>
      <c r="K78" s="59">
        <v>79.05</v>
      </c>
      <c r="L78" s="59">
        <v>25.13</v>
      </c>
      <c r="M78" s="59">
        <v>30</v>
      </c>
      <c r="N78" s="59">
        <v>26.2</v>
      </c>
      <c r="O78" s="59">
        <v>0</v>
      </c>
      <c r="P78" s="59">
        <v>1.04</v>
      </c>
      <c r="Q78" s="59">
        <v>31.63</v>
      </c>
      <c r="R78" s="197"/>
      <c r="S78" s="197"/>
      <c r="T78" s="197"/>
      <c r="U78" s="197"/>
    </row>
    <row r="79" spans="1:21" s="12" customFormat="1" x14ac:dyDescent="0.25">
      <c r="A79" s="200" t="s">
        <v>2333</v>
      </c>
      <c r="B79" s="59">
        <v>10.210000000000001</v>
      </c>
      <c r="C79" s="59">
        <v>110.13</v>
      </c>
      <c r="D79" s="59">
        <v>68.97</v>
      </c>
      <c r="E79" s="59">
        <v>6.08</v>
      </c>
      <c r="F79" s="59">
        <v>0.43</v>
      </c>
      <c r="G79" s="59">
        <v>51.02</v>
      </c>
      <c r="H79" s="59">
        <v>28.14</v>
      </c>
      <c r="I79" s="59">
        <v>0.21</v>
      </c>
      <c r="J79" s="59">
        <v>0.12</v>
      </c>
      <c r="K79" s="59">
        <v>69.41</v>
      </c>
      <c r="L79" s="59">
        <v>24.22</v>
      </c>
      <c r="M79" s="59">
        <v>33</v>
      </c>
      <c r="N79" s="59">
        <v>25</v>
      </c>
      <c r="O79" s="59">
        <v>0</v>
      </c>
      <c r="P79" s="59">
        <v>1.08</v>
      </c>
      <c r="Q79" s="59">
        <v>31.97</v>
      </c>
      <c r="R79" s="197"/>
      <c r="S79" s="197"/>
      <c r="T79" s="197"/>
      <c r="U79" s="197"/>
    </row>
    <row r="80" spans="1:21" s="12" customFormat="1" x14ac:dyDescent="0.25">
      <c r="A80" s="200" t="s">
        <v>2334</v>
      </c>
      <c r="B80" s="59">
        <v>10.65</v>
      </c>
      <c r="C80" s="59">
        <v>111.23</v>
      </c>
      <c r="D80" s="59">
        <v>69.930000000000007</v>
      </c>
      <c r="E80" s="59">
        <v>5.01</v>
      </c>
      <c r="F80" s="59">
        <v>0.17</v>
      </c>
      <c r="G80" s="59">
        <v>51.02</v>
      </c>
      <c r="H80" s="59">
        <v>28.14</v>
      </c>
      <c r="I80" s="59">
        <v>0.24</v>
      </c>
      <c r="J80" s="59">
        <v>0.06</v>
      </c>
      <c r="K80" s="59">
        <v>33.79</v>
      </c>
      <c r="L80" s="59">
        <v>23.07</v>
      </c>
      <c r="M80" s="59">
        <v>37</v>
      </c>
      <c r="N80" s="59">
        <v>24.7</v>
      </c>
      <c r="O80" s="59">
        <v>0</v>
      </c>
      <c r="P80" s="59">
        <v>1.1299999999999999</v>
      </c>
      <c r="Q80" s="59">
        <v>33.18</v>
      </c>
      <c r="R80" s="197"/>
      <c r="S80" s="197"/>
      <c r="T80" s="197"/>
      <c r="U80" s="197"/>
    </row>
    <row r="81" spans="1:26" s="12" customFormat="1" x14ac:dyDescent="0.25">
      <c r="A81" s="200" t="s">
        <v>2335</v>
      </c>
      <c r="B81" s="59">
        <v>21.78</v>
      </c>
      <c r="C81" s="59">
        <v>118.11</v>
      </c>
      <c r="D81" s="59">
        <v>82.65</v>
      </c>
      <c r="E81" s="59">
        <v>5.05</v>
      </c>
      <c r="F81" s="59">
        <v>0.06</v>
      </c>
      <c r="G81" s="59">
        <v>51.02</v>
      </c>
      <c r="H81" s="59">
        <v>28.14</v>
      </c>
      <c r="I81" s="59">
        <v>0.26</v>
      </c>
      <c r="J81" s="59">
        <v>0.03</v>
      </c>
      <c r="K81" s="59">
        <v>7.86</v>
      </c>
      <c r="L81" s="59">
        <v>22.19</v>
      </c>
      <c r="M81" s="59">
        <v>40</v>
      </c>
      <c r="N81" s="59">
        <v>24.5</v>
      </c>
      <c r="O81" s="59">
        <v>0</v>
      </c>
      <c r="P81" s="59">
        <v>1.31</v>
      </c>
      <c r="Q81" s="59">
        <v>33.81</v>
      </c>
      <c r="R81" s="197"/>
      <c r="S81" s="197"/>
      <c r="T81" s="197"/>
      <c r="U81" s="197"/>
    </row>
    <row r="82" spans="1:26" s="12" customFormat="1" x14ac:dyDescent="0.25">
      <c r="A82" s="200" t="s">
        <v>2336</v>
      </c>
      <c r="B82" s="59">
        <v>24.8</v>
      </c>
      <c r="C82" s="59">
        <v>116.32</v>
      </c>
      <c r="D82" s="59">
        <v>84.08</v>
      </c>
      <c r="E82" s="59">
        <v>4.57</v>
      </c>
      <c r="F82" s="59">
        <v>0.03</v>
      </c>
      <c r="G82" s="59">
        <v>104.75</v>
      </c>
      <c r="H82" s="59">
        <v>32.08</v>
      </c>
      <c r="I82" s="59">
        <v>0.28999999999999998</v>
      </c>
      <c r="J82" s="59">
        <v>0.02</v>
      </c>
      <c r="K82" s="59">
        <v>359.59</v>
      </c>
      <c r="L82" s="59">
        <v>21.51</v>
      </c>
      <c r="M82" s="59">
        <v>47</v>
      </c>
      <c r="N82" s="59">
        <v>24.4</v>
      </c>
      <c r="O82" s="59">
        <v>0</v>
      </c>
      <c r="P82" s="59">
        <v>1.46</v>
      </c>
      <c r="Q82" s="59">
        <v>33.58</v>
      </c>
      <c r="R82" s="197"/>
      <c r="S82" s="197"/>
      <c r="T82" s="197"/>
      <c r="U82" s="197"/>
    </row>
    <row r="83" spans="1:26" s="12" customFormat="1" x14ac:dyDescent="0.25">
      <c r="A83" s="200" t="s">
        <v>2337</v>
      </c>
      <c r="B83" s="59">
        <v>32.86</v>
      </c>
      <c r="C83" s="59">
        <v>120.3</v>
      </c>
      <c r="D83" s="59">
        <v>92.75</v>
      </c>
      <c r="E83" s="59">
        <v>4.38</v>
      </c>
      <c r="F83" s="59">
        <v>0.04</v>
      </c>
      <c r="G83" s="59">
        <v>144.34</v>
      </c>
      <c r="H83" s="59">
        <v>37.22</v>
      </c>
      <c r="I83" s="59">
        <v>0.35</v>
      </c>
      <c r="J83" s="59">
        <v>0.05</v>
      </c>
      <c r="K83" s="59">
        <v>141.09</v>
      </c>
      <c r="L83" s="59">
        <v>21.19</v>
      </c>
      <c r="M83" s="59">
        <v>47</v>
      </c>
      <c r="N83" s="59">
        <v>24.1</v>
      </c>
      <c r="O83" s="59">
        <v>0</v>
      </c>
      <c r="P83" s="59">
        <v>1.63</v>
      </c>
      <c r="Q83" s="59">
        <v>32.86</v>
      </c>
      <c r="R83" s="197"/>
      <c r="S83" s="197"/>
      <c r="T83" s="197"/>
      <c r="U83" s="197"/>
    </row>
    <row r="84" spans="1:26" s="12" customFormat="1" x14ac:dyDescent="0.25">
      <c r="A84" s="200" t="s">
        <v>2338</v>
      </c>
      <c r="B84" s="59">
        <v>33.58</v>
      </c>
      <c r="C84" s="59">
        <v>121.84</v>
      </c>
      <c r="D84" s="59">
        <v>94.17</v>
      </c>
      <c r="E84" s="59">
        <v>5.3</v>
      </c>
      <c r="F84" s="59">
        <v>7.0000000000000007E-2</v>
      </c>
      <c r="G84" s="59">
        <v>144.34</v>
      </c>
      <c r="H84" s="59">
        <v>37.22</v>
      </c>
      <c r="I84" s="59">
        <v>0.39</v>
      </c>
      <c r="J84" s="59">
        <v>0.14000000000000001</v>
      </c>
      <c r="K84" s="59">
        <v>90.94</v>
      </c>
      <c r="L84" s="59">
        <v>21.51</v>
      </c>
      <c r="M84" s="59">
        <v>45</v>
      </c>
      <c r="N84" s="59">
        <v>23.3</v>
      </c>
      <c r="O84" s="59">
        <v>0</v>
      </c>
      <c r="P84" s="59">
        <v>1.8</v>
      </c>
      <c r="Q84" s="59">
        <v>33.78</v>
      </c>
      <c r="R84" s="197"/>
      <c r="S84" s="197"/>
      <c r="T84" s="197"/>
      <c r="U84" s="197"/>
    </row>
    <row r="85" spans="1:26" s="12" customFormat="1" x14ac:dyDescent="0.25">
      <c r="A85" s="200" t="s">
        <v>2339</v>
      </c>
      <c r="B85" s="59">
        <v>48.07</v>
      </c>
      <c r="C85" s="59">
        <v>121.73</v>
      </c>
      <c r="D85" s="59">
        <v>105.73</v>
      </c>
      <c r="E85" s="59">
        <v>5.14</v>
      </c>
      <c r="F85" s="59">
        <v>0.12</v>
      </c>
      <c r="G85" s="59">
        <v>144.34</v>
      </c>
      <c r="H85" s="59">
        <v>37.22</v>
      </c>
      <c r="I85" s="59">
        <v>0.45</v>
      </c>
      <c r="J85" s="59">
        <v>0.21</v>
      </c>
      <c r="K85" s="59">
        <v>9.82</v>
      </c>
      <c r="L85" s="59">
        <v>21.14</v>
      </c>
      <c r="M85" s="59">
        <v>52</v>
      </c>
      <c r="N85" s="59">
        <v>24.3</v>
      </c>
      <c r="O85" s="59">
        <v>0</v>
      </c>
      <c r="P85" s="59">
        <v>1.89</v>
      </c>
      <c r="Q85" s="59">
        <v>33.9</v>
      </c>
      <c r="R85" s="197"/>
      <c r="S85" s="197"/>
      <c r="T85" s="197"/>
      <c r="U85" s="197"/>
    </row>
    <row r="86" spans="1:26" s="12" customFormat="1" x14ac:dyDescent="0.25">
      <c r="A86" s="200" t="s">
        <v>2340</v>
      </c>
      <c r="B86" s="59">
        <v>54.37</v>
      </c>
      <c r="C86" s="59">
        <v>118.71</v>
      </c>
      <c r="D86" s="59">
        <v>109.12</v>
      </c>
      <c r="E86" s="59">
        <v>5.0599999999999996</v>
      </c>
      <c r="F86" s="59">
        <v>0.6</v>
      </c>
      <c r="G86" s="59">
        <v>163.36000000000001</v>
      </c>
      <c r="H86" s="59">
        <v>43.51</v>
      </c>
      <c r="I86" s="59">
        <v>0.54</v>
      </c>
      <c r="J86" s="59">
        <v>0.09</v>
      </c>
      <c r="K86" s="59">
        <v>357.87</v>
      </c>
      <c r="L86" s="59">
        <v>20.46</v>
      </c>
      <c r="M86" s="59">
        <v>54</v>
      </c>
      <c r="N86" s="59">
        <v>24.4</v>
      </c>
      <c r="O86" s="59">
        <v>0</v>
      </c>
      <c r="P86" s="59">
        <v>2.1800000000000002</v>
      </c>
      <c r="Q86" s="59">
        <v>34.92</v>
      </c>
      <c r="R86" s="197"/>
      <c r="S86" s="197"/>
      <c r="T86" s="197"/>
      <c r="U86" s="197"/>
    </row>
    <row r="87" spans="1:26" s="12" customFormat="1" x14ac:dyDescent="0.25">
      <c r="A87" s="200" t="s">
        <v>2341</v>
      </c>
      <c r="B87" s="59">
        <v>60.28</v>
      </c>
      <c r="C87" s="59">
        <v>119.09</v>
      </c>
      <c r="D87" s="59">
        <v>114.06</v>
      </c>
      <c r="E87" s="59">
        <v>5.03</v>
      </c>
      <c r="F87" s="59">
        <v>0.51</v>
      </c>
      <c r="G87" s="59">
        <v>177.37</v>
      </c>
      <c r="H87" s="59">
        <v>51.74</v>
      </c>
      <c r="I87" s="59">
        <v>0.62</v>
      </c>
      <c r="J87" s="59">
        <v>0.05</v>
      </c>
      <c r="K87" s="59">
        <v>245.88</v>
      </c>
      <c r="L87" s="59">
        <v>20.18</v>
      </c>
      <c r="M87" s="59">
        <v>53</v>
      </c>
      <c r="N87" s="59">
        <v>24.5</v>
      </c>
      <c r="O87" s="59">
        <v>0</v>
      </c>
      <c r="P87" s="59">
        <v>2.34</v>
      </c>
      <c r="Q87" s="59">
        <v>36.28</v>
      </c>
      <c r="R87" s="197"/>
      <c r="S87" s="197"/>
      <c r="T87" s="197"/>
      <c r="U87" s="197"/>
    </row>
    <row r="88" spans="1:26" s="12" customFormat="1" x14ac:dyDescent="0.25">
      <c r="A88" s="200" t="s">
        <v>2342</v>
      </c>
      <c r="B88" s="59">
        <v>75.88</v>
      </c>
      <c r="C88" s="59">
        <v>125.34</v>
      </c>
      <c r="D88" s="59">
        <v>130.02000000000001</v>
      </c>
      <c r="E88" s="59">
        <v>2.31</v>
      </c>
      <c r="F88" s="59">
        <v>0.22</v>
      </c>
      <c r="G88" s="59">
        <v>177.37</v>
      </c>
      <c r="H88" s="59">
        <v>51.74</v>
      </c>
      <c r="I88" s="59">
        <v>0.67</v>
      </c>
      <c r="J88" s="59">
        <v>0.08</v>
      </c>
      <c r="K88" s="59">
        <v>338.72</v>
      </c>
      <c r="L88" s="59">
        <v>19.86</v>
      </c>
      <c r="M88" s="59">
        <v>54</v>
      </c>
      <c r="N88" s="59">
        <v>24.2</v>
      </c>
      <c r="O88" s="59">
        <v>0</v>
      </c>
      <c r="P88" s="59">
        <v>2.6</v>
      </c>
      <c r="Q88" s="59">
        <v>37.33</v>
      </c>
      <c r="R88" s="197"/>
      <c r="S88" s="197"/>
      <c r="T88" s="197"/>
      <c r="U88" s="197"/>
    </row>
    <row r="89" spans="1:26" s="12" customFormat="1" x14ac:dyDescent="0.25">
      <c r="A89" s="200" t="s">
        <v>2343</v>
      </c>
      <c r="B89" s="59">
        <v>79.33</v>
      </c>
      <c r="C89" s="59">
        <v>121.67</v>
      </c>
      <c r="D89" s="59">
        <v>130.76</v>
      </c>
      <c r="E89" s="59">
        <v>4.68</v>
      </c>
      <c r="F89" s="59">
        <v>0.2</v>
      </c>
      <c r="G89" s="59">
        <v>177.37</v>
      </c>
      <c r="H89" s="59">
        <v>51.74</v>
      </c>
      <c r="I89" s="59">
        <v>0.75</v>
      </c>
      <c r="J89" s="59">
        <v>0.16</v>
      </c>
      <c r="K89" s="59">
        <v>24.28</v>
      </c>
      <c r="L89" s="59">
        <v>19.71</v>
      </c>
      <c r="M89" s="59">
        <v>55</v>
      </c>
      <c r="N89" s="59">
        <v>24.1</v>
      </c>
      <c r="O89" s="59">
        <v>0</v>
      </c>
      <c r="P89" s="59">
        <v>2.81</v>
      </c>
      <c r="Q89" s="59">
        <v>40.83</v>
      </c>
      <c r="R89" s="197"/>
      <c r="S89" s="197"/>
      <c r="T89" s="197"/>
      <c r="U89" s="197"/>
    </row>
    <row r="90" spans="1:26" s="12" customFormat="1" x14ac:dyDescent="0.25">
      <c r="A90" s="200" t="s">
        <v>2344</v>
      </c>
      <c r="B90" s="59">
        <v>92.48</v>
      </c>
      <c r="C90" s="59">
        <v>126.48</v>
      </c>
      <c r="D90" s="59">
        <v>143.96</v>
      </c>
      <c r="E90" s="59">
        <v>5</v>
      </c>
      <c r="F90" s="59">
        <v>0.11</v>
      </c>
      <c r="G90" s="59">
        <v>188.44</v>
      </c>
      <c r="H90" s="59">
        <v>59.87</v>
      </c>
      <c r="I90" s="59">
        <v>0.81</v>
      </c>
      <c r="J90" s="59">
        <v>0.05</v>
      </c>
      <c r="K90" s="59">
        <v>342.68</v>
      </c>
      <c r="L90" s="59">
        <v>19.760000000000002</v>
      </c>
      <c r="M90" s="59">
        <v>52</v>
      </c>
      <c r="N90" s="59">
        <v>24.1</v>
      </c>
      <c r="O90" s="59">
        <v>0</v>
      </c>
      <c r="P90" s="59">
        <v>3.19</v>
      </c>
      <c r="Q90" s="59">
        <v>44.46</v>
      </c>
      <c r="R90" s="197"/>
      <c r="S90" s="197"/>
      <c r="T90" s="197"/>
      <c r="U90" s="197"/>
    </row>
    <row r="91" spans="1:26" s="12" customFormat="1" x14ac:dyDescent="0.25">
      <c r="A91" s="200" t="s">
        <v>2345</v>
      </c>
      <c r="B91" s="59">
        <v>102.86</v>
      </c>
      <c r="C91" s="59">
        <v>129.38999999999999</v>
      </c>
      <c r="D91" s="59">
        <v>153.88999999999999</v>
      </c>
      <c r="E91" s="59">
        <v>5.25</v>
      </c>
      <c r="F91" s="59">
        <v>0.41</v>
      </c>
      <c r="G91" s="59">
        <v>210.56</v>
      </c>
      <c r="H91" s="59">
        <v>70.5</v>
      </c>
      <c r="I91" s="59">
        <v>0.94</v>
      </c>
      <c r="J91" s="59">
        <v>0.09</v>
      </c>
      <c r="K91" s="59">
        <v>76.3</v>
      </c>
      <c r="L91" s="59">
        <v>19.399999999999999</v>
      </c>
      <c r="M91" s="59">
        <v>53</v>
      </c>
      <c r="N91" s="59">
        <v>24</v>
      </c>
      <c r="O91" s="59">
        <v>0</v>
      </c>
      <c r="P91" s="59">
        <v>3.45</v>
      </c>
      <c r="Q91" s="59">
        <v>45.94</v>
      </c>
      <c r="R91" s="197"/>
      <c r="S91" s="197"/>
      <c r="T91" s="197"/>
      <c r="U91" s="197"/>
    </row>
    <row r="92" spans="1:26" s="12" customFormat="1" x14ac:dyDescent="0.25">
      <c r="A92" s="200" t="s">
        <v>2346</v>
      </c>
      <c r="B92" s="59">
        <v>112.31</v>
      </c>
      <c r="C92" s="59">
        <v>133.37</v>
      </c>
      <c r="D92" s="59">
        <v>163.66</v>
      </c>
      <c r="E92" s="59">
        <v>5.33</v>
      </c>
      <c r="F92" s="59">
        <v>0.26</v>
      </c>
      <c r="G92" s="59">
        <v>210.56</v>
      </c>
      <c r="H92" s="59">
        <v>70.5</v>
      </c>
      <c r="I92" s="59">
        <v>1.1499999999999999</v>
      </c>
      <c r="J92" s="59">
        <v>0.04</v>
      </c>
      <c r="K92" s="59">
        <v>19.920000000000002</v>
      </c>
      <c r="L92" s="59">
        <v>19.66</v>
      </c>
      <c r="M92" s="59">
        <v>49</v>
      </c>
      <c r="N92" s="59">
        <v>23.9</v>
      </c>
      <c r="O92" s="59">
        <v>0</v>
      </c>
      <c r="P92" s="59">
        <v>3.68</v>
      </c>
      <c r="Q92" s="59">
        <v>47.1</v>
      </c>
      <c r="R92" s="197"/>
      <c r="S92" s="197"/>
      <c r="T92" s="197"/>
      <c r="U92" s="197"/>
    </row>
    <row r="93" spans="1:26" s="12" customFormat="1" x14ac:dyDescent="0.25">
      <c r="A93" s="200" t="s">
        <v>2347</v>
      </c>
      <c r="B93" s="59">
        <v>116.32</v>
      </c>
      <c r="C93" s="59">
        <v>135.22</v>
      </c>
      <c r="D93" s="59">
        <v>167.9</v>
      </c>
      <c r="E93" s="59">
        <v>5.73</v>
      </c>
      <c r="F93" s="59">
        <v>0.06</v>
      </c>
      <c r="G93" s="59">
        <v>210.56</v>
      </c>
      <c r="H93" s="59">
        <v>70.5</v>
      </c>
      <c r="I93" s="59">
        <v>1.26</v>
      </c>
      <c r="J93" s="59">
        <v>0.11</v>
      </c>
      <c r="K93" s="59">
        <v>58.82</v>
      </c>
      <c r="L93" s="59">
        <v>19.829999999999998</v>
      </c>
      <c r="M93" s="59">
        <v>46</v>
      </c>
      <c r="N93" s="59">
        <v>24</v>
      </c>
      <c r="O93" s="59">
        <v>0</v>
      </c>
      <c r="P93" s="59">
        <v>3.79</v>
      </c>
      <c r="Q93" s="59">
        <v>47.62</v>
      </c>
      <c r="R93" s="197"/>
      <c r="S93" s="197"/>
      <c r="T93" s="197"/>
      <c r="U93" s="197"/>
    </row>
    <row r="94" spans="1:26" s="12" customFormat="1" x14ac:dyDescent="0.25">
      <c r="A94" s="200" t="s">
        <v>2348</v>
      </c>
      <c r="B94" s="59">
        <v>115.75</v>
      </c>
      <c r="C94" s="59">
        <v>135.96</v>
      </c>
      <c r="D94" s="59">
        <v>167.85</v>
      </c>
      <c r="E94" s="59">
        <v>5.12</v>
      </c>
      <c r="F94" s="59">
        <v>0.1</v>
      </c>
      <c r="G94" s="59">
        <v>192.88</v>
      </c>
      <c r="H94" s="59">
        <v>70.75</v>
      </c>
      <c r="I94" s="59">
        <v>1.33</v>
      </c>
      <c r="J94" s="59">
        <v>0.08</v>
      </c>
      <c r="K94" s="59">
        <v>68.02</v>
      </c>
      <c r="L94" s="59">
        <v>19.82</v>
      </c>
      <c r="M94" s="59">
        <v>46</v>
      </c>
      <c r="N94" s="59">
        <v>24.3</v>
      </c>
      <c r="O94" s="59">
        <v>0</v>
      </c>
      <c r="P94" s="59">
        <v>3.82</v>
      </c>
      <c r="Q94" s="59">
        <v>47.48</v>
      </c>
      <c r="R94" s="197"/>
      <c r="S94" s="197"/>
      <c r="T94" s="197"/>
      <c r="U94" s="197"/>
    </row>
    <row r="95" spans="1:26" s="12" customFormat="1" x14ac:dyDescent="0.25">
      <c r="A95" s="200" t="s">
        <v>2349</v>
      </c>
      <c r="B95" s="59">
        <v>111.65</v>
      </c>
      <c r="C95" s="59">
        <v>135.69999999999999</v>
      </c>
      <c r="D95" s="59">
        <v>164.42</v>
      </c>
      <c r="E95" s="59">
        <v>5.55</v>
      </c>
      <c r="F95" s="59">
        <v>0.05</v>
      </c>
      <c r="G95" s="59">
        <v>179.85</v>
      </c>
      <c r="H95" s="59">
        <v>71.069999999999993</v>
      </c>
      <c r="I95" s="59">
        <v>1.38</v>
      </c>
      <c r="J95" s="59">
        <v>0.05</v>
      </c>
      <c r="K95" s="59">
        <v>210.53</v>
      </c>
      <c r="L95" s="59">
        <v>19.66</v>
      </c>
      <c r="M95" s="59">
        <v>45</v>
      </c>
      <c r="N95" s="59">
        <v>24.1</v>
      </c>
      <c r="O95" s="59">
        <v>0</v>
      </c>
      <c r="P95" s="59">
        <v>3.8</v>
      </c>
      <c r="Q95" s="59">
        <v>47.13</v>
      </c>
      <c r="R95" s="197"/>
      <c r="S95" s="197"/>
      <c r="T95" s="197"/>
      <c r="U95" s="197"/>
    </row>
    <row r="96" spans="1:26" s="12" customFormat="1" x14ac:dyDescent="0.25">
      <c r="A96" s="200" t="s">
        <v>2350</v>
      </c>
      <c r="B96" s="59">
        <v>105.87</v>
      </c>
      <c r="C96" s="59">
        <v>133.79</v>
      </c>
      <c r="D96" s="59">
        <v>158.74</v>
      </c>
      <c r="E96" s="59">
        <v>5.33</v>
      </c>
      <c r="F96" s="59">
        <v>0.18</v>
      </c>
      <c r="G96" s="59">
        <v>179.85</v>
      </c>
      <c r="H96" s="59">
        <v>71.069999999999993</v>
      </c>
      <c r="I96" s="59">
        <v>1.39</v>
      </c>
      <c r="J96" s="59">
        <v>7.0000000000000007E-2</v>
      </c>
      <c r="K96" s="59">
        <v>359.64</v>
      </c>
      <c r="L96" s="59">
        <v>19.690000000000001</v>
      </c>
      <c r="M96" s="59">
        <v>45</v>
      </c>
      <c r="N96" s="59">
        <v>24.1</v>
      </c>
      <c r="O96" s="59">
        <v>0</v>
      </c>
      <c r="P96" s="59">
        <v>3.74</v>
      </c>
      <c r="Q96" s="59">
        <v>46.04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2351</v>
      </c>
      <c r="B97" s="59">
        <v>100.88</v>
      </c>
      <c r="C97" s="59">
        <v>131.19999999999999</v>
      </c>
      <c r="D97" s="59">
        <v>153.30000000000001</v>
      </c>
      <c r="E97" s="59">
        <v>5.68</v>
      </c>
      <c r="F97" s="59">
        <v>0.54</v>
      </c>
      <c r="G97" s="59">
        <v>179.85</v>
      </c>
      <c r="H97" s="59">
        <v>71.069999999999993</v>
      </c>
      <c r="I97" s="59">
        <v>1.4</v>
      </c>
      <c r="J97" s="59">
        <v>0.15</v>
      </c>
      <c r="K97" s="59">
        <v>47.43</v>
      </c>
      <c r="L97" s="59">
        <v>19.64</v>
      </c>
      <c r="M97" s="59">
        <v>43</v>
      </c>
      <c r="N97" s="59">
        <v>23.8</v>
      </c>
      <c r="O97" s="59">
        <v>0</v>
      </c>
      <c r="P97" s="59">
        <v>3.68</v>
      </c>
      <c r="Q97" s="59">
        <v>44.99</v>
      </c>
      <c r="R97" s="197"/>
      <c r="S97" s="197"/>
      <c r="T97" s="197"/>
      <c r="U97" s="197"/>
    </row>
    <row r="98" spans="1:33" s="12" customFormat="1" x14ac:dyDescent="0.25">
      <c r="A98" s="200" t="s">
        <v>2352</v>
      </c>
      <c r="B98" s="59">
        <v>96.8</v>
      </c>
      <c r="C98" s="59">
        <v>127.33</v>
      </c>
      <c r="D98" s="59">
        <v>147.88999999999999</v>
      </c>
      <c r="E98" s="59">
        <v>6.03</v>
      </c>
      <c r="F98" s="59">
        <v>0.3</v>
      </c>
      <c r="G98" s="59">
        <v>130.03</v>
      </c>
      <c r="H98" s="59">
        <v>69.48</v>
      </c>
      <c r="I98" s="59">
        <v>1.38</v>
      </c>
      <c r="J98" s="59">
        <v>0.24</v>
      </c>
      <c r="K98" s="59">
        <v>64.11</v>
      </c>
      <c r="L98" s="59">
        <v>20.329999999999998</v>
      </c>
      <c r="M98" s="59">
        <v>40</v>
      </c>
      <c r="N98" s="59">
        <v>23.3</v>
      </c>
      <c r="O98" s="59">
        <v>0</v>
      </c>
      <c r="P98" s="59">
        <v>3.58</v>
      </c>
      <c r="Q98" s="59">
        <v>44.49</v>
      </c>
      <c r="R98" s="197"/>
      <c r="S98" s="197"/>
      <c r="T98" s="197"/>
      <c r="U98" s="197"/>
    </row>
    <row r="99" spans="1:33" s="12" customFormat="1" x14ac:dyDescent="0.25">
      <c r="A99" s="200" t="s">
        <v>2353</v>
      </c>
      <c r="B99" s="59">
        <v>92.02</v>
      </c>
      <c r="C99" s="59">
        <v>124.68</v>
      </c>
      <c r="D99" s="59">
        <v>142.6</v>
      </c>
      <c r="E99" s="59">
        <v>6.47</v>
      </c>
      <c r="F99" s="59">
        <v>0.28000000000000003</v>
      </c>
      <c r="G99" s="59">
        <v>93.33</v>
      </c>
      <c r="H99" s="59">
        <v>67.400000000000006</v>
      </c>
      <c r="I99" s="59">
        <v>1.35</v>
      </c>
      <c r="J99" s="59">
        <v>0.2</v>
      </c>
      <c r="K99" s="59">
        <v>66.260000000000005</v>
      </c>
      <c r="L99" s="59">
        <v>20.39</v>
      </c>
      <c r="M99" s="59">
        <v>39</v>
      </c>
      <c r="N99" s="59">
        <v>23.9</v>
      </c>
      <c r="O99" s="59">
        <v>0</v>
      </c>
      <c r="P99" s="59">
        <v>3.5</v>
      </c>
      <c r="Q99" s="59">
        <v>44.48</v>
      </c>
      <c r="R99" s="197"/>
      <c r="S99" s="197"/>
      <c r="T99" s="197"/>
      <c r="U99" s="197"/>
    </row>
    <row r="100" spans="1:33" s="12" customFormat="1" x14ac:dyDescent="0.25">
      <c r="A100" s="200" t="s">
        <v>2354</v>
      </c>
      <c r="B100" s="59">
        <v>88.5</v>
      </c>
      <c r="C100" s="59">
        <v>120.19</v>
      </c>
      <c r="D100" s="59">
        <v>137.30000000000001</v>
      </c>
      <c r="E100" s="59">
        <v>6.12</v>
      </c>
      <c r="F100" s="59">
        <v>0.19</v>
      </c>
      <c r="G100" s="59">
        <v>93.33</v>
      </c>
      <c r="H100" s="59">
        <v>67.400000000000006</v>
      </c>
      <c r="I100" s="59">
        <v>1.33</v>
      </c>
      <c r="J100" s="59">
        <v>0.12</v>
      </c>
      <c r="K100" s="59">
        <v>65.88</v>
      </c>
      <c r="L100" s="59">
        <v>20.2</v>
      </c>
      <c r="M100" s="59">
        <v>40</v>
      </c>
      <c r="N100" s="59">
        <v>24.2</v>
      </c>
      <c r="O100" s="59">
        <v>0</v>
      </c>
      <c r="P100" s="59">
        <v>3.4</v>
      </c>
      <c r="Q100" s="59">
        <v>44.44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2355</v>
      </c>
      <c r="B101" s="59">
        <v>83.23</v>
      </c>
      <c r="C101" s="59">
        <v>117.4</v>
      </c>
      <c r="D101" s="59">
        <v>131.54</v>
      </c>
      <c r="E101" s="59">
        <v>5.94</v>
      </c>
      <c r="F101" s="59">
        <v>0.22</v>
      </c>
      <c r="G101" s="59">
        <v>93.33</v>
      </c>
      <c r="H101" s="59">
        <v>67.400000000000006</v>
      </c>
      <c r="I101" s="59">
        <v>1.31</v>
      </c>
      <c r="J101" s="59">
        <v>0.06</v>
      </c>
      <c r="K101" s="59">
        <v>322.75</v>
      </c>
      <c r="L101" s="59">
        <v>19.59</v>
      </c>
      <c r="M101" s="59">
        <v>44</v>
      </c>
      <c r="N101" s="59">
        <v>24.6</v>
      </c>
      <c r="O101" s="59">
        <v>0</v>
      </c>
      <c r="P101" s="59">
        <v>3.3</v>
      </c>
      <c r="Q101" s="59">
        <v>44.28</v>
      </c>
      <c r="R101" s="197"/>
      <c r="S101" s="197"/>
      <c r="T101" s="197"/>
      <c r="U101" s="197"/>
    </row>
    <row r="102" spans="1:33" s="12" customFormat="1" x14ac:dyDescent="0.25">
      <c r="A102" s="200" t="s">
        <v>2356</v>
      </c>
      <c r="B102" s="59">
        <v>80.81</v>
      </c>
      <c r="C102" s="59">
        <v>114.45</v>
      </c>
      <c r="D102" s="59">
        <v>127.97</v>
      </c>
      <c r="E102" s="59">
        <v>5.73</v>
      </c>
      <c r="F102" s="59">
        <v>7.0000000000000007E-2</v>
      </c>
      <c r="G102" s="59">
        <v>84.84</v>
      </c>
      <c r="H102" s="59">
        <v>64.3</v>
      </c>
      <c r="I102" s="59">
        <v>1.27</v>
      </c>
      <c r="J102" s="59">
        <v>0.09</v>
      </c>
      <c r="K102" s="59">
        <v>319.2</v>
      </c>
      <c r="L102" s="59">
        <v>19.18</v>
      </c>
      <c r="M102" s="59">
        <v>45</v>
      </c>
      <c r="N102" s="59">
        <v>24.4</v>
      </c>
      <c r="O102" s="59">
        <v>0</v>
      </c>
      <c r="P102" s="59">
        <v>3.21</v>
      </c>
      <c r="Q102" s="59">
        <v>44.08</v>
      </c>
      <c r="R102" s="197"/>
      <c r="S102" s="197"/>
      <c r="T102" s="197"/>
      <c r="U102" s="197"/>
    </row>
    <row r="103" spans="1:33" s="12" customFormat="1" x14ac:dyDescent="0.25">
      <c r="A103" s="200" t="s">
        <v>2357</v>
      </c>
      <c r="B103" s="59">
        <v>79.91</v>
      </c>
      <c r="C103" s="59">
        <v>113.71</v>
      </c>
      <c r="D103" s="59">
        <v>126.83</v>
      </c>
      <c r="E103" s="59">
        <v>5.21</v>
      </c>
      <c r="F103" s="59">
        <v>0.91</v>
      </c>
      <c r="G103" s="59">
        <v>78.58</v>
      </c>
      <c r="H103" s="59">
        <v>60.24</v>
      </c>
      <c r="I103" s="59">
        <v>1.24</v>
      </c>
      <c r="J103" s="59">
        <v>0.32</v>
      </c>
      <c r="K103" s="59">
        <v>228.25</v>
      </c>
      <c r="L103" s="59">
        <v>19.170000000000002</v>
      </c>
      <c r="M103" s="59">
        <v>45</v>
      </c>
      <c r="N103" s="59">
        <v>23.5</v>
      </c>
      <c r="O103" s="59">
        <v>0</v>
      </c>
      <c r="P103" s="59">
        <v>3.12</v>
      </c>
      <c r="Q103" s="59">
        <v>44.39</v>
      </c>
      <c r="R103" s="197"/>
      <c r="S103" s="197"/>
      <c r="T103" s="197"/>
      <c r="U103" s="197"/>
    </row>
    <row r="104" spans="1:33" s="12" customFormat="1" x14ac:dyDescent="0.25">
      <c r="A104" s="200" t="s">
        <v>2358</v>
      </c>
      <c r="B104" s="59">
        <v>75.63</v>
      </c>
      <c r="C104" s="59">
        <v>111.79</v>
      </c>
      <c r="D104" s="59">
        <v>122.34</v>
      </c>
      <c r="E104" s="59">
        <v>3.01</v>
      </c>
      <c r="F104" s="59">
        <v>0.2</v>
      </c>
      <c r="G104" s="59">
        <v>78.58</v>
      </c>
      <c r="H104" s="59">
        <v>60.24</v>
      </c>
      <c r="I104" s="59">
        <v>1.22</v>
      </c>
      <c r="J104" s="59">
        <v>0.21</v>
      </c>
      <c r="K104" s="59">
        <v>206.14</v>
      </c>
      <c r="L104" s="59">
        <v>19.63</v>
      </c>
      <c r="M104" s="59">
        <v>45</v>
      </c>
      <c r="N104" s="59">
        <v>23.6</v>
      </c>
      <c r="O104" s="59">
        <v>0</v>
      </c>
      <c r="P104" s="59">
        <v>2.98</v>
      </c>
      <c r="Q104" s="59">
        <v>45.66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7.74</v>
      </c>
      <c r="C106" s="66">
        <f>MIN(C9:C104)</f>
        <v>79.5</v>
      </c>
      <c r="D106" s="66">
        <f t="shared" ref="D106:Q106" si="0">MIN(D9:D104)</f>
        <v>54.56</v>
      </c>
      <c r="E106" s="66">
        <f t="shared" si="0"/>
        <v>2.31</v>
      </c>
      <c r="F106" s="66">
        <f t="shared" si="0"/>
        <v>0.01</v>
      </c>
      <c r="G106" s="66">
        <f t="shared" si="0"/>
        <v>41.43</v>
      </c>
      <c r="H106" s="66">
        <f t="shared" si="0"/>
        <v>24.22</v>
      </c>
      <c r="I106" s="66">
        <f t="shared" si="0"/>
        <v>0.14000000000000001</v>
      </c>
      <c r="J106" s="66">
        <f t="shared" si="0"/>
        <v>0.02</v>
      </c>
      <c r="K106" s="66">
        <f t="shared" si="0"/>
        <v>7.86</v>
      </c>
      <c r="L106" s="66">
        <f t="shared" si="0"/>
        <v>13.92</v>
      </c>
      <c r="M106" s="66">
        <f t="shared" si="0"/>
        <v>18</v>
      </c>
      <c r="N106" s="66">
        <f t="shared" si="0"/>
        <v>23.3</v>
      </c>
      <c r="O106" s="66">
        <f t="shared" si="0"/>
        <v>0</v>
      </c>
      <c r="P106" s="66">
        <f t="shared" si="0"/>
        <v>0.79</v>
      </c>
      <c r="Q106" s="66">
        <f t="shared" si="0"/>
        <v>21.33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220.45</v>
      </c>
      <c r="C107" s="65">
        <f t="shared" ref="C107:Q107" si="1">MAX(C9:C104)</f>
        <v>173.67</v>
      </c>
      <c r="D107" s="65">
        <f t="shared" si="1"/>
        <v>272.63</v>
      </c>
      <c r="E107" s="65">
        <f t="shared" si="1"/>
        <v>47.18</v>
      </c>
      <c r="F107" s="65">
        <f t="shared" si="1"/>
        <v>13.99</v>
      </c>
      <c r="G107" s="65">
        <f t="shared" si="1"/>
        <v>232.16</v>
      </c>
      <c r="H107" s="65">
        <f t="shared" si="1"/>
        <v>99.79</v>
      </c>
      <c r="I107" s="65">
        <f t="shared" si="1"/>
        <v>1.93</v>
      </c>
      <c r="J107" s="65">
        <f t="shared" si="1"/>
        <v>1.37</v>
      </c>
      <c r="K107" s="65">
        <f t="shared" si="1"/>
        <v>359.64</v>
      </c>
      <c r="L107" s="65">
        <f t="shared" si="1"/>
        <v>31.19</v>
      </c>
      <c r="M107" s="65">
        <f t="shared" si="1"/>
        <v>76</v>
      </c>
      <c r="N107" s="65">
        <f t="shared" si="1"/>
        <v>409.5</v>
      </c>
      <c r="O107" s="65">
        <f t="shared" si="1"/>
        <v>0</v>
      </c>
      <c r="P107" s="65">
        <f t="shared" si="1"/>
        <v>5.26</v>
      </c>
      <c r="Q107" s="65">
        <f t="shared" si="1"/>
        <v>58.28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72.098645833333308</v>
      </c>
      <c r="C108" s="66">
        <f t="shared" ref="C108:Q108" si="2">AVERAGE(C9:C104)</f>
        <v>112.93510416666665</v>
      </c>
      <c r="D108" s="66">
        <f t="shared" si="2"/>
        <v>120.14354166666664</v>
      </c>
      <c r="E108" s="66">
        <f t="shared" si="2"/>
        <v>8.1713541666666654</v>
      </c>
      <c r="F108" s="66">
        <f t="shared" si="2"/>
        <v>1.6373958333333327</v>
      </c>
      <c r="G108" s="66">
        <f t="shared" si="2"/>
        <v>109.03875000000004</v>
      </c>
      <c r="H108" s="66">
        <f t="shared" si="2"/>
        <v>54.291666666666607</v>
      </c>
      <c r="I108" s="66">
        <f t="shared" si="2"/>
        <v>0.7431249999999997</v>
      </c>
      <c r="J108" s="66">
        <f t="shared" si="2"/>
        <v>0.35812500000000003</v>
      </c>
      <c r="K108" s="66">
        <f t="shared" si="2"/>
        <v>153.42864583333338</v>
      </c>
      <c r="L108" s="66">
        <f t="shared" si="2"/>
        <v>21.71937500000001</v>
      </c>
      <c r="M108" s="66">
        <f t="shared" si="2"/>
        <v>43.458333333333336</v>
      </c>
      <c r="N108" s="66">
        <f t="shared" si="2"/>
        <v>123.88437499999999</v>
      </c>
      <c r="O108" s="66">
        <f t="shared" si="2"/>
        <v>0</v>
      </c>
      <c r="P108" s="66">
        <f t="shared" si="2"/>
        <v>2.2703124999999997</v>
      </c>
      <c r="Q108" s="66">
        <f t="shared" si="2"/>
        <v>40.572499999999991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49.577922603976489</v>
      </c>
      <c r="C109" s="66">
        <f t="shared" ref="C109:Q109" si="3">STDEV(C9:C104)</f>
        <v>18.610872769760135</v>
      </c>
      <c r="D109" s="66">
        <f t="shared" si="3"/>
        <v>48.990610893778602</v>
      </c>
      <c r="E109" s="66">
        <f t="shared" si="3"/>
        <v>7.4908634341466378</v>
      </c>
      <c r="F109" s="66">
        <f t="shared" si="3"/>
        <v>2.9842915917893409</v>
      </c>
      <c r="G109" s="66">
        <f t="shared" si="3"/>
        <v>51.430153560563504</v>
      </c>
      <c r="H109" s="66">
        <f t="shared" si="3"/>
        <v>20.20697402626752</v>
      </c>
      <c r="I109" s="66">
        <f t="shared" si="3"/>
        <v>0.51932205300453282</v>
      </c>
      <c r="J109" s="66">
        <f t="shared" si="3"/>
        <v>0.3462287424597546</v>
      </c>
      <c r="K109" s="66">
        <f t="shared" si="3"/>
        <v>120.1550566175994</v>
      </c>
      <c r="L109" s="66">
        <f t="shared" si="3"/>
        <v>5.459928824001044</v>
      </c>
      <c r="M109" s="66">
        <f t="shared" si="3"/>
        <v>18.511399996341755</v>
      </c>
      <c r="N109" s="66">
        <f t="shared" si="3"/>
        <v>142.35878345565365</v>
      </c>
      <c r="O109" s="66">
        <f t="shared" si="3"/>
        <v>0</v>
      </c>
      <c r="P109" s="66">
        <f t="shared" si="3"/>
        <v>1.1962454009150996</v>
      </c>
      <c r="Q109" s="66">
        <f t="shared" si="3"/>
        <v>8.7293506118877335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96</v>
      </c>
      <c r="G110" s="65">
        <f t="shared" si="4"/>
        <v>96</v>
      </c>
      <c r="H110" s="65">
        <f t="shared" si="4"/>
        <v>96</v>
      </c>
      <c r="I110" s="65">
        <f>COUNT(I9:I104)</f>
        <v>96</v>
      </c>
      <c r="J110" s="65">
        <f t="shared" si="4"/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239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1" sqref="J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23-12-2022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2359</v>
      </c>
      <c r="B9" s="59">
        <v>71.900000000000006</v>
      </c>
      <c r="C9" s="59">
        <v>110.26</v>
      </c>
      <c r="D9" s="59">
        <v>118.51</v>
      </c>
      <c r="E9" s="59">
        <v>5.54</v>
      </c>
      <c r="F9" s="59">
        <v>0.36</v>
      </c>
      <c r="G9" s="59">
        <v>78.58</v>
      </c>
      <c r="H9" s="59">
        <v>60.24</v>
      </c>
      <c r="I9" s="59">
        <v>1.1499999999999999</v>
      </c>
      <c r="J9" s="59">
        <v>0.15</v>
      </c>
      <c r="K9" s="59">
        <v>322.72000000000003</v>
      </c>
      <c r="L9" s="59">
        <v>18.3</v>
      </c>
      <c r="M9" s="59">
        <v>59</v>
      </c>
      <c r="N9" s="59">
        <v>25</v>
      </c>
      <c r="O9" s="59">
        <v>0</v>
      </c>
      <c r="P9" s="59">
        <v>2.89</v>
      </c>
      <c r="Q9" s="59">
        <v>45.66</v>
      </c>
      <c r="S9" s="197"/>
      <c r="T9" s="197"/>
      <c r="U9" s="197"/>
    </row>
    <row r="10" spans="1:21" s="12" customFormat="1" x14ac:dyDescent="0.25">
      <c r="A10" s="200" t="s">
        <v>2360</v>
      </c>
      <c r="B10" s="59">
        <v>69.930000000000007</v>
      </c>
      <c r="C10" s="59">
        <v>108.84</v>
      </c>
      <c r="D10" s="59">
        <v>116.15</v>
      </c>
      <c r="E10" s="59">
        <v>5.5</v>
      </c>
      <c r="F10" s="59">
        <v>0.15</v>
      </c>
      <c r="G10" s="59">
        <v>100.6</v>
      </c>
      <c r="H10" s="59">
        <v>58.1</v>
      </c>
      <c r="I10" s="59">
        <v>1</v>
      </c>
      <c r="J10" s="59">
        <v>0.1</v>
      </c>
      <c r="K10" s="59">
        <v>341.89</v>
      </c>
      <c r="L10" s="59">
        <v>17.190000000000001</v>
      </c>
      <c r="M10" s="59">
        <v>64</v>
      </c>
      <c r="N10" s="59">
        <v>24.8</v>
      </c>
      <c r="O10" s="59">
        <v>0</v>
      </c>
      <c r="P10" s="59">
        <v>2.84</v>
      </c>
      <c r="Q10" s="59">
        <v>45.21</v>
      </c>
      <c r="S10" s="197"/>
      <c r="T10" s="197"/>
      <c r="U10" s="197"/>
    </row>
    <row r="11" spans="1:21" s="12" customFormat="1" x14ac:dyDescent="0.25">
      <c r="A11" s="200" t="s">
        <v>2361</v>
      </c>
      <c r="B11" s="59">
        <v>68.25</v>
      </c>
      <c r="C11" s="59">
        <v>107.39</v>
      </c>
      <c r="D11" s="59">
        <v>113.99</v>
      </c>
      <c r="E11" s="59">
        <v>5.26</v>
      </c>
      <c r="F11" s="59">
        <v>0.37</v>
      </c>
      <c r="G11" s="59">
        <v>144.65</v>
      </c>
      <c r="H11" s="59">
        <v>55.31</v>
      </c>
      <c r="I11" s="59">
        <v>0.98</v>
      </c>
      <c r="J11" s="59">
        <v>0.12</v>
      </c>
      <c r="K11" s="59">
        <v>345.71</v>
      </c>
      <c r="L11" s="59">
        <v>16.649999999999999</v>
      </c>
      <c r="M11" s="59">
        <v>65</v>
      </c>
      <c r="N11" s="59">
        <v>24.5</v>
      </c>
      <c r="O11" s="59">
        <v>0</v>
      </c>
      <c r="P11" s="59">
        <v>2.77</v>
      </c>
      <c r="Q11" s="59">
        <v>44.93</v>
      </c>
      <c r="S11" s="197"/>
      <c r="T11" s="197"/>
      <c r="U11" s="197"/>
    </row>
    <row r="12" spans="1:21" s="12" customFormat="1" x14ac:dyDescent="0.25">
      <c r="A12" s="200" t="s">
        <v>2362</v>
      </c>
      <c r="B12" s="59">
        <v>67.3</v>
      </c>
      <c r="C12" s="59">
        <v>106.12</v>
      </c>
      <c r="D12" s="59">
        <v>112.54</v>
      </c>
      <c r="E12" s="59">
        <v>5.55</v>
      </c>
      <c r="F12" s="59">
        <v>0.16</v>
      </c>
      <c r="G12" s="59">
        <v>144.65</v>
      </c>
      <c r="H12" s="59">
        <v>55.31</v>
      </c>
      <c r="I12" s="59">
        <v>1.04</v>
      </c>
      <c r="J12" s="59">
        <v>0.13</v>
      </c>
      <c r="K12" s="59">
        <v>348.33</v>
      </c>
      <c r="L12" s="59">
        <v>16.38</v>
      </c>
      <c r="M12" s="59">
        <v>66</v>
      </c>
      <c r="N12" s="59">
        <v>24.3</v>
      </c>
      <c r="O12" s="59">
        <v>0</v>
      </c>
      <c r="P12" s="59">
        <v>2.71</v>
      </c>
      <c r="Q12" s="59">
        <v>44.85</v>
      </c>
      <c r="S12" s="197"/>
      <c r="T12" s="197"/>
      <c r="U12" s="197"/>
    </row>
    <row r="13" spans="1:21" s="12" customFormat="1" x14ac:dyDescent="0.25">
      <c r="A13" s="200" t="s">
        <v>2363</v>
      </c>
      <c r="B13" s="59">
        <v>66.83</v>
      </c>
      <c r="C13" s="59">
        <v>105.08</v>
      </c>
      <c r="D13" s="59">
        <v>111.58</v>
      </c>
      <c r="E13" s="59">
        <v>5.3</v>
      </c>
      <c r="F13" s="59">
        <v>0.04</v>
      </c>
      <c r="G13" s="59">
        <v>144.65</v>
      </c>
      <c r="H13" s="59">
        <v>55.31</v>
      </c>
      <c r="I13" s="59">
        <v>0.92</v>
      </c>
      <c r="J13" s="59">
        <v>0.16</v>
      </c>
      <c r="K13" s="59">
        <v>8.5299999999999994</v>
      </c>
      <c r="L13" s="59">
        <v>16.32</v>
      </c>
      <c r="M13" s="59">
        <v>67</v>
      </c>
      <c r="N13" s="59">
        <v>24.3</v>
      </c>
      <c r="O13" s="59">
        <v>0</v>
      </c>
      <c r="P13" s="59">
        <v>2.58</v>
      </c>
      <c r="Q13" s="59">
        <v>44.55</v>
      </c>
      <c r="S13" s="197"/>
      <c r="T13" s="197"/>
      <c r="U13" s="197"/>
    </row>
    <row r="14" spans="1:21" s="12" customFormat="1" x14ac:dyDescent="0.25">
      <c r="A14" s="200" t="s">
        <v>2364</v>
      </c>
      <c r="B14" s="59">
        <v>66.12</v>
      </c>
      <c r="C14" s="59">
        <v>103.55</v>
      </c>
      <c r="D14" s="59">
        <v>110.17</v>
      </c>
      <c r="E14" s="59">
        <v>4.62</v>
      </c>
      <c r="F14" s="59">
        <v>0.12</v>
      </c>
      <c r="G14" s="59">
        <v>135.01</v>
      </c>
      <c r="H14" s="59">
        <v>53.92</v>
      </c>
      <c r="I14" s="59">
        <v>0.89</v>
      </c>
      <c r="J14" s="59">
        <v>0.1</v>
      </c>
      <c r="K14" s="59">
        <v>356.42</v>
      </c>
      <c r="L14" s="59">
        <v>16.11</v>
      </c>
      <c r="M14" s="59">
        <v>65</v>
      </c>
      <c r="N14" s="59">
        <v>24.3</v>
      </c>
      <c r="O14" s="59">
        <v>0</v>
      </c>
      <c r="P14" s="59">
        <v>2.59</v>
      </c>
      <c r="Q14" s="59">
        <v>43.36</v>
      </c>
      <c r="S14" s="197"/>
      <c r="T14" s="197"/>
      <c r="U14" s="197"/>
    </row>
    <row r="15" spans="1:21" s="12" customFormat="1" x14ac:dyDescent="0.25">
      <c r="A15" s="200" t="s">
        <v>2365</v>
      </c>
      <c r="B15" s="59">
        <v>64.83</v>
      </c>
      <c r="C15" s="59">
        <v>101.17</v>
      </c>
      <c r="D15" s="59">
        <v>107.83</v>
      </c>
      <c r="E15" s="59">
        <v>5.07</v>
      </c>
      <c r="F15" s="59">
        <v>0.02</v>
      </c>
      <c r="G15" s="59">
        <v>127.9</v>
      </c>
      <c r="H15" s="59">
        <v>52.02</v>
      </c>
      <c r="I15" s="59">
        <v>0.87</v>
      </c>
      <c r="J15" s="59">
        <v>0.12</v>
      </c>
      <c r="K15" s="59">
        <v>350.64</v>
      </c>
      <c r="L15" s="59">
        <v>16.16</v>
      </c>
      <c r="M15" s="59">
        <v>65</v>
      </c>
      <c r="N15" s="59">
        <v>24.1</v>
      </c>
      <c r="O15" s="59">
        <v>0</v>
      </c>
      <c r="P15" s="59">
        <v>2.5299999999999998</v>
      </c>
      <c r="Q15" s="59">
        <v>42.18</v>
      </c>
      <c r="S15" s="197"/>
      <c r="T15" s="197"/>
      <c r="U15" s="197"/>
    </row>
    <row r="16" spans="1:21" s="12" customFormat="1" x14ac:dyDescent="0.25">
      <c r="A16" s="200" t="s">
        <v>2366</v>
      </c>
      <c r="B16" s="59">
        <v>62.84</v>
      </c>
      <c r="C16" s="59">
        <v>98.99</v>
      </c>
      <c r="D16" s="59">
        <v>105.02</v>
      </c>
      <c r="E16" s="59">
        <v>5.0199999999999996</v>
      </c>
      <c r="F16" s="59">
        <v>0.02</v>
      </c>
      <c r="G16" s="59">
        <v>127.9</v>
      </c>
      <c r="H16" s="59">
        <v>52.02</v>
      </c>
      <c r="I16" s="59">
        <v>0.84</v>
      </c>
      <c r="J16" s="59">
        <v>0.09</v>
      </c>
      <c r="K16" s="59">
        <v>4.49</v>
      </c>
      <c r="L16" s="59">
        <v>15.95</v>
      </c>
      <c r="M16" s="59">
        <v>67</v>
      </c>
      <c r="N16" s="59">
        <v>24.4</v>
      </c>
      <c r="O16" s="59">
        <v>0</v>
      </c>
      <c r="P16" s="59">
        <v>2.46</v>
      </c>
      <c r="Q16" s="59">
        <v>41.15</v>
      </c>
      <c r="S16" s="197"/>
      <c r="T16" s="197"/>
      <c r="U16" s="197"/>
    </row>
    <row r="17" spans="1:21" s="12" customFormat="1" x14ac:dyDescent="0.25">
      <c r="A17" s="200" t="s">
        <v>2367</v>
      </c>
      <c r="B17" s="59">
        <v>60.38</v>
      </c>
      <c r="C17" s="59">
        <v>96.55</v>
      </c>
      <c r="D17" s="59">
        <v>101.7</v>
      </c>
      <c r="E17" s="59">
        <v>4.9800000000000004</v>
      </c>
      <c r="F17" s="59">
        <v>0.1</v>
      </c>
      <c r="G17" s="59">
        <v>127.9</v>
      </c>
      <c r="H17" s="59">
        <v>52.02</v>
      </c>
      <c r="I17" s="59">
        <v>0.82</v>
      </c>
      <c r="J17" s="59">
        <v>0.13</v>
      </c>
      <c r="K17" s="59">
        <v>0.57999999999999996</v>
      </c>
      <c r="L17" s="59">
        <v>15.96</v>
      </c>
      <c r="M17" s="59">
        <v>69</v>
      </c>
      <c r="N17" s="59">
        <v>24.1</v>
      </c>
      <c r="O17" s="59">
        <v>0</v>
      </c>
      <c r="P17" s="59">
        <v>2.39</v>
      </c>
      <c r="Q17" s="59">
        <v>40.82</v>
      </c>
      <c r="S17" s="197"/>
      <c r="T17" s="197"/>
      <c r="U17" s="197"/>
    </row>
    <row r="18" spans="1:21" s="12" customFormat="1" x14ac:dyDescent="0.25">
      <c r="A18" s="200" t="s">
        <v>2368</v>
      </c>
      <c r="B18" s="59">
        <v>57.91</v>
      </c>
      <c r="C18" s="59">
        <v>94.72</v>
      </c>
      <c r="D18" s="59">
        <v>98.71</v>
      </c>
      <c r="E18" s="59">
        <v>5.04</v>
      </c>
      <c r="F18" s="59">
        <v>0.01</v>
      </c>
      <c r="G18" s="59">
        <v>105.97</v>
      </c>
      <c r="H18" s="59">
        <v>51.89</v>
      </c>
      <c r="I18" s="59">
        <v>0.81</v>
      </c>
      <c r="J18" s="59">
        <v>0.12</v>
      </c>
      <c r="K18" s="59">
        <v>344.99</v>
      </c>
      <c r="L18" s="59">
        <v>15.79</v>
      </c>
      <c r="M18" s="59">
        <v>69</v>
      </c>
      <c r="N18" s="59">
        <v>24.1</v>
      </c>
      <c r="O18" s="59">
        <v>0</v>
      </c>
      <c r="P18" s="59">
        <v>2.33</v>
      </c>
      <c r="Q18" s="59">
        <v>40.299999999999997</v>
      </c>
      <c r="S18" s="197"/>
      <c r="T18" s="197"/>
      <c r="U18" s="197"/>
    </row>
    <row r="19" spans="1:21" s="12" customFormat="1" x14ac:dyDescent="0.25">
      <c r="A19" s="200" t="s">
        <v>2369</v>
      </c>
      <c r="B19" s="59">
        <v>55.44</v>
      </c>
      <c r="C19" s="59">
        <v>92.73</v>
      </c>
      <c r="D19" s="59">
        <v>95.63</v>
      </c>
      <c r="E19" s="59">
        <v>5.0999999999999996</v>
      </c>
      <c r="F19" s="59">
        <v>0.56000000000000005</v>
      </c>
      <c r="G19" s="59">
        <v>89.23</v>
      </c>
      <c r="H19" s="59">
        <v>51.72</v>
      </c>
      <c r="I19" s="59">
        <v>0.79</v>
      </c>
      <c r="J19" s="59">
        <v>0.12</v>
      </c>
      <c r="K19" s="59">
        <v>260.48</v>
      </c>
      <c r="L19" s="59">
        <v>16.03</v>
      </c>
      <c r="M19" s="59">
        <v>66</v>
      </c>
      <c r="N19" s="59">
        <v>23.9</v>
      </c>
      <c r="O19" s="59">
        <v>0</v>
      </c>
      <c r="P19" s="59">
        <v>2.2599999999999998</v>
      </c>
      <c r="Q19" s="59">
        <v>40.159999999999997</v>
      </c>
      <c r="S19" s="197"/>
      <c r="T19" s="197"/>
      <c r="U19" s="197"/>
    </row>
    <row r="20" spans="1:21" s="12" customFormat="1" x14ac:dyDescent="0.25">
      <c r="A20" s="200" t="s">
        <v>2370</v>
      </c>
      <c r="B20" s="59">
        <v>52.36</v>
      </c>
      <c r="C20" s="59">
        <v>90.54</v>
      </c>
      <c r="D20" s="59">
        <v>91.96</v>
      </c>
      <c r="E20" s="59">
        <v>4.9400000000000004</v>
      </c>
      <c r="F20" s="59">
        <v>0.59</v>
      </c>
      <c r="G20" s="59">
        <v>89.23</v>
      </c>
      <c r="H20" s="59">
        <v>51.72</v>
      </c>
      <c r="I20" s="59">
        <v>0.78</v>
      </c>
      <c r="J20" s="59">
        <v>0.1</v>
      </c>
      <c r="K20" s="59">
        <v>313.17</v>
      </c>
      <c r="L20" s="59">
        <v>15.85</v>
      </c>
      <c r="M20" s="59">
        <v>68</v>
      </c>
      <c r="N20" s="59">
        <v>24.3</v>
      </c>
      <c r="O20" s="59">
        <v>0</v>
      </c>
      <c r="P20" s="59">
        <v>2.19</v>
      </c>
      <c r="Q20" s="59">
        <v>40.15</v>
      </c>
      <c r="S20" s="197"/>
      <c r="T20" s="197"/>
      <c r="U20" s="197"/>
    </row>
    <row r="21" spans="1:21" s="12" customFormat="1" x14ac:dyDescent="0.25">
      <c r="A21" s="200" t="s">
        <v>2371</v>
      </c>
      <c r="B21" s="59">
        <v>49.52</v>
      </c>
      <c r="C21" s="59">
        <v>88.21</v>
      </c>
      <c r="D21" s="59">
        <v>88.39</v>
      </c>
      <c r="E21" s="59">
        <v>4.8600000000000003</v>
      </c>
      <c r="F21" s="59">
        <v>0.1</v>
      </c>
      <c r="G21" s="59">
        <v>89.23</v>
      </c>
      <c r="H21" s="59">
        <v>51.72</v>
      </c>
      <c r="I21" s="59">
        <v>0.76</v>
      </c>
      <c r="J21" s="59">
        <v>0.11</v>
      </c>
      <c r="K21" s="59">
        <v>355.06</v>
      </c>
      <c r="L21" s="59">
        <v>15.49</v>
      </c>
      <c r="M21" s="59">
        <v>70</v>
      </c>
      <c r="N21" s="59">
        <v>24.3</v>
      </c>
      <c r="O21" s="59">
        <v>0</v>
      </c>
      <c r="P21" s="59">
        <v>2.12</v>
      </c>
      <c r="Q21" s="59">
        <v>40.090000000000003</v>
      </c>
      <c r="S21" s="197"/>
      <c r="T21" s="197"/>
      <c r="U21" s="197"/>
    </row>
    <row r="22" spans="1:21" s="12" customFormat="1" x14ac:dyDescent="0.25">
      <c r="A22" s="200" t="s">
        <v>2372</v>
      </c>
      <c r="B22" s="59">
        <v>46.65</v>
      </c>
      <c r="C22" s="59">
        <v>86.55</v>
      </c>
      <c r="D22" s="59">
        <v>85.17</v>
      </c>
      <c r="E22" s="59">
        <v>5.14</v>
      </c>
      <c r="F22" s="9" t="s">
        <v>36</v>
      </c>
      <c r="G22" s="59">
        <v>82.45</v>
      </c>
      <c r="H22" s="59">
        <v>48.73</v>
      </c>
      <c r="I22" s="59">
        <v>0.74</v>
      </c>
      <c r="J22" s="59">
        <v>0.05</v>
      </c>
      <c r="K22" s="59">
        <v>287.99</v>
      </c>
      <c r="L22" s="59">
        <v>15.36</v>
      </c>
      <c r="M22" s="59">
        <v>71</v>
      </c>
      <c r="N22" s="59">
        <v>24.2</v>
      </c>
      <c r="O22" s="59">
        <v>0</v>
      </c>
      <c r="P22" s="59">
        <v>2.0499999999999998</v>
      </c>
      <c r="Q22" s="59">
        <v>41.1</v>
      </c>
      <c r="S22" s="197"/>
      <c r="T22" s="197"/>
      <c r="U22" s="197"/>
    </row>
    <row r="23" spans="1:21" s="12" customFormat="1" x14ac:dyDescent="0.25">
      <c r="A23" s="200" t="s">
        <v>2373</v>
      </c>
      <c r="B23" s="59">
        <v>43.64</v>
      </c>
      <c r="C23" s="59">
        <v>84.86</v>
      </c>
      <c r="D23" s="59">
        <v>81.83</v>
      </c>
      <c r="E23" s="59">
        <v>5.16</v>
      </c>
      <c r="F23" s="9" t="s">
        <v>36</v>
      </c>
      <c r="G23" s="59">
        <v>77.28</v>
      </c>
      <c r="H23" s="59">
        <v>44.82</v>
      </c>
      <c r="I23" s="59">
        <v>0.73</v>
      </c>
      <c r="J23" s="59">
        <v>0.11</v>
      </c>
      <c r="K23" s="59">
        <v>335.9</v>
      </c>
      <c r="L23" s="59">
        <v>15.29</v>
      </c>
      <c r="M23" s="59">
        <v>74</v>
      </c>
      <c r="N23" s="59">
        <v>24.2</v>
      </c>
      <c r="O23" s="59">
        <v>0</v>
      </c>
      <c r="P23" s="59">
        <v>1.97</v>
      </c>
      <c r="Q23" s="59">
        <v>41.72</v>
      </c>
      <c r="S23" s="197"/>
      <c r="T23" s="197"/>
      <c r="U23" s="197"/>
    </row>
    <row r="24" spans="1:21" s="12" customFormat="1" x14ac:dyDescent="0.25">
      <c r="A24" s="200" t="s">
        <v>2374</v>
      </c>
      <c r="B24" s="59">
        <v>42.18</v>
      </c>
      <c r="C24" s="59">
        <v>84.04</v>
      </c>
      <c r="D24" s="59">
        <v>80.209999999999994</v>
      </c>
      <c r="E24" s="59">
        <v>2.4900000000000002</v>
      </c>
      <c r="F24" s="9" t="s">
        <v>36</v>
      </c>
      <c r="G24" s="59">
        <v>77.28</v>
      </c>
      <c r="H24" s="59">
        <v>44.82</v>
      </c>
      <c r="I24" s="59">
        <v>0.71</v>
      </c>
      <c r="J24" s="59">
        <v>0.1</v>
      </c>
      <c r="K24" s="59">
        <v>332.77</v>
      </c>
      <c r="L24" s="59">
        <v>15.26</v>
      </c>
      <c r="M24" s="59">
        <v>75</v>
      </c>
      <c r="N24" s="59">
        <v>24.1</v>
      </c>
      <c r="O24" s="59">
        <v>0</v>
      </c>
      <c r="P24" s="59">
        <v>1.92</v>
      </c>
      <c r="Q24" s="59">
        <v>41.74</v>
      </c>
      <c r="S24" s="197"/>
      <c r="T24" s="197"/>
      <c r="U24" s="197"/>
    </row>
    <row r="25" spans="1:21" s="12" customFormat="1" x14ac:dyDescent="0.25">
      <c r="A25" s="200" t="s">
        <v>2375</v>
      </c>
      <c r="B25" s="59">
        <v>41.84</v>
      </c>
      <c r="C25" s="59">
        <v>83.86</v>
      </c>
      <c r="D25" s="59">
        <v>79.84</v>
      </c>
      <c r="E25" s="59">
        <v>3.98</v>
      </c>
      <c r="F25" s="59">
        <v>0.04</v>
      </c>
      <c r="G25" s="59">
        <v>77.28</v>
      </c>
      <c r="H25" s="59">
        <v>44.82</v>
      </c>
      <c r="I25" s="59">
        <v>0.68</v>
      </c>
      <c r="J25" s="59">
        <v>7.0000000000000007E-2</v>
      </c>
      <c r="K25" s="59">
        <v>345.02</v>
      </c>
      <c r="L25" s="59">
        <v>15.12</v>
      </c>
      <c r="M25" s="59">
        <v>75</v>
      </c>
      <c r="N25" s="59">
        <v>24.2</v>
      </c>
      <c r="O25" s="59">
        <v>0</v>
      </c>
      <c r="P25" s="59">
        <v>1.87</v>
      </c>
      <c r="Q25" s="59">
        <v>41.41</v>
      </c>
      <c r="S25" s="197"/>
      <c r="T25" s="197"/>
      <c r="U25" s="197"/>
    </row>
    <row r="26" spans="1:21" s="12" customFormat="1" x14ac:dyDescent="0.25">
      <c r="A26" s="200" t="s">
        <v>2376</v>
      </c>
      <c r="B26" s="59">
        <v>43.63</v>
      </c>
      <c r="C26" s="59">
        <v>84.8</v>
      </c>
      <c r="D26" s="59">
        <v>81.790000000000006</v>
      </c>
      <c r="E26" s="59">
        <v>3.96</v>
      </c>
      <c r="F26" s="59">
        <v>0.01</v>
      </c>
      <c r="G26" s="59">
        <v>84.09</v>
      </c>
      <c r="H26" s="59">
        <v>46.96</v>
      </c>
      <c r="I26" s="59">
        <v>0.66</v>
      </c>
      <c r="J26" s="59">
        <v>7.0000000000000007E-2</v>
      </c>
      <c r="K26" s="59">
        <v>335.17</v>
      </c>
      <c r="L26" s="59">
        <v>14.97</v>
      </c>
      <c r="M26" s="59">
        <v>75</v>
      </c>
      <c r="N26" s="59">
        <v>24.2</v>
      </c>
      <c r="O26" s="59">
        <v>0</v>
      </c>
      <c r="P26" s="59">
        <v>1.85</v>
      </c>
      <c r="Q26" s="59">
        <v>41.17</v>
      </c>
      <c r="S26" s="197"/>
      <c r="T26" s="197"/>
      <c r="U26" s="197"/>
    </row>
    <row r="27" spans="1:21" s="12" customFormat="1" x14ac:dyDescent="0.25">
      <c r="A27" s="200" t="s">
        <v>2377</v>
      </c>
      <c r="B27" s="59">
        <v>45.17</v>
      </c>
      <c r="C27" s="59">
        <v>85.8</v>
      </c>
      <c r="D27" s="59">
        <v>83.58</v>
      </c>
      <c r="E27" s="59">
        <v>4.4000000000000004</v>
      </c>
      <c r="F27" s="59">
        <v>0.05</v>
      </c>
      <c r="G27" s="59">
        <v>98.19</v>
      </c>
      <c r="H27" s="59">
        <v>49.89</v>
      </c>
      <c r="I27" s="59">
        <v>0.65</v>
      </c>
      <c r="J27" s="59">
        <v>0.11</v>
      </c>
      <c r="K27" s="59">
        <v>287.41000000000003</v>
      </c>
      <c r="L27" s="59">
        <v>14.91</v>
      </c>
      <c r="M27" s="59">
        <v>75</v>
      </c>
      <c r="N27" s="59">
        <v>24</v>
      </c>
      <c r="O27" s="59">
        <v>0</v>
      </c>
      <c r="P27" s="59">
        <v>1.81</v>
      </c>
      <c r="Q27" s="59">
        <v>41.23</v>
      </c>
      <c r="S27" s="197"/>
      <c r="T27" s="197"/>
      <c r="U27" s="197"/>
    </row>
    <row r="28" spans="1:21" s="12" customFormat="1" x14ac:dyDescent="0.25">
      <c r="A28" s="200" t="s">
        <v>2378</v>
      </c>
      <c r="B28" s="59">
        <v>48.43</v>
      </c>
      <c r="C28" s="59">
        <v>86.74</v>
      </c>
      <c r="D28" s="59">
        <v>86.71</v>
      </c>
      <c r="E28" s="59">
        <v>4.34</v>
      </c>
      <c r="F28" s="59">
        <v>0.03</v>
      </c>
      <c r="G28" s="59">
        <v>98.19</v>
      </c>
      <c r="H28" s="59">
        <v>49.89</v>
      </c>
      <c r="I28" s="59">
        <v>0.64</v>
      </c>
      <c r="J28" s="59">
        <v>0.15</v>
      </c>
      <c r="K28" s="59">
        <v>7.38</v>
      </c>
      <c r="L28" s="59">
        <v>15.02</v>
      </c>
      <c r="M28" s="59">
        <v>76</v>
      </c>
      <c r="N28" s="59">
        <v>24.1</v>
      </c>
      <c r="O28" s="59">
        <v>0</v>
      </c>
      <c r="P28" s="59">
        <v>1.8</v>
      </c>
      <c r="Q28" s="59">
        <v>41.05</v>
      </c>
      <c r="S28" s="197"/>
      <c r="T28" s="197"/>
      <c r="U28" s="197"/>
    </row>
    <row r="29" spans="1:21" s="12" customFormat="1" x14ac:dyDescent="0.25">
      <c r="A29" s="200" t="s">
        <v>2379</v>
      </c>
      <c r="B29" s="59">
        <v>53.24</v>
      </c>
      <c r="C29" s="59">
        <v>87.85</v>
      </c>
      <c r="D29" s="59">
        <v>91.18</v>
      </c>
      <c r="E29" s="59">
        <v>4.0199999999999996</v>
      </c>
      <c r="F29" s="59">
        <v>0.01</v>
      </c>
      <c r="G29" s="59">
        <v>98.19</v>
      </c>
      <c r="H29" s="59">
        <v>49.89</v>
      </c>
      <c r="I29" s="59">
        <v>0.63</v>
      </c>
      <c r="J29" s="59">
        <v>7.0000000000000007E-2</v>
      </c>
      <c r="K29" s="59">
        <v>277.37</v>
      </c>
      <c r="L29" s="59">
        <v>14.82</v>
      </c>
      <c r="M29" s="59">
        <v>76</v>
      </c>
      <c r="N29" s="59">
        <v>24.3</v>
      </c>
      <c r="O29" s="59">
        <v>0</v>
      </c>
      <c r="P29" s="59">
        <v>1.8</v>
      </c>
      <c r="Q29" s="59">
        <v>40.24</v>
      </c>
      <c r="S29" s="197"/>
      <c r="T29" s="197"/>
      <c r="U29" s="197"/>
    </row>
    <row r="30" spans="1:21" s="12" customFormat="1" x14ac:dyDescent="0.25">
      <c r="A30" s="200" t="s">
        <v>2380</v>
      </c>
      <c r="B30" s="59">
        <v>57.69</v>
      </c>
      <c r="C30" s="59">
        <v>89.19</v>
      </c>
      <c r="D30" s="59">
        <v>95.49</v>
      </c>
      <c r="E30" s="59">
        <v>4.26</v>
      </c>
      <c r="F30" s="5" t="s">
        <v>47</v>
      </c>
      <c r="G30" s="59">
        <v>140.82</v>
      </c>
      <c r="H30" s="59">
        <v>53.21</v>
      </c>
      <c r="I30" s="59">
        <v>0.63</v>
      </c>
      <c r="J30" s="59">
        <v>0.13</v>
      </c>
      <c r="K30" s="59">
        <v>334.44</v>
      </c>
      <c r="L30" s="59">
        <v>14.68</v>
      </c>
      <c r="M30" s="59">
        <v>77</v>
      </c>
      <c r="N30" s="59">
        <v>24</v>
      </c>
      <c r="O30" s="59">
        <v>0</v>
      </c>
      <c r="P30" s="59">
        <v>1.81</v>
      </c>
      <c r="Q30" s="59">
        <v>39.630000000000003</v>
      </c>
      <c r="S30" s="197"/>
      <c r="T30" s="197"/>
      <c r="U30" s="197"/>
    </row>
    <row r="31" spans="1:21" s="12" customFormat="1" x14ac:dyDescent="0.25">
      <c r="A31" s="200" t="s">
        <v>2381</v>
      </c>
      <c r="B31" s="59">
        <v>63.58</v>
      </c>
      <c r="C31" s="59">
        <v>90.58</v>
      </c>
      <c r="D31" s="59">
        <v>100.98</v>
      </c>
      <c r="E31" s="59">
        <v>4.37</v>
      </c>
      <c r="F31" s="59">
        <v>0.01</v>
      </c>
      <c r="G31" s="59">
        <v>172.23</v>
      </c>
      <c r="H31" s="59">
        <v>57.56</v>
      </c>
      <c r="I31" s="59">
        <v>0.63</v>
      </c>
      <c r="J31" s="59">
        <v>0.1</v>
      </c>
      <c r="K31" s="59">
        <v>0.52</v>
      </c>
      <c r="L31" s="59">
        <v>14.49</v>
      </c>
      <c r="M31" s="59">
        <v>77</v>
      </c>
      <c r="N31" s="59">
        <v>24.2</v>
      </c>
      <c r="O31" s="59">
        <v>0</v>
      </c>
      <c r="P31" s="59">
        <v>1.85</v>
      </c>
      <c r="Q31" s="59">
        <v>39.880000000000003</v>
      </c>
      <c r="S31" s="197"/>
      <c r="T31" s="197"/>
      <c r="U31" s="197"/>
    </row>
    <row r="32" spans="1:21" s="12" customFormat="1" x14ac:dyDescent="0.25">
      <c r="A32" s="200" t="s">
        <v>2382</v>
      </c>
      <c r="B32" s="59">
        <v>70.3</v>
      </c>
      <c r="C32" s="59">
        <v>92.56</v>
      </c>
      <c r="D32" s="59">
        <v>107.45</v>
      </c>
      <c r="E32" s="59">
        <v>4.33</v>
      </c>
      <c r="F32" s="59">
        <v>0.01</v>
      </c>
      <c r="G32" s="59">
        <v>172.23</v>
      </c>
      <c r="H32" s="59">
        <v>57.56</v>
      </c>
      <c r="I32" s="59">
        <v>0.64</v>
      </c>
      <c r="J32" s="59">
        <v>7.0000000000000007E-2</v>
      </c>
      <c r="K32" s="59">
        <v>285.14999999999998</v>
      </c>
      <c r="L32" s="59">
        <v>14.69</v>
      </c>
      <c r="M32" s="59">
        <v>76</v>
      </c>
      <c r="N32" s="59">
        <v>23.9</v>
      </c>
      <c r="O32" s="59">
        <v>0</v>
      </c>
      <c r="P32" s="59">
        <v>1.88</v>
      </c>
      <c r="Q32" s="59">
        <v>40.229999999999997</v>
      </c>
      <c r="S32" s="197"/>
      <c r="T32" s="197"/>
      <c r="U32" s="197"/>
    </row>
    <row r="33" spans="1:21" s="12" customFormat="1" x14ac:dyDescent="0.25">
      <c r="A33" s="200" t="s">
        <v>2383</v>
      </c>
      <c r="B33" s="59">
        <v>73.94</v>
      </c>
      <c r="C33" s="59">
        <v>93.35</v>
      </c>
      <c r="D33" s="59">
        <v>110.81</v>
      </c>
      <c r="E33" s="59">
        <v>4.16</v>
      </c>
      <c r="F33" s="59">
        <v>0.06</v>
      </c>
      <c r="G33" s="59">
        <v>172.23</v>
      </c>
      <c r="H33" s="59">
        <v>57.56</v>
      </c>
      <c r="I33" s="59">
        <v>0.64</v>
      </c>
      <c r="J33" s="59">
        <v>0.17</v>
      </c>
      <c r="K33" s="59">
        <v>10.07</v>
      </c>
      <c r="L33" s="59">
        <v>14.94</v>
      </c>
      <c r="M33" s="59">
        <v>70</v>
      </c>
      <c r="N33" s="59">
        <v>23.9</v>
      </c>
      <c r="O33" s="59">
        <v>0</v>
      </c>
      <c r="P33" s="59">
        <v>1.89</v>
      </c>
      <c r="Q33" s="59">
        <v>40.67</v>
      </c>
      <c r="S33" s="197"/>
      <c r="T33" s="197"/>
      <c r="U33" s="197"/>
    </row>
    <row r="34" spans="1:21" s="12" customFormat="1" x14ac:dyDescent="0.25">
      <c r="A34" s="200" t="s">
        <v>2384</v>
      </c>
      <c r="B34" s="59">
        <v>76.11</v>
      </c>
      <c r="C34" s="59">
        <v>93.59</v>
      </c>
      <c r="D34" s="59">
        <v>112.68</v>
      </c>
      <c r="E34" s="59">
        <v>4.25</v>
      </c>
      <c r="F34" s="59">
        <v>0.06</v>
      </c>
      <c r="G34" s="59">
        <v>178.1</v>
      </c>
      <c r="H34" s="59">
        <v>62.74</v>
      </c>
      <c r="I34" s="59">
        <v>0.65</v>
      </c>
      <c r="J34" s="59">
        <v>0.19</v>
      </c>
      <c r="K34" s="59">
        <v>6.21</v>
      </c>
      <c r="L34" s="59">
        <v>15.07</v>
      </c>
      <c r="M34" s="59">
        <v>68</v>
      </c>
      <c r="N34" s="59">
        <v>24.4</v>
      </c>
      <c r="O34" s="59">
        <v>0</v>
      </c>
      <c r="P34" s="59">
        <v>1.89</v>
      </c>
      <c r="Q34" s="59">
        <v>40.82</v>
      </c>
      <c r="S34" s="197"/>
      <c r="T34" s="197"/>
      <c r="U34" s="197"/>
    </row>
    <row r="35" spans="1:21" s="12" customFormat="1" x14ac:dyDescent="0.25">
      <c r="A35" s="200" t="s">
        <v>2385</v>
      </c>
      <c r="B35" s="59">
        <v>76.77</v>
      </c>
      <c r="C35" s="59">
        <v>93.28</v>
      </c>
      <c r="D35" s="59">
        <v>113.04</v>
      </c>
      <c r="E35" s="59">
        <v>4.1900000000000004</v>
      </c>
      <c r="F35" s="59">
        <v>0.2</v>
      </c>
      <c r="G35" s="59">
        <v>182.43</v>
      </c>
      <c r="H35" s="59">
        <v>69.52</v>
      </c>
      <c r="I35" s="59">
        <v>0.64</v>
      </c>
      <c r="J35" s="59">
        <v>0.02</v>
      </c>
      <c r="K35" s="59">
        <v>217.55</v>
      </c>
      <c r="L35" s="59">
        <v>15.15</v>
      </c>
      <c r="M35" s="59">
        <v>66</v>
      </c>
      <c r="N35" s="59">
        <v>28.2</v>
      </c>
      <c r="O35" s="59">
        <v>0</v>
      </c>
      <c r="P35" s="59">
        <v>1.89</v>
      </c>
      <c r="Q35" s="59">
        <v>41</v>
      </c>
      <c r="S35" s="197"/>
      <c r="T35" s="197"/>
      <c r="U35" s="197"/>
    </row>
    <row r="36" spans="1:21" s="12" customFormat="1" x14ac:dyDescent="0.25">
      <c r="A36" s="200" t="s">
        <v>2386</v>
      </c>
      <c r="B36" s="59">
        <v>77.41</v>
      </c>
      <c r="C36" s="59">
        <v>93.52</v>
      </c>
      <c r="D36" s="59">
        <v>113.69</v>
      </c>
      <c r="E36" s="59">
        <v>5.08</v>
      </c>
      <c r="F36" s="59">
        <v>0.15</v>
      </c>
      <c r="G36" s="59">
        <v>182.43</v>
      </c>
      <c r="H36" s="59">
        <v>69.52</v>
      </c>
      <c r="I36" s="59">
        <v>0.63</v>
      </c>
      <c r="J36" s="59">
        <v>0.14000000000000001</v>
      </c>
      <c r="K36" s="59">
        <v>251.92</v>
      </c>
      <c r="L36" s="59">
        <v>15.4</v>
      </c>
      <c r="M36" s="59">
        <v>68</v>
      </c>
      <c r="N36" s="59">
        <v>34.9</v>
      </c>
      <c r="O36" s="59">
        <v>0</v>
      </c>
      <c r="P36" s="59">
        <v>1.89</v>
      </c>
      <c r="Q36" s="59">
        <v>42.17</v>
      </c>
      <c r="S36" s="197"/>
      <c r="T36" s="197"/>
      <c r="U36" s="197"/>
    </row>
    <row r="37" spans="1:21" s="12" customFormat="1" x14ac:dyDescent="0.25">
      <c r="A37" s="200" t="s">
        <v>2387</v>
      </c>
      <c r="B37" s="59">
        <v>79.02</v>
      </c>
      <c r="C37" s="59">
        <v>94.67</v>
      </c>
      <c r="D37" s="59">
        <v>115.61</v>
      </c>
      <c r="E37" s="59">
        <v>5.25</v>
      </c>
      <c r="F37" s="59">
        <v>0.2</v>
      </c>
      <c r="G37" s="59">
        <v>182.43</v>
      </c>
      <c r="H37" s="59">
        <v>69.52</v>
      </c>
      <c r="I37" s="59">
        <v>0.61</v>
      </c>
      <c r="J37" s="59">
        <v>0.14000000000000001</v>
      </c>
      <c r="K37" s="59">
        <v>89.92</v>
      </c>
      <c r="L37" s="59">
        <v>15.97</v>
      </c>
      <c r="M37" s="59">
        <v>66</v>
      </c>
      <c r="N37" s="59">
        <v>43.5</v>
      </c>
      <c r="O37" s="59">
        <v>0</v>
      </c>
      <c r="P37" s="59">
        <v>1.85</v>
      </c>
      <c r="Q37" s="59">
        <v>43.4</v>
      </c>
      <c r="S37" s="197"/>
      <c r="T37" s="197"/>
      <c r="U37" s="197"/>
    </row>
    <row r="38" spans="1:21" s="12" customFormat="1" x14ac:dyDescent="0.25">
      <c r="A38" s="200" t="s">
        <v>2388</v>
      </c>
      <c r="B38" s="59">
        <v>79.69</v>
      </c>
      <c r="C38" s="59">
        <v>95.75</v>
      </c>
      <c r="D38" s="59">
        <v>116.74</v>
      </c>
      <c r="E38" s="59">
        <v>5.1100000000000003</v>
      </c>
      <c r="F38" s="59">
        <v>0.43</v>
      </c>
      <c r="G38" s="59">
        <v>197.87</v>
      </c>
      <c r="H38" s="59">
        <v>73.599999999999994</v>
      </c>
      <c r="I38" s="59">
        <v>0.59</v>
      </c>
      <c r="J38" s="59">
        <v>0.1</v>
      </c>
      <c r="K38" s="59">
        <v>100.87</v>
      </c>
      <c r="L38" s="59">
        <v>16.600000000000001</v>
      </c>
      <c r="M38" s="59">
        <v>64</v>
      </c>
      <c r="N38" s="59">
        <v>52.9</v>
      </c>
      <c r="O38" s="59">
        <v>0</v>
      </c>
      <c r="P38" s="59">
        <v>1.97</v>
      </c>
      <c r="Q38" s="59">
        <v>43.56</v>
      </c>
      <c r="S38" s="197"/>
      <c r="T38" s="197"/>
      <c r="U38" s="197"/>
    </row>
    <row r="39" spans="1:21" s="12" customFormat="1" x14ac:dyDescent="0.25">
      <c r="A39" s="200" t="s">
        <v>2389</v>
      </c>
      <c r="B39" s="59">
        <v>78.36</v>
      </c>
      <c r="C39" s="59">
        <v>95.72</v>
      </c>
      <c r="D39" s="59">
        <v>115.66</v>
      </c>
      <c r="E39" s="59">
        <v>5.43</v>
      </c>
      <c r="F39" s="59">
        <v>0.2</v>
      </c>
      <c r="G39" s="59">
        <v>209.98</v>
      </c>
      <c r="H39" s="59">
        <v>78.95</v>
      </c>
      <c r="I39" s="59">
        <v>0.56999999999999995</v>
      </c>
      <c r="J39" s="59">
        <v>0.14000000000000001</v>
      </c>
      <c r="K39" s="59">
        <v>118.99</v>
      </c>
      <c r="L39" s="59">
        <v>17.36</v>
      </c>
      <c r="M39" s="59">
        <v>61</v>
      </c>
      <c r="N39" s="59">
        <v>97.2</v>
      </c>
      <c r="O39" s="59">
        <v>0</v>
      </c>
      <c r="P39" s="59">
        <v>2.0299999999999998</v>
      </c>
      <c r="Q39" s="59">
        <v>43.62</v>
      </c>
      <c r="S39" s="197"/>
      <c r="T39" s="197"/>
      <c r="U39" s="197"/>
    </row>
    <row r="40" spans="1:21" s="12" customFormat="1" x14ac:dyDescent="0.25">
      <c r="A40" s="200" t="s">
        <v>2390</v>
      </c>
      <c r="B40" s="59">
        <v>75.33</v>
      </c>
      <c r="C40" s="59">
        <v>96</v>
      </c>
      <c r="D40" s="59">
        <v>113.39</v>
      </c>
      <c r="E40" s="59">
        <v>4.1500000000000004</v>
      </c>
      <c r="F40" s="59">
        <v>0.13</v>
      </c>
      <c r="G40" s="59">
        <v>209.98</v>
      </c>
      <c r="H40" s="59">
        <v>78.95</v>
      </c>
      <c r="I40" s="59">
        <v>0.56000000000000005</v>
      </c>
      <c r="J40" s="59">
        <v>0.56000000000000005</v>
      </c>
      <c r="K40" s="59">
        <v>120.82</v>
      </c>
      <c r="L40" s="59">
        <v>18.96</v>
      </c>
      <c r="M40" s="59">
        <v>55</v>
      </c>
      <c r="N40" s="59">
        <v>169.9</v>
      </c>
      <c r="O40" s="59">
        <v>0</v>
      </c>
      <c r="P40" s="59">
        <v>2.09</v>
      </c>
      <c r="Q40" s="59">
        <v>43.56</v>
      </c>
      <c r="S40" s="197"/>
      <c r="T40" s="197"/>
      <c r="U40" s="197"/>
    </row>
    <row r="41" spans="1:21" s="12" customFormat="1" x14ac:dyDescent="0.25">
      <c r="A41" s="200" t="s">
        <v>2391</v>
      </c>
      <c r="B41" s="59">
        <v>70.84</v>
      </c>
      <c r="C41" s="59">
        <v>96.35</v>
      </c>
      <c r="D41" s="59">
        <v>109.99</v>
      </c>
      <c r="E41" s="59">
        <v>5.67</v>
      </c>
      <c r="F41" s="5" t="s">
        <v>47</v>
      </c>
      <c r="G41" s="59">
        <v>209.98</v>
      </c>
      <c r="H41" s="59">
        <v>78.95</v>
      </c>
      <c r="I41" s="59">
        <v>0.55000000000000004</v>
      </c>
      <c r="J41" s="59">
        <v>0.6</v>
      </c>
      <c r="K41" s="59">
        <v>115.96</v>
      </c>
      <c r="L41" s="59">
        <v>19.97</v>
      </c>
      <c r="M41" s="59">
        <v>50</v>
      </c>
      <c r="N41" s="59">
        <v>203.3</v>
      </c>
      <c r="O41" s="59">
        <v>0</v>
      </c>
      <c r="P41" s="59">
        <v>2.15</v>
      </c>
      <c r="Q41" s="59">
        <v>43.24</v>
      </c>
      <c r="S41" s="197"/>
      <c r="T41" s="197"/>
      <c r="U41" s="197"/>
    </row>
    <row r="42" spans="1:21" s="12" customFormat="1" x14ac:dyDescent="0.25">
      <c r="A42" s="200" t="s">
        <v>2392</v>
      </c>
      <c r="B42" s="59">
        <v>65.849999999999994</v>
      </c>
      <c r="C42" s="59">
        <v>96.81</v>
      </c>
      <c r="D42" s="59">
        <v>106.23</v>
      </c>
      <c r="E42" s="59">
        <v>5.48</v>
      </c>
      <c r="F42" s="59">
        <v>0.85</v>
      </c>
      <c r="G42" s="59">
        <v>204.3</v>
      </c>
      <c r="H42" s="59">
        <v>83.78</v>
      </c>
      <c r="I42" s="59">
        <v>0.53</v>
      </c>
      <c r="J42" s="59">
        <v>0.74</v>
      </c>
      <c r="K42" s="59">
        <v>121.13</v>
      </c>
      <c r="L42" s="59">
        <v>20.64</v>
      </c>
      <c r="M42" s="59">
        <v>48</v>
      </c>
      <c r="N42" s="59">
        <v>232.5</v>
      </c>
      <c r="O42" s="59">
        <v>0</v>
      </c>
      <c r="P42" s="59">
        <v>2.17</v>
      </c>
      <c r="Q42" s="59">
        <v>42.69</v>
      </c>
      <c r="S42" s="197"/>
      <c r="T42" s="197"/>
      <c r="U42" s="197"/>
    </row>
    <row r="43" spans="1:21" s="12" customFormat="1" x14ac:dyDescent="0.25">
      <c r="A43" s="200" t="s">
        <v>2393</v>
      </c>
      <c r="B43" s="59">
        <v>61.25</v>
      </c>
      <c r="C43" s="59">
        <v>96.35</v>
      </c>
      <c r="D43" s="59">
        <v>102.29</v>
      </c>
      <c r="E43" s="59">
        <v>5.75</v>
      </c>
      <c r="F43" s="59">
        <v>0.85</v>
      </c>
      <c r="G43" s="59">
        <v>192.95</v>
      </c>
      <c r="H43" s="59">
        <v>90.39</v>
      </c>
      <c r="I43" s="59">
        <v>0.53</v>
      </c>
      <c r="J43" s="59">
        <v>1.07</v>
      </c>
      <c r="K43" s="59">
        <v>117.56</v>
      </c>
      <c r="L43" s="59">
        <v>21.1</v>
      </c>
      <c r="M43" s="59">
        <v>46</v>
      </c>
      <c r="N43" s="59">
        <v>266.10000000000002</v>
      </c>
      <c r="O43" s="59">
        <v>0</v>
      </c>
      <c r="P43" s="59">
        <v>2.15</v>
      </c>
      <c r="Q43" s="59">
        <v>41.77</v>
      </c>
      <c r="S43" s="197"/>
      <c r="T43" s="197"/>
      <c r="U43" s="197"/>
    </row>
    <row r="44" spans="1:21" s="12" customFormat="1" x14ac:dyDescent="0.25">
      <c r="A44" s="200" t="s">
        <v>2394</v>
      </c>
      <c r="B44" s="59">
        <v>57.77</v>
      </c>
      <c r="C44" s="59">
        <v>94.8</v>
      </c>
      <c r="D44" s="59">
        <v>98.64</v>
      </c>
      <c r="E44" s="59">
        <v>4.8899999999999997</v>
      </c>
      <c r="F44" s="59">
        <v>0.28999999999999998</v>
      </c>
      <c r="G44" s="59">
        <v>192.95</v>
      </c>
      <c r="H44" s="59">
        <v>90.39</v>
      </c>
      <c r="I44" s="59">
        <v>0.51</v>
      </c>
      <c r="J44" s="59">
        <v>1.21</v>
      </c>
      <c r="K44" s="59">
        <v>124.6</v>
      </c>
      <c r="L44" s="59">
        <v>21.42</v>
      </c>
      <c r="M44" s="59">
        <v>44</v>
      </c>
      <c r="N44" s="59">
        <v>296.5</v>
      </c>
      <c r="O44" s="59">
        <v>0</v>
      </c>
      <c r="P44" s="59">
        <v>2.13</v>
      </c>
      <c r="Q44" s="59">
        <v>41.15</v>
      </c>
      <c r="S44" s="197"/>
      <c r="T44" s="197"/>
      <c r="U44" s="197"/>
    </row>
    <row r="45" spans="1:21" s="12" customFormat="1" x14ac:dyDescent="0.25">
      <c r="A45" s="200" t="s">
        <v>2395</v>
      </c>
      <c r="B45" s="59">
        <v>53.86</v>
      </c>
      <c r="C45" s="59">
        <v>93.71</v>
      </c>
      <c r="D45" s="59">
        <v>94.91</v>
      </c>
      <c r="E45" s="59">
        <v>5.23</v>
      </c>
      <c r="F45" s="59">
        <v>0.03</v>
      </c>
      <c r="G45" s="59">
        <v>192.95</v>
      </c>
      <c r="H45" s="59">
        <v>90.39</v>
      </c>
      <c r="I45" s="59">
        <v>0.51</v>
      </c>
      <c r="J45" s="59">
        <v>1.1599999999999999</v>
      </c>
      <c r="K45" s="59">
        <v>124.94</v>
      </c>
      <c r="L45" s="59">
        <v>22</v>
      </c>
      <c r="M45" s="59">
        <v>42</v>
      </c>
      <c r="N45" s="59">
        <v>314.8</v>
      </c>
      <c r="O45" s="59">
        <v>0</v>
      </c>
      <c r="P45" s="59">
        <v>2.09</v>
      </c>
      <c r="Q45" s="59">
        <v>40.72</v>
      </c>
      <c r="S45" s="197"/>
      <c r="T45" s="197"/>
      <c r="U45" s="197"/>
    </row>
    <row r="46" spans="1:21" s="12" customFormat="1" x14ac:dyDescent="0.25">
      <c r="A46" s="200" t="s">
        <v>2396</v>
      </c>
      <c r="B46" s="59">
        <v>49.59</v>
      </c>
      <c r="C46" s="59">
        <v>92.53</v>
      </c>
      <c r="D46" s="59">
        <v>90.83</v>
      </c>
      <c r="E46" s="59">
        <v>5.39</v>
      </c>
      <c r="F46" s="59">
        <v>0.1</v>
      </c>
      <c r="G46" s="59">
        <v>135.54</v>
      </c>
      <c r="H46" s="59">
        <v>81.91</v>
      </c>
      <c r="I46" s="59">
        <v>0.51</v>
      </c>
      <c r="J46" s="59">
        <v>1.08</v>
      </c>
      <c r="K46" s="59">
        <v>126.84</v>
      </c>
      <c r="L46" s="59">
        <v>22.84</v>
      </c>
      <c r="M46" s="59">
        <v>41</v>
      </c>
      <c r="N46" s="59">
        <v>327.9</v>
      </c>
      <c r="O46" s="59">
        <v>0</v>
      </c>
      <c r="P46" s="59">
        <v>2.04</v>
      </c>
      <c r="Q46" s="59">
        <v>40.630000000000003</v>
      </c>
      <c r="S46" s="197"/>
      <c r="T46" s="197"/>
      <c r="U46" s="197"/>
    </row>
    <row r="47" spans="1:21" s="12" customFormat="1" x14ac:dyDescent="0.25">
      <c r="A47" s="200" t="s">
        <v>2397</v>
      </c>
      <c r="B47" s="59">
        <v>45.31</v>
      </c>
      <c r="C47" s="59">
        <v>91.32</v>
      </c>
      <c r="D47" s="59">
        <v>86.73</v>
      </c>
      <c r="E47" s="59">
        <v>5.08</v>
      </c>
      <c r="F47" s="59">
        <v>0.37</v>
      </c>
      <c r="G47" s="59">
        <v>93.24</v>
      </c>
      <c r="H47" s="59">
        <v>70.819999999999993</v>
      </c>
      <c r="I47" s="59">
        <v>0.51</v>
      </c>
      <c r="J47" s="59">
        <v>1.06</v>
      </c>
      <c r="K47" s="59">
        <v>121.75</v>
      </c>
      <c r="L47" s="59">
        <v>23.13</v>
      </c>
      <c r="M47" s="59">
        <v>40</v>
      </c>
      <c r="N47" s="59">
        <v>337.9</v>
      </c>
      <c r="O47" s="59">
        <v>0</v>
      </c>
      <c r="P47" s="59">
        <v>1.98</v>
      </c>
      <c r="Q47" s="59">
        <v>40.83</v>
      </c>
      <c r="S47" s="197"/>
      <c r="T47" s="197"/>
      <c r="U47" s="197"/>
    </row>
    <row r="48" spans="1:21" s="12" customFormat="1" x14ac:dyDescent="0.25">
      <c r="A48" s="200" t="s">
        <v>2398</v>
      </c>
      <c r="B48" s="59">
        <v>40.56</v>
      </c>
      <c r="C48" s="59">
        <v>89.87</v>
      </c>
      <c r="D48" s="59">
        <v>82.12</v>
      </c>
      <c r="E48" s="59">
        <v>5.5</v>
      </c>
      <c r="F48" s="59">
        <v>0.57999999999999996</v>
      </c>
      <c r="G48" s="59">
        <v>93.24</v>
      </c>
      <c r="H48" s="59">
        <v>70.819999999999993</v>
      </c>
      <c r="I48" s="59">
        <v>0.5</v>
      </c>
      <c r="J48" s="59">
        <v>0.67</v>
      </c>
      <c r="K48" s="59">
        <v>127.1</v>
      </c>
      <c r="L48" s="59">
        <v>24.32</v>
      </c>
      <c r="M48" s="59">
        <v>38</v>
      </c>
      <c r="N48" s="59">
        <v>342.9</v>
      </c>
      <c r="O48" s="59">
        <v>0</v>
      </c>
      <c r="P48" s="59">
        <v>1.94</v>
      </c>
      <c r="Q48" s="59">
        <v>41.04</v>
      </c>
      <c r="S48" s="197"/>
      <c r="T48" s="197"/>
      <c r="U48" s="197"/>
    </row>
    <row r="49" spans="1:21" s="12" customFormat="1" x14ac:dyDescent="0.25">
      <c r="A49" s="200" t="s">
        <v>2399</v>
      </c>
      <c r="B49" s="59">
        <v>36.72</v>
      </c>
      <c r="C49" s="59">
        <v>90.08</v>
      </c>
      <c r="D49" s="59">
        <v>79.16</v>
      </c>
      <c r="E49" s="59">
        <v>5.7</v>
      </c>
      <c r="F49" s="59">
        <v>0.26</v>
      </c>
      <c r="G49" s="59">
        <v>93.24</v>
      </c>
      <c r="H49" s="59">
        <v>70.819999999999993</v>
      </c>
      <c r="I49" s="59">
        <v>0.5</v>
      </c>
      <c r="J49" s="59">
        <v>0.47</v>
      </c>
      <c r="K49" s="59">
        <v>107.95</v>
      </c>
      <c r="L49" s="59">
        <v>25.36</v>
      </c>
      <c r="M49" s="59">
        <v>37</v>
      </c>
      <c r="N49" s="59">
        <v>354.6</v>
      </c>
      <c r="O49" s="59">
        <v>0</v>
      </c>
      <c r="P49" s="59">
        <v>1.91</v>
      </c>
      <c r="Q49" s="59">
        <v>41.18</v>
      </c>
      <c r="S49" s="197"/>
      <c r="T49" s="197"/>
      <c r="U49" s="197"/>
    </row>
    <row r="50" spans="1:21" s="12" customFormat="1" x14ac:dyDescent="0.25">
      <c r="A50" s="200" t="s">
        <v>2400</v>
      </c>
      <c r="B50" s="59">
        <v>33.08</v>
      </c>
      <c r="C50" s="59">
        <v>91.2</v>
      </c>
      <c r="D50" s="59">
        <v>76.86</v>
      </c>
      <c r="E50" s="59">
        <v>5.68</v>
      </c>
      <c r="F50" s="59">
        <v>0.13</v>
      </c>
      <c r="G50" s="59">
        <v>90.49</v>
      </c>
      <c r="H50" s="59">
        <v>62.62</v>
      </c>
      <c r="I50" s="59">
        <v>0.49</v>
      </c>
      <c r="J50" s="59">
        <v>0.55000000000000004</v>
      </c>
      <c r="K50" s="59">
        <v>126.86</v>
      </c>
      <c r="L50" s="59">
        <v>25.93</v>
      </c>
      <c r="M50" s="59">
        <v>36</v>
      </c>
      <c r="N50" s="59">
        <v>368.8</v>
      </c>
      <c r="O50" s="59">
        <v>0</v>
      </c>
      <c r="P50" s="59">
        <v>1.87</v>
      </c>
      <c r="Q50" s="59">
        <v>42.16</v>
      </c>
      <c r="S50" s="197"/>
      <c r="T50" s="197"/>
      <c r="U50" s="197"/>
    </row>
    <row r="51" spans="1:21" s="12" customFormat="1" x14ac:dyDescent="0.25">
      <c r="A51" s="200" t="s">
        <v>2401</v>
      </c>
      <c r="B51" s="59">
        <v>27.97</v>
      </c>
      <c r="C51" s="59">
        <v>94.49</v>
      </c>
      <c r="D51" s="59">
        <v>74.58</v>
      </c>
      <c r="E51" s="59">
        <v>5.88</v>
      </c>
      <c r="F51" s="59">
        <v>0.36</v>
      </c>
      <c r="G51" s="59">
        <v>88.46</v>
      </c>
      <c r="H51" s="59">
        <v>51.91</v>
      </c>
      <c r="I51" s="59">
        <v>0.49</v>
      </c>
      <c r="J51" s="59">
        <v>0.32</v>
      </c>
      <c r="K51" s="59">
        <v>16.72</v>
      </c>
      <c r="L51" s="59">
        <v>28.72</v>
      </c>
      <c r="M51" s="59">
        <v>32</v>
      </c>
      <c r="N51" s="59">
        <v>373.1</v>
      </c>
      <c r="O51" s="59">
        <v>0</v>
      </c>
      <c r="P51" s="59">
        <v>1.85</v>
      </c>
      <c r="Q51" s="59">
        <v>43.75</v>
      </c>
      <c r="S51" s="197"/>
      <c r="T51" s="197"/>
      <c r="U51" s="197"/>
    </row>
    <row r="52" spans="1:21" s="12" customFormat="1" x14ac:dyDescent="0.25">
      <c r="A52" s="200" t="s">
        <v>2402</v>
      </c>
      <c r="B52" s="59">
        <v>21.91</v>
      </c>
      <c r="C52" s="59">
        <v>99.25</v>
      </c>
      <c r="D52" s="59">
        <v>72.34</v>
      </c>
      <c r="E52" s="59">
        <v>5.79</v>
      </c>
      <c r="F52" s="59">
        <v>0.83</v>
      </c>
      <c r="G52" s="59">
        <v>88.46</v>
      </c>
      <c r="H52" s="59">
        <v>51.91</v>
      </c>
      <c r="I52" s="59">
        <v>0.48</v>
      </c>
      <c r="J52" s="59">
        <v>0.64</v>
      </c>
      <c r="K52" s="59">
        <v>7.48</v>
      </c>
      <c r="L52" s="59">
        <v>31.88</v>
      </c>
      <c r="M52" s="59">
        <v>25</v>
      </c>
      <c r="N52" s="59">
        <v>379.1</v>
      </c>
      <c r="O52" s="59">
        <v>0</v>
      </c>
      <c r="P52" s="59">
        <v>1.83</v>
      </c>
      <c r="Q52" s="59">
        <v>44.67</v>
      </c>
      <c r="S52" s="197"/>
      <c r="T52" s="197"/>
      <c r="U52" s="197"/>
    </row>
    <row r="53" spans="1:21" s="12" customFormat="1" x14ac:dyDescent="0.25">
      <c r="A53" s="200" t="s">
        <v>2403</v>
      </c>
      <c r="B53" s="59">
        <v>16.29</v>
      </c>
      <c r="C53" s="59">
        <v>103.37</v>
      </c>
      <c r="D53" s="59">
        <v>70.11</v>
      </c>
      <c r="E53" s="59">
        <v>5.86</v>
      </c>
      <c r="F53" s="59">
        <v>1.75</v>
      </c>
      <c r="G53" s="59">
        <v>88.46</v>
      </c>
      <c r="H53" s="59">
        <v>51.91</v>
      </c>
      <c r="I53" s="59">
        <v>0.46</v>
      </c>
      <c r="J53" s="59">
        <v>0.44</v>
      </c>
      <c r="K53" s="59">
        <v>20.05</v>
      </c>
      <c r="L53" s="59">
        <v>31.76</v>
      </c>
      <c r="M53" s="59">
        <v>25</v>
      </c>
      <c r="N53" s="59">
        <v>383.3</v>
      </c>
      <c r="O53" s="59">
        <v>0</v>
      </c>
      <c r="P53" s="59">
        <v>1.81</v>
      </c>
      <c r="Q53" s="59">
        <v>44.47</v>
      </c>
      <c r="S53" s="197"/>
      <c r="T53" s="197"/>
      <c r="U53" s="197"/>
    </row>
    <row r="54" spans="1:21" s="12" customFormat="1" x14ac:dyDescent="0.25">
      <c r="A54" s="200" t="s">
        <v>2404</v>
      </c>
      <c r="B54" s="59">
        <v>11.38</v>
      </c>
      <c r="C54" s="59">
        <v>106.16</v>
      </c>
      <c r="D54" s="59">
        <v>67.709999999999994</v>
      </c>
      <c r="E54" s="59">
        <v>5.64</v>
      </c>
      <c r="F54" s="59">
        <v>1</v>
      </c>
      <c r="G54" s="59">
        <v>92.51</v>
      </c>
      <c r="H54" s="59">
        <v>52.06</v>
      </c>
      <c r="I54" s="59">
        <v>0.45</v>
      </c>
      <c r="J54" s="59">
        <v>0.7</v>
      </c>
      <c r="K54" s="59">
        <v>3.62</v>
      </c>
      <c r="L54" s="59">
        <v>32.880000000000003</v>
      </c>
      <c r="M54" s="59">
        <v>24</v>
      </c>
      <c r="N54" s="59">
        <v>380.3</v>
      </c>
      <c r="O54" s="59">
        <v>0</v>
      </c>
      <c r="P54" s="59">
        <v>1.78</v>
      </c>
      <c r="Q54" s="59">
        <v>43.8</v>
      </c>
      <c r="S54" s="197"/>
      <c r="T54" s="197"/>
      <c r="U54" s="197"/>
    </row>
    <row r="55" spans="1:21" s="12" customFormat="1" x14ac:dyDescent="0.25">
      <c r="A55" s="200" t="s">
        <v>2405</v>
      </c>
      <c r="B55" s="59">
        <v>7.52</v>
      </c>
      <c r="C55" s="59">
        <v>108.2</v>
      </c>
      <c r="D55" s="59">
        <v>65.739999999999995</v>
      </c>
      <c r="E55" s="59">
        <v>5.78</v>
      </c>
      <c r="F55" s="59">
        <v>1.31</v>
      </c>
      <c r="G55" s="59">
        <v>95.5</v>
      </c>
      <c r="H55" s="59">
        <v>52.26</v>
      </c>
      <c r="I55" s="59">
        <v>0.43</v>
      </c>
      <c r="J55" s="59">
        <v>0.83</v>
      </c>
      <c r="K55" s="59">
        <v>359.64</v>
      </c>
      <c r="L55" s="59">
        <v>33.93</v>
      </c>
      <c r="M55" s="59">
        <v>23</v>
      </c>
      <c r="N55" s="59">
        <v>381.2</v>
      </c>
      <c r="O55" s="59">
        <v>0</v>
      </c>
      <c r="P55" s="59">
        <v>1.78</v>
      </c>
      <c r="Q55" s="59">
        <v>43.37</v>
      </c>
      <c r="S55" s="197"/>
      <c r="T55" s="197"/>
      <c r="U55" s="197"/>
    </row>
    <row r="56" spans="1:21" s="12" customFormat="1" x14ac:dyDescent="0.25">
      <c r="A56" s="200" t="s">
        <v>2406</v>
      </c>
      <c r="B56" s="59">
        <v>4.95</v>
      </c>
      <c r="C56" s="59">
        <v>108.59</v>
      </c>
      <c r="D56" s="59">
        <v>63.9</v>
      </c>
      <c r="E56" s="59">
        <v>3.22</v>
      </c>
      <c r="F56" s="59">
        <v>1.5</v>
      </c>
      <c r="G56" s="59">
        <v>95.5</v>
      </c>
      <c r="H56" s="59">
        <v>52.26</v>
      </c>
      <c r="I56" s="59">
        <v>0.43</v>
      </c>
      <c r="J56" s="59">
        <v>0.72</v>
      </c>
      <c r="K56" s="59">
        <v>121.09</v>
      </c>
      <c r="L56" s="59">
        <v>31.22</v>
      </c>
      <c r="M56" s="59">
        <v>25</v>
      </c>
      <c r="N56" s="59">
        <v>384</v>
      </c>
      <c r="O56" s="59">
        <v>0</v>
      </c>
      <c r="P56" s="59">
        <v>1.75</v>
      </c>
      <c r="Q56" s="59">
        <v>43.02</v>
      </c>
      <c r="S56" s="197"/>
      <c r="T56" s="197"/>
      <c r="U56" s="197"/>
    </row>
    <row r="57" spans="1:21" s="12" customFormat="1" x14ac:dyDescent="0.25">
      <c r="A57" s="200" t="s">
        <v>2407</v>
      </c>
      <c r="B57" s="59">
        <v>3.55</v>
      </c>
      <c r="C57" s="59">
        <v>102.11</v>
      </c>
      <c r="D57" s="59">
        <v>59.2</v>
      </c>
      <c r="E57" s="59">
        <v>5.52</v>
      </c>
      <c r="F57" s="59">
        <v>4.0599999999999996</v>
      </c>
      <c r="G57" s="59">
        <v>95.5</v>
      </c>
      <c r="H57" s="59">
        <v>52.26</v>
      </c>
      <c r="I57" s="59">
        <v>0.42</v>
      </c>
      <c r="J57" s="59">
        <v>0.7</v>
      </c>
      <c r="K57" s="59">
        <v>131.36000000000001</v>
      </c>
      <c r="L57" s="59">
        <v>28.47</v>
      </c>
      <c r="M57" s="59">
        <v>27</v>
      </c>
      <c r="N57" s="59">
        <v>381.9</v>
      </c>
      <c r="O57" s="59">
        <v>0</v>
      </c>
      <c r="P57" s="59">
        <v>1.68</v>
      </c>
      <c r="Q57" s="59">
        <v>42.28</v>
      </c>
      <c r="S57" s="197"/>
      <c r="T57" s="197"/>
      <c r="U57" s="197"/>
    </row>
    <row r="58" spans="1:21" s="12" customFormat="1" x14ac:dyDescent="0.25">
      <c r="A58" s="200" t="s">
        <v>2408</v>
      </c>
      <c r="B58" s="59">
        <v>3.57</v>
      </c>
      <c r="C58" s="59">
        <v>95.26</v>
      </c>
      <c r="D58" s="59">
        <v>55.43</v>
      </c>
      <c r="E58" s="59">
        <v>6.05</v>
      </c>
      <c r="F58" s="59">
        <v>6.19</v>
      </c>
      <c r="G58" s="59">
        <v>86.51</v>
      </c>
      <c r="H58" s="59">
        <v>48.65</v>
      </c>
      <c r="I58" s="59">
        <v>0.41</v>
      </c>
      <c r="J58" s="59">
        <v>0.63</v>
      </c>
      <c r="K58" s="59">
        <v>110.19</v>
      </c>
      <c r="L58" s="59">
        <v>29.39</v>
      </c>
      <c r="M58" s="59">
        <v>26</v>
      </c>
      <c r="N58" s="59">
        <v>380.3</v>
      </c>
      <c r="O58" s="59">
        <v>0</v>
      </c>
      <c r="P58" s="59">
        <v>1.63</v>
      </c>
      <c r="Q58" s="59">
        <v>40.81</v>
      </c>
      <c r="S58" s="197"/>
      <c r="T58" s="197"/>
      <c r="U58" s="197"/>
    </row>
    <row r="59" spans="1:21" s="12" customFormat="1" x14ac:dyDescent="0.25">
      <c r="A59" s="200" t="s">
        <v>2409</v>
      </c>
      <c r="B59" s="59">
        <v>3.8</v>
      </c>
      <c r="C59" s="59">
        <v>90.21</v>
      </c>
      <c r="D59" s="59">
        <v>52.83</v>
      </c>
      <c r="E59" s="59">
        <v>6.94</v>
      </c>
      <c r="F59" s="59">
        <v>9.01</v>
      </c>
      <c r="G59" s="59">
        <v>68.540000000000006</v>
      </c>
      <c r="H59" s="59">
        <v>43.92</v>
      </c>
      <c r="I59" s="59">
        <v>0.4</v>
      </c>
      <c r="J59" s="59">
        <v>0.62</v>
      </c>
      <c r="K59" s="59">
        <v>19.260000000000002</v>
      </c>
      <c r="L59" s="59">
        <v>30.99</v>
      </c>
      <c r="M59" s="59">
        <v>23</v>
      </c>
      <c r="N59" s="59">
        <v>375.5</v>
      </c>
      <c r="O59" s="59">
        <v>0</v>
      </c>
      <c r="P59" s="59">
        <v>1.58</v>
      </c>
      <c r="Q59" s="59">
        <v>40.090000000000003</v>
      </c>
      <c r="S59" s="197"/>
      <c r="T59" s="197"/>
      <c r="U59" s="197"/>
    </row>
    <row r="60" spans="1:21" s="12" customFormat="1" x14ac:dyDescent="0.25">
      <c r="A60" s="200" t="s">
        <v>2410</v>
      </c>
      <c r="B60" s="59">
        <v>4.09</v>
      </c>
      <c r="C60" s="59">
        <v>86.2</v>
      </c>
      <c r="D60" s="59">
        <v>50.85</v>
      </c>
      <c r="E60" s="59">
        <v>9.08</v>
      </c>
      <c r="F60" s="59">
        <v>9.61</v>
      </c>
      <c r="G60" s="59">
        <v>68.540000000000006</v>
      </c>
      <c r="H60" s="59">
        <v>43.92</v>
      </c>
      <c r="I60" s="59">
        <v>0.39</v>
      </c>
      <c r="J60" s="59">
        <v>0.64</v>
      </c>
      <c r="K60" s="59">
        <v>16.18</v>
      </c>
      <c r="L60" s="59">
        <v>32.619999999999997</v>
      </c>
      <c r="M60" s="59">
        <v>21</v>
      </c>
      <c r="N60" s="59">
        <v>367.3</v>
      </c>
      <c r="O60" s="59">
        <v>0</v>
      </c>
      <c r="P60" s="59">
        <v>1.56</v>
      </c>
      <c r="Q60" s="59">
        <v>40.03</v>
      </c>
      <c r="S60" s="197"/>
      <c r="T60" s="197"/>
      <c r="U60" s="197"/>
    </row>
    <row r="61" spans="1:21" s="12" customFormat="1" x14ac:dyDescent="0.25">
      <c r="A61" s="200" t="s">
        <v>2411</v>
      </c>
      <c r="B61" s="59">
        <v>4.09</v>
      </c>
      <c r="C61" s="59">
        <v>86.2</v>
      </c>
      <c r="D61" s="59">
        <v>50.85</v>
      </c>
      <c r="E61" s="59">
        <v>9.08</v>
      </c>
      <c r="F61" s="59">
        <v>9.61</v>
      </c>
      <c r="G61" s="59">
        <v>68.540000000000006</v>
      </c>
      <c r="H61" s="59">
        <v>43.92</v>
      </c>
      <c r="I61" s="59">
        <v>0.39</v>
      </c>
      <c r="J61" s="59">
        <v>0.64</v>
      </c>
      <c r="K61" s="59">
        <v>16.18</v>
      </c>
      <c r="L61" s="59">
        <v>32.619999999999997</v>
      </c>
      <c r="M61" s="59">
        <v>21</v>
      </c>
      <c r="N61" s="59">
        <v>367.3</v>
      </c>
      <c r="O61" s="59">
        <v>0</v>
      </c>
      <c r="P61" s="59">
        <v>1.56</v>
      </c>
      <c r="Q61" s="59">
        <v>40.03</v>
      </c>
      <c r="S61" s="197"/>
      <c r="T61" s="197"/>
      <c r="U61" s="197"/>
    </row>
    <row r="62" spans="1:21" s="12" customFormat="1" x14ac:dyDescent="0.25">
      <c r="A62" s="200" t="s">
        <v>2412</v>
      </c>
      <c r="B62" s="59">
        <v>3.86</v>
      </c>
      <c r="C62" s="59">
        <v>82.58</v>
      </c>
      <c r="D62" s="59">
        <v>48.68</v>
      </c>
      <c r="E62" s="59">
        <v>8.8699999999999992</v>
      </c>
      <c r="F62" s="59">
        <v>9.68</v>
      </c>
      <c r="G62" s="59">
        <v>70</v>
      </c>
      <c r="H62" s="59">
        <v>40.909999999999997</v>
      </c>
      <c r="I62" s="59">
        <v>0.38</v>
      </c>
      <c r="J62" s="59">
        <v>0.53</v>
      </c>
      <c r="K62" s="59">
        <v>13.38</v>
      </c>
      <c r="L62" s="59">
        <v>32.25</v>
      </c>
      <c r="M62" s="59">
        <v>22</v>
      </c>
      <c r="N62" s="59">
        <v>354.1</v>
      </c>
      <c r="O62" s="59">
        <v>0</v>
      </c>
      <c r="P62" s="59">
        <v>1.49</v>
      </c>
      <c r="Q62" s="59">
        <v>40.01</v>
      </c>
      <c r="S62" s="197"/>
      <c r="T62" s="197"/>
      <c r="U62" s="197"/>
    </row>
    <row r="63" spans="1:21" s="12" customFormat="1" x14ac:dyDescent="0.25">
      <c r="A63" s="200" t="s">
        <v>2413</v>
      </c>
      <c r="B63" s="59">
        <v>4.25</v>
      </c>
      <c r="C63" s="59">
        <v>83.68</v>
      </c>
      <c r="D63" s="59">
        <v>49.59</v>
      </c>
      <c r="E63" s="59">
        <v>6.58</v>
      </c>
      <c r="F63" s="59">
        <v>13.82</v>
      </c>
      <c r="G63" s="59">
        <v>74.040000000000006</v>
      </c>
      <c r="H63" s="59">
        <v>30.43</v>
      </c>
      <c r="I63" s="59">
        <v>0.37</v>
      </c>
      <c r="J63" s="59">
        <v>0.39</v>
      </c>
      <c r="K63" s="59">
        <v>41.67</v>
      </c>
      <c r="L63" s="59">
        <v>32.25</v>
      </c>
      <c r="M63" s="59">
        <v>23</v>
      </c>
      <c r="N63" s="59">
        <v>341.8</v>
      </c>
      <c r="O63" s="59">
        <v>0</v>
      </c>
      <c r="P63" s="59">
        <v>1.45</v>
      </c>
      <c r="Q63" s="59">
        <v>40.46</v>
      </c>
      <c r="S63" s="197"/>
      <c r="T63" s="197"/>
      <c r="U63" s="197"/>
    </row>
    <row r="64" spans="1:21" s="12" customFormat="1" x14ac:dyDescent="0.25">
      <c r="A64" s="200" t="s">
        <v>2414</v>
      </c>
      <c r="B64" s="59">
        <v>4.97</v>
      </c>
      <c r="C64" s="59">
        <v>83.38</v>
      </c>
      <c r="D64" s="59">
        <v>50</v>
      </c>
      <c r="E64" s="59">
        <v>7.76</v>
      </c>
      <c r="F64" s="59">
        <v>4.93</v>
      </c>
      <c r="G64" s="59">
        <v>74.040000000000006</v>
      </c>
      <c r="H64" s="59">
        <v>30.43</v>
      </c>
      <c r="I64" s="59">
        <v>0.39</v>
      </c>
      <c r="J64" s="59">
        <v>0.51</v>
      </c>
      <c r="K64" s="59">
        <v>123.46</v>
      </c>
      <c r="L64" s="59">
        <v>30.57</v>
      </c>
      <c r="M64" s="59">
        <v>25</v>
      </c>
      <c r="N64" s="59">
        <v>329.4</v>
      </c>
      <c r="O64" s="59">
        <v>0</v>
      </c>
      <c r="P64" s="59">
        <v>1.47</v>
      </c>
      <c r="Q64" s="59">
        <v>41</v>
      </c>
      <c r="S64" s="197"/>
      <c r="T64" s="197"/>
      <c r="U64" s="197"/>
    </row>
    <row r="65" spans="1:21" s="12" customFormat="1" x14ac:dyDescent="0.25">
      <c r="A65" s="200" t="s">
        <v>2415</v>
      </c>
      <c r="B65" s="59">
        <v>3.69</v>
      </c>
      <c r="C65" s="59">
        <v>82.98</v>
      </c>
      <c r="D65" s="59">
        <v>48.75</v>
      </c>
      <c r="E65" s="59">
        <v>6.29</v>
      </c>
      <c r="F65" s="59">
        <v>4.16</v>
      </c>
      <c r="G65" s="59">
        <v>74.040000000000006</v>
      </c>
      <c r="H65" s="59">
        <v>30.43</v>
      </c>
      <c r="I65" s="59">
        <v>0.39</v>
      </c>
      <c r="J65" s="59">
        <v>0.74</v>
      </c>
      <c r="K65" s="59">
        <v>8.24</v>
      </c>
      <c r="L65" s="59">
        <v>31.81</v>
      </c>
      <c r="M65" s="59">
        <v>23</v>
      </c>
      <c r="N65" s="59">
        <v>319.2</v>
      </c>
      <c r="O65" s="59">
        <v>0</v>
      </c>
      <c r="P65" s="59">
        <v>1.44</v>
      </c>
      <c r="Q65" s="59">
        <v>43.2</v>
      </c>
      <c r="S65" s="197"/>
      <c r="T65" s="197"/>
      <c r="U65" s="197"/>
    </row>
    <row r="66" spans="1:21" s="12" customFormat="1" x14ac:dyDescent="0.25">
      <c r="A66" s="200" t="s">
        <v>2416</v>
      </c>
      <c r="B66" s="59">
        <v>2.97</v>
      </c>
      <c r="C66" s="59">
        <v>77.55</v>
      </c>
      <c r="D66" s="59">
        <v>45.18</v>
      </c>
      <c r="E66" s="59">
        <v>6.7</v>
      </c>
      <c r="F66" s="59">
        <v>7.26</v>
      </c>
      <c r="G66" s="59">
        <v>67.099999999999994</v>
      </c>
      <c r="H66" s="59">
        <v>33.86</v>
      </c>
      <c r="I66" s="59">
        <v>0.4</v>
      </c>
      <c r="J66" s="59">
        <v>0.51</v>
      </c>
      <c r="K66" s="59">
        <v>75.03</v>
      </c>
      <c r="L66" s="59">
        <v>32.520000000000003</v>
      </c>
      <c r="M66" s="59">
        <v>22</v>
      </c>
      <c r="N66" s="59">
        <v>179.4</v>
      </c>
      <c r="O66" s="59">
        <v>0</v>
      </c>
      <c r="P66" s="59">
        <v>1.39</v>
      </c>
      <c r="Q66" s="59">
        <v>44.18</v>
      </c>
      <c r="S66" s="197"/>
      <c r="T66" s="197"/>
      <c r="U66" s="197"/>
    </row>
    <row r="67" spans="1:21" s="12" customFormat="1" x14ac:dyDescent="0.25">
      <c r="A67" s="200" t="s">
        <v>2417</v>
      </c>
      <c r="B67" s="59">
        <v>2.7</v>
      </c>
      <c r="C67" s="59">
        <v>80.81</v>
      </c>
      <c r="D67" s="59">
        <v>46.76</v>
      </c>
      <c r="E67" s="59">
        <v>5.62</v>
      </c>
      <c r="F67" s="59">
        <v>3.6</v>
      </c>
      <c r="G67" s="59">
        <v>61.81</v>
      </c>
      <c r="H67" s="59">
        <v>38.549999999999997</v>
      </c>
      <c r="I67" s="59">
        <v>0.42</v>
      </c>
      <c r="J67" s="59">
        <v>0.75</v>
      </c>
      <c r="K67" s="59">
        <v>139.22999999999999</v>
      </c>
      <c r="L67" s="59">
        <v>29.69</v>
      </c>
      <c r="M67" s="59">
        <v>25</v>
      </c>
      <c r="N67" s="59">
        <v>212.9</v>
      </c>
      <c r="O67" s="59">
        <v>0</v>
      </c>
      <c r="P67" s="59">
        <v>1.36</v>
      </c>
      <c r="Q67" s="59">
        <v>44.32</v>
      </c>
      <c r="S67" s="197"/>
      <c r="T67" s="197"/>
      <c r="U67" s="197"/>
    </row>
    <row r="68" spans="1:21" s="12" customFormat="1" x14ac:dyDescent="0.25">
      <c r="A68" s="200" t="s">
        <v>2418</v>
      </c>
      <c r="B68" s="59">
        <v>2.5099999999999998</v>
      </c>
      <c r="C68" s="59">
        <v>78.739999999999995</v>
      </c>
      <c r="D68" s="59">
        <v>45.46</v>
      </c>
      <c r="E68" s="59">
        <v>5.13</v>
      </c>
      <c r="F68" s="59">
        <v>4.91</v>
      </c>
      <c r="G68" s="59">
        <v>61.81</v>
      </c>
      <c r="H68" s="59">
        <v>38.549999999999997</v>
      </c>
      <c r="I68" s="59">
        <v>0.37</v>
      </c>
      <c r="J68" s="59">
        <v>0.38</v>
      </c>
      <c r="K68" s="59">
        <v>82.91</v>
      </c>
      <c r="L68" s="59">
        <v>30.22</v>
      </c>
      <c r="M68" s="59">
        <v>25</v>
      </c>
      <c r="N68" s="59">
        <v>234.1</v>
      </c>
      <c r="O68" s="59">
        <v>0</v>
      </c>
      <c r="P68" s="59">
        <v>1.32</v>
      </c>
      <c r="Q68" s="59">
        <v>43.98</v>
      </c>
      <c r="S68" s="197"/>
      <c r="T68" s="197"/>
      <c r="U68" s="197"/>
    </row>
    <row r="69" spans="1:21" s="12" customFormat="1" x14ac:dyDescent="0.25">
      <c r="A69" s="200" t="s">
        <v>2419</v>
      </c>
      <c r="B69" s="59">
        <v>2.71</v>
      </c>
      <c r="C69" s="59">
        <v>78.64</v>
      </c>
      <c r="D69" s="59">
        <v>45.58</v>
      </c>
      <c r="E69" s="59">
        <v>5.29</v>
      </c>
      <c r="F69" s="59">
        <v>3.69</v>
      </c>
      <c r="G69" s="59">
        <v>61.81</v>
      </c>
      <c r="H69" s="59">
        <v>38.549999999999997</v>
      </c>
      <c r="I69" s="59">
        <v>0.37</v>
      </c>
      <c r="J69" s="59">
        <v>0.82</v>
      </c>
      <c r="K69" s="59">
        <v>105.7</v>
      </c>
      <c r="L69" s="59">
        <v>29.67</v>
      </c>
      <c r="M69" s="59">
        <v>25</v>
      </c>
      <c r="N69" s="59">
        <v>220.3</v>
      </c>
      <c r="O69" s="59">
        <v>0</v>
      </c>
      <c r="P69" s="59">
        <v>1.29</v>
      </c>
      <c r="Q69" s="59">
        <v>43.83</v>
      </c>
      <c r="S69" s="197"/>
      <c r="T69" s="197"/>
      <c r="U69" s="197"/>
    </row>
    <row r="70" spans="1:21" s="12" customFormat="1" x14ac:dyDescent="0.25">
      <c r="A70" s="200" t="s">
        <v>2420</v>
      </c>
      <c r="B70" s="59">
        <v>2.67</v>
      </c>
      <c r="C70" s="59">
        <v>77.099999999999994</v>
      </c>
      <c r="D70" s="59">
        <v>44.69</v>
      </c>
      <c r="E70" s="59">
        <v>5.49</v>
      </c>
      <c r="F70" s="59">
        <v>6.58</v>
      </c>
      <c r="G70" s="59">
        <v>65.78</v>
      </c>
      <c r="H70" s="59">
        <v>35.53</v>
      </c>
      <c r="I70" s="59">
        <v>0.36</v>
      </c>
      <c r="J70" s="59">
        <v>0.42</v>
      </c>
      <c r="K70" s="59">
        <v>133.54</v>
      </c>
      <c r="L70" s="59">
        <v>29.05</v>
      </c>
      <c r="M70" s="59">
        <v>25</v>
      </c>
      <c r="N70" s="59">
        <v>152.69999999999999</v>
      </c>
      <c r="O70" s="59">
        <v>0</v>
      </c>
      <c r="P70" s="59">
        <v>1.23</v>
      </c>
      <c r="Q70" s="59">
        <v>43.69</v>
      </c>
      <c r="S70" s="197"/>
      <c r="T70" s="197"/>
      <c r="U70" s="197"/>
    </row>
    <row r="71" spans="1:21" s="12" customFormat="1" x14ac:dyDescent="0.25">
      <c r="A71" s="200" t="s">
        <v>2421</v>
      </c>
      <c r="B71" s="59">
        <v>2.84</v>
      </c>
      <c r="C71" s="59">
        <v>71.47</v>
      </c>
      <c r="D71" s="59">
        <v>41.72</v>
      </c>
      <c r="E71" s="59">
        <v>6.48</v>
      </c>
      <c r="F71" s="59">
        <v>17.37</v>
      </c>
      <c r="G71" s="59">
        <v>68.89</v>
      </c>
      <c r="H71" s="59">
        <v>31.4</v>
      </c>
      <c r="I71" s="59">
        <v>0.35</v>
      </c>
      <c r="J71" s="59">
        <v>0.48</v>
      </c>
      <c r="K71" s="59">
        <v>103.35</v>
      </c>
      <c r="L71" s="59">
        <v>28.83</v>
      </c>
      <c r="M71" s="59">
        <v>26</v>
      </c>
      <c r="N71" s="59">
        <v>161.5</v>
      </c>
      <c r="O71" s="59">
        <v>0</v>
      </c>
      <c r="P71" s="59">
        <v>1.1299999999999999</v>
      </c>
      <c r="Q71" s="59">
        <v>42.95</v>
      </c>
      <c r="S71" s="197"/>
      <c r="T71" s="197"/>
      <c r="U71" s="197"/>
    </row>
    <row r="72" spans="1:21" s="12" customFormat="1" x14ac:dyDescent="0.25">
      <c r="A72" s="200" t="s">
        <v>2422</v>
      </c>
      <c r="B72" s="59">
        <v>6.66</v>
      </c>
      <c r="C72" s="59">
        <v>79.81</v>
      </c>
      <c r="D72" s="59">
        <v>49.39</v>
      </c>
      <c r="E72" s="59">
        <v>10.48</v>
      </c>
      <c r="F72" s="59">
        <v>19.78</v>
      </c>
      <c r="G72" s="59">
        <v>68.89</v>
      </c>
      <c r="H72" s="59">
        <v>31.4</v>
      </c>
      <c r="I72" s="59">
        <v>0.32</v>
      </c>
      <c r="J72" s="59">
        <v>0.33</v>
      </c>
      <c r="K72" s="59">
        <v>82.52</v>
      </c>
      <c r="L72" s="59">
        <v>28.83</v>
      </c>
      <c r="M72" s="59">
        <v>27</v>
      </c>
      <c r="N72" s="59">
        <v>87</v>
      </c>
      <c r="O72" s="59">
        <v>0</v>
      </c>
      <c r="P72" s="59">
        <v>1.18</v>
      </c>
      <c r="Q72" s="59">
        <v>41.53</v>
      </c>
      <c r="S72" s="197"/>
      <c r="T72" s="197"/>
      <c r="U72" s="197"/>
    </row>
    <row r="73" spans="1:21" s="12" customFormat="1" x14ac:dyDescent="0.25">
      <c r="A73" s="200" t="s">
        <v>2423</v>
      </c>
      <c r="B73" s="59">
        <v>8.0399999999999991</v>
      </c>
      <c r="C73" s="59">
        <v>85.14</v>
      </c>
      <c r="D73" s="59">
        <v>53.44</v>
      </c>
      <c r="E73" s="59">
        <v>15.2</v>
      </c>
      <c r="F73" s="59">
        <v>19.940000000000001</v>
      </c>
      <c r="G73" s="59">
        <v>68.89</v>
      </c>
      <c r="H73" s="59">
        <v>31.4</v>
      </c>
      <c r="I73" s="59">
        <v>0.28000000000000003</v>
      </c>
      <c r="J73" s="59">
        <v>0.28999999999999998</v>
      </c>
      <c r="K73" s="59">
        <v>50.93</v>
      </c>
      <c r="L73" s="59">
        <v>28.7</v>
      </c>
      <c r="M73" s="59">
        <v>28</v>
      </c>
      <c r="N73" s="59">
        <v>59.6</v>
      </c>
      <c r="O73" s="59">
        <v>0</v>
      </c>
      <c r="P73" s="59">
        <v>1.26</v>
      </c>
      <c r="Q73" s="59">
        <v>39.97</v>
      </c>
      <c r="S73" s="197"/>
      <c r="T73" s="197"/>
      <c r="U73" s="197"/>
    </row>
    <row r="74" spans="1:21" s="12" customFormat="1" x14ac:dyDescent="0.25">
      <c r="A74" s="200" t="s">
        <v>2424</v>
      </c>
      <c r="B74" s="59">
        <v>3.75</v>
      </c>
      <c r="C74" s="59">
        <v>68.989999999999995</v>
      </c>
      <c r="D74" s="59">
        <v>41.09</v>
      </c>
      <c r="E74" s="59">
        <v>13.56</v>
      </c>
      <c r="F74" s="59">
        <v>24.79</v>
      </c>
      <c r="G74" s="59">
        <v>65.91</v>
      </c>
      <c r="H74" s="59">
        <v>31.94</v>
      </c>
      <c r="I74" s="59">
        <v>0.26</v>
      </c>
      <c r="J74" s="59">
        <v>0.68</v>
      </c>
      <c r="K74" s="59">
        <v>109.8</v>
      </c>
      <c r="L74" s="59">
        <v>28.29</v>
      </c>
      <c r="M74" s="59">
        <v>28</v>
      </c>
      <c r="N74" s="59">
        <v>52</v>
      </c>
      <c r="O74" s="59">
        <v>0</v>
      </c>
      <c r="P74" s="59">
        <v>1.05</v>
      </c>
      <c r="Q74" s="59">
        <v>40.380000000000003</v>
      </c>
      <c r="S74" s="197"/>
      <c r="T74" s="197"/>
      <c r="U74" s="197"/>
    </row>
    <row r="75" spans="1:21" s="12" customFormat="1" x14ac:dyDescent="0.25">
      <c r="A75" s="200" t="s">
        <v>2425</v>
      </c>
      <c r="B75" s="59">
        <v>3.51</v>
      </c>
      <c r="C75" s="59">
        <v>65.61</v>
      </c>
      <c r="D75" s="59">
        <v>39.020000000000003</v>
      </c>
      <c r="E75" s="59">
        <v>11.78</v>
      </c>
      <c r="F75" s="59">
        <v>13.77</v>
      </c>
      <c r="G75" s="59">
        <v>58.03</v>
      </c>
      <c r="H75" s="59">
        <v>32.700000000000003</v>
      </c>
      <c r="I75" s="59">
        <v>0.27</v>
      </c>
      <c r="J75" s="59">
        <v>0.92</v>
      </c>
      <c r="K75" s="59">
        <v>112.16</v>
      </c>
      <c r="L75" s="59">
        <v>27.94</v>
      </c>
      <c r="M75" s="59">
        <v>29</v>
      </c>
      <c r="N75" s="59">
        <v>43.7</v>
      </c>
      <c r="O75" s="59">
        <v>0</v>
      </c>
      <c r="P75" s="59">
        <v>1.0900000000000001</v>
      </c>
      <c r="Q75" s="59">
        <v>41.35</v>
      </c>
      <c r="S75" s="197"/>
      <c r="T75" s="197"/>
      <c r="U75" s="197"/>
    </row>
    <row r="76" spans="1:21" s="12" customFormat="1" x14ac:dyDescent="0.25">
      <c r="A76" s="200" t="s">
        <v>2426</v>
      </c>
      <c r="B76" s="59">
        <v>3.61</v>
      </c>
      <c r="C76" s="59">
        <v>69.709999999999994</v>
      </c>
      <c r="D76" s="59">
        <v>41.37</v>
      </c>
      <c r="E76" s="59">
        <v>10.9</v>
      </c>
      <c r="F76" s="59">
        <v>12.13</v>
      </c>
      <c r="G76" s="59">
        <v>58.03</v>
      </c>
      <c r="H76" s="59">
        <v>32.700000000000003</v>
      </c>
      <c r="I76" s="59">
        <v>0.28000000000000003</v>
      </c>
      <c r="J76" s="59">
        <v>0.91</v>
      </c>
      <c r="K76" s="59">
        <v>113.31</v>
      </c>
      <c r="L76" s="59">
        <v>27.84</v>
      </c>
      <c r="M76" s="59">
        <v>27</v>
      </c>
      <c r="N76" s="59">
        <v>36.4</v>
      </c>
      <c r="O76" s="59">
        <v>0</v>
      </c>
      <c r="P76" s="59">
        <v>1.08</v>
      </c>
      <c r="Q76" s="59">
        <v>41.76</v>
      </c>
      <c r="S76" s="197"/>
      <c r="T76" s="197"/>
      <c r="U76" s="197"/>
    </row>
    <row r="77" spans="1:21" s="12" customFormat="1" x14ac:dyDescent="0.25">
      <c r="A77" s="200" t="s">
        <v>2427</v>
      </c>
      <c r="B77" s="59">
        <v>3.36</v>
      </c>
      <c r="C77" s="59">
        <v>73.25</v>
      </c>
      <c r="D77" s="59">
        <v>43.12</v>
      </c>
      <c r="E77" s="59">
        <v>18.059999999999999</v>
      </c>
      <c r="F77" s="59">
        <v>21.11</v>
      </c>
      <c r="G77" s="59">
        <v>58.03</v>
      </c>
      <c r="H77" s="59">
        <v>32.700000000000003</v>
      </c>
      <c r="I77" s="59">
        <v>0.28999999999999998</v>
      </c>
      <c r="J77" s="59">
        <v>0.2</v>
      </c>
      <c r="K77" s="59">
        <v>69.64</v>
      </c>
      <c r="L77" s="59">
        <v>27.14</v>
      </c>
      <c r="M77" s="59">
        <v>31</v>
      </c>
      <c r="N77" s="59">
        <v>30.5</v>
      </c>
      <c r="O77" s="59">
        <v>0</v>
      </c>
      <c r="P77" s="59">
        <v>1.08</v>
      </c>
      <c r="Q77" s="59">
        <v>41.9</v>
      </c>
      <c r="S77" s="197"/>
      <c r="T77" s="197"/>
      <c r="U77" s="197"/>
    </row>
    <row r="78" spans="1:21" s="12" customFormat="1" x14ac:dyDescent="0.25">
      <c r="A78" s="200" t="s">
        <v>2428</v>
      </c>
      <c r="B78" s="59">
        <v>5.17</v>
      </c>
      <c r="C78" s="59">
        <v>78.739999999999995</v>
      </c>
      <c r="D78" s="59">
        <v>47.6</v>
      </c>
      <c r="E78" s="59">
        <v>14.64</v>
      </c>
      <c r="F78" s="59">
        <v>8.4700000000000006</v>
      </c>
      <c r="G78" s="59">
        <v>63.18</v>
      </c>
      <c r="H78" s="59">
        <v>32.83</v>
      </c>
      <c r="I78" s="59">
        <v>0.31</v>
      </c>
      <c r="J78" s="59">
        <v>0.12</v>
      </c>
      <c r="K78" s="59">
        <v>43.43</v>
      </c>
      <c r="L78" s="59">
        <v>26.03</v>
      </c>
      <c r="M78" s="59">
        <v>35</v>
      </c>
      <c r="N78" s="59">
        <v>26.5</v>
      </c>
      <c r="O78" s="59">
        <v>0</v>
      </c>
      <c r="P78" s="59">
        <v>1.17</v>
      </c>
      <c r="Q78" s="59">
        <v>41.79</v>
      </c>
      <c r="S78" s="197"/>
      <c r="T78" s="197"/>
      <c r="U78" s="197"/>
    </row>
    <row r="79" spans="1:21" s="12" customFormat="1" x14ac:dyDescent="0.25">
      <c r="A79" s="200" t="s">
        <v>2429</v>
      </c>
      <c r="B79" s="59">
        <v>13.97</v>
      </c>
      <c r="C79" s="59">
        <v>83.5</v>
      </c>
      <c r="D79" s="59">
        <v>57.29</v>
      </c>
      <c r="E79" s="59">
        <v>5.52</v>
      </c>
      <c r="F79" s="59">
        <v>0.89</v>
      </c>
      <c r="G79" s="59">
        <v>67.08</v>
      </c>
      <c r="H79" s="59">
        <v>33.01</v>
      </c>
      <c r="I79" s="59">
        <v>0.28000000000000003</v>
      </c>
      <c r="J79" s="59">
        <v>0.05</v>
      </c>
      <c r="K79" s="59">
        <v>107.36</v>
      </c>
      <c r="L79" s="59">
        <v>24.7</v>
      </c>
      <c r="M79" s="59">
        <v>41</v>
      </c>
      <c r="N79" s="59">
        <v>25.1</v>
      </c>
      <c r="O79" s="59">
        <v>0</v>
      </c>
      <c r="P79" s="59">
        <v>1.27</v>
      </c>
      <c r="Q79" s="59">
        <v>43.77</v>
      </c>
      <c r="S79" s="197"/>
      <c r="T79" s="197"/>
      <c r="U79" s="197"/>
    </row>
    <row r="80" spans="1:21" s="12" customFormat="1" x14ac:dyDescent="0.25">
      <c r="A80" s="200" t="s">
        <v>2430</v>
      </c>
      <c r="B80" s="59">
        <v>16.100000000000001</v>
      </c>
      <c r="C80" s="59">
        <v>90.76</v>
      </c>
      <c r="D80" s="59">
        <v>63</v>
      </c>
      <c r="E80" s="59">
        <v>5.15</v>
      </c>
      <c r="F80" s="59">
        <v>0.25</v>
      </c>
      <c r="G80" s="59">
        <v>67.08</v>
      </c>
      <c r="H80" s="59">
        <v>33.01</v>
      </c>
      <c r="I80" s="59">
        <v>0.34</v>
      </c>
      <c r="J80" s="59">
        <v>0.05</v>
      </c>
      <c r="K80" s="59">
        <v>133.37</v>
      </c>
      <c r="L80" s="59">
        <v>23.67</v>
      </c>
      <c r="M80" s="59">
        <v>44</v>
      </c>
      <c r="N80" s="59">
        <v>24.6</v>
      </c>
      <c r="O80" s="59">
        <v>0</v>
      </c>
      <c r="P80" s="59">
        <v>1.35</v>
      </c>
      <c r="Q80" s="59">
        <v>45.96</v>
      </c>
      <c r="S80" s="197"/>
      <c r="T80" s="197"/>
      <c r="U80" s="197"/>
    </row>
    <row r="81" spans="1:26" s="12" customFormat="1" x14ac:dyDescent="0.25">
      <c r="A81" s="200" t="s">
        <v>2431</v>
      </c>
      <c r="B81" s="59">
        <v>18.149999999999999</v>
      </c>
      <c r="C81" s="59">
        <v>95.48</v>
      </c>
      <c r="D81" s="59">
        <v>67.25</v>
      </c>
      <c r="E81" s="59">
        <v>5.01</v>
      </c>
      <c r="F81" s="59">
        <v>0.23</v>
      </c>
      <c r="G81" s="59">
        <v>67.08</v>
      </c>
      <c r="H81" s="59">
        <v>33.01</v>
      </c>
      <c r="I81" s="59">
        <v>0.4</v>
      </c>
      <c r="J81" s="59">
        <v>0.03</v>
      </c>
      <c r="K81" s="59">
        <v>214.54</v>
      </c>
      <c r="L81" s="59">
        <v>23.13</v>
      </c>
      <c r="M81" s="59">
        <v>49</v>
      </c>
      <c r="N81" s="59">
        <v>24.5</v>
      </c>
      <c r="O81" s="59">
        <v>0</v>
      </c>
      <c r="P81" s="59">
        <v>1.43</v>
      </c>
      <c r="Q81" s="59">
        <v>46.96</v>
      </c>
      <c r="S81" s="197"/>
      <c r="T81" s="197"/>
      <c r="U81" s="197"/>
    </row>
    <row r="82" spans="1:26" s="12" customFormat="1" x14ac:dyDescent="0.25">
      <c r="A82" s="200" t="s">
        <v>2432</v>
      </c>
      <c r="B82" s="59">
        <v>24.28</v>
      </c>
      <c r="C82" s="59">
        <v>103.99</v>
      </c>
      <c r="D82" s="59">
        <v>76.86</v>
      </c>
      <c r="E82" s="59">
        <v>5.22</v>
      </c>
      <c r="F82" s="59">
        <v>0.14000000000000001</v>
      </c>
      <c r="G82" s="59">
        <v>110.23</v>
      </c>
      <c r="H82" s="59">
        <v>37.840000000000003</v>
      </c>
      <c r="I82" s="59">
        <v>0.44</v>
      </c>
      <c r="J82" s="59">
        <v>0.04</v>
      </c>
      <c r="K82" s="59">
        <v>0.87</v>
      </c>
      <c r="L82" s="59">
        <v>22.9</v>
      </c>
      <c r="M82" s="59">
        <v>50</v>
      </c>
      <c r="N82" s="59">
        <v>24.4</v>
      </c>
      <c r="O82" s="59">
        <v>0</v>
      </c>
      <c r="P82" s="59">
        <v>1.52</v>
      </c>
      <c r="Q82" s="59">
        <v>47.44</v>
      </c>
      <c r="S82" s="197"/>
      <c r="T82" s="197"/>
      <c r="U82" s="197"/>
    </row>
    <row r="83" spans="1:26" s="12" customFormat="1" x14ac:dyDescent="0.25">
      <c r="A83" s="200" t="s">
        <v>2433</v>
      </c>
      <c r="B83" s="59">
        <v>27.45</v>
      </c>
      <c r="C83" s="59">
        <v>107.62</v>
      </c>
      <c r="D83" s="59">
        <v>81.400000000000006</v>
      </c>
      <c r="E83" s="59">
        <v>4.8</v>
      </c>
      <c r="F83" s="59">
        <v>0.19</v>
      </c>
      <c r="G83" s="59">
        <v>143.16</v>
      </c>
      <c r="H83" s="59">
        <v>44.45</v>
      </c>
      <c r="I83" s="59">
        <v>0.47</v>
      </c>
      <c r="J83" s="59">
        <v>0.04</v>
      </c>
      <c r="K83" s="59">
        <v>268.68</v>
      </c>
      <c r="L83" s="59">
        <v>22.65</v>
      </c>
      <c r="M83" s="59">
        <v>52</v>
      </c>
      <c r="N83" s="59">
        <v>24.3</v>
      </c>
      <c r="O83" s="59">
        <v>0</v>
      </c>
      <c r="P83" s="59">
        <v>1.63</v>
      </c>
      <c r="Q83" s="59">
        <v>47.79</v>
      </c>
      <c r="S83" s="197"/>
      <c r="T83" s="197"/>
      <c r="U83" s="197"/>
    </row>
    <row r="84" spans="1:26" s="12" customFormat="1" x14ac:dyDescent="0.25">
      <c r="A84" s="200" t="s">
        <v>2434</v>
      </c>
      <c r="B84" s="59">
        <v>31.88</v>
      </c>
      <c r="C84" s="59">
        <v>112.02</v>
      </c>
      <c r="D84" s="59">
        <v>87.39</v>
      </c>
      <c r="E84" s="59">
        <v>4.9800000000000004</v>
      </c>
      <c r="F84" s="59">
        <v>0.25</v>
      </c>
      <c r="G84" s="59">
        <v>143.16</v>
      </c>
      <c r="H84" s="59">
        <v>44.45</v>
      </c>
      <c r="I84" s="59">
        <v>0.52</v>
      </c>
      <c r="J84" s="59">
        <v>0.16</v>
      </c>
      <c r="K84" s="59">
        <v>4.42</v>
      </c>
      <c r="L84" s="59">
        <v>22.43</v>
      </c>
      <c r="M84" s="59">
        <v>50</v>
      </c>
      <c r="N84" s="59">
        <v>24.1</v>
      </c>
      <c r="O84" s="59">
        <v>0</v>
      </c>
      <c r="P84" s="59">
        <v>1.78</v>
      </c>
      <c r="Q84" s="59">
        <v>48.12</v>
      </c>
      <c r="S84" s="197"/>
      <c r="T84" s="197"/>
      <c r="U84" s="197"/>
    </row>
    <row r="85" spans="1:26" s="12" customFormat="1" x14ac:dyDescent="0.25">
      <c r="A85" s="200" t="s">
        <v>2435</v>
      </c>
      <c r="B85" s="59">
        <v>39.67</v>
      </c>
      <c r="C85" s="59">
        <v>126.25</v>
      </c>
      <c r="D85" s="59">
        <v>101.49</v>
      </c>
      <c r="E85" s="59">
        <v>5.49</v>
      </c>
      <c r="F85" s="59">
        <v>0.3</v>
      </c>
      <c r="G85" s="59">
        <v>143.16</v>
      </c>
      <c r="H85" s="59">
        <v>44.45</v>
      </c>
      <c r="I85" s="59">
        <v>0.55000000000000004</v>
      </c>
      <c r="J85" s="59">
        <v>0.12</v>
      </c>
      <c r="K85" s="59">
        <v>359.44</v>
      </c>
      <c r="L85" s="59">
        <v>22.4</v>
      </c>
      <c r="M85" s="59">
        <v>47</v>
      </c>
      <c r="N85" s="59">
        <v>24.1</v>
      </c>
      <c r="O85" s="59">
        <v>0</v>
      </c>
      <c r="P85" s="59">
        <v>2.0499999999999998</v>
      </c>
      <c r="Q85" s="59">
        <v>48.42</v>
      </c>
      <c r="S85" s="197"/>
      <c r="T85" s="197"/>
      <c r="U85" s="197"/>
    </row>
    <row r="86" spans="1:26" s="12" customFormat="1" x14ac:dyDescent="0.25">
      <c r="A86" s="200" t="s">
        <v>2436</v>
      </c>
      <c r="B86" s="59">
        <v>41.37</v>
      </c>
      <c r="C86" s="59">
        <v>134.44</v>
      </c>
      <c r="D86" s="59">
        <v>107.37</v>
      </c>
      <c r="E86" s="59">
        <v>6.74</v>
      </c>
      <c r="F86" s="59">
        <v>0.56999999999999995</v>
      </c>
      <c r="G86" s="59">
        <v>143.81</v>
      </c>
      <c r="H86" s="59">
        <v>48.06</v>
      </c>
      <c r="I86" s="59">
        <v>0.61</v>
      </c>
      <c r="J86" s="59">
        <v>0.18</v>
      </c>
      <c r="K86" s="59">
        <v>113.3</v>
      </c>
      <c r="L86" s="59">
        <v>22.83</v>
      </c>
      <c r="M86" s="59">
        <v>43</v>
      </c>
      <c r="N86" s="59">
        <v>23.1</v>
      </c>
      <c r="O86" s="59">
        <v>0</v>
      </c>
      <c r="P86" s="59">
        <v>2.16</v>
      </c>
      <c r="Q86" s="59">
        <v>47.46</v>
      </c>
      <c r="S86" s="197"/>
      <c r="T86" s="197"/>
      <c r="U86" s="197"/>
    </row>
    <row r="87" spans="1:26" s="12" customFormat="1" x14ac:dyDescent="0.25">
      <c r="A87" s="200" t="s">
        <v>2437</v>
      </c>
      <c r="B87" s="59">
        <v>46.81</v>
      </c>
      <c r="C87" s="59">
        <v>133.37</v>
      </c>
      <c r="D87" s="59">
        <v>111.15</v>
      </c>
      <c r="E87" s="59">
        <v>7.31</v>
      </c>
      <c r="F87" s="59">
        <v>0.69</v>
      </c>
      <c r="G87" s="59">
        <v>144.29</v>
      </c>
      <c r="H87" s="59">
        <v>52.77</v>
      </c>
      <c r="I87" s="59">
        <v>0.68</v>
      </c>
      <c r="J87" s="59">
        <v>0.23</v>
      </c>
      <c r="K87" s="59">
        <v>85.16</v>
      </c>
      <c r="L87" s="59">
        <v>23.74</v>
      </c>
      <c r="M87" s="59">
        <v>40</v>
      </c>
      <c r="N87" s="59">
        <v>23</v>
      </c>
      <c r="O87" s="59">
        <v>0</v>
      </c>
      <c r="P87" s="59">
        <v>2.15</v>
      </c>
      <c r="Q87" s="59">
        <v>45.65</v>
      </c>
      <c r="S87" s="197"/>
      <c r="T87" s="197"/>
      <c r="U87" s="197"/>
    </row>
    <row r="88" spans="1:26" s="12" customFormat="1" x14ac:dyDescent="0.25">
      <c r="A88" s="200" t="s">
        <v>2438</v>
      </c>
      <c r="B88" s="59">
        <v>42.29</v>
      </c>
      <c r="C88" s="59">
        <v>128.07</v>
      </c>
      <c r="D88" s="59">
        <v>104.59</v>
      </c>
      <c r="E88" s="59">
        <v>3.08</v>
      </c>
      <c r="F88" s="59">
        <v>0.88</v>
      </c>
      <c r="G88" s="59">
        <v>144.29</v>
      </c>
      <c r="H88" s="59">
        <v>52.77</v>
      </c>
      <c r="I88" s="59">
        <v>0.69</v>
      </c>
      <c r="J88" s="59">
        <v>0.42</v>
      </c>
      <c r="K88" s="59">
        <v>102.26</v>
      </c>
      <c r="L88" s="59">
        <v>23.66</v>
      </c>
      <c r="M88" s="59">
        <v>40</v>
      </c>
      <c r="N88" s="59">
        <v>23.4</v>
      </c>
      <c r="O88" s="59">
        <v>0</v>
      </c>
      <c r="P88" s="59">
        <v>2.11</v>
      </c>
      <c r="Q88" s="59">
        <v>46.06</v>
      </c>
      <c r="S88" s="197"/>
      <c r="T88" s="197"/>
      <c r="U88" s="197"/>
    </row>
    <row r="89" spans="1:26" s="12" customFormat="1" x14ac:dyDescent="0.25">
      <c r="A89" s="200" t="s">
        <v>2439</v>
      </c>
      <c r="B89" s="59">
        <v>52.01</v>
      </c>
      <c r="C89" s="59">
        <v>128.36000000000001</v>
      </c>
      <c r="D89" s="59">
        <v>112.54</v>
      </c>
      <c r="E89" s="59">
        <v>6.01</v>
      </c>
      <c r="F89" s="59">
        <v>0.61</v>
      </c>
      <c r="G89" s="59">
        <v>144.29</v>
      </c>
      <c r="H89" s="59">
        <v>52.77</v>
      </c>
      <c r="I89" s="59">
        <v>0.71</v>
      </c>
      <c r="J89" s="59">
        <v>0.21</v>
      </c>
      <c r="K89" s="59">
        <v>79.290000000000006</v>
      </c>
      <c r="L89" s="59">
        <v>23.53</v>
      </c>
      <c r="M89" s="59">
        <v>41</v>
      </c>
      <c r="N89" s="59">
        <v>24</v>
      </c>
      <c r="O89" s="59">
        <v>0</v>
      </c>
      <c r="P89" s="59">
        <v>2.2400000000000002</v>
      </c>
      <c r="Q89" s="59">
        <v>46.03</v>
      </c>
      <c r="S89" s="197"/>
      <c r="T89" s="197"/>
      <c r="U89" s="197"/>
    </row>
    <row r="90" spans="1:26" s="12" customFormat="1" x14ac:dyDescent="0.25">
      <c r="A90" s="200" t="s">
        <v>2440</v>
      </c>
      <c r="B90" s="59">
        <v>51.8</v>
      </c>
      <c r="C90" s="59">
        <v>128.08000000000001</v>
      </c>
      <c r="D90" s="59">
        <v>112.23</v>
      </c>
      <c r="E90" s="59">
        <v>6.97</v>
      </c>
      <c r="F90" s="59">
        <v>0.74</v>
      </c>
      <c r="G90" s="59">
        <v>137.09</v>
      </c>
      <c r="H90" s="59">
        <v>53.92</v>
      </c>
      <c r="I90" s="59">
        <v>0.71</v>
      </c>
      <c r="J90" s="59">
        <v>7.0000000000000007E-2</v>
      </c>
      <c r="K90" s="59">
        <v>66.209999999999994</v>
      </c>
      <c r="L90" s="59">
        <v>23.04</v>
      </c>
      <c r="M90" s="59">
        <v>42</v>
      </c>
      <c r="N90" s="59">
        <v>24.2</v>
      </c>
      <c r="O90" s="59">
        <v>0</v>
      </c>
      <c r="P90" s="59">
        <v>2.2599999999999998</v>
      </c>
      <c r="Q90" s="59">
        <v>45.99</v>
      </c>
      <c r="S90" s="197"/>
      <c r="T90" s="197"/>
      <c r="U90" s="197"/>
    </row>
    <row r="91" spans="1:26" s="12" customFormat="1" x14ac:dyDescent="0.25">
      <c r="A91" s="200" t="s">
        <v>2441</v>
      </c>
      <c r="B91" s="59">
        <v>48.69</v>
      </c>
      <c r="C91" s="59">
        <v>123.08</v>
      </c>
      <c r="D91" s="59">
        <v>106.97</v>
      </c>
      <c r="E91" s="59">
        <v>6.41</v>
      </c>
      <c r="F91" s="59">
        <v>1.33</v>
      </c>
      <c r="G91" s="59">
        <v>122.69</v>
      </c>
      <c r="H91" s="59">
        <v>55.49</v>
      </c>
      <c r="I91" s="59">
        <v>0.75</v>
      </c>
      <c r="J91" s="59">
        <v>0.48</v>
      </c>
      <c r="K91" s="59">
        <v>91.35</v>
      </c>
      <c r="L91" s="59">
        <v>23.37</v>
      </c>
      <c r="M91" s="59">
        <v>40</v>
      </c>
      <c r="N91" s="59">
        <v>23.2</v>
      </c>
      <c r="O91" s="59">
        <v>0</v>
      </c>
      <c r="P91" s="59">
        <v>2.25</v>
      </c>
      <c r="Q91" s="59">
        <v>47.59</v>
      </c>
      <c r="S91" s="197"/>
      <c r="T91" s="197"/>
      <c r="U91" s="197"/>
    </row>
    <row r="92" spans="1:26" s="12" customFormat="1" x14ac:dyDescent="0.25">
      <c r="A92" s="200" t="s">
        <v>2442</v>
      </c>
      <c r="B92" s="59">
        <v>48.32</v>
      </c>
      <c r="C92" s="59">
        <v>118.88</v>
      </c>
      <c r="D92" s="59">
        <v>104.36</v>
      </c>
      <c r="E92" s="59">
        <v>5.72</v>
      </c>
      <c r="F92" s="59">
        <v>1.04</v>
      </c>
      <c r="G92" s="59">
        <v>122.69</v>
      </c>
      <c r="H92" s="59">
        <v>55.49</v>
      </c>
      <c r="I92" s="59">
        <v>0.76</v>
      </c>
      <c r="J92" s="59">
        <v>0.37</v>
      </c>
      <c r="K92" s="59">
        <v>96.48</v>
      </c>
      <c r="L92" s="59">
        <v>23.49</v>
      </c>
      <c r="M92" s="59">
        <v>40</v>
      </c>
      <c r="N92" s="59">
        <v>23.4</v>
      </c>
      <c r="O92" s="59">
        <v>0</v>
      </c>
      <c r="P92" s="59">
        <v>2.25</v>
      </c>
      <c r="Q92" s="59">
        <v>48.51</v>
      </c>
      <c r="S92" s="197"/>
      <c r="T92" s="197"/>
      <c r="U92" s="197"/>
    </row>
    <row r="93" spans="1:26" s="12" customFormat="1" x14ac:dyDescent="0.25">
      <c r="A93" s="200" t="s">
        <v>2443</v>
      </c>
      <c r="B93" s="59">
        <v>48.46</v>
      </c>
      <c r="C93" s="59">
        <v>115.92</v>
      </c>
      <c r="D93" s="59">
        <v>102.83</v>
      </c>
      <c r="E93" s="59">
        <v>5.23</v>
      </c>
      <c r="F93" s="59">
        <v>0.56999999999999995</v>
      </c>
      <c r="G93" s="59">
        <v>122.69</v>
      </c>
      <c r="H93" s="59">
        <v>55.49</v>
      </c>
      <c r="I93" s="59">
        <v>0.77</v>
      </c>
      <c r="J93" s="59">
        <v>0.77</v>
      </c>
      <c r="K93" s="59">
        <v>92.76</v>
      </c>
      <c r="L93" s="59">
        <v>23.55</v>
      </c>
      <c r="M93" s="59">
        <v>39</v>
      </c>
      <c r="N93" s="59">
        <v>23.2</v>
      </c>
      <c r="O93" s="59">
        <v>0</v>
      </c>
      <c r="P93" s="59">
        <v>2.23</v>
      </c>
      <c r="Q93" s="59">
        <v>49.42</v>
      </c>
      <c r="S93" s="197"/>
      <c r="T93" s="197"/>
      <c r="U93" s="197"/>
    </row>
    <row r="94" spans="1:26" s="12" customFormat="1" x14ac:dyDescent="0.25">
      <c r="A94" s="200" t="s">
        <v>2444</v>
      </c>
      <c r="B94" s="59">
        <v>44.84</v>
      </c>
      <c r="C94" s="59">
        <v>110.88</v>
      </c>
      <c r="D94" s="59">
        <v>97.15</v>
      </c>
      <c r="E94" s="59">
        <v>4.6900000000000004</v>
      </c>
      <c r="F94" s="59">
        <v>0.46</v>
      </c>
      <c r="G94" s="59">
        <v>102.2</v>
      </c>
      <c r="H94" s="59">
        <v>53.05</v>
      </c>
      <c r="I94" s="59">
        <v>0.78</v>
      </c>
      <c r="J94" s="59">
        <v>0.56999999999999995</v>
      </c>
      <c r="K94" s="59">
        <v>93.55</v>
      </c>
      <c r="L94" s="59">
        <v>23.46</v>
      </c>
      <c r="M94" s="59">
        <v>39</v>
      </c>
      <c r="N94" s="59">
        <v>23.8</v>
      </c>
      <c r="O94" s="59">
        <v>0</v>
      </c>
      <c r="P94" s="59">
        <v>2.14</v>
      </c>
      <c r="Q94" s="59">
        <v>50.17</v>
      </c>
      <c r="S94" s="197"/>
      <c r="T94" s="197"/>
      <c r="U94" s="197"/>
    </row>
    <row r="95" spans="1:26" s="12" customFormat="1" x14ac:dyDescent="0.25">
      <c r="A95" s="200" t="s">
        <v>2445</v>
      </c>
      <c r="B95" s="59">
        <v>40.51</v>
      </c>
      <c r="C95" s="59">
        <v>109.8</v>
      </c>
      <c r="D95" s="59">
        <v>93.08</v>
      </c>
      <c r="E95" s="59">
        <v>4.8099999999999996</v>
      </c>
      <c r="F95" s="59">
        <v>0.42</v>
      </c>
      <c r="G95" s="59">
        <v>87.11</v>
      </c>
      <c r="H95" s="59">
        <v>49.86</v>
      </c>
      <c r="I95" s="59">
        <v>0.78</v>
      </c>
      <c r="J95" s="59">
        <v>0.25</v>
      </c>
      <c r="K95" s="59">
        <v>93.48</v>
      </c>
      <c r="L95" s="59">
        <v>22.96</v>
      </c>
      <c r="M95" s="59">
        <v>40</v>
      </c>
      <c r="N95" s="59">
        <v>24.2</v>
      </c>
      <c r="O95" s="59">
        <v>0</v>
      </c>
      <c r="P95" s="59">
        <v>2.06</v>
      </c>
      <c r="Q95" s="59">
        <v>50</v>
      </c>
      <c r="S95" s="197"/>
      <c r="T95" s="197"/>
      <c r="U95" s="197"/>
    </row>
    <row r="96" spans="1:26" s="12" customFormat="1" x14ac:dyDescent="0.25">
      <c r="A96" s="200" t="s">
        <v>2446</v>
      </c>
      <c r="B96" s="59">
        <v>36.03</v>
      </c>
      <c r="C96" s="59">
        <v>107.91</v>
      </c>
      <c r="D96" s="59">
        <v>88.45</v>
      </c>
      <c r="E96" s="59">
        <v>4.59</v>
      </c>
      <c r="F96" s="59">
        <v>0.41</v>
      </c>
      <c r="G96" s="59">
        <v>87.11</v>
      </c>
      <c r="H96" s="59">
        <v>49.86</v>
      </c>
      <c r="I96" s="59">
        <v>0.74</v>
      </c>
      <c r="J96" s="59">
        <v>0.34</v>
      </c>
      <c r="K96" s="59">
        <v>130.07</v>
      </c>
      <c r="L96" s="59">
        <v>22.66</v>
      </c>
      <c r="M96" s="59">
        <v>41</v>
      </c>
      <c r="N96" s="59">
        <v>23.8</v>
      </c>
      <c r="O96" s="59">
        <v>0</v>
      </c>
      <c r="P96" s="59">
        <v>1.97</v>
      </c>
      <c r="Q96" s="59">
        <v>49.37</v>
      </c>
      <c r="S96" s="197"/>
      <c r="T96" s="197"/>
      <c r="U96" s="197"/>
      <c r="Z96" s="108"/>
    </row>
    <row r="97" spans="1:33" s="12" customFormat="1" x14ac:dyDescent="0.25">
      <c r="A97" s="200" t="s">
        <v>2447</v>
      </c>
      <c r="B97" s="59">
        <v>31.7</v>
      </c>
      <c r="C97" s="59">
        <v>105.68</v>
      </c>
      <c r="D97" s="59">
        <v>83.75</v>
      </c>
      <c r="E97" s="59">
        <v>4.3099999999999996</v>
      </c>
      <c r="F97" s="59">
        <v>0.36</v>
      </c>
      <c r="G97" s="59">
        <v>87.11</v>
      </c>
      <c r="H97" s="59">
        <v>49.86</v>
      </c>
      <c r="I97" s="59">
        <v>0.7</v>
      </c>
      <c r="J97" s="59">
        <v>0.45</v>
      </c>
      <c r="K97" s="59">
        <v>103.36</v>
      </c>
      <c r="L97" s="59">
        <v>22.61</v>
      </c>
      <c r="M97" s="59">
        <v>41</v>
      </c>
      <c r="N97" s="59">
        <v>23.7</v>
      </c>
      <c r="O97" s="59">
        <v>0</v>
      </c>
      <c r="P97" s="59">
        <v>1.88</v>
      </c>
      <c r="Q97" s="59">
        <v>48.88</v>
      </c>
      <c r="S97" s="197"/>
      <c r="T97" s="197"/>
      <c r="U97" s="197"/>
    </row>
    <row r="98" spans="1:33" s="12" customFormat="1" x14ac:dyDescent="0.25">
      <c r="A98" s="200" t="s">
        <v>2448</v>
      </c>
      <c r="B98" s="59">
        <v>27.75</v>
      </c>
      <c r="C98" s="59">
        <v>103.18</v>
      </c>
      <c r="D98" s="59">
        <v>79.2</v>
      </c>
      <c r="E98" s="59">
        <v>4.58</v>
      </c>
      <c r="F98" s="59">
        <v>0.25</v>
      </c>
      <c r="G98" s="59">
        <v>62.84</v>
      </c>
      <c r="H98" s="59">
        <v>46.62</v>
      </c>
      <c r="I98" s="59">
        <v>0.67</v>
      </c>
      <c r="J98" s="59">
        <v>0.19</v>
      </c>
      <c r="K98" s="59">
        <v>134.79</v>
      </c>
      <c r="L98" s="59">
        <v>22.19</v>
      </c>
      <c r="M98" s="59">
        <v>43</v>
      </c>
      <c r="N98" s="59">
        <v>24.3</v>
      </c>
      <c r="O98" s="59">
        <v>0</v>
      </c>
      <c r="P98" s="59">
        <v>1.79</v>
      </c>
      <c r="Q98" s="59">
        <v>48.48</v>
      </c>
      <c r="S98" s="197"/>
      <c r="T98" s="197"/>
      <c r="U98" s="197"/>
    </row>
    <row r="99" spans="1:33" s="12" customFormat="1" x14ac:dyDescent="0.25">
      <c r="A99" s="200" t="s">
        <v>2449</v>
      </c>
      <c r="B99" s="59">
        <v>24.11</v>
      </c>
      <c r="C99" s="59">
        <v>100.4</v>
      </c>
      <c r="D99" s="59">
        <v>74.739999999999995</v>
      </c>
      <c r="E99" s="59">
        <v>3.67</v>
      </c>
      <c r="F99" s="59">
        <v>0.3</v>
      </c>
      <c r="G99" s="59">
        <v>44.95</v>
      </c>
      <c r="H99" s="59">
        <v>42.18</v>
      </c>
      <c r="I99" s="59">
        <v>0.63</v>
      </c>
      <c r="J99" s="59">
        <v>0.15</v>
      </c>
      <c r="K99" s="59">
        <v>169.35</v>
      </c>
      <c r="L99" s="59">
        <v>21.64</v>
      </c>
      <c r="M99" s="59">
        <v>45</v>
      </c>
      <c r="N99" s="59">
        <v>24.2</v>
      </c>
      <c r="O99" s="59">
        <v>0</v>
      </c>
      <c r="P99" s="59">
        <v>1.7</v>
      </c>
      <c r="Q99" s="59">
        <v>47.93</v>
      </c>
      <c r="S99" s="197"/>
      <c r="T99" s="197"/>
      <c r="U99" s="197"/>
    </row>
    <row r="100" spans="1:33" s="12" customFormat="1" x14ac:dyDescent="0.25">
      <c r="A100" s="200" t="s">
        <v>2450</v>
      </c>
      <c r="B100" s="59">
        <v>20.2</v>
      </c>
      <c r="C100" s="59">
        <v>95.04</v>
      </c>
      <c r="D100" s="59">
        <v>68.64</v>
      </c>
      <c r="E100" s="59">
        <v>4.26</v>
      </c>
      <c r="F100" s="59">
        <v>1.39</v>
      </c>
      <c r="G100" s="59">
        <v>44.95</v>
      </c>
      <c r="H100" s="59">
        <v>42.18</v>
      </c>
      <c r="I100" s="59">
        <v>0.59</v>
      </c>
      <c r="J100" s="59">
        <v>0.23</v>
      </c>
      <c r="K100" s="59">
        <v>178.78</v>
      </c>
      <c r="L100" s="59">
        <v>21.47</v>
      </c>
      <c r="M100" s="59">
        <v>46</v>
      </c>
      <c r="N100" s="59">
        <v>23.8</v>
      </c>
      <c r="O100" s="59">
        <v>0</v>
      </c>
      <c r="P100" s="59">
        <v>1.63</v>
      </c>
      <c r="Q100" s="59">
        <v>46.36</v>
      </c>
      <c r="S100" s="197"/>
      <c r="T100" s="197"/>
      <c r="U100" s="197"/>
      <c r="AB100" s="109"/>
      <c r="AG100" s="108"/>
    </row>
    <row r="101" spans="1:33" s="12" customFormat="1" x14ac:dyDescent="0.25">
      <c r="A101" s="200" t="s">
        <v>2451</v>
      </c>
      <c r="B101" s="59">
        <v>19.309999999999999</v>
      </c>
      <c r="C101" s="59">
        <v>93.82</v>
      </c>
      <c r="D101" s="59">
        <v>67.260000000000005</v>
      </c>
      <c r="E101" s="59">
        <v>3.51</v>
      </c>
      <c r="F101" s="59">
        <v>0.76</v>
      </c>
      <c r="G101" s="59">
        <v>44.95</v>
      </c>
      <c r="H101" s="59">
        <v>42.18</v>
      </c>
      <c r="I101" s="59">
        <v>0.55000000000000004</v>
      </c>
      <c r="J101" s="59">
        <v>0.51</v>
      </c>
      <c r="K101" s="59">
        <v>200.31</v>
      </c>
      <c r="L101" s="59">
        <v>21.42</v>
      </c>
      <c r="M101" s="59">
        <v>46</v>
      </c>
      <c r="N101" s="59">
        <v>23.5</v>
      </c>
      <c r="O101" s="59">
        <v>0</v>
      </c>
      <c r="P101" s="59">
        <v>1.58</v>
      </c>
      <c r="Q101" s="59">
        <v>44.77</v>
      </c>
      <c r="S101" s="197"/>
      <c r="T101" s="197"/>
      <c r="U101" s="197"/>
    </row>
    <row r="102" spans="1:33" s="12" customFormat="1" x14ac:dyDescent="0.25">
      <c r="A102" s="200" t="s">
        <v>2452</v>
      </c>
      <c r="B102" s="59">
        <v>17.95</v>
      </c>
      <c r="C102" s="59">
        <v>91.9</v>
      </c>
      <c r="D102" s="59">
        <v>65.11</v>
      </c>
      <c r="E102" s="59">
        <v>3.75</v>
      </c>
      <c r="F102" s="59">
        <v>0.47</v>
      </c>
      <c r="G102" s="59">
        <v>35.86</v>
      </c>
      <c r="H102" s="59">
        <v>38.4</v>
      </c>
      <c r="I102" s="59">
        <v>0.53</v>
      </c>
      <c r="J102" s="59">
        <v>0.44</v>
      </c>
      <c r="K102" s="59">
        <v>190.66</v>
      </c>
      <c r="L102" s="59">
        <v>21.12</v>
      </c>
      <c r="M102" s="59">
        <v>47</v>
      </c>
      <c r="N102" s="59">
        <v>24</v>
      </c>
      <c r="O102" s="59">
        <v>0</v>
      </c>
      <c r="P102" s="59">
        <v>1.53</v>
      </c>
      <c r="Q102" s="59">
        <v>43.9</v>
      </c>
      <c r="S102" s="197"/>
      <c r="T102" s="197"/>
      <c r="U102" s="197"/>
    </row>
    <row r="103" spans="1:33" s="12" customFormat="1" x14ac:dyDescent="0.25">
      <c r="A103" s="200" t="s">
        <v>2453</v>
      </c>
      <c r="B103" s="59">
        <v>16.25</v>
      </c>
      <c r="C103" s="59">
        <v>88.53</v>
      </c>
      <c r="D103" s="59">
        <v>61.89</v>
      </c>
      <c r="E103" s="59">
        <v>3.65</v>
      </c>
      <c r="F103" s="59">
        <v>0.67</v>
      </c>
      <c r="G103" s="59">
        <v>29.15</v>
      </c>
      <c r="H103" s="59">
        <v>33.44</v>
      </c>
      <c r="I103" s="59">
        <v>0.52</v>
      </c>
      <c r="J103" s="59">
        <v>0.31</v>
      </c>
      <c r="K103" s="59">
        <v>187.74</v>
      </c>
      <c r="L103" s="59">
        <v>20.74</v>
      </c>
      <c r="M103" s="59">
        <v>49</v>
      </c>
      <c r="N103" s="59">
        <v>24.1</v>
      </c>
      <c r="O103" s="59">
        <v>0</v>
      </c>
      <c r="P103" s="59">
        <v>1.48</v>
      </c>
      <c r="Q103" s="59">
        <v>43.74</v>
      </c>
      <c r="S103" s="197"/>
      <c r="T103" s="197"/>
      <c r="U103" s="197"/>
    </row>
    <row r="104" spans="1:33" s="12" customFormat="1" x14ac:dyDescent="0.25">
      <c r="A104" s="200" t="s">
        <v>2454</v>
      </c>
      <c r="B104" s="59">
        <v>14.75</v>
      </c>
      <c r="C104" s="59">
        <v>85.76</v>
      </c>
      <c r="D104" s="59">
        <v>59.16</v>
      </c>
      <c r="E104" s="59">
        <v>1.88</v>
      </c>
      <c r="F104" s="59">
        <v>0.68</v>
      </c>
      <c r="G104" s="59">
        <v>29.15</v>
      </c>
      <c r="H104" s="59">
        <v>33.44</v>
      </c>
      <c r="I104" s="59">
        <v>0.5</v>
      </c>
      <c r="J104" s="59">
        <v>0.18</v>
      </c>
      <c r="K104" s="59">
        <v>198.36</v>
      </c>
      <c r="L104" s="59">
        <v>20.27</v>
      </c>
      <c r="M104" s="59">
        <v>51</v>
      </c>
      <c r="N104" s="59">
        <v>24.3</v>
      </c>
      <c r="O104" s="59">
        <v>0</v>
      </c>
      <c r="P104" s="59">
        <v>1.41</v>
      </c>
      <c r="Q104" s="59">
        <v>43.61</v>
      </c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2.5099999999999998</v>
      </c>
      <c r="C106" s="66">
        <f>MIN(C9:C104)</f>
        <v>65.61</v>
      </c>
      <c r="D106" s="66">
        <f t="shared" ref="D106:Q106" si="0">MIN(D9:D104)</f>
        <v>39.020000000000003</v>
      </c>
      <c r="E106" s="66">
        <f t="shared" si="0"/>
        <v>1.88</v>
      </c>
      <c r="F106" s="66">
        <f t="shared" si="0"/>
        <v>0.01</v>
      </c>
      <c r="G106" s="66">
        <f t="shared" si="0"/>
        <v>29.15</v>
      </c>
      <c r="H106" s="66">
        <f t="shared" si="0"/>
        <v>30.43</v>
      </c>
      <c r="I106" s="66">
        <f t="shared" si="0"/>
        <v>0.26</v>
      </c>
      <c r="J106" s="66">
        <f t="shared" si="0"/>
        <v>0.02</v>
      </c>
      <c r="K106" s="66">
        <f t="shared" si="0"/>
        <v>0.52</v>
      </c>
      <c r="L106" s="66">
        <f t="shared" si="0"/>
        <v>14.49</v>
      </c>
      <c r="M106" s="66">
        <f t="shared" si="0"/>
        <v>21</v>
      </c>
      <c r="N106" s="66">
        <f t="shared" si="0"/>
        <v>23</v>
      </c>
      <c r="O106" s="66">
        <f t="shared" si="0"/>
        <v>0</v>
      </c>
      <c r="P106" s="66">
        <f t="shared" si="0"/>
        <v>1.05</v>
      </c>
      <c r="Q106" s="66">
        <f t="shared" si="0"/>
        <v>39.630000000000003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79.69</v>
      </c>
      <c r="C107" s="65">
        <f t="shared" ref="C107:Q107" si="1">MAX(C9:C104)</f>
        <v>134.44</v>
      </c>
      <c r="D107" s="65">
        <f t="shared" si="1"/>
        <v>118.51</v>
      </c>
      <c r="E107" s="65">
        <f t="shared" si="1"/>
        <v>18.059999999999999</v>
      </c>
      <c r="F107" s="65">
        <f t="shared" si="1"/>
        <v>24.79</v>
      </c>
      <c r="G107" s="65">
        <f t="shared" si="1"/>
        <v>209.98</v>
      </c>
      <c r="H107" s="65">
        <f t="shared" si="1"/>
        <v>90.39</v>
      </c>
      <c r="I107" s="65">
        <f t="shared" si="1"/>
        <v>1.1499999999999999</v>
      </c>
      <c r="J107" s="65">
        <f t="shared" si="1"/>
        <v>1.21</v>
      </c>
      <c r="K107" s="65">
        <f t="shared" si="1"/>
        <v>359.64</v>
      </c>
      <c r="L107" s="65">
        <f t="shared" si="1"/>
        <v>33.93</v>
      </c>
      <c r="M107" s="65">
        <f t="shared" si="1"/>
        <v>77</v>
      </c>
      <c r="N107" s="65">
        <f t="shared" si="1"/>
        <v>384</v>
      </c>
      <c r="O107" s="65">
        <f t="shared" si="1"/>
        <v>0</v>
      </c>
      <c r="P107" s="65">
        <f t="shared" si="1"/>
        <v>2.89</v>
      </c>
      <c r="Q107" s="65">
        <f t="shared" si="1"/>
        <v>50.17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36.692291666666677</v>
      </c>
      <c r="C108" s="66">
        <f t="shared" ref="C108:Q108" si="2">AVERAGE(C9:C104)</f>
        <v>95.529375000000002</v>
      </c>
      <c r="D108" s="66">
        <f t="shared" si="2"/>
        <v>82.144999999999968</v>
      </c>
      <c r="E108" s="66">
        <f t="shared" si="2"/>
        <v>5.835729166666666</v>
      </c>
      <c r="F108" s="66">
        <f t="shared" si="2"/>
        <v>2.8980219780219785</v>
      </c>
      <c r="G108" s="66">
        <f t="shared" si="2"/>
        <v>106.59406250000008</v>
      </c>
      <c r="H108" s="66">
        <f t="shared" si="2"/>
        <v>51.021250000000002</v>
      </c>
      <c r="I108" s="66">
        <f t="shared" si="2"/>
        <v>0.57552083333333348</v>
      </c>
      <c r="J108" s="66">
        <f t="shared" si="2"/>
        <v>0.36822916666666677</v>
      </c>
      <c r="K108" s="66">
        <f t="shared" si="2"/>
        <v>146.24145833333336</v>
      </c>
      <c r="L108" s="66">
        <f t="shared" si="2"/>
        <v>22.590520833333329</v>
      </c>
      <c r="M108" s="66">
        <f t="shared" si="2"/>
        <v>46.78125</v>
      </c>
      <c r="N108" s="66">
        <f t="shared" si="2"/>
        <v>122.06979166666669</v>
      </c>
      <c r="O108" s="66">
        <f t="shared" si="2"/>
        <v>0</v>
      </c>
      <c r="P108" s="66">
        <f t="shared" si="2"/>
        <v>1.847291666666667</v>
      </c>
      <c r="Q108" s="66">
        <f t="shared" si="2"/>
        <v>43.354375000000012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25.268739309113343</v>
      </c>
      <c r="C109" s="66">
        <f t="shared" ref="C109:Q109" si="3">STDEV(C9:C104)</f>
        <v>14.199873224971627</v>
      </c>
      <c r="D109" s="66">
        <f t="shared" si="3"/>
        <v>24.428907897256405</v>
      </c>
      <c r="E109" s="66">
        <f t="shared" si="3"/>
        <v>2.5526138285013182</v>
      </c>
      <c r="F109" s="66">
        <f t="shared" si="3"/>
        <v>5.38746306401986</v>
      </c>
      <c r="G109" s="66">
        <f t="shared" si="3"/>
        <v>46.453877829817557</v>
      </c>
      <c r="H109" s="66">
        <f t="shared" si="3"/>
        <v>14.610270090086035</v>
      </c>
      <c r="I109" s="66">
        <f t="shared" si="3"/>
        <v>0.1891747718334704</v>
      </c>
      <c r="J109" s="66">
        <f t="shared" si="3"/>
        <v>0.30322128376785246</v>
      </c>
      <c r="K109" s="66">
        <f t="shared" si="3"/>
        <v>112.53010277001358</v>
      </c>
      <c r="L109" s="66">
        <f t="shared" si="3"/>
        <v>5.8979601058406388</v>
      </c>
      <c r="M109" s="66">
        <f t="shared" si="3"/>
        <v>17.90454404246087</v>
      </c>
      <c r="N109" s="66">
        <f t="shared" si="3"/>
        <v>140.26309123237451</v>
      </c>
      <c r="O109" s="66">
        <f t="shared" si="3"/>
        <v>0</v>
      </c>
      <c r="P109" s="66">
        <f t="shared" si="3"/>
        <v>0.41529819132678308</v>
      </c>
      <c r="Q109" s="66">
        <f t="shared" si="3"/>
        <v>2.8188205120133794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>COUNT(F9:F104)+5</f>
        <v>96</v>
      </c>
      <c r="G110" s="65">
        <f t="shared" si="4"/>
        <v>96</v>
      </c>
      <c r="H110" s="65">
        <f>COUNT(H9:H104)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11" sqref="F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24-12-2022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2455</v>
      </c>
      <c r="B9" s="59">
        <v>13.61</v>
      </c>
      <c r="C9" s="59">
        <v>82.96</v>
      </c>
      <c r="D9" s="59">
        <v>56.69</v>
      </c>
      <c r="E9" s="59">
        <v>3.82</v>
      </c>
      <c r="F9" s="59">
        <v>0.41</v>
      </c>
      <c r="G9" s="210" t="s">
        <v>43</v>
      </c>
      <c r="H9" s="59">
        <v>33.44</v>
      </c>
      <c r="I9" s="59">
        <v>0.49</v>
      </c>
      <c r="J9" s="59">
        <v>0.33</v>
      </c>
      <c r="K9" s="59">
        <v>183.4</v>
      </c>
      <c r="L9" s="59">
        <v>20.02</v>
      </c>
      <c r="M9" s="59">
        <v>52</v>
      </c>
      <c r="N9" s="59">
        <v>23.7</v>
      </c>
      <c r="O9" s="59">
        <v>0</v>
      </c>
      <c r="P9" s="59">
        <v>1.36</v>
      </c>
      <c r="Q9" s="59">
        <v>43.46</v>
      </c>
      <c r="R9" s="197"/>
      <c r="S9" s="197"/>
      <c r="T9" s="197"/>
      <c r="U9" s="197"/>
    </row>
    <row r="10" spans="1:21" s="12" customFormat="1" x14ac:dyDescent="0.25">
      <c r="A10" s="200" t="s">
        <v>2456</v>
      </c>
      <c r="B10" s="59">
        <v>12.6</v>
      </c>
      <c r="C10" s="59">
        <v>81.459999999999994</v>
      </c>
      <c r="D10" s="59">
        <v>55.06</v>
      </c>
      <c r="E10" s="59">
        <v>3.84</v>
      </c>
      <c r="F10" s="59">
        <v>0.46</v>
      </c>
      <c r="G10" s="210" t="s">
        <v>43</v>
      </c>
      <c r="H10" s="59">
        <v>30</v>
      </c>
      <c r="I10" s="59">
        <v>0.47</v>
      </c>
      <c r="J10" s="59">
        <v>0.35</v>
      </c>
      <c r="K10" s="59">
        <v>204.19</v>
      </c>
      <c r="L10" s="59">
        <v>19.97</v>
      </c>
      <c r="M10" s="59">
        <v>52</v>
      </c>
      <c r="N10" s="59">
        <v>23.8</v>
      </c>
      <c r="O10" s="59">
        <v>0</v>
      </c>
      <c r="P10" s="59">
        <v>1.32</v>
      </c>
      <c r="Q10" s="59">
        <v>43.04</v>
      </c>
      <c r="R10" s="197"/>
      <c r="S10" s="197"/>
      <c r="T10" s="197"/>
      <c r="U10" s="197"/>
    </row>
    <row r="11" spans="1:21" s="12" customFormat="1" x14ac:dyDescent="0.25">
      <c r="A11" s="200" t="s">
        <v>2457</v>
      </c>
      <c r="B11" s="59">
        <v>11.59</v>
      </c>
      <c r="C11" s="59">
        <v>80.06</v>
      </c>
      <c r="D11" s="59">
        <v>53.47</v>
      </c>
      <c r="E11" s="59">
        <v>3.89</v>
      </c>
      <c r="F11" s="59">
        <v>0.5</v>
      </c>
      <c r="G11" s="210" t="s">
        <v>43</v>
      </c>
      <c r="H11" s="59">
        <v>25.29</v>
      </c>
      <c r="I11" s="59">
        <v>0.46</v>
      </c>
      <c r="J11" s="59">
        <v>7.0000000000000007E-2</v>
      </c>
      <c r="K11" s="59">
        <v>256.06</v>
      </c>
      <c r="L11" s="59">
        <v>19.46</v>
      </c>
      <c r="M11" s="59">
        <v>54</v>
      </c>
      <c r="N11" s="59">
        <v>24.4</v>
      </c>
      <c r="O11" s="59">
        <v>0</v>
      </c>
      <c r="P11" s="59">
        <v>1.27</v>
      </c>
      <c r="Q11" s="59">
        <v>43.33</v>
      </c>
      <c r="R11" s="197"/>
      <c r="S11" s="197"/>
      <c r="T11" s="197"/>
      <c r="U11" s="197"/>
    </row>
    <row r="12" spans="1:21" s="12" customFormat="1" x14ac:dyDescent="0.25">
      <c r="A12" s="200" t="s">
        <v>2458</v>
      </c>
      <c r="B12" s="59">
        <v>10.43</v>
      </c>
      <c r="C12" s="59">
        <v>78.81</v>
      </c>
      <c r="D12" s="59">
        <v>51.86</v>
      </c>
      <c r="E12" s="59">
        <v>4.09</v>
      </c>
      <c r="F12" s="59">
        <v>0.33</v>
      </c>
      <c r="G12" s="210" t="s">
        <v>43</v>
      </c>
      <c r="H12" s="59">
        <v>25.29</v>
      </c>
      <c r="I12" s="59">
        <v>0.45</v>
      </c>
      <c r="J12" s="59">
        <v>0.21</v>
      </c>
      <c r="K12" s="59">
        <v>235.26</v>
      </c>
      <c r="L12" s="59">
        <v>19.37</v>
      </c>
      <c r="M12" s="59">
        <v>55</v>
      </c>
      <c r="N12" s="59">
        <v>23.8</v>
      </c>
      <c r="O12" s="59">
        <v>0</v>
      </c>
      <c r="P12" s="59">
        <v>1.2</v>
      </c>
      <c r="Q12" s="59">
        <v>44.65</v>
      </c>
      <c r="R12" s="197"/>
      <c r="S12" s="197"/>
      <c r="T12" s="197"/>
      <c r="U12" s="197"/>
    </row>
    <row r="13" spans="1:21" s="12" customFormat="1" x14ac:dyDescent="0.25">
      <c r="A13" s="200" t="s">
        <v>2459</v>
      </c>
      <c r="B13" s="59">
        <v>9.25</v>
      </c>
      <c r="C13" s="59">
        <v>77.67</v>
      </c>
      <c r="D13" s="59">
        <v>50.28</v>
      </c>
      <c r="E13" s="59">
        <v>4.03</v>
      </c>
      <c r="F13" s="59">
        <v>0.42</v>
      </c>
      <c r="G13" s="210" t="s">
        <v>43</v>
      </c>
      <c r="H13" s="59">
        <v>25.29</v>
      </c>
      <c r="I13" s="59">
        <v>0.44</v>
      </c>
      <c r="J13" s="59">
        <v>0.14000000000000001</v>
      </c>
      <c r="K13" s="59">
        <v>264.51</v>
      </c>
      <c r="L13" s="59">
        <v>18.64</v>
      </c>
      <c r="M13" s="59">
        <v>59</v>
      </c>
      <c r="N13" s="59">
        <v>24.6</v>
      </c>
      <c r="O13" s="59">
        <v>0</v>
      </c>
      <c r="P13" s="59">
        <v>1.05</v>
      </c>
      <c r="Q13" s="59">
        <v>44.82</v>
      </c>
      <c r="R13" s="197"/>
      <c r="S13" s="197"/>
      <c r="T13" s="197"/>
      <c r="U13" s="197"/>
    </row>
    <row r="14" spans="1:21" s="12" customFormat="1" x14ac:dyDescent="0.25">
      <c r="A14" s="200" t="s">
        <v>2460</v>
      </c>
      <c r="B14" s="59">
        <v>8.5</v>
      </c>
      <c r="C14" s="59">
        <v>77.150000000000006</v>
      </c>
      <c r="D14" s="59">
        <v>49.39</v>
      </c>
      <c r="E14" s="59">
        <v>3.65</v>
      </c>
      <c r="F14" s="59">
        <v>0.18</v>
      </c>
      <c r="G14" s="210" t="s">
        <v>43</v>
      </c>
      <c r="H14" s="59">
        <v>23.09</v>
      </c>
      <c r="I14" s="59">
        <v>0.43</v>
      </c>
      <c r="J14" s="59">
        <v>0.14000000000000001</v>
      </c>
      <c r="K14" s="59">
        <v>287.58999999999997</v>
      </c>
      <c r="L14" s="59">
        <v>17.989999999999998</v>
      </c>
      <c r="M14" s="59">
        <v>62</v>
      </c>
      <c r="N14" s="59">
        <v>24.5</v>
      </c>
      <c r="O14" s="59">
        <v>0</v>
      </c>
      <c r="P14" s="59">
        <v>1.05</v>
      </c>
      <c r="Q14" s="59">
        <v>44.42</v>
      </c>
      <c r="R14" s="197"/>
      <c r="S14" s="197"/>
      <c r="T14" s="197"/>
      <c r="U14" s="197"/>
    </row>
    <row r="15" spans="1:21" s="12" customFormat="1" x14ac:dyDescent="0.25">
      <c r="A15" s="200" t="s">
        <v>2461</v>
      </c>
      <c r="B15" s="59">
        <v>8.35</v>
      </c>
      <c r="C15" s="59">
        <v>77.069999999999993</v>
      </c>
      <c r="D15" s="59">
        <v>49.23</v>
      </c>
      <c r="E15" s="59">
        <v>3.36</v>
      </c>
      <c r="F15" s="59">
        <v>0.14000000000000001</v>
      </c>
      <c r="G15" s="59">
        <v>50.57</v>
      </c>
      <c r="H15" s="59">
        <v>20.07</v>
      </c>
      <c r="I15" s="59">
        <v>0.41</v>
      </c>
      <c r="J15" s="59">
        <v>0.17</v>
      </c>
      <c r="K15" s="59">
        <v>272.55</v>
      </c>
      <c r="L15" s="59">
        <v>17.39</v>
      </c>
      <c r="M15" s="59">
        <v>64</v>
      </c>
      <c r="N15" s="59">
        <v>24.3</v>
      </c>
      <c r="O15" s="59">
        <v>0</v>
      </c>
      <c r="P15" s="59">
        <v>1.01</v>
      </c>
      <c r="Q15" s="59">
        <v>44</v>
      </c>
      <c r="R15" s="197"/>
      <c r="S15" s="197"/>
      <c r="T15" s="197"/>
      <c r="U15" s="197"/>
    </row>
    <row r="16" spans="1:21" s="12" customFormat="1" x14ac:dyDescent="0.25">
      <c r="A16" s="200" t="s">
        <v>2462</v>
      </c>
      <c r="B16" s="59">
        <v>8.17</v>
      </c>
      <c r="C16" s="59">
        <v>76.510000000000005</v>
      </c>
      <c r="D16" s="59">
        <v>48.77</v>
      </c>
      <c r="E16" s="59">
        <v>3.37</v>
      </c>
      <c r="F16" s="59">
        <v>0.06</v>
      </c>
      <c r="G16" s="59">
        <v>50.57</v>
      </c>
      <c r="H16" s="59">
        <v>20.07</v>
      </c>
      <c r="I16" s="59">
        <v>0.38</v>
      </c>
      <c r="J16" s="59">
        <v>0.14000000000000001</v>
      </c>
      <c r="K16" s="59">
        <v>340.27</v>
      </c>
      <c r="L16" s="59">
        <v>16.72</v>
      </c>
      <c r="M16" s="59">
        <v>68</v>
      </c>
      <c r="N16" s="59">
        <v>24.6</v>
      </c>
      <c r="O16" s="59">
        <v>0</v>
      </c>
      <c r="P16" s="59">
        <v>0.98</v>
      </c>
      <c r="Q16" s="59">
        <v>43.55</v>
      </c>
      <c r="R16" s="197"/>
      <c r="S16" s="197"/>
      <c r="T16" s="197"/>
      <c r="U16" s="197"/>
    </row>
    <row r="17" spans="1:21" s="12" customFormat="1" x14ac:dyDescent="0.25">
      <c r="A17" s="200" t="s">
        <v>2463</v>
      </c>
      <c r="B17" s="59">
        <v>8.07</v>
      </c>
      <c r="C17" s="59">
        <v>76.099999999999994</v>
      </c>
      <c r="D17" s="59">
        <v>48.47</v>
      </c>
      <c r="E17" s="59">
        <v>3.49</v>
      </c>
      <c r="F17" s="59">
        <v>7.0000000000000007E-2</v>
      </c>
      <c r="G17" s="59">
        <v>50.57</v>
      </c>
      <c r="H17" s="59">
        <v>20.07</v>
      </c>
      <c r="I17" s="59">
        <v>0.37</v>
      </c>
      <c r="J17" s="59">
        <v>0.16</v>
      </c>
      <c r="K17" s="59">
        <v>1.28</v>
      </c>
      <c r="L17" s="59">
        <v>16.16</v>
      </c>
      <c r="M17" s="59">
        <v>71</v>
      </c>
      <c r="N17" s="59">
        <v>24.4</v>
      </c>
      <c r="O17" s="59">
        <v>0</v>
      </c>
      <c r="P17" s="59">
        <v>0.94</v>
      </c>
      <c r="Q17" s="59">
        <v>43.13</v>
      </c>
      <c r="R17" s="197"/>
      <c r="S17" s="197"/>
      <c r="T17" s="197"/>
      <c r="U17" s="197"/>
    </row>
    <row r="18" spans="1:21" s="12" customFormat="1" x14ac:dyDescent="0.25">
      <c r="A18" s="200" t="s">
        <v>2464</v>
      </c>
      <c r="B18" s="59">
        <v>8.4700000000000006</v>
      </c>
      <c r="C18" s="59">
        <v>75.819999999999993</v>
      </c>
      <c r="D18" s="59">
        <v>48.64</v>
      </c>
      <c r="E18" s="59">
        <v>3.01</v>
      </c>
      <c r="F18" s="59">
        <v>0.61</v>
      </c>
      <c r="G18" s="59">
        <v>48.77</v>
      </c>
      <c r="H18" s="59">
        <v>21.12</v>
      </c>
      <c r="I18" s="59">
        <v>0.35</v>
      </c>
      <c r="J18" s="59">
        <v>0.03</v>
      </c>
      <c r="K18" s="59">
        <v>254.01</v>
      </c>
      <c r="L18" s="59">
        <v>16.329999999999998</v>
      </c>
      <c r="M18" s="59">
        <v>68</v>
      </c>
      <c r="N18" s="59">
        <v>24</v>
      </c>
      <c r="O18" s="59">
        <v>0</v>
      </c>
      <c r="P18" s="59">
        <v>0.91</v>
      </c>
      <c r="Q18" s="59">
        <v>42.06</v>
      </c>
      <c r="R18" s="197"/>
      <c r="S18" s="197"/>
      <c r="T18" s="197"/>
      <c r="U18" s="197"/>
    </row>
    <row r="19" spans="1:21" s="12" customFormat="1" x14ac:dyDescent="0.25">
      <c r="A19" s="200" t="s">
        <v>2465</v>
      </c>
      <c r="B19" s="59">
        <v>8.75</v>
      </c>
      <c r="C19" s="59">
        <v>74.8</v>
      </c>
      <c r="D19" s="59">
        <v>48.29</v>
      </c>
      <c r="E19" s="59">
        <v>3.08</v>
      </c>
      <c r="F19" s="59">
        <v>0.28000000000000003</v>
      </c>
      <c r="G19" s="59">
        <v>47.44</v>
      </c>
      <c r="H19" s="59">
        <v>22.55</v>
      </c>
      <c r="I19" s="59">
        <v>0.34</v>
      </c>
      <c r="J19" s="59">
        <v>0.12</v>
      </c>
      <c r="K19" s="59">
        <v>293.27</v>
      </c>
      <c r="L19" s="59">
        <v>16.21</v>
      </c>
      <c r="M19" s="59">
        <v>70</v>
      </c>
      <c r="N19" s="59">
        <v>24</v>
      </c>
      <c r="O19" s="59">
        <v>0</v>
      </c>
      <c r="P19" s="59">
        <v>0.89</v>
      </c>
      <c r="Q19" s="59">
        <v>40.81</v>
      </c>
      <c r="R19" s="197"/>
      <c r="S19" s="197"/>
      <c r="T19" s="197"/>
      <c r="U19" s="197"/>
    </row>
    <row r="20" spans="1:21" s="12" customFormat="1" x14ac:dyDescent="0.25">
      <c r="A20" s="200" t="s">
        <v>2466</v>
      </c>
      <c r="B20" s="59">
        <v>8.8000000000000007</v>
      </c>
      <c r="C20" s="59">
        <v>73.8</v>
      </c>
      <c r="D20" s="59">
        <v>47.78</v>
      </c>
      <c r="E20" s="59">
        <v>3.11</v>
      </c>
      <c r="F20" s="209" t="s">
        <v>36</v>
      </c>
      <c r="G20" s="59">
        <v>47.44</v>
      </c>
      <c r="H20" s="59">
        <v>22.55</v>
      </c>
      <c r="I20" s="59">
        <v>0.33</v>
      </c>
      <c r="J20" s="59">
        <v>0.2</v>
      </c>
      <c r="K20" s="59">
        <v>244.03</v>
      </c>
      <c r="L20" s="59">
        <v>16.53</v>
      </c>
      <c r="M20" s="59">
        <v>69</v>
      </c>
      <c r="N20" s="59">
        <v>23.5</v>
      </c>
      <c r="O20" s="59">
        <v>0</v>
      </c>
      <c r="P20" s="59">
        <v>0.87</v>
      </c>
      <c r="Q20" s="59">
        <v>39.700000000000003</v>
      </c>
      <c r="R20" s="197"/>
      <c r="S20" s="197"/>
      <c r="T20" s="197"/>
      <c r="U20" s="197"/>
    </row>
    <row r="21" spans="1:21" s="12" customFormat="1" x14ac:dyDescent="0.25">
      <c r="A21" s="200" t="s">
        <v>2467</v>
      </c>
      <c r="B21" s="59">
        <v>8.77</v>
      </c>
      <c r="C21" s="59">
        <v>72.48</v>
      </c>
      <c r="D21" s="59">
        <v>47.03</v>
      </c>
      <c r="E21" s="59">
        <v>3.5</v>
      </c>
      <c r="F21" s="59">
        <v>0.16</v>
      </c>
      <c r="G21" s="59">
        <v>47.44</v>
      </c>
      <c r="H21" s="59">
        <v>22.55</v>
      </c>
      <c r="I21" s="59">
        <v>0.33</v>
      </c>
      <c r="J21" s="59">
        <v>0.2</v>
      </c>
      <c r="K21" s="59">
        <v>354.01</v>
      </c>
      <c r="L21" s="59">
        <v>16.16</v>
      </c>
      <c r="M21" s="59">
        <v>72</v>
      </c>
      <c r="N21" s="59">
        <v>24.3</v>
      </c>
      <c r="O21" s="59">
        <v>0</v>
      </c>
      <c r="P21" s="59">
        <v>0.85</v>
      </c>
      <c r="Q21" s="59">
        <v>39.270000000000003</v>
      </c>
      <c r="R21" s="197"/>
      <c r="S21" s="197"/>
      <c r="T21" s="197"/>
      <c r="U21" s="197"/>
    </row>
    <row r="22" spans="1:21" s="12" customFormat="1" x14ac:dyDescent="0.25">
      <c r="A22" s="200" t="s">
        <v>2468</v>
      </c>
      <c r="B22" s="59">
        <v>8.85</v>
      </c>
      <c r="C22" s="59">
        <v>71.45</v>
      </c>
      <c r="D22" s="59">
        <v>46.53</v>
      </c>
      <c r="E22" s="59">
        <v>3.32</v>
      </c>
      <c r="F22" s="209" t="s">
        <v>36</v>
      </c>
      <c r="G22" s="59">
        <v>47.75</v>
      </c>
      <c r="H22" s="59">
        <v>23.38</v>
      </c>
      <c r="I22" s="59">
        <v>0.33</v>
      </c>
      <c r="J22" s="59">
        <v>0.11</v>
      </c>
      <c r="K22" s="59">
        <v>312.06</v>
      </c>
      <c r="L22" s="59">
        <v>15.75</v>
      </c>
      <c r="M22" s="59">
        <v>75</v>
      </c>
      <c r="N22" s="59">
        <v>24.2</v>
      </c>
      <c r="O22" s="59">
        <v>0</v>
      </c>
      <c r="P22" s="59">
        <v>0.84</v>
      </c>
      <c r="Q22" s="59">
        <v>38.89</v>
      </c>
      <c r="R22" s="197"/>
      <c r="S22" s="197"/>
      <c r="T22" s="197"/>
      <c r="U22" s="197"/>
    </row>
    <row r="23" spans="1:21" s="12" customFormat="1" x14ac:dyDescent="0.25">
      <c r="A23" s="200" t="s">
        <v>2469</v>
      </c>
      <c r="B23" s="59">
        <v>8.94</v>
      </c>
      <c r="C23" s="59">
        <v>70.349999999999994</v>
      </c>
      <c r="D23" s="59">
        <v>45.99</v>
      </c>
      <c r="E23" s="59">
        <v>3.34</v>
      </c>
      <c r="F23" s="59">
        <v>0.02</v>
      </c>
      <c r="G23" s="59">
        <v>47.98</v>
      </c>
      <c r="H23" s="59">
        <v>24.48</v>
      </c>
      <c r="I23" s="59">
        <v>0.33</v>
      </c>
      <c r="J23" s="59">
        <v>0.11</v>
      </c>
      <c r="K23" s="59">
        <v>315.55</v>
      </c>
      <c r="L23" s="59">
        <v>15.6</v>
      </c>
      <c r="M23" s="59">
        <v>75</v>
      </c>
      <c r="N23" s="59">
        <v>24.2</v>
      </c>
      <c r="O23" s="59">
        <v>0</v>
      </c>
      <c r="P23" s="59">
        <v>0.83</v>
      </c>
      <c r="Q23" s="59">
        <v>38.83</v>
      </c>
      <c r="R23" s="197"/>
      <c r="S23" s="197"/>
      <c r="T23" s="197"/>
      <c r="U23" s="197"/>
    </row>
    <row r="24" spans="1:21" s="12" customFormat="1" x14ac:dyDescent="0.25">
      <c r="A24" s="200" t="s">
        <v>2470</v>
      </c>
      <c r="B24" s="59">
        <v>9.17</v>
      </c>
      <c r="C24" s="59">
        <v>69.64</v>
      </c>
      <c r="D24" s="59">
        <v>45.79</v>
      </c>
      <c r="E24" s="59">
        <v>2.19</v>
      </c>
      <c r="F24" s="59">
        <v>0.26</v>
      </c>
      <c r="G24" s="59">
        <v>47.98</v>
      </c>
      <c r="H24" s="59">
        <v>24.48</v>
      </c>
      <c r="I24" s="59">
        <v>0.32</v>
      </c>
      <c r="J24" s="59">
        <v>0.06</v>
      </c>
      <c r="K24" s="59">
        <v>289.02999999999997</v>
      </c>
      <c r="L24" s="59">
        <v>15.72</v>
      </c>
      <c r="M24" s="59">
        <v>75</v>
      </c>
      <c r="N24" s="59">
        <v>24</v>
      </c>
      <c r="O24" s="59">
        <v>0</v>
      </c>
      <c r="P24" s="59">
        <v>0.84</v>
      </c>
      <c r="Q24" s="59">
        <v>38.79</v>
      </c>
      <c r="R24" s="197"/>
      <c r="S24" s="197"/>
      <c r="T24" s="197"/>
      <c r="U24" s="197"/>
    </row>
    <row r="25" spans="1:21" s="12" customFormat="1" x14ac:dyDescent="0.25">
      <c r="A25" s="200" t="s">
        <v>2471</v>
      </c>
      <c r="B25" s="59">
        <v>9.7100000000000009</v>
      </c>
      <c r="C25" s="59">
        <v>69.77</v>
      </c>
      <c r="D25" s="59">
        <v>46.3</v>
      </c>
      <c r="E25" s="59">
        <v>4.41</v>
      </c>
      <c r="F25" s="59">
        <v>0.08</v>
      </c>
      <c r="G25" s="59">
        <v>47.98</v>
      </c>
      <c r="H25" s="59">
        <v>24.48</v>
      </c>
      <c r="I25" s="59">
        <v>0.33</v>
      </c>
      <c r="J25" s="59">
        <v>7.0000000000000007E-2</v>
      </c>
      <c r="K25" s="59">
        <v>277.99</v>
      </c>
      <c r="L25" s="59">
        <v>15.93</v>
      </c>
      <c r="M25" s="59">
        <v>73</v>
      </c>
      <c r="N25" s="59">
        <v>24</v>
      </c>
      <c r="O25" s="59">
        <v>0</v>
      </c>
      <c r="P25" s="59">
        <v>0.85</v>
      </c>
      <c r="Q25" s="59">
        <v>38.86</v>
      </c>
      <c r="R25" s="197"/>
      <c r="S25" s="197"/>
      <c r="T25" s="197"/>
      <c r="U25" s="197"/>
    </row>
    <row r="26" spans="1:21" s="12" customFormat="1" x14ac:dyDescent="0.25">
      <c r="A26" s="200" t="s">
        <v>2472</v>
      </c>
      <c r="B26" s="59">
        <v>10.25</v>
      </c>
      <c r="C26" s="59">
        <v>70.75</v>
      </c>
      <c r="D26" s="59">
        <v>47.26</v>
      </c>
      <c r="E26" s="59">
        <v>4.5</v>
      </c>
      <c r="F26" s="59">
        <v>0.05</v>
      </c>
      <c r="G26" s="59">
        <v>58.92</v>
      </c>
      <c r="H26" s="59">
        <v>27.9</v>
      </c>
      <c r="I26" s="59">
        <v>0.33</v>
      </c>
      <c r="J26" s="59">
        <v>0.1</v>
      </c>
      <c r="K26" s="59">
        <v>304.16000000000003</v>
      </c>
      <c r="L26" s="59">
        <v>15.84</v>
      </c>
      <c r="M26" s="59">
        <v>73</v>
      </c>
      <c r="N26" s="59">
        <v>24.1</v>
      </c>
      <c r="O26" s="59">
        <v>0</v>
      </c>
      <c r="P26" s="59">
        <v>0.88</v>
      </c>
      <c r="Q26" s="59">
        <v>40.340000000000003</v>
      </c>
      <c r="R26" s="197"/>
      <c r="S26" s="197"/>
      <c r="T26" s="197"/>
      <c r="U26" s="197"/>
    </row>
    <row r="27" spans="1:21" s="12" customFormat="1" x14ac:dyDescent="0.25">
      <c r="A27" s="200" t="s">
        <v>2473</v>
      </c>
      <c r="B27" s="59">
        <v>11.88</v>
      </c>
      <c r="C27" s="59">
        <v>72.17</v>
      </c>
      <c r="D27" s="59">
        <v>49.35</v>
      </c>
      <c r="E27" s="59">
        <v>4.58</v>
      </c>
      <c r="F27" s="59">
        <v>0.03</v>
      </c>
      <c r="G27" s="59">
        <v>83.33</v>
      </c>
      <c r="H27" s="59">
        <v>32.380000000000003</v>
      </c>
      <c r="I27" s="59">
        <v>0.33</v>
      </c>
      <c r="J27" s="59">
        <v>0.05</v>
      </c>
      <c r="K27" s="59">
        <v>167.74</v>
      </c>
      <c r="L27" s="59">
        <v>15.7</v>
      </c>
      <c r="M27" s="59">
        <v>75</v>
      </c>
      <c r="N27" s="59">
        <v>24.1</v>
      </c>
      <c r="O27" s="59">
        <v>0</v>
      </c>
      <c r="P27" s="59">
        <v>0.91</v>
      </c>
      <c r="Q27" s="59">
        <v>41.14</v>
      </c>
      <c r="R27" s="197"/>
      <c r="S27" s="197"/>
      <c r="T27" s="197"/>
      <c r="U27" s="197"/>
    </row>
    <row r="28" spans="1:21" s="12" customFormat="1" x14ac:dyDescent="0.25">
      <c r="A28" s="200" t="s">
        <v>2474</v>
      </c>
      <c r="B28" s="59">
        <v>15.59</v>
      </c>
      <c r="C28" s="59">
        <v>74.36</v>
      </c>
      <c r="D28" s="59">
        <v>53.54</v>
      </c>
      <c r="E28" s="59">
        <v>4.3600000000000003</v>
      </c>
      <c r="F28" s="59">
        <v>0.12</v>
      </c>
      <c r="G28" s="59">
        <v>83.33</v>
      </c>
      <c r="H28" s="59">
        <v>32.380000000000003</v>
      </c>
      <c r="I28" s="59">
        <v>0.33</v>
      </c>
      <c r="J28" s="59">
        <v>0.18</v>
      </c>
      <c r="K28" s="59">
        <v>353.02</v>
      </c>
      <c r="L28" s="59">
        <v>15.41</v>
      </c>
      <c r="M28" s="59">
        <v>78</v>
      </c>
      <c r="N28" s="59">
        <v>24</v>
      </c>
      <c r="O28" s="59">
        <v>0</v>
      </c>
      <c r="P28" s="59">
        <v>0.97</v>
      </c>
      <c r="Q28" s="59">
        <v>41.82</v>
      </c>
      <c r="R28" s="197"/>
      <c r="S28" s="197"/>
      <c r="T28" s="197"/>
      <c r="U28" s="197"/>
    </row>
    <row r="29" spans="1:21" s="12" customFormat="1" x14ac:dyDescent="0.25">
      <c r="A29" s="200" t="s">
        <v>2475</v>
      </c>
      <c r="B29" s="59">
        <v>20.71</v>
      </c>
      <c r="C29" s="59">
        <v>77.099999999999994</v>
      </c>
      <c r="D29" s="59">
        <v>59.16</v>
      </c>
      <c r="E29" s="59">
        <v>4.3099999999999996</v>
      </c>
      <c r="F29" s="209" t="s">
        <v>36</v>
      </c>
      <c r="G29" s="59">
        <v>83.33</v>
      </c>
      <c r="H29" s="59">
        <v>32.380000000000003</v>
      </c>
      <c r="I29" s="59">
        <v>0.34</v>
      </c>
      <c r="J29" s="59">
        <v>0.08</v>
      </c>
      <c r="K29" s="59">
        <v>82.03</v>
      </c>
      <c r="L29" s="59">
        <v>15.39</v>
      </c>
      <c r="M29" s="59">
        <v>80</v>
      </c>
      <c r="N29" s="59">
        <v>24.1</v>
      </c>
      <c r="O29" s="59">
        <v>0</v>
      </c>
      <c r="P29" s="59">
        <v>1.05</v>
      </c>
      <c r="Q29" s="59">
        <v>42.04</v>
      </c>
      <c r="R29" s="197"/>
      <c r="S29" s="197"/>
      <c r="T29" s="197"/>
      <c r="U29" s="197"/>
    </row>
    <row r="30" spans="1:21" s="12" customFormat="1" x14ac:dyDescent="0.25">
      <c r="A30" s="200" t="s">
        <v>2476</v>
      </c>
      <c r="B30" s="59">
        <v>24.41</v>
      </c>
      <c r="C30" s="59">
        <v>79.010000000000005</v>
      </c>
      <c r="D30" s="59">
        <v>63.18</v>
      </c>
      <c r="E30" s="59">
        <v>4.3600000000000003</v>
      </c>
      <c r="F30" s="209" t="s">
        <v>36</v>
      </c>
      <c r="G30" s="59">
        <v>141.9</v>
      </c>
      <c r="H30" s="59">
        <v>60</v>
      </c>
      <c r="I30" s="59">
        <v>0.34</v>
      </c>
      <c r="J30" s="59">
        <v>0.2</v>
      </c>
      <c r="K30" s="59">
        <v>87.19</v>
      </c>
      <c r="L30" s="59">
        <v>16.12</v>
      </c>
      <c r="M30" s="59">
        <v>75</v>
      </c>
      <c r="N30" s="59">
        <v>23.5</v>
      </c>
      <c r="O30" s="59">
        <v>0</v>
      </c>
      <c r="P30" s="59">
        <v>1.1299999999999999</v>
      </c>
      <c r="Q30" s="59">
        <v>42.06</v>
      </c>
      <c r="R30" s="197"/>
      <c r="S30" s="197"/>
      <c r="T30" s="197"/>
      <c r="U30" s="197"/>
    </row>
    <row r="31" spans="1:21" s="12" customFormat="1" x14ac:dyDescent="0.25">
      <c r="A31" s="200" t="s">
        <v>2477</v>
      </c>
      <c r="B31" s="59">
        <v>26.89</v>
      </c>
      <c r="C31" s="59">
        <v>80.61</v>
      </c>
      <c r="D31" s="59">
        <v>66.05</v>
      </c>
      <c r="E31" s="59">
        <v>5.09</v>
      </c>
      <c r="F31" s="209" t="s">
        <v>36</v>
      </c>
      <c r="G31" s="59">
        <v>186.6</v>
      </c>
      <c r="H31" s="59">
        <v>96.12</v>
      </c>
      <c r="I31" s="59">
        <v>0.34</v>
      </c>
      <c r="J31" s="59">
        <v>0.23</v>
      </c>
      <c r="K31" s="59">
        <v>110.11</v>
      </c>
      <c r="L31" s="59">
        <v>16.57</v>
      </c>
      <c r="M31" s="59">
        <v>71</v>
      </c>
      <c r="N31" s="59">
        <v>23.4</v>
      </c>
      <c r="O31" s="59">
        <v>0</v>
      </c>
      <c r="P31" s="59">
        <v>1.21</v>
      </c>
      <c r="Q31" s="59">
        <v>42.26</v>
      </c>
      <c r="R31" s="197"/>
      <c r="S31" s="197"/>
      <c r="T31" s="197"/>
      <c r="U31" s="197"/>
    </row>
    <row r="32" spans="1:21" s="12" customFormat="1" x14ac:dyDescent="0.25">
      <c r="A32" s="200" t="s">
        <v>2478</v>
      </c>
      <c r="B32" s="59">
        <v>28.73</v>
      </c>
      <c r="C32" s="59">
        <v>81.93</v>
      </c>
      <c r="D32" s="59">
        <v>68.25</v>
      </c>
      <c r="E32" s="59">
        <v>5.0599999999999996</v>
      </c>
      <c r="F32" s="209" t="s">
        <v>36</v>
      </c>
      <c r="G32" s="59">
        <v>186.6</v>
      </c>
      <c r="H32" s="59">
        <v>96.12</v>
      </c>
      <c r="I32" s="59">
        <v>0.35</v>
      </c>
      <c r="J32" s="59">
        <v>0.23</v>
      </c>
      <c r="K32" s="59">
        <v>57.57</v>
      </c>
      <c r="L32" s="59">
        <v>16.38</v>
      </c>
      <c r="M32" s="59">
        <v>72</v>
      </c>
      <c r="N32" s="59">
        <v>24</v>
      </c>
      <c r="O32" s="59">
        <v>0</v>
      </c>
      <c r="P32" s="59">
        <v>1.32</v>
      </c>
      <c r="Q32" s="59">
        <v>41.98</v>
      </c>
      <c r="R32" s="197"/>
      <c r="S32" s="197"/>
      <c r="T32" s="197"/>
      <c r="U32" s="197"/>
    </row>
    <row r="33" spans="1:21" s="12" customFormat="1" x14ac:dyDescent="0.25">
      <c r="A33" s="200" t="s">
        <v>2479</v>
      </c>
      <c r="B33" s="59">
        <v>29.88</v>
      </c>
      <c r="C33" s="59">
        <v>81.849999999999994</v>
      </c>
      <c r="D33" s="59">
        <v>69.14</v>
      </c>
      <c r="E33" s="59">
        <v>5.0199999999999996</v>
      </c>
      <c r="F33" s="209" t="s">
        <v>36</v>
      </c>
      <c r="G33" s="59">
        <v>186.6</v>
      </c>
      <c r="H33" s="59">
        <v>96.12</v>
      </c>
      <c r="I33" s="59">
        <v>0.35</v>
      </c>
      <c r="J33" s="59">
        <v>0.3</v>
      </c>
      <c r="K33" s="59">
        <v>76.91</v>
      </c>
      <c r="L33" s="59">
        <v>16.38</v>
      </c>
      <c r="M33" s="59">
        <v>72</v>
      </c>
      <c r="N33" s="59">
        <v>23.7</v>
      </c>
      <c r="O33" s="59">
        <v>0</v>
      </c>
      <c r="P33" s="59">
        <v>1.4</v>
      </c>
      <c r="Q33" s="59">
        <v>41.12</v>
      </c>
      <c r="R33" s="197"/>
      <c r="S33" s="197"/>
      <c r="T33" s="197"/>
      <c r="U33" s="197"/>
    </row>
    <row r="34" spans="1:21" s="12" customFormat="1" x14ac:dyDescent="0.25">
      <c r="A34" s="200" t="s">
        <v>2480</v>
      </c>
      <c r="B34" s="59">
        <v>30.56</v>
      </c>
      <c r="C34" s="59">
        <v>82.09</v>
      </c>
      <c r="D34" s="59">
        <v>69.81</v>
      </c>
      <c r="E34" s="59">
        <v>4.8899999999999997</v>
      </c>
      <c r="F34" s="59">
        <v>0.12</v>
      </c>
      <c r="G34" s="59">
        <v>212.98</v>
      </c>
      <c r="H34" s="59">
        <v>102.9</v>
      </c>
      <c r="I34" s="59">
        <v>0.34</v>
      </c>
      <c r="J34" s="59">
        <v>0.28999999999999998</v>
      </c>
      <c r="K34" s="59">
        <v>84.23</v>
      </c>
      <c r="L34" s="59">
        <v>16.32</v>
      </c>
      <c r="M34" s="59">
        <v>71</v>
      </c>
      <c r="N34" s="59">
        <v>24.9</v>
      </c>
      <c r="O34" s="59">
        <v>0</v>
      </c>
      <c r="P34" s="59">
        <v>1.47</v>
      </c>
      <c r="Q34" s="59">
        <v>39.97</v>
      </c>
      <c r="R34" s="197"/>
      <c r="S34" s="197"/>
      <c r="T34" s="197"/>
      <c r="U34" s="197"/>
    </row>
    <row r="35" spans="1:21" s="12" customFormat="1" x14ac:dyDescent="0.25">
      <c r="A35" s="200" t="s">
        <v>2481</v>
      </c>
      <c r="B35" s="59">
        <v>30.36</v>
      </c>
      <c r="C35" s="59">
        <v>82.18</v>
      </c>
      <c r="D35" s="59">
        <v>69.7</v>
      </c>
      <c r="E35" s="59">
        <v>4.71</v>
      </c>
      <c r="F35" s="59">
        <v>0.27</v>
      </c>
      <c r="G35" s="59">
        <v>232.42</v>
      </c>
      <c r="H35" s="59">
        <v>111.76</v>
      </c>
      <c r="I35" s="59">
        <v>0.35</v>
      </c>
      <c r="J35" s="59">
        <v>0.31</v>
      </c>
      <c r="K35" s="59">
        <v>77.45</v>
      </c>
      <c r="L35" s="59">
        <v>16.309999999999999</v>
      </c>
      <c r="M35" s="59">
        <v>71</v>
      </c>
      <c r="N35" s="59">
        <v>28.2</v>
      </c>
      <c r="O35" s="59">
        <v>0</v>
      </c>
      <c r="P35" s="59">
        <v>1.49</v>
      </c>
      <c r="Q35" s="59">
        <v>39.590000000000003</v>
      </c>
      <c r="R35" s="197"/>
      <c r="S35" s="197"/>
      <c r="T35" s="197"/>
      <c r="U35" s="197"/>
    </row>
    <row r="36" spans="1:21" s="12" customFormat="1" x14ac:dyDescent="0.25">
      <c r="A36" s="200" t="s">
        <v>2482</v>
      </c>
      <c r="B36" s="59">
        <v>29.75</v>
      </c>
      <c r="C36" s="59">
        <v>81.66</v>
      </c>
      <c r="D36" s="59">
        <v>68.92</v>
      </c>
      <c r="E36" s="59">
        <v>4.68</v>
      </c>
      <c r="F36" s="59">
        <v>0.06</v>
      </c>
      <c r="G36" s="59">
        <v>232.42</v>
      </c>
      <c r="H36" s="59">
        <v>111.76</v>
      </c>
      <c r="I36" s="59">
        <v>0.35</v>
      </c>
      <c r="J36" s="59">
        <v>0.4</v>
      </c>
      <c r="K36" s="59">
        <v>97.27</v>
      </c>
      <c r="L36" s="59">
        <v>16.55</v>
      </c>
      <c r="M36" s="59">
        <v>69</v>
      </c>
      <c r="N36" s="59">
        <v>34.799999999999997</v>
      </c>
      <c r="O36" s="59">
        <v>0</v>
      </c>
      <c r="P36" s="59">
        <v>1.51</v>
      </c>
      <c r="Q36" s="59">
        <v>39.53</v>
      </c>
      <c r="R36" s="197"/>
      <c r="S36" s="197"/>
      <c r="T36" s="197"/>
      <c r="U36" s="197"/>
    </row>
    <row r="37" spans="1:21" s="12" customFormat="1" x14ac:dyDescent="0.25">
      <c r="A37" s="200" t="s">
        <v>2483</v>
      </c>
      <c r="B37" s="59">
        <v>28.86</v>
      </c>
      <c r="C37" s="59">
        <v>81.08</v>
      </c>
      <c r="D37" s="59">
        <v>67.89</v>
      </c>
      <c r="E37" s="59">
        <v>4.8600000000000003</v>
      </c>
      <c r="F37" s="59">
        <v>0.08</v>
      </c>
      <c r="G37" s="59">
        <v>232.42</v>
      </c>
      <c r="H37" s="59">
        <v>111.76</v>
      </c>
      <c r="I37" s="59">
        <v>0.36</v>
      </c>
      <c r="J37" s="59">
        <v>0.44</v>
      </c>
      <c r="K37" s="59">
        <v>98.48</v>
      </c>
      <c r="L37" s="59">
        <v>16.809999999999999</v>
      </c>
      <c r="M37" s="59">
        <v>69</v>
      </c>
      <c r="N37" s="59">
        <v>41.9</v>
      </c>
      <c r="O37" s="59">
        <v>0</v>
      </c>
      <c r="P37" s="59">
        <v>1.48</v>
      </c>
      <c r="Q37" s="59">
        <v>39.4</v>
      </c>
      <c r="R37" s="197"/>
      <c r="S37" s="197"/>
      <c r="T37" s="197"/>
      <c r="U37" s="197"/>
    </row>
    <row r="38" spans="1:21" s="12" customFormat="1" x14ac:dyDescent="0.25">
      <c r="A38" s="200" t="s">
        <v>2484</v>
      </c>
      <c r="B38" s="59">
        <v>27.88</v>
      </c>
      <c r="C38" s="59">
        <v>80.44</v>
      </c>
      <c r="D38" s="59">
        <v>66.75</v>
      </c>
      <c r="E38" s="59">
        <v>4.95</v>
      </c>
      <c r="F38" s="59">
        <v>0.01</v>
      </c>
      <c r="G38" s="59">
        <v>168.66</v>
      </c>
      <c r="H38" s="59">
        <v>94.06</v>
      </c>
      <c r="I38" s="59">
        <v>0.36</v>
      </c>
      <c r="J38" s="59">
        <v>0.73</v>
      </c>
      <c r="K38" s="59">
        <v>106.88</v>
      </c>
      <c r="L38" s="59">
        <v>17.22</v>
      </c>
      <c r="M38" s="59">
        <v>67</v>
      </c>
      <c r="N38" s="59">
        <v>49.2</v>
      </c>
      <c r="O38" s="59">
        <v>0</v>
      </c>
      <c r="P38" s="59">
        <v>1.58</v>
      </c>
      <c r="Q38" s="59">
        <v>39.25</v>
      </c>
      <c r="R38" s="197"/>
      <c r="S38" s="197"/>
      <c r="T38" s="197"/>
      <c r="U38" s="197"/>
    </row>
    <row r="39" spans="1:21" s="12" customFormat="1" x14ac:dyDescent="0.25">
      <c r="A39" s="200" t="s">
        <v>2485</v>
      </c>
      <c r="B39" s="59">
        <v>26.48</v>
      </c>
      <c r="C39" s="59">
        <v>79.23</v>
      </c>
      <c r="D39" s="59">
        <v>64.959999999999994</v>
      </c>
      <c r="E39" s="59">
        <v>5.33</v>
      </c>
      <c r="F39" s="59">
        <v>0.16</v>
      </c>
      <c r="G39" s="59">
        <v>121.69</v>
      </c>
      <c r="H39" s="59">
        <v>70.92</v>
      </c>
      <c r="I39" s="59">
        <v>0.36</v>
      </c>
      <c r="J39" s="59">
        <v>1.0900000000000001</v>
      </c>
      <c r="K39" s="59">
        <v>112.31</v>
      </c>
      <c r="L39" s="59">
        <v>17.87</v>
      </c>
      <c r="M39" s="59">
        <v>64</v>
      </c>
      <c r="N39" s="59">
        <v>100.2</v>
      </c>
      <c r="O39" s="59">
        <v>0</v>
      </c>
      <c r="P39" s="59">
        <v>1.59</v>
      </c>
      <c r="Q39" s="59">
        <v>39.479999999999997</v>
      </c>
      <c r="R39" s="197"/>
      <c r="S39" s="197"/>
      <c r="T39" s="197"/>
      <c r="U39" s="197"/>
    </row>
    <row r="40" spans="1:21" s="12" customFormat="1" x14ac:dyDescent="0.25">
      <c r="A40" s="200" t="s">
        <v>2486</v>
      </c>
      <c r="B40" s="59">
        <v>24.81</v>
      </c>
      <c r="C40" s="59">
        <v>78.78</v>
      </c>
      <c r="D40" s="59">
        <v>63.37</v>
      </c>
      <c r="E40" s="59">
        <v>2.82</v>
      </c>
      <c r="F40" s="59">
        <v>0.22</v>
      </c>
      <c r="G40" s="59">
        <v>121.69</v>
      </c>
      <c r="H40" s="59">
        <v>70.92</v>
      </c>
      <c r="I40" s="59">
        <v>0.36</v>
      </c>
      <c r="J40" s="59">
        <v>1.39</v>
      </c>
      <c r="K40" s="59">
        <v>105.8</v>
      </c>
      <c r="L40" s="59">
        <v>18.98</v>
      </c>
      <c r="M40" s="59">
        <v>59</v>
      </c>
      <c r="N40" s="59">
        <v>200.2</v>
      </c>
      <c r="O40" s="59">
        <v>0</v>
      </c>
      <c r="P40" s="59">
        <v>1.59</v>
      </c>
      <c r="Q40" s="59">
        <v>40.770000000000003</v>
      </c>
      <c r="R40" s="197"/>
      <c r="S40" s="197"/>
      <c r="T40" s="197"/>
      <c r="U40" s="197"/>
    </row>
    <row r="41" spans="1:21" s="12" customFormat="1" x14ac:dyDescent="0.25">
      <c r="A41" s="200" t="s">
        <v>2487</v>
      </c>
      <c r="B41" s="59">
        <v>22.46</v>
      </c>
      <c r="C41" s="59">
        <v>79.12</v>
      </c>
      <c r="D41" s="59">
        <v>61.68</v>
      </c>
      <c r="E41" s="59">
        <v>4.93</v>
      </c>
      <c r="F41" s="59">
        <v>0.18</v>
      </c>
      <c r="G41" s="59">
        <v>121.69</v>
      </c>
      <c r="H41" s="59">
        <v>70.92</v>
      </c>
      <c r="I41" s="59">
        <v>0.37</v>
      </c>
      <c r="J41" s="59">
        <v>1.63</v>
      </c>
      <c r="K41" s="59">
        <v>110.91</v>
      </c>
      <c r="L41" s="59">
        <v>19.57</v>
      </c>
      <c r="M41" s="59">
        <v>57</v>
      </c>
      <c r="N41" s="59">
        <v>238.3</v>
      </c>
      <c r="O41" s="59">
        <v>0</v>
      </c>
      <c r="P41" s="59">
        <v>1.56</v>
      </c>
      <c r="Q41" s="59">
        <v>41.62</v>
      </c>
      <c r="R41" s="197"/>
      <c r="S41" s="197"/>
      <c r="T41" s="197"/>
      <c r="U41" s="197"/>
    </row>
    <row r="42" spans="1:21" s="12" customFormat="1" x14ac:dyDescent="0.25">
      <c r="A42" s="200" t="s">
        <v>2488</v>
      </c>
      <c r="B42" s="59">
        <v>19.78</v>
      </c>
      <c r="C42" s="59">
        <v>79.09</v>
      </c>
      <c r="D42" s="59">
        <v>59.51</v>
      </c>
      <c r="E42" s="59">
        <v>4.95</v>
      </c>
      <c r="F42" s="59">
        <v>0.15</v>
      </c>
      <c r="G42" s="59">
        <v>108.32</v>
      </c>
      <c r="H42" s="59">
        <v>61.76</v>
      </c>
      <c r="I42" s="59">
        <v>0.37</v>
      </c>
      <c r="J42" s="59">
        <v>1.35</v>
      </c>
      <c r="K42" s="59">
        <v>112</v>
      </c>
      <c r="L42" s="59">
        <v>20.100000000000001</v>
      </c>
      <c r="M42" s="59">
        <v>56</v>
      </c>
      <c r="N42" s="59">
        <v>267.60000000000002</v>
      </c>
      <c r="O42" s="59">
        <v>0</v>
      </c>
      <c r="P42" s="59">
        <v>1.52</v>
      </c>
      <c r="Q42" s="59">
        <v>41.57</v>
      </c>
      <c r="R42" s="197"/>
      <c r="S42" s="197"/>
      <c r="T42" s="197"/>
      <c r="U42" s="197"/>
    </row>
    <row r="43" spans="1:21" s="12" customFormat="1" x14ac:dyDescent="0.25">
      <c r="A43" s="200" t="s">
        <v>2489</v>
      </c>
      <c r="B43" s="59">
        <v>17.350000000000001</v>
      </c>
      <c r="C43" s="59">
        <v>79.37</v>
      </c>
      <c r="D43" s="59">
        <v>57.72</v>
      </c>
      <c r="E43" s="59">
        <v>5.68</v>
      </c>
      <c r="F43" s="59">
        <v>0.3</v>
      </c>
      <c r="G43" s="59">
        <v>81.59</v>
      </c>
      <c r="H43" s="59">
        <v>49.79</v>
      </c>
      <c r="I43" s="59">
        <v>0.37</v>
      </c>
      <c r="J43" s="59">
        <v>1.01</v>
      </c>
      <c r="K43" s="59">
        <v>102.13</v>
      </c>
      <c r="L43" s="59">
        <v>20.99</v>
      </c>
      <c r="M43" s="59">
        <v>54</v>
      </c>
      <c r="N43" s="59">
        <v>293.39999999999998</v>
      </c>
      <c r="O43" s="59">
        <v>0</v>
      </c>
      <c r="P43" s="59">
        <v>1.49</v>
      </c>
      <c r="Q43" s="59">
        <v>41.14</v>
      </c>
      <c r="R43" s="197"/>
      <c r="S43" s="197"/>
      <c r="T43" s="197"/>
      <c r="U43" s="197"/>
    </row>
    <row r="44" spans="1:21" s="12" customFormat="1" x14ac:dyDescent="0.25">
      <c r="A44" s="200" t="s">
        <v>2490</v>
      </c>
      <c r="B44" s="59">
        <v>15.51</v>
      </c>
      <c r="C44" s="59">
        <v>80.23</v>
      </c>
      <c r="D44" s="59">
        <v>56.71</v>
      </c>
      <c r="E44" s="59">
        <v>6.04</v>
      </c>
      <c r="F44" s="59">
        <v>0.27</v>
      </c>
      <c r="G44" s="59">
        <v>81.59</v>
      </c>
      <c r="H44" s="59">
        <v>49.79</v>
      </c>
      <c r="I44" s="59">
        <v>0.36</v>
      </c>
      <c r="J44" s="59">
        <v>0.92</v>
      </c>
      <c r="K44" s="59">
        <v>103.5</v>
      </c>
      <c r="L44" s="59">
        <v>21.86</v>
      </c>
      <c r="M44" s="59">
        <v>51</v>
      </c>
      <c r="N44" s="59">
        <v>314.7</v>
      </c>
      <c r="O44" s="59">
        <v>0</v>
      </c>
      <c r="P44" s="59">
        <v>1.47</v>
      </c>
      <c r="Q44" s="59">
        <v>41.05</v>
      </c>
      <c r="R44" s="197"/>
      <c r="S44" s="197"/>
      <c r="T44" s="197"/>
      <c r="U44" s="197"/>
    </row>
    <row r="45" spans="1:21" s="12" customFormat="1" x14ac:dyDescent="0.25">
      <c r="A45" s="200" t="s">
        <v>2491</v>
      </c>
      <c r="B45" s="59">
        <v>14.26</v>
      </c>
      <c r="C45" s="59">
        <v>82.1</v>
      </c>
      <c r="D45" s="59">
        <v>56.75</v>
      </c>
      <c r="E45" s="59">
        <v>6.21</v>
      </c>
      <c r="F45" s="59">
        <v>0.44</v>
      </c>
      <c r="G45" s="59">
        <v>81.59</v>
      </c>
      <c r="H45" s="59">
        <v>49.79</v>
      </c>
      <c r="I45" s="59">
        <v>0.35</v>
      </c>
      <c r="J45" s="59">
        <v>0.67</v>
      </c>
      <c r="K45" s="59">
        <v>99.67</v>
      </c>
      <c r="L45" s="59">
        <v>22.96</v>
      </c>
      <c r="M45" s="59">
        <v>48</v>
      </c>
      <c r="N45" s="59">
        <v>326.3</v>
      </c>
      <c r="O45" s="59">
        <v>0</v>
      </c>
      <c r="P45" s="59">
        <v>1.46</v>
      </c>
      <c r="Q45" s="59">
        <v>41.03</v>
      </c>
      <c r="R45" s="197"/>
      <c r="S45" s="197"/>
      <c r="T45" s="197"/>
      <c r="U45" s="197"/>
    </row>
    <row r="46" spans="1:21" s="12" customFormat="1" x14ac:dyDescent="0.25">
      <c r="A46" s="200" t="s">
        <v>2492</v>
      </c>
      <c r="B46" s="59">
        <v>13.22</v>
      </c>
      <c r="C46" s="59">
        <v>83.97</v>
      </c>
      <c r="D46" s="59">
        <v>56.94</v>
      </c>
      <c r="E46" s="59">
        <v>5.71</v>
      </c>
      <c r="F46" s="59">
        <v>0.51</v>
      </c>
      <c r="G46" s="59">
        <v>76.38</v>
      </c>
      <c r="H46" s="59">
        <v>49.19</v>
      </c>
      <c r="I46" s="59">
        <v>0.34</v>
      </c>
      <c r="J46" s="59">
        <v>0.75</v>
      </c>
      <c r="K46" s="59">
        <v>102.06</v>
      </c>
      <c r="L46" s="59">
        <v>23.85</v>
      </c>
      <c r="M46" s="59">
        <v>44</v>
      </c>
      <c r="N46" s="59">
        <v>336.9</v>
      </c>
      <c r="O46" s="59">
        <v>0</v>
      </c>
      <c r="P46" s="59">
        <v>1.45</v>
      </c>
      <c r="Q46" s="59">
        <v>40.76</v>
      </c>
      <c r="R46" s="197"/>
      <c r="S46" s="197"/>
      <c r="T46" s="197"/>
      <c r="U46" s="197"/>
    </row>
    <row r="47" spans="1:21" s="12" customFormat="1" x14ac:dyDescent="0.25">
      <c r="A47" s="200" t="s">
        <v>2493</v>
      </c>
      <c r="B47" s="59">
        <v>12.23</v>
      </c>
      <c r="C47" s="59">
        <v>84.04</v>
      </c>
      <c r="D47" s="59">
        <v>56.19</v>
      </c>
      <c r="E47" s="59">
        <v>5.27</v>
      </c>
      <c r="F47" s="59">
        <v>0.37</v>
      </c>
      <c r="G47" s="59">
        <v>72.430000000000007</v>
      </c>
      <c r="H47" s="59">
        <v>48.41</v>
      </c>
      <c r="I47" s="59">
        <v>0.33</v>
      </c>
      <c r="J47" s="59">
        <v>0.94</v>
      </c>
      <c r="K47" s="59">
        <v>108.43</v>
      </c>
      <c r="L47" s="59">
        <v>23.97</v>
      </c>
      <c r="M47" s="59">
        <v>44</v>
      </c>
      <c r="N47" s="59">
        <v>348.5</v>
      </c>
      <c r="O47" s="59">
        <v>0</v>
      </c>
      <c r="P47" s="59">
        <v>1.44</v>
      </c>
      <c r="Q47" s="59">
        <v>39.85</v>
      </c>
      <c r="R47" s="197"/>
      <c r="S47" s="197"/>
      <c r="T47" s="197"/>
      <c r="U47" s="197"/>
    </row>
    <row r="48" spans="1:21" s="12" customFormat="1" x14ac:dyDescent="0.25">
      <c r="A48" s="200" t="s">
        <v>2494</v>
      </c>
      <c r="B48" s="59">
        <v>11.41</v>
      </c>
      <c r="C48" s="59">
        <v>83.02</v>
      </c>
      <c r="D48" s="59">
        <v>54.97</v>
      </c>
      <c r="E48" s="59">
        <v>5.97</v>
      </c>
      <c r="F48" s="59">
        <v>0.78</v>
      </c>
      <c r="G48" s="59">
        <v>72.430000000000007</v>
      </c>
      <c r="H48" s="59">
        <v>48.41</v>
      </c>
      <c r="I48" s="59">
        <v>0.33</v>
      </c>
      <c r="J48" s="59">
        <v>0.72</v>
      </c>
      <c r="K48" s="59">
        <v>113.26</v>
      </c>
      <c r="L48" s="59">
        <v>25.23</v>
      </c>
      <c r="M48" s="59">
        <v>42</v>
      </c>
      <c r="N48" s="59">
        <v>360.1</v>
      </c>
      <c r="O48" s="59">
        <v>0</v>
      </c>
      <c r="P48" s="59">
        <v>1.43</v>
      </c>
      <c r="Q48" s="59">
        <v>38.950000000000003</v>
      </c>
      <c r="R48" s="197"/>
      <c r="S48" s="197"/>
      <c r="T48" s="197"/>
      <c r="U48" s="197"/>
    </row>
    <row r="49" spans="1:21" s="12" customFormat="1" x14ac:dyDescent="0.25">
      <c r="A49" s="200" t="s">
        <v>2495</v>
      </c>
      <c r="B49" s="59">
        <v>10.71</v>
      </c>
      <c r="C49" s="59">
        <v>82.26</v>
      </c>
      <c r="D49" s="59">
        <v>53.99</v>
      </c>
      <c r="E49" s="59">
        <v>5.39</v>
      </c>
      <c r="F49" s="59">
        <v>0.56000000000000005</v>
      </c>
      <c r="G49" s="59">
        <v>72.430000000000007</v>
      </c>
      <c r="H49" s="59">
        <v>48.41</v>
      </c>
      <c r="I49" s="59">
        <v>0.33</v>
      </c>
      <c r="J49" s="59">
        <v>0.44</v>
      </c>
      <c r="K49" s="59">
        <v>121.91</v>
      </c>
      <c r="L49" s="59">
        <v>26.61</v>
      </c>
      <c r="M49" s="59">
        <v>39</v>
      </c>
      <c r="N49" s="59">
        <v>370.4</v>
      </c>
      <c r="O49" s="59">
        <v>0</v>
      </c>
      <c r="P49" s="59">
        <v>1.41</v>
      </c>
      <c r="Q49" s="59">
        <v>38.78</v>
      </c>
      <c r="R49" s="197"/>
      <c r="S49" s="197"/>
      <c r="T49" s="197"/>
      <c r="U49" s="197"/>
    </row>
    <row r="50" spans="1:21" s="12" customFormat="1" x14ac:dyDescent="0.25">
      <c r="A50" s="200" t="s">
        <v>2496</v>
      </c>
      <c r="B50" s="59">
        <v>10.01</v>
      </c>
      <c r="C50" s="59">
        <v>81.39</v>
      </c>
      <c r="D50" s="59">
        <v>52.95</v>
      </c>
      <c r="E50" s="59">
        <v>5.24</v>
      </c>
      <c r="F50" s="59">
        <v>0.51</v>
      </c>
      <c r="G50" s="59">
        <v>77.430000000000007</v>
      </c>
      <c r="H50" s="59">
        <v>44</v>
      </c>
      <c r="I50" s="59">
        <v>0.33</v>
      </c>
      <c r="J50" s="59">
        <v>0.73</v>
      </c>
      <c r="K50" s="59">
        <v>128.41999999999999</v>
      </c>
      <c r="L50" s="59">
        <v>26.51</v>
      </c>
      <c r="M50" s="59">
        <v>39</v>
      </c>
      <c r="N50" s="59">
        <v>380.3</v>
      </c>
      <c r="O50" s="59">
        <v>0</v>
      </c>
      <c r="P50" s="59">
        <v>1.39</v>
      </c>
      <c r="Q50" s="59">
        <v>38.94</v>
      </c>
      <c r="R50" s="197"/>
      <c r="S50" s="197"/>
      <c r="T50" s="197"/>
      <c r="U50" s="197"/>
    </row>
    <row r="51" spans="1:21" s="12" customFormat="1" x14ac:dyDescent="0.25">
      <c r="A51" s="200" t="s">
        <v>2497</v>
      </c>
      <c r="B51" s="59">
        <v>9.32</v>
      </c>
      <c r="C51" s="59">
        <v>80.44</v>
      </c>
      <c r="D51" s="59">
        <v>51.87</v>
      </c>
      <c r="E51" s="59">
        <v>5.79</v>
      </c>
      <c r="F51" s="59">
        <v>1.1100000000000001</v>
      </c>
      <c r="G51" s="59">
        <v>81.11</v>
      </c>
      <c r="H51" s="59">
        <v>38.24</v>
      </c>
      <c r="I51" s="59">
        <v>0.33</v>
      </c>
      <c r="J51" s="59">
        <v>0.23</v>
      </c>
      <c r="K51" s="59">
        <v>39.340000000000003</v>
      </c>
      <c r="L51" s="59">
        <v>28.82</v>
      </c>
      <c r="M51" s="59">
        <v>35</v>
      </c>
      <c r="N51" s="59">
        <v>387.2</v>
      </c>
      <c r="O51" s="59">
        <v>0</v>
      </c>
      <c r="P51" s="59">
        <v>1.37</v>
      </c>
      <c r="Q51" s="59">
        <v>39.340000000000003</v>
      </c>
      <c r="R51" s="197"/>
      <c r="S51" s="197"/>
      <c r="T51" s="197"/>
      <c r="U51" s="197"/>
    </row>
    <row r="52" spans="1:21" s="12" customFormat="1" x14ac:dyDescent="0.25">
      <c r="A52" s="200" t="s">
        <v>2498</v>
      </c>
      <c r="B52" s="59">
        <v>7.46</v>
      </c>
      <c r="C52" s="59">
        <v>75.900000000000006</v>
      </c>
      <c r="D52" s="59">
        <v>47.86</v>
      </c>
      <c r="E52" s="59">
        <v>7.43</v>
      </c>
      <c r="F52" s="59">
        <v>7.57</v>
      </c>
      <c r="G52" s="59">
        <v>81.11</v>
      </c>
      <c r="H52" s="59">
        <v>38.24</v>
      </c>
      <c r="I52" s="59">
        <v>0.33</v>
      </c>
      <c r="J52" s="59">
        <v>0.56999999999999995</v>
      </c>
      <c r="K52" s="59">
        <v>169.71</v>
      </c>
      <c r="L52" s="59">
        <v>29.23</v>
      </c>
      <c r="M52" s="59">
        <v>32</v>
      </c>
      <c r="N52" s="59">
        <v>399.5</v>
      </c>
      <c r="O52" s="59">
        <v>0</v>
      </c>
      <c r="P52" s="59">
        <v>1.25</v>
      </c>
      <c r="Q52" s="59">
        <v>37.68</v>
      </c>
      <c r="R52" s="197"/>
      <c r="S52" s="197"/>
      <c r="T52" s="197"/>
      <c r="U52" s="197"/>
    </row>
    <row r="53" spans="1:21" s="12" customFormat="1" x14ac:dyDescent="0.25">
      <c r="A53" s="200" t="s">
        <v>2499</v>
      </c>
      <c r="B53" s="59">
        <v>2.89</v>
      </c>
      <c r="C53" s="59">
        <v>62.69</v>
      </c>
      <c r="D53" s="59">
        <v>36.92</v>
      </c>
      <c r="E53" s="59">
        <v>9.1199999999999992</v>
      </c>
      <c r="F53" s="59">
        <v>15.01</v>
      </c>
      <c r="G53" s="59">
        <v>81.11</v>
      </c>
      <c r="H53" s="59">
        <v>38.24</v>
      </c>
      <c r="I53" s="59">
        <v>0.33</v>
      </c>
      <c r="J53" s="59">
        <v>1.06</v>
      </c>
      <c r="K53" s="59">
        <v>125.92</v>
      </c>
      <c r="L53" s="59">
        <v>27.63</v>
      </c>
      <c r="M53" s="59">
        <v>35</v>
      </c>
      <c r="N53" s="59">
        <v>398.3</v>
      </c>
      <c r="O53" s="59">
        <v>0</v>
      </c>
      <c r="P53" s="59">
        <v>1</v>
      </c>
      <c r="Q53" s="59">
        <v>30.33</v>
      </c>
      <c r="R53" s="197"/>
      <c r="S53" s="197"/>
      <c r="T53" s="197"/>
      <c r="U53" s="197"/>
    </row>
    <row r="54" spans="1:21" s="12" customFormat="1" x14ac:dyDescent="0.25">
      <c r="A54" s="200" t="s">
        <v>2500</v>
      </c>
      <c r="B54" s="59">
        <v>2.38</v>
      </c>
      <c r="C54" s="59">
        <v>58.93</v>
      </c>
      <c r="D54" s="59">
        <v>34.43</v>
      </c>
      <c r="E54" s="59">
        <v>7.43</v>
      </c>
      <c r="F54" s="59">
        <v>8.94</v>
      </c>
      <c r="G54" s="59">
        <v>58.37</v>
      </c>
      <c r="H54" s="59">
        <v>33.28</v>
      </c>
      <c r="I54" s="59">
        <v>0.28999999999999998</v>
      </c>
      <c r="J54" s="59">
        <v>0.34</v>
      </c>
      <c r="K54" s="59">
        <v>168.56</v>
      </c>
      <c r="L54" s="59">
        <v>29.28</v>
      </c>
      <c r="M54" s="59">
        <v>31</v>
      </c>
      <c r="N54" s="59">
        <v>394.2</v>
      </c>
      <c r="O54" s="59">
        <v>0</v>
      </c>
      <c r="P54" s="59">
        <v>0.93</v>
      </c>
      <c r="Q54" s="59">
        <v>28.7</v>
      </c>
      <c r="R54" s="197"/>
      <c r="S54" s="197"/>
      <c r="T54" s="197"/>
      <c r="U54" s="197"/>
    </row>
    <row r="55" spans="1:21" s="12" customFormat="1" x14ac:dyDescent="0.25">
      <c r="A55" s="200" t="s">
        <v>2501</v>
      </c>
      <c r="B55" s="59">
        <v>2.15</v>
      </c>
      <c r="C55" s="59">
        <v>58.78</v>
      </c>
      <c r="D55" s="59">
        <v>34.159999999999997</v>
      </c>
      <c r="E55" s="59">
        <v>5.88</v>
      </c>
      <c r="F55" s="59">
        <v>7.82</v>
      </c>
      <c r="G55" s="59">
        <v>42.21</v>
      </c>
      <c r="H55" s="59">
        <v>26.93</v>
      </c>
      <c r="I55" s="59">
        <v>0.2</v>
      </c>
      <c r="J55" s="59">
        <v>0.91</v>
      </c>
      <c r="K55" s="59">
        <v>156.32</v>
      </c>
      <c r="L55" s="59">
        <v>29.24</v>
      </c>
      <c r="M55" s="59">
        <v>29</v>
      </c>
      <c r="N55" s="59">
        <v>401.4</v>
      </c>
      <c r="O55" s="59">
        <v>0</v>
      </c>
      <c r="P55" s="59">
        <v>0.86</v>
      </c>
      <c r="Q55" s="59">
        <v>28.97</v>
      </c>
      <c r="R55" s="197"/>
      <c r="S55" s="197"/>
      <c r="T55" s="197"/>
      <c r="U55" s="197"/>
    </row>
    <row r="56" spans="1:21" s="12" customFormat="1" x14ac:dyDescent="0.25">
      <c r="A56" s="200" t="s">
        <v>2502</v>
      </c>
      <c r="B56" s="59">
        <v>2.12</v>
      </c>
      <c r="C56" s="59">
        <v>57.48</v>
      </c>
      <c r="D56" s="59">
        <v>33.409999999999997</v>
      </c>
      <c r="E56" s="59">
        <v>2.35</v>
      </c>
      <c r="F56" s="59">
        <v>5.85</v>
      </c>
      <c r="G56" s="59">
        <v>42.21</v>
      </c>
      <c r="H56" s="59">
        <v>26.93</v>
      </c>
      <c r="I56" s="59">
        <v>0.18</v>
      </c>
      <c r="J56" s="59">
        <v>0.44</v>
      </c>
      <c r="K56" s="59">
        <v>144.1</v>
      </c>
      <c r="L56" s="59">
        <v>29.83</v>
      </c>
      <c r="M56" s="59">
        <v>28</v>
      </c>
      <c r="N56" s="59">
        <v>394.3</v>
      </c>
      <c r="O56" s="59">
        <v>0</v>
      </c>
      <c r="P56" s="59">
        <v>0.8</v>
      </c>
      <c r="Q56" s="59">
        <v>28.98</v>
      </c>
      <c r="R56" s="197"/>
      <c r="S56" s="197"/>
      <c r="T56" s="197"/>
      <c r="U56" s="197"/>
    </row>
    <row r="57" spans="1:21" s="12" customFormat="1" x14ac:dyDescent="0.25">
      <c r="A57" s="200" t="s">
        <v>2503</v>
      </c>
      <c r="B57" s="59">
        <v>2.2799999999999998</v>
      </c>
      <c r="C57" s="59">
        <v>57.16</v>
      </c>
      <c r="D57" s="59">
        <v>33.380000000000003</v>
      </c>
      <c r="E57" s="59">
        <v>3.76</v>
      </c>
      <c r="F57" s="59">
        <v>5.86</v>
      </c>
      <c r="G57" s="59">
        <v>42.21</v>
      </c>
      <c r="H57" s="59">
        <v>26.93</v>
      </c>
      <c r="I57" s="59">
        <v>0.16</v>
      </c>
      <c r="J57" s="59">
        <v>0.34</v>
      </c>
      <c r="K57" s="59">
        <v>44.19</v>
      </c>
      <c r="L57" s="59">
        <v>32.11</v>
      </c>
      <c r="M57" s="59">
        <v>24</v>
      </c>
      <c r="N57" s="59">
        <v>390.8</v>
      </c>
      <c r="O57" s="59">
        <v>0</v>
      </c>
      <c r="P57" s="59">
        <v>0.79</v>
      </c>
      <c r="Q57" s="59">
        <v>29.39</v>
      </c>
      <c r="R57" s="197"/>
      <c r="S57" s="197"/>
      <c r="T57" s="197"/>
      <c r="U57" s="197"/>
    </row>
    <row r="58" spans="1:21" s="12" customFormat="1" x14ac:dyDescent="0.25">
      <c r="A58" s="200" t="s">
        <v>2504</v>
      </c>
      <c r="B58" s="59">
        <v>2.74</v>
      </c>
      <c r="C58" s="59">
        <v>61.26</v>
      </c>
      <c r="D58" s="59">
        <v>36</v>
      </c>
      <c r="E58" s="59">
        <v>3.4</v>
      </c>
      <c r="F58" s="59">
        <v>4.8099999999999996</v>
      </c>
      <c r="G58" s="59">
        <v>43.89</v>
      </c>
      <c r="H58" s="59">
        <v>29.25</v>
      </c>
      <c r="I58" s="59">
        <v>0.16</v>
      </c>
      <c r="J58" s="59">
        <v>0.75</v>
      </c>
      <c r="K58" s="59">
        <v>153.22</v>
      </c>
      <c r="L58" s="59">
        <v>30.94</v>
      </c>
      <c r="M58" s="59">
        <v>24</v>
      </c>
      <c r="N58" s="59">
        <v>399.9</v>
      </c>
      <c r="O58" s="59">
        <v>0</v>
      </c>
      <c r="P58" s="59">
        <v>0.8</v>
      </c>
      <c r="Q58" s="59">
        <v>29.17</v>
      </c>
      <c r="R58" s="197"/>
      <c r="S58" s="197"/>
      <c r="T58" s="197"/>
      <c r="U58" s="197"/>
    </row>
    <row r="59" spans="1:21" s="12" customFormat="1" x14ac:dyDescent="0.25">
      <c r="A59" s="200" t="s">
        <v>2505</v>
      </c>
      <c r="B59" s="59">
        <v>2.35</v>
      </c>
      <c r="C59" s="59">
        <v>60.18</v>
      </c>
      <c r="D59" s="59">
        <v>35.090000000000003</v>
      </c>
      <c r="E59" s="59">
        <v>3.25</v>
      </c>
      <c r="F59" s="59">
        <v>5.56</v>
      </c>
      <c r="G59" s="59">
        <v>47.96</v>
      </c>
      <c r="H59" s="59">
        <v>32.43</v>
      </c>
      <c r="I59" s="59">
        <v>0.16</v>
      </c>
      <c r="J59" s="59">
        <v>0.67</v>
      </c>
      <c r="K59" s="59">
        <v>168.87</v>
      </c>
      <c r="L59" s="59">
        <v>30.54</v>
      </c>
      <c r="M59" s="59">
        <v>23</v>
      </c>
      <c r="N59" s="59">
        <v>393.6</v>
      </c>
      <c r="O59" s="59">
        <v>0</v>
      </c>
      <c r="P59" s="59">
        <v>0.73</v>
      </c>
      <c r="Q59" s="59">
        <v>28.78</v>
      </c>
      <c r="R59" s="197"/>
      <c r="S59" s="197"/>
      <c r="T59" s="197"/>
      <c r="U59" s="197"/>
    </row>
    <row r="60" spans="1:21" s="12" customFormat="1" x14ac:dyDescent="0.25">
      <c r="A60" s="200" t="s">
        <v>2506</v>
      </c>
      <c r="B60" s="59">
        <v>2.12</v>
      </c>
      <c r="C60" s="59">
        <v>57.58</v>
      </c>
      <c r="D60" s="59">
        <v>33.479999999999997</v>
      </c>
      <c r="E60" s="59">
        <v>2.68</v>
      </c>
      <c r="F60" s="59">
        <v>6.05</v>
      </c>
      <c r="G60" s="59">
        <v>47.96</v>
      </c>
      <c r="H60" s="59">
        <v>32.43</v>
      </c>
      <c r="I60" s="59">
        <v>0.16</v>
      </c>
      <c r="J60" s="59">
        <v>0.57999999999999996</v>
      </c>
      <c r="K60" s="59">
        <v>143.51</v>
      </c>
      <c r="L60" s="59">
        <v>30.49</v>
      </c>
      <c r="M60" s="59">
        <v>23</v>
      </c>
      <c r="N60" s="59">
        <v>387.5</v>
      </c>
      <c r="O60" s="59">
        <v>0</v>
      </c>
      <c r="P60" s="59">
        <v>0.67</v>
      </c>
      <c r="Q60" s="59">
        <v>28.99</v>
      </c>
      <c r="R60" s="197"/>
      <c r="S60" s="197"/>
      <c r="T60" s="197"/>
      <c r="U60" s="197"/>
    </row>
    <row r="61" spans="1:21" s="12" customFormat="1" x14ac:dyDescent="0.25">
      <c r="A61" s="200" t="s">
        <v>2507</v>
      </c>
      <c r="B61" s="59">
        <v>4.2300000000000004</v>
      </c>
      <c r="C61" s="59">
        <v>54.31</v>
      </c>
      <c r="D61" s="59">
        <v>33.36</v>
      </c>
      <c r="E61" s="59">
        <v>3.9</v>
      </c>
      <c r="F61" s="59">
        <v>11.46</v>
      </c>
      <c r="G61" s="59">
        <v>47.96</v>
      </c>
      <c r="H61" s="59">
        <v>32.43</v>
      </c>
      <c r="I61" s="59">
        <v>0.14000000000000001</v>
      </c>
      <c r="J61" s="59">
        <v>0.45</v>
      </c>
      <c r="K61" s="59">
        <v>148.63</v>
      </c>
      <c r="L61" s="59">
        <v>31.53</v>
      </c>
      <c r="M61" s="59">
        <v>21</v>
      </c>
      <c r="N61" s="59">
        <v>381</v>
      </c>
      <c r="O61" s="59">
        <v>0</v>
      </c>
      <c r="P61" s="59">
        <v>0.6</v>
      </c>
      <c r="Q61" s="59">
        <v>27.65</v>
      </c>
      <c r="R61" s="197"/>
      <c r="S61" s="197"/>
      <c r="T61" s="197"/>
      <c r="U61" s="197"/>
    </row>
    <row r="62" spans="1:21" s="12" customFormat="1" x14ac:dyDescent="0.25">
      <c r="A62" s="200" t="s">
        <v>2508</v>
      </c>
      <c r="B62" s="59">
        <v>4.3600000000000003</v>
      </c>
      <c r="C62" s="59">
        <v>50.3</v>
      </c>
      <c r="D62" s="59">
        <v>31.26</v>
      </c>
      <c r="E62" s="59">
        <v>3.21</v>
      </c>
      <c r="F62" s="59">
        <v>8.42</v>
      </c>
      <c r="G62" s="59">
        <v>39.79</v>
      </c>
      <c r="H62" s="59">
        <v>29.07</v>
      </c>
      <c r="I62" s="59">
        <v>0.13</v>
      </c>
      <c r="J62" s="59">
        <v>0.5</v>
      </c>
      <c r="K62" s="59">
        <v>102.13</v>
      </c>
      <c r="L62" s="59">
        <v>30.85</v>
      </c>
      <c r="M62" s="59">
        <v>21</v>
      </c>
      <c r="N62" s="59">
        <v>375.8</v>
      </c>
      <c r="O62" s="59">
        <v>0</v>
      </c>
      <c r="P62" s="59">
        <v>0.64</v>
      </c>
      <c r="Q62" s="59">
        <v>26.16</v>
      </c>
      <c r="R62" s="197"/>
      <c r="S62" s="197"/>
      <c r="T62" s="197"/>
      <c r="U62" s="197"/>
    </row>
    <row r="63" spans="1:21" s="12" customFormat="1" x14ac:dyDescent="0.25">
      <c r="A63" s="200" t="s">
        <v>2509</v>
      </c>
      <c r="B63" s="59">
        <v>4.95</v>
      </c>
      <c r="C63" s="59">
        <v>55.43</v>
      </c>
      <c r="D63" s="59">
        <v>34.56</v>
      </c>
      <c r="E63" s="59">
        <v>2.81</v>
      </c>
      <c r="F63" s="59">
        <v>3.43</v>
      </c>
      <c r="G63" s="59">
        <v>33.549999999999997</v>
      </c>
      <c r="H63" s="59">
        <v>24.47</v>
      </c>
      <c r="I63" s="59">
        <v>0.12</v>
      </c>
      <c r="J63" s="59">
        <v>0.04</v>
      </c>
      <c r="K63" s="59">
        <v>40.21</v>
      </c>
      <c r="L63" s="59">
        <v>33.159999999999997</v>
      </c>
      <c r="M63" s="59">
        <v>18</v>
      </c>
      <c r="N63" s="59">
        <v>361.2</v>
      </c>
      <c r="O63" s="59">
        <v>0</v>
      </c>
      <c r="P63" s="59">
        <v>0.68</v>
      </c>
      <c r="Q63" s="59">
        <v>26.25</v>
      </c>
      <c r="R63" s="197"/>
      <c r="S63" s="197"/>
      <c r="T63" s="197"/>
      <c r="U63" s="197"/>
    </row>
    <row r="64" spans="1:21" s="12" customFormat="1" x14ac:dyDescent="0.25">
      <c r="A64" s="200" t="s">
        <v>2510</v>
      </c>
      <c r="B64" s="59">
        <v>6.81</v>
      </c>
      <c r="C64" s="59">
        <v>54.02</v>
      </c>
      <c r="D64" s="59">
        <v>35.270000000000003</v>
      </c>
      <c r="E64" s="59">
        <v>4.21</v>
      </c>
      <c r="F64" s="59">
        <v>16.21</v>
      </c>
      <c r="G64" s="59">
        <v>33.549999999999997</v>
      </c>
      <c r="H64" s="59">
        <v>24.47</v>
      </c>
      <c r="I64" s="59">
        <v>0.12</v>
      </c>
      <c r="J64" s="59">
        <v>0.52</v>
      </c>
      <c r="K64" s="59">
        <v>93.35</v>
      </c>
      <c r="L64" s="59">
        <v>31.33</v>
      </c>
      <c r="M64" s="59">
        <v>19</v>
      </c>
      <c r="N64" s="59">
        <v>342.4</v>
      </c>
      <c r="O64" s="59">
        <v>0</v>
      </c>
      <c r="P64" s="59">
        <v>0.65</v>
      </c>
      <c r="Q64" s="59">
        <v>27.24</v>
      </c>
      <c r="R64" s="197"/>
      <c r="S64" s="197"/>
      <c r="T64" s="197"/>
      <c r="U64" s="197"/>
    </row>
    <row r="65" spans="1:21" s="12" customFormat="1" x14ac:dyDescent="0.25">
      <c r="A65" s="200" t="s">
        <v>2511</v>
      </c>
      <c r="B65" s="59">
        <v>3.15</v>
      </c>
      <c r="C65" s="59">
        <v>48.23</v>
      </c>
      <c r="D65" s="59">
        <v>29.14</v>
      </c>
      <c r="E65" s="59">
        <v>4</v>
      </c>
      <c r="F65" s="59">
        <v>14.38</v>
      </c>
      <c r="G65" s="59">
        <v>33.549999999999997</v>
      </c>
      <c r="H65" s="59">
        <v>24.47</v>
      </c>
      <c r="I65" s="59">
        <v>0.14000000000000001</v>
      </c>
      <c r="J65" s="59">
        <v>0.82</v>
      </c>
      <c r="K65" s="59">
        <v>160.66999999999999</v>
      </c>
      <c r="L65" s="59">
        <v>31.2</v>
      </c>
      <c r="M65" s="59">
        <v>19</v>
      </c>
      <c r="N65" s="59">
        <v>328.5</v>
      </c>
      <c r="O65" s="59">
        <v>0</v>
      </c>
      <c r="P65" s="59">
        <v>0.6</v>
      </c>
      <c r="Q65" s="59">
        <v>27.06</v>
      </c>
      <c r="R65" s="197"/>
      <c r="S65" s="197"/>
      <c r="T65" s="197"/>
      <c r="U65" s="197"/>
    </row>
    <row r="66" spans="1:21" s="12" customFormat="1" x14ac:dyDescent="0.25">
      <c r="A66" s="200" t="s">
        <v>2512</v>
      </c>
      <c r="B66" s="59">
        <v>3.35</v>
      </c>
      <c r="C66" s="59">
        <v>50.03</v>
      </c>
      <c r="D66" s="59">
        <v>30.3</v>
      </c>
      <c r="E66" s="59">
        <v>4.38</v>
      </c>
      <c r="F66" s="59">
        <v>13.25</v>
      </c>
      <c r="G66" s="59">
        <v>25.49</v>
      </c>
      <c r="H66" s="59">
        <v>21.09</v>
      </c>
      <c r="I66" s="59">
        <v>0.13</v>
      </c>
      <c r="J66" s="59">
        <v>0.61</v>
      </c>
      <c r="K66" s="59">
        <v>113.09</v>
      </c>
      <c r="L66" s="59">
        <v>31.14</v>
      </c>
      <c r="M66" s="59">
        <v>19</v>
      </c>
      <c r="N66" s="59">
        <v>201.5</v>
      </c>
      <c r="O66" s="59">
        <v>0</v>
      </c>
      <c r="P66" s="59">
        <v>0.59</v>
      </c>
      <c r="Q66" s="59">
        <v>27.41</v>
      </c>
      <c r="R66" s="197"/>
      <c r="S66" s="197"/>
      <c r="T66" s="197"/>
      <c r="U66" s="197"/>
    </row>
    <row r="67" spans="1:21" s="12" customFormat="1" x14ac:dyDescent="0.25">
      <c r="A67" s="200" t="s">
        <v>2513</v>
      </c>
      <c r="B67" s="59">
        <v>4.4400000000000004</v>
      </c>
      <c r="C67" s="59">
        <v>55.36</v>
      </c>
      <c r="D67" s="59">
        <v>34.11</v>
      </c>
      <c r="E67" s="59">
        <v>3.17</v>
      </c>
      <c r="F67" s="59">
        <v>6.75</v>
      </c>
      <c r="G67" s="59">
        <v>19.170000000000002</v>
      </c>
      <c r="H67" s="59">
        <v>16.46</v>
      </c>
      <c r="I67" s="59">
        <v>0.13</v>
      </c>
      <c r="J67" s="59">
        <v>0.25</v>
      </c>
      <c r="K67" s="59">
        <v>335.5</v>
      </c>
      <c r="L67" s="59">
        <v>32.35</v>
      </c>
      <c r="M67" s="59">
        <v>18</v>
      </c>
      <c r="N67" s="59">
        <v>213.7</v>
      </c>
      <c r="O67" s="59">
        <v>0</v>
      </c>
      <c r="P67" s="59">
        <v>0.61</v>
      </c>
      <c r="Q67" s="59">
        <v>28.96</v>
      </c>
      <c r="R67" s="197"/>
      <c r="S67" s="197"/>
      <c r="T67" s="197"/>
      <c r="U67" s="197"/>
    </row>
    <row r="68" spans="1:21" s="12" customFormat="1" x14ac:dyDescent="0.25">
      <c r="A68" s="200" t="s">
        <v>2514</v>
      </c>
      <c r="B68" s="59">
        <v>4.25</v>
      </c>
      <c r="C68" s="59">
        <v>55.42</v>
      </c>
      <c r="D68" s="59">
        <v>33.99</v>
      </c>
      <c r="E68" s="59">
        <v>3.26</v>
      </c>
      <c r="F68" s="59">
        <v>3.83</v>
      </c>
      <c r="G68" s="59">
        <v>19.170000000000002</v>
      </c>
      <c r="H68" s="59">
        <v>16.46</v>
      </c>
      <c r="I68" s="59">
        <v>0.15</v>
      </c>
      <c r="J68" s="59">
        <v>0.32</v>
      </c>
      <c r="K68" s="59">
        <v>148.99</v>
      </c>
      <c r="L68" s="59">
        <v>31.14</v>
      </c>
      <c r="M68" s="59">
        <v>18</v>
      </c>
      <c r="N68" s="59">
        <v>262.8</v>
      </c>
      <c r="O68" s="59">
        <v>0</v>
      </c>
      <c r="P68" s="59">
        <v>0.6</v>
      </c>
      <c r="Q68" s="59">
        <v>31.01</v>
      </c>
      <c r="R68" s="197"/>
      <c r="S68" s="197"/>
      <c r="T68" s="197"/>
      <c r="U68" s="197"/>
    </row>
    <row r="69" spans="1:21" s="12" customFormat="1" x14ac:dyDescent="0.25">
      <c r="A69" s="200" t="s">
        <v>2515</v>
      </c>
      <c r="B69" s="59">
        <v>4.2300000000000004</v>
      </c>
      <c r="C69" s="59">
        <v>59.76</v>
      </c>
      <c r="D69" s="59">
        <v>36.369999999999997</v>
      </c>
      <c r="E69" s="59">
        <v>2.9</v>
      </c>
      <c r="F69" s="59">
        <v>3.58</v>
      </c>
      <c r="G69" s="59">
        <v>19.170000000000002</v>
      </c>
      <c r="H69" s="59">
        <v>16.46</v>
      </c>
      <c r="I69" s="59">
        <v>0.18</v>
      </c>
      <c r="J69" s="59">
        <v>0.6</v>
      </c>
      <c r="K69" s="59">
        <v>160.91999999999999</v>
      </c>
      <c r="L69" s="59">
        <v>30.89</v>
      </c>
      <c r="M69" s="59">
        <v>19</v>
      </c>
      <c r="N69" s="59">
        <v>226.1</v>
      </c>
      <c r="O69" s="59">
        <v>0</v>
      </c>
      <c r="P69" s="59">
        <v>0.62</v>
      </c>
      <c r="Q69" s="59">
        <v>33.35</v>
      </c>
      <c r="R69" s="197"/>
      <c r="S69" s="197"/>
      <c r="T69" s="197"/>
      <c r="U69" s="197"/>
    </row>
    <row r="70" spans="1:21" s="12" customFormat="1" x14ac:dyDescent="0.25">
      <c r="A70" s="200" t="s">
        <v>2516</v>
      </c>
      <c r="B70" s="59">
        <v>3.49</v>
      </c>
      <c r="C70" s="59">
        <v>59.71</v>
      </c>
      <c r="D70" s="59">
        <v>35.75</v>
      </c>
      <c r="E70" s="59">
        <v>3.26</v>
      </c>
      <c r="F70" s="59">
        <v>4.8099999999999996</v>
      </c>
      <c r="G70" s="59">
        <v>20.38</v>
      </c>
      <c r="H70" s="59">
        <v>19.190000000000001</v>
      </c>
      <c r="I70" s="59">
        <v>0.17</v>
      </c>
      <c r="J70" s="59">
        <v>0.56999999999999995</v>
      </c>
      <c r="K70" s="59">
        <v>168.94</v>
      </c>
      <c r="L70" s="59">
        <v>30.04</v>
      </c>
      <c r="M70" s="59">
        <v>19</v>
      </c>
      <c r="N70" s="59">
        <v>157.69999999999999</v>
      </c>
      <c r="O70" s="59">
        <v>0</v>
      </c>
      <c r="P70" s="59">
        <v>0.57999999999999996</v>
      </c>
      <c r="Q70" s="59">
        <v>34.93</v>
      </c>
      <c r="R70" s="197"/>
      <c r="S70" s="197"/>
      <c r="T70" s="197"/>
      <c r="U70" s="197"/>
    </row>
    <row r="71" spans="1:21" s="12" customFormat="1" x14ac:dyDescent="0.25">
      <c r="A71" s="200" t="s">
        <v>2517</v>
      </c>
      <c r="B71" s="59">
        <v>2.86</v>
      </c>
      <c r="C71" s="59">
        <v>60.49</v>
      </c>
      <c r="D71" s="59">
        <v>35.68</v>
      </c>
      <c r="E71" s="59">
        <v>2.93</v>
      </c>
      <c r="F71" s="59">
        <v>4</v>
      </c>
      <c r="G71" s="210" t="s">
        <v>43</v>
      </c>
      <c r="H71" s="59">
        <v>22.76</v>
      </c>
      <c r="I71" s="59">
        <v>0.19</v>
      </c>
      <c r="J71" s="59">
        <v>0.81</v>
      </c>
      <c r="K71" s="59">
        <v>170.36</v>
      </c>
      <c r="L71" s="59">
        <v>29.68</v>
      </c>
      <c r="M71" s="59">
        <v>20</v>
      </c>
      <c r="N71" s="59">
        <v>185.2</v>
      </c>
      <c r="O71" s="59">
        <v>0</v>
      </c>
      <c r="P71" s="59">
        <v>0.56999999999999995</v>
      </c>
      <c r="Q71" s="59">
        <v>35.700000000000003</v>
      </c>
      <c r="R71" s="197"/>
      <c r="S71" s="197"/>
      <c r="T71" s="197"/>
      <c r="U71" s="197"/>
    </row>
    <row r="72" spans="1:21" s="12" customFormat="1" x14ac:dyDescent="0.25">
      <c r="A72" s="200" t="s">
        <v>2518</v>
      </c>
      <c r="B72" s="59">
        <v>3.16</v>
      </c>
      <c r="C72" s="59">
        <v>59.61</v>
      </c>
      <c r="D72" s="59">
        <v>35.43</v>
      </c>
      <c r="E72" s="59">
        <v>3.25</v>
      </c>
      <c r="F72" s="59">
        <v>7.38</v>
      </c>
      <c r="G72" s="210" t="s">
        <v>43</v>
      </c>
      <c r="H72" s="59">
        <v>22.76</v>
      </c>
      <c r="I72" s="59">
        <v>0.19</v>
      </c>
      <c r="J72" s="59">
        <v>0.23</v>
      </c>
      <c r="K72" s="59">
        <v>135.72</v>
      </c>
      <c r="L72" s="59">
        <v>29.51</v>
      </c>
      <c r="M72" s="59">
        <v>21</v>
      </c>
      <c r="N72" s="59">
        <v>91.5</v>
      </c>
      <c r="O72" s="59">
        <v>0</v>
      </c>
      <c r="P72" s="59">
        <v>0.56000000000000005</v>
      </c>
      <c r="Q72" s="59">
        <v>36.18</v>
      </c>
      <c r="R72" s="197"/>
      <c r="S72" s="197"/>
      <c r="T72" s="197"/>
      <c r="U72" s="197"/>
    </row>
    <row r="73" spans="1:21" s="12" customFormat="1" x14ac:dyDescent="0.25">
      <c r="A73" s="200" t="s">
        <v>2519</v>
      </c>
      <c r="B73" s="59">
        <v>4.0599999999999996</v>
      </c>
      <c r="C73" s="59">
        <v>64.510000000000005</v>
      </c>
      <c r="D73" s="59">
        <v>38.85</v>
      </c>
      <c r="E73" s="59">
        <v>4.01</v>
      </c>
      <c r="F73" s="59">
        <v>5.92</v>
      </c>
      <c r="G73" s="210" t="s">
        <v>43</v>
      </c>
      <c r="H73" s="59">
        <v>22.76</v>
      </c>
      <c r="I73" s="59">
        <v>0.17</v>
      </c>
      <c r="J73" s="59">
        <v>0.1</v>
      </c>
      <c r="K73" s="59">
        <v>41.64</v>
      </c>
      <c r="L73" s="59">
        <v>29.34</v>
      </c>
      <c r="M73" s="59">
        <v>22</v>
      </c>
      <c r="N73" s="59">
        <v>55.4</v>
      </c>
      <c r="O73" s="59">
        <v>0</v>
      </c>
      <c r="P73" s="59">
        <v>0.61</v>
      </c>
      <c r="Q73" s="59">
        <v>36.69</v>
      </c>
      <c r="R73" s="197"/>
      <c r="S73" s="197"/>
      <c r="T73" s="197"/>
      <c r="U73" s="197"/>
    </row>
    <row r="74" spans="1:21" s="12" customFormat="1" x14ac:dyDescent="0.25">
      <c r="A74" s="200" t="s">
        <v>2520</v>
      </c>
      <c r="B74" s="59">
        <v>3.84</v>
      </c>
      <c r="C74" s="59">
        <v>63.63</v>
      </c>
      <c r="D74" s="59">
        <v>38.200000000000003</v>
      </c>
      <c r="E74" s="59">
        <v>4.05</v>
      </c>
      <c r="F74" s="59">
        <v>7.32</v>
      </c>
      <c r="G74" s="59">
        <v>26.13</v>
      </c>
      <c r="H74" s="59">
        <v>20.07</v>
      </c>
      <c r="I74" s="59">
        <v>0.16</v>
      </c>
      <c r="J74" s="59">
        <v>0.04</v>
      </c>
      <c r="K74" s="59">
        <v>88.13</v>
      </c>
      <c r="L74" s="59">
        <v>29.36</v>
      </c>
      <c r="M74" s="59">
        <v>22</v>
      </c>
      <c r="N74" s="59">
        <v>49.1</v>
      </c>
      <c r="O74" s="59">
        <v>0</v>
      </c>
      <c r="P74" s="59">
        <v>0.6</v>
      </c>
      <c r="Q74" s="59">
        <v>37.04</v>
      </c>
      <c r="R74" s="197"/>
      <c r="S74" s="197"/>
      <c r="T74" s="197"/>
      <c r="U74" s="197"/>
    </row>
    <row r="75" spans="1:21" s="12" customFormat="1" x14ac:dyDescent="0.25">
      <c r="A75" s="200" t="s">
        <v>2521</v>
      </c>
      <c r="B75" s="59">
        <v>4</v>
      </c>
      <c r="C75" s="59">
        <v>63.01</v>
      </c>
      <c r="D75" s="59">
        <v>37.979999999999997</v>
      </c>
      <c r="E75" s="59">
        <v>5.14</v>
      </c>
      <c r="F75" s="59">
        <v>17.47</v>
      </c>
      <c r="G75" s="59">
        <v>36.14</v>
      </c>
      <c r="H75" s="59">
        <v>16.55</v>
      </c>
      <c r="I75" s="59">
        <v>0.17</v>
      </c>
      <c r="J75" s="59">
        <v>0.04</v>
      </c>
      <c r="K75" s="59">
        <v>206.33</v>
      </c>
      <c r="L75" s="59">
        <v>28.82</v>
      </c>
      <c r="M75" s="59">
        <v>23</v>
      </c>
      <c r="N75" s="59">
        <v>43.2</v>
      </c>
      <c r="O75" s="59">
        <v>0</v>
      </c>
      <c r="P75" s="59">
        <v>0.59</v>
      </c>
      <c r="Q75" s="59">
        <v>36.75</v>
      </c>
      <c r="R75" s="197"/>
      <c r="S75" s="197"/>
      <c r="T75" s="197"/>
      <c r="U75" s="197"/>
    </row>
    <row r="76" spans="1:21" s="12" customFormat="1" x14ac:dyDescent="0.25">
      <c r="A76" s="200" t="s">
        <v>2522</v>
      </c>
      <c r="B76" s="59">
        <v>9.69</v>
      </c>
      <c r="C76" s="59">
        <v>80.63</v>
      </c>
      <c r="D76" s="59">
        <v>52.27</v>
      </c>
      <c r="E76" s="59">
        <v>4.6500000000000004</v>
      </c>
      <c r="F76" s="59">
        <v>9.49</v>
      </c>
      <c r="G76" s="59">
        <v>36.14</v>
      </c>
      <c r="H76" s="59">
        <v>16.55</v>
      </c>
      <c r="I76" s="59">
        <v>0.17</v>
      </c>
      <c r="J76" s="59">
        <v>0.11</v>
      </c>
      <c r="K76" s="59">
        <v>8.56</v>
      </c>
      <c r="L76" s="59">
        <v>28.43</v>
      </c>
      <c r="M76" s="59">
        <v>23</v>
      </c>
      <c r="N76" s="59">
        <v>37.1</v>
      </c>
      <c r="O76" s="59">
        <v>0</v>
      </c>
      <c r="P76" s="59">
        <v>0.78</v>
      </c>
      <c r="Q76" s="59">
        <v>35.54</v>
      </c>
      <c r="R76" s="197"/>
      <c r="S76" s="197"/>
      <c r="T76" s="197"/>
      <c r="U76" s="197"/>
    </row>
    <row r="77" spans="1:21" s="12" customFormat="1" x14ac:dyDescent="0.25">
      <c r="A77" s="200" t="s">
        <v>2523</v>
      </c>
      <c r="B77" s="59">
        <v>7.35</v>
      </c>
      <c r="C77" s="59">
        <v>74.459999999999994</v>
      </c>
      <c r="D77" s="59">
        <v>46.98</v>
      </c>
      <c r="E77" s="59">
        <v>4.47</v>
      </c>
      <c r="F77" s="59">
        <v>8.81</v>
      </c>
      <c r="G77" s="59">
        <v>36.14</v>
      </c>
      <c r="H77" s="59">
        <v>16.55</v>
      </c>
      <c r="I77" s="59">
        <v>0.16</v>
      </c>
      <c r="J77" s="59">
        <v>0.06</v>
      </c>
      <c r="K77" s="59">
        <v>152.38</v>
      </c>
      <c r="L77" s="59">
        <v>27.37</v>
      </c>
      <c r="M77" s="59">
        <v>26</v>
      </c>
      <c r="N77" s="59">
        <v>31.3</v>
      </c>
      <c r="O77" s="59">
        <v>0</v>
      </c>
      <c r="P77" s="59">
        <v>0.69</v>
      </c>
      <c r="Q77" s="59">
        <v>35.18</v>
      </c>
      <c r="R77" s="197"/>
      <c r="S77" s="197"/>
      <c r="T77" s="197"/>
      <c r="U77" s="197"/>
    </row>
    <row r="78" spans="1:21" s="12" customFormat="1" x14ac:dyDescent="0.25">
      <c r="A78" s="200" t="s">
        <v>2524</v>
      </c>
      <c r="B78" s="59">
        <v>25.69</v>
      </c>
      <c r="C78" s="59">
        <v>92.25</v>
      </c>
      <c r="D78" s="59">
        <v>71.510000000000005</v>
      </c>
      <c r="E78" s="59">
        <v>4.38</v>
      </c>
      <c r="F78" s="59">
        <v>1.96</v>
      </c>
      <c r="G78" s="59">
        <v>49.2</v>
      </c>
      <c r="H78" s="59">
        <v>23.7</v>
      </c>
      <c r="I78" s="59">
        <v>0.18</v>
      </c>
      <c r="J78" s="59">
        <v>0.05</v>
      </c>
      <c r="K78" s="59">
        <v>91.2</v>
      </c>
      <c r="L78" s="59">
        <v>25.67</v>
      </c>
      <c r="M78" s="59">
        <v>37</v>
      </c>
      <c r="N78" s="59">
        <v>26.5</v>
      </c>
      <c r="O78" s="59">
        <v>0</v>
      </c>
      <c r="P78" s="59">
        <v>0.81</v>
      </c>
      <c r="Q78" s="59">
        <v>34.68</v>
      </c>
      <c r="R78" s="197"/>
      <c r="S78" s="197"/>
      <c r="T78" s="197"/>
      <c r="U78" s="197"/>
    </row>
    <row r="79" spans="1:21" s="12" customFormat="1" x14ac:dyDescent="0.25">
      <c r="A79" s="200" t="s">
        <v>2525</v>
      </c>
      <c r="B79" s="59">
        <v>29.04</v>
      </c>
      <c r="C79" s="59">
        <v>94.57</v>
      </c>
      <c r="D79" s="59">
        <v>75.48</v>
      </c>
      <c r="E79" s="59">
        <v>4.37</v>
      </c>
      <c r="F79" s="59">
        <v>0.5</v>
      </c>
      <c r="G79" s="59">
        <v>59.08</v>
      </c>
      <c r="H79" s="59">
        <v>33.06</v>
      </c>
      <c r="I79" s="59">
        <v>0.2</v>
      </c>
      <c r="J79" s="59">
        <v>0.03</v>
      </c>
      <c r="K79" s="59">
        <v>351.47</v>
      </c>
      <c r="L79" s="59">
        <v>24.44</v>
      </c>
      <c r="M79" s="59">
        <v>46</v>
      </c>
      <c r="N79" s="59">
        <v>24.8</v>
      </c>
      <c r="O79" s="59">
        <v>0</v>
      </c>
      <c r="P79" s="59">
        <v>0.86</v>
      </c>
      <c r="Q79" s="59">
        <v>34.64</v>
      </c>
      <c r="R79" s="197"/>
      <c r="S79" s="197"/>
      <c r="T79" s="197"/>
      <c r="U79" s="197"/>
    </row>
    <row r="80" spans="1:21" s="12" customFormat="1" x14ac:dyDescent="0.25">
      <c r="A80" s="200" t="s">
        <v>2526</v>
      </c>
      <c r="B80" s="59">
        <v>26.79</v>
      </c>
      <c r="C80" s="59">
        <v>91.12</v>
      </c>
      <c r="D80" s="59">
        <v>71.77</v>
      </c>
      <c r="E80" s="59">
        <v>4.2300000000000004</v>
      </c>
      <c r="F80" s="59">
        <v>0.35</v>
      </c>
      <c r="G80" s="59">
        <v>59.08</v>
      </c>
      <c r="H80" s="59">
        <v>33.06</v>
      </c>
      <c r="I80" s="59">
        <v>0.27</v>
      </c>
      <c r="J80" s="59">
        <v>0.01</v>
      </c>
      <c r="K80" s="59">
        <v>167.63</v>
      </c>
      <c r="L80" s="59">
        <v>23.56</v>
      </c>
      <c r="M80" s="59">
        <v>42</v>
      </c>
      <c r="N80" s="59">
        <v>24.6</v>
      </c>
      <c r="O80" s="59">
        <v>0</v>
      </c>
      <c r="P80" s="59">
        <v>0.92</v>
      </c>
      <c r="Q80" s="59">
        <v>36.5</v>
      </c>
      <c r="R80" s="197"/>
      <c r="S80" s="197"/>
      <c r="T80" s="197"/>
      <c r="U80" s="197"/>
    </row>
    <row r="81" spans="1:26" s="12" customFormat="1" x14ac:dyDescent="0.25">
      <c r="A81" s="200" t="s">
        <v>2527</v>
      </c>
      <c r="B81" s="59">
        <v>44.21</v>
      </c>
      <c r="C81" s="59">
        <v>105.66</v>
      </c>
      <c r="D81" s="59">
        <v>93.77</v>
      </c>
      <c r="E81" s="59">
        <v>3.97</v>
      </c>
      <c r="F81" s="59">
        <v>0.18</v>
      </c>
      <c r="G81" s="59">
        <v>59.08</v>
      </c>
      <c r="H81" s="59">
        <v>33.06</v>
      </c>
      <c r="I81" s="59">
        <v>0.3</v>
      </c>
      <c r="J81" s="59">
        <v>0.09</v>
      </c>
      <c r="K81" s="59">
        <v>105.95</v>
      </c>
      <c r="L81" s="59">
        <v>22.86</v>
      </c>
      <c r="M81" s="59">
        <v>45</v>
      </c>
      <c r="N81" s="59">
        <v>24.4</v>
      </c>
      <c r="O81" s="59">
        <v>0</v>
      </c>
      <c r="P81" s="59">
        <v>1.03</v>
      </c>
      <c r="Q81" s="59">
        <v>37.04</v>
      </c>
      <c r="R81" s="197"/>
      <c r="S81" s="197"/>
      <c r="T81" s="197"/>
      <c r="U81" s="197"/>
    </row>
    <row r="82" spans="1:26" s="12" customFormat="1" x14ac:dyDescent="0.25">
      <c r="A82" s="200" t="s">
        <v>2528</v>
      </c>
      <c r="B82" s="59">
        <v>31.83</v>
      </c>
      <c r="C82" s="59">
        <v>90.81</v>
      </c>
      <c r="D82" s="59">
        <v>75.64</v>
      </c>
      <c r="E82" s="59">
        <v>4.55</v>
      </c>
      <c r="F82" s="59">
        <v>0.11</v>
      </c>
      <c r="G82" s="59">
        <v>109.66</v>
      </c>
      <c r="H82" s="59">
        <v>38.81</v>
      </c>
      <c r="I82" s="59">
        <v>0.34</v>
      </c>
      <c r="J82" s="59">
        <v>0.02</v>
      </c>
      <c r="K82" s="59">
        <v>172.44</v>
      </c>
      <c r="L82" s="59">
        <v>22.38</v>
      </c>
      <c r="M82" s="59">
        <v>47</v>
      </c>
      <c r="N82" s="59">
        <v>24.3</v>
      </c>
      <c r="O82" s="59">
        <v>0</v>
      </c>
      <c r="P82" s="59">
        <v>0.95</v>
      </c>
      <c r="Q82" s="59">
        <v>38.11</v>
      </c>
      <c r="R82" s="197"/>
      <c r="S82" s="197"/>
      <c r="T82" s="197"/>
      <c r="U82" s="197"/>
    </row>
    <row r="83" spans="1:26" s="12" customFormat="1" x14ac:dyDescent="0.25">
      <c r="A83" s="200" t="s">
        <v>2529</v>
      </c>
      <c r="B83" s="59">
        <v>31.53</v>
      </c>
      <c r="C83" s="59">
        <v>87.81</v>
      </c>
      <c r="D83" s="59">
        <v>73.75</v>
      </c>
      <c r="E83" s="59">
        <v>4.03</v>
      </c>
      <c r="F83" s="59">
        <v>0.24</v>
      </c>
      <c r="G83" s="59">
        <v>146.93</v>
      </c>
      <c r="H83" s="59">
        <v>46.69</v>
      </c>
      <c r="I83" s="59">
        <v>0.34</v>
      </c>
      <c r="J83" s="59">
        <v>0.05</v>
      </c>
      <c r="K83" s="59">
        <v>135.44999999999999</v>
      </c>
      <c r="L83" s="59">
        <v>21.81</v>
      </c>
      <c r="M83" s="59">
        <v>51</v>
      </c>
      <c r="N83" s="59">
        <v>24.3</v>
      </c>
      <c r="O83" s="59">
        <v>0</v>
      </c>
      <c r="P83" s="59">
        <v>0.94</v>
      </c>
      <c r="Q83" s="59">
        <v>42.3</v>
      </c>
      <c r="R83" s="197"/>
      <c r="S83" s="197"/>
      <c r="T83" s="197"/>
      <c r="U83" s="197"/>
    </row>
    <row r="84" spans="1:26" s="12" customFormat="1" x14ac:dyDescent="0.25">
      <c r="A84" s="200" t="s">
        <v>2530</v>
      </c>
      <c r="B84" s="59">
        <v>40.340000000000003</v>
      </c>
      <c r="C84" s="59">
        <v>92.89</v>
      </c>
      <c r="D84" s="59">
        <v>83.61</v>
      </c>
      <c r="E84" s="59">
        <v>4.1100000000000003</v>
      </c>
      <c r="F84" s="59">
        <v>0.23</v>
      </c>
      <c r="G84" s="59">
        <v>146.93</v>
      </c>
      <c r="H84" s="59">
        <v>46.69</v>
      </c>
      <c r="I84" s="59">
        <v>0.35</v>
      </c>
      <c r="J84" s="59">
        <v>0.04</v>
      </c>
      <c r="K84" s="59">
        <v>112.26</v>
      </c>
      <c r="L84" s="59">
        <v>21.41</v>
      </c>
      <c r="M84" s="59">
        <v>53</v>
      </c>
      <c r="N84" s="59">
        <v>24.3</v>
      </c>
      <c r="O84" s="59">
        <v>0</v>
      </c>
      <c r="P84" s="59">
        <v>1.05</v>
      </c>
      <c r="Q84" s="59">
        <v>44.69</v>
      </c>
      <c r="R84" s="197"/>
      <c r="S84" s="197"/>
      <c r="T84" s="197"/>
      <c r="U84" s="197"/>
    </row>
    <row r="85" spans="1:26" s="12" customFormat="1" x14ac:dyDescent="0.25">
      <c r="A85" s="200" t="s">
        <v>2531</v>
      </c>
      <c r="B85" s="59">
        <v>50.01</v>
      </c>
      <c r="C85" s="59">
        <v>98.58</v>
      </c>
      <c r="D85" s="59">
        <v>94.51</v>
      </c>
      <c r="E85" s="59">
        <v>4.09</v>
      </c>
      <c r="F85" s="59">
        <v>0.16</v>
      </c>
      <c r="G85" s="59">
        <v>146.93</v>
      </c>
      <c r="H85" s="59">
        <v>46.69</v>
      </c>
      <c r="I85" s="59">
        <v>0.37</v>
      </c>
      <c r="J85" s="59">
        <v>0.05</v>
      </c>
      <c r="K85" s="59">
        <v>123.57</v>
      </c>
      <c r="L85" s="59">
        <v>21.17</v>
      </c>
      <c r="M85" s="59">
        <v>55</v>
      </c>
      <c r="N85" s="59">
        <v>24.4</v>
      </c>
      <c r="O85" s="59">
        <v>0</v>
      </c>
      <c r="P85" s="59">
        <v>1.1599999999999999</v>
      </c>
      <c r="Q85" s="59">
        <v>45.99</v>
      </c>
      <c r="R85" s="197"/>
      <c r="S85" s="197"/>
      <c r="T85" s="197"/>
      <c r="U85" s="197"/>
    </row>
    <row r="86" spans="1:26" s="12" customFormat="1" x14ac:dyDescent="0.25">
      <c r="A86" s="200" t="s">
        <v>2532</v>
      </c>
      <c r="B86" s="59">
        <v>63.12</v>
      </c>
      <c r="C86" s="59">
        <v>106.13</v>
      </c>
      <c r="D86" s="59">
        <v>109.19</v>
      </c>
      <c r="E86" s="59">
        <v>4.3899999999999997</v>
      </c>
      <c r="F86" s="59">
        <v>0.15</v>
      </c>
      <c r="G86" s="59">
        <v>156.13</v>
      </c>
      <c r="H86" s="59">
        <v>50.8</v>
      </c>
      <c r="I86" s="59">
        <v>0.4</v>
      </c>
      <c r="J86" s="59">
        <v>0.03</v>
      </c>
      <c r="K86" s="59">
        <v>98.42</v>
      </c>
      <c r="L86" s="59">
        <v>21.21</v>
      </c>
      <c r="M86" s="59">
        <v>57</v>
      </c>
      <c r="N86" s="59">
        <v>23.9</v>
      </c>
      <c r="O86" s="59">
        <v>0</v>
      </c>
      <c r="P86" s="59">
        <v>1.32</v>
      </c>
      <c r="Q86" s="59">
        <v>47</v>
      </c>
      <c r="R86" s="197"/>
      <c r="S86" s="197"/>
      <c r="T86" s="197"/>
      <c r="U86" s="197"/>
    </row>
    <row r="87" spans="1:26" s="12" customFormat="1" x14ac:dyDescent="0.25">
      <c r="A87" s="200" t="s">
        <v>2533</v>
      </c>
      <c r="B87" s="59">
        <v>75.63</v>
      </c>
      <c r="C87" s="59">
        <v>112.79</v>
      </c>
      <c r="D87" s="59">
        <v>122.89</v>
      </c>
      <c r="E87" s="59">
        <v>4.63</v>
      </c>
      <c r="F87" s="59">
        <v>0.18</v>
      </c>
      <c r="G87" s="59">
        <v>162.9</v>
      </c>
      <c r="H87" s="59">
        <v>56.18</v>
      </c>
      <c r="I87" s="59">
        <v>0.43</v>
      </c>
      <c r="J87" s="59">
        <v>0.09</v>
      </c>
      <c r="K87" s="59">
        <v>25.96</v>
      </c>
      <c r="L87" s="59">
        <v>20.85</v>
      </c>
      <c r="M87" s="59">
        <v>60</v>
      </c>
      <c r="N87" s="59">
        <v>24.1</v>
      </c>
      <c r="O87" s="59">
        <v>0</v>
      </c>
      <c r="P87" s="59">
        <v>1.52</v>
      </c>
      <c r="Q87" s="59">
        <v>47.86</v>
      </c>
      <c r="R87" s="197"/>
      <c r="S87" s="197"/>
      <c r="T87" s="197"/>
      <c r="U87" s="197"/>
    </row>
    <row r="88" spans="1:26" s="12" customFormat="1" x14ac:dyDescent="0.25">
      <c r="A88" s="200" t="s">
        <v>2534</v>
      </c>
      <c r="B88" s="59">
        <v>93.37</v>
      </c>
      <c r="C88" s="59">
        <v>120.9</v>
      </c>
      <c r="D88" s="59">
        <v>141.6</v>
      </c>
      <c r="E88" s="59">
        <v>2.1800000000000002</v>
      </c>
      <c r="F88" s="59">
        <v>0.19</v>
      </c>
      <c r="G88" s="59">
        <v>162.9</v>
      </c>
      <c r="H88" s="59">
        <v>56.18</v>
      </c>
      <c r="I88" s="59">
        <v>0.48</v>
      </c>
      <c r="J88" s="59">
        <v>0.05</v>
      </c>
      <c r="K88" s="59">
        <v>38.96</v>
      </c>
      <c r="L88" s="59">
        <v>20.58</v>
      </c>
      <c r="M88" s="59">
        <v>61</v>
      </c>
      <c r="N88" s="59">
        <v>24.1</v>
      </c>
      <c r="O88" s="59">
        <v>0</v>
      </c>
      <c r="P88" s="59">
        <v>1.89</v>
      </c>
      <c r="Q88" s="59">
        <v>49.22</v>
      </c>
      <c r="R88" s="197"/>
      <c r="S88" s="197"/>
      <c r="T88" s="197"/>
      <c r="U88" s="197"/>
    </row>
    <row r="89" spans="1:26" s="12" customFormat="1" x14ac:dyDescent="0.25">
      <c r="A89" s="200" t="s">
        <v>2535</v>
      </c>
      <c r="B89" s="59">
        <v>117.89</v>
      </c>
      <c r="C89" s="59">
        <v>132.41999999999999</v>
      </c>
      <c r="D89" s="59">
        <v>167.62</v>
      </c>
      <c r="E89" s="59">
        <v>4.18</v>
      </c>
      <c r="F89" s="59">
        <v>0.17</v>
      </c>
      <c r="G89" s="59">
        <v>162.9</v>
      </c>
      <c r="H89" s="59">
        <v>56.18</v>
      </c>
      <c r="I89" s="59">
        <v>0.56000000000000005</v>
      </c>
      <c r="J89" s="59">
        <v>7.0000000000000007E-2</v>
      </c>
      <c r="K89" s="59">
        <v>311.64</v>
      </c>
      <c r="L89" s="59">
        <v>20.68</v>
      </c>
      <c r="M89" s="59">
        <v>60</v>
      </c>
      <c r="N89" s="59">
        <v>24</v>
      </c>
      <c r="O89" s="59">
        <v>0</v>
      </c>
      <c r="P89" s="59">
        <v>2.2200000000000002</v>
      </c>
      <c r="Q89" s="59">
        <v>49.19</v>
      </c>
      <c r="R89" s="197"/>
      <c r="S89" s="197"/>
      <c r="T89" s="197"/>
      <c r="U89" s="197"/>
    </row>
    <row r="90" spans="1:26" s="12" customFormat="1" x14ac:dyDescent="0.25">
      <c r="A90" s="200" t="s">
        <v>2536</v>
      </c>
      <c r="B90" s="59">
        <v>128.13</v>
      </c>
      <c r="C90" s="59">
        <v>135.1</v>
      </c>
      <c r="D90" s="59">
        <v>177.31</v>
      </c>
      <c r="E90" s="59">
        <v>4.24</v>
      </c>
      <c r="F90" s="59">
        <v>0.27</v>
      </c>
      <c r="G90" s="59">
        <v>182.88</v>
      </c>
      <c r="H90" s="59">
        <v>65.75</v>
      </c>
      <c r="I90" s="59">
        <v>0.69</v>
      </c>
      <c r="J90" s="59">
        <v>7.0000000000000007E-2</v>
      </c>
      <c r="K90" s="59">
        <v>335.29</v>
      </c>
      <c r="L90" s="59">
        <v>20.38</v>
      </c>
      <c r="M90" s="59">
        <v>64</v>
      </c>
      <c r="N90" s="59">
        <v>23.8</v>
      </c>
      <c r="O90" s="59">
        <v>0</v>
      </c>
      <c r="P90" s="59">
        <v>2.5</v>
      </c>
      <c r="Q90" s="59">
        <v>48.78</v>
      </c>
      <c r="R90" s="197"/>
      <c r="S90" s="197"/>
      <c r="T90" s="197"/>
      <c r="U90" s="197"/>
    </row>
    <row r="91" spans="1:26" s="12" customFormat="1" x14ac:dyDescent="0.25">
      <c r="A91" s="200" t="s">
        <v>2537</v>
      </c>
      <c r="B91" s="59">
        <v>143.76</v>
      </c>
      <c r="C91" s="59">
        <v>136.51</v>
      </c>
      <c r="D91" s="59">
        <v>190.62</v>
      </c>
      <c r="E91" s="59">
        <v>4.34</v>
      </c>
      <c r="F91" s="59">
        <v>0.26</v>
      </c>
      <c r="G91" s="59">
        <v>222.84</v>
      </c>
      <c r="H91" s="59">
        <v>78.849999999999994</v>
      </c>
      <c r="I91" s="59">
        <v>0.91</v>
      </c>
      <c r="J91" s="59">
        <v>0.12</v>
      </c>
      <c r="K91" s="59">
        <v>325.7</v>
      </c>
      <c r="L91" s="59">
        <v>20.48</v>
      </c>
      <c r="M91" s="59">
        <v>65</v>
      </c>
      <c r="N91" s="59">
        <v>23.7</v>
      </c>
      <c r="O91" s="59">
        <v>0</v>
      </c>
      <c r="P91" s="59">
        <v>3.11</v>
      </c>
      <c r="Q91" s="59">
        <v>48.67</v>
      </c>
      <c r="R91" s="197"/>
      <c r="S91" s="197"/>
      <c r="T91" s="197"/>
      <c r="U91" s="197"/>
    </row>
    <row r="92" spans="1:26" s="12" customFormat="1" x14ac:dyDescent="0.25">
      <c r="A92" s="200" t="s">
        <v>2538</v>
      </c>
      <c r="B92" s="59">
        <v>150.93</v>
      </c>
      <c r="C92" s="59">
        <v>135.96</v>
      </c>
      <c r="D92" s="59">
        <v>196.07</v>
      </c>
      <c r="E92" s="59">
        <v>4.46</v>
      </c>
      <c r="F92" s="59">
        <v>0.04</v>
      </c>
      <c r="G92" s="59">
        <v>222.84</v>
      </c>
      <c r="H92" s="59">
        <v>78.849999999999994</v>
      </c>
      <c r="I92" s="59">
        <v>1.04</v>
      </c>
      <c r="J92" s="59">
        <v>0.04</v>
      </c>
      <c r="K92" s="59">
        <v>25.38</v>
      </c>
      <c r="L92" s="59">
        <v>20.43</v>
      </c>
      <c r="M92" s="59">
        <v>65</v>
      </c>
      <c r="N92" s="59">
        <v>24.1</v>
      </c>
      <c r="O92" s="59">
        <v>0</v>
      </c>
      <c r="P92" s="59">
        <v>3.2</v>
      </c>
      <c r="Q92" s="59">
        <v>49.34</v>
      </c>
      <c r="R92" s="197"/>
      <c r="S92" s="197"/>
      <c r="T92" s="197"/>
      <c r="U92" s="197"/>
    </row>
    <row r="93" spans="1:26" s="12" customFormat="1" x14ac:dyDescent="0.25">
      <c r="A93" s="200" t="s">
        <v>2539</v>
      </c>
      <c r="B93" s="59">
        <v>162.12</v>
      </c>
      <c r="C93" s="59">
        <v>140.28</v>
      </c>
      <c r="D93" s="59">
        <v>207.42</v>
      </c>
      <c r="E93" s="59">
        <v>4.6399999999999997</v>
      </c>
      <c r="F93" s="209" t="s">
        <v>36</v>
      </c>
      <c r="G93" s="59">
        <v>222.84</v>
      </c>
      <c r="H93" s="59">
        <v>78.849999999999994</v>
      </c>
      <c r="I93" s="59">
        <v>1.23</v>
      </c>
      <c r="J93" s="59">
        <v>0.17</v>
      </c>
      <c r="K93" s="59">
        <v>111.23</v>
      </c>
      <c r="L93" s="59">
        <v>20.399999999999999</v>
      </c>
      <c r="M93" s="59">
        <v>65</v>
      </c>
      <c r="N93" s="59">
        <v>23.8</v>
      </c>
      <c r="O93" s="59">
        <v>0</v>
      </c>
      <c r="P93" s="59">
        <v>3.45</v>
      </c>
      <c r="Q93" s="59">
        <v>50.64</v>
      </c>
      <c r="R93" s="197"/>
      <c r="S93" s="197"/>
      <c r="T93" s="197"/>
      <c r="U93" s="197"/>
    </row>
    <row r="94" spans="1:26" s="12" customFormat="1" x14ac:dyDescent="0.25">
      <c r="A94" s="200" t="s">
        <v>2540</v>
      </c>
      <c r="B94" s="59">
        <v>179.46</v>
      </c>
      <c r="C94" s="59">
        <v>145.05000000000001</v>
      </c>
      <c r="D94" s="59">
        <v>223.96</v>
      </c>
      <c r="E94" s="59">
        <v>5.22</v>
      </c>
      <c r="F94" s="209" t="s">
        <v>36</v>
      </c>
      <c r="G94" s="59">
        <v>233.34</v>
      </c>
      <c r="H94" s="59">
        <v>86.17</v>
      </c>
      <c r="I94" s="59">
        <v>1.27</v>
      </c>
      <c r="J94" s="59">
        <v>7.0000000000000007E-2</v>
      </c>
      <c r="K94" s="59">
        <v>128.55000000000001</v>
      </c>
      <c r="L94" s="59">
        <v>20</v>
      </c>
      <c r="M94" s="59">
        <v>65</v>
      </c>
      <c r="N94" s="59">
        <v>24.4</v>
      </c>
      <c r="O94" s="59">
        <v>0</v>
      </c>
      <c r="P94" s="59">
        <v>3.8</v>
      </c>
      <c r="Q94" s="59">
        <v>50.88</v>
      </c>
      <c r="R94" s="197"/>
      <c r="S94" s="197"/>
      <c r="T94" s="197"/>
      <c r="U94" s="197"/>
    </row>
    <row r="95" spans="1:26" s="12" customFormat="1" x14ac:dyDescent="0.25">
      <c r="A95" s="200" t="s">
        <v>2541</v>
      </c>
      <c r="B95" s="59">
        <v>191.36</v>
      </c>
      <c r="C95" s="59">
        <v>147.58000000000001</v>
      </c>
      <c r="D95" s="59">
        <v>234.9</v>
      </c>
      <c r="E95" s="59">
        <v>5.61</v>
      </c>
      <c r="F95" s="59">
        <v>0.01</v>
      </c>
      <c r="G95" s="59">
        <v>241.07</v>
      </c>
      <c r="H95" s="59">
        <v>95.75</v>
      </c>
      <c r="I95" s="59">
        <v>1.37</v>
      </c>
      <c r="J95" s="59">
        <v>0.08</v>
      </c>
      <c r="K95" s="59">
        <v>333.35</v>
      </c>
      <c r="L95" s="59">
        <v>19.54</v>
      </c>
      <c r="M95" s="59">
        <v>66</v>
      </c>
      <c r="N95" s="59">
        <v>24.3</v>
      </c>
      <c r="O95" s="59">
        <v>0</v>
      </c>
      <c r="P95" s="59">
        <v>4.0599999999999996</v>
      </c>
      <c r="Q95" s="59">
        <v>52.57</v>
      </c>
      <c r="R95" s="197"/>
      <c r="S95" s="197"/>
      <c r="T95" s="197"/>
      <c r="U95" s="197"/>
    </row>
    <row r="96" spans="1:26" s="12" customFormat="1" x14ac:dyDescent="0.25">
      <c r="A96" s="200" t="s">
        <v>2542</v>
      </c>
      <c r="B96" s="59">
        <v>203.95</v>
      </c>
      <c r="C96" s="59">
        <v>150.72999999999999</v>
      </c>
      <c r="D96" s="59">
        <v>246.74</v>
      </c>
      <c r="E96" s="59">
        <v>5.79</v>
      </c>
      <c r="F96" s="59">
        <v>0.11</v>
      </c>
      <c r="G96" s="59">
        <v>241.07</v>
      </c>
      <c r="H96" s="59">
        <v>95.75</v>
      </c>
      <c r="I96" s="59">
        <v>1.54</v>
      </c>
      <c r="J96" s="59">
        <v>0.11</v>
      </c>
      <c r="K96" s="59">
        <v>1.28</v>
      </c>
      <c r="L96" s="59">
        <v>19.399999999999999</v>
      </c>
      <c r="M96" s="59">
        <v>67</v>
      </c>
      <c r="N96" s="59">
        <v>24.3</v>
      </c>
      <c r="O96" s="59">
        <v>0</v>
      </c>
      <c r="P96" s="59">
        <v>4.3499999999999996</v>
      </c>
      <c r="Q96" s="59">
        <v>54.46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2543</v>
      </c>
      <c r="B97" s="59">
        <v>214</v>
      </c>
      <c r="C97" s="59">
        <v>153.30000000000001</v>
      </c>
      <c r="D97" s="59">
        <v>256.20999999999998</v>
      </c>
      <c r="E97" s="59">
        <v>6.38</v>
      </c>
      <c r="F97" s="209" t="s">
        <v>36</v>
      </c>
      <c r="G97" s="59">
        <v>241.07</v>
      </c>
      <c r="H97" s="59">
        <v>95.75</v>
      </c>
      <c r="I97" s="59">
        <v>1.64</v>
      </c>
      <c r="J97" s="59">
        <v>7.0000000000000007E-2</v>
      </c>
      <c r="K97" s="59">
        <v>323.52999999999997</v>
      </c>
      <c r="L97" s="59">
        <v>19.32</v>
      </c>
      <c r="M97" s="59">
        <v>68</v>
      </c>
      <c r="N97" s="59">
        <v>24.3</v>
      </c>
      <c r="O97" s="59">
        <v>0</v>
      </c>
      <c r="P97" s="59">
        <v>4.68</v>
      </c>
      <c r="Q97" s="59">
        <v>58.03</v>
      </c>
      <c r="R97" s="197"/>
      <c r="S97" s="197"/>
      <c r="T97" s="197"/>
      <c r="U97" s="197"/>
    </row>
    <row r="98" spans="1:33" s="12" customFormat="1" x14ac:dyDescent="0.25">
      <c r="A98" s="200" t="s">
        <v>2544</v>
      </c>
      <c r="B98" s="59">
        <v>234.2</v>
      </c>
      <c r="C98" s="59">
        <v>161.96</v>
      </c>
      <c r="D98" s="59">
        <v>277.2</v>
      </c>
      <c r="E98" s="59">
        <v>6.88</v>
      </c>
      <c r="F98" s="59">
        <v>0.23</v>
      </c>
      <c r="G98" s="59">
        <v>241.07</v>
      </c>
      <c r="H98" s="59">
        <v>96.32</v>
      </c>
      <c r="I98" s="59">
        <v>1.75</v>
      </c>
      <c r="J98" s="59">
        <v>0.2</v>
      </c>
      <c r="K98" s="59">
        <v>125.31</v>
      </c>
      <c r="L98" s="59">
        <v>19.2</v>
      </c>
      <c r="M98" s="59">
        <v>67</v>
      </c>
      <c r="N98" s="59">
        <v>23.8</v>
      </c>
      <c r="O98" s="59">
        <v>0</v>
      </c>
      <c r="P98" s="59">
        <v>5.16</v>
      </c>
      <c r="Q98" s="59">
        <v>61.41</v>
      </c>
      <c r="R98" s="197"/>
      <c r="S98" s="197"/>
      <c r="T98" s="197"/>
      <c r="U98" s="197"/>
    </row>
    <row r="99" spans="1:33" s="12" customFormat="1" x14ac:dyDescent="0.25">
      <c r="A99" s="200" t="s">
        <v>2545</v>
      </c>
      <c r="B99" s="59">
        <v>246.51</v>
      </c>
      <c r="C99" s="59">
        <v>166.92</v>
      </c>
      <c r="D99" s="59">
        <v>289.81</v>
      </c>
      <c r="E99" s="59">
        <v>6.92</v>
      </c>
      <c r="F99" s="59">
        <v>0.23</v>
      </c>
      <c r="G99" s="59">
        <v>261.23</v>
      </c>
      <c r="H99" s="59">
        <v>97.06</v>
      </c>
      <c r="I99" s="59">
        <v>1.88</v>
      </c>
      <c r="J99" s="59">
        <v>0.06</v>
      </c>
      <c r="K99" s="59">
        <v>35.229999999999997</v>
      </c>
      <c r="L99" s="59">
        <v>20.25</v>
      </c>
      <c r="M99" s="59">
        <v>59</v>
      </c>
      <c r="N99" s="59">
        <v>22.9</v>
      </c>
      <c r="O99" s="59">
        <v>0</v>
      </c>
      <c r="P99" s="59">
        <v>5.41</v>
      </c>
      <c r="Q99" s="59">
        <v>62.59</v>
      </c>
      <c r="R99" s="197"/>
      <c r="S99" s="197"/>
      <c r="T99" s="197"/>
      <c r="U99" s="197"/>
    </row>
    <row r="100" spans="1:33" s="12" customFormat="1" x14ac:dyDescent="0.25">
      <c r="A100" s="200" t="s">
        <v>2546</v>
      </c>
      <c r="B100" s="59">
        <v>250.06</v>
      </c>
      <c r="C100" s="59">
        <v>168.16</v>
      </c>
      <c r="D100" s="59">
        <v>293.33</v>
      </c>
      <c r="E100" s="59">
        <v>6.51</v>
      </c>
      <c r="F100" s="59">
        <v>0.17</v>
      </c>
      <c r="G100" s="59">
        <v>261.23</v>
      </c>
      <c r="H100" s="59">
        <v>97.06</v>
      </c>
      <c r="I100" s="59">
        <v>2.0299999999999998</v>
      </c>
      <c r="J100" s="59">
        <v>0.18</v>
      </c>
      <c r="K100" s="59">
        <v>341.63</v>
      </c>
      <c r="L100" s="59">
        <v>19.690000000000001</v>
      </c>
      <c r="M100" s="59">
        <v>63</v>
      </c>
      <c r="N100" s="59">
        <v>24.4</v>
      </c>
      <c r="O100" s="59">
        <v>0</v>
      </c>
      <c r="P100" s="59">
        <v>5.52</v>
      </c>
      <c r="Q100" s="59">
        <v>63.08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2547</v>
      </c>
      <c r="B101" s="59">
        <v>251.77</v>
      </c>
      <c r="C101" s="59">
        <v>168.29</v>
      </c>
      <c r="D101" s="59">
        <v>294.77999999999997</v>
      </c>
      <c r="E101" s="59">
        <v>6.85</v>
      </c>
      <c r="F101" s="59">
        <v>0.01</v>
      </c>
      <c r="G101" s="59">
        <v>261.23</v>
      </c>
      <c r="H101" s="59">
        <v>97.06</v>
      </c>
      <c r="I101" s="59">
        <v>2.13</v>
      </c>
      <c r="J101" s="59">
        <v>0.08</v>
      </c>
      <c r="K101" s="59">
        <v>217.18</v>
      </c>
      <c r="L101" s="59">
        <v>19.78</v>
      </c>
      <c r="M101" s="59">
        <v>58</v>
      </c>
      <c r="N101" s="59">
        <v>23.8</v>
      </c>
      <c r="O101" s="59">
        <v>0</v>
      </c>
      <c r="P101" s="59">
        <v>5.64</v>
      </c>
      <c r="Q101" s="59">
        <v>63.06</v>
      </c>
      <c r="R101" s="197"/>
      <c r="S101" s="197"/>
      <c r="T101" s="197"/>
      <c r="U101" s="197"/>
    </row>
    <row r="102" spans="1:33" s="12" customFormat="1" x14ac:dyDescent="0.25">
      <c r="A102" s="200" t="s">
        <v>2548</v>
      </c>
      <c r="B102" s="59">
        <v>242.25</v>
      </c>
      <c r="C102" s="59">
        <v>163.5</v>
      </c>
      <c r="D102" s="59">
        <v>284.49</v>
      </c>
      <c r="E102" s="59">
        <v>6.84</v>
      </c>
      <c r="F102" s="59">
        <v>0.02</v>
      </c>
      <c r="G102" s="59">
        <v>166.32</v>
      </c>
      <c r="H102" s="59">
        <v>92.95</v>
      </c>
      <c r="I102" s="59">
        <v>2.16</v>
      </c>
      <c r="J102" s="59">
        <v>0.11</v>
      </c>
      <c r="K102" s="59">
        <v>351.88</v>
      </c>
      <c r="L102" s="59">
        <v>19.45</v>
      </c>
      <c r="M102" s="59">
        <v>56</v>
      </c>
      <c r="N102" s="59">
        <v>24.6</v>
      </c>
      <c r="O102" s="59">
        <v>0</v>
      </c>
      <c r="P102" s="59">
        <v>5.46</v>
      </c>
      <c r="Q102" s="59">
        <v>62.1</v>
      </c>
      <c r="R102" s="197"/>
      <c r="S102" s="197"/>
      <c r="T102" s="197"/>
      <c r="U102" s="197"/>
    </row>
    <row r="103" spans="1:33" s="12" customFormat="1" x14ac:dyDescent="0.25">
      <c r="A103" s="200" t="s">
        <v>2549</v>
      </c>
      <c r="B103" s="59">
        <v>225.75</v>
      </c>
      <c r="C103" s="59">
        <v>155.97</v>
      </c>
      <c r="D103" s="59">
        <v>267.11</v>
      </c>
      <c r="E103" s="59">
        <v>6.75</v>
      </c>
      <c r="F103" s="209" t="s">
        <v>36</v>
      </c>
      <c r="G103" s="59">
        <v>166.32</v>
      </c>
      <c r="H103" s="59">
        <v>87.59</v>
      </c>
      <c r="I103" s="59">
        <v>2.1800000000000002</v>
      </c>
      <c r="J103" s="59">
        <v>0.14000000000000001</v>
      </c>
      <c r="K103" s="59">
        <v>334.06</v>
      </c>
      <c r="L103" s="59">
        <v>18.809999999999999</v>
      </c>
      <c r="M103" s="59">
        <v>59</v>
      </c>
      <c r="N103" s="59">
        <v>24.3</v>
      </c>
      <c r="O103" s="59">
        <v>0</v>
      </c>
      <c r="P103" s="59">
        <v>5.18</v>
      </c>
      <c r="Q103" s="59">
        <v>60.73</v>
      </c>
      <c r="R103" s="197"/>
      <c r="S103" s="197"/>
      <c r="T103" s="197"/>
      <c r="U103" s="197"/>
    </row>
    <row r="104" spans="1:33" s="12" customFormat="1" x14ac:dyDescent="0.25">
      <c r="A104" s="200" t="s">
        <v>2550</v>
      </c>
      <c r="B104" s="59">
        <v>212.45</v>
      </c>
      <c r="C104" s="59">
        <v>149.08000000000001</v>
      </c>
      <c r="D104" s="59">
        <v>252.64</v>
      </c>
      <c r="E104" s="59">
        <v>3.34</v>
      </c>
      <c r="F104" s="59">
        <v>0.01</v>
      </c>
      <c r="G104" s="59">
        <v>166.32</v>
      </c>
      <c r="H104" s="59">
        <v>87.59</v>
      </c>
      <c r="I104" s="59">
        <v>2.12</v>
      </c>
      <c r="J104" s="59">
        <v>0.19</v>
      </c>
      <c r="K104" s="59">
        <v>352.35</v>
      </c>
      <c r="L104" s="59">
        <v>18.28</v>
      </c>
      <c r="M104" s="59">
        <v>63</v>
      </c>
      <c r="N104" s="59">
        <v>24.4</v>
      </c>
      <c r="O104" s="59">
        <v>0</v>
      </c>
      <c r="P104" s="59">
        <v>5</v>
      </c>
      <c r="Q104" s="59">
        <v>58.28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2.12</v>
      </c>
      <c r="C106" s="66">
        <f>MIN(C9:C104)</f>
        <v>48.23</v>
      </c>
      <c r="D106" s="66">
        <f t="shared" ref="D106:Q106" si="0">MIN(D9:D104)</f>
        <v>29.14</v>
      </c>
      <c r="E106" s="66">
        <f t="shared" si="0"/>
        <v>2.1800000000000002</v>
      </c>
      <c r="F106" s="66">
        <f t="shared" si="0"/>
        <v>0.01</v>
      </c>
      <c r="G106" s="66">
        <f t="shared" si="0"/>
        <v>19.170000000000002</v>
      </c>
      <c r="H106" s="66">
        <f t="shared" si="0"/>
        <v>16.46</v>
      </c>
      <c r="I106" s="66">
        <f t="shared" si="0"/>
        <v>0.12</v>
      </c>
      <c r="J106" s="66">
        <f t="shared" si="0"/>
        <v>0.01</v>
      </c>
      <c r="K106" s="66">
        <f t="shared" si="0"/>
        <v>1.28</v>
      </c>
      <c r="L106" s="66">
        <f t="shared" si="0"/>
        <v>15.39</v>
      </c>
      <c r="M106" s="66">
        <f t="shared" si="0"/>
        <v>18</v>
      </c>
      <c r="N106" s="66">
        <f t="shared" si="0"/>
        <v>22.9</v>
      </c>
      <c r="O106" s="66">
        <f t="shared" si="0"/>
        <v>0</v>
      </c>
      <c r="P106" s="66">
        <f t="shared" si="0"/>
        <v>0.56000000000000005</v>
      </c>
      <c r="Q106" s="66">
        <f t="shared" si="0"/>
        <v>26.16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251.77</v>
      </c>
      <c r="C107" s="65">
        <f t="shared" ref="C107:Q107" si="1">MAX(C9:C104)</f>
        <v>168.29</v>
      </c>
      <c r="D107" s="65">
        <f t="shared" si="1"/>
        <v>294.77999999999997</v>
      </c>
      <c r="E107" s="65">
        <f t="shared" si="1"/>
        <v>9.1199999999999992</v>
      </c>
      <c r="F107" s="65">
        <f t="shared" si="1"/>
        <v>17.47</v>
      </c>
      <c r="G107" s="65">
        <f t="shared" si="1"/>
        <v>261.23</v>
      </c>
      <c r="H107" s="65">
        <f t="shared" si="1"/>
        <v>111.76</v>
      </c>
      <c r="I107" s="65">
        <f t="shared" si="1"/>
        <v>2.1800000000000002</v>
      </c>
      <c r="J107" s="65">
        <f t="shared" si="1"/>
        <v>1.63</v>
      </c>
      <c r="K107" s="65">
        <f t="shared" si="1"/>
        <v>354.01</v>
      </c>
      <c r="L107" s="65">
        <f t="shared" si="1"/>
        <v>33.159999999999997</v>
      </c>
      <c r="M107" s="65">
        <f t="shared" si="1"/>
        <v>80</v>
      </c>
      <c r="N107" s="65">
        <f t="shared" si="1"/>
        <v>401.4</v>
      </c>
      <c r="O107" s="65">
        <f t="shared" si="1"/>
        <v>0</v>
      </c>
      <c r="P107" s="65">
        <f t="shared" si="1"/>
        <v>5.64</v>
      </c>
      <c r="Q107" s="65">
        <f t="shared" si="1"/>
        <v>63.08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46.418645833333329</v>
      </c>
      <c r="C108" s="66">
        <f t="shared" ref="C108:Q108" si="2">AVERAGE(C9:C104)</f>
        <v>87.784999999999982</v>
      </c>
      <c r="D108" s="66">
        <f t="shared" si="2"/>
        <v>85.670208333333321</v>
      </c>
      <c r="E108" s="66">
        <f t="shared" si="2"/>
        <v>4.5102083333333338</v>
      </c>
      <c r="F108" s="66">
        <f t="shared" si="2"/>
        <v>2.7063529411764704</v>
      </c>
      <c r="G108" s="66">
        <f t="shared" si="2"/>
        <v>108.74850574712643</v>
      </c>
      <c r="H108" s="66">
        <f t="shared" si="2"/>
        <v>48.063229166666673</v>
      </c>
      <c r="I108" s="66">
        <f t="shared" si="2"/>
        <v>0.50322916666666673</v>
      </c>
      <c r="J108" s="66">
        <f t="shared" si="2"/>
        <v>0.33354166666666668</v>
      </c>
      <c r="K108" s="66">
        <f t="shared" si="2"/>
        <v>167.44468749999993</v>
      </c>
      <c r="L108" s="66">
        <f t="shared" si="2"/>
        <v>22.393020833333342</v>
      </c>
      <c r="M108" s="66">
        <f t="shared" si="2"/>
        <v>50.520833333333336</v>
      </c>
      <c r="N108" s="66">
        <f t="shared" si="2"/>
        <v>127.72812499999992</v>
      </c>
      <c r="O108" s="66">
        <f t="shared" si="2"/>
        <v>0</v>
      </c>
      <c r="P108" s="66">
        <f t="shared" si="2"/>
        <v>1.5856249999999996</v>
      </c>
      <c r="Q108" s="66">
        <f t="shared" si="2"/>
        <v>40.951249999999995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71.714295889934206</v>
      </c>
      <c r="C109" s="66">
        <f t="shared" ref="C109:Q109" si="3">STDEV(C9:C104)</f>
        <v>31.528585759592886</v>
      </c>
      <c r="D109" s="66">
        <f t="shared" si="3"/>
        <v>74.379204875091773</v>
      </c>
      <c r="E109" s="66">
        <f t="shared" si="3"/>
        <v>1.2826140898605352</v>
      </c>
      <c r="F109" s="66">
        <f t="shared" si="3"/>
        <v>4.3057629839494869</v>
      </c>
      <c r="G109" s="66">
        <f t="shared" si="3"/>
        <v>75.120958762622735</v>
      </c>
      <c r="H109" s="66">
        <f t="shared" si="3"/>
        <v>29.053812196455908</v>
      </c>
      <c r="I109" s="66">
        <f t="shared" si="3"/>
        <v>0.51827953195704535</v>
      </c>
      <c r="J109" s="66">
        <f t="shared" si="3"/>
        <v>0.34828294355585337</v>
      </c>
      <c r="K109" s="66">
        <f t="shared" si="3"/>
        <v>100.49474881230718</v>
      </c>
      <c r="L109" s="66">
        <f t="shared" si="3"/>
        <v>5.5242714441846887</v>
      </c>
      <c r="M109" s="66">
        <f t="shared" si="3"/>
        <v>19.472506484064393</v>
      </c>
      <c r="N109" s="66">
        <f t="shared" si="3"/>
        <v>147.65135941636311</v>
      </c>
      <c r="O109" s="66">
        <f t="shared" si="3"/>
        <v>0</v>
      </c>
      <c r="P109" s="66">
        <f t="shared" si="3"/>
        <v>1.3354808418496198</v>
      </c>
      <c r="Q109" s="66">
        <f t="shared" si="3"/>
        <v>8.7776035873604172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>COUNT(F9:F104)+11</f>
        <v>96</v>
      </c>
      <c r="G110" s="65">
        <f>COUNT(G9:G104)+9</f>
        <v>96</v>
      </c>
      <c r="H110" s="65">
        <f>COUNT(H9:H104)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63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25-12-2022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2551</v>
      </c>
      <c r="B9" s="59">
        <v>203.49</v>
      </c>
      <c r="C9" s="59">
        <v>146.84</v>
      </c>
      <c r="D9" s="59">
        <v>244.22</v>
      </c>
      <c r="E9" s="59">
        <v>5.27</v>
      </c>
      <c r="F9" s="59">
        <v>0.09</v>
      </c>
      <c r="G9" s="59">
        <v>166.32</v>
      </c>
      <c r="H9" s="59">
        <v>87.59</v>
      </c>
      <c r="I9" s="59">
        <v>2.0099999999999998</v>
      </c>
      <c r="J9" s="59">
        <v>0.16</v>
      </c>
      <c r="K9" s="59">
        <v>337.99</v>
      </c>
      <c r="L9" s="59">
        <v>17.88</v>
      </c>
      <c r="M9" s="59">
        <v>64</v>
      </c>
      <c r="N9" s="59">
        <v>24.5</v>
      </c>
      <c r="O9" s="59">
        <v>0</v>
      </c>
      <c r="P9" s="59">
        <v>4.8499999999999996</v>
      </c>
      <c r="Q9" s="59">
        <v>56.22</v>
      </c>
      <c r="R9" s="197"/>
      <c r="S9" s="197"/>
      <c r="T9" s="197"/>
      <c r="U9" s="197"/>
    </row>
    <row r="10" spans="1:21" s="12" customFormat="1" x14ac:dyDescent="0.25">
      <c r="A10" s="200" t="s">
        <v>2552</v>
      </c>
      <c r="B10" s="59">
        <v>194.45</v>
      </c>
      <c r="C10" s="59">
        <v>140.35</v>
      </c>
      <c r="D10" s="59">
        <v>233.39</v>
      </c>
      <c r="E10" s="59">
        <v>5.21</v>
      </c>
      <c r="F10" s="59">
        <v>0.19</v>
      </c>
      <c r="G10" s="59">
        <v>143.69999999999999</v>
      </c>
      <c r="H10" s="59">
        <v>78.239999999999995</v>
      </c>
      <c r="I10" s="59">
        <v>1.94</v>
      </c>
      <c r="J10" s="59">
        <v>0.1</v>
      </c>
      <c r="K10" s="59">
        <v>340.18</v>
      </c>
      <c r="L10" s="59">
        <v>17.53</v>
      </c>
      <c r="M10" s="59">
        <v>64</v>
      </c>
      <c r="N10" s="59">
        <v>24.5</v>
      </c>
      <c r="O10" s="59">
        <v>0</v>
      </c>
      <c r="P10" s="59">
        <v>4.67</v>
      </c>
      <c r="Q10" s="59">
        <v>55.17</v>
      </c>
      <c r="R10" s="197"/>
      <c r="S10" s="197"/>
      <c r="T10" s="197"/>
      <c r="U10" s="197"/>
    </row>
    <row r="11" spans="1:21" s="12" customFormat="1" x14ac:dyDescent="0.25">
      <c r="A11" s="200" t="s">
        <v>2553</v>
      </c>
      <c r="B11" s="59">
        <v>185.51</v>
      </c>
      <c r="C11" s="59">
        <v>135.88</v>
      </c>
      <c r="D11" s="59">
        <v>223.75</v>
      </c>
      <c r="E11" s="59">
        <v>5.29</v>
      </c>
      <c r="F11" s="59">
        <v>0.06</v>
      </c>
      <c r="G11" s="59">
        <v>98.45</v>
      </c>
      <c r="H11" s="59">
        <v>66.02</v>
      </c>
      <c r="I11" s="59">
        <v>1.88</v>
      </c>
      <c r="J11" s="59">
        <v>0.02</v>
      </c>
      <c r="K11" s="59">
        <v>299.16000000000003</v>
      </c>
      <c r="L11" s="59">
        <v>17.41</v>
      </c>
      <c r="M11" s="59">
        <v>65</v>
      </c>
      <c r="N11" s="59">
        <v>24.3</v>
      </c>
      <c r="O11" s="59">
        <v>0</v>
      </c>
      <c r="P11" s="59">
        <v>4.51</v>
      </c>
      <c r="Q11" s="59">
        <v>54.5</v>
      </c>
      <c r="R11" s="197"/>
      <c r="S11" s="197"/>
      <c r="T11" s="197"/>
      <c r="U11" s="197"/>
    </row>
    <row r="12" spans="1:21" s="12" customFormat="1" x14ac:dyDescent="0.25">
      <c r="A12" s="200" t="s">
        <v>2554</v>
      </c>
      <c r="B12" s="59">
        <v>175.23</v>
      </c>
      <c r="C12" s="59">
        <v>131.07</v>
      </c>
      <c r="D12" s="59">
        <v>212.85</v>
      </c>
      <c r="E12" s="59">
        <v>5.07</v>
      </c>
      <c r="F12" s="214" t="s">
        <v>47</v>
      </c>
      <c r="G12" s="59">
        <v>98.45</v>
      </c>
      <c r="H12" s="59">
        <v>66.02</v>
      </c>
      <c r="I12" s="59">
        <v>1.81</v>
      </c>
      <c r="J12" s="59">
        <v>0.09</v>
      </c>
      <c r="K12" s="59">
        <v>323.52999999999997</v>
      </c>
      <c r="L12" s="59">
        <v>18.079999999999998</v>
      </c>
      <c r="M12" s="59">
        <v>62</v>
      </c>
      <c r="N12" s="59">
        <v>23.8</v>
      </c>
      <c r="O12" s="59">
        <v>0</v>
      </c>
      <c r="P12" s="59">
        <v>4.3</v>
      </c>
      <c r="Q12" s="59">
        <v>54.24</v>
      </c>
      <c r="R12" s="197"/>
      <c r="S12" s="197"/>
      <c r="T12" s="197"/>
      <c r="U12" s="197"/>
    </row>
    <row r="13" spans="1:21" s="12" customFormat="1" x14ac:dyDescent="0.25">
      <c r="A13" s="200" t="s">
        <v>2555</v>
      </c>
      <c r="B13" s="59">
        <v>164.22</v>
      </c>
      <c r="C13" s="59">
        <v>124.54</v>
      </c>
      <c r="D13" s="59">
        <v>200.43</v>
      </c>
      <c r="E13" s="59">
        <v>5.13</v>
      </c>
      <c r="F13" s="59">
        <v>0.09</v>
      </c>
      <c r="G13" s="59">
        <v>98.45</v>
      </c>
      <c r="H13" s="59">
        <v>66.02</v>
      </c>
      <c r="I13" s="59">
        <v>1.76</v>
      </c>
      <c r="J13" s="59">
        <v>0.1</v>
      </c>
      <c r="K13" s="59">
        <v>292.02999999999997</v>
      </c>
      <c r="L13" s="59">
        <v>18.43</v>
      </c>
      <c r="M13" s="59">
        <v>60</v>
      </c>
      <c r="N13" s="59">
        <v>23.9</v>
      </c>
      <c r="O13" s="59">
        <v>0</v>
      </c>
      <c r="P13" s="59">
        <v>3.74</v>
      </c>
      <c r="Q13" s="59">
        <v>53.64</v>
      </c>
      <c r="R13" s="197"/>
      <c r="S13" s="197"/>
      <c r="T13" s="197"/>
      <c r="U13" s="197"/>
    </row>
    <row r="14" spans="1:21" s="12" customFormat="1" x14ac:dyDescent="0.25">
      <c r="A14" s="200" t="s">
        <v>2556</v>
      </c>
      <c r="B14" s="59">
        <v>154.82</v>
      </c>
      <c r="C14" s="59">
        <v>119.75</v>
      </c>
      <c r="D14" s="59">
        <v>190.24</v>
      </c>
      <c r="E14" s="59">
        <v>4.8899999999999997</v>
      </c>
      <c r="F14" s="59">
        <v>0.1</v>
      </c>
      <c r="G14" s="59">
        <v>74.5</v>
      </c>
      <c r="H14" s="59">
        <v>57.65</v>
      </c>
      <c r="I14" s="59">
        <v>1.67</v>
      </c>
      <c r="J14" s="59">
        <v>0.08</v>
      </c>
      <c r="K14" s="59">
        <v>14.93</v>
      </c>
      <c r="L14" s="59">
        <v>17.84</v>
      </c>
      <c r="M14" s="59">
        <v>64</v>
      </c>
      <c r="N14" s="59">
        <v>24.4</v>
      </c>
      <c r="O14" s="59">
        <v>0</v>
      </c>
      <c r="P14" s="59">
        <v>3.78</v>
      </c>
      <c r="Q14" s="59">
        <v>52.65</v>
      </c>
      <c r="R14" s="197"/>
      <c r="S14" s="197"/>
      <c r="T14" s="197"/>
      <c r="U14" s="197"/>
    </row>
    <row r="15" spans="1:21" s="12" customFormat="1" x14ac:dyDescent="0.25">
      <c r="A15" s="200" t="s">
        <v>2557</v>
      </c>
      <c r="B15" s="59">
        <v>147.77000000000001</v>
      </c>
      <c r="C15" s="59">
        <v>116.46</v>
      </c>
      <c r="D15" s="59">
        <v>182.78</v>
      </c>
      <c r="E15" s="59">
        <v>5.26</v>
      </c>
      <c r="F15" s="59">
        <v>0.01</v>
      </c>
      <c r="G15" s="59">
        <v>55.73</v>
      </c>
      <c r="H15" s="59">
        <v>46.2</v>
      </c>
      <c r="I15" s="59">
        <v>1.6</v>
      </c>
      <c r="J15" s="59">
        <v>0.06</v>
      </c>
      <c r="K15" s="59">
        <v>353.55</v>
      </c>
      <c r="L15" s="59">
        <v>17.38</v>
      </c>
      <c r="M15" s="59">
        <v>67</v>
      </c>
      <c r="N15" s="59">
        <v>24.2</v>
      </c>
      <c r="O15" s="59">
        <v>0</v>
      </c>
      <c r="P15" s="59">
        <v>3.59</v>
      </c>
      <c r="Q15" s="59">
        <v>51.96</v>
      </c>
      <c r="R15" s="197"/>
      <c r="S15" s="197"/>
      <c r="T15" s="197"/>
      <c r="U15" s="197"/>
    </row>
    <row r="16" spans="1:21" s="12" customFormat="1" x14ac:dyDescent="0.25">
      <c r="A16" s="200" t="s">
        <v>2558</v>
      </c>
      <c r="B16" s="59">
        <v>139.15</v>
      </c>
      <c r="C16" s="59">
        <v>113.06</v>
      </c>
      <c r="D16" s="59">
        <v>173.98</v>
      </c>
      <c r="E16" s="59">
        <v>4.7</v>
      </c>
      <c r="F16" s="59">
        <v>0.1</v>
      </c>
      <c r="G16" s="59">
        <v>55.73</v>
      </c>
      <c r="H16" s="59">
        <v>46.2</v>
      </c>
      <c r="I16" s="59">
        <v>1.53</v>
      </c>
      <c r="J16" s="59">
        <v>0.12</v>
      </c>
      <c r="K16" s="59">
        <v>337.96</v>
      </c>
      <c r="L16" s="59">
        <v>17.010000000000002</v>
      </c>
      <c r="M16" s="59">
        <v>70</v>
      </c>
      <c r="N16" s="59">
        <v>24.3</v>
      </c>
      <c r="O16" s="59">
        <v>0</v>
      </c>
      <c r="P16" s="59">
        <v>3.37</v>
      </c>
      <c r="Q16" s="59">
        <v>52.8</v>
      </c>
      <c r="R16" s="197"/>
      <c r="S16" s="197"/>
      <c r="T16" s="197"/>
      <c r="U16" s="197"/>
    </row>
    <row r="17" spans="1:21" s="12" customFormat="1" x14ac:dyDescent="0.25">
      <c r="A17" s="200" t="s">
        <v>2559</v>
      </c>
      <c r="B17" s="59">
        <v>128.19999999999999</v>
      </c>
      <c r="C17" s="59">
        <v>108.4</v>
      </c>
      <c r="D17" s="59">
        <v>162.63</v>
      </c>
      <c r="E17" s="59">
        <v>4.79</v>
      </c>
      <c r="F17" s="59">
        <v>0.17</v>
      </c>
      <c r="G17" s="59">
        <v>55.73</v>
      </c>
      <c r="H17" s="59">
        <v>46.2</v>
      </c>
      <c r="I17" s="59">
        <v>1.47</v>
      </c>
      <c r="J17" s="59">
        <v>0.06</v>
      </c>
      <c r="K17" s="59">
        <v>280.86</v>
      </c>
      <c r="L17" s="59">
        <v>17.03</v>
      </c>
      <c r="M17" s="59">
        <v>68</v>
      </c>
      <c r="N17" s="59">
        <v>24.3</v>
      </c>
      <c r="O17" s="59">
        <v>0</v>
      </c>
      <c r="P17" s="59">
        <v>3.16</v>
      </c>
      <c r="Q17" s="59">
        <v>52.36</v>
      </c>
      <c r="R17" s="197"/>
      <c r="S17" s="197"/>
      <c r="T17" s="197"/>
      <c r="U17" s="197"/>
    </row>
    <row r="18" spans="1:21" s="12" customFormat="1" x14ac:dyDescent="0.25">
      <c r="A18" s="200" t="s">
        <v>2560</v>
      </c>
      <c r="B18" s="59">
        <v>118.09</v>
      </c>
      <c r="C18" s="59">
        <v>104.55</v>
      </c>
      <c r="D18" s="59">
        <v>152.4</v>
      </c>
      <c r="E18" s="59">
        <v>4.3099999999999996</v>
      </c>
      <c r="F18" s="59">
        <v>0.33</v>
      </c>
      <c r="G18" s="59">
        <v>55.81</v>
      </c>
      <c r="H18" s="59">
        <v>43.74</v>
      </c>
      <c r="I18" s="59">
        <v>1.37</v>
      </c>
      <c r="J18" s="59">
        <v>7.0000000000000007E-2</v>
      </c>
      <c r="K18" s="59">
        <v>318.55</v>
      </c>
      <c r="L18" s="59">
        <v>16.86</v>
      </c>
      <c r="M18" s="59">
        <v>71</v>
      </c>
      <c r="N18" s="59">
        <v>24.2</v>
      </c>
      <c r="O18" s="59">
        <v>0</v>
      </c>
      <c r="P18" s="59">
        <v>2.97</v>
      </c>
      <c r="Q18" s="59">
        <v>51.21</v>
      </c>
      <c r="R18" s="197"/>
      <c r="S18" s="197"/>
      <c r="T18" s="197"/>
      <c r="U18" s="197"/>
    </row>
    <row r="19" spans="1:21" s="12" customFormat="1" x14ac:dyDescent="0.25">
      <c r="A19" s="200" t="s">
        <v>2561</v>
      </c>
      <c r="B19" s="59">
        <v>108.94</v>
      </c>
      <c r="C19" s="59">
        <v>101.56</v>
      </c>
      <c r="D19" s="59">
        <v>143.41</v>
      </c>
      <c r="E19" s="59">
        <v>4.3499999999999996</v>
      </c>
      <c r="F19" s="59">
        <v>0.13</v>
      </c>
      <c r="G19" s="59">
        <v>55.87</v>
      </c>
      <c r="H19" s="59">
        <v>40.380000000000003</v>
      </c>
      <c r="I19" s="59">
        <v>1.27</v>
      </c>
      <c r="J19" s="59">
        <v>0.22</v>
      </c>
      <c r="K19" s="59">
        <v>350.37</v>
      </c>
      <c r="L19" s="59">
        <v>17.04</v>
      </c>
      <c r="M19" s="59">
        <v>70</v>
      </c>
      <c r="N19" s="59">
        <v>24.1</v>
      </c>
      <c r="O19" s="59">
        <v>0</v>
      </c>
      <c r="P19" s="59">
        <v>2.79</v>
      </c>
      <c r="Q19" s="59">
        <v>50.13</v>
      </c>
      <c r="R19" s="197"/>
      <c r="S19" s="197"/>
      <c r="T19" s="197"/>
      <c r="U19" s="197"/>
    </row>
    <row r="20" spans="1:21" s="12" customFormat="1" x14ac:dyDescent="0.25">
      <c r="A20" s="200" t="s">
        <v>2562</v>
      </c>
      <c r="B20" s="59">
        <v>100.59</v>
      </c>
      <c r="C20" s="59">
        <v>98.54</v>
      </c>
      <c r="D20" s="59">
        <v>135.05000000000001</v>
      </c>
      <c r="E20" s="59">
        <v>3.99</v>
      </c>
      <c r="F20" s="59">
        <v>0.01</v>
      </c>
      <c r="G20" s="59">
        <v>55.87</v>
      </c>
      <c r="H20" s="59">
        <v>40.380000000000003</v>
      </c>
      <c r="I20" s="59">
        <v>1.18</v>
      </c>
      <c r="J20" s="59">
        <v>0.12</v>
      </c>
      <c r="K20" s="59">
        <v>68.069999999999993</v>
      </c>
      <c r="L20" s="59">
        <v>16.87</v>
      </c>
      <c r="M20" s="59">
        <v>71</v>
      </c>
      <c r="N20" s="59">
        <v>24.3</v>
      </c>
      <c r="O20" s="59">
        <v>0</v>
      </c>
      <c r="P20" s="59">
        <v>2.63</v>
      </c>
      <c r="Q20" s="59">
        <v>49.29</v>
      </c>
      <c r="R20" s="197"/>
      <c r="S20" s="197"/>
      <c r="T20" s="197"/>
      <c r="U20" s="197"/>
    </row>
    <row r="21" spans="1:21" s="12" customFormat="1" x14ac:dyDescent="0.25">
      <c r="A21" s="200" t="s">
        <v>2563</v>
      </c>
      <c r="B21" s="59">
        <v>92.66</v>
      </c>
      <c r="C21" s="59">
        <v>95.54</v>
      </c>
      <c r="D21" s="59">
        <v>127.03</v>
      </c>
      <c r="E21" s="59">
        <v>4.26</v>
      </c>
      <c r="F21" s="209" t="s">
        <v>36</v>
      </c>
      <c r="G21" s="59">
        <v>55.87</v>
      </c>
      <c r="H21" s="59">
        <v>40.380000000000003</v>
      </c>
      <c r="I21" s="59">
        <v>1.1000000000000001</v>
      </c>
      <c r="J21" s="59">
        <v>0.22</v>
      </c>
      <c r="K21" s="59">
        <v>169.25</v>
      </c>
      <c r="L21" s="59">
        <v>17.28</v>
      </c>
      <c r="M21" s="59">
        <v>69</v>
      </c>
      <c r="N21" s="59">
        <v>23.6</v>
      </c>
      <c r="O21" s="59">
        <v>0</v>
      </c>
      <c r="P21" s="59">
        <v>2.4900000000000002</v>
      </c>
      <c r="Q21" s="59">
        <v>48.35</v>
      </c>
      <c r="R21" s="197"/>
      <c r="S21" s="197"/>
      <c r="T21" s="197"/>
      <c r="U21" s="197"/>
    </row>
    <row r="22" spans="1:21" s="12" customFormat="1" x14ac:dyDescent="0.25">
      <c r="A22" s="200" t="s">
        <v>2564</v>
      </c>
      <c r="B22" s="59">
        <v>84.07</v>
      </c>
      <c r="C22" s="59">
        <v>91.51</v>
      </c>
      <c r="D22" s="59">
        <v>117.92</v>
      </c>
      <c r="E22" s="59">
        <v>3.9</v>
      </c>
      <c r="F22" s="59">
        <v>0.01</v>
      </c>
      <c r="G22" s="59">
        <v>47.61</v>
      </c>
      <c r="H22" s="59">
        <v>37.56</v>
      </c>
      <c r="I22" s="59">
        <v>1.03</v>
      </c>
      <c r="J22" s="59">
        <v>0.13</v>
      </c>
      <c r="K22" s="59">
        <v>340.23</v>
      </c>
      <c r="L22" s="59">
        <v>16.920000000000002</v>
      </c>
      <c r="M22" s="59">
        <v>72</v>
      </c>
      <c r="N22" s="59">
        <v>24.4</v>
      </c>
      <c r="O22" s="59">
        <v>0</v>
      </c>
      <c r="P22" s="59">
        <v>2.36</v>
      </c>
      <c r="Q22" s="59">
        <v>46.71</v>
      </c>
      <c r="R22" s="197"/>
      <c r="S22" s="197"/>
      <c r="T22" s="197"/>
      <c r="U22" s="197"/>
    </row>
    <row r="23" spans="1:21" s="12" customFormat="1" x14ac:dyDescent="0.25">
      <c r="A23" s="200" t="s">
        <v>2565</v>
      </c>
      <c r="B23" s="59">
        <v>79.41</v>
      </c>
      <c r="C23" s="59">
        <v>89.69</v>
      </c>
      <c r="D23" s="59">
        <v>113.18</v>
      </c>
      <c r="E23" s="59">
        <v>3.46</v>
      </c>
      <c r="F23" s="209" t="s">
        <v>36</v>
      </c>
      <c r="G23" s="59">
        <v>41.53</v>
      </c>
      <c r="H23" s="59">
        <v>33.71</v>
      </c>
      <c r="I23" s="59">
        <v>0.85</v>
      </c>
      <c r="J23" s="59">
        <v>0.09</v>
      </c>
      <c r="K23" s="59">
        <v>336.11</v>
      </c>
      <c r="L23" s="59">
        <v>16.59</v>
      </c>
      <c r="M23" s="59">
        <v>74</v>
      </c>
      <c r="N23" s="59">
        <v>24.6</v>
      </c>
      <c r="O23" s="59">
        <v>0</v>
      </c>
      <c r="P23" s="59">
        <v>2.27</v>
      </c>
      <c r="Q23" s="59">
        <v>44.95</v>
      </c>
      <c r="R23" s="197"/>
      <c r="S23" s="197"/>
      <c r="T23" s="197"/>
      <c r="U23" s="197"/>
    </row>
    <row r="24" spans="1:21" s="12" customFormat="1" x14ac:dyDescent="0.25">
      <c r="A24" s="200" t="s">
        <v>2566</v>
      </c>
      <c r="B24" s="59">
        <v>75.22</v>
      </c>
      <c r="C24" s="59">
        <v>87.7</v>
      </c>
      <c r="D24" s="59">
        <v>108.72</v>
      </c>
      <c r="E24" s="59">
        <v>2.76</v>
      </c>
      <c r="F24" s="59">
        <v>0.03</v>
      </c>
      <c r="G24" s="59">
        <v>41.53</v>
      </c>
      <c r="H24" s="59">
        <v>33.71</v>
      </c>
      <c r="I24" s="59">
        <v>0.81</v>
      </c>
      <c r="J24" s="59">
        <v>0.12</v>
      </c>
      <c r="K24" s="59">
        <v>332.12</v>
      </c>
      <c r="L24" s="59">
        <v>16.27</v>
      </c>
      <c r="M24" s="59">
        <v>77</v>
      </c>
      <c r="N24" s="59">
        <v>24.4</v>
      </c>
      <c r="O24" s="59">
        <v>0</v>
      </c>
      <c r="P24" s="59">
        <v>2.1800000000000002</v>
      </c>
      <c r="Q24" s="59">
        <v>44.09</v>
      </c>
      <c r="R24" s="197"/>
      <c r="S24" s="197"/>
      <c r="T24" s="197"/>
      <c r="U24" s="197"/>
    </row>
    <row r="25" spans="1:21" s="12" customFormat="1" x14ac:dyDescent="0.25">
      <c r="A25" s="200" t="s">
        <v>2567</v>
      </c>
      <c r="B25" s="59">
        <v>72.22</v>
      </c>
      <c r="C25" s="59">
        <v>86.13</v>
      </c>
      <c r="D25" s="59">
        <v>105.45</v>
      </c>
      <c r="E25" s="59">
        <v>5.4</v>
      </c>
      <c r="F25" s="209" t="s">
        <v>36</v>
      </c>
      <c r="G25" s="59">
        <v>41.53</v>
      </c>
      <c r="H25" s="59">
        <v>33.71</v>
      </c>
      <c r="I25" s="59">
        <v>0.78</v>
      </c>
      <c r="J25" s="59">
        <v>0.09</v>
      </c>
      <c r="K25" s="59">
        <v>311.54000000000002</v>
      </c>
      <c r="L25" s="59">
        <v>16.16</v>
      </c>
      <c r="M25" s="59">
        <v>77</v>
      </c>
      <c r="N25" s="59">
        <v>24.3</v>
      </c>
      <c r="O25" s="59">
        <v>0</v>
      </c>
      <c r="P25" s="59">
        <v>2.09</v>
      </c>
      <c r="Q25" s="59">
        <v>43.57</v>
      </c>
      <c r="R25" s="197"/>
      <c r="S25" s="197"/>
      <c r="T25" s="197"/>
      <c r="U25" s="197"/>
    </row>
    <row r="26" spans="1:21" s="12" customFormat="1" x14ac:dyDescent="0.25">
      <c r="A26" s="200" t="s">
        <v>2568</v>
      </c>
      <c r="B26" s="59">
        <v>70.31</v>
      </c>
      <c r="C26" s="59">
        <v>85.33</v>
      </c>
      <c r="D26" s="59">
        <v>103.47</v>
      </c>
      <c r="E26" s="59">
        <v>5.46</v>
      </c>
      <c r="F26" s="209" t="s">
        <v>36</v>
      </c>
      <c r="G26" s="59">
        <v>46.16</v>
      </c>
      <c r="H26" s="59">
        <v>34.31</v>
      </c>
      <c r="I26" s="59">
        <v>0.75</v>
      </c>
      <c r="J26" s="59">
        <v>0.23</v>
      </c>
      <c r="K26" s="59">
        <v>198.84</v>
      </c>
      <c r="L26" s="59">
        <v>16.57</v>
      </c>
      <c r="M26" s="59">
        <v>75</v>
      </c>
      <c r="N26" s="59">
        <v>23.2</v>
      </c>
      <c r="O26" s="59">
        <v>0</v>
      </c>
      <c r="P26" s="59">
        <v>2.0099999999999998</v>
      </c>
      <c r="Q26" s="59">
        <v>43.28</v>
      </c>
      <c r="R26" s="197"/>
      <c r="S26" s="197"/>
      <c r="T26" s="197"/>
      <c r="U26" s="197"/>
    </row>
    <row r="27" spans="1:21" s="12" customFormat="1" x14ac:dyDescent="0.25">
      <c r="A27" s="200" t="s">
        <v>2569</v>
      </c>
      <c r="B27" s="59">
        <v>68.73</v>
      </c>
      <c r="C27" s="59">
        <v>84.44</v>
      </c>
      <c r="D27" s="59">
        <v>101.72</v>
      </c>
      <c r="E27" s="59">
        <v>4.87</v>
      </c>
      <c r="F27" s="59">
        <v>0.08</v>
      </c>
      <c r="G27" s="59">
        <v>56.14</v>
      </c>
      <c r="H27" s="59">
        <v>35.1</v>
      </c>
      <c r="I27" s="59">
        <v>0.72</v>
      </c>
      <c r="J27" s="59">
        <v>0.05</v>
      </c>
      <c r="K27" s="59">
        <v>279.20999999999998</v>
      </c>
      <c r="L27" s="59">
        <v>17.21</v>
      </c>
      <c r="M27" s="59">
        <v>72</v>
      </c>
      <c r="N27" s="59">
        <v>24</v>
      </c>
      <c r="O27" s="59">
        <v>0</v>
      </c>
      <c r="P27" s="59">
        <v>1.94</v>
      </c>
      <c r="Q27" s="59">
        <v>43.06</v>
      </c>
      <c r="R27" s="197"/>
      <c r="S27" s="197"/>
      <c r="T27" s="197"/>
      <c r="U27" s="197"/>
    </row>
    <row r="28" spans="1:21" s="12" customFormat="1" x14ac:dyDescent="0.25">
      <c r="A28" s="200" t="s">
        <v>2570</v>
      </c>
      <c r="B28" s="59">
        <v>67.650000000000006</v>
      </c>
      <c r="C28" s="59">
        <v>83.72</v>
      </c>
      <c r="D28" s="59">
        <v>100.45</v>
      </c>
      <c r="E28" s="59">
        <v>5.45</v>
      </c>
      <c r="F28" s="59">
        <v>0.18</v>
      </c>
      <c r="G28" s="59">
        <v>56.14</v>
      </c>
      <c r="H28" s="59">
        <v>35.1</v>
      </c>
      <c r="I28" s="59">
        <v>0.7</v>
      </c>
      <c r="J28" s="59">
        <v>0.1</v>
      </c>
      <c r="K28" s="59">
        <v>321.37</v>
      </c>
      <c r="L28" s="59">
        <v>16.45</v>
      </c>
      <c r="M28" s="59">
        <v>77</v>
      </c>
      <c r="N28" s="59">
        <v>24.6</v>
      </c>
      <c r="O28" s="59">
        <v>0</v>
      </c>
      <c r="P28" s="59">
        <v>1.9</v>
      </c>
      <c r="Q28" s="59">
        <v>43.17</v>
      </c>
      <c r="R28" s="197"/>
      <c r="S28" s="197"/>
      <c r="T28" s="197"/>
      <c r="U28" s="197"/>
    </row>
    <row r="29" spans="1:21" s="12" customFormat="1" x14ac:dyDescent="0.25">
      <c r="A29" s="200" t="s">
        <v>2571</v>
      </c>
      <c r="B29" s="59">
        <v>68.3</v>
      </c>
      <c r="C29" s="59">
        <v>84.02</v>
      </c>
      <c r="D29" s="59">
        <v>101.14</v>
      </c>
      <c r="E29" s="59">
        <v>5.33</v>
      </c>
      <c r="F29" s="59">
        <v>0.11</v>
      </c>
      <c r="G29" s="59">
        <v>56.14</v>
      </c>
      <c r="H29" s="59">
        <v>35.1</v>
      </c>
      <c r="I29" s="59">
        <v>0.68</v>
      </c>
      <c r="J29" s="59">
        <v>0.13</v>
      </c>
      <c r="K29" s="59">
        <v>330.44</v>
      </c>
      <c r="L29" s="59">
        <v>16.12</v>
      </c>
      <c r="M29" s="59">
        <v>80</v>
      </c>
      <c r="N29" s="59">
        <v>24.5</v>
      </c>
      <c r="O29" s="59">
        <v>0</v>
      </c>
      <c r="P29" s="59">
        <v>1.85</v>
      </c>
      <c r="Q29" s="59">
        <v>43.48</v>
      </c>
      <c r="R29" s="197"/>
      <c r="S29" s="197"/>
      <c r="T29" s="197"/>
      <c r="U29" s="197"/>
    </row>
    <row r="30" spans="1:21" s="12" customFormat="1" x14ac:dyDescent="0.25">
      <c r="A30" s="200" t="s">
        <v>2572</v>
      </c>
      <c r="B30" s="59">
        <v>70.44</v>
      </c>
      <c r="C30" s="59">
        <v>85.17</v>
      </c>
      <c r="D30" s="59">
        <v>103.49</v>
      </c>
      <c r="E30" s="59">
        <v>5.48</v>
      </c>
      <c r="F30" s="59">
        <v>0.26</v>
      </c>
      <c r="G30" s="59">
        <v>76.31</v>
      </c>
      <c r="H30" s="59">
        <v>36.65</v>
      </c>
      <c r="I30" s="59">
        <v>0.66</v>
      </c>
      <c r="J30" s="59">
        <v>0.03</v>
      </c>
      <c r="K30" s="59">
        <v>292.3</v>
      </c>
      <c r="L30" s="59">
        <v>15.88</v>
      </c>
      <c r="M30" s="59">
        <v>80</v>
      </c>
      <c r="N30" s="59">
        <v>24.5</v>
      </c>
      <c r="O30" s="59">
        <v>0</v>
      </c>
      <c r="P30" s="59">
        <v>1.81</v>
      </c>
      <c r="Q30" s="59">
        <v>44.94</v>
      </c>
      <c r="R30" s="197"/>
      <c r="S30" s="197"/>
      <c r="T30" s="197"/>
      <c r="U30" s="197"/>
    </row>
    <row r="31" spans="1:21" s="12" customFormat="1" x14ac:dyDescent="0.25">
      <c r="A31" s="200" t="s">
        <v>2573</v>
      </c>
      <c r="B31" s="59">
        <v>71.59</v>
      </c>
      <c r="C31" s="59">
        <v>85.88</v>
      </c>
      <c r="D31" s="59">
        <v>104.81</v>
      </c>
      <c r="E31" s="59">
        <v>5.58</v>
      </c>
      <c r="F31" s="59">
        <v>0.18</v>
      </c>
      <c r="G31" s="59">
        <v>91.18</v>
      </c>
      <c r="H31" s="59">
        <v>38.68</v>
      </c>
      <c r="I31" s="59">
        <v>0.64</v>
      </c>
      <c r="J31" s="59">
        <v>0.03</v>
      </c>
      <c r="K31" s="59">
        <v>212.99</v>
      </c>
      <c r="L31" s="59">
        <v>15.78</v>
      </c>
      <c r="M31" s="59">
        <v>81</v>
      </c>
      <c r="N31" s="59">
        <v>24.3</v>
      </c>
      <c r="O31" s="59">
        <v>0</v>
      </c>
      <c r="P31" s="59">
        <v>1.76</v>
      </c>
      <c r="Q31" s="59">
        <v>45.78</v>
      </c>
      <c r="R31" s="197"/>
      <c r="S31" s="197"/>
      <c r="T31" s="197"/>
      <c r="U31" s="197"/>
    </row>
    <row r="32" spans="1:21" s="12" customFormat="1" x14ac:dyDescent="0.25">
      <c r="A32" s="200" t="s">
        <v>2574</v>
      </c>
      <c r="B32" s="59">
        <v>73.94</v>
      </c>
      <c r="C32" s="59">
        <v>87.31</v>
      </c>
      <c r="D32" s="59">
        <v>107.48</v>
      </c>
      <c r="E32" s="59">
        <v>5.32</v>
      </c>
      <c r="F32" s="59">
        <v>0.7</v>
      </c>
      <c r="G32" s="59">
        <v>91.18</v>
      </c>
      <c r="H32" s="59">
        <v>38.68</v>
      </c>
      <c r="I32" s="59">
        <v>0.62</v>
      </c>
      <c r="J32" s="59">
        <v>0.11</v>
      </c>
      <c r="K32" s="59">
        <v>274.66000000000003</v>
      </c>
      <c r="L32" s="59">
        <v>16.059999999999999</v>
      </c>
      <c r="M32" s="59">
        <v>80</v>
      </c>
      <c r="N32" s="59">
        <v>24</v>
      </c>
      <c r="O32" s="59">
        <v>0</v>
      </c>
      <c r="P32" s="59">
        <v>1.71</v>
      </c>
      <c r="Q32" s="59">
        <v>46.05</v>
      </c>
      <c r="R32" s="197"/>
      <c r="S32" s="197"/>
      <c r="T32" s="197"/>
      <c r="U32" s="197"/>
    </row>
    <row r="33" spans="1:21" s="12" customFormat="1" x14ac:dyDescent="0.25">
      <c r="A33" s="200" t="s">
        <v>2575</v>
      </c>
      <c r="B33" s="59">
        <v>79.45</v>
      </c>
      <c r="C33" s="59">
        <v>90</v>
      </c>
      <c r="D33" s="59">
        <v>113.38</v>
      </c>
      <c r="E33" s="59">
        <v>5.41</v>
      </c>
      <c r="F33" s="59">
        <v>0.12</v>
      </c>
      <c r="G33" s="59">
        <v>91.18</v>
      </c>
      <c r="H33" s="59">
        <v>38.68</v>
      </c>
      <c r="I33" s="59">
        <v>0.59</v>
      </c>
      <c r="J33" s="59">
        <v>0.13</v>
      </c>
      <c r="K33" s="59">
        <v>352.01</v>
      </c>
      <c r="L33" s="59">
        <v>16</v>
      </c>
      <c r="M33" s="59">
        <v>81</v>
      </c>
      <c r="N33" s="59">
        <v>24.5</v>
      </c>
      <c r="O33" s="59">
        <v>0</v>
      </c>
      <c r="P33" s="59">
        <v>1.7</v>
      </c>
      <c r="Q33" s="59">
        <v>46.5</v>
      </c>
      <c r="R33" s="197"/>
      <c r="S33" s="197"/>
      <c r="T33" s="197"/>
      <c r="U33" s="197"/>
    </row>
    <row r="34" spans="1:21" s="12" customFormat="1" x14ac:dyDescent="0.25">
      <c r="A34" s="200" t="s">
        <v>2576</v>
      </c>
      <c r="B34" s="59">
        <v>88.69</v>
      </c>
      <c r="C34" s="59">
        <v>94.13</v>
      </c>
      <c r="D34" s="59">
        <v>123.07</v>
      </c>
      <c r="E34" s="59">
        <v>5.14</v>
      </c>
      <c r="F34" s="59">
        <v>0.03</v>
      </c>
      <c r="G34" s="59">
        <v>98.24</v>
      </c>
      <c r="H34" s="59">
        <v>39.47</v>
      </c>
      <c r="I34" s="59">
        <v>0.56999999999999995</v>
      </c>
      <c r="J34" s="59">
        <v>0.09</v>
      </c>
      <c r="K34" s="59">
        <v>344.92</v>
      </c>
      <c r="L34" s="59">
        <v>15.79</v>
      </c>
      <c r="M34" s="59">
        <v>82</v>
      </c>
      <c r="N34" s="59">
        <v>25.1</v>
      </c>
      <c r="O34" s="59">
        <v>0</v>
      </c>
      <c r="P34" s="59">
        <v>1.71</v>
      </c>
      <c r="Q34" s="59">
        <v>46.69</v>
      </c>
      <c r="R34" s="197"/>
      <c r="S34" s="197"/>
      <c r="T34" s="197"/>
      <c r="U34" s="197"/>
    </row>
    <row r="35" spans="1:21" s="12" customFormat="1" x14ac:dyDescent="0.25">
      <c r="A35" s="200" t="s">
        <v>2577</v>
      </c>
      <c r="B35" s="59">
        <v>97.18</v>
      </c>
      <c r="C35" s="59">
        <v>97.64</v>
      </c>
      <c r="D35" s="59">
        <v>131.82</v>
      </c>
      <c r="E35" s="59">
        <v>5.41</v>
      </c>
      <c r="F35" s="59">
        <v>0.04</v>
      </c>
      <c r="G35" s="59">
        <v>103.45</v>
      </c>
      <c r="H35" s="59">
        <v>40.49</v>
      </c>
      <c r="I35" s="59">
        <v>0.56000000000000005</v>
      </c>
      <c r="J35" s="59">
        <v>0.03</v>
      </c>
      <c r="K35" s="59">
        <v>110.15</v>
      </c>
      <c r="L35" s="59">
        <v>15.83</v>
      </c>
      <c r="M35" s="59">
        <v>82</v>
      </c>
      <c r="N35" s="59">
        <v>28.3</v>
      </c>
      <c r="O35" s="59">
        <v>0</v>
      </c>
      <c r="P35" s="59">
        <v>1.72</v>
      </c>
      <c r="Q35" s="59">
        <v>47.1</v>
      </c>
      <c r="R35" s="197"/>
      <c r="S35" s="197"/>
      <c r="T35" s="197"/>
      <c r="U35" s="197"/>
    </row>
    <row r="36" spans="1:21" s="12" customFormat="1" x14ac:dyDescent="0.25">
      <c r="A36" s="200" t="s">
        <v>2578</v>
      </c>
      <c r="B36" s="59">
        <v>102.76</v>
      </c>
      <c r="C36" s="59">
        <v>99.42</v>
      </c>
      <c r="D36" s="59">
        <v>137.27000000000001</v>
      </c>
      <c r="E36" s="59">
        <v>5.45</v>
      </c>
      <c r="F36" s="59">
        <v>0.05</v>
      </c>
      <c r="G36" s="59">
        <v>103.45</v>
      </c>
      <c r="H36" s="59">
        <v>40.49</v>
      </c>
      <c r="I36" s="59">
        <v>0.55000000000000004</v>
      </c>
      <c r="J36" s="59">
        <v>0.23</v>
      </c>
      <c r="K36" s="59">
        <v>5.5</v>
      </c>
      <c r="L36" s="59">
        <v>16.11</v>
      </c>
      <c r="M36" s="59">
        <v>81</v>
      </c>
      <c r="N36" s="59">
        <v>35.1</v>
      </c>
      <c r="O36" s="59">
        <v>0</v>
      </c>
      <c r="P36" s="59">
        <v>1.72</v>
      </c>
      <c r="Q36" s="59">
        <v>47.09</v>
      </c>
      <c r="R36" s="197"/>
      <c r="S36" s="197"/>
      <c r="T36" s="197"/>
      <c r="U36" s="197"/>
    </row>
    <row r="37" spans="1:21" s="12" customFormat="1" x14ac:dyDescent="0.25">
      <c r="A37" s="200" t="s">
        <v>2579</v>
      </c>
      <c r="B37" s="59">
        <v>105.59</v>
      </c>
      <c r="C37" s="59">
        <v>99.77</v>
      </c>
      <c r="D37" s="59">
        <v>139.72999999999999</v>
      </c>
      <c r="E37" s="59">
        <v>5.24</v>
      </c>
      <c r="F37" s="59">
        <v>0.03</v>
      </c>
      <c r="G37" s="59">
        <v>103.45</v>
      </c>
      <c r="H37" s="59">
        <v>40.49</v>
      </c>
      <c r="I37" s="59">
        <v>0.55000000000000004</v>
      </c>
      <c r="J37" s="59">
        <v>0.03</v>
      </c>
      <c r="K37" s="59">
        <v>259.01</v>
      </c>
      <c r="L37" s="59">
        <v>16.43</v>
      </c>
      <c r="M37" s="59">
        <v>80</v>
      </c>
      <c r="N37" s="59">
        <v>42.9</v>
      </c>
      <c r="O37" s="59">
        <v>0</v>
      </c>
      <c r="P37" s="59">
        <v>1.77</v>
      </c>
      <c r="Q37" s="59">
        <v>45.6</v>
      </c>
      <c r="R37" s="197"/>
      <c r="S37" s="197"/>
      <c r="T37" s="197"/>
      <c r="U37" s="197"/>
    </row>
    <row r="38" spans="1:21" s="12" customFormat="1" x14ac:dyDescent="0.25">
      <c r="A38" s="200" t="s">
        <v>2580</v>
      </c>
      <c r="B38" s="59">
        <v>105.52</v>
      </c>
      <c r="C38" s="59">
        <v>99.84</v>
      </c>
      <c r="D38" s="59">
        <v>139.72</v>
      </c>
      <c r="E38" s="59">
        <v>5.43</v>
      </c>
      <c r="F38" s="209" t="s">
        <v>36</v>
      </c>
      <c r="G38" s="59">
        <v>105.74</v>
      </c>
      <c r="H38" s="59">
        <v>42.17</v>
      </c>
      <c r="I38" s="59">
        <v>0.53</v>
      </c>
      <c r="J38" s="59">
        <v>0.01</v>
      </c>
      <c r="K38" s="59">
        <v>67.25</v>
      </c>
      <c r="L38" s="59">
        <v>17.22</v>
      </c>
      <c r="M38" s="59">
        <v>76</v>
      </c>
      <c r="N38" s="59">
        <v>51.5</v>
      </c>
      <c r="O38" s="59">
        <v>0</v>
      </c>
      <c r="P38" s="59">
        <v>1.84</v>
      </c>
      <c r="Q38" s="59">
        <v>44.64</v>
      </c>
      <c r="R38" s="197"/>
      <c r="S38" s="197"/>
      <c r="T38" s="197"/>
      <c r="U38" s="197"/>
    </row>
    <row r="39" spans="1:21" s="12" customFormat="1" x14ac:dyDescent="0.25">
      <c r="A39" s="200" t="s">
        <v>2581</v>
      </c>
      <c r="B39" s="59">
        <v>104.99</v>
      </c>
      <c r="C39" s="59">
        <v>99.56</v>
      </c>
      <c r="D39" s="59">
        <v>139.13999999999999</v>
      </c>
      <c r="E39" s="59">
        <v>5.09</v>
      </c>
      <c r="F39" s="209" t="s">
        <v>36</v>
      </c>
      <c r="G39" s="59">
        <v>107.47</v>
      </c>
      <c r="H39" s="59">
        <v>44.46</v>
      </c>
      <c r="I39" s="59">
        <v>0.54</v>
      </c>
      <c r="J39" s="59">
        <v>0.2</v>
      </c>
      <c r="K39" s="59">
        <v>18.78</v>
      </c>
      <c r="L39" s="59">
        <v>18.21</v>
      </c>
      <c r="M39" s="59">
        <v>72</v>
      </c>
      <c r="N39" s="59">
        <v>96.8</v>
      </c>
      <c r="O39" s="59">
        <v>0</v>
      </c>
      <c r="P39" s="59">
        <v>1.85</v>
      </c>
      <c r="Q39" s="59">
        <v>44.65</v>
      </c>
      <c r="R39" s="197"/>
      <c r="S39" s="197"/>
      <c r="T39" s="197"/>
      <c r="U39" s="197"/>
    </row>
    <row r="40" spans="1:21" s="12" customFormat="1" x14ac:dyDescent="0.25">
      <c r="A40" s="200" t="s">
        <v>2582</v>
      </c>
      <c r="B40" s="59">
        <v>103.89</v>
      </c>
      <c r="C40" s="59">
        <v>99.86</v>
      </c>
      <c r="D40" s="59">
        <v>138.41999999999999</v>
      </c>
      <c r="E40" s="59">
        <v>2.15</v>
      </c>
      <c r="F40" s="59">
        <v>0.01</v>
      </c>
      <c r="G40" s="59">
        <v>107.47</v>
      </c>
      <c r="H40" s="59">
        <v>44.46</v>
      </c>
      <c r="I40" s="59">
        <v>0.54</v>
      </c>
      <c r="J40" s="59">
        <v>0.3</v>
      </c>
      <c r="K40" s="59">
        <v>15.45</v>
      </c>
      <c r="L40" s="59">
        <v>21.71</v>
      </c>
      <c r="M40" s="59">
        <v>59</v>
      </c>
      <c r="N40" s="59">
        <v>185.7</v>
      </c>
      <c r="O40" s="59">
        <v>0</v>
      </c>
      <c r="P40" s="59">
        <v>1.86</v>
      </c>
      <c r="Q40" s="59">
        <v>44.81</v>
      </c>
      <c r="R40" s="197"/>
      <c r="S40" s="197"/>
      <c r="T40" s="197"/>
      <c r="U40" s="197"/>
    </row>
    <row r="41" spans="1:21" s="12" customFormat="1" x14ac:dyDescent="0.25">
      <c r="A41" s="200" t="s">
        <v>2583</v>
      </c>
      <c r="B41" s="59">
        <v>101.9</v>
      </c>
      <c r="C41" s="59">
        <v>100.5</v>
      </c>
      <c r="D41" s="59">
        <v>137.18</v>
      </c>
      <c r="E41" s="59">
        <v>4.59</v>
      </c>
      <c r="F41" s="59">
        <v>0.09</v>
      </c>
      <c r="G41" s="59">
        <v>107.47</v>
      </c>
      <c r="H41" s="59">
        <v>44.46</v>
      </c>
      <c r="I41" s="59">
        <v>0.55000000000000004</v>
      </c>
      <c r="J41" s="59">
        <v>0.45</v>
      </c>
      <c r="K41" s="59">
        <v>13.3</v>
      </c>
      <c r="L41" s="59">
        <v>24.89</v>
      </c>
      <c r="M41" s="59">
        <v>49</v>
      </c>
      <c r="N41" s="59">
        <v>214.2</v>
      </c>
      <c r="O41" s="59">
        <v>0</v>
      </c>
      <c r="P41" s="59">
        <v>1.86</v>
      </c>
      <c r="Q41" s="59">
        <v>44.93</v>
      </c>
      <c r="R41" s="197"/>
      <c r="S41" s="197"/>
      <c r="T41" s="197"/>
      <c r="U41" s="197"/>
    </row>
    <row r="42" spans="1:21" s="12" customFormat="1" x14ac:dyDescent="0.25">
      <c r="A42" s="200" t="s">
        <v>2584</v>
      </c>
      <c r="B42" s="59">
        <v>96.57</v>
      </c>
      <c r="C42" s="59">
        <v>101.31</v>
      </c>
      <c r="D42" s="59">
        <v>133.35</v>
      </c>
      <c r="E42" s="59">
        <v>4.5999999999999996</v>
      </c>
      <c r="F42" s="59">
        <v>0.03</v>
      </c>
      <c r="G42" s="59">
        <v>101.84</v>
      </c>
      <c r="H42" s="59">
        <v>46.79</v>
      </c>
      <c r="I42" s="59">
        <v>0.55000000000000004</v>
      </c>
      <c r="J42" s="59">
        <v>0.42</v>
      </c>
      <c r="K42" s="59">
        <v>13.98</v>
      </c>
      <c r="L42" s="59">
        <v>26.62</v>
      </c>
      <c r="M42" s="59">
        <v>45</v>
      </c>
      <c r="N42" s="59">
        <v>235.2</v>
      </c>
      <c r="O42" s="59">
        <v>0</v>
      </c>
      <c r="P42" s="59">
        <v>1.86</v>
      </c>
      <c r="Q42" s="59">
        <v>44.92</v>
      </c>
      <c r="R42" s="197"/>
      <c r="S42" s="197"/>
      <c r="T42" s="197"/>
      <c r="U42" s="197"/>
    </row>
    <row r="43" spans="1:21" s="12" customFormat="1" x14ac:dyDescent="0.25">
      <c r="A43" s="200" t="s">
        <v>2585</v>
      </c>
      <c r="B43" s="59">
        <v>95.06</v>
      </c>
      <c r="C43" s="59">
        <v>101.53</v>
      </c>
      <c r="D43" s="59">
        <v>132.26</v>
      </c>
      <c r="E43" s="59">
        <v>4.75</v>
      </c>
      <c r="F43" s="209" t="s">
        <v>36</v>
      </c>
      <c r="G43" s="59">
        <v>90.56</v>
      </c>
      <c r="H43" s="59">
        <v>49.84</v>
      </c>
      <c r="I43" s="59">
        <v>0.55000000000000004</v>
      </c>
      <c r="J43" s="59">
        <v>0.5</v>
      </c>
      <c r="K43" s="59">
        <v>9.01</v>
      </c>
      <c r="L43" s="59">
        <v>27.78</v>
      </c>
      <c r="M43" s="59">
        <v>42</v>
      </c>
      <c r="N43" s="59">
        <v>260.10000000000002</v>
      </c>
      <c r="O43" s="59">
        <v>0</v>
      </c>
      <c r="P43" s="59">
        <v>1.86</v>
      </c>
      <c r="Q43" s="59">
        <v>44.92</v>
      </c>
      <c r="R43" s="197"/>
      <c r="S43" s="197"/>
      <c r="T43" s="197"/>
      <c r="U43" s="197"/>
    </row>
    <row r="44" spans="1:21" s="12" customFormat="1" x14ac:dyDescent="0.25">
      <c r="A44" s="200" t="s">
        <v>2586</v>
      </c>
      <c r="B44" s="59">
        <v>90.46</v>
      </c>
      <c r="C44" s="59">
        <v>102.59</v>
      </c>
      <c r="D44" s="59">
        <v>129.16</v>
      </c>
      <c r="E44" s="59">
        <v>4.97</v>
      </c>
      <c r="F44" s="59">
        <v>0.02</v>
      </c>
      <c r="G44" s="59">
        <v>90.56</v>
      </c>
      <c r="H44" s="59">
        <v>49.84</v>
      </c>
      <c r="I44" s="59">
        <v>0.55000000000000004</v>
      </c>
      <c r="J44" s="59">
        <v>0.44</v>
      </c>
      <c r="K44" s="59">
        <v>349.02</v>
      </c>
      <c r="L44" s="59">
        <v>28.63</v>
      </c>
      <c r="M44" s="59">
        <v>41</v>
      </c>
      <c r="N44" s="59">
        <v>280.7</v>
      </c>
      <c r="O44" s="59">
        <v>0</v>
      </c>
      <c r="P44" s="59">
        <v>1.83</v>
      </c>
      <c r="Q44" s="59">
        <v>46.5</v>
      </c>
      <c r="R44" s="197"/>
      <c r="S44" s="197"/>
      <c r="T44" s="197"/>
      <c r="U44" s="197"/>
    </row>
    <row r="45" spans="1:21" s="12" customFormat="1" x14ac:dyDescent="0.25">
      <c r="A45" s="200" t="s">
        <v>2587</v>
      </c>
      <c r="B45" s="59">
        <v>83.88</v>
      </c>
      <c r="C45" s="59">
        <v>103.94</v>
      </c>
      <c r="D45" s="59">
        <v>124.63</v>
      </c>
      <c r="E45" s="59">
        <v>5.15</v>
      </c>
      <c r="F45" s="59">
        <v>0.06</v>
      </c>
      <c r="G45" s="59">
        <v>90.56</v>
      </c>
      <c r="H45" s="59">
        <v>49.84</v>
      </c>
      <c r="I45" s="59">
        <v>0.56000000000000005</v>
      </c>
      <c r="J45" s="59">
        <v>0.39</v>
      </c>
      <c r="K45" s="59">
        <v>5.34</v>
      </c>
      <c r="L45" s="59">
        <v>29.21</v>
      </c>
      <c r="M45" s="59">
        <v>40</v>
      </c>
      <c r="N45" s="59">
        <v>299</v>
      </c>
      <c r="O45" s="59">
        <v>0</v>
      </c>
      <c r="P45" s="59">
        <v>1.8</v>
      </c>
      <c r="Q45" s="59">
        <v>47.19</v>
      </c>
      <c r="R45" s="197"/>
      <c r="S45" s="197"/>
      <c r="T45" s="197"/>
      <c r="U45" s="197"/>
    </row>
    <row r="46" spans="1:21" s="12" customFormat="1" x14ac:dyDescent="0.25">
      <c r="A46" s="200" t="s">
        <v>2588</v>
      </c>
      <c r="B46" s="59">
        <v>77.56</v>
      </c>
      <c r="C46" s="59">
        <v>105.86</v>
      </c>
      <c r="D46" s="59">
        <v>120.62</v>
      </c>
      <c r="E46" s="59">
        <v>4.8099999999999996</v>
      </c>
      <c r="F46" s="59">
        <v>0.18</v>
      </c>
      <c r="G46" s="59">
        <v>80.38</v>
      </c>
      <c r="H46" s="59">
        <v>48.58</v>
      </c>
      <c r="I46" s="59">
        <v>0.54</v>
      </c>
      <c r="J46" s="59">
        <v>0.33</v>
      </c>
      <c r="K46" s="59">
        <v>6.67</v>
      </c>
      <c r="L46" s="59">
        <v>29.46</v>
      </c>
      <c r="M46" s="59">
        <v>40</v>
      </c>
      <c r="N46" s="59">
        <v>311.5</v>
      </c>
      <c r="O46" s="59">
        <v>0</v>
      </c>
      <c r="P46" s="59">
        <v>1.79</v>
      </c>
      <c r="Q46" s="59">
        <v>46.9</v>
      </c>
      <c r="R46" s="197"/>
      <c r="S46" s="197"/>
      <c r="T46" s="197"/>
      <c r="U46" s="197"/>
    </row>
    <row r="47" spans="1:21" s="12" customFormat="1" x14ac:dyDescent="0.25">
      <c r="A47" s="200" t="s">
        <v>2589</v>
      </c>
      <c r="B47" s="59">
        <v>70.599999999999994</v>
      </c>
      <c r="C47" s="59">
        <v>106.83</v>
      </c>
      <c r="D47" s="59">
        <v>115.58</v>
      </c>
      <c r="E47" s="59">
        <v>4.28</v>
      </c>
      <c r="F47" s="59">
        <v>0.12</v>
      </c>
      <c r="G47" s="59">
        <v>72.87</v>
      </c>
      <c r="H47" s="59">
        <v>46.92</v>
      </c>
      <c r="I47" s="59">
        <v>0.52</v>
      </c>
      <c r="J47" s="59">
        <v>0.48</v>
      </c>
      <c r="K47" s="59">
        <v>0.64</v>
      </c>
      <c r="L47" s="59">
        <v>30.34</v>
      </c>
      <c r="M47" s="59">
        <v>38</v>
      </c>
      <c r="N47" s="59">
        <v>324</v>
      </c>
      <c r="O47" s="59">
        <v>0</v>
      </c>
      <c r="P47" s="59">
        <v>1.77</v>
      </c>
      <c r="Q47" s="59">
        <v>46.57</v>
      </c>
      <c r="R47" s="197"/>
      <c r="S47" s="197"/>
      <c r="T47" s="197"/>
      <c r="U47" s="197"/>
    </row>
    <row r="48" spans="1:21" s="12" customFormat="1" x14ac:dyDescent="0.25">
      <c r="A48" s="200" t="s">
        <v>2590</v>
      </c>
      <c r="B48" s="59">
        <v>64.010000000000005</v>
      </c>
      <c r="C48" s="59">
        <v>108.34</v>
      </c>
      <c r="D48" s="59">
        <v>111.12</v>
      </c>
      <c r="E48" s="59">
        <v>4.68</v>
      </c>
      <c r="F48" s="59">
        <v>0.16</v>
      </c>
      <c r="G48" s="59">
        <v>72.87</v>
      </c>
      <c r="H48" s="59">
        <v>46.92</v>
      </c>
      <c r="I48" s="59">
        <v>0.49</v>
      </c>
      <c r="J48" s="59">
        <v>0.5</v>
      </c>
      <c r="K48" s="59">
        <v>7.78</v>
      </c>
      <c r="L48" s="59">
        <v>30.81</v>
      </c>
      <c r="M48" s="59">
        <v>38</v>
      </c>
      <c r="N48" s="59">
        <v>335.6</v>
      </c>
      <c r="O48" s="59">
        <v>0</v>
      </c>
      <c r="P48" s="59">
        <v>1.77</v>
      </c>
      <c r="Q48" s="59">
        <v>46.28</v>
      </c>
      <c r="R48" s="197"/>
      <c r="S48" s="197"/>
      <c r="T48" s="197"/>
      <c r="U48" s="197"/>
    </row>
    <row r="49" spans="1:21" s="12" customFormat="1" x14ac:dyDescent="0.25">
      <c r="A49" s="200" t="s">
        <v>2591</v>
      </c>
      <c r="B49" s="59">
        <v>56.99</v>
      </c>
      <c r="C49" s="59">
        <v>109.93</v>
      </c>
      <c r="D49" s="59">
        <v>106.37</v>
      </c>
      <c r="E49" s="59">
        <v>4.57</v>
      </c>
      <c r="F49" s="59">
        <v>0.6</v>
      </c>
      <c r="G49" s="59">
        <v>72.87</v>
      </c>
      <c r="H49" s="59">
        <v>46.92</v>
      </c>
      <c r="I49" s="59">
        <v>0.48</v>
      </c>
      <c r="J49" s="59">
        <v>0.4</v>
      </c>
      <c r="K49" s="59">
        <v>4.66</v>
      </c>
      <c r="L49" s="59">
        <v>30.8</v>
      </c>
      <c r="M49" s="59">
        <v>38</v>
      </c>
      <c r="N49" s="59">
        <v>345.8</v>
      </c>
      <c r="O49" s="59">
        <v>0</v>
      </c>
      <c r="P49" s="59">
        <v>1.77</v>
      </c>
      <c r="Q49" s="59">
        <v>46</v>
      </c>
      <c r="R49" s="197"/>
      <c r="S49" s="197"/>
      <c r="T49" s="197"/>
      <c r="U49" s="197"/>
    </row>
    <row r="50" spans="1:21" s="12" customFormat="1" x14ac:dyDescent="0.25">
      <c r="A50" s="200" t="s">
        <v>2592</v>
      </c>
      <c r="B50" s="59">
        <v>49.97</v>
      </c>
      <c r="C50" s="59">
        <v>110.92</v>
      </c>
      <c r="D50" s="59">
        <v>101.29</v>
      </c>
      <c r="E50" s="59">
        <v>4.13</v>
      </c>
      <c r="F50" s="59">
        <v>0.56000000000000005</v>
      </c>
      <c r="G50" s="59">
        <v>75.709999999999994</v>
      </c>
      <c r="H50" s="59">
        <v>45.06</v>
      </c>
      <c r="I50" s="59">
        <v>0.46</v>
      </c>
      <c r="J50" s="59">
        <v>0.24</v>
      </c>
      <c r="K50" s="59">
        <v>355.6</v>
      </c>
      <c r="L50" s="59">
        <v>29.95</v>
      </c>
      <c r="M50" s="59">
        <v>39</v>
      </c>
      <c r="N50" s="59">
        <v>350.6</v>
      </c>
      <c r="O50" s="59">
        <v>0</v>
      </c>
      <c r="P50" s="59">
        <v>1.75</v>
      </c>
      <c r="Q50" s="59">
        <v>45.26</v>
      </c>
      <c r="R50" s="197"/>
      <c r="S50" s="197"/>
      <c r="T50" s="197"/>
      <c r="U50" s="197"/>
    </row>
    <row r="51" spans="1:21" s="12" customFormat="1" x14ac:dyDescent="0.25">
      <c r="A51" s="200" t="s">
        <v>2593</v>
      </c>
      <c r="B51" s="59">
        <v>43.96</v>
      </c>
      <c r="C51" s="59">
        <v>109.04</v>
      </c>
      <c r="D51" s="59">
        <v>95.43</v>
      </c>
      <c r="E51" s="59">
        <v>3.77</v>
      </c>
      <c r="F51" s="59">
        <v>0.38</v>
      </c>
      <c r="G51" s="59">
        <v>77.849999999999994</v>
      </c>
      <c r="H51" s="59">
        <v>42.64</v>
      </c>
      <c r="I51" s="59">
        <v>0.44</v>
      </c>
      <c r="J51" s="59">
        <v>0.27</v>
      </c>
      <c r="K51" s="59">
        <v>354.33</v>
      </c>
      <c r="L51" s="59">
        <v>30.6</v>
      </c>
      <c r="M51" s="59">
        <v>38</v>
      </c>
      <c r="N51" s="59">
        <v>357.3</v>
      </c>
      <c r="O51" s="59">
        <v>0</v>
      </c>
      <c r="P51" s="59">
        <v>1.75</v>
      </c>
      <c r="Q51" s="59">
        <v>44.15</v>
      </c>
      <c r="R51" s="197"/>
      <c r="S51" s="197"/>
      <c r="T51" s="197"/>
      <c r="U51" s="197"/>
    </row>
    <row r="52" spans="1:21" s="12" customFormat="1" x14ac:dyDescent="0.25">
      <c r="A52" s="200" t="s">
        <v>2594</v>
      </c>
      <c r="B52" s="59">
        <v>40.200000000000003</v>
      </c>
      <c r="C52" s="59">
        <v>108.83</v>
      </c>
      <c r="D52" s="59">
        <v>92.3</v>
      </c>
      <c r="E52" s="59">
        <v>3.82</v>
      </c>
      <c r="F52" s="59">
        <v>0.2</v>
      </c>
      <c r="G52" s="59">
        <v>77.849999999999994</v>
      </c>
      <c r="H52" s="59">
        <v>42.64</v>
      </c>
      <c r="I52" s="59">
        <v>0.43</v>
      </c>
      <c r="J52" s="59">
        <v>0.21</v>
      </c>
      <c r="K52" s="59">
        <v>1.22</v>
      </c>
      <c r="L52" s="59">
        <v>29.87</v>
      </c>
      <c r="M52" s="59">
        <v>37</v>
      </c>
      <c r="N52" s="59">
        <v>366.5</v>
      </c>
      <c r="O52" s="59">
        <v>0</v>
      </c>
      <c r="P52" s="59">
        <v>1.73</v>
      </c>
      <c r="Q52" s="59">
        <v>42.24</v>
      </c>
      <c r="R52" s="197"/>
      <c r="S52" s="197"/>
      <c r="T52" s="197"/>
      <c r="U52" s="197"/>
    </row>
    <row r="53" spans="1:21" s="12" customFormat="1" x14ac:dyDescent="0.25">
      <c r="A53" s="200" t="s">
        <v>2595</v>
      </c>
      <c r="B53" s="59">
        <v>34.97</v>
      </c>
      <c r="C53" s="59">
        <v>107.19</v>
      </c>
      <c r="D53" s="59">
        <v>87.2</v>
      </c>
      <c r="E53" s="59">
        <v>3.72</v>
      </c>
      <c r="F53" s="59">
        <v>0.2</v>
      </c>
      <c r="G53" s="59">
        <v>77.849999999999994</v>
      </c>
      <c r="H53" s="59">
        <v>42.64</v>
      </c>
      <c r="I53" s="59">
        <v>0.42</v>
      </c>
      <c r="J53" s="59">
        <v>0.3</v>
      </c>
      <c r="K53" s="59">
        <v>352.65</v>
      </c>
      <c r="L53" s="59">
        <v>31.3</v>
      </c>
      <c r="M53" s="59">
        <v>35</v>
      </c>
      <c r="N53" s="59">
        <v>368.9</v>
      </c>
      <c r="O53" s="59">
        <v>0</v>
      </c>
      <c r="P53" s="59">
        <v>1.68</v>
      </c>
      <c r="Q53" s="59">
        <v>41.31</v>
      </c>
      <c r="R53" s="197"/>
      <c r="S53" s="197"/>
      <c r="T53" s="197"/>
      <c r="U53" s="197"/>
    </row>
    <row r="54" spans="1:21" s="12" customFormat="1" x14ac:dyDescent="0.25">
      <c r="A54" s="200" t="s">
        <v>2596</v>
      </c>
      <c r="B54" s="59">
        <v>29.88</v>
      </c>
      <c r="C54" s="59">
        <v>105.14</v>
      </c>
      <c r="D54" s="59">
        <v>81.99</v>
      </c>
      <c r="E54" s="59">
        <v>4.05</v>
      </c>
      <c r="F54" s="59">
        <v>0.55000000000000004</v>
      </c>
      <c r="G54" s="59">
        <v>69.72</v>
      </c>
      <c r="H54" s="59">
        <v>39.630000000000003</v>
      </c>
      <c r="I54" s="59">
        <v>0.42</v>
      </c>
      <c r="J54" s="59">
        <v>0.35</v>
      </c>
      <c r="K54" s="59">
        <v>352.61</v>
      </c>
      <c r="L54" s="59">
        <v>31.16</v>
      </c>
      <c r="M54" s="59">
        <v>35</v>
      </c>
      <c r="N54" s="59">
        <v>371.9</v>
      </c>
      <c r="O54" s="59">
        <v>0</v>
      </c>
      <c r="P54" s="59">
        <v>1.63</v>
      </c>
      <c r="Q54" s="59">
        <v>40.82</v>
      </c>
      <c r="R54" s="197"/>
      <c r="S54" s="197"/>
      <c r="T54" s="197"/>
      <c r="U54" s="197"/>
    </row>
    <row r="55" spans="1:21" s="12" customFormat="1" x14ac:dyDescent="0.25">
      <c r="A55" s="200" t="s">
        <v>2597</v>
      </c>
      <c r="B55" s="59">
        <v>25.81</v>
      </c>
      <c r="C55" s="59">
        <v>102.26</v>
      </c>
      <c r="D55" s="59">
        <v>77.14</v>
      </c>
      <c r="E55" s="59">
        <v>3.76</v>
      </c>
      <c r="F55" s="59">
        <v>0.75</v>
      </c>
      <c r="G55" s="59">
        <v>63.73</v>
      </c>
      <c r="H55" s="59">
        <v>35.69</v>
      </c>
      <c r="I55" s="59">
        <v>0.4</v>
      </c>
      <c r="J55" s="59">
        <v>0.38</v>
      </c>
      <c r="K55" s="59">
        <v>11.23</v>
      </c>
      <c r="L55" s="59">
        <v>30.53</v>
      </c>
      <c r="M55" s="59">
        <v>34</v>
      </c>
      <c r="N55" s="59">
        <v>380</v>
      </c>
      <c r="O55" s="59">
        <v>0</v>
      </c>
      <c r="P55" s="59">
        <v>1.57</v>
      </c>
      <c r="Q55" s="59">
        <v>40.83</v>
      </c>
      <c r="R55" s="197"/>
      <c r="S55" s="197"/>
      <c r="T55" s="197"/>
      <c r="U55" s="197"/>
    </row>
    <row r="56" spans="1:21" s="12" customFormat="1" x14ac:dyDescent="0.25">
      <c r="A56" s="200" t="s">
        <v>2598</v>
      </c>
      <c r="B56" s="59">
        <v>22.4</v>
      </c>
      <c r="C56" s="59">
        <v>100.12</v>
      </c>
      <c r="D56" s="59">
        <v>73.209999999999994</v>
      </c>
      <c r="E56" s="59">
        <v>0.75</v>
      </c>
      <c r="F56" s="59">
        <v>0.44</v>
      </c>
      <c r="G56" s="59">
        <v>63.73</v>
      </c>
      <c r="H56" s="59">
        <v>35.69</v>
      </c>
      <c r="I56" s="59">
        <v>0.39</v>
      </c>
      <c r="J56" s="59">
        <v>0.45</v>
      </c>
      <c r="K56" s="59">
        <v>355.32</v>
      </c>
      <c r="L56" s="59">
        <v>32.92</v>
      </c>
      <c r="M56" s="59">
        <v>31</v>
      </c>
      <c r="N56" s="59">
        <v>370</v>
      </c>
      <c r="O56" s="59">
        <v>0</v>
      </c>
      <c r="P56" s="59">
        <v>1.51</v>
      </c>
      <c r="Q56" s="59">
        <v>40.590000000000003</v>
      </c>
      <c r="R56" s="197"/>
      <c r="S56" s="197"/>
      <c r="T56" s="197"/>
      <c r="U56" s="197"/>
    </row>
    <row r="57" spans="1:21" s="12" customFormat="1" x14ac:dyDescent="0.25">
      <c r="A57" s="200" t="s">
        <v>2599</v>
      </c>
      <c r="B57" s="59">
        <v>19.89</v>
      </c>
      <c r="C57" s="59">
        <v>98.19</v>
      </c>
      <c r="D57" s="59">
        <v>70.14</v>
      </c>
      <c r="E57" s="59">
        <v>2.62</v>
      </c>
      <c r="F57" s="59">
        <v>0.52</v>
      </c>
      <c r="G57" s="59">
        <v>63.73</v>
      </c>
      <c r="H57" s="59">
        <v>35.69</v>
      </c>
      <c r="I57" s="59">
        <v>0.37</v>
      </c>
      <c r="J57" s="59">
        <v>0.65</v>
      </c>
      <c r="K57" s="59">
        <v>353.7</v>
      </c>
      <c r="L57" s="59">
        <v>33.61</v>
      </c>
      <c r="M57" s="59">
        <v>30</v>
      </c>
      <c r="N57" s="59">
        <v>372.4</v>
      </c>
      <c r="O57" s="59">
        <v>0</v>
      </c>
      <c r="P57" s="59">
        <v>1.46</v>
      </c>
      <c r="Q57" s="59">
        <v>40.58</v>
      </c>
      <c r="R57" s="197"/>
      <c r="S57" s="197"/>
      <c r="T57" s="197"/>
      <c r="U57" s="197"/>
    </row>
    <row r="58" spans="1:21" s="12" customFormat="1" x14ac:dyDescent="0.25">
      <c r="A58" s="200" t="s">
        <v>2600</v>
      </c>
      <c r="B58" s="59">
        <v>17.420000000000002</v>
      </c>
      <c r="C58" s="59">
        <v>97.45</v>
      </c>
      <c r="D58" s="59">
        <v>67.75</v>
      </c>
      <c r="E58" s="59">
        <v>2.87</v>
      </c>
      <c r="F58" s="59">
        <v>0.52</v>
      </c>
      <c r="G58" s="59">
        <v>58.99</v>
      </c>
      <c r="H58" s="59">
        <v>34.35</v>
      </c>
      <c r="I58" s="59">
        <v>0.37</v>
      </c>
      <c r="J58" s="59">
        <v>0.25</v>
      </c>
      <c r="K58" s="59">
        <v>354.68</v>
      </c>
      <c r="L58" s="59">
        <v>33.26</v>
      </c>
      <c r="M58" s="59">
        <v>30</v>
      </c>
      <c r="N58" s="59">
        <v>362.8</v>
      </c>
      <c r="O58" s="59">
        <v>0</v>
      </c>
      <c r="P58" s="59">
        <v>1.44</v>
      </c>
      <c r="Q58" s="59">
        <v>41.44</v>
      </c>
      <c r="R58" s="197"/>
      <c r="S58" s="197"/>
      <c r="T58" s="197"/>
      <c r="U58" s="197"/>
    </row>
    <row r="59" spans="1:21" s="12" customFormat="1" x14ac:dyDescent="0.25">
      <c r="A59" s="200" t="s">
        <v>2601</v>
      </c>
      <c r="B59" s="59">
        <v>13.83</v>
      </c>
      <c r="C59" s="59">
        <v>97.62</v>
      </c>
      <c r="D59" s="59">
        <v>64.97</v>
      </c>
      <c r="E59" s="59">
        <v>2.6</v>
      </c>
      <c r="F59" s="59">
        <v>0.68</v>
      </c>
      <c r="G59" s="59">
        <v>48.78</v>
      </c>
      <c r="H59" s="59">
        <v>32.61</v>
      </c>
      <c r="I59" s="59">
        <v>0.36</v>
      </c>
      <c r="J59" s="59">
        <v>0.53</v>
      </c>
      <c r="K59" s="59">
        <v>353.44</v>
      </c>
      <c r="L59" s="59">
        <v>32.89</v>
      </c>
      <c r="M59" s="59">
        <v>30</v>
      </c>
      <c r="N59" s="59">
        <v>358.2</v>
      </c>
      <c r="O59" s="59">
        <v>0</v>
      </c>
      <c r="P59" s="59">
        <v>1.39</v>
      </c>
      <c r="Q59" s="59">
        <v>43</v>
      </c>
      <c r="R59" s="197"/>
      <c r="S59" s="197"/>
      <c r="T59" s="197"/>
      <c r="U59" s="197"/>
    </row>
    <row r="60" spans="1:21" s="12" customFormat="1" x14ac:dyDescent="0.25">
      <c r="A60" s="200" t="s">
        <v>2602</v>
      </c>
      <c r="B60" s="59">
        <v>10.210000000000001</v>
      </c>
      <c r="C60" s="59">
        <v>96.86</v>
      </c>
      <c r="D60" s="59">
        <v>61.64</v>
      </c>
      <c r="E60" s="59">
        <v>2.41</v>
      </c>
      <c r="F60" s="59">
        <v>0.91</v>
      </c>
      <c r="G60" s="59">
        <v>48.78</v>
      </c>
      <c r="H60" s="59">
        <v>32.61</v>
      </c>
      <c r="I60" s="59">
        <v>0.35</v>
      </c>
      <c r="J60" s="59">
        <v>0.42</v>
      </c>
      <c r="K60" s="59">
        <v>347.99</v>
      </c>
      <c r="L60" s="59">
        <v>32.159999999999997</v>
      </c>
      <c r="M60" s="59">
        <v>30</v>
      </c>
      <c r="N60" s="59">
        <v>352.2</v>
      </c>
      <c r="O60" s="59">
        <v>0</v>
      </c>
      <c r="P60" s="59">
        <v>1.33</v>
      </c>
      <c r="Q60" s="59">
        <v>43.72</v>
      </c>
      <c r="R60" s="197"/>
      <c r="S60" s="197"/>
      <c r="T60" s="197"/>
      <c r="U60" s="197"/>
    </row>
    <row r="61" spans="1:21" s="12" customFormat="1" x14ac:dyDescent="0.25">
      <c r="A61" s="200" t="s">
        <v>2603</v>
      </c>
      <c r="B61" s="59">
        <v>7.74</v>
      </c>
      <c r="C61" s="59">
        <v>95.72</v>
      </c>
      <c r="D61" s="59">
        <v>59.03</v>
      </c>
      <c r="E61" s="59">
        <v>2.38</v>
      </c>
      <c r="F61" s="59">
        <v>0.73</v>
      </c>
      <c r="G61" s="59">
        <v>48.78</v>
      </c>
      <c r="H61" s="59">
        <v>32.61</v>
      </c>
      <c r="I61" s="59">
        <v>0.34</v>
      </c>
      <c r="J61" s="59">
        <v>0.5</v>
      </c>
      <c r="K61" s="59">
        <v>5.14</v>
      </c>
      <c r="L61" s="59">
        <v>32.58</v>
      </c>
      <c r="M61" s="59">
        <v>29</v>
      </c>
      <c r="N61" s="59">
        <v>344.3</v>
      </c>
      <c r="O61" s="59">
        <v>0</v>
      </c>
      <c r="P61" s="59">
        <v>1.23</v>
      </c>
      <c r="Q61" s="59">
        <v>43.65</v>
      </c>
      <c r="R61" s="197"/>
      <c r="S61" s="197"/>
      <c r="T61" s="197"/>
      <c r="U61" s="197"/>
    </row>
    <row r="62" spans="1:21" s="12" customFormat="1" x14ac:dyDescent="0.25">
      <c r="A62" s="200" t="s">
        <v>2604</v>
      </c>
      <c r="B62" s="59">
        <v>5.87</v>
      </c>
      <c r="C62" s="59">
        <v>94.03</v>
      </c>
      <c r="D62" s="59">
        <v>56.6</v>
      </c>
      <c r="E62" s="59">
        <v>2.06</v>
      </c>
      <c r="F62" s="59">
        <v>2.15</v>
      </c>
      <c r="G62" s="59">
        <v>45.51</v>
      </c>
      <c r="H62" s="59">
        <v>31.14</v>
      </c>
      <c r="I62" s="59">
        <v>0.32</v>
      </c>
      <c r="J62" s="59">
        <v>0.25</v>
      </c>
      <c r="K62" s="59">
        <v>30.67</v>
      </c>
      <c r="L62" s="59">
        <v>31.62</v>
      </c>
      <c r="M62" s="59">
        <v>29</v>
      </c>
      <c r="N62" s="59">
        <v>333.6</v>
      </c>
      <c r="O62" s="59">
        <v>0</v>
      </c>
      <c r="P62" s="59">
        <v>1.24</v>
      </c>
      <c r="Q62" s="59">
        <v>42.96</v>
      </c>
      <c r="R62" s="197"/>
      <c r="S62" s="197"/>
      <c r="T62" s="197"/>
      <c r="U62" s="197"/>
    </row>
    <row r="63" spans="1:21" s="12" customFormat="1" x14ac:dyDescent="0.25">
      <c r="A63" s="200" t="s">
        <v>2605</v>
      </c>
      <c r="B63" s="59">
        <v>4.6900000000000004</v>
      </c>
      <c r="C63" s="59">
        <v>92.01</v>
      </c>
      <c r="D63" s="59">
        <v>54.54</v>
      </c>
      <c r="E63" s="59">
        <v>3.44</v>
      </c>
      <c r="F63" s="59">
        <v>1.41</v>
      </c>
      <c r="G63" s="59">
        <v>43.1</v>
      </c>
      <c r="H63" s="59">
        <v>29.22</v>
      </c>
      <c r="I63" s="59">
        <v>0.3</v>
      </c>
      <c r="J63" s="59">
        <v>0.09</v>
      </c>
      <c r="K63" s="59">
        <v>346.71</v>
      </c>
      <c r="L63" s="59">
        <v>30.98</v>
      </c>
      <c r="M63" s="59">
        <v>29</v>
      </c>
      <c r="N63" s="59">
        <v>326.3</v>
      </c>
      <c r="O63" s="59">
        <v>0</v>
      </c>
      <c r="P63" s="59">
        <v>1.22</v>
      </c>
      <c r="Q63" s="59">
        <v>42.69</v>
      </c>
      <c r="R63" s="197"/>
      <c r="S63" s="197"/>
      <c r="T63" s="197"/>
      <c r="U63" s="197"/>
    </row>
    <row r="64" spans="1:21" s="12" customFormat="1" x14ac:dyDescent="0.25">
      <c r="A64" s="200" t="s">
        <v>2606</v>
      </c>
      <c r="B64" s="59">
        <v>3.71</v>
      </c>
      <c r="C64" s="59">
        <v>89.16</v>
      </c>
      <c r="D64" s="59">
        <v>52.18</v>
      </c>
      <c r="E64" s="59">
        <v>2.38</v>
      </c>
      <c r="F64" s="59">
        <v>1.81</v>
      </c>
      <c r="G64" s="59">
        <v>43.1</v>
      </c>
      <c r="H64" s="59">
        <v>29.22</v>
      </c>
      <c r="I64" s="59">
        <v>0.3</v>
      </c>
      <c r="J64" s="59">
        <v>0.11</v>
      </c>
      <c r="K64" s="59">
        <v>221.89</v>
      </c>
      <c r="L64" s="59">
        <v>30.59</v>
      </c>
      <c r="M64" s="59">
        <v>30</v>
      </c>
      <c r="N64" s="59">
        <v>313.39999999999998</v>
      </c>
      <c r="O64" s="59">
        <v>0</v>
      </c>
      <c r="P64" s="59">
        <v>1.17</v>
      </c>
      <c r="Q64" s="59">
        <v>42.39</v>
      </c>
      <c r="R64" s="197"/>
      <c r="S64" s="197"/>
      <c r="T64" s="197"/>
      <c r="U64" s="197"/>
    </row>
    <row r="65" spans="1:21" s="12" customFormat="1" x14ac:dyDescent="0.25">
      <c r="A65" s="200" t="s">
        <v>2607</v>
      </c>
      <c r="B65" s="59">
        <v>3.16</v>
      </c>
      <c r="C65" s="59">
        <v>80.239999999999995</v>
      </c>
      <c r="D65" s="59">
        <v>46.82</v>
      </c>
      <c r="E65" s="59">
        <v>3.82</v>
      </c>
      <c r="F65" s="59">
        <v>5.65</v>
      </c>
      <c r="G65" s="59">
        <v>43.1</v>
      </c>
      <c r="H65" s="59">
        <v>29.22</v>
      </c>
      <c r="I65" s="59">
        <v>0.28000000000000003</v>
      </c>
      <c r="J65" s="59">
        <v>0.33</v>
      </c>
      <c r="K65" s="59">
        <v>178.77</v>
      </c>
      <c r="L65" s="59">
        <v>30.5</v>
      </c>
      <c r="M65" s="59">
        <v>30</v>
      </c>
      <c r="N65" s="59">
        <v>295.5</v>
      </c>
      <c r="O65" s="59">
        <v>0</v>
      </c>
      <c r="P65" s="59">
        <v>1.08</v>
      </c>
      <c r="Q65" s="59">
        <v>41.7</v>
      </c>
      <c r="R65" s="197"/>
      <c r="S65" s="197"/>
      <c r="T65" s="197"/>
      <c r="U65" s="197"/>
    </row>
    <row r="66" spans="1:21" s="12" customFormat="1" x14ac:dyDescent="0.25">
      <c r="A66" s="200" t="s">
        <v>2608</v>
      </c>
      <c r="B66" s="59">
        <v>5.19</v>
      </c>
      <c r="C66" s="59">
        <v>78.47</v>
      </c>
      <c r="D66" s="59">
        <v>47.47</v>
      </c>
      <c r="E66" s="59">
        <v>4.2300000000000004</v>
      </c>
      <c r="F66" s="59">
        <v>5.09</v>
      </c>
      <c r="G66" s="59">
        <v>39.53</v>
      </c>
      <c r="H66" s="59">
        <v>28.08</v>
      </c>
      <c r="I66" s="59">
        <v>0.27</v>
      </c>
      <c r="J66" s="59">
        <v>0.21</v>
      </c>
      <c r="K66" s="59">
        <v>359.45</v>
      </c>
      <c r="L66" s="59">
        <v>31.28</v>
      </c>
      <c r="M66" s="59">
        <v>30</v>
      </c>
      <c r="N66" s="59">
        <v>193.2</v>
      </c>
      <c r="O66" s="59">
        <v>0</v>
      </c>
      <c r="P66" s="59">
        <v>1.0900000000000001</v>
      </c>
      <c r="Q66" s="59">
        <v>39.99</v>
      </c>
      <c r="R66" s="197"/>
      <c r="S66" s="197"/>
      <c r="T66" s="197"/>
      <c r="U66" s="197"/>
    </row>
    <row r="67" spans="1:21" s="12" customFormat="1" x14ac:dyDescent="0.25">
      <c r="A67" s="200" t="s">
        <v>2609</v>
      </c>
      <c r="B67" s="59">
        <v>4.3600000000000003</v>
      </c>
      <c r="C67" s="59">
        <v>77.98</v>
      </c>
      <c r="D67" s="59">
        <v>46.53</v>
      </c>
      <c r="E67" s="59">
        <v>2.99</v>
      </c>
      <c r="F67" s="59">
        <v>4.43</v>
      </c>
      <c r="G67" s="59">
        <v>36.89</v>
      </c>
      <c r="H67" s="59">
        <v>26.58</v>
      </c>
      <c r="I67" s="59">
        <v>0.24</v>
      </c>
      <c r="J67" s="59">
        <v>0.06</v>
      </c>
      <c r="K67" s="59">
        <v>320.52999999999997</v>
      </c>
      <c r="L67" s="59">
        <v>31.34</v>
      </c>
      <c r="M67" s="59">
        <v>29</v>
      </c>
      <c r="N67" s="59">
        <v>199.1</v>
      </c>
      <c r="O67" s="59">
        <v>0</v>
      </c>
      <c r="P67" s="59">
        <v>1.08</v>
      </c>
      <c r="Q67" s="59">
        <v>39.299999999999997</v>
      </c>
      <c r="R67" s="197"/>
      <c r="S67" s="197"/>
      <c r="T67" s="197"/>
      <c r="U67" s="197"/>
    </row>
    <row r="68" spans="1:21" s="12" customFormat="1" x14ac:dyDescent="0.25">
      <c r="A68" s="200" t="s">
        <v>2610</v>
      </c>
      <c r="B68" s="59">
        <v>4.63</v>
      </c>
      <c r="C68" s="59">
        <v>75.47</v>
      </c>
      <c r="D68" s="59">
        <v>45.36</v>
      </c>
      <c r="E68" s="59">
        <v>3.72</v>
      </c>
      <c r="F68" s="59">
        <v>8.07</v>
      </c>
      <c r="G68" s="59">
        <v>36.89</v>
      </c>
      <c r="H68" s="59">
        <v>26.58</v>
      </c>
      <c r="I68" s="59">
        <v>0.25</v>
      </c>
      <c r="J68" s="59">
        <v>0.1</v>
      </c>
      <c r="K68" s="59">
        <v>18.21</v>
      </c>
      <c r="L68" s="59">
        <v>30.86</v>
      </c>
      <c r="M68" s="59">
        <v>29</v>
      </c>
      <c r="N68" s="59">
        <v>222.4</v>
      </c>
      <c r="O68" s="59">
        <v>0</v>
      </c>
      <c r="P68" s="59">
        <v>1.05</v>
      </c>
      <c r="Q68" s="59">
        <v>38.93</v>
      </c>
      <c r="R68" s="197"/>
      <c r="S68" s="197"/>
      <c r="T68" s="197"/>
      <c r="U68" s="197"/>
    </row>
    <row r="69" spans="1:21" s="12" customFormat="1" x14ac:dyDescent="0.25">
      <c r="A69" s="200" t="s">
        <v>2611</v>
      </c>
      <c r="B69" s="59">
        <v>4.62</v>
      </c>
      <c r="C69" s="59">
        <v>74.290000000000006</v>
      </c>
      <c r="D69" s="59">
        <v>44.7</v>
      </c>
      <c r="E69" s="59">
        <v>3.23</v>
      </c>
      <c r="F69" s="59">
        <v>5.34</v>
      </c>
      <c r="G69" s="59">
        <v>36.89</v>
      </c>
      <c r="H69" s="59">
        <v>26.58</v>
      </c>
      <c r="I69" s="59">
        <v>0.25</v>
      </c>
      <c r="J69" s="59">
        <v>0.28000000000000003</v>
      </c>
      <c r="K69" s="59">
        <v>348.67</v>
      </c>
      <c r="L69" s="59">
        <v>30.84</v>
      </c>
      <c r="M69" s="59">
        <v>30</v>
      </c>
      <c r="N69" s="59">
        <v>202.8</v>
      </c>
      <c r="O69" s="59">
        <v>0</v>
      </c>
      <c r="P69" s="59">
        <v>1.05</v>
      </c>
      <c r="Q69" s="59">
        <v>39.35</v>
      </c>
      <c r="R69" s="197"/>
      <c r="S69" s="197"/>
      <c r="T69" s="197"/>
      <c r="U69" s="197"/>
    </row>
    <row r="70" spans="1:21" s="12" customFormat="1" x14ac:dyDescent="0.25">
      <c r="A70" s="200" t="s">
        <v>2612</v>
      </c>
      <c r="B70" s="59">
        <v>4.71</v>
      </c>
      <c r="C70" s="59">
        <v>68.2</v>
      </c>
      <c r="D70" s="59">
        <v>41.41</v>
      </c>
      <c r="E70" s="59">
        <v>5.27</v>
      </c>
      <c r="F70" s="59">
        <v>14.8</v>
      </c>
      <c r="G70" s="59">
        <v>37.69</v>
      </c>
      <c r="H70" s="59">
        <v>26.18</v>
      </c>
      <c r="I70" s="59">
        <v>0.24</v>
      </c>
      <c r="J70" s="59">
        <v>0.04</v>
      </c>
      <c r="K70" s="59">
        <v>236.87</v>
      </c>
      <c r="L70" s="59">
        <v>30.24</v>
      </c>
      <c r="M70" s="59">
        <v>30</v>
      </c>
      <c r="N70" s="59">
        <v>146</v>
      </c>
      <c r="O70" s="59">
        <v>0</v>
      </c>
      <c r="P70" s="59">
        <v>0.98</v>
      </c>
      <c r="Q70" s="59">
        <v>40.119999999999997</v>
      </c>
      <c r="R70" s="197"/>
      <c r="S70" s="197"/>
      <c r="T70" s="197"/>
      <c r="U70" s="197"/>
    </row>
    <row r="71" spans="1:21" s="12" customFormat="1" x14ac:dyDescent="0.25">
      <c r="A71" s="200" t="s">
        <v>2613</v>
      </c>
      <c r="B71" s="59">
        <v>4.9800000000000004</v>
      </c>
      <c r="C71" s="59">
        <v>68.91</v>
      </c>
      <c r="D71" s="59">
        <v>42.02</v>
      </c>
      <c r="E71" s="59">
        <v>4.59</v>
      </c>
      <c r="F71" s="59">
        <v>8.4700000000000006</v>
      </c>
      <c r="G71" s="59">
        <v>38.270000000000003</v>
      </c>
      <c r="H71" s="59">
        <v>25.66</v>
      </c>
      <c r="I71" s="59">
        <v>0.25</v>
      </c>
      <c r="J71" s="59">
        <v>0.09</v>
      </c>
      <c r="K71" s="59">
        <v>327.14</v>
      </c>
      <c r="L71" s="59">
        <v>29.28</v>
      </c>
      <c r="M71" s="59">
        <v>32</v>
      </c>
      <c r="N71" s="59">
        <v>153</v>
      </c>
      <c r="O71" s="59">
        <v>0</v>
      </c>
      <c r="P71" s="59">
        <v>1.01</v>
      </c>
      <c r="Q71" s="59">
        <v>41.04</v>
      </c>
      <c r="R71" s="197"/>
      <c r="S71" s="197"/>
      <c r="T71" s="197"/>
      <c r="U71" s="197"/>
    </row>
    <row r="72" spans="1:21" s="12" customFormat="1" x14ac:dyDescent="0.25">
      <c r="A72" s="200" t="s">
        <v>2614</v>
      </c>
      <c r="B72" s="59">
        <v>4.33</v>
      </c>
      <c r="C72" s="59">
        <v>69.209999999999994</v>
      </c>
      <c r="D72" s="59">
        <v>41.66</v>
      </c>
      <c r="E72" s="59">
        <v>3.31</v>
      </c>
      <c r="F72" s="59">
        <v>5.94</v>
      </c>
      <c r="G72" s="59">
        <v>38.270000000000003</v>
      </c>
      <c r="H72" s="59">
        <v>25.66</v>
      </c>
      <c r="I72" s="59">
        <v>0.23</v>
      </c>
      <c r="J72" s="59">
        <v>0.08</v>
      </c>
      <c r="K72" s="59">
        <v>37.39</v>
      </c>
      <c r="L72" s="59">
        <v>29.24</v>
      </c>
      <c r="M72" s="59">
        <v>33</v>
      </c>
      <c r="N72" s="59">
        <v>91.6</v>
      </c>
      <c r="O72" s="59">
        <v>0</v>
      </c>
      <c r="P72" s="59">
        <v>1</v>
      </c>
      <c r="Q72" s="59">
        <v>41.82</v>
      </c>
      <c r="R72" s="197"/>
      <c r="S72" s="197"/>
      <c r="T72" s="197"/>
      <c r="U72" s="197"/>
    </row>
    <row r="73" spans="1:21" s="12" customFormat="1" x14ac:dyDescent="0.25">
      <c r="A73" s="200" t="s">
        <v>2615</v>
      </c>
      <c r="B73" s="59">
        <v>4.1100000000000003</v>
      </c>
      <c r="C73" s="59">
        <v>72.84</v>
      </c>
      <c r="D73" s="59">
        <v>43.49</v>
      </c>
      <c r="E73" s="59">
        <v>4.8899999999999997</v>
      </c>
      <c r="F73" s="59">
        <v>2.6</v>
      </c>
      <c r="G73" s="59">
        <v>38.270000000000003</v>
      </c>
      <c r="H73" s="59">
        <v>25.66</v>
      </c>
      <c r="I73" s="59">
        <v>0.26</v>
      </c>
      <c r="J73" s="59">
        <v>0.03</v>
      </c>
      <c r="K73" s="59">
        <v>353.22</v>
      </c>
      <c r="L73" s="59">
        <v>28.91</v>
      </c>
      <c r="M73" s="59">
        <v>32</v>
      </c>
      <c r="N73" s="59">
        <v>62.1</v>
      </c>
      <c r="O73" s="59">
        <v>0</v>
      </c>
      <c r="P73" s="59">
        <v>1.03</v>
      </c>
      <c r="Q73" s="59">
        <v>44.06</v>
      </c>
      <c r="R73" s="197"/>
      <c r="S73" s="197"/>
      <c r="T73" s="197"/>
      <c r="U73" s="197"/>
    </row>
    <row r="74" spans="1:21" s="12" customFormat="1" x14ac:dyDescent="0.25">
      <c r="A74" s="200" t="s">
        <v>2616</v>
      </c>
      <c r="B74" s="59">
        <v>5</v>
      </c>
      <c r="C74" s="59">
        <v>72.819999999999993</v>
      </c>
      <c r="D74" s="59">
        <v>44.19</v>
      </c>
      <c r="E74" s="59">
        <v>5.22</v>
      </c>
      <c r="F74" s="59">
        <v>2.29</v>
      </c>
      <c r="G74" s="59">
        <v>38.08</v>
      </c>
      <c r="H74" s="59">
        <v>24.25</v>
      </c>
      <c r="I74" s="59">
        <v>0.26</v>
      </c>
      <c r="J74" s="59">
        <v>0.11</v>
      </c>
      <c r="K74" s="59">
        <v>0.32</v>
      </c>
      <c r="L74" s="59">
        <v>28.65</v>
      </c>
      <c r="M74" s="59">
        <v>34</v>
      </c>
      <c r="N74" s="59">
        <v>53.1</v>
      </c>
      <c r="O74" s="59">
        <v>0</v>
      </c>
      <c r="P74" s="59">
        <v>1</v>
      </c>
      <c r="Q74" s="59">
        <v>44.92</v>
      </c>
      <c r="R74" s="197"/>
      <c r="S74" s="197"/>
      <c r="T74" s="197"/>
      <c r="U74" s="197"/>
    </row>
    <row r="75" spans="1:21" s="12" customFormat="1" x14ac:dyDescent="0.25">
      <c r="A75" s="200" t="s">
        <v>2617</v>
      </c>
      <c r="B75" s="59">
        <v>4.28</v>
      </c>
      <c r="C75" s="59">
        <v>74.12</v>
      </c>
      <c r="D75" s="59">
        <v>44.34</v>
      </c>
      <c r="E75" s="59">
        <v>5.13</v>
      </c>
      <c r="F75" s="59">
        <v>3.16</v>
      </c>
      <c r="G75" s="59">
        <v>37.69</v>
      </c>
      <c r="H75" s="59">
        <v>22.39</v>
      </c>
      <c r="I75" s="59">
        <v>0.28000000000000003</v>
      </c>
      <c r="J75" s="59">
        <v>0.08</v>
      </c>
      <c r="K75" s="59">
        <v>354.35</v>
      </c>
      <c r="L75" s="59">
        <v>28.33</v>
      </c>
      <c r="M75" s="59">
        <v>35</v>
      </c>
      <c r="N75" s="59">
        <v>45.3</v>
      </c>
      <c r="O75" s="59">
        <v>0</v>
      </c>
      <c r="P75" s="59">
        <v>1.02</v>
      </c>
      <c r="Q75" s="59">
        <v>44.76</v>
      </c>
      <c r="R75" s="197"/>
      <c r="S75" s="197"/>
      <c r="T75" s="197"/>
      <c r="U75" s="197"/>
    </row>
    <row r="76" spans="1:21" s="12" customFormat="1" x14ac:dyDescent="0.25">
      <c r="A76" s="200" t="s">
        <v>2618</v>
      </c>
      <c r="B76" s="59">
        <v>6.37</v>
      </c>
      <c r="C76" s="59">
        <v>84.1</v>
      </c>
      <c r="D76" s="59">
        <v>51.52</v>
      </c>
      <c r="E76" s="59">
        <v>5.14</v>
      </c>
      <c r="F76" s="59">
        <v>2.29</v>
      </c>
      <c r="G76" s="59">
        <v>37.69</v>
      </c>
      <c r="H76" s="59">
        <v>22.39</v>
      </c>
      <c r="I76" s="59">
        <v>0.27</v>
      </c>
      <c r="J76" s="59">
        <v>7.0000000000000007E-2</v>
      </c>
      <c r="K76" s="59">
        <v>281.26</v>
      </c>
      <c r="L76" s="59">
        <v>27.67</v>
      </c>
      <c r="M76" s="59">
        <v>38</v>
      </c>
      <c r="N76" s="59">
        <v>37.799999999999997</v>
      </c>
      <c r="O76" s="59">
        <v>0</v>
      </c>
      <c r="P76" s="59">
        <v>1.1499999999999999</v>
      </c>
      <c r="Q76" s="59">
        <v>44.82</v>
      </c>
      <c r="R76" s="197"/>
      <c r="S76" s="197"/>
      <c r="T76" s="197"/>
      <c r="U76" s="197"/>
    </row>
    <row r="77" spans="1:21" s="12" customFormat="1" x14ac:dyDescent="0.25">
      <c r="A77" s="200" t="s">
        <v>2619</v>
      </c>
      <c r="B77" s="59">
        <v>6.21</v>
      </c>
      <c r="C77" s="59">
        <v>85.24</v>
      </c>
      <c r="D77" s="59">
        <v>52.03</v>
      </c>
      <c r="E77" s="59">
        <v>4.45</v>
      </c>
      <c r="F77" s="59">
        <v>1.96</v>
      </c>
      <c r="G77" s="59">
        <v>37.69</v>
      </c>
      <c r="H77" s="59">
        <v>22.39</v>
      </c>
      <c r="I77" s="59">
        <v>0.27</v>
      </c>
      <c r="J77" s="59">
        <v>0.11</v>
      </c>
      <c r="K77" s="59">
        <v>312.43</v>
      </c>
      <c r="L77" s="59">
        <v>26.89</v>
      </c>
      <c r="M77" s="59">
        <v>44</v>
      </c>
      <c r="N77" s="59">
        <v>31.1</v>
      </c>
      <c r="O77" s="59">
        <v>0</v>
      </c>
      <c r="P77" s="59">
        <v>1.17</v>
      </c>
      <c r="Q77" s="59">
        <v>44.92</v>
      </c>
      <c r="R77" s="197"/>
      <c r="S77" s="197"/>
      <c r="T77" s="197"/>
      <c r="U77" s="197"/>
    </row>
    <row r="78" spans="1:21" s="12" customFormat="1" x14ac:dyDescent="0.25">
      <c r="A78" s="200" t="s">
        <v>2620</v>
      </c>
      <c r="B78" s="59">
        <v>8.65</v>
      </c>
      <c r="C78" s="59">
        <v>89.21</v>
      </c>
      <c r="D78" s="59">
        <v>56.17</v>
      </c>
      <c r="E78" s="59">
        <v>4.68</v>
      </c>
      <c r="F78" s="59">
        <v>0.44</v>
      </c>
      <c r="G78" s="59">
        <v>49.03</v>
      </c>
      <c r="H78" s="59">
        <v>23.05</v>
      </c>
      <c r="I78" s="59">
        <v>0.28000000000000003</v>
      </c>
      <c r="J78" s="59">
        <v>0.06</v>
      </c>
      <c r="K78" s="59">
        <v>332.79</v>
      </c>
      <c r="L78" s="59">
        <v>25.48</v>
      </c>
      <c r="M78" s="59">
        <v>53</v>
      </c>
      <c r="N78" s="59">
        <v>26.5</v>
      </c>
      <c r="O78" s="59">
        <v>0</v>
      </c>
      <c r="P78" s="59">
        <v>1.22</v>
      </c>
      <c r="Q78" s="59">
        <v>45.1</v>
      </c>
      <c r="R78" s="197"/>
      <c r="S78" s="197"/>
      <c r="T78" s="197"/>
      <c r="U78" s="197"/>
    </row>
    <row r="79" spans="1:21" s="12" customFormat="1" x14ac:dyDescent="0.25">
      <c r="A79" s="200" t="s">
        <v>2621</v>
      </c>
      <c r="B79" s="59">
        <v>15.74</v>
      </c>
      <c r="C79" s="59">
        <v>109.79</v>
      </c>
      <c r="D79" s="59">
        <v>73.22</v>
      </c>
      <c r="E79" s="59">
        <v>4.96</v>
      </c>
      <c r="F79" s="59">
        <v>0.1</v>
      </c>
      <c r="G79" s="59">
        <v>57.39</v>
      </c>
      <c r="H79" s="59">
        <v>23.94</v>
      </c>
      <c r="I79" s="59">
        <v>0.28999999999999998</v>
      </c>
      <c r="J79" s="59">
        <v>0.15</v>
      </c>
      <c r="K79" s="59">
        <v>106.35</v>
      </c>
      <c r="L79" s="59">
        <v>24.86</v>
      </c>
      <c r="M79" s="59">
        <v>51</v>
      </c>
      <c r="N79" s="59">
        <v>25</v>
      </c>
      <c r="O79" s="59">
        <v>0</v>
      </c>
      <c r="P79" s="59">
        <v>1.45</v>
      </c>
      <c r="Q79" s="59">
        <v>44.7</v>
      </c>
      <c r="R79" s="197"/>
      <c r="S79" s="197"/>
      <c r="T79" s="197"/>
      <c r="U79" s="197"/>
    </row>
    <row r="80" spans="1:21" s="12" customFormat="1" x14ac:dyDescent="0.25">
      <c r="A80" s="200" t="s">
        <v>2622</v>
      </c>
      <c r="B80" s="59">
        <v>22.19</v>
      </c>
      <c r="C80" s="59">
        <v>111.28</v>
      </c>
      <c r="D80" s="59">
        <v>79.209999999999994</v>
      </c>
      <c r="E80" s="59">
        <v>5.26</v>
      </c>
      <c r="F80" s="214" t="s">
        <v>47</v>
      </c>
      <c r="G80" s="59">
        <v>57.39</v>
      </c>
      <c r="H80" s="59">
        <v>23.94</v>
      </c>
      <c r="I80" s="59">
        <v>0.31</v>
      </c>
      <c r="J80" s="59">
        <v>0.12</v>
      </c>
      <c r="K80" s="59">
        <v>120.48</v>
      </c>
      <c r="L80" s="59">
        <v>24.27</v>
      </c>
      <c r="M80" s="59">
        <v>51</v>
      </c>
      <c r="N80" s="59">
        <v>24.6</v>
      </c>
      <c r="O80" s="59">
        <v>0</v>
      </c>
      <c r="P80" s="59">
        <v>1.5</v>
      </c>
      <c r="Q80" s="59">
        <v>42.79</v>
      </c>
      <c r="R80" s="197"/>
      <c r="S80" s="197"/>
      <c r="T80" s="197"/>
      <c r="U80" s="197"/>
    </row>
    <row r="81" spans="1:26" s="12" customFormat="1" x14ac:dyDescent="0.25">
      <c r="A81" s="200" t="s">
        <v>2623</v>
      </c>
      <c r="B81" s="59">
        <v>25.86</v>
      </c>
      <c r="C81" s="59">
        <v>113.07</v>
      </c>
      <c r="D81" s="59">
        <v>83.14</v>
      </c>
      <c r="E81" s="59">
        <v>5.29</v>
      </c>
      <c r="F81" s="59">
        <v>0.05</v>
      </c>
      <c r="G81" s="59">
        <v>57.39</v>
      </c>
      <c r="H81" s="59">
        <v>23.94</v>
      </c>
      <c r="I81" s="59">
        <v>0.37</v>
      </c>
      <c r="J81" s="59">
        <v>0.06</v>
      </c>
      <c r="K81" s="59">
        <v>167.86</v>
      </c>
      <c r="L81" s="59">
        <v>23.63</v>
      </c>
      <c r="M81" s="59">
        <v>54</v>
      </c>
      <c r="N81" s="59">
        <v>24.6</v>
      </c>
      <c r="O81" s="59">
        <v>0</v>
      </c>
      <c r="P81" s="59">
        <v>1.56</v>
      </c>
      <c r="Q81" s="59">
        <v>42.18</v>
      </c>
      <c r="R81" s="197"/>
      <c r="S81" s="197"/>
      <c r="T81" s="197"/>
      <c r="U81" s="197"/>
    </row>
    <row r="82" spans="1:26" s="12" customFormat="1" x14ac:dyDescent="0.25">
      <c r="A82" s="200" t="s">
        <v>2624</v>
      </c>
      <c r="B82" s="59">
        <v>53.55</v>
      </c>
      <c r="C82" s="59">
        <v>122.94</v>
      </c>
      <c r="D82" s="59">
        <v>110.79</v>
      </c>
      <c r="E82" s="59">
        <v>5.69</v>
      </c>
      <c r="F82" s="59">
        <v>0.08</v>
      </c>
      <c r="G82" s="59">
        <v>101.92</v>
      </c>
      <c r="H82" s="59">
        <v>28.5</v>
      </c>
      <c r="I82" s="59">
        <v>0.43</v>
      </c>
      <c r="J82" s="59">
        <v>0.05</v>
      </c>
      <c r="K82" s="59">
        <v>34.58</v>
      </c>
      <c r="L82" s="59">
        <v>23.25</v>
      </c>
      <c r="M82" s="59">
        <v>56</v>
      </c>
      <c r="N82" s="59">
        <v>24.5</v>
      </c>
      <c r="O82" s="59">
        <v>0</v>
      </c>
      <c r="P82" s="59">
        <v>2.15</v>
      </c>
      <c r="Q82" s="59">
        <v>41.27</v>
      </c>
      <c r="R82" s="197"/>
      <c r="S82" s="197"/>
      <c r="T82" s="197"/>
      <c r="U82" s="197"/>
    </row>
    <row r="83" spans="1:26" s="12" customFormat="1" x14ac:dyDescent="0.25">
      <c r="A83" s="200" t="s">
        <v>2625</v>
      </c>
      <c r="B83" s="59">
        <v>35.18</v>
      </c>
      <c r="C83" s="59">
        <v>111.65</v>
      </c>
      <c r="D83" s="59">
        <v>89.83</v>
      </c>
      <c r="E83" s="59">
        <v>5.53</v>
      </c>
      <c r="F83" s="59">
        <v>0.12</v>
      </c>
      <c r="G83" s="59">
        <v>134.72999999999999</v>
      </c>
      <c r="H83" s="59">
        <v>34.46</v>
      </c>
      <c r="I83" s="59">
        <v>0.47</v>
      </c>
      <c r="J83" s="59">
        <v>0.02</v>
      </c>
      <c r="K83" s="59">
        <v>282.18</v>
      </c>
      <c r="L83" s="59">
        <v>22.98</v>
      </c>
      <c r="M83" s="59">
        <v>57</v>
      </c>
      <c r="N83" s="59">
        <v>24.3</v>
      </c>
      <c r="O83" s="59">
        <v>0</v>
      </c>
      <c r="P83" s="59">
        <v>1.98</v>
      </c>
      <c r="Q83" s="59">
        <v>42.56</v>
      </c>
      <c r="R83" s="197"/>
      <c r="S83" s="197"/>
      <c r="T83" s="197"/>
      <c r="U83" s="197"/>
    </row>
    <row r="84" spans="1:26" s="12" customFormat="1" x14ac:dyDescent="0.25">
      <c r="A84" s="200" t="s">
        <v>2626</v>
      </c>
      <c r="B84" s="59">
        <v>42.18</v>
      </c>
      <c r="C84" s="59">
        <v>111.99</v>
      </c>
      <c r="D84" s="59">
        <v>95.63</v>
      </c>
      <c r="E84" s="59">
        <v>5.48</v>
      </c>
      <c r="F84" s="59">
        <v>0.25</v>
      </c>
      <c r="G84" s="59">
        <v>134.72999999999999</v>
      </c>
      <c r="H84" s="59">
        <v>34.46</v>
      </c>
      <c r="I84" s="59">
        <v>0.54</v>
      </c>
      <c r="J84" s="59">
        <v>0.1</v>
      </c>
      <c r="K84" s="59">
        <v>126.09</v>
      </c>
      <c r="L84" s="59">
        <v>22.61</v>
      </c>
      <c r="M84" s="59">
        <v>60</v>
      </c>
      <c r="N84" s="59">
        <v>24.3</v>
      </c>
      <c r="O84" s="59">
        <v>0</v>
      </c>
      <c r="P84" s="59">
        <v>1.92</v>
      </c>
      <c r="Q84" s="59">
        <v>44.46</v>
      </c>
      <c r="R84" s="197"/>
      <c r="S84" s="197"/>
      <c r="T84" s="197"/>
      <c r="U84" s="197"/>
    </row>
    <row r="85" spans="1:26" s="12" customFormat="1" x14ac:dyDescent="0.25">
      <c r="A85" s="200" t="s">
        <v>2627</v>
      </c>
      <c r="B85" s="59">
        <v>46.97</v>
      </c>
      <c r="C85" s="59">
        <v>115.61</v>
      </c>
      <c r="D85" s="59">
        <v>101.47</v>
      </c>
      <c r="E85" s="59">
        <v>4.9400000000000004</v>
      </c>
      <c r="F85" s="59">
        <v>0.16</v>
      </c>
      <c r="G85" s="59">
        <v>134.72999999999999</v>
      </c>
      <c r="H85" s="59">
        <v>34.46</v>
      </c>
      <c r="I85" s="59">
        <v>0.55000000000000004</v>
      </c>
      <c r="J85" s="59">
        <v>0.06</v>
      </c>
      <c r="K85" s="59">
        <v>142.69</v>
      </c>
      <c r="L85" s="59">
        <v>22.14</v>
      </c>
      <c r="M85" s="59">
        <v>62</v>
      </c>
      <c r="N85" s="59">
        <v>24.5</v>
      </c>
      <c r="O85" s="59">
        <v>0</v>
      </c>
      <c r="P85" s="59">
        <v>1.85</v>
      </c>
      <c r="Q85" s="59">
        <v>45.48</v>
      </c>
      <c r="R85" s="197"/>
      <c r="S85" s="197"/>
      <c r="T85" s="197"/>
      <c r="U85" s="197"/>
    </row>
    <row r="86" spans="1:26" s="12" customFormat="1" x14ac:dyDescent="0.25">
      <c r="A86" s="200" t="s">
        <v>2628</v>
      </c>
      <c r="B86" s="59">
        <v>48.89</v>
      </c>
      <c r="C86" s="59">
        <v>110.96</v>
      </c>
      <c r="D86" s="59">
        <v>100.44</v>
      </c>
      <c r="E86" s="59">
        <v>5.31</v>
      </c>
      <c r="F86" s="59">
        <v>0.14000000000000001</v>
      </c>
      <c r="G86" s="59">
        <v>140.4</v>
      </c>
      <c r="H86" s="59">
        <v>38.840000000000003</v>
      </c>
      <c r="I86" s="59">
        <v>0.61</v>
      </c>
      <c r="J86" s="59">
        <v>0.04</v>
      </c>
      <c r="K86" s="59">
        <v>144.82</v>
      </c>
      <c r="L86" s="59">
        <v>21.89</v>
      </c>
      <c r="M86" s="59">
        <v>64</v>
      </c>
      <c r="N86" s="59">
        <v>24.3</v>
      </c>
      <c r="O86" s="59">
        <v>0</v>
      </c>
      <c r="P86" s="59">
        <v>1.91</v>
      </c>
      <c r="Q86" s="59">
        <v>45.66</v>
      </c>
      <c r="R86" s="197"/>
      <c r="S86" s="197"/>
      <c r="T86" s="197"/>
      <c r="U86" s="197"/>
    </row>
    <row r="87" spans="1:26" s="12" customFormat="1" x14ac:dyDescent="0.25">
      <c r="A87" s="200" t="s">
        <v>2629</v>
      </c>
      <c r="B87" s="59">
        <v>46.98</v>
      </c>
      <c r="C87" s="59">
        <v>106.16</v>
      </c>
      <c r="D87" s="59">
        <v>96.26</v>
      </c>
      <c r="E87" s="59">
        <v>5.6</v>
      </c>
      <c r="F87" s="59">
        <v>0.16</v>
      </c>
      <c r="G87" s="59">
        <v>144.58000000000001</v>
      </c>
      <c r="H87" s="59">
        <v>44.56</v>
      </c>
      <c r="I87" s="59">
        <v>0.65</v>
      </c>
      <c r="J87" s="59">
        <v>0.05</v>
      </c>
      <c r="K87" s="59">
        <v>147.68</v>
      </c>
      <c r="L87" s="59">
        <v>21.74</v>
      </c>
      <c r="M87" s="59">
        <v>66</v>
      </c>
      <c r="N87" s="59">
        <v>24.3</v>
      </c>
      <c r="O87" s="59">
        <v>0</v>
      </c>
      <c r="P87" s="59">
        <v>1.91</v>
      </c>
      <c r="Q87" s="59">
        <v>49.51</v>
      </c>
      <c r="R87" s="197"/>
      <c r="S87" s="197"/>
      <c r="T87" s="197"/>
      <c r="U87" s="197"/>
    </row>
    <row r="88" spans="1:26" s="12" customFormat="1" x14ac:dyDescent="0.25">
      <c r="A88" s="200" t="s">
        <v>2630</v>
      </c>
      <c r="B88" s="59">
        <v>61.97</v>
      </c>
      <c r="C88" s="59">
        <v>114.53</v>
      </c>
      <c r="D88" s="59">
        <v>112.9</v>
      </c>
      <c r="E88" s="59">
        <v>2.58</v>
      </c>
      <c r="F88" s="59">
        <v>0.18</v>
      </c>
      <c r="G88" s="59">
        <v>144.58000000000001</v>
      </c>
      <c r="H88" s="59">
        <v>44.56</v>
      </c>
      <c r="I88" s="59">
        <v>0.66</v>
      </c>
      <c r="J88" s="59">
        <v>0.03</v>
      </c>
      <c r="K88" s="59">
        <v>149.36000000000001</v>
      </c>
      <c r="L88" s="59">
        <v>21.58</v>
      </c>
      <c r="M88" s="59">
        <v>66</v>
      </c>
      <c r="N88" s="59">
        <v>24.5</v>
      </c>
      <c r="O88" s="59">
        <v>0</v>
      </c>
      <c r="P88" s="59">
        <v>2.0299999999999998</v>
      </c>
      <c r="Q88" s="59">
        <v>51.83</v>
      </c>
      <c r="R88" s="197"/>
      <c r="S88" s="197"/>
      <c r="T88" s="197"/>
      <c r="U88" s="197"/>
    </row>
    <row r="89" spans="1:26" s="12" customFormat="1" x14ac:dyDescent="0.25">
      <c r="A89" s="200" t="s">
        <v>2631</v>
      </c>
      <c r="B89" s="59">
        <v>72.66</v>
      </c>
      <c r="C89" s="59">
        <v>120.31</v>
      </c>
      <c r="D89" s="59">
        <v>124.67</v>
      </c>
      <c r="E89" s="59">
        <v>4.53</v>
      </c>
      <c r="F89" s="59">
        <v>0.13</v>
      </c>
      <c r="G89" s="59">
        <v>144.58000000000001</v>
      </c>
      <c r="H89" s="59">
        <v>44.56</v>
      </c>
      <c r="I89" s="59">
        <v>0.66</v>
      </c>
      <c r="J89" s="59">
        <v>0.08</v>
      </c>
      <c r="K89" s="59">
        <v>145.68</v>
      </c>
      <c r="L89" s="59">
        <v>21.3</v>
      </c>
      <c r="M89" s="59">
        <v>67</v>
      </c>
      <c r="N89" s="59">
        <v>24.4</v>
      </c>
      <c r="O89" s="59">
        <v>0</v>
      </c>
      <c r="P89" s="59">
        <v>2.16</v>
      </c>
      <c r="Q89" s="59">
        <v>52.86</v>
      </c>
      <c r="R89" s="197"/>
      <c r="S89" s="197"/>
      <c r="T89" s="197"/>
      <c r="U89" s="197"/>
    </row>
    <row r="90" spans="1:26" s="12" customFormat="1" x14ac:dyDescent="0.25">
      <c r="A90" s="200" t="s">
        <v>2632</v>
      </c>
      <c r="B90" s="59">
        <v>81.97</v>
      </c>
      <c r="C90" s="59">
        <v>125.41</v>
      </c>
      <c r="D90" s="59">
        <v>134.94999999999999</v>
      </c>
      <c r="E90" s="59">
        <v>4.66</v>
      </c>
      <c r="F90" s="59">
        <v>0.14000000000000001</v>
      </c>
      <c r="G90" s="59">
        <v>157.66999999999999</v>
      </c>
      <c r="H90" s="59">
        <v>49.74</v>
      </c>
      <c r="I90" s="59">
        <v>0.71</v>
      </c>
      <c r="J90" s="59">
        <v>0.04</v>
      </c>
      <c r="K90" s="59">
        <v>130.22</v>
      </c>
      <c r="L90" s="59">
        <v>21.11</v>
      </c>
      <c r="M90" s="59">
        <v>69</v>
      </c>
      <c r="N90" s="59">
        <v>24.6</v>
      </c>
      <c r="O90" s="59">
        <v>0</v>
      </c>
      <c r="P90" s="59">
        <v>2.29</v>
      </c>
      <c r="Q90" s="59">
        <v>53.28</v>
      </c>
      <c r="R90" s="197"/>
      <c r="S90" s="197"/>
      <c r="T90" s="197"/>
      <c r="U90" s="197"/>
    </row>
    <row r="91" spans="1:26" s="12" customFormat="1" x14ac:dyDescent="0.25">
      <c r="A91" s="200" t="s">
        <v>2633</v>
      </c>
      <c r="B91" s="59">
        <v>90.89</v>
      </c>
      <c r="C91" s="59">
        <v>129.66</v>
      </c>
      <c r="D91" s="59">
        <v>144.44999999999999</v>
      </c>
      <c r="E91" s="59">
        <v>5.12</v>
      </c>
      <c r="F91" s="59">
        <v>0.06</v>
      </c>
      <c r="G91" s="59">
        <v>183.84</v>
      </c>
      <c r="H91" s="59">
        <v>56.51</v>
      </c>
      <c r="I91" s="59">
        <v>0.77</v>
      </c>
      <c r="J91" s="59">
        <v>0.09</v>
      </c>
      <c r="K91" s="59">
        <v>138.43</v>
      </c>
      <c r="L91" s="59">
        <v>20.94</v>
      </c>
      <c r="M91" s="59">
        <v>69</v>
      </c>
      <c r="N91" s="59">
        <v>24.1</v>
      </c>
      <c r="O91" s="59">
        <v>0</v>
      </c>
      <c r="P91" s="59">
        <v>2.44</v>
      </c>
      <c r="Q91" s="59">
        <v>53.58</v>
      </c>
      <c r="R91" s="197"/>
      <c r="S91" s="197"/>
      <c r="T91" s="197"/>
      <c r="U91" s="197"/>
    </row>
    <row r="92" spans="1:26" s="12" customFormat="1" x14ac:dyDescent="0.25">
      <c r="A92" s="200" t="s">
        <v>2634</v>
      </c>
      <c r="B92" s="59">
        <v>96.58</v>
      </c>
      <c r="C92" s="59">
        <v>132.29</v>
      </c>
      <c r="D92" s="59">
        <v>150.46</v>
      </c>
      <c r="E92" s="59">
        <v>4.59</v>
      </c>
      <c r="F92" s="59">
        <v>0.1</v>
      </c>
      <c r="G92" s="59">
        <v>183.84</v>
      </c>
      <c r="H92" s="59">
        <v>56.51</v>
      </c>
      <c r="I92" s="59">
        <v>0.82</v>
      </c>
      <c r="J92" s="59">
        <v>0.13</v>
      </c>
      <c r="K92" s="59">
        <v>18.27</v>
      </c>
      <c r="L92" s="59">
        <v>20.95</v>
      </c>
      <c r="M92" s="59">
        <v>71</v>
      </c>
      <c r="N92" s="59">
        <v>24.2</v>
      </c>
      <c r="O92" s="59">
        <v>0</v>
      </c>
      <c r="P92" s="59">
        <v>2.57</v>
      </c>
      <c r="Q92" s="59">
        <v>53.99</v>
      </c>
      <c r="R92" s="197"/>
      <c r="S92" s="197"/>
      <c r="T92" s="197"/>
      <c r="U92" s="197"/>
    </row>
    <row r="93" spans="1:26" s="12" customFormat="1" x14ac:dyDescent="0.25">
      <c r="A93" s="200" t="s">
        <v>2635</v>
      </c>
      <c r="B93" s="59">
        <v>106.16</v>
      </c>
      <c r="C93" s="59">
        <v>137.9</v>
      </c>
      <c r="D93" s="59">
        <v>161.22999999999999</v>
      </c>
      <c r="E93" s="59">
        <v>4.92</v>
      </c>
      <c r="F93" s="59">
        <v>0.1</v>
      </c>
      <c r="G93" s="59">
        <v>183.84</v>
      </c>
      <c r="H93" s="59">
        <v>56.51</v>
      </c>
      <c r="I93" s="59">
        <v>0.87</v>
      </c>
      <c r="J93" s="59">
        <v>7.0000000000000007E-2</v>
      </c>
      <c r="K93" s="59">
        <v>323.12</v>
      </c>
      <c r="L93" s="59">
        <v>20.87</v>
      </c>
      <c r="M93" s="59">
        <v>71</v>
      </c>
      <c r="N93" s="59">
        <v>24.2</v>
      </c>
      <c r="O93" s="59">
        <v>0</v>
      </c>
      <c r="P93" s="59">
        <v>2.9</v>
      </c>
      <c r="Q93" s="59">
        <v>53.92</v>
      </c>
      <c r="R93" s="197"/>
      <c r="S93" s="197"/>
      <c r="T93" s="197"/>
      <c r="U93" s="197"/>
    </row>
    <row r="94" spans="1:26" s="12" customFormat="1" x14ac:dyDescent="0.25">
      <c r="A94" s="200" t="s">
        <v>2636</v>
      </c>
      <c r="B94" s="59">
        <v>114.16</v>
      </c>
      <c r="C94" s="59">
        <v>135.47</v>
      </c>
      <c r="D94" s="59">
        <v>166.31</v>
      </c>
      <c r="E94" s="59">
        <v>5.24</v>
      </c>
      <c r="F94" s="59">
        <v>0.1</v>
      </c>
      <c r="G94" s="59">
        <v>193.3</v>
      </c>
      <c r="H94" s="59">
        <v>60.96</v>
      </c>
      <c r="I94" s="59">
        <v>0.93</v>
      </c>
      <c r="J94" s="59">
        <v>0.1</v>
      </c>
      <c r="K94" s="59">
        <v>356.43</v>
      </c>
      <c r="L94" s="59">
        <v>20.72</v>
      </c>
      <c r="M94" s="59">
        <v>73</v>
      </c>
      <c r="N94" s="59">
        <v>24.3</v>
      </c>
      <c r="O94" s="59">
        <v>0</v>
      </c>
      <c r="P94" s="59">
        <v>3.11</v>
      </c>
      <c r="Q94" s="59">
        <v>52.6</v>
      </c>
      <c r="R94" s="197"/>
      <c r="S94" s="197"/>
      <c r="T94" s="197"/>
      <c r="U94" s="197"/>
    </row>
    <row r="95" spans="1:26" s="12" customFormat="1" x14ac:dyDescent="0.25">
      <c r="A95" s="200" t="s">
        <v>2637</v>
      </c>
      <c r="B95" s="59">
        <v>122.79</v>
      </c>
      <c r="C95" s="59">
        <v>139.41</v>
      </c>
      <c r="D95" s="59">
        <v>175.4</v>
      </c>
      <c r="E95" s="59">
        <v>5.21</v>
      </c>
      <c r="F95" s="59">
        <v>0.01</v>
      </c>
      <c r="G95" s="59">
        <v>200.26</v>
      </c>
      <c r="H95" s="59">
        <v>67.040000000000006</v>
      </c>
      <c r="I95" s="59">
        <v>1.01</v>
      </c>
      <c r="J95" s="59">
        <v>0.06</v>
      </c>
      <c r="K95" s="59">
        <v>251.21</v>
      </c>
      <c r="L95" s="59">
        <v>20.58</v>
      </c>
      <c r="M95" s="59">
        <v>72</v>
      </c>
      <c r="N95" s="59">
        <v>24.3</v>
      </c>
      <c r="O95" s="59">
        <v>0</v>
      </c>
      <c r="P95" s="59">
        <v>3.27</v>
      </c>
      <c r="Q95" s="59">
        <v>51.86</v>
      </c>
      <c r="R95" s="197"/>
      <c r="S95" s="197"/>
      <c r="T95" s="197"/>
      <c r="U95" s="197"/>
    </row>
    <row r="96" spans="1:26" s="12" customFormat="1" x14ac:dyDescent="0.25">
      <c r="A96" s="200" t="s">
        <v>2638</v>
      </c>
      <c r="B96" s="59">
        <v>130.41999999999999</v>
      </c>
      <c r="C96" s="59">
        <v>137.6</v>
      </c>
      <c r="D96" s="59">
        <v>180.52</v>
      </c>
      <c r="E96" s="59">
        <v>5.23</v>
      </c>
      <c r="F96" s="59">
        <v>0.01</v>
      </c>
      <c r="G96" s="59">
        <v>200.26</v>
      </c>
      <c r="H96" s="59">
        <v>67.040000000000006</v>
      </c>
      <c r="I96" s="59">
        <v>1.08</v>
      </c>
      <c r="J96" s="59">
        <v>0.11</v>
      </c>
      <c r="K96" s="59">
        <v>348.5</v>
      </c>
      <c r="L96" s="59">
        <v>20.38</v>
      </c>
      <c r="M96" s="59">
        <v>74</v>
      </c>
      <c r="N96" s="59">
        <v>24.3</v>
      </c>
      <c r="O96" s="59">
        <v>0</v>
      </c>
      <c r="P96" s="59">
        <v>3.43</v>
      </c>
      <c r="Q96" s="59">
        <v>51.76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2639</v>
      </c>
      <c r="B97" s="59">
        <v>138.78</v>
      </c>
      <c r="C97" s="59">
        <v>140.32</v>
      </c>
      <c r="D97" s="59">
        <v>188.73</v>
      </c>
      <c r="E97" s="59">
        <v>5.84</v>
      </c>
      <c r="F97" s="209" t="s">
        <v>36</v>
      </c>
      <c r="G97" s="59">
        <v>200.26</v>
      </c>
      <c r="H97" s="59">
        <v>67.040000000000006</v>
      </c>
      <c r="I97" s="59">
        <v>1.1299999999999999</v>
      </c>
      <c r="J97" s="59">
        <v>0.1</v>
      </c>
      <c r="K97" s="59">
        <v>344.55</v>
      </c>
      <c r="L97" s="59">
        <v>20.07</v>
      </c>
      <c r="M97" s="59">
        <v>75</v>
      </c>
      <c r="N97" s="59">
        <v>24.3</v>
      </c>
      <c r="O97" s="59">
        <v>0</v>
      </c>
      <c r="P97" s="59">
        <v>3.57</v>
      </c>
      <c r="Q97" s="59">
        <v>52.51</v>
      </c>
      <c r="R97" s="197"/>
      <c r="S97" s="197"/>
      <c r="T97" s="197"/>
      <c r="U97" s="197"/>
    </row>
    <row r="98" spans="1:33" s="12" customFormat="1" x14ac:dyDescent="0.25">
      <c r="A98" s="200" t="s">
        <v>2640</v>
      </c>
      <c r="B98" s="59">
        <v>152.34</v>
      </c>
      <c r="C98" s="59">
        <v>140.68</v>
      </c>
      <c r="D98" s="59">
        <v>199.8</v>
      </c>
      <c r="E98" s="59">
        <v>5.87</v>
      </c>
      <c r="F98" s="59">
        <v>0.01</v>
      </c>
      <c r="G98" s="59">
        <v>204.39</v>
      </c>
      <c r="H98" s="59">
        <v>71.599999999999994</v>
      </c>
      <c r="I98" s="59">
        <v>1.22</v>
      </c>
      <c r="J98" s="59">
        <v>0.17</v>
      </c>
      <c r="K98" s="59">
        <v>338.84</v>
      </c>
      <c r="L98" s="59">
        <v>19.829999999999998</v>
      </c>
      <c r="M98" s="59">
        <v>78</v>
      </c>
      <c r="N98" s="59">
        <v>24.1</v>
      </c>
      <c r="O98" s="59">
        <v>0</v>
      </c>
      <c r="P98" s="59">
        <v>3.84</v>
      </c>
      <c r="Q98" s="59">
        <v>53.2</v>
      </c>
      <c r="R98" s="197"/>
      <c r="S98" s="197"/>
      <c r="T98" s="197"/>
      <c r="U98" s="197"/>
    </row>
    <row r="99" spans="1:33" s="12" customFormat="1" x14ac:dyDescent="0.25">
      <c r="A99" s="200" t="s">
        <v>2641</v>
      </c>
      <c r="B99" s="59">
        <v>158.21</v>
      </c>
      <c r="C99" s="59">
        <v>142.47</v>
      </c>
      <c r="D99" s="59">
        <v>205.5</v>
      </c>
      <c r="E99" s="59">
        <v>6.26</v>
      </c>
      <c r="F99" s="59">
        <v>0.05</v>
      </c>
      <c r="G99" s="59">
        <v>207.42</v>
      </c>
      <c r="H99" s="59">
        <v>77.56</v>
      </c>
      <c r="I99" s="59">
        <v>1.42</v>
      </c>
      <c r="J99" s="59">
        <v>0.03</v>
      </c>
      <c r="K99" s="59">
        <v>349.28</v>
      </c>
      <c r="L99" s="59">
        <v>19.670000000000002</v>
      </c>
      <c r="M99" s="59">
        <v>78</v>
      </c>
      <c r="N99" s="59">
        <v>24.4</v>
      </c>
      <c r="O99" s="59">
        <v>0</v>
      </c>
      <c r="P99" s="59">
        <v>3.95</v>
      </c>
      <c r="Q99" s="59">
        <v>54.63</v>
      </c>
      <c r="R99" s="197"/>
      <c r="S99" s="197"/>
      <c r="T99" s="197"/>
      <c r="U99" s="197"/>
    </row>
    <row r="100" spans="1:33" s="12" customFormat="1" x14ac:dyDescent="0.25">
      <c r="A100" s="200" t="s">
        <v>2642</v>
      </c>
      <c r="B100" s="59">
        <v>163.18</v>
      </c>
      <c r="C100" s="59">
        <v>144.22</v>
      </c>
      <c r="D100" s="59">
        <v>210.45</v>
      </c>
      <c r="E100" s="59">
        <v>6.2</v>
      </c>
      <c r="F100" s="59">
        <v>0.04</v>
      </c>
      <c r="G100" s="59">
        <v>207.42</v>
      </c>
      <c r="H100" s="59">
        <v>77.56</v>
      </c>
      <c r="I100" s="59">
        <v>1.47</v>
      </c>
      <c r="J100" s="59">
        <v>0.13</v>
      </c>
      <c r="K100" s="59">
        <v>322.08</v>
      </c>
      <c r="L100" s="59">
        <v>19.46</v>
      </c>
      <c r="M100" s="59">
        <v>78</v>
      </c>
      <c r="N100" s="59">
        <v>24.4</v>
      </c>
      <c r="O100" s="59">
        <v>0</v>
      </c>
      <c r="P100" s="59">
        <v>4.08</v>
      </c>
      <c r="Q100" s="59">
        <v>55.61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2643</v>
      </c>
      <c r="B101" s="59">
        <v>165.18</v>
      </c>
      <c r="C101" s="59">
        <v>140.72</v>
      </c>
      <c r="D101" s="59">
        <v>210.12</v>
      </c>
      <c r="E101" s="59">
        <v>6.07</v>
      </c>
      <c r="F101" s="59">
        <v>0.08</v>
      </c>
      <c r="G101" s="59">
        <v>207.42</v>
      </c>
      <c r="H101" s="59">
        <v>77.56</v>
      </c>
      <c r="I101" s="59">
        <v>1.36</v>
      </c>
      <c r="J101" s="59">
        <v>0.12</v>
      </c>
      <c r="K101" s="59">
        <v>261.45</v>
      </c>
      <c r="L101" s="59">
        <v>19.420000000000002</v>
      </c>
      <c r="M101" s="59">
        <v>77</v>
      </c>
      <c r="N101" s="59">
        <v>24</v>
      </c>
      <c r="O101" s="59">
        <v>0</v>
      </c>
      <c r="P101" s="59">
        <v>4.2</v>
      </c>
      <c r="Q101" s="59">
        <v>57.18</v>
      </c>
      <c r="R101" s="197"/>
      <c r="S101" s="197"/>
      <c r="T101" s="197"/>
      <c r="U101" s="197"/>
    </row>
    <row r="102" spans="1:33" s="12" customFormat="1" x14ac:dyDescent="0.25">
      <c r="A102" s="200" t="s">
        <v>2644</v>
      </c>
      <c r="B102" s="59">
        <v>163.28</v>
      </c>
      <c r="C102" s="59">
        <v>140.36000000000001</v>
      </c>
      <c r="D102" s="59">
        <v>208.4</v>
      </c>
      <c r="E102" s="59">
        <v>6.47</v>
      </c>
      <c r="F102" s="59">
        <v>0.27</v>
      </c>
      <c r="G102" s="59">
        <v>196.67</v>
      </c>
      <c r="H102" s="59">
        <v>76.180000000000007</v>
      </c>
      <c r="I102" s="59">
        <v>1.4</v>
      </c>
      <c r="J102" s="59">
        <v>0.66</v>
      </c>
      <c r="K102" s="59">
        <v>180.24</v>
      </c>
      <c r="L102" s="59">
        <v>20.29</v>
      </c>
      <c r="M102" s="59">
        <v>70</v>
      </c>
      <c r="N102" s="59">
        <v>22.5</v>
      </c>
      <c r="O102" s="59">
        <v>0</v>
      </c>
      <c r="P102" s="59">
        <v>4.17</v>
      </c>
      <c r="Q102" s="59">
        <v>58.43</v>
      </c>
      <c r="R102" s="197"/>
      <c r="S102" s="197"/>
      <c r="T102" s="197"/>
      <c r="U102" s="197"/>
    </row>
    <row r="103" spans="1:33" s="12" customFormat="1" x14ac:dyDescent="0.25">
      <c r="A103" s="200" t="s">
        <v>2645</v>
      </c>
      <c r="B103" s="59">
        <v>155.54</v>
      </c>
      <c r="C103" s="59">
        <v>136.4</v>
      </c>
      <c r="D103" s="59">
        <v>200.01</v>
      </c>
      <c r="E103" s="59">
        <v>6.09</v>
      </c>
      <c r="F103" s="59">
        <v>0.25</v>
      </c>
      <c r="G103" s="59">
        <v>188.74</v>
      </c>
      <c r="H103" s="59">
        <v>74.37</v>
      </c>
      <c r="I103" s="59">
        <v>1.43</v>
      </c>
      <c r="J103" s="59">
        <v>0.47</v>
      </c>
      <c r="K103" s="59">
        <v>192.72</v>
      </c>
      <c r="L103" s="59">
        <v>20.420000000000002</v>
      </c>
      <c r="M103" s="59">
        <v>66</v>
      </c>
      <c r="N103" s="59">
        <v>23.8</v>
      </c>
      <c r="O103" s="59">
        <v>0</v>
      </c>
      <c r="P103" s="59">
        <v>4</v>
      </c>
      <c r="Q103" s="59">
        <v>58.09</v>
      </c>
      <c r="R103" s="197"/>
      <c r="S103" s="197"/>
      <c r="T103" s="197"/>
      <c r="U103" s="197"/>
    </row>
    <row r="104" spans="1:33" s="12" customFormat="1" x14ac:dyDescent="0.25">
      <c r="A104" s="200" t="s">
        <v>2646</v>
      </c>
      <c r="B104" s="59">
        <v>145.09</v>
      </c>
      <c r="C104" s="59">
        <v>131.79</v>
      </c>
      <c r="D104" s="59">
        <v>189.08</v>
      </c>
      <c r="E104" s="59">
        <v>3.07</v>
      </c>
      <c r="F104" s="59">
        <v>0.14000000000000001</v>
      </c>
      <c r="G104" s="59">
        <v>188.74</v>
      </c>
      <c r="H104" s="59">
        <v>74.37</v>
      </c>
      <c r="I104" s="59">
        <v>1.44</v>
      </c>
      <c r="J104" s="59">
        <v>0.13</v>
      </c>
      <c r="K104" s="59">
        <v>281.48</v>
      </c>
      <c r="L104" s="59">
        <v>20.05</v>
      </c>
      <c r="M104" s="59">
        <v>67</v>
      </c>
      <c r="N104" s="59">
        <v>24.6</v>
      </c>
      <c r="O104" s="59">
        <v>0</v>
      </c>
      <c r="P104" s="59">
        <v>3.78</v>
      </c>
      <c r="Q104" s="59">
        <v>57.21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3.16</v>
      </c>
      <c r="C106" s="66">
        <f>MIN(C9:C104)</f>
        <v>68.2</v>
      </c>
      <c r="D106" s="66">
        <f t="shared" ref="D106:Q106" si="0">MIN(D9:D104)</f>
        <v>41.41</v>
      </c>
      <c r="E106" s="66">
        <f t="shared" si="0"/>
        <v>0.75</v>
      </c>
      <c r="F106" s="66">
        <f t="shared" si="0"/>
        <v>0.01</v>
      </c>
      <c r="G106" s="66">
        <f t="shared" si="0"/>
        <v>36.89</v>
      </c>
      <c r="H106" s="66">
        <f t="shared" si="0"/>
        <v>22.39</v>
      </c>
      <c r="I106" s="66">
        <f t="shared" si="0"/>
        <v>0.23</v>
      </c>
      <c r="J106" s="66">
        <f t="shared" si="0"/>
        <v>0.01</v>
      </c>
      <c r="K106" s="66">
        <f t="shared" si="0"/>
        <v>0.32</v>
      </c>
      <c r="L106" s="66">
        <f t="shared" si="0"/>
        <v>15.78</v>
      </c>
      <c r="M106" s="66">
        <f t="shared" si="0"/>
        <v>29</v>
      </c>
      <c r="N106" s="66">
        <f t="shared" si="0"/>
        <v>22.5</v>
      </c>
      <c r="O106" s="66">
        <f t="shared" si="0"/>
        <v>0</v>
      </c>
      <c r="P106" s="66">
        <f t="shared" si="0"/>
        <v>0.98</v>
      </c>
      <c r="Q106" s="66">
        <f t="shared" si="0"/>
        <v>38.93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203.49</v>
      </c>
      <c r="C107" s="65">
        <f t="shared" ref="C107:Q107" si="1">MAX(C9:C104)</f>
        <v>146.84</v>
      </c>
      <c r="D107" s="65">
        <f t="shared" si="1"/>
        <v>244.22</v>
      </c>
      <c r="E107" s="65">
        <f t="shared" si="1"/>
        <v>6.47</v>
      </c>
      <c r="F107" s="65">
        <f t="shared" si="1"/>
        <v>14.8</v>
      </c>
      <c r="G107" s="65">
        <f t="shared" si="1"/>
        <v>207.42</v>
      </c>
      <c r="H107" s="65">
        <f t="shared" si="1"/>
        <v>87.59</v>
      </c>
      <c r="I107" s="65">
        <f t="shared" si="1"/>
        <v>2.0099999999999998</v>
      </c>
      <c r="J107" s="65">
        <f t="shared" si="1"/>
        <v>0.66</v>
      </c>
      <c r="K107" s="65">
        <f t="shared" si="1"/>
        <v>359.45</v>
      </c>
      <c r="L107" s="65">
        <f t="shared" si="1"/>
        <v>33.61</v>
      </c>
      <c r="M107" s="65">
        <f t="shared" si="1"/>
        <v>82</v>
      </c>
      <c r="N107" s="65">
        <f t="shared" si="1"/>
        <v>380</v>
      </c>
      <c r="O107" s="65">
        <f t="shared" si="1"/>
        <v>0</v>
      </c>
      <c r="P107" s="65">
        <f t="shared" si="1"/>
        <v>4.8499999999999996</v>
      </c>
      <c r="Q107" s="65">
        <f t="shared" si="1"/>
        <v>58.43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73.937395833333326</v>
      </c>
      <c r="C108" s="66">
        <f t="shared" ref="C108:Q108" si="2">AVERAGE(C9:C104)</f>
        <v>105.07416666666664</v>
      </c>
      <c r="D108" s="66">
        <f t="shared" si="2"/>
        <v>117.28020833333335</v>
      </c>
      <c r="E108" s="66">
        <f t="shared" si="2"/>
        <v>4.5696874999999997</v>
      </c>
      <c r="F108" s="66">
        <f t="shared" si="2"/>
        <v>1.0399999999999998</v>
      </c>
      <c r="G108" s="66">
        <f t="shared" si="2"/>
        <v>92.979583333333338</v>
      </c>
      <c r="H108" s="66">
        <f t="shared" si="2"/>
        <v>43.3440625</v>
      </c>
      <c r="I108" s="66">
        <f t="shared" si="2"/>
        <v>0.72864583333333321</v>
      </c>
      <c r="J108" s="66">
        <f t="shared" si="2"/>
        <v>0.17999999999999994</v>
      </c>
      <c r="K108" s="66">
        <f t="shared" si="2"/>
        <v>218.36333333333334</v>
      </c>
      <c r="L108" s="66">
        <f t="shared" si="2"/>
        <v>23.344062500000003</v>
      </c>
      <c r="M108" s="66">
        <f t="shared" si="2"/>
        <v>56.260416666666664</v>
      </c>
      <c r="N108" s="66">
        <f t="shared" si="2"/>
        <v>118.71354166666659</v>
      </c>
      <c r="O108" s="66">
        <f t="shared" si="2"/>
        <v>0</v>
      </c>
      <c r="P108" s="66">
        <f t="shared" si="2"/>
        <v>2.1693749999999992</v>
      </c>
      <c r="Q108" s="66">
        <f t="shared" si="2"/>
        <v>46.880208333333336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54.287922263365786</v>
      </c>
      <c r="C109" s="66">
        <f t="shared" ref="C109:Q109" si="3">STDEV(C9:C104)</f>
        <v>20.429416183876665</v>
      </c>
      <c r="D109" s="66">
        <f t="shared" si="3"/>
        <v>52.452867042791532</v>
      </c>
      <c r="E109" s="66">
        <f t="shared" si="3"/>
        <v>1.0944947915290455</v>
      </c>
      <c r="F109" s="66">
        <f t="shared" si="3"/>
        <v>2.3035338580741809</v>
      </c>
      <c r="G109" s="66">
        <f t="shared" si="3"/>
        <v>53.329412343257523</v>
      </c>
      <c r="H109" s="66">
        <f t="shared" si="3"/>
        <v>15.62102817413456</v>
      </c>
      <c r="I109" s="66">
        <f t="shared" si="3"/>
        <v>0.46524836557119359</v>
      </c>
      <c r="J109" s="66">
        <f t="shared" si="3"/>
        <v>0.15712549459789008</v>
      </c>
      <c r="K109" s="66">
        <f t="shared" si="3"/>
        <v>133.71396337482304</v>
      </c>
      <c r="L109" s="66">
        <f t="shared" si="3"/>
        <v>5.9407422145057316</v>
      </c>
      <c r="M109" s="66">
        <f t="shared" si="3"/>
        <v>18.632876881394157</v>
      </c>
      <c r="N109" s="66">
        <f t="shared" si="3"/>
        <v>134.43716326717328</v>
      </c>
      <c r="O109" s="66">
        <f t="shared" si="3"/>
        <v>0</v>
      </c>
      <c r="P109" s="66">
        <f t="shared" si="3"/>
        <v>0.99651266926216586</v>
      </c>
      <c r="Q109" s="66">
        <f t="shared" si="3"/>
        <v>5.0479444444284161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>COUNT(F9:F104)+10</f>
        <v>96</v>
      </c>
      <c r="G110" s="65">
        <f t="shared" si="4"/>
        <v>96</v>
      </c>
      <c r="H110" s="65">
        <f>COUNT(H9:H104)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57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69" sqref="A6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26-12-2022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2648</v>
      </c>
      <c r="B9" s="59">
        <v>135.76</v>
      </c>
      <c r="C9" s="59">
        <v>128.11000000000001</v>
      </c>
      <c r="D9" s="59">
        <v>179.57</v>
      </c>
      <c r="E9" s="59">
        <v>5.01</v>
      </c>
      <c r="F9" s="59">
        <v>0.09</v>
      </c>
      <c r="G9" s="59">
        <v>188.74</v>
      </c>
      <c r="H9" s="59">
        <v>74.37</v>
      </c>
      <c r="I9" s="59">
        <v>1.5</v>
      </c>
      <c r="J9" s="59">
        <v>0.19</v>
      </c>
      <c r="K9" s="59">
        <v>345.18</v>
      </c>
      <c r="L9" s="59">
        <v>19.37</v>
      </c>
      <c r="M9" s="59">
        <v>71</v>
      </c>
      <c r="N9" s="59">
        <v>24.7</v>
      </c>
      <c r="O9" s="59">
        <v>0</v>
      </c>
      <c r="P9" s="59">
        <v>3.6</v>
      </c>
      <c r="Q9" s="59">
        <v>56.12</v>
      </c>
      <c r="R9" s="197"/>
      <c r="S9" s="197"/>
      <c r="T9" s="197"/>
      <c r="U9" s="197"/>
    </row>
    <row r="10" spans="1:21" s="12" customFormat="1" x14ac:dyDescent="0.25">
      <c r="A10" s="200" t="s">
        <v>2649</v>
      </c>
      <c r="B10" s="59">
        <v>126.91</v>
      </c>
      <c r="C10" s="59">
        <v>125.2</v>
      </c>
      <c r="D10" s="59">
        <v>170.87</v>
      </c>
      <c r="E10" s="59">
        <v>5.22</v>
      </c>
      <c r="F10" s="59">
        <v>0.01</v>
      </c>
      <c r="G10" s="59">
        <v>157.4</v>
      </c>
      <c r="H10" s="59">
        <v>67.98</v>
      </c>
      <c r="I10" s="59">
        <v>1.27</v>
      </c>
      <c r="J10" s="59">
        <v>0.13</v>
      </c>
      <c r="K10" s="59">
        <v>350.71</v>
      </c>
      <c r="L10" s="59">
        <v>18.670000000000002</v>
      </c>
      <c r="M10" s="59">
        <v>75</v>
      </c>
      <c r="N10" s="59">
        <v>24.6</v>
      </c>
      <c r="O10" s="59">
        <v>0</v>
      </c>
      <c r="P10" s="59">
        <v>3.43</v>
      </c>
      <c r="Q10" s="59">
        <v>54.63</v>
      </c>
      <c r="R10" s="197"/>
      <c r="S10" s="197"/>
      <c r="T10" s="197"/>
      <c r="U10" s="197"/>
    </row>
    <row r="11" spans="1:21" s="12" customFormat="1" x14ac:dyDescent="0.25">
      <c r="A11" s="200" t="s">
        <v>2650</v>
      </c>
      <c r="B11" s="59">
        <v>118.95</v>
      </c>
      <c r="C11" s="59">
        <v>122.64</v>
      </c>
      <c r="D11" s="59">
        <v>163.07</v>
      </c>
      <c r="E11" s="59">
        <v>4.99</v>
      </c>
      <c r="F11" s="59">
        <v>0.02</v>
      </c>
      <c r="G11" s="59">
        <v>94.71</v>
      </c>
      <c r="H11" s="59">
        <v>59.63</v>
      </c>
      <c r="I11" s="59">
        <v>1.19</v>
      </c>
      <c r="J11" s="59">
        <v>0.1</v>
      </c>
      <c r="K11" s="59">
        <v>9.0399999999999991</v>
      </c>
      <c r="L11" s="59">
        <v>18.29</v>
      </c>
      <c r="M11" s="59">
        <v>77</v>
      </c>
      <c r="N11" s="59">
        <v>24.6</v>
      </c>
      <c r="O11" s="59">
        <v>0</v>
      </c>
      <c r="P11" s="59">
        <v>3.29</v>
      </c>
      <c r="Q11" s="59">
        <v>53.41</v>
      </c>
      <c r="R11" s="197"/>
      <c r="S11" s="197"/>
      <c r="T11" s="197"/>
      <c r="U11" s="197"/>
    </row>
    <row r="12" spans="1:21" s="12" customFormat="1" x14ac:dyDescent="0.25">
      <c r="A12" s="200" t="s">
        <v>2651</v>
      </c>
      <c r="B12" s="59">
        <v>110.92</v>
      </c>
      <c r="C12" s="59">
        <v>116.95</v>
      </c>
      <c r="D12" s="59">
        <v>153.5</v>
      </c>
      <c r="E12" s="59">
        <v>5.05</v>
      </c>
      <c r="F12" s="212" t="s">
        <v>42</v>
      </c>
      <c r="G12" s="59">
        <v>94.71</v>
      </c>
      <c r="H12" s="59">
        <v>59.63</v>
      </c>
      <c r="I12" s="59">
        <v>1.1200000000000001</v>
      </c>
      <c r="J12" s="59">
        <v>7.0000000000000007E-2</v>
      </c>
      <c r="K12" s="59">
        <v>289.87</v>
      </c>
      <c r="L12" s="59">
        <v>18.239999999999998</v>
      </c>
      <c r="M12" s="59">
        <v>76</v>
      </c>
      <c r="N12" s="59">
        <v>24.2</v>
      </c>
      <c r="O12" s="59">
        <v>0</v>
      </c>
      <c r="P12" s="59">
        <v>3.16</v>
      </c>
      <c r="Q12" s="59">
        <v>51.51</v>
      </c>
      <c r="R12" s="197"/>
      <c r="S12" s="197"/>
      <c r="T12" s="197"/>
      <c r="U12" s="197"/>
    </row>
    <row r="13" spans="1:21" s="12" customFormat="1" x14ac:dyDescent="0.25">
      <c r="A13" s="200" t="s">
        <v>2652</v>
      </c>
      <c r="B13" s="59">
        <v>107.22</v>
      </c>
      <c r="C13" s="59">
        <v>115.14</v>
      </c>
      <c r="D13" s="59">
        <v>149.53</v>
      </c>
      <c r="E13" s="59">
        <v>4.66</v>
      </c>
      <c r="F13" s="212" t="s">
        <v>42</v>
      </c>
      <c r="G13" s="59">
        <v>94.71</v>
      </c>
      <c r="H13" s="59">
        <v>59.63</v>
      </c>
      <c r="I13" s="59">
        <v>1.07</v>
      </c>
      <c r="J13" s="59">
        <v>0.08</v>
      </c>
      <c r="K13" s="59">
        <v>340.68</v>
      </c>
      <c r="L13" s="59">
        <v>18.11</v>
      </c>
      <c r="M13" s="59">
        <v>77</v>
      </c>
      <c r="N13" s="59">
        <v>24.4</v>
      </c>
      <c r="O13" s="59">
        <v>0</v>
      </c>
      <c r="P13" s="59">
        <v>2.85</v>
      </c>
      <c r="Q13" s="59">
        <v>49.56</v>
      </c>
      <c r="R13" s="197"/>
      <c r="S13" s="197"/>
      <c r="T13" s="197"/>
      <c r="U13" s="197"/>
    </row>
    <row r="14" spans="1:21" s="12" customFormat="1" x14ac:dyDescent="0.25">
      <c r="A14" s="200" t="s">
        <v>2653</v>
      </c>
      <c r="B14" s="59">
        <v>100.87</v>
      </c>
      <c r="C14" s="59">
        <v>111.49</v>
      </c>
      <c r="D14" s="59">
        <v>142.41999999999999</v>
      </c>
      <c r="E14" s="59">
        <v>4.51</v>
      </c>
      <c r="F14" s="59">
        <v>0.01</v>
      </c>
      <c r="G14" s="59">
        <v>91.95</v>
      </c>
      <c r="H14" s="59">
        <v>54.92</v>
      </c>
      <c r="I14" s="59">
        <v>1.02</v>
      </c>
      <c r="J14" s="59">
        <v>0.06</v>
      </c>
      <c r="K14" s="59">
        <v>158.13999999999999</v>
      </c>
      <c r="L14" s="59">
        <v>17.89</v>
      </c>
      <c r="M14" s="59">
        <v>79</v>
      </c>
      <c r="N14" s="59">
        <v>24.5</v>
      </c>
      <c r="O14" s="59">
        <v>0</v>
      </c>
      <c r="P14" s="59">
        <v>2.89</v>
      </c>
      <c r="Q14" s="59">
        <v>48.91</v>
      </c>
      <c r="R14" s="197"/>
      <c r="S14" s="197"/>
      <c r="T14" s="197"/>
      <c r="U14" s="197"/>
    </row>
    <row r="15" spans="1:21" s="12" customFormat="1" x14ac:dyDescent="0.25">
      <c r="A15" s="200" t="s">
        <v>2654</v>
      </c>
      <c r="B15" s="59">
        <v>97.21</v>
      </c>
      <c r="C15" s="59">
        <v>109.1</v>
      </c>
      <c r="D15" s="59">
        <v>138.16999999999999</v>
      </c>
      <c r="E15" s="59">
        <v>4.58</v>
      </c>
      <c r="F15" s="209" t="s">
        <v>36</v>
      </c>
      <c r="G15" s="59">
        <v>89.84</v>
      </c>
      <c r="H15" s="59">
        <v>48.77</v>
      </c>
      <c r="I15" s="59">
        <v>0.99</v>
      </c>
      <c r="J15" s="59">
        <v>0.09</v>
      </c>
      <c r="K15" s="59">
        <v>314.11</v>
      </c>
      <c r="L15" s="59">
        <v>17.78</v>
      </c>
      <c r="M15" s="59">
        <v>80</v>
      </c>
      <c r="N15" s="59">
        <v>24.3</v>
      </c>
      <c r="O15" s="59">
        <v>0</v>
      </c>
      <c r="P15" s="59">
        <v>2.79</v>
      </c>
      <c r="Q15" s="59">
        <v>48.5</v>
      </c>
      <c r="R15" s="197"/>
      <c r="S15" s="197"/>
      <c r="T15" s="197"/>
      <c r="U15" s="197"/>
    </row>
    <row r="16" spans="1:21" s="12" customFormat="1" x14ac:dyDescent="0.25">
      <c r="A16" s="200" t="s">
        <v>2655</v>
      </c>
      <c r="B16" s="59">
        <v>92.64</v>
      </c>
      <c r="C16" s="59">
        <v>106.89</v>
      </c>
      <c r="D16" s="59">
        <v>133.27000000000001</v>
      </c>
      <c r="E16" s="59">
        <v>4.63</v>
      </c>
      <c r="F16" s="209" t="s">
        <v>36</v>
      </c>
      <c r="G16" s="59">
        <v>89.84</v>
      </c>
      <c r="H16" s="59">
        <v>48.77</v>
      </c>
      <c r="I16" s="59">
        <v>0.96</v>
      </c>
      <c r="J16" s="59">
        <v>0.06</v>
      </c>
      <c r="K16" s="59">
        <v>136.99</v>
      </c>
      <c r="L16" s="59">
        <v>17.690000000000001</v>
      </c>
      <c r="M16" s="59">
        <v>80</v>
      </c>
      <c r="N16" s="59">
        <v>24.3</v>
      </c>
      <c r="O16" s="59">
        <v>0</v>
      </c>
      <c r="P16" s="59">
        <v>2.71</v>
      </c>
      <c r="Q16" s="59">
        <v>48.03</v>
      </c>
      <c r="R16" s="197"/>
      <c r="S16" s="197"/>
      <c r="T16" s="197"/>
      <c r="U16" s="197"/>
    </row>
    <row r="17" spans="1:21" s="12" customFormat="1" x14ac:dyDescent="0.25">
      <c r="A17" s="200" t="s">
        <v>2656</v>
      </c>
      <c r="B17" s="59">
        <v>88.29</v>
      </c>
      <c r="C17" s="59">
        <v>104.05</v>
      </c>
      <c r="D17" s="59">
        <v>128.22</v>
      </c>
      <c r="E17" s="59">
        <v>4.5199999999999996</v>
      </c>
      <c r="F17" s="209" t="s">
        <v>36</v>
      </c>
      <c r="G17" s="59">
        <v>89.84</v>
      </c>
      <c r="H17" s="59">
        <v>48.77</v>
      </c>
      <c r="I17" s="59">
        <v>0.93</v>
      </c>
      <c r="J17" s="59">
        <v>0.03</v>
      </c>
      <c r="K17" s="59">
        <v>13.72</v>
      </c>
      <c r="L17" s="59">
        <v>17.8</v>
      </c>
      <c r="M17" s="59">
        <v>80</v>
      </c>
      <c r="N17" s="59">
        <v>24.2</v>
      </c>
      <c r="O17" s="59">
        <v>0</v>
      </c>
      <c r="P17" s="59">
        <v>2.64</v>
      </c>
      <c r="Q17" s="59">
        <v>47.57</v>
      </c>
      <c r="R17" s="197"/>
      <c r="S17" s="197"/>
      <c r="T17" s="197"/>
      <c r="U17" s="197"/>
    </row>
    <row r="18" spans="1:21" s="12" customFormat="1" x14ac:dyDescent="0.25">
      <c r="A18" s="200" t="s">
        <v>2657</v>
      </c>
      <c r="B18" s="59">
        <v>84.84</v>
      </c>
      <c r="C18" s="59">
        <v>101.57</v>
      </c>
      <c r="D18" s="59">
        <v>124.09</v>
      </c>
      <c r="E18" s="59">
        <v>4.7699999999999996</v>
      </c>
      <c r="F18" s="209" t="s">
        <v>36</v>
      </c>
      <c r="G18" s="59">
        <v>90.96</v>
      </c>
      <c r="H18" s="59">
        <v>49.71</v>
      </c>
      <c r="I18" s="59">
        <v>0.9</v>
      </c>
      <c r="J18" s="59">
        <v>0.08</v>
      </c>
      <c r="K18" s="59">
        <v>8.77</v>
      </c>
      <c r="L18" s="59">
        <v>17.57</v>
      </c>
      <c r="M18" s="59">
        <v>81</v>
      </c>
      <c r="N18" s="59">
        <v>24.4</v>
      </c>
      <c r="O18" s="59">
        <v>0</v>
      </c>
      <c r="P18" s="59">
        <v>2.54</v>
      </c>
      <c r="Q18" s="59">
        <v>47.16</v>
      </c>
      <c r="R18" s="197"/>
      <c r="S18" s="197"/>
      <c r="T18" s="197"/>
      <c r="U18" s="197"/>
    </row>
    <row r="19" spans="1:21" s="12" customFormat="1" x14ac:dyDescent="0.25">
      <c r="A19" s="200" t="s">
        <v>2658</v>
      </c>
      <c r="B19" s="59">
        <v>82.26</v>
      </c>
      <c r="C19" s="59">
        <v>100.52</v>
      </c>
      <c r="D19" s="59">
        <v>121.44</v>
      </c>
      <c r="E19" s="59">
        <v>4.7699999999999996</v>
      </c>
      <c r="F19" s="59">
        <v>0.01</v>
      </c>
      <c r="G19" s="59">
        <v>91.81</v>
      </c>
      <c r="H19" s="59">
        <v>50.99</v>
      </c>
      <c r="I19" s="59">
        <v>0.88</v>
      </c>
      <c r="J19" s="59">
        <v>0.06</v>
      </c>
      <c r="K19" s="59">
        <v>343.61</v>
      </c>
      <c r="L19" s="59">
        <v>17.420000000000002</v>
      </c>
      <c r="M19" s="59">
        <v>80</v>
      </c>
      <c r="N19" s="59">
        <v>24.3</v>
      </c>
      <c r="O19" s="59">
        <v>0</v>
      </c>
      <c r="P19" s="59">
        <v>2.4700000000000002</v>
      </c>
      <c r="Q19" s="59">
        <v>47.41</v>
      </c>
      <c r="R19" s="197"/>
      <c r="S19" s="197"/>
      <c r="T19" s="197"/>
      <c r="U19" s="197"/>
    </row>
    <row r="20" spans="1:21" s="12" customFormat="1" x14ac:dyDescent="0.25">
      <c r="A20" s="200" t="s">
        <v>2659</v>
      </c>
      <c r="B20" s="59">
        <v>78</v>
      </c>
      <c r="C20" s="59">
        <v>99.09</v>
      </c>
      <c r="D20" s="59">
        <v>117.23</v>
      </c>
      <c r="E20" s="59">
        <v>4.93</v>
      </c>
      <c r="F20" s="59">
        <v>0.03</v>
      </c>
      <c r="G20" s="59">
        <v>91.81</v>
      </c>
      <c r="H20" s="59">
        <v>50.99</v>
      </c>
      <c r="I20" s="59">
        <v>0.86</v>
      </c>
      <c r="J20" s="59">
        <v>7.0000000000000007E-2</v>
      </c>
      <c r="K20" s="59">
        <v>338.35</v>
      </c>
      <c r="L20" s="59">
        <v>17.41</v>
      </c>
      <c r="M20" s="59">
        <v>81</v>
      </c>
      <c r="N20" s="59">
        <v>24.4</v>
      </c>
      <c r="O20" s="59">
        <v>0</v>
      </c>
      <c r="P20" s="59">
        <v>2.37</v>
      </c>
      <c r="Q20" s="59">
        <v>49.13</v>
      </c>
      <c r="R20" s="197"/>
      <c r="S20" s="197"/>
      <c r="T20" s="197"/>
      <c r="U20" s="197"/>
    </row>
    <row r="21" spans="1:21" s="12" customFormat="1" x14ac:dyDescent="0.25">
      <c r="A21" s="200" t="s">
        <v>2660</v>
      </c>
      <c r="B21" s="59">
        <v>73.25</v>
      </c>
      <c r="C21" s="59">
        <v>97.15</v>
      </c>
      <c r="D21" s="59">
        <v>112.35</v>
      </c>
      <c r="E21" s="59">
        <v>4.43</v>
      </c>
      <c r="F21" s="59">
        <v>0.19</v>
      </c>
      <c r="G21" s="59">
        <v>91.81</v>
      </c>
      <c r="H21" s="59">
        <v>50.99</v>
      </c>
      <c r="I21" s="59">
        <v>0.83</v>
      </c>
      <c r="J21" s="59">
        <v>0.17</v>
      </c>
      <c r="K21" s="59">
        <v>119.44</v>
      </c>
      <c r="L21" s="59">
        <v>17.5</v>
      </c>
      <c r="M21" s="59">
        <v>82</v>
      </c>
      <c r="N21" s="59">
        <v>24.1</v>
      </c>
      <c r="O21" s="59">
        <v>0</v>
      </c>
      <c r="P21" s="59">
        <v>2.27</v>
      </c>
      <c r="Q21" s="59">
        <v>49.17</v>
      </c>
      <c r="R21" s="197"/>
      <c r="S21" s="197"/>
      <c r="T21" s="197"/>
      <c r="U21" s="197"/>
    </row>
    <row r="22" spans="1:21" s="12" customFormat="1" x14ac:dyDescent="0.25">
      <c r="A22" s="200" t="s">
        <v>2661</v>
      </c>
      <c r="B22" s="59">
        <v>69.23</v>
      </c>
      <c r="C22" s="59">
        <v>95.23</v>
      </c>
      <c r="D22" s="59">
        <v>108.07</v>
      </c>
      <c r="E22" s="59">
        <v>4.5</v>
      </c>
      <c r="F22" s="59">
        <v>0.7</v>
      </c>
      <c r="G22" s="59">
        <v>82.47</v>
      </c>
      <c r="H22" s="59">
        <v>48.85</v>
      </c>
      <c r="I22" s="59">
        <v>0.79</v>
      </c>
      <c r="J22" s="59">
        <v>0.13</v>
      </c>
      <c r="K22" s="59">
        <v>270.83</v>
      </c>
      <c r="L22" s="59">
        <v>17.86</v>
      </c>
      <c r="M22" s="59">
        <v>81</v>
      </c>
      <c r="N22" s="59">
        <v>23.6</v>
      </c>
      <c r="O22" s="59">
        <v>0</v>
      </c>
      <c r="P22" s="59">
        <v>2.1800000000000002</v>
      </c>
      <c r="Q22" s="59">
        <v>48.45</v>
      </c>
      <c r="R22" s="197"/>
      <c r="S22" s="197"/>
      <c r="T22" s="197"/>
      <c r="U22" s="197"/>
    </row>
    <row r="23" spans="1:21" s="12" customFormat="1" x14ac:dyDescent="0.25">
      <c r="A23" s="200" t="s">
        <v>2662</v>
      </c>
      <c r="B23" s="59">
        <v>67.400000000000006</v>
      </c>
      <c r="C23" s="59">
        <v>94.55</v>
      </c>
      <c r="D23" s="59">
        <v>106.23</v>
      </c>
      <c r="E23" s="59">
        <v>4.55</v>
      </c>
      <c r="F23" s="59">
        <v>0.35</v>
      </c>
      <c r="G23" s="59">
        <v>75.400000000000006</v>
      </c>
      <c r="H23" s="59">
        <v>45.92</v>
      </c>
      <c r="I23" s="59">
        <v>0.76</v>
      </c>
      <c r="J23" s="59">
        <v>0.09</v>
      </c>
      <c r="K23" s="59">
        <v>295.77</v>
      </c>
      <c r="L23" s="59">
        <v>18.07</v>
      </c>
      <c r="M23" s="59">
        <v>76</v>
      </c>
      <c r="N23" s="59">
        <v>24</v>
      </c>
      <c r="O23" s="59">
        <v>0</v>
      </c>
      <c r="P23" s="59">
        <v>2.1</v>
      </c>
      <c r="Q23" s="59">
        <v>48.13</v>
      </c>
      <c r="R23" s="197"/>
      <c r="S23" s="197"/>
      <c r="T23" s="197"/>
      <c r="U23" s="197"/>
    </row>
    <row r="24" spans="1:21" s="12" customFormat="1" x14ac:dyDescent="0.25">
      <c r="A24" s="200" t="s">
        <v>2663</v>
      </c>
      <c r="B24" s="59">
        <v>64.05</v>
      </c>
      <c r="C24" s="59">
        <v>93.24</v>
      </c>
      <c r="D24" s="59">
        <v>102.82</v>
      </c>
      <c r="E24" s="59">
        <v>1.95</v>
      </c>
      <c r="F24" s="59">
        <v>0.17</v>
      </c>
      <c r="G24" s="59">
        <v>75.400000000000006</v>
      </c>
      <c r="H24" s="59">
        <v>45.92</v>
      </c>
      <c r="I24" s="59">
        <v>0.73</v>
      </c>
      <c r="J24" s="59">
        <v>0.15</v>
      </c>
      <c r="K24" s="59">
        <v>353.93</v>
      </c>
      <c r="L24" s="59">
        <v>17.7</v>
      </c>
      <c r="M24" s="59">
        <v>77</v>
      </c>
      <c r="N24" s="59">
        <v>24.5</v>
      </c>
      <c r="O24" s="59">
        <v>0</v>
      </c>
      <c r="P24" s="59">
        <v>2.0099999999999998</v>
      </c>
      <c r="Q24" s="59">
        <v>47.94</v>
      </c>
      <c r="R24" s="197"/>
      <c r="S24" s="197"/>
      <c r="T24" s="197"/>
      <c r="U24" s="197"/>
    </row>
    <row r="25" spans="1:21" s="12" customFormat="1" x14ac:dyDescent="0.25">
      <c r="A25" s="200" t="s">
        <v>2664</v>
      </c>
      <c r="B25" s="59">
        <v>60.61</v>
      </c>
      <c r="C25" s="59">
        <v>91.92</v>
      </c>
      <c r="D25" s="59">
        <v>99.33</v>
      </c>
      <c r="E25" s="59">
        <v>4.42</v>
      </c>
      <c r="F25" s="209" t="s">
        <v>36</v>
      </c>
      <c r="G25" s="59">
        <v>75.400000000000006</v>
      </c>
      <c r="H25" s="59">
        <v>45.92</v>
      </c>
      <c r="I25" s="59">
        <v>0.69</v>
      </c>
      <c r="J25" s="59">
        <v>0.11</v>
      </c>
      <c r="K25" s="59">
        <v>4.05</v>
      </c>
      <c r="L25" s="59">
        <v>17.170000000000002</v>
      </c>
      <c r="M25" s="59">
        <v>80</v>
      </c>
      <c r="N25" s="59">
        <v>24.6</v>
      </c>
      <c r="O25" s="59">
        <v>0</v>
      </c>
      <c r="P25" s="59">
        <v>1.94</v>
      </c>
      <c r="Q25" s="59">
        <v>47.47</v>
      </c>
      <c r="R25" s="197"/>
      <c r="S25" s="197"/>
      <c r="T25" s="197"/>
      <c r="U25" s="197"/>
    </row>
    <row r="26" spans="1:21" s="12" customFormat="1" x14ac:dyDescent="0.25">
      <c r="A26" s="200" t="s">
        <v>2665</v>
      </c>
      <c r="B26" s="59">
        <v>58.62</v>
      </c>
      <c r="C26" s="59">
        <v>90.56</v>
      </c>
      <c r="D26" s="59">
        <v>96.99</v>
      </c>
      <c r="E26" s="59">
        <v>4.58</v>
      </c>
      <c r="F26" s="209" t="s">
        <v>36</v>
      </c>
      <c r="G26" s="59">
        <v>71.69</v>
      </c>
      <c r="H26" s="59">
        <v>41.73</v>
      </c>
      <c r="I26" s="59">
        <v>0.65</v>
      </c>
      <c r="J26" s="59">
        <v>0.1</v>
      </c>
      <c r="K26" s="59">
        <v>266.89999999999998</v>
      </c>
      <c r="L26" s="59">
        <v>16.88</v>
      </c>
      <c r="M26" s="59">
        <v>81</v>
      </c>
      <c r="N26" s="59">
        <v>24.2</v>
      </c>
      <c r="O26" s="59">
        <v>0</v>
      </c>
      <c r="P26" s="59">
        <v>1.86</v>
      </c>
      <c r="Q26" s="59">
        <v>46.01</v>
      </c>
      <c r="R26" s="197"/>
      <c r="S26" s="197"/>
      <c r="T26" s="197"/>
      <c r="U26" s="197"/>
    </row>
    <row r="27" spans="1:21" s="12" customFormat="1" x14ac:dyDescent="0.25">
      <c r="A27" s="200" t="s">
        <v>2666</v>
      </c>
      <c r="B27" s="59">
        <v>57.42</v>
      </c>
      <c r="C27" s="59">
        <v>89.29</v>
      </c>
      <c r="D27" s="59">
        <v>95.33</v>
      </c>
      <c r="E27" s="59">
        <v>4.47</v>
      </c>
      <c r="F27" s="59">
        <v>0.01</v>
      </c>
      <c r="G27" s="59">
        <v>64.28</v>
      </c>
      <c r="H27" s="59">
        <v>36.24</v>
      </c>
      <c r="I27" s="59">
        <v>0.62</v>
      </c>
      <c r="J27" s="59">
        <v>0.16</v>
      </c>
      <c r="K27" s="59">
        <v>338.13</v>
      </c>
      <c r="L27" s="59">
        <v>17.149999999999999</v>
      </c>
      <c r="M27" s="59">
        <v>79</v>
      </c>
      <c r="N27" s="59">
        <v>24.1</v>
      </c>
      <c r="O27" s="59">
        <v>0</v>
      </c>
      <c r="P27" s="59">
        <v>1.81</v>
      </c>
      <c r="Q27" s="59">
        <v>44.62</v>
      </c>
      <c r="R27" s="197"/>
      <c r="S27" s="197"/>
      <c r="T27" s="197"/>
      <c r="U27" s="197"/>
    </row>
    <row r="28" spans="1:21" s="12" customFormat="1" x14ac:dyDescent="0.25">
      <c r="A28" s="200" t="s">
        <v>2667</v>
      </c>
      <c r="B28" s="59">
        <v>58.81</v>
      </c>
      <c r="C28" s="59">
        <v>88.96</v>
      </c>
      <c r="D28" s="59">
        <v>96.26</v>
      </c>
      <c r="E28" s="59">
        <v>4.12</v>
      </c>
      <c r="F28" s="59">
        <v>0.01</v>
      </c>
      <c r="G28" s="59">
        <v>64.28</v>
      </c>
      <c r="H28" s="59">
        <v>36.24</v>
      </c>
      <c r="I28" s="59">
        <v>0.6</v>
      </c>
      <c r="J28" s="59">
        <v>0.09</v>
      </c>
      <c r="K28" s="59">
        <v>285.81</v>
      </c>
      <c r="L28" s="59">
        <v>17.05</v>
      </c>
      <c r="M28" s="59">
        <v>80</v>
      </c>
      <c r="N28" s="59">
        <v>24.1</v>
      </c>
      <c r="O28" s="59">
        <v>0</v>
      </c>
      <c r="P28" s="59">
        <v>1.79</v>
      </c>
      <c r="Q28" s="59">
        <v>43.98</v>
      </c>
      <c r="R28" s="197"/>
      <c r="S28" s="197"/>
      <c r="T28" s="197"/>
      <c r="U28" s="197"/>
    </row>
    <row r="29" spans="1:21" s="12" customFormat="1" x14ac:dyDescent="0.25">
      <c r="A29" s="200" t="s">
        <v>2668</v>
      </c>
      <c r="B29" s="59">
        <v>61.53</v>
      </c>
      <c r="C29" s="59">
        <v>89.9</v>
      </c>
      <c r="D29" s="59">
        <v>98.96</v>
      </c>
      <c r="E29" s="59">
        <v>4.6399999999999997</v>
      </c>
      <c r="F29" s="59">
        <v>7.0000000000000007E-2</v>
      </c>
      <c r="G29" s="59">
        <v>64.28</v>
      </c>
      <c r="H29" s="59">
        <v>36.24</v>
      </c>
      <c r="I29" s="59">
        <v>0.59</v>
      </c>
      <c r="J29" s="59">
        <v>0.18</v>
      </c>
      <c r="K29" s="59">
        <v>2.92</v>
      </c>
      <c r="L29" s="59">
        <v>16.93</v>
      </c>
      <c r="M29" s="59">
        <v>81</v>
      </c>
      <c r="N29" s="59">
        <v>24.3</v>
      </c>
      <c r="O29" s="59">
        <v>0</v>
      </c>
      <c r="P29" s="59">
        <v>1.76</v>
      </c>
      <c r="Q29" s="59">
        <v>43.77</v>
      </c>
      <c r="R29" s="197"/>
      <c r="S29" s="197"/>
      <c r="T29" s="197"/>
      <c r="U29" s="197"/>
    </row>
    <row r="30" spans="1:21" s="12" customFormat="1" x14ac:dyDescent="0.25">
      <c r="A30" s="200" t="s">
        <v>2669</v>
      </c>
      <c r="B30" s="59">
        <v>64.55</v>
      </c>
      <c r="C30" s="59">
        <v>90.28</v>
      </c>
      <c r="D30" s="59">
        <v>101.59</v>
      </c>
      <c r="E30" s="59">
        <v>4.4000000000000004</v>
      </c>
      <c r="F30" s="209" t="s">
        <v>36</v>
      </c>
      <c r="G30" s="59">
        <v>84.25</v>
      </c>
      <c r="H30" s="59">
        <v>35.36</v>
      </c>
      <c r="I30" s="59">
        <v>0.57999999999999996</v>
      </c>
      <c r="J30" s="59">
        <v>0.15</v>
      </c>
      <c r="K30" s="59">
        <v>271.07</v>
      </c>
      <c r="L30" s="59">
        <v>16.97</v>
      </c>
      <c r="M30" s="59">
        <v>81</v>
      </c>
      <c r="N30" s="59">
        <v>24.1</v>
      </c>
      <c r="O30" s="59">
        <v>0</v>
      </c>
      <c r="P30" s="59">
        <v>1.74</v>
      </c>
      <c r="Q30" s="59">
        <v>43.68</v>
      </c>
      <c r="R30" s="197"/>
      <c r="S30" s="197"/>
      <c r="T30" s="197"/>
      <c r="U30" s="197"/>
    </row>
    <row r="31" spans="1:21" s="12" customFormat="1" x14ac:dyDescent="0.25">
      <c r="A31" s="200" t="s">
        <v>2670</v>
      </c>
      <c r="B31" s="59">
        <v>66.59</v>
      </c>
      <c r="C31" s="59">
        <v>90.84</v>
      </c>
      <c r="D31" s="59">
        <v>103.53</v>
      </c>
      <c r="E31" s="59">
        <v>4.76</v>
      </c>
      <c r="F31" s="209" t="s">
        <v>36</v>
      </c>
      <c r="G31" s="59">
        <v>105.26</v>
      </c>
      <c r="H31" s="59">
        <v>34.159999999999997</v>
      </c>
      <c r="I31" s="59">
        <v>0.56999999999999995</v>
      </c>
      <c r="J31" s="59">
        <v>0.15</v>
      </c>
      <c r="K31" s="59">
        <v>254.42</v>
      </c>
      <c r="L31" s="59">
        <v>17.079999999999998</v>
      </c>
      <c r="M31" s="59">
        <v>81</v>
      </c>
      <c r="N31" s="59">
        <v>23.7</v>
      </c>
      <c r="O31" s="59">
        <v>0</v>
      </c>
      <c r="P31" s="59">
        <v>1.72</v>
      </c>
      <c r="Q31" s="59">
        <v>43.84</v>
      </c>
      <c r="R31" s="197"/>
      <c r="S31" s="197"/>
      <c r="T31" s="197"/>
      <c r="U31" s="197"/>
    </row>
    <row r="32" spans="1:21" s="12" customFormat="1" x14ac:dyDescent="0.25">
      <c r="A32" s="200" t="s">
        <v>2671</v>
      </c>
      <c r="B32" s="59">
        <v>69.56</v>
      </c>
      <c r="C32" s="59">
        <v>91.6</v>
      </c>
      <c r="D32" s="59">
        <v>106.33</v>
      </c>
      <c r="E32" s="59">
        <v>4.7300000000000004</v>
      </c>
      <c r="F32" s="59">
        <v>0.01</v>
      </c>
      <c r="G32" s="59">
        <v>105.26</v>
      </c>
      <c r="H32" s="59">
        <v>34.159999999999997</v>
      </c>
      <c r="I32" s="59">
        <v>0.56000000000000005</v>
      </c>
      <c r="J32" s="59">
        <v>0.1</v>
      </c>
      <c r="K32" s="59">
        <v>229.14</v>
      </c>
      <c r="L32" s="59">
        <v>17.440000000000001</v>
      </c>
      <c r="M32" s="59">
        <v>78</v>
      </c>
      <c r="N32" s="59">
        <v>23.9</v>
      </c>
      <c r="O32" s="59">
        <v>0</v>
      </c>
      <c r="P32" s="59">
        <v>1.69</v>
      </c>
      <c r="Q32" s="59">
        <v>44.1</v>
      </c>
      <c r="R32" s="197"/>
      <c r="S32" s="197"/>
      <c r="T32" s="197"/>
      <c r="U32" s="197"/>
    </row>
    <row r="33" spans="1:21" s="12" customFormat="1" x14ac:dyDescent="0.25">
      <c r="A33" s="200" t="s">
        <v>2672</v>
      </c>
      <c r="B33" s="59">
        <v>71.209999999999994</v>
      </c>
      <c r="C33" s="59">
        <v>91.88</v>
      </c>
      <c r="D33" s="59">
        <v>107.81</v>
      </c>
      <c r="E33" s="59">
        <v>4.5999999999999996</v>
      </c>
      <c r="F33" s="59">
        <v>0.03</v>
      </c>
      <c r="G33" s="59">
        <v>105.26</v>
      </c>
      <c r="H33" s="59">
        <v>34.159999999999997</v>
      </c>
      <c r="I33" s="59">
        <v>0.55000000000000004</v>
      </c>
      <c r="J33" s="59">
        <v>0.18</v>
      </c>
      <c r="K33" s="59">
        <v>352.06</v>
      </c>
      <c r="L33" s="59">
        <v>16.98</v>
      </c>
      <c r="M33" s="59">
        <v>81</v>
      </c>
      <c r="N33" s="59">
        <v>24.5</v>
      </c>
      <c r="O33" s="59">
        <v>0</v>
      </c>
      <c r="P33" s="59">
        <v>1.66</v>
      </c>
      <c r="Q33" s="59">
        <v>44.64</v>
      </c>
      <c r="R33" s="197"/>
      <c r="S33" s="197"/>
      <c r="T33" s="197"/>
      <c r="U33" s="197"/>
    </row>
    <row r="34" spans="1:21" s="12" customFormat="1" x14ac:dyDescent="0.25">
      <c r="A34" s="200" t="s">
        <v>2673</v>
      </c>
      <c r="B34" s="59">
        <v>75.319999999999993</v>
      </c>
      <c r="C34" s="59">
        <v>92.57</v>
      </c>
      <c r="D34" s="59">
        <v>111.49</v>
      </c>
      <c r="E34" s="59">
        <v>4.8600000000000003</v>
      </c>
      <c r="F34" s="59">
        <v>0.06</v>
      </c>
      <c r="G34" s="59">
        <v>100.02</v>
      </c>
      <c r="H34" s="59">
        <v>36.97</v>
      </c>
      <c r="I34" s="59">
        <v>0.55000000000000004</v>
      </c>
      <c r="J34" s="59">
        <v>0.14000000000000001</v>
      </c>
      <c r="K34" s="59">
        <v>301.05</v>
      </c>
      <c r="L34" s="59">
        <v>16.559999999999999</v>
      </c>
      <c r="M34" s="59">
        <v>83</v>
      </c>
      <c r="N34" s="59">
        <v>25.1</v>
      </c>
      <c r="O34" s="59">
        <v>0</v>
      </c>
      <c r="P34" s="59">
        <v>1.66</v>
      </c>
      <c r="Q34" s="59">
        <v>46.39</v>
      </c>
      <c r="R34" s="197"/>
      <c r="S34" s="197"/>
      <c r="T34" s="197"/>
      <c r="U34" s="197"/>
    </row>
    <row r="35" spans="1:21" s="12" customFormat="1" x14ac:dyDescent="0.25">
      <c r="A35" s="200" t="s">
        <v>2674</v>
      </c>
      <c r="B35" s="59">
        <v>77.62</v>
      </c>
      <c r="C35" s="59">
        <v>94.39</v>
      </c>
      <c r="D35" s="59">
        <v>114.34</v>
      </c>
      <c r="E35" s="59">
        <v>4.75</v>
      </c>
      <c r="F35" s="59">
        <v>0.77</v>
      </c>
      <c r="G35" s="59">
        <v>96.06</v>
      </c>
      <c r="H35" s="59">
        <v>40.83</v>
      </c>
      <c r="I35" s="59">
        <v>0.54</v>
      </c>
      <c r="J35" s="59">
        <v>0.06</v>
      </c>
      <c r="K35" s="59">
        <v>296.86</v>
      </c>
      <c r="L35" s="59">
        <v>16.34</v>
      </c>
      <c r="M35" s="59">
        <v>84</v>
      </c>
      <c r="N35" s="59">
        <v>28.2</v>
      </c>
      <c r="O35" s="59">
        <v>0</v>
      </c>
      <c r="P35" s="59">
        <v>1.65</v>
      </c>
      <c r="Q35" s="59">
        <v>47.17</v>
      </c>
      <c r="R35" s="197"/>
      <c r="S35" s="197"/>
      <c r="T35" s="197"/>
      <c r="U35" s="197"/>
    </row>
    <row r="36" spans="1:21" s="12" customFormat="1" x14ac:dyDescent="0.25">
      <c r="A36" s="200" t="s">
        <v>2675</v>
      </c>
      <c r="B36" s="59">
        <v>80.3</v>
      </c>
      <c r="C36" s="59">
        <v>95.43</v>
      </c>
      <c r="D36" s="59">
        <v>117.06</v>
      </c>
      <c r="E36" s="59">
        <v>4.7699999999999996</v>
      </c>
      <c r="F36" s="59">
        <v>0.27</v>
      </c>
      <c r="G36" s="59">
        <v>96.06</v>
      </c>
      <c r="H36" s="59">
        <v>40.83</v>
      </c>
      <c r="I36" s="59">
        <v>0.53</v>
      </c>
      <c r="J36" s="59">
        <v>0.12</v>
      </c>
      <c r="K36" s="59">
        <v>255.26</v>
      </c>
      <c r="L36" s="59">
        <v>16.78</v>
      </c>
      <c r="M36" s="59">
        <v>83</v>
      </c>
      <c r="N36" s="59">
        <v>34.9</v>
      </c>
      <c r="O36" s="59">
        <v>0</v>
      </c>
      <c r="P36" s="59">
        <v>1.65</v>
      </c>
      <c r="Q36" s="59">
        <v>47.42</v>
      </c>
      <c r="R36" s="197"/>
      <c r="S36" s="197"/>
      <c r="T36" s="197"/>
      <c r="U36" s="197"/>
    </row>
    <row r="37" spans="1:21" s="12" customFormat="1" x14ac:dyDescent="0.25">
      <c r="A37" s="200" t="s">
        <v>2676</v>
      </c>
      <c r="B37" s="59">
        <v>82.81</v>
      </c>
      <c r="C37" s="59">
        <v>96.6</v>
      </c>
      <c r="D37" s="59">
        <v>119.72</v>
      </c>
      <c r="E37" s="59">
        <v>4.62</v>
      </c>
      <c r="F37" s="59">
        <v>0.15</v>
      </c>
      <c r="G37" s="59">
        <v>96.06</v>
      </c>
      <c r="H37" s="59">
        <v>40.83</v>
      </c>
      <c r="I37" s="59">
        <v>0.53</v>
      </c>
      <c r="J37" s="59">
        <v>0.12</v>
      </c>
      <c r="K37" s="59">
        <v>327.27999999999997</v>
      </c>
      <c r="L37" s="59">
        <v>17.149999999999999</v>
      </c>
      <c r="M37" s="59">
        <v>82</v>
      </c>
      <c r="N37" s="59">
        <v>44.2</v>
      </c>
      <c r="O37" s="59">
        <v>0</v>
      </c>
      <c r="P37" s="59">
        <v>1.6</v>
      </c>
      <c r="Q37" s="59">
        <v>47.4</v>
      </c>
      <c r="R37" s="197"/>
      <c r="S37" s="197"/>
      <c r="T37" s="197"/>
      <c r="U37" s="197"/>
    </row>
    <row r="38" spans="1:21" s="12" customFormat="1" x14ac:dyDescent="0.25">
      <c r="A38" s="200" t="s">
        <v>2677</v>
      </c>
      <c r="B38" s="59">
        <v>84.52</v>
      </c>
      <c r="C38" s="59">
        <v>97.83</v>
      </c>
      <c r="D38" s="59">
        <v>121.76</v>
      </c>
      <c r="E38" s="59">
        <v>4.55</v>
      </c>
      <c r="F38" s="59">
        <v>0.09</v>
      </c>
      <c r="G38" s="59">
        <v>94.4</v>
      </c>
      <c r="H38" s="59">
        <v>42.13</v>
      </c>
      <c r="I38" s="59">
        <v>0.52</v>
      </c>
      <c r="J38" s="59">
        <v>0.17</v>
      </c>
      <c r="K38" s="59">
        <v>232.62</v>
      </c>
      <c r="L38" s="59">
        <v>17.850000000000001</v>
      </c>
      <c r="M38" s="59">
        <v>78</v>
      </c>
      <c r="N38" s="59">
        <v>53.5</v>
      </c>
      <c r="O38" s="59">
        <v>0</v>
      </c>
      <c r="P38" s="59">
        <v>1.69</v>
      </c>
      <c r="Q38" s="59">
        <v>47.28</v>
      </c>
      <c r="R38" s="197"/>
      <c r="S38" s="197"/>
      <c r="T38" s="197"/>
      <c r="U38" s="197"/>
    </row>
    <row r="39" spans="1:21" s="12" customFormat="1" x14ac:dyDescent="0.25">
      <c r="A39" s="200" t="s">
        <v>2678</v>
      </c>
      <c r="B39" s="59">
        <v>81.25</v>
      </c>
      <c r="C39" s="59">
        <v>97.14</v>
      </c>
      <c r="D39" s="59">
        <v>118.76</v>
      </c>
      <c r="E39" s="59">
        <v>3.82</v>
      </c>
      <c r="F39" s="59">
        <v>0.08</v>
      </c>
      <c r="G39" s="59">
        <v>93.17</v>
      </c>
      <c r="H39" s="59">
        <v>43.82</v>
      </c>
      <c r="I39" s="59">
        <v>0.51</v>
      </c>
      <c r="J39" s="59">
        <v>0.89</v>
      </c>
      <c r="K39" s="59">
        <v>181.38</v>
      </c>
      <c r="L39" s="59">
        <v>18.16</v>
      </c>
      <c r="M39" s="59">
        <v>77</v>
      </c>
      <c r="N39" s="59">
        <v>89.2</v>
      </c>
      <c r="O39" s="59">
        <v>0</v>
      </c>
      <c r="P39" s="59">
        <v>1.63</v>
      </c>
      <c r="Q39" s="59">
        <v>46.94</v>
      </c>
      <c r="R39" s="197"/>
      <c r="S39" s="197"/>
      <c r="T39" s="197"/>
      <c r="U39" s="197"/>
    </row>
    <row r="40" spans="1:21" s="12" customFormat="1" x14ac:dyDescent="0.25">
      <c r="A40" s="200" t="s">
        <v>2679</v>
      </c>
      <c r="B40" s="59">
        <v>75.06</v>
      </c>
      <c r="C40" s="59">
        <v>93.53</v>
      </c>
      <c r="D40" s="59">
        <v>111.81</v>
      </c>
      <c r="E40" s="59">
        <v>2.59</v>
      </c>
      <c r="F40" s="59">
        <v>0.01</v>
      </c>
      <c r="G40" s="59">
        <v>93.17</v>
      </c>
      <c r="H40" s="59">
        <v>43.82</v>
      </c>
      <c r="I40" s="59">
        <v>0.5</v>
      </c>
      <c r="J40" s="59">
        <v>0.35</v>
      </c>
      <c r="K40" s="59">
        <v>188.1</v>
      </c>
      <c r="L40" s="59">
        <v>19.03</v>
      </c>
      <c r="M40" s="59">
        <v>74</v>
      </c>
      <c r="N40" s="59">
        <v>155.6</v>
      </c>
      <c r="O40" s="59">
        <v>0</v>
      </c>
      <c r="P40" s="59">
        <v>1.58</v>
      </c>
      <c r="Q40" s="59">
        <v>46.02</v>
      </c>
      <c r="R40" s="197"/>
      <c r="S40" s="197"/>
      <c r="T40" s="197"/>
      <c r="U40" s="197"/>
    </row>
    <row r="41" spans="1:21" s="12" customFormat="1" x14ac:dyDescent="0.25">
      <c r="A41" s="200" t="s">
        <v>2680</v>
      </c>
      <c r="B41" s="59">
        <v>71.47</v>
      </c>
      <c r="C41" s="59">
        <v>91.35</v>
      </c>
      <c r="D41" s="59">
        <v>107.72</v>
      </c>
      <c r="E41" s="59">
        <v>3.75</v>
      </c>
      <c r="F41" s="214" t="s">
        <v>47</v>
      </c>
      <c r="G41" s="59">
        <v>93.17</v>
      </c>
      <c r="H41" s="59">
        <v>43.82</v>
      </c>
      <c r="I41" s="59">
        <v>0.48</v>
      </c>
      <c r="J41" s="59">
        <v>0.31</v>
      </c>
      <c r="K41" s="59">
        <v>24.3</v>
      </c>
      <c r="L41" s="59">
        <v>21.6</v>
      </c>
      <c r="M41" s="59">
        <v>66</v>
      </c>
      <c r="N41" s="59">
        <v>188.7</v>
      </c>
      <c r="O41" s="59">
        <v>0</v>
      </c>
      <c r="P41" s="59">
        <v>1.55</v>
      </c>
      <c r="Q41" s="59">
        <v>43.81</v>
      </c>
      <c r="R41" s="197"/>
      <c r="S41" s="197"/>
      <c r="T41" s="197"/>
      <c r="U41" s="197"/>
    </row>
    <row r="42" spans="1:21" s="12" customFormat="1" x14ac:dyDescent="0.25">
      <c r="A42" s="200" t="s">
        <v>2681</v>
      </c>
      <c r="B42" s="59">
        <v>71.099999999999994</v>
      </c>
      <c r="C42" s="59">
        <v>93.22</v>
      </c>
      <c r="D42" s="59">
        <v>108.46</v>
      </c>
      <c r="E42" s="59">
        <v>4.2699999999999996</v>
      </c>
      <c r="F42" s="59">
        <v>0.02</v>
      </c>
      <c r="G42" s="59">
        <v>84.01</v>
      </c>
      <c r="H42" s="59">
        <v>42.76</v>
      </c>
      <c r="I42" s="59">
        <v>0.46</v>
      </c>
      <c r="J42" s="59">
        <v>0.41</v>
      </c>
      <c r="K42" s="59">
        <v>13.18</v>
      </c>
      <c r="L42" s="59">
        <v>24.3</v>
      </c>
      <c r="M42" s="59">
        <v>57</v>
      </c>
      <c r="N42" s="59">
        <v>217.5</v>
      </c>
      <c r="O42" s="59">
        <v>0</v>
      </c>
      <c r="P42" s="59">
        <v>1.54</v>
      </c>
      <c r="Q42" s="59">
        <v>42.69</v>
      </c>
      <c r="R42" s="197"/>
      <c r="S42" s="197"/>
      <c r="T42" s="197"/>
      <c r="U42" s="197"/>
    </row>
    <row r="43" spans="1:21" s="12" customFormat="1" x14ac:dyDescent="0.25">
      <c r="A43" s="200" t="s">
        <v>2682</v>
      </c>
      <c r="B43" s="59">
        <v>70.2</v>
      </c>
      <c r="C43" s="59">
        <v>94.73</v>
      </c>
      <c r="D43" s="59">
        <v>108.57</v>
      </c>
      <c r="E43" s="59">
        <v>4.4800000000000004</v>
      </c>
      <c r="F43" s="59">
        <v>0.01</v>
      </c>
      <c r="G43" s="59">
        <v>65.680000000000007</v>
      </c>
      <c r="H43" s="59">
        <v>41.31</v>
      </c>
      <c r="I43" s="59">
        <v>0.45</v>
      </c>
      <c r="J43" s="59">
        <v>0.46</v>
      </c>
      <c r="K43" s="59">
        <v>3.93</v>
      </c>
      <c r="L43" s="59">
        <v>26.14</v>
      </c>
      <c r="M43" s="59">
        <v>52</v>
      </c>
      <c r="N43" s="59">
        <v>242.8</v>
      </c>
      <c r="O43" s="59">
        <v>0</v>
      </c>
      <c r="P43" s="59">
        <v>1.55</v>
      </c>
      <c r="Q43" s="59">
        <v>42.81</v>
      </c>
      <c r="R43" s="197"/>
      <c r="S43" s="197"/>
      <c r="T43" s="197"/>
      <c r="U43" s="197"/>
    </row>
    <row r="44" spans="1:21" s="12" customFormat="1" x14ac:dyDescent="0.25">
      <c r="A44" s="200" t="s">
        <v>2683</v>
      </c>
      <c r="B44" s="59">
        <v>67.62</v>
      </c>
      <c r="C44" s="59">
        <v>96.71</v>
      </c>
      <c r="D44" s="59">
        <v>107.6</v>
      </c>
      <c r="E44" s="59">
        <v>4.83</v>
      </c>
      <c r="F44" s="59">
        <v>0.02</v>
      </c>
      <c r="G44" s="59">
        <v>65.680000000000007</v>
      </c>
      <c r="H44" s="59">
        <v>41.31</v>
      </c>
      <c r="I44" s="59">
        <v>0.45</v>
      </c>
      <c r="J44" s="59">
        <v>0.61</v>
      </c>
      <c r="K44" s="59">
        <v>357.13</v>
      </c>
      <c r="L44" s="59">
        <v>27.61</v>
      </c>
      <c r="M44" s="59">
        <v>48</v>
      </c>
      <c r="N44" s="59">
        <v>271.2</v>
      </c>
      <c r="O44" s="59">
        <v>0</v>
      </c>
      <c r="P44" s="59">
        <v>1.56</v>
      </c>
      <c r="Q44" s="59">
        <v>42.95</v>
      </c>
      <c r="R44" s="197"/>
      <c r="S44" s="197"/>
      <c r="T44" s="197"/>
      <c r="U44" s="197"/>
    </row>
    <row r="45" spans="1:21" s="12" customFormat="1" x14ac:dyDescent="0.25">
      <c r="A45" s="200" t="s">
        <v>2684</v>
      </c>
      <c r="B45" s="59">
        <v>63.9</v>
      </c>
      <c r="C45" s="59">
        <v>98.35</v>
      </c>
      <c r="D45" s="59">
        <v>105.52</v>
      </c>
      <c r="E45" s="59">
        <v>5.05</v>
      </c>
      <c r="F45" s="59">
        <v>0.05</v>
      </c>
      <c r="G45" s="59">
        <v>65.680000000000007</v>
      </c>
      <c r="H45" s="59">
        <v>41.31</v>
      </c>
      <c r="I45" s="59">
        <v>0.45</v>
      </c>
      <c r="J45" s="59">
        <v>0.67</v>
      </c>
      <c r="K45" s="59">
        <v>11.1</v>
      </c>
      <c r="L45" s="59">
        <v>28.29</v>
      </c>
      <c r="M45" s="59">
        <v>46</v>
      </c>
      <c r="N45" s="59">
        <v>292.89999999999998</v>
      </c>
      <c r="O45" s="59">
        <v>0</v>
      </c>
      <c r="P45" s="59">
        <v>1.58</v>
      </c>
      <c r="Q45" s="59">
        <v>43.24</v>
      </c>
      <c r="R45" s="197"/>
      <c r="S45" s="197"/>
      <c r="T45" s="197"/>
      <c r="U45" s="197"/>
    </row>
    <row r="46" spans="1:21" s="12" customFormat="1" x14ac:dyDescent="0.25">
      <c r="A46" s="200" t="s">
        <v>2685</v>
      </c>
      <c r="B46" s="59">
        <v>60.03</v>
      </c>
      <c r="C46" s="59">
        <v>100.4</v>
      </c>
      <c r="D46" s="59">
        <v>103.54</v>
      </c>
      <c r="E46" s="59">
        <v>5.31</v>
      </c>
      <c r="F46" s="59">
        <v>0.23</v>
      </c>
      <c r="G46" s="59">
        <v>82.7</v>
      </c>
      <c r="H46" s="59">
        <v>42.48</v>
      </c>
      <c r="I46" s="59">
        <v>0.45</v>
      </c>
      <c r="J46" s="59">
        <v>1.02</v>
      </c>
      <c r="K46" s="59">
        <v>12.19</v>
      </c>
      <c r="L46" s="59">
        <v>29.48</v>
      </c>
      <c r="M46" s="59">
        <v>42</v>
      </c>
      <c r="N46" s="59">
        <v>305.10000000000002</v>
      </c>
      <c r="O46" s="59">
        <v>0</v>
      </c>
      <c r="P46" s="59">
        <v>1.61</v>
      </c>
      <c r="Q46" s="59">
        <v>43.14</v>
      </c>
      <c r="R46" s="197"/>
      <c r="S46" s="197"/>
      <c r="T46" s="197"/>
      <c r="U46" s="197"/>
    </row>
    <row r="47" spans="1:21" s="12" customFormat="1" x14ac:dyDescent="0.25">
      <c r="A47" s="200" t="s">
        <v>2686</v>
      </c>
      <c r="B47" s="59">
        <v>55.83</v>
      </c>
      <c r="C47" s="59">
        <v>102.15</v>
      </c>
      <c r="D47" s="59">
        <v>101.15</v>
      </c>
      <c r="E47" s="59">
        <v>5.63</v>
      </c>
      <c r="F47" s="59">
        <v>0.34</v>
      </c>
      <c r="G47" s="59">
        <v>95.58</v>
      </c>
      <c r="H47" s="59">
        <v>44.02</v>
      </c>
      <c r="I47" s="59">
        <v>0.45</v>
      </c>
      <c r="J47" s="59">
        <v>1.06</v>
      </c>
      <c r="K47" s="59">
        <v>4.24</v>
      </c>
      <c r="L47" s="59">
        <v>30.1</v>
      </c>
      <c r="M47" s="59">
        <v>41</v>
      </c>
      <c r="N47" s="59">
        <v>317.8</v>
      </c>
      <c r="O47" s="59">
        <v>0</v>
      </c>
      <c r="P47" s="59">
        <v>1.63</v>
      </c>
      <c r="Q47" s="59">
        <v>43.15</v>
      </c>
      <c r="R47" s="197"/>
      <c r="S47" s="197"/>
      <c r="T47" s="197"/>
      <c r="U47" s="197"/>
    </row>
    <row r="48" spans="1:21" s="12" customFormat="1" x14ac:dyDescent="0.25">
      <c r="A48" s="200" t="s">
        <v>2687</v>
      </c>
      <c r="B48" s="59">
        <v>52.67</v>
      </c>
      <c r="C48" s="59">
        <v>106.16</v>
      </c>
      <c r="D48" s="59">
        <v>100.83</v>
      </c>
      <c r="E48" s="59">
        <v>5.25</v>
      </c>
      <c r="F48" s="59">
        <v>0.37</v>
      </c>
      <c r="G48" s="59">
        <v>95.58</v>
      </c>
      <c r="H48" s="59">
        <v>44.02</v>
      </c>
      <c r="I48" s="59">
        <v>0.45</v>
      </c>
      <c r="J48" s="59">
        <v>1.05</v>
      </c>
      <c r="K48" s="59">
        <v>11.47</v>
      </c>
      <c r="L48" s="59">
        <v>30.45</v>
      </c>
      <c r="M48" s="59">
        <v>39</v>
      </c>
      <c r="N48" s="59">
        <v>321.3</v>
      </c>
      <c r="O48" s="59">
        <v>0</v>
      </c>
      <c r="P48" s="59">
        <v>1.67</v>
      </c>
      <c r="Q48" s="59">
        <v>44.47</v>
      </c>
      <c r="R48" s="197"/>
      <c r="S48" s="197"/>
      <c r="T48" s="197"/>
      <c r="U48" s="197"/>
    </row>
    <row r="49" spans="1:21" s="12" customFormat="1" x14ac:dyDescent="0.25">
      <c r="A49" s="200" t="s">
        <v>2688</v>
      </c>
      <c r="B49" s="59">
        <v>48.08</v>
      </c>
      <c r="C49" s="59">
        <v>110.55</v>
      </c>
      <c r="D49" s="59">
        <v>99.57</v>
      </c>
      <c r="E49" s="59">
        <v>7</v>
      </c>
      <c r="F49" s="59">
        <v>0.72</v>
      </c>
      <c r="G49" s="59">
        <v>95.58</v>
      </c>
      <c r="H49" s="59">
        <v>44.02</v>
      </c>
      <c r="I49" s="59">
        <v>0.46</v>
      </c>
      <c r="J49" s="59">
        <v>0.37</v>
      </c>
      <c r="K49" s="59">
        <v>8.32</v>
      </c>
      <c r="L49" s="59">
        <v>30.68</v>
      </c>
      <c r="M49" s="59">
        <v>39</v>
      </c>
      <c r="N49" s="59">
        <v>314.39999999999998</v>
      </c>
      <c r="O49" s="59">
        <v>0</v>
      </c>
      <c r="P49" s="59">
        <v>1.7</v>
      </c>
      <c r="Q49" s="59">
        <v>45.28</v>
      </c>
      <c r="R49" s="197"/>
      <c r="S49" s="197"/>
      <c r="T49" s="197"/>
      <c r="U49" s="197"/>
    </row>
    <row r="50" spans="1:21" s="12" customFormat="1" x14ac:dyDescent="0.25">
      <c r="A50" s="200" t="s">
        <v>2689</v>
      </c>
      <c r="B50" s="59">
        <v>1.49</v>
      </c>
      <c r="C50" s="59">
        <v>8.33</v>
      </c>
      <c r="D50" s="59">
        <v>8.67</v>
      </c>
      <c r="E50" s="59">
        <v>1.1200000000000001</v>
      </c>
      <c r="F50" s="59">
        <v>307.42</v>
      </c>
      <c r="G50" s="59">
        <v>95.58</v>
      </c>
      <c r="H50" s="59">
        <v>44.02</v>
      </c>
      <c r="I50" s="59">
        <v>0.45</v>
      </c>
      <c r="J50" s="59">
        <v>0.26</v>
      </c>
      <c r="K50" s="59">
        <v>106</v>
      </c>
      <c r="L50" s="59">
        <v>29.38</v>
      </c>
      <c r="M50" s="59">
        <v>42</v>
      </c>
      <c r="N50" s="59">
        <v>315.8</v>
      </c>
      <c r="O50" s="59">
        <v>0</v>
      </c>
      <c r="P50" s="59">
        <v>1.75</v>
      </c>
      <c r="Q50" s="59">
        <v>43.08</v>
      </c>
      <c r="R50" s="197"/>
      <c r="S50" s="197"/>
      <c r="T50" s="197"/>
      <c r="U50" s="197"/>
    </row>
    <row r="51" spans="1:21" s="12" customFormat="1" x14ac:dyDescent="0.25">
      <c r="A51" s="200" t="s">
        <v>2690</v>
      </c>
      <c r="B51" s="59">
        <v>1.36</v>
      </c>
      <c r="C51" s="59">
        <v>11.67</v>
      </c>
      <c r="D51" s="59">
        <v>13.03</v>
      </c>
      <c r="E51" s="59">
        <v>86.23</v>
      </c>
      <c r="F51" s="59">
        <v>2.4500000000000002</v>
      </c>
      <c r="G51" s="59">
        <v>95.58</v>
      </c>
      <c r="H51" s="59">
        <v>44.02</v>
      </c>
      <c r="I51" s="59">
        <v>0.42</v>
      </c>
      <c r="J51" s="59">
        <v>0.51</v>
      </c>
      <c r="K51" s="59">
        <v>125.51</v>
      </c>
      <c r="L51" s="59">
        <v>28.02</v>
      </c>
      <c r="M51" s="59">
        <v>44</v>
      </c>
      <c r="N51" s="59">
        <v>332.7</v>
      </c>
      <c r="O51" s="59">
        <v>0</v>
      </c>
      <c r="P51" s="59">
        <v>1.85</v>
      </c>
      <c r="Q51" s="59">
        <v>41.33</v>
      </c>
      <c r="R51" s="197"/>
      <c r="S51" s="197"/>
      <c r="T51" s="197"/>
      <c r="U51" s="197"/>
    </row>
    <row r="52" spans="1:21" s="12" customFormat="1" x14ac:dyDescent="0.25">
      <c r="A52" s="200" t="s">
        <v>2691</v>
      </c>
      <c r="B52" s="59">
        <v>1.28</v>
      </c>
      <c r="C52" s="59">
        <v>13.64</v>
      </c>
      <c r="D52" s="59">
        <v>14.92</v>
      </c>
      <c r="E52" s="59">
        <v>105.97</v>
      </c>
      <c r="F52" s="59">
        <v>1.31</v>
      </c>
      <c r="G52" s="59">
        <v>95.58</v>
      </c>
      <c r="H52" s="59">
        <v>44.02</v>
      </c>
      <c r="I52" s="59">
        <v>0.39</v>
      </c>
      <c r="J52" s="59">
        <v>0.55000000000000004</v>
      </c>
      <c r="K52" s="59">
        <v>130.53</v>
      </c>
      <c r="L52" s="59">
        <v>27.96</v>
      </c>
      <c r="M52" s="59">
        <v>44</v>
      </c>
      <c r="N52" s="59">
        <v>341.7</v>
      </c>
      <c r="O52" s="59">
        <v>0</v>
      </c>
      <c r="P52" s="59">
        <v>1.85</v>
      </c>
      <c r="Q52" s="59">
        <v>40.520000000000003</v>
      </c>
      <c r="R52" s="197"/>
      <c r="S52" s="197"/>
      <c r="T52" s="197"/>
      <c r="U52" s="197"/>
    </row>
    <row r="53" spans="1:21" s="12" customFormat="1" x14ac:dyDescent="0.25">
      <c r="A53" s="200" t="s">
        <v>2692</v>
      </c>
      <c r="B53" s="59">
        <v>6.87</v>
      </c>
      <c r="C53" s="59">
        <v>126.58</v>
      </c>
      <c r="D53" s="59">
        <v>75.37</v>
      </c>
      <c r="E53" s="59">
        <v>151.43</v>
      </c>
      <c r="F53" s="59">
        <v>2.58</v>
      </c>
      <c r="G53" s="211" t="s">
        <v>40</v>
      </c>
      <c r="H53" s="211" t="s">
        <v>40</v>
      </c>
      <c r="I53" s="59">
        <v>0.4</v>
      </c>
      <c r="J53" s="59">
        <v>0.34</v>
      </c>
      <c r="K53" s="59">
        <v>98.65</v>
      </c>
      <c r="L53" s="59">
        <v>28.74</v>
      </c>
      <c r="M53" s="59">
        <v>41</v>
      </c>
      <c r="N53" s="59">
        <v>320.89999999999998</v>
      </c>
      <c r="O53" s="59">
        <v>0</v>
      </c>
      <c r="P53" s="59">
        <v>1.91</v>
      </c>
      <c r="Q53" s="59">
        <v>39.450000000000003</v>
      </c>
      <c r="R53" s="197"/>
      <c r="S53" s="197"/>
      <c r="T53" s="197"/>
      <c r="U53" s="197"/>
    </row>
    <row r="54" spans="1:21" s="12" customFormat="1" x14ac:dyDescent="0.25">
      <c r="A54" s="200" t="s">
        <v>2693</v>
      </c>
      <c r="B54" s="59">
        <v>5.72</v>
      </c>
      <c r="C54" s="59">
        <v>126.3</v>
      </c>
      <c r="D54" s="59">
        <v>74.290000000000006</v>
      </c>
      <c r="E54" s="59">
        <v>106.87</v>
      </c>
      <c r="F54" s="59">
        <v>4.07</v>
      </c>
      <c r="G54" s="211" t="s">
        <v>40</v>
      </c>
      <c r="H54" s="211" t="s">
        <v>40</v>
      </c>
      <c r="I54" s="59">
        <v>0.36</v>
      </c>
      <c r="J54" s="59">
        <v>0.21</v>
      </c>
      <c r="K54" s="59">
        <v>27</v>
      </c>
      <c r="L54" s="59">
        <v>30.49</v>
      </c>
      <c r="M54" s="59">
        <v>36</v>
      </c>
      <c r="N54" s="59">
        <v>319.60000000000002</v>
      </c>
      <c r="O54" s="59">
        <v>0</v>
      </c>
      <c r="P54" s="59">
        <v>1.93</v>
      </c>
      <c r="Q54" s="59">
        <v>38.96</v>
      </c>
      <c r="R54" s="197"/>
      <c r="S54" s="197"/>
      <c r="T54" s="197"/>
      <c r="U54" s="197"/>
    </row>
    <row r="55" spans="1:21" s="12" customFormat="1" x14ac:dyDescent="0.25">
      <c r="A55" s="200" t="s">
        <v>2694</v>
      </c>
      <c r="B55" s="59">
        <v>4.29</v>
      </c>
      <c r="C55" s="59">
        <v>105.72</v>
      </c>
      <c r="D55" s="59">
        <v>61.79</v>
      </c>
      <c r="E55" s="59">
        <v>8.09</v>
      </c>
      <c r="F55" s="59">
        <v>14.11</v>
      </c>
      <c r="G55" s="211" t="s">
        <v>40</v>
      </c>
      <c r="H55" s="211" t="s">
        <v>40</v>
      </c>
      <c r="I55" s="59">
        <v>0.33</v>
      </c>
      <c r="J55" s="59">
        <v>0.45</v>
      </c>
      <c r="K55" s="59">
        <v>1.19</v>
      </c>
      <c r="L55" s="59">
        <v>31.27</v>
      </c>
      <c r="M55" s="59">
        <v>35</v>
      </c>
      <c r="N55" s="59">
        <v>329</v>
      </c>
      <c r="O55" s="59">
        <v>0</v>
      </c>
      <c r="P55" s="59">
        <v>1.87</v>
      </c>
      <c r="Q55" s="59">
        <v>38.75</v>
      </c>
      <c r="R55" s="197"/>
      <c r="S55" s="197"/>
      <c r="T55" s="197"/>
      <c r="U55" s="197"/>
    </row>
    <row r="56" spans="1:21" s="12" customFormat="1" x14ac:dyDescent="0.25">
      <c r="A56" s="200" t="s">
        <v>2695</v>
      </c>
      <c r="B56" s="59">
        <v>3.99</v>
      </c>
      <c r="C56" s="59">
        <v>97.67</v>
      </c>
      <c r="D56" s="59">
        <v>57.1</v>
      </c>
      <c r="E56" s="59">
        <v>18.510000000000002</v>
      </c>
      <c r="F56" s="59">
        <v>9.9499999999999993</v>
      </c>
      <c r="G56" s="211" t="s">
        <v>40</v>
      </c>
      <c r="H56" s="211" t="s">
        <v>40</v>
      </c>
      <c r="I56" s="59">
        <v>0.31</v>
      </c>
      <c r="J56" s="59">
        <v>0.32</v>
      </c>
      <c r="K56" s="59">
        <v>11.67</v>
      </c>
      <c r="L56" s="59">
        <v>33.31</v>
      </c>
      <c r="M56" s="59">
        <v>31</v>
      </c>
      <c r="N56" s="59">
        <v>357.4</v>
      </c>
      <c r="O56" s="59">
        <v>0</v>
      </c>
      <c r="P56" s="59">
        <v>1.84</v>
      </c>
      <c r="Q56" s="59">
        <v>37.04</v>
      </c>
      <c r="R56" s="197"/>
      <c r="S56" s="197"/>
      <c r="T56" s="197"/>
      <c r="U56" s="197"/>
    </row>
    <row r="57" spans="1:21" s="12" customFormat="1" x14ac:dyDescent="0.25">
      <c r="A57" s="200" t="s">
        <v>2696</v>
      </c>
      <c r="B57" s="59">
        <v>5.0599999999999996</v>
      </c>
      <c r="C57" s="59">
        <v>100.78</v>
      </c>
      <c r="D57" s="59">
        <v>59.68</v>
      </c>
      <c r="E57" s="59">
        <v>19.66</v>
      </c>
      <c r="F57" s="59">
        <v>11.17</v>
      </c>
      <c r="G57" s="59">
        <v>68.37</v>
      </c>
      <c r="H57" s="59">
        <v>22.79</v>
      </c>
      <c r="I57" s="59">
        <v>0.25</v>
      </c>
      <c r="J57" s="59">
        <v>7.0000000000000007E-2</v>
      </c>
      <c r="K57" s="59">
        <v>129.19</v>
      </c>
      <c r="L57" s="59">
        <v>31.39</v>
      </c>
      <c r="M57" s="59">
        <v>34</v>
      </c>
      <c r="N57" s="59">
        <v>352.4</v>
      </c>
      <c r="O57" s="59">
        <v>0</v>
      </c>
      <c r="P57" s="59">
        <v>1.77</v>
      </c>
      <c r="Q57" s="59">
        <v>35.229999999999997</v>
      </c>
      <c r="R57" s="197"/>
      <c r="S57" s="197"/>
      <c r="T57" s="197"/>
      <c r="U57" s="197"/>
    </row>
    <row r="58" spans="1:21" s="12" customFormat="1" x14ac:dyDescent="0.25">
      <c r="A58" s="200" t="s">
        <v>2697</v>
      </c>
      <c r="B58" s="59">
        <v>8.61</v>
      </c>
      <c r="C58" s="59">
        <v>97.07</v>
      </c>
      <c r="D58" s="59">
        <v>60.48</v>
      </c>
      <c r="E58" s="59">
        <v>13.33</v>
      </c>
      <c r="F58" s="59">
        <v>6.51</v>
      </c>
      <c r="G58" s="59">
        <v>115.71</v>
      </c>
      <c r="H58" s="59">
        <v>52.59</v>
      </c>
      <c r="I58" s="59">
        <v>0.26</v>
      </c>
      <c r="J58" s="59">
        <v>0.23</v>
      </c>
      <c r="K58" s="59">
        <v>149.15</v>
      </c>
      <c r="L58" s="59">
        <v>32.130000000000003</v>
      </c>
      <c r="M58" s="59">
        <v>32</v>
      </c>
      <c r="N58" s="59">
        <v>367.6</v>
      </c>
      <c r="O58" s="59">
        <v>0</v>
      </c>
      <c r="P58" s="59">
        <v>1.77</v>
      </c>
      <c r="Q58" s="59">
        <v>35.69</v>
      </c>
      <c r="R58" s="197"/>
      <c r="S58" s="197"/>
      <c r="T58" s="197"/>
      <c r="U58" s="197"/>
    </row>
    <row r="59" spans="1:21" s="12" customFormat="1" x14ac:dyDescent="0.25">
      <c r="A59" s="200" t="s">
        <v>2698</v>
      </c>
      <c r="B59" s="59">
        <v>6.6</v>
      </c>
      <c r="C59" s="59">
        <v>105.48</v>
      </c>
      <c r="D59" s="59">
        <v>63.5</v>
      </c>
      <c r="E59" s="59">
        <v>11.11</v>
      </c>
      <c r="F59" s="59">
        <v>7.24</v>
      </c>
      <c r="G59" s="59">
        <v>115.71</v>
      </c>
      <c r="H59" s="59">
        <v>52.59</v>
      </c>
      <c r="I59" s="59">
        <v>0.27</v>
      </c>
      <c r="J59" s="59">
        <v>0.74</v>
      </c>
      <c r="K59" s="59">
        <v>163.92</v>
      </c>
      <c r="L59" s="59">
        <v>30.57</v>
      </c>
      <c r="M59" s="59">
        <v>34</v>
      </c>
      <c r="N59" s="59">
        <v>340.4</v>
      </c>
      <c r="O59" s="59">
        <v>0</v>
      </c>
      <c r="P59" s="59">
        <v>1.7</v>
      </c>
      <c r="Q59" s="59">
        <v>34.270000000000003</v>
      </c>
      <c r="R59" s="197"/>
      <c r="S59" s="197"/>
      <c r="T59" s="197"/>
      <c r="U59" s="197"/>
    </row>
    <row r="60" spans="1:21" s="12" customFormat="1" x14ac:dyDescent="0.25">
      <c r="A60" s="200" t="s">
        <v>2699</v>
      </c>
      <c r="B60" s="59">
        <v>6.12</v>
      </c>
      <c r="C60" s="59">
        <v>98.75</v>
      </c>
      <c r="D60" s="59">
        <v>59.4</v>
      </c>
      <c r="E60" s="59">
        <v>15.18</v>
      </c>
      <c r="F60" s="59">
        <v>12.24</v>
      </c>
      <c r="G60" s="59">
        <v>166.32</v>
      </c>
      <c r="H60" s="59">
        <v>52.59</v>
      </c>
      <c r="I60" s="59">
        <v>0.28999999999999998</v>
      </c>
      <c r="J60" s="59">
        <v>0.3</v>
      </c>
      <c r="K60" s="59">
        <v>89.27</v>
      </c>
      <c r="L60" s="59">
        <v>31.2</v>
      </c>
      <c r="M60" s="59">
        <v>34</v>
      </c>
      <c r="N60" s="59">
        <v>332.1</v>
      </c>
      <c r="O60" s="59">
        <v>0</v>
      </c>
      <c r="P60" s="59">
        <v>1.65</v>
      </c>
      <c r="Q60" s="214" t="s">
        <v>47</v>
      </c>
      <c r="R60" s="197"/>
      <c r="S60" s="197"/>
      <c r="T60" s="197"/>
      <c r="U60" s="197"/>
    </row>
    <row r="61" spans="1:21" s="12" customFormat="1" x14ac:dyDescent="0.25">
      <c r="A61" s="200" t="s">
        <v>2700</v>
      </c>
      <c r="B61" s="216" t="s">
        <v>32</v>
      </c>
      <c r="C61" s="216" t="s">
        <v>32</v>
      </c>
      <c r="D61" s="216" t="s">
        <v>32</v>
      </c>
      <c r="E61" s="216" t="s">
        <v>32</v>
      </c>
      <c r="F61" s="216" t="s">
        <v>32</v>
      </c>
      <c r="G61" s="216" t="s">
        <v>32</v>
      </c>
      <c r="H61" s="216" t="s">
        <v>32</v>
      </c>
      <c r="I61" s="216" t="s">
        <v>32</v>
      </c>
      <c r="J61" s="216" t="s">
        <v>32</v>
      </c>
      <c r="K61" s="216" t="s">
        <v>32</v>
      </c>
      <c r="L61" s="216" t="s">
        <v>32</v>
      </c>
      <c r="M61" s="216" t="s">
        <v>32</v>
      </c>
      <c r="N61" s="216" t="s">
        <v>32</v>
      </c>
      <c r="O61" s="216" t="s">
        <v>32</v>
      </c>
      <c r="P61" s="216" t="s">
        <v>32</v>
      </c>
      <c r="Q61" s="216" t="s">
        <v>32</v>
      </c>
      <c r="R61" s="197"/>
      <c r="S61" s="197"/>
      <c r="T61" s="197"/>
      <c r="U61" s="197"/>
    </row>
    <row r="62" spans="1:21" s="12" customFormat="1" x14ac:dyDescent="0.25">
      <c r="A62" s="200" t="s">
        <v>2701</v>
      </c>
      <c r="B62" s="216" t="s">
        <v>32</v>
      </c>
      <c r="C62" s="216" t="s">
        <v>32</v>
      </c>
      <c r="D62" s="216" t="s">
        <v>32</v>
      </c>
      <c r="E62" s="216" t="s">
        <v>32</v>
      </c>
      <c r="F62" s="216" t="s">
        <v>32</v>
      </c>
      <c r="G62" s="216" t="s">
        <v>32</v>
      </c>
      <c r="H62" s="216" t="s">
        <v>32</v>
      </c>
      <c r="I62" s="216" t="s">
        <v>32</v>
      </c>
      <c r="J62" s="216" t="s">
        <v>32</v>
      </c>
      <c r="K62" s="216" t="s">
        <v>32</v>
      </c>
      <c r="L62" s="216" t="s">
        <v>32</v>
      </c>
      <c r="M62" s="216" t="s">
        <v>32</v>
      </c>
      <c r="N62" s="216" t="s">
        <v>32</v>
      </c>
      <c r="O62" s="216" t="s">
        <v>32</v>
      </c>
      <c r="P62" s="216" t="s">
        <v>32</v>
      </c>
      <c r="Q62" s="216" t="s">
        <v>32</v>
      </c>
      <c r="R62" s="197"/>
      <c r="S62" s="197"/>
      <c r="T62" s="197"/>
      <c r="U62" s="197"/>
    </row>
    <row r="63" spans="1:21" s="12" customFormat="1" x14ac:dyDescent="0.25">
      <c r="A63" s="200" t="s">
        <v>2702</v>
      </c>
      <c r="B63" s="216" t="s">
        <v>32</v>
      </c>
      <c r="C63" s="216" t="s">
        <v>32</v>
      </c>
      <c r="D63" s="216" t="s">
        <v>32</v>
      </c>
      <c r="E63" s="216" t="s">
        <v>32</v>
      </c>
      <c r="F63" s="216" t="s">
        <v>32</v>
      </c>
      <c r="G63" s="216" t="s">
        <v>32</v>
      </c>
      <c r="H63" s="216" t="s">
        <v>32</v>
      </c>
      <c r="I63" s="216" t="s">
        <v>32</v>
      </c>
      <c r="J63" s="216" t="s">
        <v>32</v>
      </c>
      <c r="K63" s="216" t="s">
        <v>32</v>
      </c>
      <c r="L63" s="216" t="s">
        <v>32</v>
      </c>
      <c r="M63" s="216" t="s">
        <v>32</v>
      </c>
      <c r="N63" s="216" t="s">
        <v>32</v>
      </c>
      <c r="O63" s="216" t="s">
        <v>32</v>
      </c>
      <c r="P63" s="216" t="s">
        <v>32</v>
      </c>
      <c r="Q63" s="216" t="s">
        <v>32</v>
      </c>
      <c r="R63" s="197"/>
      <c r="S63" s="197"/>
      <c r="T63" s="197"/>
      <c r="U63" s="197"/>
    </row>
    <row r="64" spans="1:21" s="12" customFormat="1" x14ac:dyDescent="0.25">
      <c r="A64" s="200" t="s">
        <v>2703</v>
      </c>
      <c r="B64" s="216" t="s">
        <v>32</v>
      </c>
      <c r="C64" s="216" t="s">
        <v>32</v>
      </c>
      <c r="D64" s="216" t="s">
        <v>32</v>
      </c>
      <c r="E64" s="216" t="s">
        <v>32</v>
      </c>
      <c r="F64" s="216" t="s">
        <v>32</v>
      </c>
      <c r="G64" s="216" t="s">
        <v>32</v>
      </c>
      <c r="H64" s="216" t="s">
        <v>32</v>
      </c>
      <c r="I64" s="216" t="s">
        <v>32</v>
      </c>
      <c r="J64" s="216" t="s">
        <v>32</v>
      </c>
      <c r="K64" s="216" t="s">
        <v>32</v>
      </c>
      <c r="L64" s="216" t="s">
        <v>32</v>
      </c>
      <c r="M64" s="216" t="s">
        <v>32</v>
      </c>
      <c r="N64" s="216" t="s">
        <v>32</v>
      </c>
      <c r="O64" s="216" t="s">
        <v>32</v>
      </c>
      <c r="P64" s="216" t="s">
        <v>32</v>
      </c>
      <c r="Q64" s="216" t="s">
        <v>32</v>
      </c>
      <c r="R64" s="197"/>
      <c r="S64" s="197"/>
      <c r="T64" s="197"/>
      <c r="U64" s="197"/>
    </row>
    <row r="65" spans="1:21" s="12" customFormat="1" x14ac:dyDescent="0.25">
      <c r="A65" s="200" t="s">
        <v>2704</v>
      </c>
      <c r="B65" s="216" t="s">
        <v>32</v>
      </c>
      <c r="C65" s="216" t="s">
        <v>32</v>
      </c>
      <c r="D65" s="216" t="s">
        <v>32</v>
      </c>
      <c r="E65" s="216" t="s">
        <v>32</v>
      </c>
      <c r="F65" s="216" t="s">
        <v>32</v>
      </c>
      <c r="G65" s="216" t="s">
        <v>32</v>
      </c>
      <c r="H65" s="216" t="s">
        <v>32</v>
      </c>
      <c r="I65" s="216" t="s">
        <v>32</v>
      </c>
      <c r="J65" s="216" t="s">
        <v>32</v>
      </c>
      <c r="K65" s="216" t="s">
        <v>32</v>
      </c>
      <c r="L65" s="216" t="s">
        <v>32</v>
      </c>
      <c r="M65" s="216" t="s">
        <v>32</v>
      </c>
      <c r="N65" s="216" t="s">
        <v>32</v>
      </c>
      <c r="O65" s="216" t="s">
        <v>32</v>
      </c>
      <c r="P65" s="216" t="s">
        <v>32</v>
      </c>
      <c r="Q65" s="216" t="s">
        <v>32</v>
      </c>
      <c r="R65" s="197"/>
      <c r="S65" s="197"/>
      <c r="T65" s="197"/>
      <c r="U65" s="197"/>
    </row>
    <row r="66" spans="1:21" s="12" customFormat="1" x14ac:dyDescent="0.25">
      <c r="A66" s="200" t="s">
        <v>2705</v>
      </c>
      <c r="B66" s="216" t="s">
        <v>32</v>
      </c>
      <c r="C66" s="216" t="s">
        <v>32</v>
      </c>
      <c r="D66" s="216" t="s">
        <v>32</v>
      </c>
      <c r="E66" s="216" t="s">
        <v>32</v>
      </c>
      <c r="F66" s="216" t="s">
        <v>32</v>
      </c>
      <c r="G66" s="216" t="s">
        <v>32</v>
      </c>
      <c r="H66" s="216" t="s">
        <v>32</v>
      </c>
      <c r="I66" s="216" t="s">
        <v>32</v>
      </c>
      <c r="J66" s="216" t="s">
        <v>32</v>
      </c>
      <c r="K66" s="216" t="s">
        <v>32</v>
      </c>
      <c r="L66" s="216" t="s">
        <v>32</v>
      </c>
      <c r="M66" s="216" t="s">
        <v>32</v>
      </c>
      <c r="N66" s="216" t="s">
        <v>32</v>
      </c>
      <c r="O66" s="216" t="s">
        <v>32</v>
      </c>
      <c r="P66" s="216" t="s">
        <v>32</v>
      </c>
      <c r="Q66" s="216" t="s">
        <v>32</v>
      </c>
      <c r="R66" s="197"/>
      <c r="S66" s="197"/>
      <c r="T66" s="197"/>
      <c r="U66" s="197"/>
    </row>
    <row r="67" spans="1:21" s="12" customFormat="1" x14ac:dyDescent="0.25">
      <c r="A67" s="200" t="s">
        <v>2706</v>
      </c>
      <c r="B67" s="216" t="s">
        <v>32</v>
      </c>
      <c r="C67" s="216" t="s">
        <v>32</v>
      </c>
      <c r="D67" s="216" t="s">
        <v>32</v>
      </c>
      <c r="E67" s="216" t="s">
        <v>32</v>
      </c>
      <c r="F67" s="216" t="s">
        <v>32</v>
      </c>
      <c r="G67" s="216" t="s">
        <v>32</v>
      </c>
      <c r="H67" s="216" t="s">
        <v>32</v>
      </c>
      <c r="I67" s="216" t="s">
        <v>32</v>
      </c>
      <c r="J67" s="216" t="s">
        <v>32</v>
      </c>
      <c r="K67" s="216" t="s">
        <v>32</v>
      </c>
      <c r="L67" s="216" t="s">
        <v>32</v>
      </c>
      <c r="M67" s="216" t="s">
        <v>32</v>
      </c>
      <c r="N67" s="216" t="s">
        <v>32</v>
      </c>
      <c r="O67" s="216" t="s">
        <v>32</v>
      </c>
      <c r="P67" s="216" t="s">
        <v>32</v>
      </c>
      <c r="Q67" s="216" t="s">
        <v>32</v>
      </c>
      <c r="R67" s="197"/>
      <c r="S67" s="197"/>
      <c r="T67" s="197"/>
      <c r="U67" s="197"/>
    </row>
    <row r="68" spans="1:21" s="12" customFormat="1" x14ac:dyDescent="0.25">
      <c r="A68" s="200" t="s">
        <v>2707</v>
      </c>
      <c r="B68" s="216" t="s">
        <v>32</v>
      </c>
      <c r="C68" s="216" t="s">
        <v>32</v>
      </c>
      <c r="D68" s="216" t="s">
        <v>32</v>
      </c>
      <c r="E68" s="216" t="s">
        <v>32</v>
      </c>
      <c r="F68" s="216" t="s">
        <v>32</v>
      </c>
      <c r="G68" s="216" t="s">
        <v>32</v>
      </c>
      <c r="H68" s="216" t="s">
        <v>32</v>
      </c>
      <c r="I68" s="216" t="s">
        <v>32</v>
      </c>
      <c r="J68" s="216" t="s">
        <v>32</v>
      </c>
      <c r="K68" s="216" t="s">
        <v>32</v>
      </c>
      <c r="L68" s="216" t="s">
        <v>32</v>
      </c>
      <c r="M68" s="216" t="s">
        <v>32</v>
      </c>
      <c r="N68" s="216" t="s">
        <v>32</v>
      </c>
      <c r="O68" s="216" t="s">
        <v>32</v>
      </c>
      <c r="P68" s="216" t="s">
        <v>32</v>
      </c>
      <c r="Q68" s="216" t="s">
        <v>32</v>
      </c>
      <c r="R68" s="197"/>
      <c r="S68" s="197"/>
      <c r="T68" s="197"/>
      <c r="U68" s="197"/>
    </row>
    <row r="69" spans="1:21" s="12" customFormat="1" x14ac:dyDescent="0.25">
      <c r="A69" s="200" t="s">
        <v>2708</v>
      </c>
      <c r="B69" s="216" t="s">
        <v>32</v>
      </c>
      <c r="C69" s="216" t="s">
        <v>32</v>
      </c>
      <c r="D69" s="216" t="s">
        <v>32</v>
      </c>
      <c r="E69" s="216" t="s">
        <v>32</v>
      </c>
      <c r="F69" s="216" t="s">
        <v>32</v>
      </c>
      <c r="G69" s="216" t="s">
        <v>32</v>
      </c>
      <c r="H69" s="216" t="s">
        <v>32</v>
      </c>
      <c r="I69" s="216" t="s">
        <v>32</v>
      </c>
      <c r="J69" s="216" t="s">
        <v>32</v>
      </c>
      <c r="K69" s="216" t="s">
        <v>32</v>
      </c>
      <c r="L69" s="216" t="s">
        <v>32</v>
      </c>
      <c r="M69" s="216" t="s">
        <v>32</v>
      </c>
      <c r="N69" s="216" t="s">
        <v>32</v>
      </c>
      <c r="O69" s="216" t="s">
        <v>32</v>
      </c>
      <c r="P69" s="216" t="s">
        <v>32</v>
      </c>
      <c r="Q69" s="216" t="s">
        <v>32</v>
      </c>
      <c r="R69" s="197"/>
      <c r="S69" s="197"/>
      <c r="T69" s="197"/>
      <c r="U69" s="197"/>
    </row>
    <row r="70" spans="1:21" s="12" customFormat="1" x14ac:dyDescent="0.25">
      <c r="A70" s="200" t="s">
        <v>2709</v>
      </c>
      <c r="B70" s="217" t="s">
        <v>49</v>
      </c>
      <c r="C70" s="217" t="s">
        <v>49</v>
      </c>
      <c r="D70" s="217" t="s">
        <v>49</v>
      </c>
      <c r="E70" s="59">
        <v>39.520000000000003</v>
      </c>
      <c r="F70" s="59">
        <v>4.6500000000000004</v>
      </c>
      <c r="G70" s="59">
        <v>101.36</v>
      </c>
      <c r="H70" s="59">
        <v>45.44</v>
      </c>
      <c r="I70" s="217" t="s">
        <v>49</v>
      </c>
      <c r="J70" s="59">
        <v>0.39</v>
      </c>
      <c r="K70" s="59">
        <v>351</v>
      </c>
      <c r="L70" s="59">
        <v>31.57</v>
      </c>
      <c r="M70" s="59">
        <v>28</v>
      </c>
      <c r="N70" s="59">
        <v>150.80000000000001</v>
      </c>
      <c r="O70" s="59">
        <v>0</v>
      </c>
      <c r="P70" s="59">
        <v>1.1299999999999999</v>
      </c>
      <c r="Q70" s="217" t="s">
        <v>49</v>
      </c>
      <c r="R70" s="197"/>
      <c r="S70" s="197"/>
      <c r="T70" s="197"/>
      <c r="U70" s="197"/>
    </row>
    <row r="71" spans="1:21" s="12" customFormat="1" x14ac:dyDescent="0.25">
      <c r="A71" s="200" t="s">
        <v>2710</v>
      </c>
      <c r="B71" s="59">
        <v>4.8600000000000003</v>
      </c>
      <c r="C71" s="59">
        <v>79.8</v>
      </c>
      <c r="D71" s="59">
        <v>47.94</v>
      </c>
      <c r="E71" s="59">
        <v>2.82</v>
      </c>
      <c r="F71" s="59">
        <v>11.88</v>
      </c>
      <c r="G71" s="59">
        <v>98.79</v>
      </c>
      <c r="H71" s="59">
        <v>42.98</v>
      </c>
      <c r="I71" s="217" t="s">
        <v>49</v>
      </c>
      <c r="J71" s="59">
        <v>0.4</v>
      </c>
      <c r="K71" s="59">
        <v>13.91</v>
      </c>
      <c r="L71" s="59">
        <v>30.86</v>
      </c>
      <c r="M71" s="59">
        <v>29</v>
      </c>
      <c r="N71" s="59">
        <v>160.30000000000001</v>
      </c>
      <c r="O71" s="59">
        <v>0</v>
      </c>
      <c r="P71" s="59">
        <v>1.1000000000000001</v>
      </c>
      <c r="Q71" s="217" t="s">
        <v>49</v>
      </c>
      <c r="R71" s="197"/>
      <c r="S71" s="197"/>
      <c r="T71" s="197"/>
      <c r="U71" s="197"/>
    </row>
    <row r="72" spans="1:21" s="12" customFormat="1" x14ac:dyDescent="0.25">
      <c r="A72" s="200" t="s">
        <v>2711</v>
      </c>
      <c r="B72" s="59">
        <v>3.83</v>
      </c>
      <c r="C72" s="59">
        <v>82.6</v>
      </c>
      <c r="D72" s="59">
        <v>48.65</v>
      </c>
      <c r="E72" s="59">
        <v>3.39</v>
      </c>
      <c r="F72" s="59">
        <v>13.25</v>
      </c>
      <c r="G72" s="59">
        <v>98.79</v>
      </c>
      <c r="H72" s="59">
        <v>42.98</v>
      </c>
      <c r="I72" s="217" t="s">
        <v>49</v>
      </c>
      <c r="J72" s="59">
        <v>0.44</v>
      </c>
      <c r="K72" s="59">
        <v>30.44</v>
      </c>
      <c r="L72" s="59">
        <v>30.24</v>
      </c>
      <c r="M72" s="59">
        <v>31</v>
      </c>
      <c r="N72" s="59">
        <v>97.4</v>
      </c>
      <c r="O72" s="59">
        <v>0</v>
      </c>
      <c r="P72" s="59">
        <v>1.01</v>
      </c>
      <c r="Q72" s="59">
        <v>61.21</v>
      </c>
      <c r="R72" s="197"/>
      <c r="S72" s="197"/>
      <c r="T72" s="197"/>
      <c r="U72" s="197"/>
    </row>
    <row r="73" spans="1:21" s="12" customFormat="1" x14ac:dyDescent="0.25">
      <c r="A73" s="200" t="s">
        <v>2712</v>
      </c>
      <c r="B73" s="59">
        <v>1.57</v>
      </c>
      <c r="C73" s="59">
        <v>81.040000000000006</v>
      </c>
      <c r="D73" s="59">
        <v>45.98</v>
      </c>
      <c r="E73" s="59">
        <v>3.7</v>
      </c>
      <c r="F73" s="59">
        <v>15.05</v>
      </c>
      <c r="G73" s="59">
        <v>82.95</v>
      </c>
      <c r="H73" s="59">
        <v>41.32</v>
      </c>
      <c r="I73" s="59">
        <v>0.01</v>
      </c>
      <c r="J73" s="59">
        <v>0.34</v>
      </c>
      <c r="K73" s="59">
        <v>103.96</v>
      </c>
      <c r="L73" s="59">
        <v>29.37</v>
      </c>
      <c r="M73" s="59">
        <v>32</v>
      </c>
      <c r="N73" s="59">
        <v>60.7</v>
      </c>
      <c r="O73" s="59">
        <v>0</v>
      </c>
      <c r="P73" s="59">
        <v>0.83</v>
      </c>
      <c r="Q73" s="59">
        <v>52.2</v>
      </c>
      <c r="R73" s="197"/>
      <c r="S73" s="197"/>
      <c r="T73" s="197"/>
      <c r="U73" s="197"/>
    </row>
    <row r="74" spans="1:21" s="12" customFormat="1" x14ac:dyDescent="0.25">
      <c r="A74" s="200" t="s">
        <v>2713</v>
      </c>
      <c r="B74" s="59">
        <v>3.31</v>
      </c>
      <c r="C74" s="59">
        <v>75.13</v>
      </c>
      <c r="D74" s="59">
        <v>44.12</v>
      </c>
      <c r="E74" s="59">
        <v>1.84</v>
      </c>
      <c r="F74" s="59">
        <v>13.46</v>
      </c>
      <c r="G74" s="59">
        <v>71.69</v>
      </c>
      <c r="H74" s="59">
        <v>39.24</v>
      </c>
      <c r="I74" s="59">
        <v>0.31</v>
      </c>
      <c r="J74" s="59">
        <v>0.11</v>
      </c>
      <c r="K74" s="59">
        <v>15.18</v>
      </c>
      <c r="L74" s="59">
        <v>29.36</v>
      </c>
      <c r="M74" s="59">
        <v>31</v>
      </c>
      <c r="N74" s="59">
        <v>51.9</v>
      </c>
      <c r="O74" s="59">
        <v>0</v>
      </c>
      <c r="P74" s="59">
        <v>0.85</v>
      </c>
      <c r="Q74" s="59">
        <v>47.08</v>
      </c>
      <c r="R74" s="197"/>
      <c r="S74" s="197"/>
      <c r="T74" s="197"/>
      <c r="U74" s="197"/>
    </row>
    <row r="75" spans="1:21" s="12" customFormat="1" x14ac:dyDescent="0.25">
      <c r="A75" s="200" t="s">
        <v>2714</v>
      </c>
      <c r="B75" s="59">
        <v>1.75</v>
      </c>
      <c r="C75" s="59">
        <v>80.41</v>
      </c>
      <c r="D75" s="59">
        <v>45.78</v>
      </c>
      <c r="E75" s="59">
        <v>0.28000000000000003</v>
      </c>
      <c r="F75" s="59">
        <v>13.47</v>
      </c>
      <c r="G75" s="59">
        <v>71.69</v>
      </c>
      <c r="H75" s="59">
        <v>39.24</v>
      </c>
      <c r="I75" s="59">
        <v>0.26</v>
      </c>
      <c r="J75" s="59">
        <v>0.01</v>
      </c>
      <c r="K75" s="59">
        <v>62.43</v>
      </c>
      <c r="L75" s="59">
        <v>29.07</v>
      </c>
      <c r="M75" s="59">
        <v>32</v>
      </c>
      <c r="N75" s="59">
        <v>44.7</v>
      </c>
      <c r="O75" s="59">
        <v>0</v>
      </c>
      <c r="P75" s="59">
        <v>0.71</v>
      </c>
      <c r="Q75" s="59">
        <v>37.840000000000003</v>
      </c>
      <c r="R75" s="197"/>
      <c r="S75" s="197"/>
      <c r="T75" s="197"/>
      <c r="U75" s="197"/>
    </row>
    <row r="76" spans="1:21" s="12" customFormat="1" x14ac:dyDescent="0.25">
      <c r="A76" s="200" t="s">
        <v>2715</v>
      </c>
      <c r="B76" s="59">
        <v>1.58</v>
      </c>
      <c r="C76" s="59">
        <v>77.400000000000006</v>
      </c>
      <c r="D76" s="59">
        <v>43.99</v>
      </c>
      <c r="E76" s="59">
        <v>0.01</v>
      </c>
      <c r="F76" s="59">
        <v>8.08</v>
      </c>
      <c r="G76" s="59">
        <v>71.69</v>
      </c>
      <c r="H76" s="59">
        <v>39.24</v>
      </c>
      <c r="I76" s="59">
        <v>0.24</v>
      </c>
      <c r="J76" s="59">
        <v>0.01</v>
      </c>
      <c r="K76" s="59">
        <v>100.22</v>
      </c>
      <c r="L76" s="59">
        <v>28.52</v>
      </c>
      <c r="M76" s="59">
        <v>34</v>
      </c>
      <c r="N76" s="59">
        <v>37.6</v>
      </c>
      <c r="O76" s="59">
        <v>0</v>
      </c>
      <c r="P76" s="59">
        <v>0.71</v>
      </c>
      <c r="Q76" s="59">
        <v>36.869999999999997</v>
      </c>
      <c r="R76" s="197"/>
      <c r="S76" s="197"/>
      <c r="T76" s="197"/>
      <c r="U76" s="197"/>
    </row>
    <row r="77" spans="1:21" s="12" customFormat="1" x14ac:dyDescent="0.25">
      <c r="A77" s="200" t="s">
        <v>2716</v>
      </c>
      <c r="B77" s="59">
        <v>5.86</v>
      </c>
      <c r="C77" s="59">
        <v>76.2</v>
      </c>
      <c r="D77" s="59">
        <v>46.76</v>
      </c>
      <c r="E77" s="59">
        <v>2.56</v>
      </c>
      <c r="F77" s="59">
        <v>16.39</v>
      </c>
      <c r="G77" s="59">
        <v>64.48</v>
      </c>
      <c r="H77" s="59">
        <v>36.590000000000003</v>
      </c>
      <c r="I77" s="59">
        <v>0.23</v>
      </c>
      <c r="J77" s="59">
        <v>0.09</v>
      </c>
      <c r="K77" s="59">
        <v>339.3</v>
      </c>
      <c r="L77" s="59">
        <v>27.79</v>
      </c>
      <c r="M77" s="59">
        <v>37</v>
      </c>
      <c r="N77" s="59">
        <v>31.4</v>
      </c>
      <c r="O77" s="59">
        <v>0</v>
      </c>
      <c r="P77" s="59">
        <v>0.71</v>
      </c>
      <c r="Q77" s="59">
        <v>32.97</v>
      </c>
      <c r="R77" s="197"/>
      <c r="S77" s="197"/>
      <c r="T77" s="197"/>
      <c r="U77" s="197"/>
    </row>
    <row r="78" spans="1:21" s="12" customFormat="1" x14ac:dyDescent="0.25">
      <c r="A78" s="200" t="s">
        <v>2717</v>
      </c>
      <c r="B78" s="59">
        <v>22.67</v>
      </c>
      <c r="C78" s="59">
        <v>101.81</v>
      </c>
      <c r="D78" s="59">
        <v>74.37</v>
      </c>
      <c r="E78" s="59">
        <v>3.72</v>
      </c>
      <c r="F78" s="59">
        <v>1.75</v>
      </c>
      <c r="G78" s="59">
        <v>59.12</v>
      </c>
      <c r="H78" s="59">
        <v>33.28</v>
      </c>
      <c r="I78" s="59">
        <v>0.21</v>
      </c>
      <c r="J78" s="59">
        <v>0.05</v>
      </c>
      <c r="K78" s="59">
        <v>137.33000000000001</v>
      </c>
      <c r="L78" s="59">
        <v>26.5</v>
      </c>
      <c r="M78" s="59">
        <v>45</v>
      </c>
      <c r="N78" s="59">
        <v>26.9</v>
      </c>
      <c r="O78" s="59">
        <v>0</v>
      </c>
      <c r="P78" s="59">
        <v>1.1399999999999999</v>
      </c>
      <c r="Q78" s="59">
        <v>25.97</v>
      </c>
      <c r="R78" s="197"/>
      <c r="S78" s="197"/>
      <c r="T78" s="197"/>
      <c r="U78" s="197"/>
    </row>
    <row r="79" spans="1:21" s="12" customFormat="1" x14ac:dyDescent="0.25">
      <c r="A79" s="200" t="s">
        <v>2718</v>
      </c>
      <c r="B79" s="59">
        <v>28.14</v>
      </c>
      <c r="C79" s="59">
        <v>112.37</v>
      </c>
      <c r="D79" s="59">
        <v>84.58</v>
      </c>
      <c r="E79" s="59">
        <v>3.1</v>
      </c>
      <c r="F79" s="59">
        <v>0.56999999999999995</v>
      </c>
      <c r="G79" s="59">
        <v>59.12</v>
      </c>
      <c r="H79" s="59">
        <v>33.28</v>
      </c>
      <c r="I79" s="59">
        <v>0.24</v>
      </c>
      <c r="J79" s="59">
        <v>0.04</v>
      </c>
      <c r="K79" s="59">
        <v>95.88</v>
      </c>
      <c r="L79" s="59">
        <v>25.34</v>
      </c>
      <c r="M79" s="59">
        <v>50</v>
      </c>
      <c r="N79" s="59">
        <v>25</v>
      </c>
      <c r="O79" s="59">
        <v>0</v>
      </c>
      <c r="P79" s="59">
        <v>1.19</v>
      </c>
      <c r="Q79" s="59">
        <v>25.33</v>
      </c>
      <c r="R79" s="197"/>
      <c r="S79" s="197"/>
      <c r="T79" s="197"/>
      <c r="U79" s="197"/>
    </row>
    <row r="80" spans="1:21" s="12" customFormat="1" x14ac:dyDescent="0.25">
      <c r="A80" s="200" t="s">
        <v>2719</v>
      </c>
      <c r="B80" s="59">
        <v>27.22</v>
      </c>
      <c r="C80" s="59">
        <v>100.22</v>
      </c>
      <c r="D80" s="59">
        <v>77.14</v>
      </c>
      <c r="E80" s="59">
        <v>2.66</v>
      </c>
      <c r="F80" s="59">
        <v>0.12</v>
      </c>
      <c r="G80" s="59">
        <v>59.12</v>
      </c>
      <c r="H80" s="59">
        <v>33.28</v>
      </c>
      <c r="I80" s="59">
        <v>0.33</v>
      </c>
      <c r="J80" s="59">
        <v>7.0000000000000007E-2</v>
      </c>
      <c r="K80" s="59">
        <v>37.54</v>
      </c>
      <c r="L80" s="59">
        <v>24.5</v>
      </c>
      <c r="M80" s="59">
        <v>55</v>
      </c>
      <c r="N80" s="59">
        <v>24.6</v>
      </c>
      <c r="O80" s="59">
        <v>0</v>
      </c>
      <c r="P80" s="59">
        <v>1.43</v>
      </c>
      <c r="Q80" s="59">
        <v>26.69</v>
      </c>
      <c r="R80" s="197"/>
      <c r="S80" s="197"/>
      <c r="T80" s="197"/>
      <c r="U80" s="197"/>
    </row>
    <row r="81" spans="1:26" s="12" customFormat="1" x14ac:dyDescent="0.25">
      <c r="A81" s="200" t="s">
        <v>2720</v>
      </c>
      <c r="B81" s="59">
        <v>45.68</v>
      </c>
      <c r="C81" s="59">
        <v>121.97</v>
      </c>
      <c r="D81" s="59">
        <v>103.94</v>
      </c>
      <c r="E81" s="59">
        <v>2.4300000000000002</v>
      </c>
      <c r="F81" s="59">
        <v>7.0000000000000007E-2</v>
      </c>
      <c r="G81" s="59">
        <v>112.04</v>
      </c>
      <c r="H81" s="59">
        <v>36.96</v>
      </c>
      <c r="I81" s="59">
        <v>0.37</v>
      </c>
      <c r="J81" s="59">
        <v>0.05</v>
      </c>
      <c r="K81" s="59">
        <v>127.97</v>
      </c>
      <c r="L81" s="59">
        <v>23.98</v>
      </c>
      <c r="M81" s="59">
        <v>56</v>
      </c>
      <c r="N81" s="59">
        <v>24.4</v>
      </c>
      <c r="O81" s="59">
        <v>0</v>
      </c>
      <c r="P81" s="59">
        <v>1.35</v>
      </c>
      <c r="Q81" s="59">
        <v>26.35</v>
      </c>
      <c r="R81" s="197"/>
      <c r="S81" s="197"/>
      <c r="T81" s="197"/>
      <c r="U81" s="197"/>
    </row>
    <row r="82" spans="1:26" s="12" customFormat="1" x14ac:dyDescent="0.25">
      <c r="A82" s="200" t="s">
        <v>2721</v>
      </c>
      <c r="B82" s="59">
        <v>40.32</v>
      </c>
      <c r="C82" s="59">
        <v>113.58</v>
      </c>
      <c r="D82" s="59">
        <v>95.02</v>
      </c>
      <c r="E82" s="59">
        <v>2.25</v>
      </c>
      <c r="F82" s="59">
        <v>0.59</v>
      </c>
      <c r="G82" s="59">
        <v>148.66999999999999</v>
      </c>
      <c r="H82" s="59">
        <v>41.57</v>
      </c>
      <c r="I82" s="59">
        <v>0.41</v>
      </c>
      <c r="J82" s="59">
        <v>0.21</v>
      </c>
      <c r="K82" s="59">
        <v>110.91</v>
      </c>
      <c r="L82" s="59">
        <v>23.76</v>
      </c>
      <c r="M82" s="59">
        <v>56</v>
      </c>
      <c r="N82" s="59">
        <v>24.2</v>
      </c>
      <c r="O82" s="59">
        <v>0</v>
      </c>
      <c r="P82" s="59">
        <v>1.3</v>
      </c>
      <c r="Q82" s="59">
        <v>28.68</v>
      </c>
      <c r="R82" s="197"/>
      <c r="S82" s="197"/>
      <c r="T82" s="197"/>
      <c r="U82" s="197"/>
    </row>
    <row r="83" spans="1:26" s="12" customFormat="1" x14ac:dyDescent="0.25">
      <c r="A83" s="200" t="s">
        <v>2722</v>
      </c>
      <c r="B83" s="59">
        <v>41.78</v>
      </c>
      <c r="C83" s="59">
        <v>109.69</v>
      </c>
      <c r="D83" s="59">
        <v>94.04</v>
      </c>
      <c r="E83" s="59">
        <v>1.91</v>
      </c>
      <c r="F83" s="59">
        <v>0.19</v>
      </c>
      <c r="G83" s="59">
        <v>148.66999999999999</v>
      </c>
      <c r="H83" s="59">
        <v>41.57</v>
      </c>
      <c r="I83" s="59">
        <v>0.45</v>
      </c>
      <c r="J83" s="59">
        <v>0.1</v>
      </c>
      <c r="K83" s="59">
        <v>120.88</v>
      </c>
      <c r="L83" s="59">
        <v>23.45</v>
      </c>
      <c r="M83" s="59">
        <v>59</v>
      </c>
      <c r="N83" s="59">
        <v>24.4</v>
      </c>
      <c r="O83" s="59">
        <v>0</v>
      </c>
      <c r="P83" s="59">
        <v>1.32</v>
      </c>
      <c r="Q83" s="59">
        <v>29.55</v>
      </c>
      <c r="R83" s="197"/>
      <c r="S83" s="197"/>
      <c r="T83" s="197"/>
      <c r="U83" s="197"/>
    </row>
    <row r="84" spans="1:26" s="12" customFormat="1" x14ac:dyDescent="0.25">
      <c r="A84" s="200" t="s">
        <v>2723</v>
      </c>
      <c r="B84" s="59">
        <v>41.93</v>
      </c>
      <c r="C84" s="59">
        <v>101.46</v>
      </c>
      <c r="D84" s="59">
        <v>89.61</v>
      </c>
      <c r="E84" s="59">
        <v>2.0299999999999998</v>
      </c>
      <c r="F84" s="59">
        <v>0.19</v>
      </c>
      <c r="G84" s="59">
        <v>148.66999999999999</v>
      </c>
      <c r="H84" s="59">
        <v>41.57</v>
      </c>
      <c r="I84" s="59">
        <v>0.47</v>
      </c>
      <c r="J84" s="59">
        <v>0.14000000000000001</v>
      </c>
      <c r="K84" s="59">
        <v>7.59</v>
      </c>
      <c r="L84" s="59">
        <v>22.88</v>
      </c>
      <c r="M84" s="59">
        <v>65</v>
      </c>
      <c r="N84" s="59">
        <v>24.3</v>
      </c>
      <c r="O84" s="59">
        <v>0</v>
      </c>
      <c r="P84" s="59">
        <v>1.39</v>
      </c>
      <c r="Q84" s="59">
        <v>32.51</v>
      </c>
      <c r="R84" s="197"/>
      <c r="S84" s="197"/>
      <c r="T84" s="197"/>
      <c r="U84" s="197"/>
    </row>
    <row r="85" spans="1:26" s="12" customFormat="1" x14ac:dyDescent="0.25">
      <c r="A85" s="200" t="s">
        <v>2724</v>
      </c>
      <c r="B85" s="59">
        <v>43.32</v>
      </c>
      <c r="C85" s="59">
        <v>97.53</v>
      </c>
      <c r="D85" s="59">
        <v>88.56</v>
      </c>
      <c r="E85" s="59">
        <v>2.23</v>
      </c>
      <c r="F85" s="59">
        <v>0.14000000000000001</v>
      </c>
      <c r="G85" s="59">
        <v>152.9</v>
      </c>
      <c r="H85" s="59">
        <v>43.44</v>
      </c>
      <c r="I85" s="59">
        <v>0.52</v>
      </c>
      <c r="J85" s="59">
        <v>0.05</v>
      </c>
      <c r="K85" s="59">
        <v>240.98</v>
      </c>
      <c r="L85" s="59">
        <v>22.64</v>
      </c>
      <c r="M85" s="59">
        <v>67</v>
      </c>
      <c r="N85" s="59">
        <v>24.4</v>
      </c>
      <c r="O85" s="59">
        <v>0</v>
      </c>
      <c r="P85" s="59">
        <v>1.8</v>
      </c>
      <c r="Q85" s="59">
        <v>35.5</v>
      </c>
      <c r="R85" s="197"/>
      <c r="S85" s="197"/>
      <c r="T85" s="197"/>
      <c r="U85" s="197"/>
    </row>
    <row r="86" spans="1:26" s="12" customFormat="1" x14ac:dyDescent="0.25">
      <c r="A86" s="200" t="s">
        <v>2725</v>
      </c>
      <c r="B86" s="59">
        <v>52.4</v>
      </c>
      <c r="C86" s="59">
        <v>110.82</v>
      </c>
      <c r="D86" s="59">
        <v>103.18</v>
      </c>
      <c r="E86" s="59">
        <v>2.39</v>
      </c>
      <c r="F86" s="59">
        <v>0.33</v>
      </c>
      <c r="G86" s="59">
        <v>161.05000000000001</v>
      </c>
      <c r="H86" s="59">
        <v>45.77</v>
      </c>
      <c r="I86" s="59">
        <v>0.55000000000000004</v>
      </c>
      <c r="J86" s="59">
        <v>0.05</v>
      </c>
      <c r="K86" s="59">
        <v>83.9</v>
      </c>
      <c r="L86" s="59">
        <v>22.31</v>
      </c>
      <c r="M86" s="59">
        <v>67</v>
      </c>
      <c r="N86" s="59">
        <v>24.3</v>
      </c>
      <c r="O86" s="59">
        <v>0</v>
      </c>
      <c r="P86" s="59">
        <v>2.04</v>
      </c>
      <c r="Q86" s="59">
        <v>37.25</v>
      </c>
      <c r="R86" s="197"/>
      <c r="S86" s="197"/>
      <c r="T86" s="197"/>
      <c r="U86" s="197"/>
    </row>
    <row r="87" spans="1:26" s="12" customFormat="1" x14ac:dyDescent="0.25">
      <c r="A87" s="200" t="s">
        <v>2726</v>
      </c>
      <c r="B87" s="59">
        <v>65.650000000000006</v>
      </c>
      <c r="C87" s="59">
        <v>124.75</v>
      </c>
      <c r="D87" s="59">
        <v>121.49</v>
      </c>
      <c r="E87" s="59">
        <v>2.59</v>
      </c>
      <c r="F87" s="59">
        <v>0.15</v>
      </c>
      <c r="G87" s="59">
        <v>161.05000000000001</v>
      </c>
      <c r="H87" s="59">
        <v>45.77</v>
      </c>
      <c r="I87" s="59">
        <v>0.6</v>
      </c>
      <c r="J87" s="59">
        <v>0.03</v>
      </c>
      <c r="K87" s="59">
        <v>268.41000000000003</v>
      </c>
      <c r="L87" s="59">
        <v>22.23</v>
      </c>
      <c r="M87" s="59">
        <v>67</v>
      </c>
      <c r="N87" s="59">
        <v>24.3</v>
      </c>
      <c r="O87" s="59">
        <v>0</v>
      </c>
      <c r="P87" s="59">
        <v>2.36</v>
      </c>
      <c r="Q87" s="59">
        <v>39.340000000000003</v>
      </c>
      <c r="R87" s="197"/>
      <c r="S87" s="197"/>
      <c r="T87" s="197"/>
      <c r="U87" s="197"/>
    </row>
    <row r="88" spans="1:26" s="12" customFormat="1" x14ac:dyDescent="0.25">
      <c r="A88" s="200" t="s">
        <v>2727</v>
      </c>
      <c r="B88" s="59">
        <v>79.39</v>
      </c>
      <c r="C88" s="59">
        <v>134.16</v>
      </c>
      <c r="D88" s="59">
        <v>137.71</v>
      </c>
      <c r="E88" s="59">
        <v>2.38</v>
      </c>
      <c r="F88" s="59">
        <v>0.12</v>
      </c>
      <c r="G88" s="59">
        <v>161.05000000000001</v>
      </c>
      <c r="H88" s="59">
        <v>45.77</v>
      </c>
      <c r="I88" s="59">
        <v>0.68</v>
      </c>
      <c r="J88" s="59">
        <v>7.0000000000000007E-2</v>
      </c>
      <c r="K88" s="59">
        <v>336.01</v>
      </c>
      <c r="L88" s="59">
        <v>22.19</v>
      </c>
      <c r="M88" s="59">
        <v>65</v>
      </c>
      <c r="N88" s="59">
        <v>24.2</v>
      </c>
      <c r="O88" s="59">
        <v>0</v>
      </c>
      <c r="P88" s="59">
        <v>2.62</v>
      </c>
      <c r="Q88" s="59">
        <v>40.69</v>
      </c>
      <c r="R88" s="197"/>
      <c r="S88" s="197"/>
      <c r="T88" s="197"/>
      <c r="U88" s="197"/>
    </row>
    <row r="89" spans="1:26" s="12" customFormat="1" x14ac:dyDescent="0.25">
      <c r="A89" s="200" t="s">
        <v>2728</v>
      </c>
      <c r="B89" s="59">
        <v>94.38</v>
      </c>
      <c r="C89" s="59">
        <v>142.81</v>
      </c>
      <c r="D89" s="59">
        <v>154.49</v>
      </c>
      <c r="E89" s="59">
        <v>4.95</v>
      </c>
      <c r="F89" s="59">
        <v>0.23</v>
      </c>
      <c r="G89" s="59">
        <v>202.07</v>
      </c>
      <c r="H89" s="59">
        <v>51.86</v>
      </c>
      <c r="I89" s="59">
        <v>0.78</v>
      </c>
      <c r="J89" s="59">
        <v>0.05</v>
      </c>
      <c r="K89" s="59">
        <v>296.69</v>
      </c>
      <c r="L89" s="59">
        <v>21.95</v>
      </c>
      <c r="M89" s="59">
        <v>67</v>
      </c>
      <c r="N89" s="59">
        <v>24.3</v>
      </c>
      <c r="O89" s="59">
        <v>0</v>
      </c>
      <c r="P89" s="59">
        <v>2.96</v>
      </c>
      <c r="Q89" s="59">
        <v>41.24</v>
      </c>
      <c r="R89" s="197"/>
      <c r="S89" s="197"/>
      <c r="T89" s="197"/>
      <c r="U89" s="197"/>
    </row>
    <row r="90" spans="1:26" s="12" customFormat="1" x14ac:dyDescent="0.25">
      <c r="A90" s="200" t="s">
        <v>2729</v>
      </c>
      <c r="B90" s="59">
        <v>105.88</v>
      </c>
      <c r="C90" s="59">
        <v>148.41</v>
      </c>
      <c r="D90" s="59">
        <v>166.82</v>
      </c>
      <c r="E90" s="59">
        <v>5.41</v>
      </c>
      <c r="F90" s="59">
        <v>0.1</v>
      </c>
      <c r="G90" s="59">
        <v>239.94</v>
      </c>
      <c r="H90" s="59">
        <v>59.46</v>
      </c>
      <c r="I90" s="59">
        <v>0.89</v>
      </c>
      <c r="J90" s="59">
        <v>0.1</v>
      </c>
      <c r="K90" s="59">
        <v>341.27</v>
      </c>
      <c r="L90" s="59">
        <v>21.86</v>
      </c>
      <c r="M90" s="59">
        <v>66</v>
      </c>
      <c r="N90" s="59">
        <v>24.3</v>
      </c>
      <c r="O90" s="59">
        <v>0</v>
      </c>
      <c r="P90" s="59">
        <v>3.3</v>
      </c>
      <c r="Q90" s="59">
        <v>43.01</v>
      </c>
      <c r="R90" s="197"/>
      <c r="S90" s="197"/>
      <c r="T90" s="197"/>
      <c r="U90" s="197"/>
    </row>
    <row r="91" spans="1:26" s="12" customFormat="1" x14ac:dyDescent="0.25">
      <c r="A91" s="200" t="s">
        <v>2730</v>
      </c>
      <c r="B91" s="59">
        <v>131.80000000000001</v>
      </c>
      <c r="C91" s="59">
        <v>163.27000000000001</v>
      </c>
      <c r="D91" s="59">
        <v>195.79</v>
      </c>
      <c r="E91" s="59">
        <v>5.78</v>
      </c>
      <c r="F91" s="209" t="s">
        <v>36</v>
      </c>
      <c r="G91" s="59">
        <v>239.94</v>
      </c>
      <c r="H91" s="59">
        <v>59.46</v>
      </c>
      <c r="I91" s="59">
        <v>0.99</v>
      </c>
      <c r="J91" s="59">
        <v>0.13</v>
      </c>
      <c r="K91" s="59">
        <v>302.97000000000003</v>
      </c>
      <c r="L91" s="59">
        <v>21.56</v>
      </c>
      <c r="M91" s="59">
        <v>66</v>
      </c>
      <c r="N91" s="59">
        <v>24.2</v>
      </c>
      <c r="O91" s="59">
        <v>0</v>
      </c>
      <c r="P91" s="59">
        <v>3.96</v>
      </c>
      <c r="Q91" s="59">
        <v>43.38</v>
      </c>
      <c r="R91" s="197"/>
      <c r="S91" s="197"/>
      <c r="T91" s="197"/>
      <c r="U91" s="197"/>
    </row>
    <row r="92" spans="1:26" s="12" customFormat="1" x14ac:dyDescent="0.25">
      <c r="A92" s="200" t="s">
        <v>2731</v>
      </c>
      <c r="B92" s="59">
        <v>140.53</v>
      </c>
      <c r="C92" s="59">
        <v>153.94999999999999</v>
      </c>
      <c r="D92" s="59">
        <v>197.66</v>
      </c>
      <c r="E92" s="59">
        <v>5.79</v>
      </c>
      <c r="F92" s="209" t="s">
        <v>36</v>
      </c>
      <c r="G92" s="59">
        <v>239.94</v>
      </c>
      <c r="H92" s="59">
        <v>59.46</v>
      </c>
      <c r="I92" s="59">
        <v>1.1100000000000001</v>
      </c>
      <c r="J92" s="59">
        <v>7.0000000000000007E-2</v>
      </c>
      <c r="K92" s="59">
        <v>318.32</v>
      </c>
      <c r="L92" s="59">
        <v>21.5</v>
      </c>
      <c r="M92" s="59">
        <v>67</v>
      </c>
      <c r="N92" s="59">
        <v>24</v>
      </c>
      <c r="O92" s="59">
        <v>0</v>
      </c>
      <c r="P92" s="59">
        <v>4.1100000000000003</v>
      </c>
      <c r="Q92" s="59">
        <v>40.76</v>
      </c>
      <c r="R92" s="197"/>
      <c r="S92" s="197"/>
      <c r="T92" s="197"/>
      <c r="U92" s="197"/>
    </row>
    <row r="93" spans="1:26" s="12" customFormat="1" x14ac:dyDescent="0.25">
      <c r="A93" s="200" t="s">
        <v>2732</v>
      </c>
      <c r="B93" s="59">
        <v>144.08000000000001</v>
      </c>
      <c r="C93" s="59">
        <v>163.41</v>
      </c>
      <c r="D93" s="59">
        <v>205.72</v>
      </c>
      <c r="E93" s="59">
        <v>6.17</v>
      </c>
      <c r="F93" s="209" t="s">
        <v>36</v>
      </c>
      <c r="G93" s="59">
        <v>236.22</v>
      </c>
      <c r="H93" s="59">
        <v>64.52</v>
      </c>
      <c r="I93" s="59">
        <v>1.38</v>
      </c>
      <c r="J93" s="59">
        <v>0.12</v>
      </c>
      <c r="K93" s="59">
        <v>349.16</v>
      </c>
      <c r="L93" s="59">
        <v>21.7</v>
      </c>
      <c r="M93" s="59">
        <v>66</v>
      </c>
      <c r="N93" s="59">
        <v>24.2</v>
      </c>
      <c r="O93" s="59">
        <v>0</v>
      </c>
      <c r="P93" s="59">
        <v>4.25</v>
      </c>
      <c r="Q93" s="59">
        <v>41.52</v>
      </c>
      <c r="R93" s="197"/>
      <c r="S93" s="197"/>
      <c r="T93" s="197"/>
      <c r="U93" s="197"/>
    </row>
    <row r="94" spans="1:26" s="12" customFormat="1" x14ac:dyDescent="0.25">
      <c r="A94" s="200" t="s">
        <v>2733</v>
      </c>
      <c r="B94" s="59">
        <v>156.54</v>
      </c>
      <c r="C94" s="59">
        <v>165.91</v>
      </c>
      <c r="D94" s="59">
        <v>217.1</v>
      </c>
      <c r="E94" s="59">
        <v>6.14</v>
      </c>
      <c r="F94" s="59">
        <v>0.09</v>
      </c>
      <c r="G94" s="59">
        <v>233.65</v>
      </c>
      <c r="H94" s="59">
        <v>70.849999999999994</v>
      </c>
      <c r="I94" s="59">
        <v>1.57</v>
      </c>
      <c r="J94" s="59">
        <v>0.1</v>
      </c>
      <c r="K94" s="59">
        <v>348.75</v>
      </c>
      <c r="L94" s="59">
        <v>21.27</v>
      </c>
      <c r="M94" s="59">
        <v>70</v>
      </c>
      <c r="N94" s="59">
        <v>24.4</v>
      </c>
      <c r="O94" s="59">
        <v>0</v>
      </c>
      <c r="P94" s="59">
        <v>4.46</v>
      </c>
      <c r="Q94" s="59">
        <v>42.62</v>
      </c>
      <c r="R94" s="197"/>
      <c r="S94" s="197"/>
      <c r="T94" s="197"/>
      <c r="U94" s="197"/>
    </row>
    <row r="95" spans="1:26" s="12" customFormat="1" x14ac:dyDescent="0.25">
      <c r="A95" s="200" t="s">
        <v>2734</v>
      </c>
      <c r="B95" s="59">
        <v>161.88</v>
      </c>
      <c r="C95" s="59">
        <v>167.69</v>
      </c>
      <c r="D95" s="59">
        <v>222.36</v>
      </c>
      <c r="E95" s="59">
        <v>6.53</v>
      </c>
      <c r="F95" s="59">
        <v>0.13</v>
      </c>
      <c r="G95" s="59">
        <v>233.65</v>
      </c>
      <c r="H95" s="59">
        <v>70.849999999999994</v>
      </c>
      <c r="I95" s="59">
        <v>1.65</v>
      </c>
      <c r="J95" s="59">
        <v>0.09</v>
      </c>
      <c r="K95" s="59">
        <v>294.41000000000003</v>
      </c>
      <c r="L95" s="59">
        <v>21.02</v>
      </c>
      <c r="M95" s="59">
        <v>68</v>
      </c>
      <c r="N95" s="59">
        <v>24.3</v>
      </c>
      <c r="O95" s="59">
        <v>0</v>
      </c>
      <c r="P95" s="59">
        <v>4.6399999999999997</v>
      </c>
      <c r="Q95" s="59">
        <v>44.29</v>
      </c>
      <c r="R95" s="197"/>
      <c r="S95" s="197"/>
      <c r="T95" s="197"/>
      <c r="U95" s="197"/>
    </row>
    <row r="96" spans="1:26" s="12" customFormat="1" x14ac:dyDescent="0.25">
      <c r="A96" s="200" t="s">
        <v>2735</v>
      </c>
      <c r="B96" s="59">
        <v>162.9</v>
      </c>
      <c r="C96" s="59">
        <v>167.4</v>
      </c>
      <c r="D96" s="59">
        <v>223.01</v>
      </c>
      <c r="E96" s="59">
        <v>6.76</v>
      </c>
      <c r="F96" s="59">
        <v>0.12</v>
      </c>
      <c r="G96" s="59">
        <v>233.65</v>
      </c>
      <c r="H96" s="59">
        <v>70.849999999999994</v>
      </c>
      <c r="I96" s="59">
        <v>1.73</v>
      </c>
      <c r="J96" s="59">
        <v>0.16</v>
      </c>
      <c r="K96" s="59">
        <v>240.54</v>
      </c>
      <c r="L96" s="59">
        <v>21.1</v>
      </c>
      <c r="M96" s="59">
        <v>68</v>
      </c>
      <c r="N96" s="59">
        <v>23.9</v>
      </c>
      <c r="O96" s="59">
        <v>0</v>
      </c>
      <c r="P96" s="59">
        <v>4.68</v>
      </c>
      <c r="Q96" s="59">
        <v>43.79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2736</v>
      </c>
      <c r="B97" s="59">
        <v>162.05000000000001</v>
      </c>
      <c r="C97" s="59">
        <v>167.5</v>
      </c>
      <c r="D97" s="59">
        <v>222.39</v>
      </c>
      <c r="E97" s="59">
        <v>6.28</v>
      </c>
      <c r="F97" s="59">
        <v>0.13</v>
      </c>
      <c r="G97" s="59">
        <v>231.81</v>
      </c>
      <c r="H97" s="59">
        <v>76.489999999999995</v>
      </c>
      <c r="I97" s="59">
        <v>1.8</v>
      </c>
      <c r="J97" s="59">
        <v>0.03</v>
      </c>
      <c r="K97" s="59">
        <v>73.680000000000007</v>
      </c>
      <c r="L97" s="59">
        <v>21.37</v>
      </c>
      <c r="M97" s="59">
        <v>64</v>
      </c>
      <c r="N97" s="59">
        <v>24</v>
      </c>
      <c r="O97" s="59">
        <v>0</v>
      </c>
      <c r="P97" s="59">
        <v>4.67</v>
      </c>
      <c r="Q97" s="59">
        <v>45.86</v>
      </c>
      <c r="R97" s="197"/>
      <c r="S97" s="197"/>
      <c r="T97" s="197"/>
      <c r="U97" s="197"/>
    </row>
    <row r="98" spans="1:33" s="12" customFormat="1" x14ac:dyDescent="0.25">
      <c r="A98" s="200" t="s">
        <v>2737</v>
      </c>
      <c r="B98" s="59">
        <v>165.87</v>
      </c>
      <c r="C98" s="59">
        <v>170.48</v>
      </c>
      <c r="D98" s="59">
        <v>227.1</v>
      </c>
      <c r="E98" s="59">
        <v>6.45</v>
      </c>
      <c r="F98" s="59">
        <v>0.09</v>
      </c>
      <c r="G98" s="59">
        <v>230.53</v>
      </c>
      <c r="H98" s="59">
        <v>83.87</v>
      </c>
      <c r="I98" s="59">
        <v>1.82</v>
      </c>
      <c r="J98" s="59">
        <v>0.16</v>
      </c>
      <c r="K98" s="59">
        <v>339.82</v>
      </c>
      <c r="L98" s="59">
        <v>20.99</v>
      </c>
      <c r="M98" s="59">
        <v>68</v>
      </c>
      <c r="N98" s="59">
        <v>24.4</v>
      </c>
      <c r="O98" s="59">
        <v>0</v>
      </c>
      <c r="P98" s="59">
        <v>4.7300000000000004</v>
      </c>
      <c r="Q98" s="59">
        <v>45.35</v>
      </c>
      <c r="R98" s="197"/>
      <c r="S98" s="197"/>
      <c r="T98" s="197"/>
      <c r="U98" s="197"/>
    </row>
    <row r="99" spans="1:33" s="12" customFormat="1" x14ac:dyDescent="0.25">
      <c r="A99" s="200" t="s">
        <v>2738</v>
      </c>
      <c r="B99" s="59">
        <v>170.56</v>
      </c>
      <c r="C99" s="59">
        <v>173.56</v>
      </c>
      <c r="D99" s="59">
        <v>232.56</v>
      </c>
      <c r="E99" s="59">
        <v>6.33</v>
      </c>
      <c r="F99" s="59">
        <v>0.37</v>
      </c>
      <c r="G99" s="59">
        <v>230.53</v>
      </c>
      <c r="H99" s="59">
        <v>83.87</v>
      </c>
      <c r="I99" s="59">
        <v>1.81</v>
      </c>
      <c r="J99" s="59">
        <v>0.05</v>
      </c>
      <c r="K99" s="59">
        <v>243.65</v>
      </c>
      <c r="L99" s="59">
        <v>20.82</v>
      </c>
      <c r="M99" s="59">
        <v>64</v>
      </c>
      <c r="N99" s="59">
        <v>24.2</v>
      </c>
      <c r="O99" s="59">
        <v>0</v>
      </c>
      <c r="P99" s="59">
        <v>4.7699999999999996</v>
      </c>
      <c r="Q99" s="59">
        <v>48.75</v>
      </c>
      <c r="R99" s="197"/>
      <c r="S99" s="197"/>
      <c r="T99" s="197"/>
      <c r="U99" s="197"/>
    </row>
    <row r="100" spans="1:33" s="12" customFormat="1" x14ac:dyDescent="0.25">
      <c r="A100" s="200" t="s">
        <v>2739</v>
      </c>
      <c r="B100" s="59">
        <v>165.61</v>
      </c>
      <c r="C100" s="59">
        <v>169.65</v>
      </c>
      <c r="D100" s="59">
        <v>226.43</v>
      </c>
      <c r="E100" s="59">
        <v>6.57</v>
      </c>
      <c r="F100" s="59">
        <v>0.62</v>
      </c>
      <c r="G100" s="59">
        <v>230.53</v>
      </c>
      <c r="H100" s="59">
        <v>83.87</v>
      </c>
      <c r="I100" s="59">
        <v>1.85</v>
      </c>
      <c r="J100" s="59">
        <v>0.01</v>
      </c>
      <c r="K100" s="59">
        <v>250.49</v>
      </c>
      <c r="L100" s="59">
        <v>20.69</v>
      </c>
      <c r="M100" s="59">
        <v>63</v>
      </c>
      <c r="N100" s="59">
        <v>24.4</v>
      </c>
      <c r="O100" s="59">
        <v>0</v>
      </c>
      <c r="P100" s="59">
        <v>4.58</v>
      </c>
      <c r="Q100" s="59">
        <v>49.36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2740</v>
      </c>
      <c r="B101" s="59">
        <v>157.94</v>
      </c>
      <c r="C101" s="59">
        <v>164.64</v>
      </c>
      <c r="D101" s="59">
        <v>217.51</v>
      </c>
      <c r="E101" s="59">
        <v>6.34</v>
      </c>
      <c r="F101" s="59">
        <v>0.19</v>
      </c>
      <c r="G101" s="59">
        <v>189.86</v>
      </c>
      <c r="H101" s="59">
        <v>75.33</v>
      </c>
      <c r="I101" s="59">
        <v>1.85</v>
      </c>
      <c r="J101" s="59">
        <v>0.02</v>
      </c>
      <c r="K101" s="59">
        <v>170.52</v>
      </c>
      <c r="L101" s="59">
        <v>20.3</v>
      </c>
      <c r="M101" s="59">
        <v>64</v>
      </c>
      <c r="N101" s="59">
        <v>24.3</v>
      </c>
      <c r="O101" s="59">
        <v>0</v>
      </c>
      <c r="P101" s="59">
        <v>4.38</v>
      </c>
      <c r="Q101" s="59">
        <v>48.7</v>
      </c>
      <c r="R101" s="197"/>
      <c r="S101" s="197"/>
      <c r="T101" s="197"/>
      <c r="U101" s="197"/>
    </row>
    <row r="102" spans="1:33" s="12" customFormat="1" x14ac:dyDescent="0.25">
      <c r="A102" s="200" t="s">
        <v>2741</v>
      </c>
      <c r="B102" s="59">
        <v>149.41</v>
      </c>
      <c r="C102" s="59">
        <v>158.32</v>
      </c>
      <c r="D102" s="59">
        <v>207.18</v>
      </c>
      <c r="E102" s="59">
        <v>5.97</v>
      </c>
      <c r="F102" s="59">
        <v>0.15</v>
      </c>
      <c r="G102" s="59">
        <v>116.66</v>
      </c>
      <c r="H102" s="59">
        <v>64.650000000000006</v>
      </c>
      <c r="I102" s="59">
        <v>1.78</v>
      </c>
      <c r="J102" s="59">
        <v>0.09</v>
      </c>
      <c r="K102" s="59">
        <v>329.28</v>
      </c>
      <c r="L102" s="59">
        <v>19.96</v>
      </c>
      <c r="M102" s="59">
        <v>67</v>
      </c>
      <c r="N102" s="59">
        <v>24.5</v>
      </c>
      <c r="O102" s="59">
        <v>0</v>
      </c>
      <c r="P102" s="59">
        <v>4.18</v>
      </c>
      <c r="Q102" s="59">
        <v>47.97</v>
      </c>
      <c r="R102" s="197"/>
      <c r="S102" s="197"/>
      <c r="T102" s="197"/>
      <c r="U102" s="197"/>
    </row>
    <row r="103" spans="1:33" s="12" customFormat="1" x14ac:dyDescent="0.25">
      <c r="A103" s="200" t="s">
        <v>2742</v>
      </c>
      <c r="B103" s="59">
        <v>143.54</v>
      </c>
      <c r="C103" s="59">
        <v>155.04</v>
      </c>
      <c r="D103" s="59">
        <v>200.67</v>
      </c>
      <c r="E103" s="59">
        <v>6.07</v>
      </c>
      <c r="F103" s="59">
        <v>0.41</v>
      </c>
      <c r="G103" s="59">
        <v>116.66</v>
      </c>
      <c r="H103" s="59">
        <v>64.650000000000006</v>
      </c>
      <c r="I103" s="59">
        <v>1.7</v>
      </c>
      <c r="J103" s="59">
        <v>0.09</v>
      </c>
      <c r="K103" s="59">
        <v>277.67</v>
      </c>
      <c r="L103" s="59">
        <v>19.45</v>
      </c>
      <c r="M103" s="59">
        <v>70</v>
      </c>
      <c r="N103" s="59">
        <v>24.6</v>
      </c>
      <c r="O103" s="59">
        <v>0</v>
      </c>
      <c r="P103" s="59">
        <v>4</v>
      </c>
      <c r="Q103" s="59">
        <v>47.02</v>
      </c>
      <c r="R103" s="197"/>
      <c r="S103" s="197"/>
      <c r="T103" s="197"/>
      <c r="U103" s="197"/>
    </row>
    <row r="104" spans="1:33" s="12" customFormat="1" x14ac:dyDescent="0.25">
      <c r="A104" s="200" t="s">
        <v>2743</v>
      </c>
      <c r="B104" s="59">
        <v>138.35</v>
      </c>
      <c r="C104" s="59">
        <v>151.38</v>
      </c>
      <c r="D104" s="59">
        <v>194.49</v>
      </c>
      <c r="E104" s="59">
        <v>2.2599999999999998</v>
      </c>
      <c r="F104" s="59">
        <v>0.06</v>
      </c>
      <c r="G104" s="59">
        <v>116.66</v>
      </c>
      <c r="H104" s="59">
        <v>64.650000000000006</v>
      </c>
      <c r="I104" s="59">
        <v>1.62</v>
      </c>
      <c r="J104" s="59">
        <v>0.1</v>
      </c>
      <c r="K104" s="59">
        <v>333.18</v>
      </c>
      <c r="L104" s="59">
        <v>19.190000000000001</v>
      </c>
      <c r="M104" s="59">
        <v>73</v>
      </c>
      <c r="N104" s="59">
        <v>24.5</v>
      </c>
      <c r="O104" s="59">
        <v>0</v>
      </c>
      <c r="P104" s="59">
        <v>3.84</v>
      </c>
      <c r="Q104" s="59">
        <v>46.88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1.28</v>
      </c>
      <c r="C106" s="66">
        <f>MIN(C9:C104)</f>
        <v>8.33</v>
      </c>
      <c r="D106" s="66">
        <f t="shared" ref="D106:Q106" si="0">MIN(D9:D104)</f>
        <v>8.67</v>
      </c>
      <c r="E106" s="66">
        <f t="shared" si="0"/>
        <v>0.01</v>
      </c>
      <c r="F106" s="66">
        <f t="shared" si="0"/>
        <v>0.01</v>
      </c>
      <c r="G106" s="66">
        <f t="shared" si="0"/>
        <v>59.12</v>
      </c>
      <c r="H106" s="66">
        <f t="shared" si="0"/>
        <v>22.79</v>
      </c>
      <c r="I106" s="66">
        <f t="shared" si="0"/>
        <v>0.01</v>
      </c>
      <c r="J106" s="66">
        <f t="shared" si="0"/>
        <v>0.01</v>
      </c>
      <c r="K106" s="66">
        <f t="shared" si="0"/>
        <v>1.19</v>
      </c>
      <c r="L106" s="66">
        <f t="shared" si="0"/>
        <v>16.34</v>
      </c>
      <c r="M106" s="66">
        <f t="shared" si="0"/>
        <v>28</v>
      </c>
      <c r="N106" s="66">
        <f t="shared" si="0"/>
        <v>23.6</v>
      </c>
      <c r="O106" s="66">
        <f t="shared" si="0"/>
        <v>0</v>
      </c>
      <c r="P106" s="66">
        <f t="shared" si="0"/>
        <v>0.71</v>
      </c>
      <c r="Q106" s="66">
        <f t="shared" si="0"/>
        <v>25.33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170.56</v>
      </c>
      <c r="C107" s="65">
        <f t="shared" ref="C107:Q107" si="1">MAX(C9:C104)</f>
        <v>173.56</v>
      </c>
      <c r="D107" s="65">
        <f t="shared" si="1"/>
        <v>232.56</v>
      </c>
      <c r="E107" s="65">
        <f t="shared" si="1"/>
        <v>151.43</v>
      </c>
      <c r="F107" s="65">
        <f t="shared" si="1"/>
        <v>307.42</v>
      </c>
      <c r="G107" s="65">
        <f t="shared" si="1"/>
        <v>239.94</v>
      </c>
      <c r="H107" s="65">
        <f t="shared" si="1"/>
        <v>83.87</v>
      </c>
      <c r="I107" s="65">
        <f t="shared" si="1"/>
        <v>1.85</v>
      </c>
      <c r="J107" s="65">
        <f t="shared" si="1"/>
        <v>1.06</v>
      </c>
      <c r="K107" s="65">
        <f t="shared" si="1"/>
        <v>357.13</v>
      </c>
      <c r="L107" s="65">
        <f t="shared" si="1"/>
        <v>33.31</v>
      </c>
      <c r="M107" s="65">
        <f t="shared" si="1"/>
        <v>84</v>
      </c>
      <c r="N107" s="65">
        <f t="shared" si="1"/>
        <v>367.6</v>
      </c>
      <c r="O107" s="65">
        <f t="shared" si="1"/>
        <v>0</v>
      </c>
      <c r="P107" s="65">
        <f t="shared" si="1"/>
        <v>4.7699999999999996</v>
      </c>
      <c r="Q107" s="65">
        <f t="shared" si="1"/>
        <v>61.21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70.912209302325564</v>
      </c>
      <c r="C108" s="66">
        <f t="shared" ref="C108:Q108" si="2">AVERAGE(C9:C104)</f>
        <v>108.76290697674413</v>
      </c>
      <c r="D108" s="66">
        <f t="shared" si="2"/>
        <v>117.06104651162788</v>
      </c>
      <c r="E108" s="66">
        <f t="shared" si="2"/>
        <v>10.372758620689657</v>
      </c>
      <c r="F108" s="66">
        <f t="shared" si="2"/>
        <v>6.6724657534246559</v>
      </c>
      <c r="G108" s="66">
        <f t="shared" si="2"/>
        <v>118.69891566265056</v>
      </c>
      <c r="H108" s="66">
        <f t="shared" si="2"/>
        <v>48.926867469879518</v>
      </c>
      <c r="I108" s="66">
        <f t="shared" si="2"/>
        <v>0.74916666666666665</v>
      </c>
      <c r="J108" s="66">
        <f t="shared" si="2"/>
        <v>0.21367816091954048</v>
      </c>
      <c r="K108" s="66">
        <f t="shared" si="2"/>
        <v>184.46402298850575</v>
      </c>
      <c r="L108" s="66">
        <f t="shared" si="2"/>
        <v>22.727471264367811</v>
      </c>
      <c r="M108" s="66">
        <f t="shared" si="2"/>
        <v>61.494252873563219</v>
      </c>
      <c r="N108" s="66">
        <f t="shared" si="2"/>
        <v>97.849425287356297</v>
      </c>
      <c r="O108" s="66">
        <f t="shared" si="2"/>
        <v>0</v>
      </c>
      <c r="P108" s="66">
        <f t="shared" si="2"/>
        <v>2.2702298850574714</v>
      </c>
      <c r="Q108" s="66">
        <f t="shared" si="2"/>
        <v>43.31845238095238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49.517618335798332</v>
      </c>
      <c r="C109" s="66">
        <f t="shared" ref="C109:Q109" si="3">STDEV(C9:C104)</f>
        <v>32.587230911952432</v>
      </c>
      <c r="D109" s="66">
        <f t="shared" si="3"/>
        <v>54.537841002783345</v>
      </c>
      <c r="E109" s="66">
        <f t="shared" si="3"/>
        <v>23.655644229854122</v>
      </c>
      <c r="F109" s="66">
        <f t="shared" si="3"/>
        <v>35.982988835035421</v>
      </c>
      <c r="G109" s="66">
        <f t="shared" si="3"/>
        <v>55.127516081333567</v>
      </c>
      <c r="H109" s="66">
        <f t="shared" si="3"/>
        <v>13.043817891612028</v>
      </c>
      <c r="I109" s="66">
        <f t="shared" si="3"/>
        <v>0.4801636476390691</v>
      </c>
      <c r="J109" s="66">
        <f t="shared" si="3"/>
        <v>0.23518481076630562</v>
      </c>
      <c r="K109" s="66">
        <f t="shared" si="3"/>
        <v>128.12416739568178</v>
      </c>
      <c r="L109" s="66">
        <f t="shared" si="3"/>
        <v>5.1812812051161998</v>
      </c>
      <c r="M109" s="66">
        <f t="shared" si="3"/>
        <v>18.003793891662141</v>
      </c>
      <c r="N109" s="66">
        <f t="shared" si="3"/>
        <v>120.9123821477462</v>
      </c>
      <c r="O109" s="66">
        <f t="shared" si="3"/>
        <v>0</v>
      </c>
      <c r="P109" s="66">
        <f t="shared" si="3"/>
        <v>1.1082250390764654</v>
      </c>
      <c r="Q109" s="66">
        <f t="shared" si="3"/>
        <v>6.7675400834304078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>COUNT(B9:B104)+10</f>
        <v>96</v>
      </c>
      <c r="C110" s="65">
        <f>COUNT(C9:C104)+10</f>
        <v>96</v>
      </c>
      <c r="D110" s="65">
        <f>COUNT(D9:D104)+10</f>
        <v>96</v>
      </c>
      <c r="E110" s="65">
        <f>COUNT(E9:E104)+9</f>
        <v>96</v>
      </c>
      <c r="F110" s="65">
        <f>COUNT(F9:F104)+23</f>
        <v>96</v>
      </c>
      <c r="G110" s="65">
        <f>COUNT(G9:G104)+13</f>
        <v>96</v>
      </c>
      <c r="H110" s="65">
        <f>COUNT(H9:H104)+13</f>
        <v>96</v>
      </c>
      <c r="I110" s="65">
        <f>COUNT(I9:I104)+12</f>
        <v>96</v>
      </c>
      <c r="J110" s="65">
        <f>COUNT(J9:J104)+9</f>
        <v>96</v>
      </c>
      <c r="K110" s="65">
        <f t="shared" ref="K110:P110" si="4">COUNT(K9:K104)+9</f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>COUNT(Q9:Q104)+12</f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6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27-12-2022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2744</v>
      </c>
      <c r="B9" s="59">
        <v>131.19</v>
      </c>
      <c r="C9" s="59">
        <v>146.94</v>
      </c>
      <c r="D9" s="59">
        <v>186.3</v>
      </c>
      <c r="E9" s="59">
        <v>4.4000000000000004</v>
      </c>
      <c r="F9" s="59">
        <v>0.02</v>
      </c>
      <c r="G9" s="59">
        <v>104.88</v>
      </c>
      <c r="H9" s="59">
        <v>56.25</v>
      </c>
      <c r="I9" s="59">
        <v>1.54</v>
      </c>
      <c r="J9" s="59">
        <v>0.11</v>
      </c>
      <c r="K9" s="59">
        <v>332.96</v>
      </c>
      <c r="L9" s="59">
        <v>18.95</v>
      </c>
      <c r="M9" s="59">
        <v>72</v>
      </c>
      <c r="N9" s="59">
        <v>24.4</v>
      </c>
      <c r="O9" s="59">
        <v>0</v>
      </c>
      <c r="P9" s="59">
        <v>3.68</v>
      </c>
      <c r="Q9" s="59">
        <v>45.75</v>
      </c>
      <c r="R9" s="197"/>
      <c r="S9" s="197"/>
      <c r="T9" s="197"/>
      <c r="U9" s="197"/>
    </row>
    <row r="10" spans="1:21" s="12" customFormat="1" x14ac:dyDescent="0.25">
      <c r="A10" s="200" t="s">
        <v>2745</v>
      </c>
      <c r="B10" s="59">
        <v>126.74</v>
      </c>
      <c r="C10" s="59">
        <v>137.02000000000001</v>
      </c>
      <c r="D10" s="59">
        <v>177.25</v>
      </c>
      <c r="E10" s="59">
        <v>4.5</v>
      </c>
      <c r="F10" s="59">
        <v>0.03</v>
      </c>
      <c r="G10" s="59">
        <v>96.73</v>
      </c>
      <c r="H10" s="59">
        <v>45.75</v>
      </c>
      <c r="I10" s="59">
        <v>1.47</v>
      </c>
      <c r="J10" s="59">
        <v>7.0000000000000007E-2</v>
      </c>
      <c r="K10" s="59">
        <v>345.91</v>
      </c>
      <c r="L10" s="59">
        <v>18.940000000000001</v>
      </c>
      <c r="M10" s="59">
        <v>73</v>
      </c>
      <c r="N10" s="59">
        <v>24.5</v>
      </c>
      <c r="O10" s="59">
        <v>0</v>
      </c>
      <c r="P10" s="59">
        <v>3.59</v>
      </c>
      <c r="Q10" s="59">
        <v>44.22</v>
      </c>
      <c r="R10" s="197"/>
      <c r="S10" s="197"/>
      <c r="T10" s="197"/>
      <c r="U10" s="197"/>
    </row>
    <row r="11" spans="1:21" s="12" customFormat="1" x14ac:dyDescent="0.25">
      <c r="A11" s="200" t="s">
        <v>2746</v>
      </c>
      <c r="B11" s="59">
        <v>124.25</v>
      </c>
      <c r="C11" s="59">
        <v>139</v>
      </c>
      <c r="D11" s="59">
        <v>176.35</v>
      </c>
      <c r="E11" s="59">
        <v>4.74</v>
      </c>
      <c r="F11" s="59">
        <v>0.02</v>
      </c>
      <c r="G11" s="59">
        <v>96.73</v>
      </c>
      <c r="H11" s="59">
        <v>45.75</v>
      </c>
      <c r="I11" s="59">
        <v>1.4</v>
      </c>
      <c r="J11" s="59">
        <v>0.03</v>
      </c>
      <c r="K11" s="59">
        <v>301.33999999999997</v>
      </c>
      <c r="L11" s="59">
        <v>18.86</v>
      </c>
      <c r="M11" s="59">
        <v>73</v>
      </c>
      <c r="N11" s="59">
        <v>24.2</v>
      </c>
      <c r="O11" s="59">
        <v>0</v>
      </c>
      <c r="P11" s="59">
        <v>3.47</v>
      </c>
      <c r="Q11" s="59">
        <v>42.04</v>
      </c>
      <c r="R11" s="197"/>
      <c r="S11" s="197"/>
      <c r="T11" s="197"/>
      <c r="U11" s="197"/>
    </row>
    <row r="12" spans="1:21" s="12" customFormat="1" x14ac:dyDescent="0.25">
      <c r="A12" s="200" t="s">
        <v>2747</v>
      </c>
      <c r="B12" s="59">
        <v>117.08</v>
      </c>
      <c r="C12" s="59">
        <v>132.96</v>
      </c>
      <c r="D12" s="59">
        <v>167.27</v>
      </c>
      <c r="E12" s="59">
        <v>4.72</v>
      </c>
      <c r="F12" s="59">
        <v>7.0000000000000007E-2</v>
      </c>
      <c r="G12" s="59">
        <v>96.73</v>
      </c>
      <c r="H12" s="59">
        <v>45.75</v>
      </c>
      <c r="I12" s="59">
        <v>1.37</v>
      </c>
      <c r="J12" s="59">
        <v>0.03</v>
      </c>
      <c r="K12" s="59">
        <v>244.83</v>
      </c>
      <c r="L12" s="59">
        <v>19.12</v>
      </c>
      <c r="M12" s="59">
        <v>72</v>
      </c>
      <c r="N12" s="59">
        <v>24.2</v>
      </c>
      <c r="O12" s="59">
        <v>0</v>
      </c>
      <c r="P12" s="59">
        <v>3.33</v>
      </c>
      <c r="Q12" s="59">
        <v>42.42</v>
      </c>
      <c r="R12" s="197"/>
      <c r="S12" s="197"/>
      <c r="T12" s="197"/>
      <c r="U12" s="197"/>
    </row>
    <row r="13" spans="1:21" s="12" customFormat="1" x14ac:dyDescent="0.25">
      <c r="A13" s="200" t="s">
        <v>2748</v>
      </c>
      <c r="B13" s="59">
        <v>110.4</v>
      </c>
      <c r="C13" s="59">
        <v>132.41</v>
      </c>
      <c r="D13" s="59">
        <v>161.61000000000001</v>
      </c>
      <c r="E13" s="59">
        <v>4.59</v>
      </c>
      <c r="F13" s="59">
        <v>0.05</v>
      </c>
      <c r="G13" s="59">
        <v>83.88</v>
      </c>
      <c r="H13" s="59">
        <v>42.65</v>
      </c>
      <c r="I13" s="59">
        <v>1.23</v>
      </c>
      <c r="J13" s="59">
        <v>0.15</v>
      </c>
      <c r="K13" s="59">
        <v>346.35</v>
      </c>
      <c r="L13" s="59">
        <v>18.98</v>
      </c>
      <c r="M13" s="59">
        <v>73</v>
      </c>
      <c r="N13" s="59">
        <v>24.2</v>
      </c>
      <c r="O13" s="59">
        <v>0</v>
      </c>
      <c r="P13" s="59">
        <v>3.1</v>
      </c>
      <c r="Q13" s="59">
        <v>41.22</v>
      </c>
      <c r="R13" s="197"/>
      <c r="S13" s="197"/>
      <c r="T13" s="197"/>
      <c r="U13" s="197"/>
    </row>
    <row r="14" spans="1:21" s="12" customFormat="1" x14ac:dyDescent="0.25">
      <c r="A14" s="200" t="s">
        <v>2749</v>
      </c>
      <c r="B14" s="59">
        <v>108.1</v>
      </c>
      <c r="C14" s="59">
        <v>126.39</v>
      </c>
      <c r="D14" s="59">
        <v>156.44</v>
      </c>
      <c r="E14" s="59">
        <v>4.91</v>
      </c>
      <c r="F14" s="59">
        <v>7.0000000000000007E-2</v>
      </c>
      <c r="G14" s="59">
        <v>74.66</v>
      </c>
      <c r="H14" s="59">
        <v>38.61</v>
      </c>
      <c r="I14" s="59">
        <v>1.23</v>
      </c>
      <c r="J14" s="59">
        <v>0.05</v>
      </c>
      <c r="K14" s="59">
        <v>259.3</v>
      </c>
      <c r="L14" s="59">
        <v>18.989999999999998</v>
      </c>
      <c r="M14" s="59">
        <v>73</v>
      </c>
      <c r="N14" s="59">
        <v>24.1</v>
      </c>
      <c r="O14" s="59">
        <v>0</v>
      </c>
      <c r="P14" s="59">
        <v>3.07</v>
      </c>
      <c r="Q14" s="59">
        <v>41.39</v>
      </c>
      <c r="R14" s="197"/>
      <c r="S14" s="197"/>
      <c r="T14" s="197"/>
      <c r="U14" s="197"/>
    </row>
    <row r="15" spans="1:21" s="12" customFormat="1" x14ac:dyDescent="0.25">
      <c r="A15" s="200" t="s">
        <v>2750</v>
      </c>
      <c r="B15" s="59">
        <v>102.01</v>
      </c>
      <c r="C15" s="59">
        <v>119.34</v>
      </c>
      <c r="D15" s="59">
        <v>147.66</v>
      </c>
      <c r="E15" s="59">
        <v>4.66</v>
      </c>
      <c r="F15" s="59">
        <v>0.17</v>
      </c>
      <c r="G15" s="59">
        <v>74.66</v>
      </c>
      <c r="H15" s="59">
        <v>38.61</v>
      </c>
      <c r="I15" s="59">
        <v>1.25</v>
      </c>
      <c r="J15" s="59">
        <v>0.05</v>
      </c>
      <c r="K15" s="59">
        <v>243.82</v>
      </c>
      <c r="L15" s="59">
        <v>19.34</v>
      </c>
      <c r="M15" s="59">
        <v>72</v>
      </c>
      <c r="N15" s="59">
        <v>24</v>
      </c>
      <c r="O15" s="59">
        <v>0</v>
      </c>
      <c r="P15" s="59">
        <v>2.94</v>
      </c>
      <c r="Q15" s="59">
        <v>40.35</v>
      </c>
      <c r="R15" s="197"/>
      <c r="S15" s="197"/>
      <c r="T15" s="197"/>
      <c r="U15" s="197"/>
    </row>
    <row r="16" spans="1:21" s="12" customFormat="1" x14ac:dyDescent="0.25">
      <c r="A16" s="200" t="s">
        <v>2751</v>
      </c>
      <c r="B16" s="59">
        <v>97.04</v>
      </c>
      <c r="C16" s="59">
        <v>118.47</v>
      </c>
      <c r="D16" s="59">
        <v>143.19999999999999</v>
      </c>
      <c r="E16" s="59">
        <v>4.7699999999999996</v>
      </c>
      <c r="F16" s="59">
        <v>0.02</v>
      </c>
      <c r="G16" s="59">
        <v>74.66</v>
      </c>
      <c r="H16" s="59">
        <v>38.61</v>
      </c>
      <c r="I16" s="59">
        <v>1.2</v>
      </c>
      <c r="J16" s="59">
        <v>0.05</v>
      </c>
      <c r="K16" s="59">
        <v>307.29000000000002</v>
      </c>
      <c r="L16" s="59">
        <v>19.39</v>
      </c>
      <c r="M16" s="59">
        <v>72</v>
      </c>
      <c r="N16" s="59">
        <v>24.2</v>
      </c>
      <c r="O16" s="59">
        <v>0</v>
      </c>
      <c r="P16" s="59">
        <v>2.81</v>
      </c>
      <c r="Q16" s="59">
        <v>40.79</v>
      </c>
      <c r="R16" s="197"/>
      <c r="S16" s="197"/>
      <c r="T16" s="197"/>
      <c r="U16" s="197"/>
    </row>
    <row r="17" spans="1:21" s="12" customFormat="1" x14ac:dyDescent="0.25">
      <c r="A17" s="200" t="s">
        <v>2752</v>
      </c>
      <c r="B17" s="59">
        <v>93.72</v>
      </c>
      <c r="C17" s="59">
        <v>118.19</v>
      </c>
      <c r="D17" s="59">
        <v>140.38</v>
      </c>
      <c r="E17" s="59">
        <v>4.67</v>
      </c>
      <c r="F17" s="59">
        <v>0.06</v>
      </c>
      <c r="G17" s="59">
        <v>47.92</v>
      </c>
      <c r="H17" s="59">
        <v>32.04</v>
      </c>
      <c r="I17" s="59">
        <v>1.1599999999999999</v>
      </c>
      <c r="J17" s="59">
        <v>0.08</v>
      </c>
      <c r="K17" s="59">
        <v>233.66</v>
      </c>
      <c r="L17" s="59">
        <v>19.47</v>
      </c>
      <c r="M17" s="59">
        <v>72</v>
      </c>
      <c r="N17" s="59">
        <v>23.8</v>
      </c>
      <c r="O17" s="59">
        <v>0</v>
      </c>
      <c r="P17" s="59">
        <v>2.68</v>
      </c>
      <c r="Q17" s="59">
        <v>40.9</v>
      </c>
      <c r="R17" s="197"/>
      <c r="S17" s="197"/>
      <c r="T17" s="197"/>
      <c r="U17" s="197"/>
    </row>
    <row r="18" spans="1:21" s="12" customFormat="1" x14ac:dyDescent="0.25">
      <c r="A18" s="200" t="s">
        <v>2753</v>
      </c>
      <c r="B18" s="59">
        <v>87.88</v>
      </c>
      <c r="C18" s="59">
        <v>114.01</v>
      </c>
      <c r="D18" s="59">
        <v>133.4</v>
      </c>
      <c r="E18" s="59">
        <v>4.4400000000000004</v>
      </c>
      <c r="F18" s="59">
        <v>0.13</v>
      </c>
      <c r="G18" s="59">
        <v>28.73</v>
      </c>
      <c r="H18" s="59">
        <v>23.83</v>
      </c>
      <c r="I18" s="59">
        <v>1.1299999999999999</v>
      </c>
      <c r="J18" s="59">
        <v>0.02</v>
      </c>
      <c r="K18" s="59">
        <v>178.42</v>
      </c>
      <c r="L18" s="59">
        <v>19.149999999999999</v>
      </c>
      <c r="M18" s="59">
        <v>74</v>
      </c>
      <c r="N18" s="59">
        <v>24.4</v>
      </c>
      <c r="O18" s="59">
        <v>0</v>
      </c>
      <c r="P18" s="59">
        <v>2.5299999999999998</v>
      </c>
      <c r="Q18" s="59">
        <v>42.82</v>
      </c>
      <c r="R18" s="197"/>
      <c r="S18" s="197"/>
      <c r="T18" s="197"/>
      <c r="U18" s="197"/>
    </row>
    <row r="19" spans="1:21" s="12" customFormat="1" x14ac:dyDescent="0.25">
      <c r="A19" s="200" t="s">
        <v>2754</v>
      </c>
      <c r="B19" s="59">
        <v>81.34</v>
      </c>
      <c r="C19" s="59">
        <v>109.35</v>
      </c>
      <c r="D19" s="59">
        <v>125.58</v>
      </c>
      <c r="E19" s="59">
        <v>4.49</v>
      </c>
      <c r="F19" s="59">
        <v>0.06</v>
      </c>
      <c r="G19" s="59">
        <v>28.73</v>
      </c>
      <c r="H19" s="59">
        <v>23.83</v>
      </c>
      <c r="I19" s="59">
        <v>1.01</v>
      </c>
      <c r="J19" s="59">
        <v>0.05</v>
      </c>
      <c r="K19" s="59">
        <v>232.14</v>
      </c>
      <c r="L19" s="59">
        <v>18.829999999999998</v>
      </c>
      <c r="M19" s="59">
        <v>76</v>
      </c>
      <c r="N19" s="59">
        <v>24.3</v>
      </c>
      <c r="O19" s="59">
        <v>0</v>
      </c>
      <c r="P19" s="59">
        <v>2.37</v>
      </c>
      <c r="Q19" s="59">
        <v>42.66</v>
      </c>
      <c r="R19" s="197"/>
      <c r="S19" s="197"/>
      <c r="T19" s="197"/>
      <c r="U19" s="197"/>
    </row>
    <row r="20" spans="1:21" s="12" customFormat="1" x14ac:dyDescent="0.25">
      <c r="A20" s="200" t="s">
        <v>2755</v>
      </c>
      <c r="B20" s="59">
        <v>74.97</v>
      </c>
      <c r="C20" s="59">
        <v>105.07</v>
      </c>
      <c r="D20" s="59">
        <v>118.11</v>
      </c>
      <c r="E20" s="59">
        <v>4.4000000000000004</v>
      </c>
      <c r="F20" s="59">
        <v>0.01</v>
      </c>
      <c r="G20" s="59">
        <v>28.73</v>
      </c>
      <c r="H20" s="59">
        <v>23.83</v>
      </c>
      <c r="I20" s="59">
        <v>0.89</v>
      </c>
      <c r="J20" s="59">
        <v>0.1</v>
      </c>
      <c r="K20" s="59">
        <v>317.08</v>
      </c>
      <c r="L20" s="59">
        <v>18.62</v>
      </c>
      <c r="M20" s="59">
        <v>77</v>
      </c>
      <c r="N20" s="59">
        <v>24.3</v>
      </c>
      <c r="O20" s="59">
        <v>0</v>
      </c>
      <c r="P20" s="59">
        <v>2.2200000000000002</v>
      </c>
      <c r="Q20" s="59">
        <v>41.71</v>
      </c>
      <c r="R20" s="197"/>
      <c r="S20" s="197"/>
      <c r="T20" s="197"/>
      <c r="U20" s="197"/>
    </row>
    <row r="21" spans="1:21" s="12" customFormat="1" x14ac:dyDescent="0.25">
      <c r="A21" s="200" t="s">
        <v>2756</v>
      </c>
      <c r="B21" s="59">
        <v>69.47</v>
      </c>
      <c r="C21" s="59">
        <v>101.92</v>
      </c>
      <c r="D21" s="59">
        <v>111.96</v>
      </c>
      <c r="E21" s="59">
        <v>3.81</v>
      </c>
      <c r="F21" s="212" t="s">
        <v>42</v>
      </c>
      <c r="G21" s="59">
        <v>27.05</v>
      </c>
      <c r="H21" s="59">
        <v>21.96</v>
      </c>
      <c r="I21" s="59">
        <v>0.82</v>
      </c>
      <c r="J21" s="59">
        <v>0.04</v>
      </c>
      <c r="K21" s="59">
        <v>252.97</v>
      </c>
      <c r="L21" s="59">
        <v>18.38</v>
      </c>
      <c r="M21" s="59">
        <v>79</v>
      </c>
      <c r="N21" s="59">
        <v>24.2</v>
      </c>
      <c r="O21" s="59">
        <v>0</v>
      </c>
      <c r="P21" s="59">
        <v>2.09</v>
      </c>
      <c r="Q21" s="59">
        <v>40.909999999999997</v>
      </c>
      <c r="R21" s="197"/>
      <c r="S21" s="197"/>
      <c r="T21" s="197"/>
      <c r="U21" s="197"/>
    </row>
    <row r="22" spans="1:21" s="12" customFormat="1" x14ac:dyDescent="0.25">
      <c r="A22" s="200" t="s">
        <v>2757</v>
      </c>
      <c r="B22" s="59">
        <v>65</v>
      </c>
      <c r="C22" s="59">
        <v>99.22</v>
      </c>
      <c r="D22" s="59">
        <v>106.88</v>
      </c>
      <c r="E22" s="59">
        <v>4.09</v>
      </c>
      <c r="F22" s="212" t="s">
        <v>42</v>
      </c>
      <c r="G22" s="59">
        <v>23.92</v>
      </c>
      <c r="H22" s="59">
        <v>19.53</v>
      </c>
      <c r="I22" s="59">
        <v>0.77</v>
      </c>
      <c r="J22" s="59">
        <v>0.15</v>
      </c>
      <c r="K22" s="59">
        <v>339.5</v>
      </c>
      <c r="L22" s="59">
        <v>18.25</v>
      </c>
      <c r="M22" s="59">
        <v>80</v>
      </c>
      <c r="N22" s="59">
        <v>24.5</v>
      </c>
      <c r="O22" s="59">
        <v>0</v>
      </c>
      <c r="P22" s="59">
        <v>1.97</v>
      </c>
      <c r="Q22" s="59">
        <v>40.549999999999997</v>
      </c>
      <c r="R22" s="197"/>
      <c r="S22" s="197"/>
      <c r="T22" s="197"/>
      <c r="U22" s="197"/>
    </row>
    <row r="23" spans="1:21" s="12" customFormat="1" x14ac:dyDescent="0.25">
      <c r="A23" s="200" t="s">
        <v>2758</v>
      </c>
      <c r="B23" s="59">
        <v>60.69</v>
      </c>
      <c r="C23" s="59">
        <v>96.51</v>
      </c>
      <c r="D23" s="59">
        <v>101.93</v>
      </c>
      <c r="E23" s="59">
        <v>3.96</v>
      </c>
      <c r="F23" s="59">
        <v>0.04</v>
      </c>
      <c r="G23" s="59">
        <v>23.92</v>
      </c>
      <c r="H23" s="59">
        <v>19.53</v>
      </c>
      <c r="I23" s="59">
        <v>0.72</v>
      </c>
      <c r="J23" s="59">
        <v>0.1</v>
      </c>
      <c r="K23" s="59">
        <v>354.28</v>
      </c>
      <c r="L23" s="59">
        <v>18.04</v>
      </c>
      <c r="M23" s="59">
        <v>81</v>
      </c>
      <c r="N23" s="59">
        <v>24.5</v>
      </c>
      <c r="O23" s="59">
        <v>0</v>
      </c>
      <c r="P23" s="59">
        <v>1.86</v>
      </c>
      <c r="Q23" s="59">
        <v>40.07</v>
      </c>
      <c r="R23" s="197"/>
      <c r="S23" s="197"/>
      <c r="T23" s="197"/>
      <c r="U23" s="197"/>
    </row>
    <row r="24" spans="1:21" s="12" customFormat="1" x14ac:dyDescent="0.25">
      <c r="A24" s="200" t="s">
        <v>2759</v>
      </c>
      <c r="B24" s="59">
        <v>54.88</v>
      </c>
      <c r="C24" s="59">
        <v>88.65</v>
      </c>
      <c r="D24" s="59">
        <v>92.93</v>
      </c>
      <c r="E24" s="59">
        <v>2.0499999999999998</v>
      </c>
      <c r="F24" s="209" t="s">
        <v>36</v>
      </c>
      <c r="G24" s="59">
        <v>23.92</v>
      </c>
      <c r="H24" s="59">
        <v>19.53</v>
      </c>
      <c r="I24" s="59">
        <v>0.68</v>
      </c>
      <c r="J24" s="59">
        <v>0.09</v>
      </c>
      <c r="K24" s="59">
        <v>209.97</v>
      </c>
      <c r="L24" s="59">
        <v>17.93</v>
      </c>
      <c r="M24" s="59">
        <v>83</v>
      </c>
      <c r="N24" s="59">
        <v>24.3</v>
      </c>
      <c r="O24" s="59">
        <v>0</v>
      </c>
      <c r="P24" s="59">
        <v>1.78</v>
      </c>
      <c r="Q24" s="59">
        <v>39.42</v>
      </c>
      <c r="R24" s="197"/>
      <c r="S24" s="197"/>
      <c r="T24" s="197"/>
      <c r="U24" s="197"/>
    </row>
    <row r="25" spans="1:21" s="12" customFormat="1" x14ac:dyDescent="0.25">
      <c r="A25" s="200" t="s">
        <v>2760</v>
      </c>
      <c r="B25" s="59">
        <v>53.71</v>
      </c>
      <c r="C25" s="59">
        <v>89.15</v>
      </c>
      <c r="D25" s="59">
        <v>92.27</v>
      </c>
      <c r="E25" s="59">
        <v>3.81</v>
      </c>
      <c r="F25" s="209" t="s">
        <v>36</v>
      </c>
      <c r="G25" s="59">
        <v>26.65</v>
      </c>
      <c r="H25" s="59">
        <v>15.7</v>
      </c>
      <c r="I25" s="59">
        <v>0.63</v>
      </c>
      <c r="J25" s="59">
        <v>0.23</v>
      </c>
      <c r="K25" s="59">
        <v>12.55</v>
      </c>
      <c r="L25" s="59">
        <v>18.05</v>
      </c>
      <c r="M25" s="59">
        <v>82</v>
      </c>
      <c r="N25" s="59">
        <v>24.3</v>
      </c>
      <c r="O25" s="59">
        <v>0</v>
      </c>
      <c r="P25" s="59">
        <v>1.71</v>
      </c>
      <c r="Q25" s="59">
        <v>36.08</v>
      </c>
      <c r="R25" s="197"/>
      <c r="S25" s="197"/>
      <c r="T25" s="197"/>
      <c r="U25" s="197"/>
    </row>
    <row r="26" spans="1:21" s="12" customFormat="1" x14ac:dyDescent="0.25">
      <c r="A26" s="200" t="s">
        <v>2761</v>
      </c>
      <c r="B26" s="59">
        <v>52.02</v>
      </c>
      <c r="C26" s="59">
        <v>89.39</v>
      </c>
      <c r="D26" s="59">
        <v>91.05</v>
      </c>
      <c r="E26" s="59">
        <v>3.79</v>
      </c>
      <c r="F26" s="209" t="s">
        <v>36</v>
      </c>
      <c r="G26" s="59">
        <v>28.62</v>
      </c>
      <c r="H26" s="59">
        <v>10.7</v>
      </c>
      <c r="I26" s="59">
        <v>0.61</v>
      </c>
      <c r="J26" s="59">
        <v>0.12</v>
      </c>
      <c r="K26" s="59">
        <v>245.98</v>
      </c>
      <c r="L26" s="59">
        <v>18.100000000000001</v>
      </c>
      <c r="M26" s="59">
        <v>83</v>
      </c>
      <c r="N26" s="59">
        <v>23.8</v>
      </c>
      <c r="O26" s="59">
        <v>0</v>
      </c>
      <c r="P26" s="59">
        <v>1.65</v>
      </c>
      <c r="Q26" s="59">
        <v>35.590000000000003</v>
      </c>
      <c r="R26" s="197"/>
      <c r="S26" s="197"/>
      <c r="T26" s="197"/>
      <c r="U26" s="197"/>
    </row>
    <row r="27" spans="1:21" s="12" customFormat="1" x14ac:dyDescent="0.25">
      <c r="A27" s="200" t="s">
        <v>2762</v>
      </c>
      <c r="B27" s="59">
        <v>50.97</v>
      </c>
      <c r="C27" s="59">
        <v>88.75</v>
      </c>
      <c r="D27" s="59">
        <v>89.85</v>
      </c>
      <c r="E27" s="59">
        <v>3.93</v>
      </c>
      <c r="F27" s="59">
        <v>0.03</v>
      </c>
      <c r="G27" s="59">
        <v>28.62</v>
      </c>
      <c r="H27" s="59">
        <v>10.7</v>
      </c>
      <c r="I27" s="59">
        <v>0.6</v>
      </c>
      <c r="J27" s="59">
        <v>0.04</v>
      </c>
      <c r="K27" s="59">
        <v>349.4</v>
      </c>
      <c r="L27" s="59">
        <v>18.059999999999999</v>
      </c>
      <c r="M27" s="59">
        <v>82</v>
      </c>
      <c r="N27" s="59">
        <v>24.2</v>
      </c>
      <c r="O27" s="59">
        <v>0</v>
      </c>
      <c r="P27" s="59">
        <v>1.6</v>
      </c>
      <c r="Q27" s="59">
        <v>36.950000000000003</v>
      </c>
      <c r="R27" s="197"/>
      <c r="S27" s="197"/>
      <c r="T27" s="197"/>
      <c r="U27" s="197"/>
    </row>
    <row r="28" spans="1:21" s="12" customFormat="1" x14ac:dyDescent="0.25">
      <c r="A28" s="200" t="s">
        <v>2763</v>
      </c>
      <c r="B28" s="59">
        <v>51.12</v>
      </c>
      <c r="C28" s="59">
        <v>88.24</v>
      </c>
      <c r="D28" s="59">
        <v>89.69</v>
      </c>
      <c r="E28" s="59">
        <v>4.26</v>
      </c>
      <c r="F28" s="59">
        <v>0.01</v>
      </c>
      <c r="G28" s="59">
        <v>28.62</v>
      </c>
      <c r="H28" s="59">
        <v>10.7</v>
      </c>
      <c r="I28" s="59">
        <v>0.57999999999999996</v>
      </c>
      <c r="J28" s="59">
        <v>0.06</v>
      </c>
      <c r="K28" s="59">
        <v>137.87</v>
      </c>
      <c r="L28" s="59">
        <v>17.77</v>
      </c>
      <c r="M28" s="59">
        <v>84</v>
      </c>
      <c r="N28" s="59">
        <v>24.3</v>
      </c>
      <c r="O28" s="59">
        <v>0</v>
      </c>
      <c r="P28" s="59">
        <v>1.55</v>
      </c>
      <c r="Q28" s="59">
        <v>36.56</v>
      </c>
      <c r="R28" s="197"/>
      <c r="S28" s="197"/>
      <c r="T28" s="197"/>
      <c r="U28" s="197"/>
    </row>
    <row r="29" spans="1:21" s="12" customFormat="1" x14ac:dyDescent="0.25">
      <c r="A29" s="200" t="s">
        <v>2764</v>
      </c>
      <c r="B29" s="59">
        <v>52.54</v>
      </c>
      <c r="C29" s="59">
        <v>88.66</v>
      </c>
      <c r="D29" s="59">
        <v>91.06</v>
      </c>
      <c r="E29" s="59">
        <v>4.05</v>
      </c>
      <c r="F29" s="209" t="s">
        <v>36</v>
      </c>
      <c r="G29" s="59">
        <v>45.52</v>
      </c>
      <c r="H29" s="59">
        <v>12.36</v>
      </c>
      <c r="I29" s="59">
        <v>0.56999999999999995</v>
      </c>
      <c r="J29" s="59">
        <v>7.0000000000000007E-2</v>
      </c>
      <c r="K29" s="59">
        <v>49.09</v>
      </c>
      <c r="L29" s="59">
        <v>17.829999999999998</v>
      </c>
      <c r="M29" s="59">
        <v>84</v>
      </c>
      <c r="N29" s="59">
        <v>24.3</v>
      </c>
      <c r="O29" s="59">
        <v>0</v>
      </c>
      <c r="P29" s="59">
        <v>1.51</v>
      </c>
      <c r="Q29" s="59">
        <v>36.520000000000003</v>
      </c>
      <c r="R29" s="197"/>
      <c r="S29" s="197"/>
      <c r="T29" s="197"/>
      <c r="U29" s="197"/>
    </row>
    <row r="30" spans="1:21" s="12" customFormat="1" x14ac:dyDescent="0.25">
      <c r="A30" s="200" t="s">
        <v>2765</v>
      </c>
      <c r="B30" s="59">
        <v>55.22</v>
      </c>
      <c r="C30" s="59">
        <v>90.37</v>
      </c>
      <c r="D30" s="59">
        <v>94.15</v>
      </c>
      <c r="E30" s="59">
        <v>4.49</v>
      </c>
      <c r="F30" s="209" t="s">
        <v>36</v>
      </c>
      <c r="G30" s="59">
        <v>57.98</v>
      </c>
      <c r="H30" s="59">
        <v>14.54</v>
      </c>
      <c r="I30" s="59">
        <v>0.56000000000000005</v>
      </c>
      <c r="J30" s="59">
        <v>0.08</v>
      </c>
      <c r="K30" s="59">
        <v>344.51</v>
      </c>
      <c r="L30" s="59">
        <v>17.77</v>
      </c>
      <c r="M30" s="59">
        <v>85</v>
      </c>
      <c r="N30" s="59">
        <v>24.4</v>
      </c>
      <c r="O30" s="59">
        <v>0</v>
      </c>
      <c r="P30" s="59">
        <v>1.5</v>
      </c>
      <c r="Q30" s="59">
        <v>37.229999999999997</v>
      </c>
      <c r="R30" s="197"/>
      <c r="S30" s="197"/>
      <c r="T30" s="197"/>
      <c r="U30" s="197"/>
    </row>
    <row r="31" spans="1:21" s="12" customFormat="1" x14ac:dyDescent="0.25">
      <c r="A31" s="200" t="s">
        <v>2766</v>
      </c>
      <c r="B31" s="59">
        <v>58.51</v>
      </c>
      <c r="C31" s="59">
        <v>90.37</v>
      </c>
      <c r="D31" s="59">
        <v>96.8</v>
      </c>
      <c r="E31" s="59">
        <v>4.12</v>
      </c>
      <c r="F31" s="209" t="s">
        <v>36</v>
      </c>
      <c r="G31" s="59">
        <v>57.98</v>
      </c>
      <c r="H31" s="59">
        <v>14.54</v>
      </c>
      <c r="I31" s="59">
        <v>0.55000000000000004</v>
      </c>
      <c r="J31" s="59">
        <v>0.08</v>
      </c>
      <c r="K31" s="59">
        <v>118.5</v>
      </c>
      <c r="L31" s="59">
        <v>17.690000000000001</v>
      </c>
      <c r="M31" s="59">
        <v>85</v>
      </c>
      <c r="N31" s="59">
        <v>24.4</v>
      </c>
      <c r="O31" s="59">
        <v>0</v>
      </c>
      <c r="P31" s="59">
        <v>1.47</v>
      </c>
      <c r="Q31" s="59">
        <v>38.729999999999997</v>
      </c>
      <c r="R31" s="197"/>
      <c r="S31" s="197"/>
      <c r="T31" s="197"/>
      <c r="U31" s="197"/>
    </row>
    <row r="32" spans="1:21" s="12" customFormat="1" x14ac:dyDescent="0.25">
      <c r="A32" s="200" t="s">
        <v>2767</v>
      </c>
      <c r="B32" s="59">
        <v>64.14</v>
      </c>
      <c r="C32" s="59">
        <v>90.53</v>
      </c>
      <c r="D32" s="59">
        <v>101.4</v>
      </c>
      <c r="E32" s="59">
        <v>4.1500000000000004</v>
      </c>
      <c r="F32" s="209" t="s">
        <v>36</v>
      </c>
      <c r="G32" s="59">
        <v>57.98</v>
      </c>
      <c r="H32" s="59">
        <v>14.54</v>
      </c>
      <c r="I32" s="59">
        <v>0.55000000000000004</v>
      </c>
      <c r="J32" s="59">
        <v>0.04</v>
      </c>
      <c r="K32" s="59">
        <v>43.26</v>
      </c>
      <c r="L32" s="59">
        <v>17.89</v>
      </c>
      <c r="M32" s="59">
        <v>85</v>
      </c>
      <c r="N32" s="59">
        <v>24.3</v>
      </c>
      <c r="O32" s="59">
        <v>0</v>
      </c>
      <c r="P32" s="59">
        <v>1.46</v>
      </c>
      <c r="Q32" s="59">
        <v>39.69</v>
      </c>
      <c r="R32" s="197"/>
      <c r="S32" s="197"/>
      <c r="T32" s="197"/>
      <c r="U32" s="197"/>
    </row>
    <row r="33" spans="1:21" s="12" customFormat="1" x14ac:dyDescent="0.25">
      <c r="A33" s="200" t="s">
        <v>2768</v>
      </c>
      <c r="B33" s="59">
        <v>72.790000000000006</v>
      </c>
      <c r="C33" s="59">
        <v>100.03</v>
      </c>
      <c r="D33" s="59">
        <v>113.57</v>
      </c>
      <c r="E33" s="59">
        <v>4.51</v>
      </c>
      <c r="F33" s="209" t="s">
        <v>36</v>
      </c>
      <c r="G33" s="59">
        <v>72.91</v>
      </c>
      <c r="H33" s="59">
        <v>18.27</v>
      </c>
      <c r="I33" s="59">
        <v>0.55000000000000004</v>
      </c>
      <c r="J33" s="59">
        <v>0.1</v>
      </c>
      <c r="K33" s="59">
        <v>13.52</v>
      </c>
      <c r="L33" s="59">
        <v>17.73</v>
      </c>
      <c r="M33" s="59">
        <v>86</v>
      </c>
      <c r="N33" s="59">
        <v>24.4</v>
      </c>
      <c r="O33" s="59">
        <v>0</v>
      </c>
      <c r="P33" s="59">
        <v>1.48</v>
      </c>
      <c r="Q33" s="59">
        <v>40.69</v>
      </c>
      <c r="R33" s="197"/>
      <c r="S33" s="197"/>
      <c r="T33" s="197"/>
      <c r="U33" s="197"/>
    </row>
    <row r="34" spans="1:21" s="12" customFormat="1" x14ac:dyDescent="0.25">
      <c r="A34" s="200" t="s">
        <v>2769</v>
      </c>
      <c r="B34" s="59">
        <v>79.17</v>
      </c>
      <c r="C34" s="59">
        <v>107.12</v>
      </c>
      <c r="D34" s="59">
        <v>122.6</v>
      </c>
      <c r="E34" s="59">
        <v>4.0999999999999996</v>
      </c>
      <c r="F34" s="209" t="s">
        <v>36</v>
      </c>
      <c r="G34" s="59">
        <v>83.63</v>
      </c>
      <c r="H34" s="59">
        <v>23.15</v>
      </c>
      <c r="I34" s="59">
        <v>0.54</v>
      </c>
      <c r="J34" s="59">
        <v>0.09</v>
      </c>
      <c r="K34" s="59">
        <v>256.04000000000002</v>
      </c>
      <c r="L34" s="59">
        <v>17.77</v>
      </c>
      <c r="M34" s="59">
        <v>86</v>
      </c>
      <c r="N34" s="59">
        <v>24.8</v>
      </c>
      <c r="O34" s="59">
        <v>0</v>
      </c>
      <c r="P34" s="59">
        <v>1.47</v>
      </c>
      <c r="Q34" s="59">
        <v>41.57</v>
      </c>
      <c r="R34" s="197"/>
      <c r="S34" s="197"/>
      <c r="T34" s="197"/>
      <c r="U34" s="197"/>
    </row>
    <row r="35" spans="1:21" s="12" customFormat="1" x14ac:dyDescent="0.25">
      <c r="A35" s="200" t="s">
        <v>2770</v>
      </c>
      <c r="B35" s="59">
        <v>85.76</v>
      </c>
      <c r="C35" s="59">
        <v>112.05</v>
      </c>
      <c r="D35" s="59">
        <v>130.61000000000001</v>
      </c>
      <c r="E35" s="59">
        <v>4.03</v>
      </c>
      <c r="F35" s="209" t="s">
        <v>36</v>
      </c>
      <c r="G35" s="59">
        <v>83.63</v>
      </c>
      <c r="H35" s="59">
        <v>23.15</v>
      </c>
      <c r="I35" s="59">
        <v>0.53</v>
      </c>
      <c r="J35" s="59">
        <v>0.06</v>
      </c>
      <c r="K35" s="59">
        <v>268.07</v>
      </c>
      <c r="L35" s="59">
        <v>17.84</v>
      </c>
      <c r="M35" s="59">
        <v>87</v>
      </c>
      <c r="N35" s="59">
        <v>27.7</v>
      </c>
      <c r="O35" s="59">
        <v>0</v>
      </c>
      <c r="P35" s="59">
        <v>1.47</v>
      </c>
      <c r="Q35" s="59">
        <v>41.43</v>
      </c>
      <c r="R35" s="197"/>
      <c r="S35" s="197"/>
      <c r="T35" s="197"/>
      <c r="U35" s="197"/>
    </row>
    <row r="36" spans="1:21" s="12" customFormat="1" x14ac:dyDescent="0.25">
      <c r="A36" s="200" t="s">
        <v>2771</v>
      </c>
      <c r="B36" s="59">
        <v>94.58</v>
      </c>
      <c r="C36" s="59">
        <v>117.38</v>
      </c>
      <c r="D36" s="59">
        <v>140.62</v>
      </c>
      <c r="E36" s="59">
        <v>4.47</v>
      </c>
      <c r="F36" s="59">
        <v>0.02</v>
      </c>
      <c r="G36" s="59">
        <v>83.63</v>
      </c>
      <c r="H36" s="59">
        <v>23.15</v>
      </c>
      <c r="I36" s="59">
        <v>0.52</v>
      </c>
      <c r="J36" s="59">
        <v>0.02</v>
      </c>
      <c r="K36" s="59">
        <v>96.58</v>
      </c>
      <c r="L36" s="59">
        <v>18.22</v>
      </c>
      <c r="M36" s="59">
        <v>85</v>
      </c>
      <c r="N36" s="59">
        <v>35.799999999999997</v>
      </c>
      <c r="O36" s="59">
        <v>0</v>
      </c>
      <c r="P36" s="59">
        <v>1.49</v>
      </c>
      <c r="Q36" s="59">
        <v>41.67</v>
      </c>
      <c r="R36" s="197"/>
      <c r="S36" s="197"/>
      <c r="T36" s="197"/>
      <c r="U36" s="197"/>
    </row>
    <row r="37" spans="1:21" s="12" customFormat="1" x14ac:dyDescent="0.25">
      <c r="A37" s="200" t="s">
        <v>2772</v>
      </c>
      <c r="B37" s="59">
        <v>101.11</v>
      </c>
      <c r="C37" s="59">
        <v>121.29</v>
      </c>
      <c r="D37" s="59">
        <v>148.02000000000001</v>
      </c>
      <c r="E37" s="59">
        <v>3.99</v>
      </c>
      <c r="F37" s="59">
        <v>0.13</v>
      </c>
      <c r="G37" s="59">
        <v>85.19</v>
      </c>
      <c r="H37" s="59">
        <v>24.33</v>
      </c>
      <c r="I37" s="59">
        <v>0.52</v>
      </c>
      <c r="J37" s="59">
        <v>0.09</v>
      </c>
      <c r="K37" s="59">
        <v>329.31</v>
      </c>
      <c r="L37" s="59">
        <v>18.739999999999998</v>
      </c>
      <c r="M37" s="59">
        <v>82</v>
      </c>
      <c r="N37" s="59">
        <v>45</v>
      </c>
      <c r="O37" s="59">
        <v>0</v>
      </c>
      <c r="P37" s="59">
        <v>1.45</v>
      </c>
      <c r="Q37" s="59">
        <v>42.05</v>
      </c>
      <c r="R37" s="197"/>
      <c r="S37" s="197"/>
      <c r="T37" s="197"/>
      <c r="U37" s="197"/>
    </row>
    <row r="38" spans="1:21" s="12" customFormat="1" x14ac:dyDescent="0.25">
      <c r="A38" s="200" t="s">
        <v>2773</v>
      </c>
      <c r="B38" s="59">
        <v>108.47</v>
      </c>
      <c r="C38" s="59">
        <v>122.78</v>
      </c>
      <c r="D38" s="59">
        <v>154.75</v>
      </c>
      <c r="E38" s="59">
        <v>4.41</v>
      </c>
      <c r="F38" s="59">
        <v>0.14000000000000001</v>
      </c>
      <c r="G38" s="59">
        <v>87.99</v>
      </c>
      <c r="H38" s="59">
        <v>25.88</v>
      </c>
      <c r="I38" s="59">
        <v>0.52</v>
      </c>
      <c r="J38" s="59">
        <v>0.03</v>
      </c>
      <c r="K38" s="59">
        <v>235.59</v>
      </c>
      <c r="L38" s="59">
        <v>19.010000000000002</v>
      </c>
      <c r="M38" s="59">
        <v>82</v>
      </c>
      <c r="N38" s="59">
        <v>53.8</v>
      </c>
      <c r="O38" s="59">
        <v>0</v>
      </c>
      <c r="P38" s="59">
        <v>1.56</v>
      </c>
      <c r="Q38" s="59">
        <v>42.9</v>
      </c>
      <c r="R38" s="197"/>
      <c r="S38" s="197"/>
      <c r="T38" s="197"/>
      <c r="U38" s="197"/>
    </row>
    <row r="39" spans="1:21" s="12" customFormat="1" x14ac:dyDescent="0.25">
      <c r="A39" s="200" t="s">
        <v>2774</v>
      </c>
      <c r="B39" s="59">
        <v>110.56</v>
      </c>
      <c r="C39" s="59">
        <v>123.04</v>
      </c>
      <c r="D39" s="59">
        <v>156.56</v>
      </c>
      <c r="E39" s="59">
        <v>4.09</v>
      </c>
      <c r="F39" s="59">
        <v>0.03</v>
      </c>
      <c r="G39" s="59">
        <v>87.99</v>
      </c>
      <c r="H39" s="59">
        <v>25.88</v>
      </c>
      <c r="I39" s="59">
        <v>0.52</v>
      </c>
      <c r="J39" s="59">
        <v>0.2</v>
      </c>
      <c r="K39" s="59">
        <v>182.16</v>
      </c>
      <c r="L39" s="59">
        <v>19.95</v>
      </c>
      <c r="M39" s="59">
        <v>76</v>
      </c>
      <c r="N39" s="59">
        <v>88.4</v>
      </c>
      <c r="O39" s="59">
        <v>0</v>
      </c>
      <c r="P39" s="59">
        <v>1.58</v>
      </c>
      <c r="Q39" s="59">
        <v>39.26</v>
      </c>
      <c r="R39" s="197"/>
      <c r="S39" s="197"/>
      <c r="T39" s="197"/>
      <c r="U39" s="197"/>
    </row>
    <row r="40" spans="1:21" s="12" customFormat="1" x14ac:dyDescent="0.25">
      <c r="A40" s="200" t="s">
        <v>2775</v>
      </c>
      <c r="B40" s="59">
        <v>108.01</v>
      </c>
      <c r="C40" s="59">
        <v>125.64</v>
      </c>
      <c r="D40" s="59">
        <v>155.94999999999999</v>
      </c>
      <c r="E40" s="59">
        <v>2.31</v>
      </c>
      <c r="F40" s="59">
        <v>7.0000000000000007E-2</v>
      </c>
      <c r="G40" s="59">
        <v>87.99</v>
      </c>
      <c r="H40" s="59">
        <v>25.88</v>
      </c>
      <c r="I40" s="59">
        <v>0.53</v>
      </c>
      <c r="J40" s="59">
        <v>0.49</v>
      </c>
      <c r="K40" s="59">
        <v>146.91</v>
      </c>
      <c r="L40" s="59">
        <v>21.77</v>
      </c>
      <c r="M40" s="59">
        <v>67</v>
      </c>
      <c r="N40" s="59">
        <v>176.5</v>
      </c>
      <c r="O40" s="59">
        <v>0</v>
      </c>
      <c r="P40" s="59">
        <v>1.56</v>
      </c>
      <c r="Q40" s="59">
        <v>39.83</v>
      </c>
      <c r="R40" s="197"/>
      <c r="S40" s="197"/>
      <c r="T40" s="197"/>
      <c r="U40" s="197"/>
    </row>
    <row r="41" spans="1:21" s="12" customFormat="1" x14ac:dyDescent="0.25">
      <c r="A41" s="200" t="s">
        <v>2776</v>
      </c>
      <c r="B41" s="59">
        <v>103.59</v>
      </c>
      <c r="C41" s="59">
        <v>123.61</v>
      </c>
      <c r="D41" s="59">
        <v>151.29</v>
      </c>
      <c r="E41" s="59">
        <v>4.58</v>
      </c>
      <c r="F41" s="59">
        <v>0.06</v>
      </c>
      <c r="G41" s="59">
        <v>82.48</v>
      </c>
      <c r="H41" s="59">
        <v>28.07</v>
      </c>
      <c r="I41" s="59">
        <v>0.54</v>
      </c>
      <c r="J41" s="59">
        <v>0.75</v>
      </c>
      <c r="K41" s="59">
        <v>170.24</v>
      </c>
      <c r="L41" s="59">
        <v>22.99</v>
      </c>
      <c r="M41" s="59">
        <v>64</v>
      </c>
      <c r="N41" s="59">
        <v>213.7</v>
      </c>
      <c r="O41" s="59">
        <v>0</v>
      </c>
      <c r="P41" s="59">
        <v>1.54</v>
      </c>
      <c r="Q41" s="59">
        <v>39.46</v>
      </c>
      <c r="R41" s="197"/>
      <c r="S41" s="197"/>
      <c r="T41" s="197"/>
      <c r="U41" s="197"/>
    </row>
    <row r="42" spans="1:21" s="12" customFormat="1" x14ac:dyDescent="0.25">
      <c r="A42" s="200" t="s">
        <v>2777</v>
      </c>
      <c r="B42" s="59">
        <v>98.53</v>
      </c>
      <c r="C42" s="59">
        <v>122.29</v>
      </c>
      <c r="D42" s="59">
        <v>146.5</v>
      </c>
      <c r="E42" s="59">
        <v>5.0599999999999996</v>
      </c>
      <c r="F42" s="59">
        <v>0.03</v>
      </c>
      <c r="G42" s="59">
        <v>78.53</v>
      </c>
      <c r="H42" s="59">
        <v>30.94</v>
      </c>
      <c r="I42" s="59">
        <v>0.54</v>
      </c>
      <c r="J42" s="59">
        <v>0.66</v>
      </c>
      <c r="K42" s="59">
        <v>191.52</v>
      </c>
      <c r="L42" s="59">
        <v>22.87</v>
      </c>
      <c r="M42" s="59">
        <v>66</v>
      </c>
      <c r="N42" s="59">
        <v>248.4</v>
      </c>
      <c r="O42" s="59">
        <v>0</v>
      </c>
      <c r="P42" s="59">
        <v>1.5</v>
      </c>
      <c r="Q42" s="59">
        <v>39.950000000000003</v>
      </c>
      <c r="R42" s="197"/>
      <c r="S42" s="197"/>
      <c r="T42" s="197"/>
      <c r="U42" s="197"/>
    </row>
    <row r="43" spans="1:21" s="12" customFormat="1" x14ac:dyDescent="0.25">
      <c r="A43" s="200" t="s">
        <v>2778</v>
      </c>
      <c r="B43" s="59">
        <v>93.21</v>
      </c>
      <c r="C43" s="59">
        <v>117.62</v>
      </c>
      <c r="D43" s="59">
        <v>139.66</v>
      </c>
      <c r="E43" s="59">
        <v>4.3</v>
      </c>
      <c r="F43" s="59">
        <v>0.11</v>
      </c>
      <c r="G43" s="59">
        <v>78.53</v>
      </c>
      <c r="H43" s="59">
        <v>30.94</v>
      </c>
      <c r="I43" s="59">
        <v>0.55000000000000004</v>
      </c>
      <c r="J43" s="59">
        <v>1.23</v>
      </c>
      <c r="K43" s="59">
        <v>170.55</v>
      </c>
      <c r="L43" s="59">
        <v>23.27</v>
      </c>
      <c r="M43" s="59">
        <v>67</v>
      </c>
      <c r="N43" s="59">
        <v>275.39999999999998</v>
      </c>
      <c r="O43" s="59">
        <v>0</v>
      </c>
      <c r="P43" s="59">
        <v>1.45</v>
      </c>
      <c r="Q43" s="59">
        <v>39.53</v>
      </c>
      <c r="R43" s="197"/>
      <c r="S43" s="197"/>
      <c r="T43" s="197"/>
      <c r="U43" s="197"/>
    </row>
    <row r="44" spans="1:21" s="12" customFormat="1" x14ac:dyDescent="0.25">
      <c r="A44" s="200" t="s">
        <v>2779</v>
      </c>
      <c r="B44" s="59">
        <v>88.23</v>
      </c>
      <c r="C44" s="59">
        <v>112.03</v>
      </c>
      <c r="D44" s="59">
        <v>132.58000000000001</v>
      </c>
      <c r="E44" s="59">
        <v>3.9</v>
      </c>
      <c r="F44" s="59">
        <v>0.12</v>
      </c>
      <c r="G44" s="59">
        <v>78.53</v>
      </c>
      <c r="H44" s="59">
        <v>30.94</v>
      </c>
      <c r="I44" s="59">
        <v>0.54</v>
      </c>
      <c r="J44" s="59">
        <v>1.32</v>
      </c>
      <c r="K44" s="59">
        <v>172.26</v>
      </c>
      <c r="L44" s="59">
        <v>23.85</v>
      </c>
      <c r="M44" s="59">
        <v>66</v>
      </c>
      <c r="N44" s="59">
        <v>298.7</v>
      </c>
      <c r="O44" s="59">
        <v>0</v>
      </c>
      <c r="P44" s="59">
        <v>1.4</v>
      </c>
      <c r="Q44" s="59">
        <v>40.15</v>
      </c>
      <c r="R44" s="197"/>
      <c r="S44" s="197"/>
      <c r="T44" s="197"/>
      <c r="U44" s="197"/>
    </row>
    <row r="45" spans="1:21" s="12" customFormat="1" x14ac:dyDescent="0.25">
      <c r="A45" s="200" t="s">
        <v>2780</v>
      </c>
      <c r="B45" s="59">
        <v>82.17</v>
      </c>
      <c r="C45" s="59">
        <v>107.89</v>
      </c>
      <c r="D45" s="59">
        <v>125.43</v>
      </c>
      <c r="E45" s="59">
        <v>4.1100000000000003</v>
      </c>
      <c r="F45" s="59">
        <v>0.09</v>
      </c>
      <c r="G45" s="59">
        <v>51.95</v>
      </c>
      <c r="H45" s="59">
        <v>29.14</v>
      </c>
      <c r="I45" s="59">
        <v>0.53</v>
      </c>
      <c r="J45" s="59">
        <v>1.31</v>
      </c>
      <c r="K45" s="59">
        <v>170.66</v>
      </c>
      <c r="L45" s="59">
        <v>24.62</v>
      </c>
      <c r="M45" s="59">
        <v>64</v>
      </c>
      <c r="N45" s="59">
        <v>315.5</v>
      </c>
      <c r="O45" s="59">
        <v>0</v>
      </c>
      <c r="P45" s="59">
        <v>1.35</v>
      </c>
      <c r="Q45" s="59">
        <v>37.56</v>
      </c>
      <c r="R45" s="197"/>
      <c r="S45" s="197"/>
      <c r="T45" s="197"/>
      <c r="U45" s="197"/>
    </row>
    <row r="46" spans="1:21" s="12" customFormat="1" x14ac:dyDescent="0.25">
      <c r="A46" s="200" t="s">
        <v>2781</v>
      </c>
      <c r="B46" s="59">
        <v>77.13</v>
      </c>
      <c r="C46" s="59">
        <v>109.42</v>
      </c>
      <c r="D46" s="59">
        <v>122.23</v>
      </c>
      <c r="E46" s="59">
        <v>4.1500000000000004</v>
      </c>
      <c r="F46" s="59">
        <v>0.09</v>
      </c>
      <c r="G46" s="59">
        <v>32.880000000000003</v>
      </c>
      <c r="H46" s="59">
        <v>26.89</v>
      </c>
      <c r="I46" s="59">
        <v>0.51</v>
      </c>
      <c r="J46" s="59">
        <v>0.14000000000000001</v>
      </c>
      <c r="K46" s="59">
        <v>195.13</v>
      </c>
      <c r="L46" s="59">
        <v>25.51</v>
      </c>
      <c r="M46" s="59">
        <v>61</v>
      </c>
      <c r="N46" s="59">
        <v>320.39999999999998</v>
      </c>
      <c r="O46" s="59">
        <v>0</v>
      </c>
      <c r="P46" s="59">
        <v>1.29</v>
      </c>
      <c r="Q46" s="59">
        <v>39.729999999999997</v>
      </c>
      <c r="R46" s="197"/>
      <c r="S46" s="197"/>
      <c r="T46" s="197"/>
      <c r="U46" s="197"/>
    </row>
    <row r="47" spans="1:21" s="12" customFormat="1" x14ac:dyDescent="0.25">
      <c r="A47" s="200" t="s">
        <v>2782</v>
      </c>
      <c r="B47" s="59">
        <v>69.87</v>
      </c>
      <c r="C47" s="59">
        <v>106.65</v>
      </c>
      <c r="D47" s="59">
        <v>114.89</v>
      </c>
      <c r="E47" s="59">
        <v>4.22</v>
      </c>
      <c r="F47" s="59">
        <v>0.2</v>
      </c>
      <c r="G47" s="59">
        <v>32.880000000000003</v>
      </c>
      <c r="H47" s="59">
        <v>26.89</v>
      </c>
      <c r="I47" s="59">
        <v>0.5</v>
      </c>
      <c r="J47" s="59">
        <v>0.13</v>
      </c>
      <c r="K47" s="59">
        <v>162.12</v>
      </c>
      <c r="L47" s="59">
        <v>26.88</v>
      </c>
      <c r="M47" s="59">
        <v>57</v>
      </c>
      <c r="N47" s="59">
        <v>327.10000000000002</v>
      </c>
      <c r="O47" s="59">
        <v>0</v>
      </c>
      <c r="P47" s="59">
        <v>1.22</v>
      </c>
      <c r="Q47" s="59">
        <v>40.520000000000003</v>
      </c>
      <c r="R47" s="197"/>
      <c r="S47" s="197"/>
      <c r="T47" s="197"/>
      <c r="U47" s="197"/>
    </row>
    <row r="48" spans="1:21" s="12" customFormat="1" x14ac:dyDescent="0.25">
      <c r="A48" s="200" t="s">
        <v>2783</v>
      </c>
      <c r="B48" s="59">
        <v>61.43</v>
      </c>
      <c r="C48" s="59">
        <v>103.32</v>
      </c>
      <c r="D48" s="59">
        <v>106.28</v>
      </c>
      <c r="E48" s="59">
        <v>4.09</v>
      </c>
      <c r="F48" s="59">
        <v>0.1</v>
      </c>
      <c r="G48" s="59">
        <v>32.880000000000003</v>
      </c>
      <c r="H48" s="59">
        <v>26.89</v>
      </c>
      <c r="I48" s="59">
        <v>0.48</v>
      </c>
      <c r="J48" s="59">
        <v>0.17</v>
      </c>
      <c r="K48" s="59">
        <v>16.84</v>
      </c>
      <c r="L48" s="59">
        <v>29.23</v>
      </c>
      <c r="M48" s="59">
        <v>50</v>
      </c>
      <c r="N48" s="59">
        <v>330.2</v>
      </c>
      <c r="O48" s="59">
        <v>0</v>
      </c>
      <c r="P48" s="59">
        <v>1.18</v>
      </c>
      <c r="Q48" s="59">
        <v>40.159999999999997</v>
      </c>
      <c r="R48" s="197"/>
      <c r="S48" s="197"/>
      <c r="T48" s="197"/>
      <c r="U48" s="197"/>
    </row>
    <row r="49" spans="1:21" s="12" customFormat="1" x14ac:dyDescent="0.25">
      <c r="A49" s="200" t="s">
        <v>2784</v>
      </c>
      <c r="B49" s="59">
        <v>57.43</v>
      </c>
      <c r="C49" s="59">
        <v>102.94</v>
      </c>
      <c r="D49" s="59">
        <v>102.86</v>
      </c>
      <c r="E49" s="59">
        <v>3.66</v>
      </c>
      <c r="F49" s="59">
        <v>7.0000000000000007E-2</v>
      </c>
      <c r="G49" s="59">
        <v>29.18</v>
      </c>
      <c r="H49" s="59">
        <v>24.77</v>
      </c>
      <c r="I49" s="59">
        <v>0.45</v>
      </c>
      <c r="J49" s="59">
        <v>0.25</v>
      </c>
      <c r="K49" s="59">
        <v>13.68</v>
      </c>
      <c r="L49" s="59">
        <v>30.84</v>
      </c>
      <c r="M49" s="59">
        <v>47</v>
      </c>
      <c r="N49" s="59">
        <v>339</v>
      </c>
      <c r="O49" s="59">
        <v>0</v>
      </c>
      <c r="P49" s="59">
        <v>1.17</v>
      </c>
      <c r="Q49" s="59">
        <v>39.869999999999997</v>
      </c>
      <c r="R49" s="197"/>
      <c r="S49" s="197"/>
      <c r="T49" s="197"/>
      <c r="U49" s="197"/>
    </row>
    <row r="50" spans="1:21" s="12" customFormat="1" x14ac:dyDescent="0.25">
      <c r="A50" s="200" t="s">
        <v>2785</v>
      </c>
      <c r="B50" s="59">
        <v>52.65</v>
      </c>
      <c r="C50" s="59">
        <v>101.7</v>
      </c>
      <c r="D50" s="59">
        <v>98.34</v>
      </c>
      <c r="E50" s="59">
        <v>3.86</v>
      </c>
      <c r="F50" s="214" t="s">
        <v>47</v>
      </c>
      <c r="G50" s="59">
        <v>26.52</v>
      </c>
      <c r="H50" s="59">
        <v>22.12</v>
      </c>
      <c r="I50" s="59">
        <v>0.42</v>
      </c>
      <c r="J50" s="59">
        <v>0.14000000000000001</v>
      </c>
      <c r="K50" s="59">
        <v>9.11</v>
      </c>
      <c r="L50" s="59">
        <v>29.85</v>
      </c>
      <c r="M50" s="59">
        <v>50</v>
      </c>
      <c r="N50" s="59">
        <v>355.4</v>
      </c>
      <c r="O50" s="59">
        <v>0</v>
      </c>
      <c r="P50" s="59">
        <v>1.1599999999999999</v>
      </c>
      <c r="Q50" s="59">
        <v>40.5</v>
      </c>
      <c r="R50" s="197"/>
      <c r="S50" s="197"/>
      <c r="T50" s="197"/>
      <c r="U50" s="197"/>
    </row>
    <row r="51" spans="1:21" s="12" customFormat="1" x14ac:dyDescent="0.25">
      <c r="A51" s="200" t="s">
        <v>2786</v>
      </c>
      <c r="B51" s="59">
        <v>46.27</v>
      </c>
      <c r="C51" s="59">
        <v>98.57</v>
      </c>
      <c r="D51" s="59">
        <v>91.51</v>
      </c>
      <c r="E51" s="59">
        <v>3.6</v>
      </c>
      <c r="F51" s="59">
        <v>0.01</v>
      </c>
      <c r="G51" s="59">
        <v>26.52</v>
      </c>
      <c r="H51" s="59">
        <v>22.12</v>
      </c>
      <c r="I51" s="59">
        <v>0.41</v>
      </c>
      <c r="J51" s="59">
        <v>0.22</v>
      </c>
      <c r="K51" s="59">
        <v>4.3600000000000003</v>
      </c>
      <c r="L51" s="59">
        <v>29.81</v>
      </c>
      <c r="M51" s="59">
        <v>51</v>
      </c>
      <c r="N51" s="59">
        <v>365.6</v>
      </c>
      <c r="O51" s="59">
        <v>0</v>
      </c>
      <c r="P51" s="59">
        <v>1.1000000000000001</v>
      </c>
      <c r="Q51" s="59">
        <v>38.04</v>
      </c>
      <c r="R51" s="197"/>
      <c r="S51" s="197"/>
      <c r="T51" s="197"/>
      <c r="U51" s="197"/>
    </row>
    <row r="52" spans="1:21" s="12" customFormat="1" x14ac:dyDescent="0.25">
      <c r="A52" s="200" t="s">
        <v>2787</v>
      </c>
      <c r="B52" s="59">
        <v>39.49</v>
      </c>
      <c r="C52" s="59">
        <v>98.16</v>
      </c>
      <c r="D52" s="59">
        <v>85.85</v>
      </c>
      <c r="E52" s="59">
        <v>3.25</v>
      </c>
      <c r="F52" s="59">
        <v>0.1</v>
      </c>
      <c r="G52" s="59">
        <v>26.52</v>
      </c>
      <c r="H52" s="59">
        <v>22.12</v>
      </c>
      <c r="I52" s="59">
        <v>0.39</v>
      </c>
      <c r="J52" s="59">
        <v>0.28000000000000003</v>
      </c>
      <c r="K52" s="59">
        <v>32.56</v>
      </c>
      <c r="L52" s="59">
        <v>30.34</v>
      </c>
      <c r="M52" s="59">
        <v>50</v>
      </c>
      <c r="N52" s="59">
        <v>358.4</v>
      </c>
      <c r="O52" s="59">
        <v>0</v>
      </c>
      <c r="P52" s="59">
        <v>1.04</v>
      </c>
      <c r="Q52" s="59">
        <v>37.049999999999997</v>
      </c>
      <c r="R52" s="197"/>
      <c r="S52" s="197"/>
      <c r="T52" s="197"/>
      <c r="U52" s="197"/>
    </row>
    <row r="53" spans="1:21" s="12" customFormat="1" x14ac:dyDescent="0.25">
      <c r="A53" s="200" t="s">
        <v>2788</v>
      </c>
      <c r="B53" s="59">
        <v>33.06</v>
      </c>
      <c r="C53" s="59">
        <v>85.78</v>
      </c>
      <c r="D53" s="59">
        <v>73.849999999999994</v>
      </c>
      <c r="E53" s="59">
        <v>2.75</v>
      </c>
      <c r="F53" s="59">
        <v>0.04</v>
      </c>
      <c r="G53" s="59">
        <v>30.71</v>
      </c>
      <c r="H53" s="59">
        <v>22.01</v>
      </c>
      <c r="I53" s="59">
        <v>0.37</v>
      </c>
      <c r="J53" s="59">
        <v>0.31</v>
      </c>
      <c r="K53" s="59">
        <v>37.49</v>
      </c>
      <c r="L53" s="59">
        <v>29.47</v>
      </c>
      <c r="M53" s="59">
        <v>52</v>
      </c>
      <c r="N53" s="59">
        <v>341.2</v>
      </c>
      <c r="O53" s="59">
        <v>0</v>
      </c>
      <c r="P53" s="59">
        <v>0.98</v>
      </c>
      <c r="Q53" s="59">
        <v>39.06</v>
      </c>
      <c r="R53" s="197"/>
      <c r="S53" s="197"/>
      <c r="T53" s="197"/>
      <c r="U53" s="197"/>
    </row>
    <row r="54" spans="1:21" s="12" customFormat="1" x14ac:dyDescent="0.25">
      <c r="A54" s="200" t="s">
        <v>2789</v>
      </c>
      <c r="B54" s="59">
        <v>25.69</v>
      </c>
      <c r="C54" s="59">
        <v>70.78</v>
      </c>
      <c r="D54" s="59">
        <v>59.67</v>
      </c>
      <c r="E54" s="59">
        <v>2.79</v>
      </c>
      <c r="F54" s="59">
        <v>0.01</v>
      </c>
      <c r="G54" s="59">
        <v>38.53</v>
      </c>
      <c r="H54" s="59">
        <v>21.86</v>
      </c>
      <c r="I54" s="59">
        <v>0.34</v>
      </c>
      <c r="J54" s="59">
        <v>0.22</v>
      </c>
      <c r="K54" s="59">
        <v>40.369999999999997</v>
      </c>
      <c r="L54" s="59">
        <v>30.04</v>
      </c>
      <c r="M54" s="59">
        <v>51</v>
      </c>
      <c r="N54" s="59">
        <v>360.7</v>
      </c>
      <c r="O54" s="59">
        <v>0</v>
      </c>
      <c r="P54" s="59">
        <v>0.92</v>
      </c>
      <c r="Q54" s="59">
        <v>34.29</v>
      </c>
      <c r="R54" s="197"/>
      <c r="S54" s="197"/>
      <c r="T54" s="197"/>
      <c r="U54" s="197"/>
    </row>
    <row r="55" spans="1:21" s="12" customFormat="1" x14ac:dyDescent="0.25">
      <c r="A55" s="200" t="s">
        <v>2790</v>
      </c>
      <c r="B55" s="59">
        <v>20.7</v>
      </c>
      <c r="C55" s="59">
        <v>97.51</v>
      </c>
      <c r="D55" s="59">
        <v>70.42</v>
      </c>
      <c r="E55" s="59">
        <v>2.91</v>
      </c>
      <c r="F55" s="59">
        <v>0.01</v>
      </c>
      <c r="G55" s="59">
        <v>38.53</v>
      </c>
      <c r="H55" s="59">
        <v>21.86</v>
      </c>
      <c r="I55" s="59">
        <v>0.31</v>
      </c>
      <c r="J55" s="59">
        <v>0.41</v>
      </c>
      <c r="K55" s="59">
        <v>6.42</v>
      </c>
      <c r="L55" s="59">
        <v>32.19</v>
      </c>
      <c r="M55" s="59">
        <v>46</v>
      </c>
      <c r="N55" s="59">
        <v>331.8</v>
      </c>
      <c r="O55" s="59">
        <v>0</v>
      </c>
      <c r="P55" s="59">
        <v>0.89</v>
      </c>
      <c r="Q55" s="59">
        <v>30.27</v>
      </c>
      <c r="R55" s="197"/>
      <c r="S55" s="197"/>
      <c r="T55" s="197"/>
      <c r="U55" s="197"/>
    </row>
    <row r="56" spans="1:21" s="12" customFormat="1" x14ac:dyDescent="0.25">
      <c r="A56" s="200" t="s">
        <v>2791</v>
      </c>
      <c r="B56" s="59">
        <v>18.690000000000001</v>
      </c>
      <c r="C56" s="59">
        <v>74.69</v>
      </c>
      <c r="D56" s="59">
        <v>56.21</v>
      </c>
      <c r="E56" s="59">
        <v>1.78</v>
      </c>
      <c r="F56" s="59">
        <v>0.43</v>
      </c>
      <c r="G56" s="59">
        <v>38.53</v>
      </c>
      <c r="H56" s="59">
        <v>21.86</v>
      </c>
      <c r="I56" s="59">
        <v>0.28000000000000003</v>
      </c>
      <c r="J56" s="59">
        <v>0.31</v>
      </c>
      <c r="K56" s="59">
        <v>357.35</v>
      </c>
      <c r="L56" s="59">
        <v>31.31</v>
      </c>
      <c r="M56" s="59">
        <v>49</v>
      </c>
      <c r="N56" s="59">
        <v>276.2</v>
      </c>
      <c r="O56" s="59">
        <v>0</v>
      </c>
      <c r="P56" s="59">
        <v>0.87</v>
      </c>
      <c r="Q56" s="59">
        <v>31.84</v>
      </c>
      <c r="R56" s="197"/>
      <c r="S56" s="197"/>
      <c r="T56" s="197"/>
      <c r="U56" s="197"/>
    </row>
    <row r="57" spans="1:21" s="12" customFormat="1" x14ac:dyDescent="0.25">
      <c r="A57" s="200" t="s">
        <v>2792</v>
      </c>
      <c r="B57" s="59">
        <v>16.27</v>
      </c>
      <c r="C57" s="59">
        <v>94.46</v>
      </c>
      <c r="D57" s="59">
        <v>65.180000000000007</v>
      </c>
      <c r="E57" s="59">
        <v>3.32</v>
      </c>
      <c r="F57" s="59">
        <v>0.26</v>
      </c>
      <c r="G57" s="59">
        <v>36.46</v>
      </c>
      <c r="H57" s="59">
        <v>22.98</v>
      </c>
      <c r="I57" s="59">
        <v>0.27</v>
      </c>
      <c r="J57" s="59">
        <v>0.38</v>
      </c>
      <c r="K57" s="59">
        <v>359.69</v>
      </c>
      <c r="L57" s="59">
        <v>31.12</v>
      </c>
      <c r="M57" s="59">
        <v>49</v>
      </c>
      <c r="N57" s="59">
        <v>312.89999999999998</v>
      </c>
      <c r="O57" s="59">
        <v>0</v>
      </c>
      <c r="P57" s="59">
        <v>0.85</v>
      </c>
      <c r="Q57" s="59">
        <v>30.03</v>
      </c>
      <c r="R57" s="197"/>
      <c r="S57" s="197"/>
      <c r="T57" s="197"/>
      <c r="U57" s="197"/>
    </row>
    <row r="58" spans="1:21" s="12" customFormat="1" x14ac:dyDescent="0.25">
      <c r="A58" s="200" t="s">
        <v>2793</v>
      </c>
      <c r="B58" s="59">
        <v>13.65</v>
      </c>
      <c r="C58" s="59">
        <v>63.02</v>
      </c>
      <c r="D58" s="59">
        <v>45.73</v>
      </c>
      <c r="E58" s="59">
        <v>3.45</v>
      </c>
      <c r="F58" s="59">
        <v>0.28999999999999998</v>
      </c>
      <c r="G58" s="59">
        <v>35.020000000000003</v>
      </c>
      <c r="H58" s="59">
        <v>24.39</v>
      </c>
      <c r="I58" s="59">
        <v>0.26</v>
      </c>
      <c r="J58" s="59">
        <v>0.28999999999999998</v>
      </c>
      <c r="K58" s="59">
        <v>18.600000000000001</v>
      </c>
      <c r="L58" s="59">
        <v>30.76</v>
      </c>
      <c r="M58" s="59">
        <v>48</v>
      </c>
      <c r="N58" s="59">
        <v>384.1</v>
      </c>
      <c r="O58" s="59">
        <v>0</v>
      </c>
      <c r="P58" s="59">
        <v>0.81</v>
      </c>
      <c r="Q58" s="59">
        <v>31.4</v>
      </c>
      <c r="R58" s="197"/>
      <c r="S58" s="197"/>
      <c r="T58" s="197"/>
      <c r="U58" s="197"/>
    </row>
    <row r="59" spans="1:21" s="12" customFormat="1" x14ac:dyDescent="0.25">
      <c r="A59" s="200" t="s">
        <v>2794</v>
      </c>
      <c r="B59" s="59">
        <v>9.86</v>
      </c>
      <c r="C59" s="59">
        <v>94.03</v>
      </c>
      <c r="D59" s="59">
        <v>59.8</v>
      </c>
      <c r="E59" s="59">
        <v>2.91</v>
      </c>
      <c r="F59" s="59">
        <v>0.43</v>
      </c>
      <c r="G59" s="59">
        <v>35.020000000000003</v>
      </c>
      <c r="H59" s="59">
        <v>24.39</v>
      </c>
      <c r="I59" s="59">
        <v>0.26</v>
      </c>
      <c r="J59" s="59">
        <v>0.24</v>
      </c>
      <c r="K59" s="59">
        <v>18.420000000000002</v>
      </c>
      <c r="L59" s="59">
        <v>31.41</v>
      </c>
      <c r="M59" s="59">
        <v>45</v>
      </c>
      <c r="N59" s="59">
        <v>391.6</v>
      </c>
      <c r="O59" s="59">
        <v>0</v>
      </c>
      <c r="P59" s="59">
        <v>0.78</v>
      </c>
      <c r="Q59" s="59">
        <v>27.84</v>
      </c>
      <c r="R59" s="197"/>
      <c r="S59" s="197"/>
      <c r="T59" s="197"/>
      <c r="U59" s="197"/>
    </row>
    <row r="60" spans="1:21" s="12" customFormat="1" x14ac:dyDescent="0.25">
      <c r="A60" s="200" t="s">
        <v>2795</v>
      </c>
      <c r="B60" s="59">
        <v>7.95</v>
      </c>
      <c r="C60" s="59">
        <v>69.790000000000006</v>
      </c>
      <c r="D60" s="59">
        <v>44.89</v>
      </c>
      <c r="E60" s="59">
        <v>3.16</v>
      </c>
      <c r="F60" s="59">
        <v>0.63</v>
      </c>
      <c r="G60" s="59">
        <v>35.020000000000003</v>
      </c>
      <c r="H60" s="59">
        <v>24.39</v>
      </c>
      <c r="I60" s="59">
        <v>0.25</v>
      </c>
      <c r="J60" s="59">
        <v>0.28999999999999998</v>
      </c>
      <c r="K60" s="59">
        <v>34.35</v>
      </c>
      <c r="L60" s="59">
        <v>32.21</v>
      </c>
      <c r="M60" s="59">
        <v>42</v>
      </c>
      <c r="N60" s="59">
        <v>370.4</v>
      </c>
      <c r="O60" s="59">
        <v>0</v>
      </c>
      <c r="P60" s="59">
        <v>0.75</v>
      </c>
      <c r="Q60" s="59">
        <v>31.54</v>
      </c>
      <c r="R60" s="197"/>
      <c r="S60" s="197"/>
      <c r="T60" s="197"/>
      <c r="U60" s="197"/>
    </row>
    <row r="61" spans="1:21" s="12" customFormat="1" x14ac:dyDescent="0.25">
      <c r="A61" s="200" t="s">
        <v>2796</v>
      </c>
      <c r="B61" s="59">
        <v>5.82</v>
      </c>
      <c r="C61" s="59">
        <v>66.53</v>
      </c>
      <c r="D61" s="59">
        <v>41.39</v>
      </c>
      <c r="E61" s="59">
        <v>2.9</v>
      </c>
      <c r="F61" s="59">
        <v>0.68</v>
      </c>
      <c r="G61" s="59">
        <v>34.67</v>
      </c>
      <c r="H61" s="59">
        <v>22.93</v>
      </c>
      <c r="I61" s="59">
        <v>0.23</v>
      </c>
      <c r="J61" s="59">
        <v>0.14000000000000001</v>
      </c>
      <c r="K61" s="59">
        <v>342</v>
      </c>
      <c r="L61" s="59">
        <v>31.17</v>
      </c>
      <c r="M61" s="59">
        <v>43</v>
      </c>
      <c r="N61" s="59">
        <v>249.3</v>
      </c>
      <c r="O61" s="59">
        <v>0</v>
      </c>
      <c r="P61" s="59">
        <v>0.7</v>
      </c>
      <c r="Q61" s="59">
        <v>32.700000000000003</v>
      </c>
      <c r="R61" s="197"/>
      <c r="S61" s="197"/>
      <c r="T61" s="197"/>
      <c r="U61" s="197"/>
    </row>
    <row r="62" spans="1:21" s="12" customFormat="1" x14ac:dyDescent="0.25">
      <c r="A62" s="200" t="s">
        <v>2797</v>
      </c>
      <c r="B62" s="59">
        <v>4.38</v>
      </c>
      <c r="C62" s="59">
        <v>65.84</v>
      </c>
      <c r="D62" s="59">
        <v>39.85</v>
      </c>
      <c r="E62" s="59">
        <v>2.38</v>
      </c>
      <c r="F62" s="59">
        <v>0.71</v>
      </c>
      <c r="G62" s="59">
        <v>34.42</v>
      </c>
      <c r="H62" s="59">
        <v>21.1</v>
      </c>
      <c r="I62" s="59">
        <v>0.22</v>
      </c>
      <c r="J62" s="59">
        <v>0.15</v>
      </c>
      <c r="K62" s="59">
        <v>2.5499999999999998</v>
      </c>
      <c r="L62" s="59">
        <v>30.53</v>
      </c>
      <c r="M62" s="59">
        <v>44</v>
      </c>
      <c r="N62" s="59">
        <v>278</v>
      </c>
      <c r="O62" s="59">
        <v>0</v>
      </c>
      <c r="P62" s="59">
        <v>0.7</v>
      </c>
      <c r="Q62" s="59">
        <v>32.630000000000003</v>
      </c>
      <c r="R62" s="197"/>
      <c r="S62" s="197"/>
      <c r="T62" s="197"/>
      <c r="U62" s="197"/>
    </row>
    <row r="63" spans="1:21" s="12" customFormat="1" x14ac:dyDescent="0.25">
      <c r="A63" s="200" t="s">
        <v>2798</v>
      </c>
      <c r="B63" s="59">
        <v>3.71</v>
      </c>
      <c r="C63" s="59">
        <v>67.8</v>
      </c>
      <c r="D63" s="59">
        <v>40.39</v>
      </c>
      <c r="E63" s="59">
        <v>2.9</v>
      </c>
      <c r="F63" s="59">
        <v>0.42</v>
      </c>
      <c r="G63" s="59">
        <v>34.42</v>
      </c>
      <c r="H63" s="59">
        <v>21.1</v>
      </c>
      <c r="I63" s="59">
        <v>0.21</v>
      </c>
      <c r="J63" s="59">
        <v>0.65</v>
      </c>
      <c r="K63" s="59">
        <v>353.8</v>
      </c>
      <c r="L63" s="59">
        <v>31.27</v>
      </c>
      <c r="M63" s="59">
        <v>42</v>
      </c>
      <c r="N63" s="59">
        <v>235.7</v>
      </c>
      <c r="O63" s="59">
        <v>0</v>
      </c>
      <c r="P63" s="59">
        <v>0.69</v>
      </c>
      <c r="Q63" s="59">
        <v>32.93</v>
      </c>
      <c r="R63" s="197"/>
      <c r="S63" s="197"/>
      <c r="T63" s="197"/>
      <c r="U63" s="197"/>
    </row>
    <row r="64" spans="1:21" s="12" customFormat="1" x14ac:dyDescent="0.25">
      <c r="A64" s="200" t="s">
        <v>2799</v>
      </c>
      <c r="B64" s="59">
        <v>3.64</v>
      </c>
      <c r="C64" s="59">
        <v>78.400000000000006</v>
      </c>
      <c r="D64" s="59">
        <v>46.18</v>
      </c>
      <c r="E64" s="59">
        <v>3.03</v>
      </c>
      <c r="F64" s="59">
        <v>0.5</v>
      </c>
      <c r="G64" s="59">
        <v>34.42</v>
      </c>
      <c r="H64" s="59">
        <v>21.1</v>
      </c>
      <c r="I64" s="209" t="s">
        <v>36</v>
      </c>
      <c r="J64" s="59">
        <v>0.57999999999999996</v>
      </c>
      <c r="K64" s="59">
        <v>2.62</v>
      </c>
      <c r="L64" s="59">
        <v>32.86</v>
      </c>
      <c r="M64" s="59">
        <v>37</v>
      </c>
      <c r="N64" s="59">
        <v>273.7</v>
      </c>
      <c r="O64" s="59">
        <v>0</v>
      </c>
      <c r="P64" s="59">
        <v>0.7</v>
      </c>
      <c r="Q64" s="59">
        <v>31.16</v>
      </c>
      <c r="R64" s="197"/>
      <c r="S64" s="197"/>
      <c r="T64" s="197"/>
      <c r="U64" s="197"/>
    </row>
    <row r="65" spans="1:21" s="12" customFormat="1" x14ac:dyDescent="0.25">
      <c r="A65" s="200" t="s">
        <v>2800</v>
      </c>
      <c r="B65" s="59">
        <v>3.32</v>
      </c>
      <c r="C65" s="59">
        <v>83.39</v>
      </c>
      <c r="D65" s="59">
        <v>48.69</v>
      </c>
      <c r="E65" s="59">
        <v>3.22</v>
      </c>
      <c r="F65" s="59">
        <v>0.6</v>
      </c>
      <c r="G65" s="59">
        <v>34.08</v>
      </c>
      <c r="H65" s="59">
        <v>19.43</v>
      </c>
      <c r="I65" s="209" t="s">
        <v>36</v>
      </c>
      <c r="J65" s="59">
        <v>0.44</v>
      </c>
      <c r="K65" s="59">
        <v>10.199999999999999</v>
      </c>
      <c r="L65" s="59">
        <v>31.36</v>
      </c>
      <c r="M65" s="59">
        <v>38</v>
      </c>
      <c r="N65" s="59">
        <v>281.60000000000002</v>
      </c>
      <c r="O65" s="59">
        <v>0</v>
      </c>
      <c r="P65" s="59">
        <v>0.72</v>
      </c>
      <c r="Q65" s="59">
        <v>31.35</v>
      </c>
      <c r="R65" s="197"/>
      <c r="S65" s="197"/>
      <c r="T65" s="197"/>
      <c r="U65" s="197"/>
    </row>
    <row r="66" spans="1:21" s="12" customFormat="1" x14ac:dyDescent="0.25">
      <c r="A66" s="200" t="s">
        <v>2801</v>
      </c>
      <c r="B66" s="59">
        <v>2.65</v>
      </c>
      <c r="C66" s="59">
        <v>87.83</v>
      </c>
      <c r="D66" s="59">
        <v>50.6</v>
      </c>
      <c r="E66" s="59">
        <v>2.67</v>
      </c>
      <c r="F66" s="59">
        <v>0.91</v>
      </c>
      <c r="G66" s="59">
        <v>33.85</v>
      </c>
      <c r="H66" s="59">
        <v>17.350000000000001</v>
      </c>
      <c r="I66" s="209" t="s">
        <v>36</v>
      </c>
      <c r="J66" s="59">
        <v>0.4</v>
      </c>
      <c r="K66" s="59">
        <v>12.66</v>
      </c>
      <c r="L66" s="59">
        <v>32.17</v>
      </c>
      <c r="M66" s="59">
        <v>35</v>
      </c>
      <c r="N66" s="59">
        <v>174</v>
      </c>
      <c r="O66" s="59">
        <v>0</v>
      </c>
      <c r="P66" s="59">
        <v>0.71</v>
      </c>
      <c r="Q66" s="59">
        <v>30.53</v>
      </c>
      <c r="R66" s="197"/>
      <c r="S66" s="197"/>
      <c r="T66" s="197"/>
      <c r="U66" s="197"/>
    </row>
    <row r="67" spans="1:21" s="12" customFormat="1" x14ac:dyDescent="0.25">
      <c r="A67" s="200" t="s">
        <v>2802</v>
      </c>
      <c r="B67" s="59">
        <v>2.61</v>
      </c>
      <c r="C67" s="59">
        <v>81.540000000000006</v>
      </c>
      <c r="D67" s="59">
        <v>47.09</v>
      </c>
      <c r="E67" s="59">
        <v>3.32</v>
      </c>
      <c r="F67" s="59">
        <v>1.25</v>
      </c>
      <c r="G67" s="59">
        <v>33.85</v>
      </c>
      <c r="H67" s="59">
        <v>17.350000000000001</v>
      </c>
      <c r="I67" s="209" t="s">
        <v>36</v>
      </c>
      <c r="J67" s="59">
        <v>0.41</v>
      </c>
      <c r="K67" s="59">
        <v>7.1</v>
      </c>
      <c r="L67" s="59">
        <v>32.950000000000003</v>
      </c>
      <c r="M67" s="59">
        <v>34</v>
      </c>
      <c r="N67" s="59">
        <v>180.9</v>
      </c>
      <c r="O67" s="59">
        <v>0</v>
      </c>
      <c r="P67" s="59">
        <v>0.7</v>
      </c>
      <c r="Q67" s="59">
        <v>31.92</v>
      </c>
      <c r="R67" s="197"/>
      <c r="S67" s="197"/>
      <c r="T67" s="197"/>
      <c r="U67" s="197"/>
    </row>
    <row r="68" spans="1:21" s="12" customFormat="1" x14ac:dyDescent="0.25">
      <c r="A68" s="200" t="s">
        <v>2803</v>
      </c>
      <c r="B68" s="59">
        <v>3.82</v>
      </c>
      <c r="C68" s="59">
        <v>58.75</v>
      </c>
      <c r="D68" s="59">
        <v>35.479999999999997</v>
      </c>
      <c r="E68" s="59">
        <v>2.68</v>
      </c>
      <c r="F68" s="59">
        <v>1.3</v>
      </c>
      <c r="G68" s="59">
        <v>33.85</v>
      </c>
      <c r="H68" s="59">
        <v>17.350000000000001</v>
      </c>
      <c r="I68" s="209" t="s">
        <v>36</v>
      </c>
      <c r="J68" s="59">
        <v>0.38</v>
      </c>
      <c r="K68" s="59">
        <v>357.11</v>
      </c>
      <c r="L68" s="59">
        <v>32.72</v>
      </c>
      <c r="M68" s="59">
        <v>34</v>
      </c>
      <c r="N68" s="59">
        <v>225.5</v>
      </c>
      <c r="O68" s="59">
        <v>0</v>
      </c>
      <c r="P68" s="59">
        <v>0.7</v>
      </c>
      <c r="Q68" s="59">
        <v>31.36</v>
      </c>
      <c r="R68" s="197"/>
      <c r="S68" s="197"/>
      <c r="T68" s="197"/>
      <c r="U68" s="197"/>
    </row>
    <row r="69" spans="1:21" s="12" customFormat="1" x14ac:dyDescent="0.25">
      <c r="A69" s="200" t="s">
        <v>2804</v>
      </c>
      <c r="B69" s="59">
        <v>3.15</v>
      </c>
      <c r="C69" s="59">
        <v>83.45</v>
      </c>
      <c r="D69" s="59">
        <v>48.58</v>
      </c>
      <c r="E69" s="59">
        <v>2.93</v>
      </c>
      <c r="F69" s="59">
        <v>1.47</v>
      </c>
      <c r="G69" s="59">
        <v>33.979999999999997</v>
      </c>
      <c r="H69" s="59">
        <v>17.27</v>
      </c>
      <c r="I69" s="209" t="s">
        <v>36</v>
      </c>
      <c r="J69" s="59">
        <v>0.32</v>
      </c>
      <c r="K69" s="59">
        <v>9.66</v>
      </c>
      <c r="L69" s="59">
        <v>31.58</v>
      </c>
      <c r="M69" s="59">
        <v>36</v>
      </c>
      <c r="N69" s="59">
        <v>137.80000000000001</v>
      </c>
      <c r="O69" s="59">
        <v>0</v>
      </c>
      <c r="P69" s="59">
        <v>0.7</v>
      </c>
      <c r="Q69" s="59">
        <v>25.9</v>
      </c>
      <c r="R69" s="197"/>
      <c r="S69" s="197"/>
      <c r="T69" s="197"/>
      <c r="U69" s="197"/>
    </row>
    <row r="70" spans="1:21" s="12" customFormat="1" x14ac:dyDescent="0.25">
      <c r="A70" s="200" t="s">
        <v>2805</v>
      </c>
      <c r="B70" s="59">
        <v>3.26</v>
      </c>
      <c r="C70" s="59">
        <v>86.7</v>
      </c>
      <c r="D70" s="59">
        <v>50.46</v>
      </c>
      <c r="E70" s="59">
        <v>2.87</v>
      </c>
      <c r="F70" s="59">
        <v>1.44</v>
      </c>
      <c r="G70" s="59">
        <v>34.22</v>
      </c>
      <c r="H70" s="59">
        <v>17.16</v>
      </c>
      <c r="I70" s="209" t="s">
        <v>36</v>
      </c>
      <c r="J70" s="59">
        <v>0.25</v>
      </c>
      <c r="K70" s="59">
        <v>26.21</v>
      </c>
      <c r="L70" s="59">
        <v>30.79</v>
      </c>
      <c r="M70" s="59">
        <v>38</v>
      </c>
      <c r="N70" s="59">
        <v>130.1</v>
      </c>
      <c r="O70" s="59">
        <v>0</v>
      </c>
      <c r="P70" s="59">
        <v>0.72</v>
      </c>
      <c r="Q70" s="59">
        <v>27.77</v>
      </c>
      <c r="R70" s="197"/>
      <c r="S70" s="197"/>
      <c r="T70" s="197"/>
      <c r="U70" s="197"/>
    </row>
    <row r="71" spans="1:21" s="12" customFormat="1" x14ac:dyDescent="0.25">
      <c r="A71" s="200" t="s">
        <v>2806</v>
      </c>
      <c r="B71" s="59">
        <v>2.86</v>
      </c>
      <c r="C71" s="59">
        <v>83.1</v>
      </c>
      <c r="D71" s="59">
        <v>48.15</v>
      </c>
      <c r="E71" s="59">
        <v>2.69</v>
      </c>
      <c r="F71" s="59">
        <v>0.78</v>
      </c>
      <c r="G71" s="59">
        <v>34.22</v>
      </c>
      <c r="H71" s="59">
        <v>17.16</v>
      </c>
      <c r="I71" s="209" t="s">
        <v>36</v>
      </c>
      <c r="J71" s="59">
        <v>0.24</v>
      </c>
      <c r="K71" s="59">
        <v>35.58</v>
      </c>
      <c r="L71" s="59">
        <v>30.24</v>
      </c>
      <c r="M71" s="59">
        <v>39</v>
      </c>
      <c r="N71" s="59">
        <v>121.3</v>
      </c>
      <c r="O71" s="59">
        <v>0</v>
      </c>
      <c r="P71" s="59">
        <v>0.71</v>
      </c>
      <c r="Q71" s="59">
        <v>30.29</v>
      </c>
      <c r="R71" s="197"/>
      <c r="S71" s="197"/>
      <c r="T71" s="197"/>
      <c r="U71" s="197"/>
    </row>
    <row r="72" spans="1:21" s="12" customFormat="1" x14ac:dyDescent="0.25">
      <c r="A72" s="200" t="s">
        <v>2807</v>
      </c>
      <c r="B72" s="59">
        <v>2.5099999999999998</v>
      </c>
      <c r="C72" s="59">
        <v>82.26</v>
      </c>
      <c r="D72" s="59">
        <v>47.41</v>
      </c>
      <c r="E72" s="59">
        <v>1.41</v>
      </c>
      <c r="F72" s="59">
        <v>1.82</v>
      </c>
      <c r="G72" s="59">
        <v>34.22</v>
      </c>
      <c r="H72" s="59">
        <v>17.16</v>
      </c>
      <c r="I72" s="59">
        <v>0.08</v>
      </c>
      <c r="J72" s="59">
        <v>0.2</v>
      </c>
      <c r="K72" s="59">
        <v>37.549999999999997</v>
      </c>
      <c r="L72" s="59">
        <v>29.79</v>
      </c>
      <c r="M72" s="59">
        <v>42</v>
      </c>
      <c r="N72" s="59">
        <v>78.2</v>
      </c>
      <c r="O72" s="59">
        <v>0</v>
      </c>
      <c r="P72" s="59">
        <v>0.7</v>
      </c>
      <c r="Q72" s="59">
        <v>26.25</v>
      </c>
      <c r="R72" s="197"/>
      <c r="S72" s="197"/>
      <c r="T72" s="197"/>
      <c r="U72" s="197"/>
    </row>
    <row r="73" spans="1:21" s="12" customFormat="1" x14ac:dyDescent="0.25">
      <c r="A73" s="200" t="s">
        <v>2808</v>
      </c>
      <c r="B73" s="59">
        <v>3.02</v>
      </c>
      <c r="C73" s="59">
        <v>90.27</v>
      </c>
      <c r="D73" s="59">
        <v>52.24</v>
      </c>
      <c r="E73" s="59">
        <v>3.03</v>
      </c>
      <c r="F73" s="59">
        <v>1.91</v>
      </c>
      <c r="G73" s="59">
        <v>34.19</v>
      </c>
      <c r="H73" s="59">
        <v>18.13</v>
      </c>
      <c r="I73" s="59">
        <v>0.19</v>
      </c>
      <c r="J73" s="59">
        <v>0.25</v>
      </c>
      <c r="K73" s="59">
        <v>6.71</v>
      </c>
      <c r="L73" s="59">
        <v>29.8</v>
      </c>
      <c r="M73" s="59">
        <v>43</v>
      </c>
      <c r="N73" s="59">
        <v>72.7</v>
      </c>
      <c r="O73" s="59">
        <v>0</v>
      </c>
      <c r="P73" s="59">
        <v>0.7</v>
      </c>
      <c r="Q73" s="59">
        <v>27.75</v>
      </c>
      <c r="R73" s="197"/>
      <c r="S73" s="197"/>
      <c r="T73" s="197"/>
      <c r="U73" s="197"/>
    </row>
    <row r="74" spans="1:21" s="12" customFormat="1" x14ac:dyDescent="0.25">
      <c r="A74" s="200" t="s">
        <v>2809</v>
      </c>
      <c r="B74" s="59">
        <v>5.14</v>
      </c>
      <c r="C74" s="59">
        <v>75.010000000000005</v>
      </c>
      <c r="D74" s="59">
        <v>45.52</v>
      </c>
      <c r="E74" s="59">
        <v>3.11</v>
      </c>
      <c r="F74" s="59">
        <v>1.35</v>
      </c>
      <c r="G74" s="59">
        <v>34.18</v>
      </c>
      <c r="H74" s="59">
        <v>19.350000000000001</v>
      </c>
      <c r="I74" s="59">
        <v>0.18</v>
      </c>
      <c r="J74" s="59">
        <v>0.28000000000000003</v>
      </c>
      <c r="K74" s="59">
        <v>355.7</v>
      </c>
      <c r="L74" s="59">
        <v>29.71</v>
      </c>
      <c r="M74" s="59">
        <v>42</v>
      </c>
      <c r="N74" s="59">
        <v>57.1</v>
      </c>
      <c r="O74" s="59">
        <v>0</v>
      </c>
      <c r="P74" s="59">
        <v>0.7</v>
      </c>
      <c r="Q74" s="59">
        <v>31.56</v>
      </c>
      <c r="R74" s="197"/>
      <c r="S74" s="197"/>
      <c r="T74" s="197"/>
      <c r="U74" s="197"/>
    </row>
    <row r="75" spans="1:21" s="12" customFormat="1" x14ac:dyDescent="0.25">
      <c r="A75" s="200" t="s">
        <v>2810</v>
      </c>
      <c r="B75" s="59">
        <v>4.3</v>
      </c>
      <c r="C75" s="59">
        <v>71.13</v>
      </c>
      <c r="D75" s="59">
        <v>42.7</v>
      </c>
      <c r="E75" s="59">
        <v>3.12</v>
      </c>
      <c r="F75" s="59">
        <v>1.07</v>
      </c>
      <c r="G75" s="59">
        <v>34.18</v>
      </c>
      <c r="H75" s="59">
        <v>19.350000000000001</v>
      </c>
      <c r="I75" s="59">
        <v>0.19</v>
      </c>
      <c r="J75" s="59">
        <v>0.25</v>
      </c>
      <c r="K75" s="59">
        <v>12.45</v>
      </c>
      <c r="L75" s="59">
        <v>29.13</v>
      </c>
      <c r="M75" s="59">
        <v>43</v>
      </c>
      <c r="N75" s="59">
        <v>42.6</v>
      </c>
      <c r="O75" s="59">
        <v>0</v>
      </c>
      <c r="P75" s="59">
        <v>0.71</v>
      </c>
      <c r="Q75" s="59">
        <v>32.51</v>
      </c>
      <c r="R75" s="197"/>
      <c r="S75" s="197"/>
      <c r="T75" s="197"/>
      <c r="U75" s="197"/>
    </row>
    <row r="76" spans="1:21" s="12" customFormat="1" x14ac:dyDescent="0.25">
      <c r="A76" s="200" t="s">
        <v>2811</v>
      </c>
      <c r="B76" s="59">
        <v>5.95</v>
      </c>
      <c r="C76" s="59">
        <v>78.94</v>
      </c>
      <c r="D76" s="59">
        <v>48.33</v>
      </c>
      <c r="E76" s="59">
        <v>2.96</v>
      </c>
      <c r="F76" s="59">
        <v>0.63</v>
      </c>
      <c r="G76" s="59">
        <v>34.18</v>
      </c>
      <c r="H76" s="59">
        <v>19.350000000000001</v>
      </c>
      <c r="I76" s="59">
        <v>0.19</v>
      </c>
      <c r="J76" s="59">
        <v>0.13</v>
      </c>
      <c r="K76" s="59">
        <v>8.59</v>
      </c>
      <c r="L76" s="59">
        <v>28.64</v>
      </c>
      <c r="M76" s="59">
        <v>44</v>
      </c>
      <c r="N76" s="59">
        <v>38.700000000000003</v>
      </c>
      <c r="O76" s="59">
        <v>0</v>
      </c>
      <c r="P76" s="59">
        <v>0.74</v>
      </c>
      <c r="Q76" s="59">
        <v>33.21</v>
      </c>
      <c r="R76" s="197"/>
      <c r="S76" s="197"/>
      <c r="T76" s="197"/>
      <c r="U76" s="197"/>
    </row>
    <row r="77" spans="1:21" s="12" customFormat="1" x14ac:dyDescent="0.25">
      <c r="A77" s="200" t="s">
        <v>2812</v>
      </c>
      <c r="B77" s="59">
        <v>6.25</v>
      </c>
      <c r="C77" s="59">
        <v>87.26</v>
      </c>
      <c r="D77" s="59">
        <v>53.17</v>
      </c>
      <c r="E77" s="59">
        <v>3.04</v>
      </c>
      <c r="F77" s="59">
        <v>0.32</v>
      </c>
      <c r="G77" s="59">
        <v>36.369999999999997</v>
      </c>
      <c r="H77" s="59">
        <v>18.63</v>
      </c>
      <c r="I77" s="59">
        <v>0.2</v>
      </c>
      <c r="J77" s="59">
        <v>0.18</v>
      </c>
      <c r="K77" s="59">
        <v>355.77</v>
      </c>
      <c r="L77" s="59">
        <v>28.13</v>
      </c>
      <c r="M77" s="59">
        <v>46</v>
      </c>
      <c r="N77" s="59">
        <v>31.8</v>
      </c>
      <c r="O77" s="59">
        <v>0</v>
      </c>
      <c r="P77" s="59">
        <v>0.79</v>
      </c>
      <c r="Q77" s="59">
        <v>33.19</v>
      </c>
      <c r="R77" s="197"/>
      <c r="S77" s="197"/>
      <c r="T77" s="197"/>
      <c r="U77" s="197"/>
    </row>
    <row r="78" spans="1:21" s="12" customFormat="1" x14ac:dyDescent="0.25">
      <c r="A78" s="200" t="s">
        <v>2813</v>
      </c>
      <c r="B78" s="59">
        <v>9.64</v>
      </c>
      <c r="C78" s="59">
        <v>91</v>
      </c>
      <c r="D78" s="59">
        <v>57.95</v>
      </c>
      <c r="E78" s="59">
        <v>2.85</v>
      </c>
      <c r="F78" s="59">
        <v>0.32</v>
      </c>
      <c r="G78" s="59">
        <v>37.89</v>
      </c>
      <c r="H78" s="59">
        <v>17.73</v>
      </c>
      <c r="I78" s="59">
        <v>0.21</v>
      </c>
      <c r="J78" s="59">
        <v>0.1</v>
      </c>
      <c r="K78" s="59">
        <v>332.26</v>
      </c>
      <c r="L78" s="59">
        <v>27.45</v>
      </c>
      <c r="M78" s="59">
        <v>49</v>
      </c>
      <c r="N78" s="59">
        <v>26.6</v>
      </c>
      <c r="O78" s="59">
        <v>0</v>
      </c>
      <c r="P78" s="59">
        <v>0.86</v>
      </c>
      <c r="Q78" s="59">
        <v>34.11</v>
      </c>
      <c r="R78" s="197"/>
      <c r="S78" s="197"/>
      <c r="T78" s="197"/>
      <c r="U78" s="197"/>
    </row>
    <row r="79" spans="1:21" s="12" customFormat="1" x14ac:dyDescent="0.25">
      <c r="A79" s="200" t="s">
        <v>2814</v>
      </c>
      <c r="B79" s="59">
        <v>11.75</v>
      </c>
      <c r="C79" s="59">
        <v>92.45</v>
      </c>
      <c r="D79" s="59">
        <v>60.44</v>
      </c>
      <c r="E79" s="59">
        <v>2.8</v>
      </c>
      <c r="F79" s="59">
        <v>0.18</v>
      </c>
      <c r="G79" s="59">
        <v>37.89</v>
      </c>
      <c r="H79" s="59">
        <v>17.73</v>
      </c>
      <c r="I79" s="59">
        <v>0.22</v>
      </c>
      <c r="J79" s="59">
        <v>0.12</v>
      </c>
      <c r="K79" s="59">
        <v>335.64</v>
      </c>
      <c r="L79" s="59">
        <v>26.85</v>
      </c>
      <c r="M79" s="59">
        <v>52</v>
      </c>
      <c r="N79" s="59">
        <v>24.8</v>
      </c>
      <c r="O79" s="59">
        <v>0</v>
      </c>
      <c r="P79" s="59">
        <v>0.93</v>
      </c>
      <c r="Q79" s="59">
        <v>33.32</v>
      </c>
      <c r="R79" s="197"/>
      <c r="S79" s="197"/>
      <c r="T79" s="197"/>
      <c r="U79" s="197"/>
    </row>
    <row r="80" spans="1:21" s="12" customFormat="1" x14ac:dyDescent="0.25">
      <c r="A80" s="200" t="s">
        <v>2815</v>
      </c>
      <c r="B80" s="59">
        <v>14.66</v>
      </c>
      <c r="C80" s="59">
        <v>95.1</v>
      </c>
      <c r="D80" s="59">
        <v>64.239999999999995</v>
      </c>
      <c r="E80" s="59">
        <v>2.69</v>
      </c>
      <c r="F80" s="59">
        <v>0.15</v>
      </c>
      <c r="G80" s="59">
        <v>37.89</v>
      </c>
      <c r="H80" s="59">
        <v>17.73</v>
      </c>
      <c r="I80" s="59">
        <v>0.24</v>
      </c>
      <c r="J80" s="59">
        <v>0.12</v>
      </c>
      <c r="K80" s="59">
        <v>356.81</v>
      </c>
      <c r="L80" s="59">
        <v>26.39</v>
      </c>
      <c r="M80" s="59">
        <v>54</v>
      </c>
      <c r="N80" s="59">
        <v>24.6</v>
      </c>
      <c r="O80" s="59">
        <v>0</v>
      </c>
      <c r="P80" s="59">
        <v>1.03</v>
      </c>
      <c r="Q80" s="59">
        <v>34.86</v>
      </c>
      <c r="R80" s="197"/>
      <c r="S80" s="197"/>
      <c r="T80" s="197"/>
      <c r="U80" s="197"/>
    </row>
    <row r="81" spans="1:26" s="12" customFormat="1" x14ac:dyDescent="0.25">
      <c r="A81" s="200" t="s">
        <v>2816</v>
      </c>
      <c r="B81" s="59">
        <v>29.49</v>
      </c>
      <c r="C81" s="59">
        <v>104.39</v>
      </c>
      <c r="D81" s="59">
        <v>81.260000000000005</v>
      </c>
      <c r="E81" s="59">
        <v>3.01</v>
      </c>
      <c r="F81" s="59">
        <v>0.24</v>
      </c>
      <c r="G81" s="59">
        <v>51.59</v>
      </c>
      <c r="H81" s="59">
        <v>18.850000000000001</v>
      </c>
      <c r="I81" s="59">
        <v>0.26</v>
      </c>
      <c r="J81" s="59">
        <v>0.06</v>
      </c>
      <c r="K81" s="59">
        <v>338.83</v>
      </c>
      <c r="L81" s="59">
        <v>26.01</v>
      </c>
      <c r="M81" s="59">
        <v>55</v>
      </c>
      <c r="N81" s="59">
        <v>24.6</v>
      </c>
      <c r="O81" s="59">
        <v>0</v>
      </c>
      <c r="P81" s="59">
        <v>1.41</v>
      </c>
      <c r="Q81" s="59">
        <v>34.200000000000003</v>
      </c>
      <c r="R81" s="197"/>
      <c r="S81" s="197"/>
      <c r="T81" s="197"/>
      <c r="U81" s="197"/>
    </row>
    <row r="82" spans="1:26" s="12" customFormat="1" x14ac:dyDescent="0.25">
      <c r="A82" s="200" t="s">
        <v>2817</v>
      </c>
      <c r="B82" s="59">
        <v>29.78</v>
      </c>
      <c r="C82" s="59">
        <v>96.73</v>
      </c>
      <c r="D82" s="59">
        <v>77.260000000000005</v>
      </c>
      <c r="E82" s="59">
        <v>3.78</v>
      </c>
      <c r="F82" s="59">
        <v>0.71</v>
      </c>
      <c r="G82" s="59">
        <v>61.07</v>
      </c>
      <c r="H82" s="59">
        <v>20.309999999999999</v>
      </c>
      <c r="I82" s="59">
        <v>0.28000000000000003</v>
      </c>
      <c r="J82" s="59">
        <v>0.09</v>
      </c>
      <c r="K82" s="59">
        <v>309.33</v>
      </c>
      <c r="L82" s="59">
        <v>25.61</v>
      </c>
      <c r="M82" s="59">
        <v>57</v>
      </c>
      <c r="N82" s="59">
        <v>24.5</v>
      </c>
      <c r="O82" s="59">
        <v>0</v>
      </c>
      <c r="P82" s="59">
        <v>1.52</v>
      </c>
      <c r="Q82" s="59">
        <v>33.72</v>
      </c>
      <c r="R82" s="197"/>
      <c r="S82" s="197"/>
      <c r="T82" s="197"/>
      <c r="U82" s="197"/>
    </row>
    <row r="83" spans="1:26" s="12" customFormat="1" x14ac:dyDescent="0.25">
      <c r="A83" s="200" t="s">
        <v>2818</v>
      </c>
      <c r="B83" s="59">
        <v>27</v>
      </c>
      <c r="C83" s="59">
        <v>98.87</v>
      </c>
      <c r="D83" s="59">
        <v>76.209999999999994</v>
      </c>
      <c r="E83" s="59">
        <v>3.85</v>
      </c>
      <c r="F83" s="59">
        <v>0.57999999999999996</v>
      </c>
      <c r="G83" s="59">
        <v>61.07</v>
      </c>
      <c r="H83" s="59">
        <v>20.309999999999999</v>
      </c>
      <c r="I83" s="59">
        <v>0.31</v>
      </c>
      <c r="J83" s="59">
        <v>0.1</v>
      </c>
      <c r="K83" s="59">
        <v>305.91000000000003</v>
      </c>
      <c r="L83" s="59">
        <v>25.3</v>
      </c>
      <c r="M83" s="59">
        <v>58</v>
      </c>
      <c r="N83" s="59">
        <v>24.6</v>
      </c>
      <c r="O83" s="59">
        <v>0</v>
      </c>
      <c r="P83" s="59">
        <v>1.49</v>
      </c>
      <c r="Q83" s="59">
        <v>30.1</v>
      </c>
      <c r="R83" s="197"/>
      <c r="S83" s="197"/>
      <c r="T83" s="197"/>
      <c r="U83" s="197"/>
    </row>
    <row r="84" spans="1:26" s="12" customFormat="1" x14ac:dyDescent="0.25">
      <c r="A84" s="200" t="s">
        <v>2819</v>
      </c>
      <c r="B84" s="59">
        <v>29.64</v>
      </c>
      <c r="C84" s="59">
        <v>101.5</v>
      </c>
      <c r="D84" s="59">
        <v>79.790000000000006</v>
      </c>
      <c r="E84" s="59">
        <v>4.07</v>
      </c>
      <c r="F84" s="59">
        <v>0.37</v>
      </c>
      <c r="G84" s="59">
        <v>61.07</v>
      </c>
      <c r="H84" s="59">
        <v>20.309999999999999</v>
      </c>
      <c r="I84" s="59">
        <v>0.31</v>
      </c>
      <c r="J84" s="59">
        <v>0.05</v>
      </c>
      <c r="K84" s="59">
        <v>292.35000000000002</v>
      </c>
      <c r="L84" s="59">
        <v>25</v>
      </c>
      <c r="M84" s="59">
        <v>59</v>
      </c>
      <c r="N84" s="59">
        <v>24.5</v>
      </c>
      <c r="O84" s="59">
        <v>0</v>
      </c>
      <c r="P84" s="59">
        <v>1.74</v>
      </c>
      <c r="Q84" s="59">
        <v>31.3</v>
      </c>
      <c r="R84" s="197"/>
      <c r="S84" s="197"/>
      <c r="T84" s="197"/>
      <c r="U84" s="197"/>
    </row>
    <row r="85" spans="1:26" s="12" customFormat="1" x14ac:dyDescent="0.25">
      <c r="A85" s="200" t="s">
        <v>2820</v>
      </c>
      <c r="B85" s="59">
        <v>35.799999999999997</v>
      </c>
      <c r="C85" s="59">
        <v>107.85</v>
      </c>
      <c r="D85" s="59">
        <v>88.23</v>
      </c>
      <c r="E85" s="59">
        <v>3.68</v>
      </c>
      <c r="F85" s="59">
        <v>0.2</v>
      </c>
      <c r="G85" s="59">
        <v>64.44</v>
      </c>
      <c r="H85" s="59">
        <v>23.48</v>
      </c>
      <c r="I85" s="59">
        <v>0.35</v>
      </c>
      <c r="J85" s="59">
        <v>0.04</v>
      </c>
      <c r="K85" s="59">
        <v>17.23</v>
      </c>
      <c r="L85" s="59">
        <v>24.66</v>
      </c>
      <c r="M85" s="59">
        <v>60</v>
      </c>
      <c r="N85" s="59">
        <v>24.5</v>
      </c>
      <c r="O85" s="59">
        <v>0</v>
      </c>
      <c r="P85" s="59">
        <v>1.75</v>
      </c>
      <c r="Q85" s="59">
        <v>31.89</v>
      </c>
      <c r="R85" s="197"/>
      <c r="S85" s="197"/>
      <c r="T85" s="197"/>
      <c r="U85" s="197"/>
    </row>
    <row r="86" spans="1:26" s="12" customFormat="1" x14ac:dyDescent="0.25">
      <c r="A86" s="200" t="s">
        <v>2821</v>
      </c>
      <c r="B86" s="59">
        <v>37.200000000000003</v>
      </c>
      <c r="C86" s="59">
        <v>106.81</v>
      </c>
      <c r="D86" s="59">
        <v>88.78</v>
      </c>
      <c r="E86" s="59">
        <v>3.71</v>
      </c>
      <c r="F86" s="59">
        <v>0.25</v>
      </c>
      <c r="G86" s="59">
        <v>70.72</v>
      </c>
      <c r="H86" s="59">
        <v>27.44</v>
      </c>
      <c r="I86" s="59">
        <v>0.41</v>
      </c>
      <c r="J86" s="59">
        <v>0.05</v>
      </c>
      <c r="K86" s="59">
        <v>61.5</v>
      </c>
      <c r="L86" s="59">
        <v>24.69</v>
      </c>
      <c r="M86" s="59">
        <v>60</v>
      </c>
      <c r="N86" s="59">
        <v>24.2</v>
      </c>
      <c r="O86" s="59">
        <v>0</v>
      </c>
      <c r="P86" s="59">
        <v>1.7</v>
      </c>
      <c r="Q86" s="59">
        <v>33.619999999999997</v>
      </c>
      <c r="R86" s="197"/>
      <c r="S86" s="197"/>
      <c r="T86" s="197"/>
      <c r="U86" s="197"/>
    </row>
    <row r="87" spans="1:26" s="12" customFormat="1" x14ac:dyDescent="0.25">
      <c r="A87" s="200" t="s">
        <v>2822</v>
      </c>
      <c r="B87" s="59">
        <v>29.22</v>
      </c>
      <c r="C87" s="59">
        <v>100.66</v>
      </c>
      <c r="D87" s="59">
        <v>78.98</v>
      </c>
      <c r="E87" s="59">
        <v>3.95</v>
      </c>
      <c r="F87" s="59">
        <v>0.43</v>
      </c>
      <c r="G87" s="59">
        <v>70.72</v>
      </c>
      <c r="H87" s="59">
        <v>27.44</v>
      </c>
      <c r="I87" s="59">
        <v>0.44</v>
      </c>
      <c r="J87" s="59">
        <v>0.12</v>
      </c>
      <c r="K87" s="59">
        <v>275.69</v>
      </c>
      <c r="L87" s="59">
        <v>24.47</v>
      </c>
      <c r="M87" s="59">
        <v>61</v>
      </c>
      <c r="N87" s="59">
        <v>24.3</v>
      </c>
      <c r="O87" s="59">
        <v>0</v>
      </c>
      <c r="P87" s="59">
        <v>1.56</v>
      </c>
      <c r="Q87" s="59">
        <v>34.65</v>
      </c>
      <c r="R87" s="197"/>
      <c r="S87" s="197"/>
      <c r="T87" s="197"/>
      <c r="U87" s="197"/>
    </row>
    <row r="88" spans="1:26" s="12" customFormat="1" x14ac:dyDescent="0.25">
      <c r="A88" s="200" t="s">
        <v>2823</v>
      </c>
      <c r="B88" s="59">
        <v>28.29</v>
      </c>
      <c r="C88" s="59">
        <v>97.27</v>
      </c>
      <c r="D88" s="59">
        <v>76.37</v>
      </c>
      <c r="E88" s="59">
        <v>1.94</v>
      </c>
      <c r="F88" s="59">
        <v>0.18</v>
      </c>
      <c r="G88" s="59">
        <v>70.72</v>
      </c>
      <c r="H88" s="59">
        <v>27.44</v>
      </c>
      <c r="I88" s="59">
        <v>0.44</v>
      </c>
      <c r="J88" s="59">
        <v>0.1</v>
      </c>
      <c r="K88" s="59">
        <v>289.88</v>
      </c>
      <c r="L88" s="59">
        <v>24.13</v>
      </c>
      <c r="M88" s="59">
        <v>63</v>
      </c>
      <c r="N88" s="59">
        <v>24.6</v>
      </c>
      <c r="O88" s="59">
        <v>0</v>
      </c>
      <c r="P88" s="59">
        <v>1.49</v>
      </c>
      <c r="Q88" s="59">
        <v>33.5</v>
      </c>
      <c r="R88" s="197"/>
      <c r="S88" s="197"/>
      <c r="T88" s="197"/>
      <c r="U88" s="197"/>
    </row>
    <row r="89" spans="1:26" s="12" customFormat="1" x14ac:dyDescent="0.25">
      <c r="A89" s="200" t="s">
        <v>2824</v>
      </c>
      <c r="B89" s="59">
        <v>29.45</v>
      </c>
      <c r="C89" s="59">
        <v>98.14</v>
      </c>
      <c r="D89" s="59">
        <v>77.78</v>
      </c>
      <c r="E89" s="59">
        <v>3.54</v>
      </c>
      <c r="F89" s="59">
        <v>0.3</v>
      </c>
      <c r="G89" s="59">
        <v>75.08</v>
      </c>
      <c r="H89" s="59">
        <v>28.29</v>
      </c>
      <c r="I89" s="59">
        <v>0.43</v>
      </c>
      <c r="J89" s="59">
        <v>0.12</v>
      </c>
      <c r="K89" s="59">
        <v>310.77999999999997</v>
      </c>
      <c r="L89" s="59">
        <v>23.91</v>
      </c>
      <c r="M89" s="59">
        <v>64</v>
      </c>
      <c r="N89" s="59">
        <v>24.4</v>
      </c>
      <c r="O89" s="59">
        <v>0</v>
      </c>
      <c r="P89" s="59">
        <v>1.47</v>
      </c>
      <c r="Q89" s="59">
        <v>38.700000000000003</v>
      </c>
      <c r="R89" s="197"/>
      <c r="S89" s="197"/>
      <c r="T89" s="197"/>
      <c r="U89" s="197"/>
    </row>
    <row r="90" spans="1:26" s="12" customFormat="1" x14ac:dyDescent="0.25">
      <c r="A90" s="200" t="s">
        <v>2825</v>
      </c>
      <c r="B90" s="59">
        <v>33.94</v>
      </c>
      <c r="C90" s="59">
        <v>98.83</v>
      </c>
      <c r="D90" s="59">
        <v>81.760000000000005</v>
      </c>
      <c r="E90" s="59">
        <v>3.71</v>
      </c>
      <c r="F90" s="59">
        <v>0.47</v>
      </c>
      <c r="G90" s="59">
        <v>78.099999999999994</v>
      </c>
      <c r="H90" s="59">
        <v>29.35</v>
      </c>
      <c r="I90" s="59">
        <v>0.44</v>
      </c>
      <c r="J90" s="59">
        <v>0.03</v>
      </c>
      <c r="K90" s="59">
        <v>82.93</v>
      </c>
      <c r="L90" s="59">
        <v>23.38</v>
      </c>
      <c r="M90" s="59">
        <v>68</v>
      </c>
      <c r="N90" s="59">
        <v>24.6</v>
      </c>
      <c r="O90" s="59">
        <v>0</v>
      </c>
      <c r="P90" s="59">
        <v>1.68</v>
      </c>
      <c r="Q90" s="59">
        <v>40.82</v>
      </c>
      <c r="R90" s="197"/>
      <c r="S90" s="197"/>
      <c r="T90" s="197"/>
      <c r="U90" s="197"/>
    </row>
    <row r="91" spans="1:26" s="12" customFormat="1" x14ac:dyDescent="0.25">
      <c r="A91" s="200" t="s">
        <v>2826</v>
      </c>
      <c r="B91" s="59">
        <v>42.66</v>
      </c>
      <c r="C91" s="59">
        <v>104.86</v>
      </c>
      <c r="D91" s="59">
        <v>92.08</v>
      </c>
      <c r="E91" s="59">
        <v>3.91</v>
      </c>
      <c r="F91" s="59">
        <v>0.25</v>
      </c>
      <c r="G91" s="59">
        <v>78.099999999999994</v>
      </c>
      <c r="H91" s="59">
        <v>29.35</v>
      </c>
      <c r="I91" s="59">
        <v>0.47</v>
      </c>
      <c r="J91" s="59">
        <v>0.06</v>
      </c>
      <c r="K91" s="59">
        <v>97.11</v>
      </c>
      <c r="L91" s="59">
        <v>22.92</v>
      </c>
      <c r="M91" s="59">
        <v>70</v>
      </c>
      <c r="N91" s="59">
        <v>24.6</v>
      </c>
      <c r="O91" s="59">
        <v>0</v>
      </c>
      <c r="P91" s="59">
        <v>1.88</v>
      </c>
      <c r="Q91" s="59">
        <v>41.73</v>
      </c>
      <c r="R91" s="197"/>
      <c r="S91" s="197"/>
      <c r="T91" s="197"/>
      <c r="U91" s="197"/>
    </row>
    <row r="92" spans="1:26" s="12" customFormat="1" x14ac:dyDescent="0.25">
      <c r="A92" s="200" t="s">
        <v>2827</v>
      </c>
      <c r="B92" s="59">
        <v>55.63</v>
      </c>
      <c r="C92" s="59">
        <v>113.39</v>
      </c>
      <c r="D92" s="59">
        <v>107.19</v>
      </c>
      <c r="E92" s="59">
        <v>4.49</v>
      </c>
      <c r="F92" s="59">
        <v>0.59</v>
      </c>
      <c r="G92" s="59">
        <v>78.099999999999994</v>
      </c>
      <c r="H92" s="59">
        <v>29.35</v>
      </c>
      <c r="I92" s="59">
        <v>0.53</v>
      </c>
      <c r="J92" s="59">
        <v>0.17</v>
      </c>
      <c r="K92" s="59">
        <v>92.64</v>
      </c>
      <c r="L92" s="59">
        <v>22.8</v>
      </c>
      <c r="M92" s="59">
        <v>73</v>
      </c>
      <c r="N92" s="59">
        <v>24.2</v>
      </c>
      <c r="O92" s="59">
        <v>0</v>
      </c>
      <c r="P92" s="59">
        <v>2.06</v>
      </c>
      <c r="Q92" s="59">
        <v>42.47</v>
      </c>
      <c r="R92" s="197"/>
      <c r="S92" s="197"/>
      <c r="T92" s="197"/>
      <c r="U92" s="197"/>
    </row>
    <row r="93" spans="1:26" s="12" customFormat="1" x14ac:dyDescent="0.25">
      <c r="A93" s="200" t="s">
        <v>2828</v>
      </c>
      <c r="B93" s="59">
        <v>63.7</v>
      </c>
      <c r="C93" s="59">
        <v>117.98</v>
      </c>
      <c r="D93" s="59">
        <v>116.19</v>
      </c>
      <c r="E93" s="59">
        <v>4.1900000000000004</v>
      </c>
      <c r="F93" s="59">
        <v>0.32</v>
      </c>
      <c r="G93" s="59">
        <v>144.1</v>
      </c>
      <c r="H93" s="59">
        <v>34.58</v>
      </c>
      <c r="I93" s="59">
        <v>0.6</v>
      </c>
      <c r="J93" s="59">
        <v>0.14000000000000001</v>
      </c>
      <c r="K93" s="59">
        <v>260.64</v>
      </c>
      <c r="L93" s="59">
        <v>22.82</v>
      </c>
      <c r="M93" s="59">
        <v>72</v>
      </c>
      <c r="N93" s="59">
        <v>24</v>
      </c>
      <c r="O93" s="59">
        <v>0</v>
      </c>
      <c r="P93" s="59">
        <v>2.1800000000000002</v>
      </c>
      <c r="Q93" s="59">
        <v>42.9</v>
      </c>
      <c r="R93" s="197"/>
      <c r="S93" s="197"/>
      <c r="T93" s="197"/>
      <c r="U93" s="197"/>
    </row>
    <row r="94" spans="1:26" s="12" customFormat="1" x14ac:dyDescent="0.25">
      <c r="A94" s="200" t="s">
        <v>2829</v>
      </c>
      <c r="B94" s="59">
        <v>73.150000000000006</v>
      </c>
      <c r="C94" s="59">
        <v>124.19</v>
      </c>
      <c r="D94" s="59">
        <v>127.2</v>
      </c>
      <c r="E94" s="59">
        <v>4.84</v>
      </c>
      <c r="F94" s="59">
        <v>0.17</v>
      </c>
      <c r="G94" s="59">
        <v>189.79</v>
      </c>
      <c r="H94" s="59">
        <v>41.11</v>
      </c>
      <c r="I94" s="59">
        <v>0.67</v>
      </c>
      <c r="J94" s="59">
        <v>7.0000000000000007E-2</v>
      </c>
      <c r="K94" s="59">
        <v>119.35</v>
      </c>
      <c r="L94" s="59">
        <v>22.68</v>
      </c>
      <c r="M94" s="59">
        <v>72</v>
      </c>
      <c r="N94" s="59">
        <v>24.5</v>
      </c>
      <c r="O94" s="59">
        <v>0</v>
      </c>
      <c r="P94" s="59">
        <v>2.31</v>
      </c>
      <c r="Q94" s="59">
        <v>43.67</v>
      </c>
      <c r="R94" s="197"/>
      <c r="S94" s="197"/>
      <c r="T94" s="197"/>
      <c r="U94" s="197"/>
    </row>
    <row r="95" spans="1:26" s="12" customFormat="1" x14ac:dyDescent="0.25">
      <c r="A95" s="200" t="s">
        <v>2830</v>
      </c>
      <c r="B95" s="59">
        <v>92.62</v>
      </c>
      <c r="C95" s="59">
        <v>133.54</v>
      </c>
      <c r="D95" s="59">
        <v>147.97</v>
      </c>
      <c r="E95" s="59">
        <v>4.04</v>
      </c>
      <c r="F95" s="59">
        <v>0.12</v>
      </c>
      <c r="G95" s="59">
        <v>189.79</v>
      </c>
      <c r="H95" s="59">
        <v>41.11</v>
      </c>
      <c r="I95" s="59">
        <v>0.72</v>
      </c>
      <c r="J95" s="59">
        <v>0.1</v>
      </c>
      <c r="K95" s="59">
        <v>270.68</v>
      </c>
      <c r="L95" s="59">
        <v>22.5</v>
      </c>
      <c r="M95" s="59">
        <v>74</v>
      </c>
      <c r="N95" s="59">
        <v>24.2</v>
      </c>
      <c r="O95" s="59">
        <v>0</v>
      </c>
      <c r="P95" s="59">
        <v>2.52</v>
      </c>
      <c r="Q95" s="59">
        <v>44.65</v>
      </c>
      <c r="R95" s="197"/>
      <c r="S95" s="197"/>
      <c r="T95" s="197"/>
      <c r="U95" s="197"/>
    </row>
    <row r="96" spans="1:26" s="12" customFormat="1" x14ac:dyDescent="0.25">
      <c r="A96" s="200" t="s">
        <v>2831</v>
      </c>
      <c r="B96" s="59">
        <v>105.73</v>
      </c>
      <c r="C96" s="59">
        <v>124.4</v>
      </c>
      <c r="D96" s="59">
        <v>153.44</v>
      </c>
      <c r="E96" s="59">
        <v>4.01</v>
      </c>
      <c r="F96" s="59">
        <v>0.03</v>
      </c>
      <c r="G96" s="59">
        <v>189.79</v>
      </c>
      <c r="H96" s="59">
        <v>41.11</v>
      </c>
      <c r="I96" s="59">
        <v>0.78</v>
      </c>
      <c r="J96" s="59">
        <v>0.05</v>
      </c>
      <c r="K96" s="59">
        <v>304.27</v>
      </c>
      <c r="L96" s="59">
        <v>22.44</v>
      </c>
      <c r="M96" s="59">
        <v>72</v>
      </c>
      <c r="N96" s="59">
        <v>24.3</v>
      </c>
      <c r="O96" s="59">
        <v>0</v>
      </c>
      <c r="P96" s="59">
        <v>2.73</v>
      </c>
      <c r="Q96" s="59">
        <v>45.56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2832</v>
      </c>
      <c r="B97" s="59">
        <v>99.69</v>
      </c>
      <c r="C97" s="59">
        <v>141.4</v>
      </c>
      <c r="D97" s="59">
        <v>157.97999999999999</v>
      </c>
      <c r="E97" s="59">
        <v>4.66</v>
      </c>
      <c r="F97" s="59">
        <v>0.02</v>
      </c>
      <c r="G97" s="59">
        <v>190.43</v>
      </c>
      <c r="H97" s="59">
        <v>44.04</v>
      </c>
      <c r="I97" s="59">
        <v>0.85</v>
      </c>
      <c r="J97" s="59">
        <v>0.15</v>
      </c>
      <c r="K97" s="59">
        <v>274.11</v>
      </c>
      <c r="L97" s="59">
        <v>22.44</v>
      </c>
      <c r="M97" s="59">
        <v>72</v>
      </c>
      <c r="N97" s="59">
        <v>24.2</v>
      </c>
      <c r="O97" s="59">
        <v>0</v>
      </c>
      <c r="P97" s="59">
        <v>2.65</v>
      </c>
      <c r="Q97" s="59">
        <v>40.83</v>
      </c>
      <c r="R97" s="197"/>
      <c r="S97" s="197"/>
      <c r="T97" s="197"/>
      <c r="U97" s="197"/>
    </row>
    <row r="98" spans="1:33" s="12" customFormat="1" x14ac:dyDescent="0.25">
      <c r="A98" s="200" t="s">
        <v>2833</v>
      </c>
      <c r="B98" s="59">
        <v>98.59</v>
      </c>
      <c r="C98" s="59">
        <v>133.83000000000001</v>
      </c>
      <c r="D98" s="59">
        <v>152.91999999999999</v>
      </c>
      <c r="E98" s="59">
        <v>4.49</v>
      </c>
      <c r="F98" s="214" t="s">
        <v>47</v>
      </c>
      <c r="G98" s="59">
        <v>190.88</v>
      </c>
      <c r="H98" s="59">
        <v>47.7</v>
      </c>
      <c r="I98" s="59">
        <v>1.06</v>
      </c>
      <c r="J98" s="59">
        <v>0.09</v>
      </c>
      <c r="K98" s="59">
        <v>281.86</v>
      </c>
      <c r="L98" s="59">
        <v>22.14</v>
      </c>
      <c r="M98" s="59">
        <v>73</v>
      </c>
      <c r="N98" s="59">
        <v>24.5</v>
      </c>
      <c r="O98" s="59">
        <v>0</v>
      </c>
      <c r="P98" s="59">
        <v>2.62</v>
      </c>
      <c r="Q98" s="59">
        <v>43.14</v>
      </c>
      <c r="R98" s="197"/>
      <c r="S98" s="197"/>
      <c r="T98" s="197"/>
      <c r="U98" s="197"/>
    </row>
    <row r="99" spans="1:33" s="12" customFormat="1" x14ac:dyDescent="0.25">
      <c r="A99" s="200" t="s">
        <v>2834</v>
      </c>
      <c r="B99" s="59">
        <v>100.54</v>
      </c>
      <c r="C99" s="59">
        <v>132.06</v>
      </c>
      <c r="D99" s="59">
        <v>153.51</v>
      </c>
      <c r="E99" s="59">
        <v>4.68</v>
      </c>
      <c r="F99" s="59">
        <v>0.03</v>
      </c>
      <c r="G99" s="59">
        <v>190.88</v>
      </c>
      <c r="H99" s="59">
        <v>47.7</v>
      </c>
      <c r="I99" s="59">
        <v>0.91</v>
      </c>
      <c r="J99" s="59">
        <v>0.11</v>
      </c>
      <c r="K99" s="59">
        <v>304.82</v>
      </c>
      <c r="L99" s="59">
        <v>21.94</v>
      </c>
      <c r="M99" s="59">
        <v>73</v>
      </c>
      <c r="N99" s="59">
        <v>24.3</v>
      </c>
      <c r="O99" s="59">
        <v>0</v>
      </c>
      <c r="P99" s="59">
        <v>2.6</v>
      </c>
      <c r="Q99" s="59">
        <v>42.78</v>
      </c>
      <c r="R99" s="197"/>
      <c r="S99" s="197"/>
      <c r="T99" s="197"/>
      <c r="U99" s="197"/>
    </row>
    <row r="100" spans="1:33" s="12" customFormat="1" x14ac:dyDescent="0.25">
      <c r="A100" s="200" t="s">
        <v>2835</v>
      </c>
      <c r="B100" s="59">
        <v>104.62</v>
      </c>
      <c r="C100" s="59">
        <v>129.88</v>
      </c>
      <c r="D100" s="59">
        <v>155.58000000000001</v>
      </c>
      <c r="E100" s="59">
        <v>4.33</v>
      </c>
      <c r="F100" s="59">
        <v>0.02</v>
      </c>
      <c r="G100" s="59">
        <v>190.88</v>
      </c>
      <c r="H100" s="59">
        <v>47.7</v>
      </c>
      <c r="I100" s="59">
        <v>1.06</v>
      </c>
      <c r="J100" s="59">
        <v>0.11</v>
      </c>
      <c r="K100" s="59">
        <v>326.43</v>
      </c>
      <c r="L100" s="59">
        <v>21.74</v>
      </c>
      <c r="M100" s="59">
        <v>74</v>
      </c>
      <c r="N100" s="59">
        <v>24.5</v>
      </c>
      <c r="O100" s="59">
        <v>0</v>
      </c>
      <c r="P100" s="59">
        <v>2.6</v>
      </c>
      <c r="Q100" s="59">
        <v>42.74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2836</v>
      </c>
      <c r="B101" s="59">
        <v>105.07</v>
      </c>
      <c r="C101" s="59">
        <v>131.16</v>
      </c>
      <c r="D101" s="59">
        <v>156.63999999999999</v>
      </c>
      <c r="E101" s="59">
        <v>5.36</v>
      </c>
      <c r="F101" s="59">
        <v>0.04</v>
      </c>
      <c r="G101" s="59">
        <v>167.93</v>
      </c>
      <c r="H101" s="59">
        <v>47.54</v>
      </c>
      <c r="I101" s="59">
        <v>1.01</v>
      </c>
      <c r="J101" s="59">
        <v>0.08</v>
      </c>
      <c r="K101" s="59">
        <v>313.97000000000003</v>
      </c>
      <c r="L101" s="59">
        <v>21.55</v>
      </c>
      <c r="M101" s="59">
        <v>76</v>
      </c>
      <c r="N101" s="59">
        <v>24.6</v>
      </c>
      <c r="O101" s="59">
        <v>0</v>
      </c>
      <c r="P101" s="59">
        <v>2.63</v>
      </c>
      <c r="Q101" s="59">
        <v>42.14</v>
      </c>
      <c r="R101" s="197"/>
      <c r="S101" s="197"/>
      <c r="T101" s="197"/>
      <c r="U101" s="197"/>
    </row>
    <row r="102" spans="1:33" s="12" customFormat="1" x14ac:dyDescent="0.25">
      <c r="A102" s="200" t="s">
        <v>2837</v>
      </c>
      <c r="B102" s="59">
        <v>100.71</v>
      </c>
      <c r="C102" s="59">
        <v>128.69</v>
      </c>
      <c r="D102" s="59">
        <v>151.79</v>
      </c>
      <c r="E102" s="59">
        <v>4.79</v>
      </c>
      <c r="F102" s="59">
        <v>0.04</v>
      </c>
      <c r="G102" s="59">
        <v>126.61</v>
      </c>
      <c r="H102" s="59">
        <v>47.35</v>
      </c>
      <c r="I102" s="59">
        <v>0.93</v>
      </c>
      <c r="J102" s="59">
        <v>0.1</v>
      </c>
      <c r="K102" s="59">
        <v>324.45999999999998</v>
      </c>
      <c r="L102" s="59">
        <v>21.43</v>
      </c>
      <c r="M102" s="59">
        <v>76</v>
      </c>
      <c r="N102" s="59">
        <v>24.4</v>
      </c>
      <c r="O102" s="59">
        <v>0</v>
      </c>
      <c r="P102" s="59">
        <v>2.57</v>
      </c>
      <c r="Q102" s="59">
        <v>44.89</v>
      </c>
      <c r="R102" s="197"/>
      <c r="S102" s="197"/>
      <c r="T102" s="197"/>
      <c r="U102" s="197"/>
    </row>
    <row r="103" spans="1:33" s="12" customFormat="1" x14ac:dyDescent="0.25">
      <c r="A103" s="200" t="s">
        <v>2838</v>
      </c>
      <c r="B103" s="59">
        <v>107.24</v>
      </c>
      <c r="C103" s="59">
        <v>120.38</v>
      </c>
      <c r="D103" s="59">
        <v>152.44</v>
      </c>
      <c r="E103" s="59">
        <v>4.97</v>
      </c>
      <c r="F103" s="214" t="s">
        <v>47</v>
      </c>
      <c r="G103" s="59">
        <v>126.61</v>
      </c>
      <c r="H103" s="59">
        <v>47.35</v>
      </c>
      <c r="I103" s="59">
        <v>0.95</v>
      </c>
      <c r="J103" s="59">
        <v>7.0000000000000007E-2</v>
      </c>
      <c r="K103" s="59">
        <v>344.05</v>
      </c>
      <c r="L103" s="59">
        <v>21.21</v>
      </c>
      <c r="M103" s="59">
        <v>78</v>
      </c>
      <c r="N103" s="59">
        <v>24.6</v>
      </c>
      <c r="O103" s="59">
        <v>0</v>
      </c>
      <c r="P103" s="59">
        <v>2.6</v>
      </c>
      <c r="Q103" s="59">
        <v>46.67</v>
      </c>
      <c r="R103" s="197"/>
      <c r="S103" s="197"/>
      <c r="T103" s="197"/>
      <c r="U103" s="197"/>
    </row>
    <row r="104" spans="1:33" s="12" customFormat="1" x14ac:dyDescent="0.25">
      <c r="A104" s="200" t="s">
        <v>2839</v>
      </c>
      <c r="B104" s="59">
        <v>107.96</v>
      </c>
      <c r="C104" s="59">
        <v>120.74</v>
      </c>
      <c r="D104" s="59">
        <v>153.19999999999999</v>
      </c>
      <c r="E104" s="59">
        <v>2.2799999999999998</v>
      </c>
      <c r="F104" s="59">
        <v>0.12</v>
      </c>
      <c r="G104" s="59">
        <v>126.61</v>
      </c>
      <c r="H104" s="59">
        <v>47.35</v>
      </c>
      <c r="I104" s="59">
        <v>1.05</v>
      </c>
      <c r="J104" s="59">
        <v>0.08</v>
      </c>
      <c r="K104" s="59">
        <v>4.32</v>
      </c>
      <c r="L104" s="59">
        <v>21.06</v>
      </c>
      <c r="M104" s="59">
        <v>78</v>
      </c>
      <c r="N104" s="59">
        <v>24.6</v>
      </c>
      <c r="O104" s="59">
        <v>0</v>
      </c>
      <c r="P104" s="59">
        <v>2.57</v>
      </c>
      <c r="Q104" s="59">
        <v>47.49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2.5099999999999998</v>
      </c>
      <c r="C106" s="66">
        <f>MIN(C9:C104)</f>
        <v>58.75</v>
      </c>
      <c r="D106" s="66">
        <f t="shared" ref="D106:Q106" si="0">MIN(D9:D104)</f>
        <v>35.479999999999997</v>
      </c>
      <c r="E106" s="66">
        <f t="shared" si="0"/>
        <v>1.41</v>
      </c>
      <c r="F106" s="66">
        <f t="shared" si="0"/>
        <v>0.01</v>
      </c>
      <c r="G106" s="66">
        <f t="shared" si="0"/>
        <v>23.92</v>
      </c>
      <c r="H106" s="66">
        <f t="shared" si="0"/>
        <v>10.7</v>
      </c>
      <c r="I106" s="66">
        <f t="shared" si="0"/>
        <v>0.08</v>
      </c>
      <c r="J106" s="66">
        <f t="shared" si="0"/>
        <v>0.02</v>
      </c>
      <c r="K106" s="66">
        <f t="shared" si="0"/>
        <v>2.5499999999999998</v>
      </c>
      <c r="L106" s="66">
        <f t="shared" si="0"/>
        <v>17.690000000000001</v>
      </c>
      <c r="M106" s="66">
        <f t="shared" si="0"/>
        <v>34</v>
      </c>
      <c r="N106" s="66">
        <f t="shared" si="0"/>
        <v>23.8</v>
      </c>
      <c r="O106" s="66">
        <f t="shared" si="0"/>
        <v>0</v>
      </c>
      <c r="P106" s="66">
        <f t="shared" si="0"/>
        <v>0.69</v>
      </c>
      <c r="Q106" s="66">
        <f t="shared" si="0"/>
        <v>25.9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131.19</v>
      </c>
      <c r="C107" s="65">
        <f t="shared" ref="C107:Q107" si="1">MAX(C9:C104)</f>
        <v>146.94</v>
      </c>
      <c r="D107" s="65">
        <f t="shared" si="1"/>
        <v>186.3</v>
      </c>
      <c r="E107" s="65">
        <f t="shared" si="1"/>
        <v>5.36</v>
      </c>
      <c r="F107" s="65">
        <f t="shared" si="1"/>
        <v>1.91</v>
      </c>
      <c r="G107" s="65">
        <f t="shared" si="1"/>
        <v>190.88</v>
      </c>
      <c r="H107" s="65">
        <f t="shared" si="1"/>
        <v>56.25</v>
      </c>
      <c r="I107" s="65">
        <f t="shared" si="1"/>
        <v>1.54</v>
      </c>
      <c r="J107" s="65">
        <f t="shared" si="1"/>
        <v>1.32</v>
      </c>
      <c r="K107" s="65">
        <f t="shared" si="1"/>
        <v>359.69</v>
      </c>
      <c r="L107" s="65">
        <f t="shared" si="1"/>
        <v>32.950000000000003</v>
      </c>
      <c r="M107" s="65">
        <f t="shared" si="1"/>
        <v>87</v>
      </c>
      <c r="N107" s="65">
        <f t="shared" si="1"/>
        <v>391.6</v>
      </c>
      <c r="O107" s="65">
        <f t="shared" si="1"/>
        <v>0</v>
      </c>
      <c r="P107" s="65">
        <f t="shared" si="1"/>
        <v>3.68</v>
      </c>
      <c r="Q107" s="65">
        <f t="shared" si="1"/>
        <v>47.49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56.140312499999986</v>
      </c>
      <c r="C108" s="66">
        <f t="shared" ref="C108:Q108" si="2">AVERAGE(C9:C104)</f>
        <v>102.69583333333331</v>
      </c>
      <c r="D108" s="66">
        <f t="shared" si="2"/>
        <v>101.69562500000001</v>
      </c>
      <c r="E108" s="66">
        <f t="shared" si="2"/>
        <v>3.733750000000001</v>
      </c>
      <c r="F108" s="66">
        <f t="shared" si="2"/>
        <v>0.34012345679012346</v>
      </c>
      <c r="G108" s="66">
        <f t="shared" si="2"/>
        <v>66.12552083333334</v>
      </c>
      <c r="H108" s="66">
        <f t="shared" si="2"/>
        <v>26.522083333333317</v>
      </c>
      <c r="I108" s="66">
        <f t="shared" si="2"/>
        <v>0.59738636363636355</v>
      </c>
      <c r="J108" s="66">
        <f t="shared" si="2"/>
        <v>0.20572916666666682</v>
      </c>
      <c r="K108" s="66">
        <f t="shared" si="2"/>
        <v>188.2811458333334</v>
      </c>
      <c r="L108" s="66">
        <f t="shared" si="2"/>
        <v>24.212083333333339</v>
      </c>
      <c r="M108" s="66">
        <f t="shared" si="2"/>
        <v>63.239583333333336</v>
      </c>
      <c r="N108" s="66">
        <f t="shared" si="2"/>
        <v>112.98437500000004</v>
      </c>
      <c r="O108" s="66">
        <f t="shared" si="2"/>
        <v>0</v>
      </c>
      <c r="P108" s="66">
        <f t="shared" si="2"/>
        <v>1.6196874999999997</v>
      </c>
      <c r="Q108" s="66">
        <f t="shared" si="2"/>
        <v>37.523125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39.293224980586714</v>
      </c>
      <c r="C109" s="66">
        <f t="shared" ref="C109:Q109" si="3">STDEV(C9:C104)</f>
        <v>20.027185401042335</v>
      </c>
      <c r="D109" s="66">
        <f t="shared" si="3"/>
        <v>41.661807521050413</v>
      </c>
      <c r="E109" s="66">
        <f t="shared" si="3"/>
        <v>0.82609831197783457</v>
      </c>
      <c r="F109" s="66">
        <f t="shared" si="3"/>
        <v>0.43700541709216967</v>
      </c>
      <c r="G109" s="66">
        <f t="shared" si="3"/>
        <v>45.763013883767293</v>
      </c>
      <c r="H109" s="66">
        <f t="shared" si="3"/>
        <v>10.434522047074232</v>
      </c>
      <c r="I109" s="66">
        <f t="shared" si="3"/>
        <v>0.34270893222340337</v>
      </c>
      <c r="J109" s="66">
        <f t="shared" si="3"/>
        <v>0.24524850894623354</v>
      </c>
      <c r="K109" s="66">
        <f t="shared" si="3"/>
        <v>132.64358591329011</v>
      </c>
      <c r="L109" s="66">
        <f t="shared" si="3"/>
        <v>5.079848923710129</v>
      </c>
      <c r="M109" s="66">
        <f t="shared" si="3"/>
        <v>15.719746075133227</v>
      </c>
      <c r="N109" s="66">
        <f t="shared" si="3"/>
        <v>127.63368828357365</v>
      </c>
      <c r="O109" s="66">
        <f t="shared" si="3"/>
        <v>0</v>
      </c>
      <c r="P109" s="66">
        <f t="shared" si="3"/>
        <v>0.78310912478133599</v>
      </c>
      <c r="Q109" s="66">
        <f t="shared" si="3"/>
        <v>5.1445845441180866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>COUNT(F9:F104)+15</f>
        <v>96</v>
      </c>
      <c r="G110" s="65">
        <f t="shared" si="4"/>
        <v>96</v>
      </c>
      <c r="H110" s="65">
        <f>COUNT(H9:H104)</f>
        <v>96</v>
      </c>
      <c r="I110" s="65">
        <f>COUNT(I9:I104)+8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57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69" sqref="A6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28-12-2022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3" t="s">
        <v>51</v>
      </c>
      <c r="C8" s="13" t="s">
        <v>51</v>
      </c>
      <c r="D8" s="13" t="s">
        <v>51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8" t="s">
        <v>51</v>
      </c>
      <c r="R8" s="195"/>
      <c r="S8" s="196"/>
      <c r="T8" s="195"/>
      <c r="U8" s="195"/>
    </row>
    <row r="9" spans="1:21" s="12" customFormat="1" x14ac:dyDescent="0.25">
      <c r="A9" s="200" t="s">
        <v>2840</v>
      </c>
      <c r="B9" s="59">
        <v>107.72</v>
      </c>
      <c r="C9" s="59">
        <v>124.03</v>
      </c>
      <c r="D9" s="59">
        <v>154.83000000000001</v>
      </c>
      <c r="E9" s="59">
        <v>4.5199999999999996</v>
      </c>
      <c r="F9" s="59">
        <v>0.15</v>
      </c>
      <c r="G9" s="59">
        <v>154.80000000000001</v>
      </c>
      <c r="H9" s="59">
        <v>49.24</v>
      </c>
      <c r="I9" s="59">
        <v>1.0900000000000001</v>
      </c>
      <c r="J9" s="59">
        <v>7.0000000000000007E-2</v>
      </c>
      <c r="K9" s="59">
        <v>306.27</v>
      </c>
      <c r="L9" s="59">
        <v>21</v>
      </c>
      <c r="M9" s="59">
        <v>80</v>
      </c>
      <c r="N9" s="59">
        <v>24.5</v>
      </c>
      <c r="O9" s="59">
        <v>0</v>
      </c>
      <c r="P9" s="59">
        <v>2.56</v>
      </c>
      <c r="Q9" s="59">
        <v>47.78</v>
      </c>
      <c r="R9" s="197"/>
      <c r="S9" s="197"/>
      <c r="T9" s="197"/>
      <c r="U9" s="197"/>
    </row>
    <row r="10" spans="1:21" s="12" customFormat="1" x14ac:dyDescent="0.25">
      <c r="A10" s="200" t="s">
        <v>2841</v>
      </c>
      <c r="B10" s="59">
        <v>107.18</v>
      </c>
      <c r="C10" s="59">
        <v>127.5</v>
      </c>
      <c r="D10" s="59">
        <v>156.32</v>
      </c>
      <c r="E10" s="59">
        <v>4.4400000000000004</v>
      </c>
      <c r="F10" s="59">
        <v>0.04</v>
      </c>
      <c r="G10" s="59">
        <v>174.32</v>
      </c>
      <c r="H10" s="59">
        <v>51.61</v>
      </c>
      <c r="I10" s="59">
        <v>0.95</v>
      </c>
      <c r="J10" s="59">
        <v>0.15</v>
      </c>
      <c r="K10" s="59">
        <v>20.28</v>
      </c>
      <c r="L10" s="59">
        <v>20.99</v>
      </c>
      <c r="M10" s="59">
        <v>80</v>
      </c>
      <c r="N10" s="59">
        <v>24.5</v>
      </c>
      <c r="O10" s="59">
        <v>0</v>
      </c>
      <c r="P10" s="59">
        <v>2.52</v>
      </c>
      <c r="Q10" s="59">
        <v>47.8</v>
      </c>
      <c r="R10" s="197"/>
      <c r="S10" s="197"/>
      <c r="T10" s="197"/>
      <c r="U10" s="197"/>
    </row>
    <row r="11" spans="1:21" s="12" customFormat="1" x14ac:dyDescent="0.25">
      <c r="A11" s="200" t="s">
        <v>2842</v>
      </c>
      <c r="B11" s="59">
        <v>108.82</v>
      </c>
      <c r="C11" s="59">
        <v>131.22</v>
      </c>
      <c r="D11" s="59">
        <v>159.69</v>
      </c>
      <c r="E11" s="59">
        <v>4.54</v>
      </c>
      <c r="F11" s="59">
        <v>0.08</v>
      </c>
      <c r="G11" s="59">
        <v>174.32</v>
      </c>
      <c r="H11" s="59">
        <v>51.61</v>
      </c>
      <c r="I11" s="59">
        <v>0.93</v>
      </c>
      <c r="J11" s="59">
        <v>0.15</v>
      </c>
      <c r="K11" s="59">
        <v>225.8</v>
      </c>
      <c r="L11" s="59">
        <v>21.03</v>
      </c>
      <c r="M11" s="59">
        <v>80</v>
      </c>
      <c r="N11" s="59">
        <v>24.2</v>
      </c>
      <c r="O11" s="59">
        <v>0</v>
      </c>
      <c r="P11" s="59">
        <v>2.5</v>
      </c>
      <c r="Q11" s="59">
        <v>47.6</v>
      </c>
      <c r="R11" s="197"/>
      <c r="S11" s="197"/>
      <c r="T11" s="197"/>
      <c r="U11" s="197"/>
    </row>
    <row r="12" spans="1:21" s="12" customFormat="1" x14ac:dyDescent="0.25">
      <c r="A12" s="200" t="s">
        <v>2843</v>
      </c>
      <c r="B12" s="59">
        <v>109.12</v>
      </c>
      <c r="C12" s="59">
        <v>133.44999999999999</v>
      </c>
      <c r="D12" s="59">
        <v>161.15</v>
      </c>
      <c r="E12" s="59">
        <v>4.8499999999999996</v>
      </c>
      <c r="F12" s="59">
        <v>0.11</v>
      </c>
      <c r="G12" s="59">
        <v>174.32</v>
      </c>
      <c r="H12" s="59">
        <v>51.61</v>
      </c>
      <c r="I12" s="59">
        <v>1.04</v>
      </c>
      <c r="J12" s="59">
        <v>0.28999999999999998</v>
      </c>
      <c r="K12" s="59">
        <v>210.93</v>
      </c>
      <c r="L12" s="59">
        <v>21.55</v>
      </c>
      <c r="M12" s="59">
        <v>76</v>
      </c>
      <c r="N12" s="59">
        <v>23.8</v>
      </c>
      <c r="O12" s="59">
        <v>0</v>
      </c>
      <c r="P12" s="59">
        <v>2.44</v>
      </c>
      <c r="Q12" s="59">
        <v>47.12</v>
      </c>
      <c r="R12" s="197"/>
      <c r="S12" s="197"/>
      <c r="T12" s="197"/>
      <c r="U12" s="197"/>
    </row>
    <row r="13" spans="1:21" s="12" customFormat="1" x14ac:dyDescent="0.25">
      <c r="A13" s="200" t="s">
        <v>2844</v>
      </c>
      <c r="B13" s="59">
        <v>103.98</v>
      </c>
      <c r="C13" s="59">
        <v>131.63999999999999</v>
      </c>
      <c r="D13" s="59">
        <v>156.03</v>
      </c>
      <c r="E13" s="59">
        <v>4.57</v>
      </c>
      <c r="F13" s="59">
        <v>0.06</v>
      </c>
      <c r="G13" s="59">
        <v>137.24</v>
      </c>
      <c r="H13" s="59">
        <v>50.41</v>
      </c>
      <c r="I13" s="59">
        <v>0.9</v>
      </c>
      <c r="J13" s="59">
        <v>0.05</v>
      </c>
      <c r="K13" s="59">
        <v>301.27999999999997</v>
      </c>
      <c r="L13" s="59">
        <v>21.37</v>
      </c>
      <c r="M13" s="59">
        <v>76</v>
      </c>
      <c r="N13" s="59">
        <v>24.5</v>
      </c>
      <c r="O13" s="59">
        <v>0</v>
      </c>
      <c r="P13" s="59">
        <v>2.2799999999999998</v>
      </c>
      <c r="Q13" s="59">
        <v>45.82</v>
      </c>
      <c r="R13" s="197"/>
      <c r="S13" s="197"/>
      <c r="T13" s="197"/>
      <c r="U13" s="197"/>
    </row>
    <row r="14" spans="1:21" s="12" customFormat="1" x14ac:dyDescent="0.25">
      <c r="A14" s="200" t="s">
        <v>2845</v>
      </c>
      <c r="B14" s="59">
        <v>92.54</v>
      </c>
      <c r="C14" s="59">
        <v>108.43</v>
      </c>
      <c r="D14" s="59">
        <v>134.05000000000001</v>
      </c>
      <c r="E14" s="59">
        <v>4.22</v>
      </c>
      <c r="F14" s="59">
        <v>0.05</v>
      </c>
      <c r="G14" s="59">
        <v>111.56</v>
      </c>
      <c r="H14" s="59">
        <v>48.9</v>
      </c>
      <c r="I14" s="59">
        <v>0.88</v>
      </c>
      <c r="J14" s="59">
        <v>0.11</v>
      </c>
      <c r="K14" s="59">
        <v>257.10000000000002</v>
      </c>
      <c r="L14" s="59">
        <v>21.09</v>
      </c>
      <c r="M14" s="59">
        <v>78</v>
      </c>
      <c r="N14" s="59">
        <v>24.5</v>
      </c>
      <c r="O14" s="59">
        <v>0</v>
      </c>
      <c r="P14" s="59">
        <v>2.2200000000000002</v>
      </c>
      <c r="Q14" s="59">
        <v>47.26</v>
      </c>
      <c r="R14" s="197"/>
      <c r="S14" s="197"/>
      <c r="T14" s="197"/>
      <c r="U14" s="197"/>
    </row>
    <row r="15" spans="1:21" s="12" customFormat="1" x14ac:dyDescent="0.25">
      <c r="A15" s="200" t="s">
        <v>2846</v>
      </c>
      <c r="B15" s="59">
        <v>92.26</v>
      </c>
      <c r="C15" s="59">
        <v>111.85</v>
      </c>
      <c r="D15" s="59">
        <v>135.71</v>
      </c>
      <c r="E15" s="59">
        <v>4.18</v>
      </c>
      <c r="F15" s="59">
        <v>0.08</v>
      </c>
      <c r="G15" s="59">
        <v>111.56</v>
      </c>
      <c r="H15" s="59">
        <v>48.9</v>
      </c>
      <c r="I15" s="59">
        <v>0.84</v>
      </c>
      <c r="J15" s="59">
        <v>7.0000000000000007E-2</v>
      </c>
      <c r="K15" s="59">
        <v>283.86</v>
      </c>
      <c r="L15" s="59">
        <v>20.78</v>
      </c>
      <c r="M15" s="59">
        <v>79</v>
      </c>
      <c r="N15" s="59">
        <v>24.6</v>
      </c>
      <c r="O15" s="59">
        <v>0</v>
      </c>
      <c r="P15" s="59">
        <v>2.21</v>
      </c>
      <c r="Q15" s="59">
        <v>40.6</v>
      </c>
      <c r="R15" s="197"/>
      <c r="S15" s="197"/>
      <c r="T15" s="197"/>
      <c r="U15" s="197"/>
    </row>
    <row r="16" spans="1:21" s="12" customFormat="1" x14ac:dyDescent="0.25">
      <c r="A16" s="200" t="s">
        <v>2847</v>
      </c>
      <c r="B16" s="59">
        <v>88.1</v>
      </c>
      <c r="C16" s="59">
        <v>122.08</v>
      </c>
      <c r="D16" s="59">
        <v>138.02000000000001</v>
      </c>
      <c r="E16" s="59">
        <v>4.1900000000000004</v>
      </c>
      <c r="F16" s="59">
        <v>7.0000000000000007E-2</v>
      </c>
      <c r="G16" s="59">
        <v>111.56</v>
      </c>
      <c r="H16" s="59">
        <v>48.9</v>
      </c>
      <c r="I16" s="59">
        <v>0.78</v>
      </c>
      <c r="J16" s="59">
        <v>0.2</v>
      </c>
      <c r="K16" s="59">
        <v>238.32</v>
      </c>
      <c r="L16" s="59">
        <v>20.79</v>
      </c>
      <c r="M16" s="59">
        <v>79</v>
      </c>
      <c r="N16" s="59">
        <v>24.1</v>
      </c>
      <c r="O16" s="59">
        <v>0</v>
      </c>
      <c r="P16" s="59">
        <v>2.17</v>
      </c>
      <c r="Q16" s="59">
        <v>41.94</v>
      </c>
      <c r="R16" s="197"/>
      <c r="S16" s="197"/>
      <c r="T16" s="197"/>
      <c r="U16" s="197"/>
    </row>
    <row r="17" spans="1:21" s="12" customFormat="1" x14ac:dyDescent="0.25">
      <c r="A17" s="200" t="s">
        <v>2848</v>
      </c>
      <c r="B17" s="59">
        <v>84.03</v>
      </c>
      <c r="C17" s="59">
        <v>117.41</v>
      </c>
      <c r="D17" s="59">
        <v>132.18</v>
      </c>
      <c r="E17" s="59">
        <v>4.38</v>
      </c>
      <c r="F17" s="59">
        <v>0.05</v>
      </c>
      <c r="G17" s="59">
        <v>83.34</v>
      </c>
      <c r="H17" s="59">
        <v>45.92</v>
      </c>
      <c r="I17" s="59">
        <v>0.79</v>
      </c>
      <c r="J17" s="59">
        <v>7.0000000000000007E-2</v>
      </c>
      <c r="K17" s="59">
        <v>255.49</v>
      </c>
      <c r="L17" s="59">
        <v>20.92</v>
      </c>
      <c r="M17" s="59">
        <v>79</v>
      </c>
      <c r="N17" s="59">
        <v>24.4</v>
      </c>
      <c r="O17" s="59">
        <v>0</v>
      </c>
      <c r="P17" s="59">
        <v>2.09</v>
      </c>
      <c r="Q17" s="59">
        <v>41.17</v>
      </c>
      <c r="R17" s="197"/>
      <c r="S17" s="197"/>
      <c r="T17" s="197"/>
      <c r="U17" s="197"/>
    </row>
    <row r="18" spans="1:21" s="12" customFormat="1" x14ac:dyDescent="0.25">
      <c r="A18" s="200" t="s">
        <v>2849</v>
      </c>
      <c r="B18" s="59">
        <v>81.08</v>
      </c>
      <c r="C18" s="59">
        <v>110.91</v>
      </c>
      <c r="D18" s="59">
        <v>126.23</v>
      </c>
      <c r="E18" s="59">
        <v>4.51</v>
      </c>
      <c r="F18" s="59">
        <v>0.05</v>
      </c>
      <c r="G18" s="59">
        <v>63.08</v>
      </c>
      <c r="H18" s="59">
        <v>42.19</v>
      </c>
      <c r="I18" s="59">
        <v>0.77</v>
      </c>
      <c r="J18" s="59">
        <v>0.23</v>
      </c>
      <c r="K18" s="59">
        <v>185.48</v>
      </c>
      <c r="L18" s="59">
        <v>20.98</v>
      </c>
      <c r="M18" s="59">
        <v>79</v>
      </c>
      <c r="N18" s="59">
        <v>24.5</v>
      </c>
      <c r="O18" s="59">
        <v>0</v>
      </c>
      <c r="P18" s="59">
        <v>2.04</v>
      </c>
      <c r="Q18" s="59">
        <v>42.33</v>
      </c>
      <c r="R18" s="197"/>
      <c r="S18" s="197"/>
      <c r="T18" s="197"/>
      <c r="U18" s="197"/>
    </row>
    <row r="19" spans="1:21" s="12" customFormat="1" x14ac:dyDescent="0.25">
      <c r="A19" s="200" t="s">
        <v>2850</v>
      </c>
      <c r="B19" s="59">
        <v>78.94</v>
      </c>
      <c r="C19" s="59">
        <v>111.15</v>
      </c>
      <c r="D19" s="59">
        <v>124.65</v>
      </c>
      <c r="E19" s="59">
        <v>4.79</v>
      </c>
      <c r="F19" s="59">
        <v>0.18</v>
      </c>
      <c r="G19" s="59">
        <v>63.08</v>
      </c>
      <c r="H19" s="59">
        <v>42.19</v>
      </c>
      <c r="I19" s="59">
        <v>0.76</v>
      </c>
      <c r="J19" s="59">
        <v>0.03</v>
      </c>
      <c r="K19" s="59">
        <v>77.180000000000007</v>
      </c>
      <c r="L19" s="59">
        <v>21.09</v>
      </c>
      <c r="M19" s="59">
        <v>79</v>
      </c>
      <c r="N19" s="59">
        <v>24.7</v>
      </c>
      <c r="O19" s="59">
        <v>0</v>
      </c>
      <c r="P19" s="59">
        <v>2</v>
      </c>
      <c r="Q19" s="59">
        <v>41.76</v>
      </c>
      <c r="R19" s="197"/>
      <c r="S19" s="197"/>
      <c r="T19" s="197"/>
      <c r="U19" s="197"/>
    </row>
    <row r="20" spans="1:21" s="12" customFormat="1" x14ac:dyDescent="0.25">
      <c r="A20" s="200" t="s">
        <v>2851</v>
      </c>
      <c r="B20" s="59">
        <v>72.540000000000006</v>
      </c>
      <c r="C20" s="59">
        <v>108.33</v>
      </c>
      <c r="D20" s="59">
        <v>117.96</v>
      </c>
      <c r="E20" s="59">
        <v>4.45</v>
      </c>
      <c r="F20" s="59">
        <v>0.08</v>
      </c>
      <c r="G20" s="59">
        <v>63.08</v>
      </c>
      <c r="H20" s="59">
        <v>42.19</v>
      </c>
      <c r="I20" s="59">
        <v>0.74</v>
      </c>
      <c r="J20" s="59">
        <v>0.1</v>
      </c>
      <c r="K20" s="59">
        <v>65.489999999999995</v>
      </c>
      <c r="L20" s="59">
        <v>21.14</v>
      </c>
      <c r="M20" s="59">
        <v>80</v>
      </c>
      <c r="N20" s="59">
        <v>24.9</v>
      </c>
      <c r="O20" s="59">
        <v>0</v>
      </c>
      <c r="P20" s="59">
        <v>1.93</v>
      </c>
      <c r="Q20" s="59">
        <v>41.26</v>
      </c>
      <c r="R20" s="197"/>
      <c r="S20" s="197"/>
      <c r="T20" s="197"/>
      <c r="U20" s="197"/>
    </row>
    <row r="21" spans="1:21" s="12" customFormat="1" x14ac:dyDescent="0.25">
      <c r="A21" s="200" t="s">
        <v>2852</v>
      </c>
      <c r="B21" s="59">
        <v>72.89</v>
      </c>
      <c r="C21" s="59">
        <v>97.16</v>
      </c>
      <c r="D21" s="59">
        <v>112.07</v>
      </c>
      <c r="E21" s="59">
        <v>4.25</v>
      </c>
      <c r="F21" s="214" t="s">
        <v>47</v>
      </c>
      <c r="G21" s="59">
        <v>60.76</v>
      </c>
      <c r="H21" s="59">
        <v>39.42</v>
      </c>
      <c r="I21" s="59">
        <v>0.74</v>
      </c>
      <c r="J21" s="59">
        <v>0.34</v>
      </c>
      <c r="K21" s="59">
        <v>118.87</v>
      </c>
      <c r="L21" s="59">
        <v>20.93</v>
      </c>
      <c r="M21" s="59">
        <v>82</v>
      </c>
      <c r="N21" s="59">
        <v>24.4</v>
      </c>
      <c r="O21" s="59">
        <v>0</v>
      </c>
      <c r="P21" s="59">
        <v>1.89</v>
      </c>
      <c r="Q21" s="59">
        <v>44.65</v>
      </c>
      <c r="R21" s="197"/>
      <c r="S21" s="197"/>
      <c r="T21" s="197"/>
      <c r="U21" s="197"/>
    </row>
    <row r="22" spans="1:21" s="12" customFormat="1" x14ac:dyDescent="0.25">
      <c r="A22" s="200" t="s">
        <v>2853</v>
      </c>
      <c r="B22" s="59">
        <v>70.41</v>
      </c>
      <c r="C22" s="59">
        <v>94.06</v>
      </c>
      <c r="D22" s="59">
        <v>108.37</v>
      </c>
      <c r="E22" s="59">
        <v>4.7300000000000004</v>
      </c>
      <c r="F22" s="59">
        <v>0.04</v>
      </c>
      <c r="G22" s="59">
        <v>56.42</v>
      </c>
      <c r="H22" s="59">
        <v>35.950000000000003</v>
      </c>
      <c r="I22" s="59">
        <v>0.72</v>
      </c>
      <c r="J22" s="59">
        <v>0.12</v>
      </c>
      <c r="K22" s="59">
        <v>359.14</v>
      </c>
      <c r="L22" s="59">
        <v>21.08</v>
      </c>
      <c r="M22" s="59">
        <v>82</v>
      </c>
      <c r="N22" s="59">
        <v>24.7</v>
      </c>
      <c r="O22" s="59">
        <v>0</v>
      </c>
      <c r="P22" s="59">
        <v>1.83</v>
      </c>
      <c r="Q22" s="59">
        <v>44.63</v>
      </c>
      <c r="R22" s="197"/>
      <c r="S22" s="197"/>
      <c r="T22" s="197"/>
      <c r="U22" s="197"/>
    </row>
    <row r="23" spans="1:21" s="12" customFormat="1" x14ac:dyDescent="0.25">
      <c r="A23" s="200" t="s">
        <v>2854</v>
      </c>
      <c r="B23" s="59">
        <v>66.260000000000005</v>
      </c>
      <c r="C23" s="59">
        <v>95.83</v>
      </c>
      <c r="D23" s="59">
        <v>106.03</v>
      </c>
      <c r="E23" s="59">
        <v>4.5</v>
      </c>
      <c r="F23" s="59">
        <v>0.03</v>
      </c>
      <c r="G23" s="59">
        <v>56.42</v>
      </c>
      <c r="H23" s="59">
        <v>35.950000000000003</v>
      </c>
      <c r="I23" s="59">
        <v>0.7</v>
      </c>
      <c r="J23" s="59">
        <v>0.14000000000000001</v>
      </c>
      <c r="K23" s="59">
        <v>203.16</v>
      </c>
      <c r="L23" s="59">
        <v>20.67</v>
      </c>
      <c r="M23" s="59">
        <v>83</v>
      </c>
      <c r="N23" s="59">
        <v>24.6</v>
      </c>
      <c r="O23" s="59">
        <v>0</v>
      </c>
      <c r="P23" s="59">
        <v>1.77</v>
      </c>
      <c r="Q23" s="59">
        <v>45.17</v>
      </c>
      <c r="R23" s="197"/>
      <c r="S23" s="197"/>
      <c r="T23" s="197"/>
      <c r="U23" s="197"/>
    </row>
    <row r="24" spans="1:21" s="12" customFormat="1" x14ac:dyDescent="0.25">
      <c r="A24" s="200" t="s">
        <v>2855</v>
      </c>
      <c r="B24" s="59">
        <v>62.01</v>
      </c>
      <c r="C24" s="59">
        <v>97.14</v>
      </c>
      <c r="D24" s="59">
        <v>103.33</v>
      </c>
      <c r="E24" s="59">
        <v>1.94</v>
      </c>
      <c r="F24" s="59">
        <v>0.15</v>
      </c>
      <c r="G24" s="59">
        <v>56.42</v>
      </c>
      <c r="H24" s="59">
        <v>35.950000000000003</v>
      </c>
      <c r="I24" s="59">
        <v>0.68</v>
      </c>
      <c r="J24" s="59">
        <v>0.15</v>
      </c>
      <c r="K24" s="59">
        <v>56.35</v>
      </c>
      <c r="L24" s="59">
        <v>20.56</v>
      </c>
      <c r="M24" s="59">
        <v>84</v>
      </c>
      <c r="N24" s="59">
        <v>24.5</v>
      </c>
      <c r="O24" s="59">
        <v>0</v>
      </c>
      <c r="P24" s="59">
        <v>1.71</v>
      </c>
      <c r="Q24" s="59">
        <v>44.69</v>
      </c>
      <c r="R24" s="197"/>
      <c r="S24" s="197"/>
      <c r="T24" s="197"/>
      <c r="U24" s="197"/>
    </row>
    <row r="25" spans="1:21" s="12" customFormat="1" x14ac:dyDescent="0.25">
      <c r="A25" s="200" t="s">
        <v>2856</v>
      </c>
      <c r="B25" s="59">
        <v>58.34</v>
      </c>
      <c r="C25" s="59">
        <v>98.61</v>
      </c>
      <c r="D25" s="59">
        <v>101.21</v>
      </c>
      <c r="E25" s="59">
        <v>3.9</v>
      </c>
      <c r="F25" s="59">
        <v>0.19</v>
      </c>
      <c r="G25" s="59">
        <v>51.54</v>
      </c>
      <c r="H25" s="59">
        <v>33.9</v>
      </c>
      <c r="I25" s="59">
        <v>0.65</v>
      </c>
      <c r="J25" s="59">
        <v>0.28999999999999998</v>
      </c>
      <c r="K25" s="59">
        <v>87.96</v>
      </c>
      <c r="L25" s="59">
        <v>20.7</v>
      </c>
      <c r="M25" s="59">
        <v>83</v>
      </c>
      <c r="N25" s="59">
        <v>24.1</v>
      </c>
      <c r="O25" s="59">
        <v>0</v>
      </c>
      <c r="P25" s="59">
        <v>1.65</v>
      </c>
      <c r="Q25" s="59">
        <v>44.11</v>
      </c>
      <c r="R25" s="197"/>
      <c r="S25" s="197"/>
      <c r="T25" s="197"/>
      <c r="U25" s="197"/>
    </row>
    <row r="26" spans="1:21" s="12" customFormat="1" x14ac:dyDescent="0.25">
      <c r="A26" s="200" t="s">
        <v>2857</v>
      </c>
      <c r="B26" s="59">
        <v>55.05</v>
      </c>
      <c r="C26" s="59">
        <v>100.1</v>
      </c>
      <c r="D26" s="59">
        <v>99.39</v>
      </c>
      <c r="E26" s="59">
        <v>3.96</v>
      </c>
      <c r="F26" s="59">
        <v>0.06</v>
      </c>
      <c r="G26" s="59">
        <v>48.16</v>
      </c>
      <c r="H26" s="59">
        <v>31.34</v>
      </c>
      <c r="I26" s="59">
        <v>0.62</v>
      </c>
      <c r="J26" s="59">
        <v>0.18</v>
      </c>
      <c r="K26" s="59">
        <v>109.83</v>
      </c>
      <c r="L26" s="59">
        <v>20.86</v>
      </c>
      <c r="M26" s="59">
        <v>80</v>
      </c>
      <c r="N26" s="59">
        <v>24.1</v>
      </c>
      <c r="O26" s="59">
        <v>0</v>
      </c>
      <c r="P26" s="59">
        <v>1.62</v>
      </c>
      <c r="Q26" s="59">
        <v>43.6</v>
      </c>
      <c r="R26" s="197"/>
      <c r="S26" s="197"/>
      <c r="T26" s="197"/>
      <c r="U26" s="197"/>
    </row>
    <row r="27" spans="1:21" s="12" customFormat="1" x14ac:dyDescent="0.25">
      <c r="A27" s="200" t="s">
        <v>2858</v>
      </c>
      <c r="B27" s="59">
        <v>52.34</v>
      </c>
      <c r="C27" s="59">
        <v>99.69</v>
      </c>
      <c r="D27" s="59">
        <v>96.98</v>
      </c>
      <c r="E27" s="59">
        <v>4.33</v>
      </c>
      <c r="F27" s="59">
        <v>0.03</v>
      </c>
      <c r="G27" s="59">
        <v>48.16</v>
      </c>
      <c r="H27" s="59">
        <v>31.34</v>
      </c>
      <c r="I27" s="59">
        <v>0.6</v>
      </c>
      <c r="J27" s="59">
        <v>0.19</v>
      </c>
      <c r="K27" s="59">
        <v>6.5</v>
      </c>
      <c r="L27" s="59">
        <v>20.8</v>
      </c>
      <c r="M27" s="59">
        <v>81</v>
      </c>
      <c r="N27" s="59">
        <v>24.4</v>
      </c>
      <c r="O27" s="59">
        <v>0</v>
      </c>
      <c r="P27" s="59">
        <v>1.59</v>
      </c>
      <c r="Q27" s="59">
        <v>42.82</v>
      </c>
      <c r="R27" s="197"/>
      <c r="S27" s="197"/>
      <c r="T27" s="197"/>
      <c r="U27" s="197"/>
    </row>
    <row r="28" spans="1:21" s="12" customFormat="1" x14ac:dyDescent="0.25">
      <c r="A28" s="200" t="s">
        <v>2859</v>
      </c>
      <c r="B28" s="59">
        <v>50.49</v>
      </c>
      <c r="C28" s="59">
        <v>93.61</v>
      </c>
      <c r="D28" s="59">
        <v>92.15</v>
      </c>
      <c r="E28" s="59">
        <v>3.79</v>
      </c>
      <c r="F28" s="59">
        <v>0.01</v>
      </c>
      <c r="G28" s="59">
        <v>48.16</v>
      </c>
      <c r="H28" s="59">
        <v>31.34</v>
      </c>
      <c r="I28" s="59">
        <v>0.56999999999999995</v>
      </c>
      <c r="J28" s="59">
        <v>7.0000000000000007E-2</v>
      </c>
      <c r="K28" s="59">
        <v>316.66000000000003</v>
      </c>
      <c r="L28" s="59">
        <v>20.41</v>
      </c>
      <c r="M28" s="59">
        <v>82</v>
      </c>
      <c r="N28" s="59">
        <v>24.6</v>
      </c>
      <c r="O28" s="59">
        <v>0</v>
      </c>
      <c r="P28" s="59">
        <v>1.58</v>
      </c>
      <c r="Q28" s="59">
        <v>43.13</v>
      </c>
      <c r="R28" s="197"/>
      <c r="S28" s="197"/>
      <c r="T28" s="197"/>
      <c r="U28" s="197"/>
    </row>
    <row r="29" spans="1:21" s="12" customFormat="1" x14ac:dyDescent="0.25">
      <c r="A29" s="200" t="s">
        <v>2860</v>
      </c>
      <c r="B29" s="59">
        <v>50.58</v>
      </c>
      <c r="C29" s="59">
        <v>92.24</v>
      </c>
      <c r="D29" s="59">
        <v>91.47</v>
      </c>
      <c r="E29" s="59">
        <v>3.28</v>
      </c>
      <c r="F29" s="59">
        <v>0.02</v>
      </c>
      <c r="G29" s="59">
        <v>68.790000000000006</v>
      </c>
      <c r="H29" s="59">
        <v>32.99</v>
      </c>
      <c r="I29" s="59">
        <v>0.56000000000000005</v>
      </c>
      <c r="J29" s="59">
        <v>0.18</v>
      </c>
      <c r="K29" s="59">
        <v>269.32</v>
      </c>
      <c r="L29" s="59">
        <v>20.27</v>
      </c>
      <c r="M29" s="59">
        <v>82</v>
      </c>
      <c r="N29" s="59">
        <v>24.4</v>
      </c>
      <c r="O29" s="59">
        <v>0</v>
      </c>
      <c r="P29" s="59">
        <v>1.56</v>
      </c>
      <c r="Q29" s="59">
        <v>39.04</v>
      </c>
      <c r="R29" s="197"/>
      <c r="S29" s="197"/>
      <c r="T29" s="197"/>
      <c r="U29" s="197"/>
    </row>
    <row r="30" spans="1:21" s="12" customFormat="1" x14ac:dyDescent="0.25">
      <c r="A30" s="200" t="s">
        <v>2861</v>
      </c>
      <c r="B30" s="59">
        <v>50.6</v>
      </c>
      <c r="C30" s="59">
        <v>96.6</v>
      </c>
      <c r="D30" s="59">
        <v>93.88</v>
      </c>
      <c r="E30" s="59">
        <v>3.53</v>
      </c>
      <c r="F30" s="59">
        <v>0.06</v>
      </c>
      <c r="G30" s="59">
        <v>83.44</v>
      </c>
      <c r="H30" s="59">
        <v>35.130000000000003</v>
      </c>
      <c r="I30" s="59">
        <v>0.54</v>
      </c>
      <c r="J30" s="59">
        <v>0.1</v>
      </c>
      <c r="K30" s="59">
        <v>323.52</v>
      </c>
      <c r="L30" s="59">
        <v>20.190000000000001</v>
      </c>
      <c r="M30" s="59">
        <v>82</v>
      </c>
      <c r="N30" s="59">
        <v>24.6</v>
      </c>
      <c r="O30" s="59">
        <v>0</v>
      </c>
      <c r="P30" s="59">
        <v>1.56</v>
      </c>
      <c r="Q30" s="59">
        <v>40.06</v>
      </c>
      <c r="R30" s="197"/>
      <c r="S30" s="197"/>
      <c r="T30" s="197"/>
      <c r="U30" s="197"/>
    </row>
    <row r="31" spans="1:21" s="12" customFormat="1" x14ac:dyDescent="0.25">
      <c r="A31" s="200" t="s">
        <v>2862</v>
      </c>
      <c r="B31" s="59">
        <v>53.72</v>
      </c>
      <c r="C31" s="59">
        <v>100.15</v>
      </c>
      <c r="D31" s="59">
        <v>98.35</v>
      </c>
      <c r="E31" s="59">
        <v>3.54</v>
      </c>
      <c r="F31" s="59">
        <v>0.04</v>
      </c>
      <c r="G31" s="59">
        <v>83.44</v>
      </c>
      <c r="H31" s="59">
        <v>35.130000000000003</v>
      </c>
      <c r="I31" s="59">
        <v>0.55000000000000004</v>
      </c>
      <c r="J31" s="59">
        <v>0.14000000000000001</v>
      </c>
      <c r="K31" s="59">
        <v>11.65</v>
      </c>
      <c r="L31" s="59">
        <v>19.93</v>
      </c>
      <c r="M31" s="59">
        <v>83</v>
      </c>
      <c r="N31" s="59">
        <v>24.6</v>
      </c>
      <c r="O31" s="59">
        <v>0</v>
      </c>
      <c r="P31" s="59">
        <v>1.56</v>
      </c>
      <c r="Q31" s="59">
        <v>39.83</v>
      </c>
      <c r="R31" s="197"/>
      <c r="S31" s="197"/>
      <c r="T31" s="197"/>
      <c r="U31" s="197"/>
    </row>
    <row r="32" spans="1:21" s="12" customFormat="1" x14ac:dyDescent="0.25">
      <c r="A32" s="200" t="s">
        <v>2863</v>
      </c>
      <c r="B32" s="59">
        <v>55.78</v>
      </c>
      <c r="C32" s="59">
        <v>102.89</v>
      </c>
      <c r="D32" s="59">
        <v>101.51</v>
      </c>
      <c r="E32" s="59">
        <v>4.0199999999999996</v>
      </c>
      <c r="F32" s="59">
        <v>0.09</v>
      </c>
      <c r="G32" s="59">
        <v>83.44</v>
      </c>
      <c r="H32" s="59">
        <v>35.130000000000003</v>
      </c>
      <c r="I32" s="59">
        <v>0.56000000000000005</v>
      </c>
      <c r="J32" s="59">
        <v>0.09</v>
      </c>
      <c r="K32" s="59">
        <v>333.26</v>
      </c>
      <c r="L32" s="59">
        <v>19.690000000000001</v>
      </c>
      <c r="M32" s="59">
        <v>85</v>
      </c>
      <c r="N32" s="59">
        <v>24.6</v>
      </c>
      <c r="O32" s="59">
        <v>0</v>
      </c>
      <c r="P32" s="59">
        <v>1.58</v>
      </c>
      <c r="Q32" s="59">
        <v>39.090000000000003</v>
      </c>
      <c r="R32" s="197"/>
      <c r="S32" s="197"/>
      <c r="T32" s="197"/>
      <c r="U32" s="197"/>
    </row>
    <row r="33" spans="1:21" s="12" customFormat="1" x14ac:dyDescent="0.25">
      <c r="A33" s="200" t="s">
        <v>2864</v>
      </c>
      <c r="B33" s="59">
        <v>60.09</v>
      </c>
      <c r="C33" s="59">
        <v>105.33</v>
      </c>
      <c r="D33" s="59">
        <v>106.31</v>
      </c>
      <c r="E33" s="59">
        <v>3.67</v>
      </c>
      <c r="F33" s="59">
        <v>0.04</v>
      </c>
      <c r="G33" s="59">
        <v>94.75</v>
      </c>
      <c r="H33" s="59">
        <v>37.659999999999997</v>
      </c>
      <c r="I33" s="59">
        <v>0.56000000000000005</v>
      </c>
      <c r="J33" s="59">
        <v>0.08</v>
      </c>
      <c r="K33" s="59">
        <v>317.10000000000002</v>
      </c>
      <c r="L33" s="59">
        <v>19.649999999999999</v>
      </c>
      <c r="M33" s="59">
        <v>85</v>
      </c>
      <c r="N33" s="59">
        <v>24.6</v>
      </c>
      <c r="O33" s="59">
        <v>0</v>
      </c>
      <c r="P33" s="59">
        <v>1.6</v>
      </c>
      <c r="Q33" s="59">
        <v>39.57</v>
      </c>
      <c r="R33" s="197"/>
      <c r="S33" s="197"/>
      <c r="T33" s="197"/>
      <c r="U33" s="197"/>
    </row>
    <row r="34" spans="1:21" s="12" customFormat="1" x14ac:dyDescent="0.25">
      <c r="A34" s="200" t="s">
        <v>2865</v>
      </c>
      <c r="B34" s="59">
        <v>62.35</v>
      </c>
      <c r="C34" s="59">
        <v>104.68</v>
      </c>
      <c r="D34" s="59">
        <v>107.77</v>
      </c>
      <c r="E34" s="59">
        <v>3.92</v>
      </c>
      <c r="F34" s="59">
        <v>0.08</v>
      </c>
      <c r="G34" s="59">
        <v>102.79</v>
      </c>
      <c r="H34" s="59">
        <v>40.950000000000003</v>
      </c>
      <c r="I34" s="59">
        <v>0.56000000000000005</v>
      </c>
      <c r="J34" s="59">
        <v>0.16</v>
      </c>
      <c r="K34" s="59">
        <v>9.67</v>
      </c>
      <c r="L34" s="59">
        <v>19.79</v>
      </c>
      <c r="M34" s="59">
        <v>84</v>
      </c>
      <c r="N34" s="59">
        <v>24.9</v>
      </c>
      <c r="O34" s="59">
        <v>0</v>
      </c>
      <c r="P34" s="59">
        <v>1.6</v>
      </c>
      <c r="Q34" s="59">
        <v>41.66</v>
      </c>
      <c r="R34" s="197"/>
      <c r="S34" s="197"/>
      <c r="T34" s="197"/>
      <c r="U34" s="197"/>
    </row>
    <row r="35" spans="1:21" s="12" customFormat="1" x14ac:dyDescent="0.25">
      <c r="A35" s="200" t="s">
        <v>2866</v>
      </c>
      <c r="B35" s="59">
        <v>63.43</v>
      </c>
      <c r="C35" s="59">
        <v>104.62</v>
      </c>
      <c r="D35" s="59">
        <v>108.6</v>
      </c>
      <c r="E35" s="59">
        <v>4.18</v>
      </c>
      <c r="F35" s="59">
        <v>0.06</v>
      </c>
      <c r="G35" s="59">
        <v>102.79</v>
      </c>
      <c r="H35" s="59">
        <v>40.950000000000003</v>
      </c>
      <c r="I35" s="59">
        <v>0.57999999999999996</v>
      </c>
      <c r="J35" s="59">
        <v>0.1</v>
      </c>
      <c r="K35" s="59">
        <v>338.98</v>
      </c>
      <c r="L35" s="59">
        <v>19.97</v>
      </c>
      <c r="M35" s="59">
        <v>81</v>
      </c>
      <c r="N35" s="59">
        <v>27.3</v>
      </c>
      <c r="O35" s="59">
        <v>0</v>
      </c>
      <c r="P35" s="59">
        <v>1.6</v>
      </c>
      <c r="Q35" s="59">
        <v>40.89</v>
      </c>
      <c r="R35" s="197"/>
      <c r="S35" s="197"/>
      <c r="T35" s="197"/>
      <c r="U35" s="197"/>
    </row>
    <row r="36" spans="1:21" s="12" customFormat="1" x14ac:dyDescent="0.25">
      <c r="A36" s="200" t="s">
        <v>2867</v>
      </c>
      <c r="B36" s="59">
        <v>65.61</v>
      </c>
      <c r="C36" s="59">
        <v>99.83</v>
      </c>
      <c r="D36" s="59">
        <v>107.71</v>
      </c>
      <c r="E36" s="59">
        <v>4.09</v>
      </c>
      <c r="F36" s="59">
        <v>0.06</v>
      </c>
      <c r="G36" s="59">
        <v>102.79</v>
      </c>
      <c r="H36" s="59">
        <v>40.950000000000003</v>
      </c>
      <c r="I36" s="59">
        <v>0.57999999999999996</v>
      </c>
      <c r="J36" s="59">
        <v>0.27</v>
      </c>
      <c r="K36" s="59">
        <v>29.34</v>
      </c>
      <c r="L36" s="59">
        <v>20.34</v>
      </c>
      <c r="M36" s="59">
        <v>80</v>
      </c>
      <c r="N36" s="59">
        <v>33.5</v>
      </c>
      <c r="O36" s="59">
        <v>0</v>
      </c>
      <c r="P36" s="59">
        <v>1.63</v>
      </c>
      <c r="Q36" s="59">
        <v>43.16</v>
      </c>
      <c r="R36" s="197"/>
      <c r="S36" s="197"/>
      <c r="T36" s="197"/>
      <c r="U36" s="197"/>
    </row>
    <row r="37" spans="1:21" s="12" customFormat="1" x14ac:dyDescent="0.25">
      <c r="A37" s="200" t="s">
        <v>2868</v>
      </c>
      <c r="B37" s="59">
        <v>66.77</v>
      </c>
      <c r="C37" s="59">
        <v>100.36</v>
      </c>
      <c r="D37" s="59">
        <v>108.93</v>
      </c>
      <c r="E37" s="59">
        <v>4.42</v>
      </c>
      <c r="F37" s="59">
        <v>0.08</v>
      </c>
      <c r="G37" s="59">
        <v>106.21</v>
      </c>
      <c r="H37" s="59">
        <v>42.68</v>
      </c>
      <c r="I37" s="59">
        <v>0.59</v>
      </c>
      <c r="J37" s="59">
        <v>0.16</v>
      </c>
      <c r="K37" s="59">
        <v>61.27</v>
      </c>
      <c r="L37" s="59">
        <v>21.09</v>
      </c>
      <c r="M37" s="59">
        <v>75</v>
      </c>
      <c r="N37" s="59">
        <v>45.2</v>
      </c>
      <c r="O37" s="59">
        <v>0</v>
      </c>
      <c r="P37" s="59">
        <v>1.46</v>
      </c>
      <c r="Q37" s="59">
        <v>43.46</v>
      </c>
      <c r="R37" s="197"/>
      <c r="S37" s="197"/>
      <c r="T37" s="197"/>
      <c r="U37" s="197"/>
    </row>
    <row r="38" spans="1:21" s="12" customFormat="1" x14ac:dyDescent="0.25">
      <c r="A38" s="200" t="s">
        <v>2869</v>
      </c>
      <c r="B38" s="59">
        <v>66.510000000000005</v>
      </c>
      <c r="C38" s="59">
        <v>104.36</v>
      </c>
      <c r="D38" s="59">
        <v>110.93</v>
      </c>
      <c r="E38" s="59">
        <v>4.1100000000000003</v>
      </c>
      <c r="F38" s="59">
        <v>0.04</v>
      </c>
      <c r="G38" s="59">
        <v>112.36</v>
      </c>
      <c r="H38" s="59">
        <v>44.84</v>
      </c>
      <c r="I38" s="59">
        <v>0.59</v>
      </c>
      <c r="J38" s="59">
        <v>0.19</v>
      </c>
      <c r="K38" s="59">
        <v>64.84</v>
      </c>
      <c r="L38" s="59">
        <v>21.47</v>
      </c>
      <c r="M38" s="59">
        <v>74</v>
      </c>
      <c r="N38" s="59">
        <v>52.2</v>
      </c>
      <c r="O38" s="59">
        <v>0</v>
      </c>
      <c r="P38" s="59">
        <v>1.58</v>
      </c>
      <c r="Q38" s="59">
        <v>43.57</v>
      </c>
      <c r="R38" s="197"/>
      <c r="S38" s="197"/>
      <c r="T38" s="197"/>
      <c r="U38" s="197"/>
    </row>
    <row r="39" spans="1:21" s="12" customFormat="1" x14ac:dyDescent="0.25">
      <c r="A39" s="200" t="s">
        <v>2870</v>
      </c>
      <c r="B39" s="59">
        <v>65.25</v>
      </c>
      <c r="C39" s="59">
        <v>107.64</v>
      </c>
      <c r="D39" s="59">
        <v>111.73</v>
      </c>
      <c r="E39" s="59">
        <v>4.26</v>
      </c>
      <c r="F39" s="59">
        <v>0.09</v>
      </c>
      <c r="G39" s="59">
        <v>112.36</v>
      </c>
      <c r="H39" s="59">
        <v>44.84</v>
      </c>
      <c r="I39" s="59">
        <v>0.56000000000000005</v>
      </c>
      <c r="J39" s="59">
        <v>0.31</v>
      </c>
      <c r="K39" s="59">
        <v>31.66</v>
      </c>
      <c r="L39" s="59">
        <v>21.98</v>
      </c>
      <c r="M39" s="59">
        <v>72</v>
      </c>
      <c r="N39" s="59">
        <v>79.5</v>
      </c>
      <c r="O39" s="59">
        <v>0</v>
      </c>
      <c r="P39" s="59">
        <v>1.58</v>
      </c>
      <c r="Q39" s="59">
        <v>43.73</v>
      </c>
      <c r="R39" s="197"/>
      <c r="S39" s="197"/>
      <c r="T39" s="197"/>
      <c r="U39" s="197"/>
    </row>
    <row r="40" spans="1:21" s="12" customFormat="1" x14ac:dyDescent="0.25">
      <c r="A40" s="200" t="s">
        <v>2871</v>
      </c>
      <c r="B40" s="59">
        <v>62.87</v>
      </c>
      <c r="C40" s="59">
        <v>109.89</v>
      </c>
      <c r="D40" s="59">
        <v>111.06</v>
      </c>
      <c r="E40" s="59">
        <v>1.72</v>
      </c>
      <c r="F40" s="59">
        <v>0.09</v>
      </c>
      <c r="G40" s="59">
        <v>112.36</v>
      </c>
      <c r="H40" s="59">
        <v>44.84</v>
      </c>
      <c r="I40" s="59">
        <v>0.55000000000000004</v>
      </c>
      <c r="J40" s="59">
        <v>0.79</v>
      </c>
      <c r="K40" s="59">
        <v>15.17</v>
      </c>
      <c r="L40" s="59">
        <v>23.2</v>
      </c>
      <c r="M40" s="59">
        <v>68</v>
      </c>
      <c r="N40" s="59">
        <v>119.9</v>
      </c>
      <c r="O40" s="59">
        <v>0</v>
      </c>
      <c r="P40" s="59">
        <v>1.58</v>
      </c>
      <c r="Q40" s="59">
        <v>43.61</v>
      </c>
      <c r="R40" s="197"/>
      <c r="S40" s="197"/>
      <c r="T40" s="197"/>
      <c r="U40" s="197"/>
    </row>
    <row r="41" spans="1:21" s="12" customFormat="1" x14ac:dyDescent="0.25">
      <c r="A41" s="200" t="s">
        <v>2872</v>
      </c>
      <c r="B41" s="59">
        <v>60.02</v>
      </c>
      <c r="C41" s="59">
        <v>111.41</v>
      </c>
      <c r="D41" s="59">
        <v>109.62</v>
      </c>
      <c r="E41" s="59">
        <v>3.88</v>
      </c>
      <c r="F41" s="59">
        <v>0.06</v>
      </c>
      <c r="G41" s="59">
        <v>108.91</v>
      </c>
      <c r="H41" s="59">
        <v>45.08</v>
      </c>
      <c r="I41" s="59">
        <v>0.55000000000000004</v>
      </c>
      <c r="J41" s="59">
        <v>1.1000000000000001</v>
      </c>
      <c r="K41" s="59">
        <v>15.39</v>
      </c>
      <c r="L41" s="59">
        <v>24</v>
      </c>
      <c r="M41" s="59">
        <v>65</v>
      </c>
      <c r="N41" s="59">
        <v>121.2</v>
      </c>
      <c r="O41" s="59">
        <v>0</v>
      </c>
      <c r="P41" s="59">
        <v>1.56</v>
      </c>
      <c r="Q41" s="59">
        <v>42.34</v>
      </c>
      <c r="R41" s="197"/>
      <c r="S41" s="197"/>
      <c r="T41" s="197"/>
      <c r="U41" s="197"/>
    </row>
    <row r="42" spans="1:21" s="12" customFormat="1" x14ac:dyDescent="0.25">
      <c r="A42" s="200" t="s">
        <v>2873</v>
      </c>
      <c r="B42" s="59">
        <v>52.05</v>
      </c>
      <c r="C42" s="59">
        <v>112.11</v>
      </c>
      <c r="D42" s="59">
        <v>103.61</v>
      </c>
      <c r="E42" s="59">
        <v>4.01</v>
      </c>
      <c r="F42" s="59">
        <v>0.23</v>
      </c>
      <c r="G42" s="59">
        <v>106.44</v>
      </c>
      <c r="H42" s="59">
        <v>45.38</v>
      </c>
      <c r="I42" s="59">
        <v>0.52</v>
      </c>
      <c r="J42" s="59">
        <v>0.89</v>
      </c>
      <c r="K42" s="59">
        <v>14.96</v>
      </c>
      <c r="L42" s="59">
        <v>23.48</v>
      </c>
      <c r="M42" s="59">
        <v>67</v>
      </c>
      <c r="N42" s="59">
        <v>83.4</v>
      </c>
      <c r="O42" s="59">
        <v>0</v>
      </c>
      <c r="P42" s="59">
        <v>1.54</v>
      </c>
      <c r="Q42" s="59">
        <v>40.72</v>
      </c>
      <c r="R42" s="197"/>
      <c r="S42" s="197"/>
      <c r="T42" s="197"/>
      <c r="U42" s="197"/>
    </row>
    <row r="43" spans="1:21" s="12" customFormat="1" x14ac:dyDescent="0.25">
      <c r="A43" s="200" t="s">
        <v>2874</v>
      </c>
      <c r="B43" s="59">
        <v>50.56</v>
      </c>
      <c r="C43" s="59">
        <v>95.29</v>
      </c>
      <c r="D43" s="59">
        <v>93.13</v>
      </c>
      <c r="E43" s="59">
        <v>3.86</v>
      </c>
      <c r="F43" s="59">
        <v>0.45</v>
      </c>
      <c r="G43" s="59">
        <v>106.44</v>
      </c>
      <c r="H43" s="59">
        <v>45.38</v>
      </c>
      <c r="I43" s="59">
        <v>0.5</v>
      </c>
      <c r="J43" s="59">
        <v>0.79</v>
      </c>
      <c r="K43" s="59">
        <v>74.3</v>
      </c>
      <c r="L43" s="59">
        <v>22.8</v>
      </c>
      <c r="M43" s="59">
        <v>70</v>
      </c>
      <c r="N43" s="59">
        <v>129.4</v>
      </c>
      <c r="O43" s="59">
        <v>0</v>
      </c>
      <c r="P43" s="59">
        <v>1.54</v>
      </c>
      <c r="Q43" s="59">
        <v>40.450000000000003</v>
      </c>
      <c r="R43" s="197"/>
      <c r="S43" s="197"/>
      <c r="T43" s="197"/>
      <c r="U43" s="197"/>
    </row>
    <row r="44" spans="1:21" s="12" customFormat="1" x14ac:dyDescent="0.25">
      <c r="A44" s="200" t="s">
        <v>2875</v>
      </c>
      <c r="B44" s="59">
        <v>49.62</v>
      </c>
      <c r="C44" s="59">
        <v>105.31</v>
      </c>
      <c r="D44" s="59">
        <v>97.91</v>
      </c>
      <c r="E44" s="59">
        <v>4.57</v>
      </c>
      <c r="F44" s="59">
        <v>0.12</v>
      </c>
      <c r="G44" s="59">
        <v>106.44</v>
      </c>
      <c r="H44" s="59">
        <v>45.38</v>
      </c>
      <c r="I44" s="59">
        <v>0.48</v>
      </c>
      <c r="J44" s="59">
        <v>0.66</v>
      </c>
      <c r="K44" s="59">
        <v>96.25</v>
      </c>
      <c r="L44" s="59">
        <v>22.93</v>
      </c>
      <c r="M44" s="59">
        <v>70</v>
      </c>
      <c r="N44" s="59">
        <v>160.19999999999999</v>
      </c>
      <c r="O44" s="59">
        <v>0</v>
      </c>
      <c r="P44" s="59">
        <v>1.53</v>
      </c>
      <c r="Q44" s="59">
        <v>36.81</v>
      </c>
      <c r="R44" s="197"/>
      <c r="S44" s="197"/>
      <c r="T44" s="197"/>
      <c r="U44" s="197"/>
    </row>
    <row r="45" spans="1:21" s="12" customFormat="1" x14ac:dyDescent="0.25">
      <c r="A45" s="200" t="s">
        <v>2876</v>
      </c>
      <c r="B45" s="59">
        <v>47.8</v>
      </c>
      <c r="C45" s="59">
        <v>106.7</v>
      </c>
      <c r="D45" s="59">
        <v>97.22</v>
      </c>
      <c r="E45" s="59">
        <v>4.01</v>
      </c>
      <c r="F45" s="59">
        <v>0.26</v>
      </c>
      <c r="G45" s="59">
        <v>95.65</v>
      </c>
      <c r="H45" s="59">
        <v>45.3</v>
      </c>
      <c r="I45" s="59">
        <v>0.47</v>
      </c>
      <c r="J45" s="59">
        <v>0.99</v>
      </c>
      <c r="K45" s="59">
        <v>106.04</v>
      </c>
      <c r="L45" s="59">
        <v>22.93</v>
      </c>
      <c r="M45" s="59">
        <v>70</v>
      </c>
      <c r="N45" s="59">
        <v>136.1</v>
      </c>
      <c r="O45" s="59">
        <v>0</v>
      </c>
      <c r="P45" s="59">
        <v>1.52</v>
      </c>
      <c r="Q45" s="59">
        <v>36.25</v>
      </c>
      <c r="R45" s="197"/>
      <c r="S45" s="197"/>
      <c r="T45" s="197"/>
      <c r="U45" s="197"/>
    </row>
    <row r="46" spans="1:21" s="12" customFormat="1" x14ac:dyDescent="0.25">
      <c r="A46" s="200" t="s">
        <v>2877</v>
      </c>
      <c r="B46" s="59">
        <v>45.83</v>
      </c>
      <c r="C46" s="59">
        <v>103.81</v>
      </c>
      <c r="D46" s="59">
        <v>94.04</v>
      </c>
      <c r="E46" s="59">
        <v>3.96</v>
      </c>
      <c r="F46" s="59">
        <v>0.15</v>
      </c>
      <c r="G46" s="59">
        <v>88.19</v>
      </c>
      <c r="H46" s="59">
        <v>45.2</v>
      </c>
      <c r="I46" s="59">
        <v>0.48</v>
      </c>
      <c r="J46" s="59">
        <v>0.64</v>
      </c>
      <c r="K46" s="59">
        <v>106.92</v>
      </c>
      <c r="L46" s="59">
        <v>23.76</v>
      </c>
      <c r="M46" s="59">
        <v>67</v>
      </c>
      <c r="N46" s="59">
        <v>201.2</v>
      </c>
      <c r="O46" s="59">
        <v>0</v>
      </c>
      <c r="P46" s="59">
        <v>1.49</v>
      </c>
      <c r="Q46" s="59">
        <v>37.479999999999997</v>
      </c>
      <c r="R46" s="197"/>
      <c r="S46" s="197"/>
      <c r="T46" s="197"/>
      <c r="U46" s="197"/>
    </row>
    <row r="47" spans="1:21" s="12" customFormat="1" x14ac:dyDescent="0.25">
      <c r="A47" s="200" t="s">
        <v>2878</v>
      </c>
      <c r="B47" s="59">
        <v>42.1</v>
      </c>
      <c r="C47" s="59">
        <v>98.25</v>
      </c>
      <c r="D47" s="59">
        <v>87.98</v>
      </c>
      <c r="E47" s="59">
        <v>4.3099999999999996</v>
      </c>
      <c r="F47" s="59">
        <v>0.36</v>
      </c>
      <c r="G47" s="59">
        <v>88.19</v>
      </c>
      <c r="H47" s="59">
        <v>45.2</v>
      </c>
      <c r="I47" s="59">
        <v>0.49</v>
      </c>
      <c r="J47" s="59">
        <v>0.79</v>
      </c>
      <c r="K47" s="59">
        <v>111.65</v>
      </c>
      <c r="L47" s="59">
        <v>24.45</v>
      </c>
      <c r="M47" s="59">
        <v>63</v>
      </c>
      <c r="N47" s="59">
        <v>182.4</v>
      </c>
      <c r="O47" s="59">
        <v>0</v>
      </c>
      <c r="P47" s="59">
        <v>1.47</v>
      </c>
      <c r="Q47" s="59">
        <v>37.619999999999997</v>
      </c>
      <c r="R47" s="197"/>
      <c r="S47" s="197"/>
      <c r="T47" s="197"/>
      <c r="U47" s="197"/>
    </row>
    <row r="48" spans="1:21" s="12" customFormat="1" x14ac:dyDescent="0.25">
      <c r="A48" s="200" t="s">
        <v>2879</v>
      </c>
      <c r="B48" s="59">
        <v>40.51</v>
      </c>
      <c r="C48" s="59">
        <v>98.67</v>
      </c>
      <c r="D48" s="59">
        <v>86.94</v>
      </c>
      <c r="E48" s="59">
        <v>4.29</v>
      </c>
      <c r="F48" s="59">
        <v>0.28999999999999998</v>
      </c>
      <c r="G48" s="59">
        <v>88.19</v>
      </c>
      <c r="H48" s="59">
        <v>45.2</v>
      </c>
      <c r="I48" s="59">
        <v>0.49</v>
      </c>
      <c r="J48" s="59">
        <v>1.1399999999999999</v>
      </c>
      <c r="K48" s="59">
        <v>111.55</v>
      </c>
      <c r="L48" s="59">
        <v>23.97</v>
      </c>
      <c r="M48" s="59">
        <v>62</v>
      </c>
      <c r="N48" s="59">
        <v>109.4</v>
      </c>
      <c r="O48" s="59">
        <v>0</v>
      </c>
      <c r="P48" s="59">
        <v>1.44</v>
      </c>
      <c r="Q48" s="59">
        <v>37.51</v>
      </c>
      <c r="R48" s="197"/>
      <c r="S48" s="197"/>
      <c r="T48" s="197"/>
      <c r="U48" s="197"/>
    </row>
    <row r="49" spans="1:21" s="12" customFormat="1" x14ac:dyDescent="0.25">
      <c r="A49" s="200" t="s">
        <v>2880</v>
      </c>
      <c r="B49" s="59">
        <v>38.69</v>
      </c>
      <c r="C49" s="59">
        <v>99.15</v>
      </c>
      <c r="D49" s="59">
        <v>85.74</v>
      </c>
      <c r="E49" s="59">
        <v>4.2300000000000004</v>
      </c>
      <c r="F49" s="59">
        <v>0.33</v>
      </c>
      <c r="G49" s="59">
        <v>82.58</v>
      </c>
      <c r="H49" s="59">
        <v>43.9</v>
      </c>
      <c r="I49" s="59">
        <v>0.47</v>
      </c>
      <c r="J49" s="59">
        <v>0.38</v>
      </c>
      <c r="K49" s="59">
        <v>93.42</v>
      </c>
      <c r="L49" s="59">
        <v>25.05</v>
      </c>
      <c r="M49" s="59">
        <v>58</v>
      </c>
      <c r="N49" s="59">
        <v>259.7</v>
      </c>
      <c r="O49" s="59">
        <v>0</v>
      </c>
      <c r="P49" s="59">
        <v>1.4</v>
      </c>
      <c r="Q49" s="59">
        <v>37.72</v>
      </c>
      <c r="R49" s="197"/>
      <c r="S49" s="197"/>
      <c r="T49" s="197"/>
      <c r="U49" s="197"/>
    </row>
    <row r="50" spans="1:21" s="12" customFormat="1" x14ac:dyDescent="0.25">
      <c r="A50" s="200" t="s">
        <v>2881</v>
      </c>
      <c r="B50" s="59">
        <v>34.270000000000003</v>
      </c>
      <c r="C50" s="59">
        <v>94.1</v>
      </c>
      <c r="D50" s="59">
        <v>79.41</v>
      </c>
      <c r="E50" s="59">
        <v>5.3</v>
      </c>
      <c r="F50" s="59">
        <v>0.84</v>
      </c>
      <c r="G50" s="59">
        <v>78.7</v>
      </c>
      <c r="H50" s="59">
        <v>42.27</v>
      </c>
      <c r="I50" s="59">
        <v>0.47</v>
      </c>
      <c r="J50" s="59">
        <v>0.67</v>
      </c>
      <c r="K50" s="59">
        <v>0.88</v>
      </c>
      <c r="L50" s="59">
        <v>28.57</v>
      </c>
      <c r="M50" s="59">
        <v>46</v>
      </c>
      <c r="N50" s="59">
        <v>233.7</v>
      </c>
      <c r="O50" s="59">
        <v>0</v>
      </c>
      <c r="P50" s="59">
        <v>1.41</v>
      </c>
      <c r="Q50" s="59">
        <v>34.549999999999997</v>
      </c>
      <c r="R50" s="197"/>
      <c r="S50" s="197"/>
      <c r="T50" s="197"/>
      <c r="U50" s="197"/>
    </row>
    <row r="51" spans="1:21" s="12" customFormat="1" x14ac:dyDescent="0.25">
      <c r="A51" s="200" t="s">
        <v>2882</v>
      </c>
      <c r="B51" s="59">
        <v>34.11</v>
      </c>
      <c r="C51" s="59">
        <v>97.53</v>
      </c>
      <c r="D51" s="59">
        <v>81.180000000000007</v>
      </c>
      <c r="E51" s="59">
        <v>4.29</v>
      </c>
      <c r="F51" s="59">
        <v>1.56</v>
      </c>
      <c r="G51" s="59">
        <v>78.7</v>
      </c>
      <c r="H51" s="59">
        <v>42.27</v>
      </c>
      <c r="I51" s="59">
        <v>0.45</v>
      </c>
      <c r="J51" s="59">
        <v>0.78</v>
      </c>
      <c r="K51" s="59">
        <v>13.5</v>
      </c>
      <c r="L51" s="59">
        <v>28.75</v>
      </c>
      <c r="M51" s="59">
        <v>43</v>
      </c>
      <c r="N51" s="59">
        <v>170.9</v>
      </c>
      <c r="O51" s="59">
        <v>0</v>
      </c>
      <c r="P51" s="59">
        <v>1.44</v>
      </c>
      <c r="Q51" s="59">
        <v>33.840000000000003</v>
      </c>
      <c r="R51" s="197"/>
      <c r="S51" s="197"/>
      <c r="T51" s="197"/>
      <c r="U51" s="197"/>
    </row>
    <row r="52" spans="1:21" s="12" customFormat="1" x14ac:dyDescent="0.25">
      <c r="A52" s="200" t="s">
        <v>2883</v>
      </c>
      <c r="B52" s="59">
        <v>-0.12</v>
      </c>
      <c r="C52" s="59">
        <v>7.56</v>
      </c>
      <c r="D52" s="59">
        <v>4.08</v>
      </c>
      <c r="E52" s="59">
        <v>7.63</v>
      </c>
      <c r="F52" s="59">
        <v>3.46</v>
      </c>
      <c r="G52" s="59">
        <v>78.7</v>
      </c>
      <c r="H52" s="59">
        <v>42.27</v>
      </c>
      <c r="I52" s="59">
        <v>0.37</v>
      </c>
      <c r="J52" s="59">
        <v>0.79</v>
      </c>
      <c r="K52" s="59">
        <v>6.12</v>
      </c>
      <c r="L52" s="59">
        <v>29.33</v>
      </c>
      <c r="M52" s="59">
        <v>43</v>
      </c>
      <c r="N52" s="59">
        <v>253.1</v>
      </c>
      <c r="O52" s="59">
        <v>0</v>
      </c>
      <c r="P52" s="59">
        <v>1.47</v>
      </c>
      <c r="Q52" s="59">
        <v>32.19</v>
      </c>
      <c r="R52" s="197"/>
      <c r="S52" s="197"/>
      <c r="T52" s="197"/>
      <c r="U52" s="197"/>
    </row>
    <row r="53" spans="1:21" s="12" customFormat="1" x14ac:dyDescent="0.25">
      <c r="A53" s="200" t="s">
        <v>2884</v>
      </c>
      <c r="B53" s="59">
        <v>88.28</v>
      </c>
      <c r="C53" s="59">
        <v>50.92</v>
      </c>
      <c r="D53" s="59">
        <v>137.9</v>
      </c>
      <c r="E53" s="59">
        <v>5.57</v>
      </c>
      <c r="F53" s="59">
        <v>1.99</v>
      </c>
      <c r="G53" s="59">
        <v>77.81</v>
      </c>
      <c r="H53" s="59">
        <v>40.42</v>
      </c>
      <c r="I53" s="59">
        <v>0.36</v>
      </c>
      <c r="J53" s="59">
        <v>0.59</v>
      </c>
      <c r="K53" s="59">
        <v>7.78</v>
      </c>
      <c r="L53" s="59">
        <v>29.98</v>
      </c>
      <c r="M53" s="59">
        <v>42</v>
      </c>
      <c r="N53" s="59">
        <v>209.2</v>
      </c>
      <c r="O53" s="59">
        <v>0</v>
      </c>
      <c r="P53" s="59">
        <v>1.5</v>
      </c>
      <c r="Q53" s="59">
        <v>28.67</v>
      </c>
      <c r="R53" s="197"/>
      <c r="S53" s="197"/>
      <c r="T53" s="197"/>
      <c r="U53" s="197"/>
    </row>
    <row r="54" spans="1:21" s="12" customFormat="1" x14ac:dyDescent="0.25">
      <c r="A54" s="200" t="s">
        <v>2885</v>
      </c>
      <c r="B54" s="59">
        <v>23.96</v>
      </c>
      <c r="C54" s="59">
        <v>110.71</v>
      </c>
      <c r="D54" s="59">
        <v>84.47</v>
      </c>
      <c r="E54" s="59">
        <v>5.37</v>
      </c>
      <c r="F54" s="59">
        <v>1.36</v>
      </c>
      <c r="G54" s="59">
        <v>76.2</v>
      </c>
      <c r="H54" s="59">
        <v>38.11</v>
      </c>
      <c r="I54" s="59">
        <v>0.3</v>
      </c>
      <c r="J54" s="59">
        <v>0.5</v>
      </c>
      <c r="K54" s="59">
        <v>8.65</v>
      </c>
      <c r="L54" s="59">
        <v>30.32</v>
      </c>
      <c r="M54" s="59">
        <v>41</v>
      </c>
      <c r="N54" s="59">
        <v>233.1</v>
      </c>
      <c r="O54" s="59">
        <v>0</v>
      </c>
      <c r="P54" s="59">
        <v>1.53</v>
      </c>
      <c r="Q54" s="59">
        <v>29.01</v>
      </c>
      <c r="R54" s="197"/>
      <c r="S54" s="197"/>
      <c r="T54" s="197"/>
      <c r="U54" s="197"/>
    </row>
    <row r="55" spans="1:21" s="12" customFormat="1" x14ac:dyDescent="0.25">
      <c r="A55" s="200" t="s">
        <v>2886</v>
      </c>
      <c r="B55" s="59">
        <v>20.93</v>
      </c>
      <c r="C55" s="59">
        <v>111.94</v>
      </c>
      <c r="D55" s="59">
        <v>78.56</v>
      </c>
      <c r="E55" s="59">
        <v>5.15</v>
      </c>
      <c r="F55" s="59">
        <v>1.73</v>
      </c>
      <c r="G55" s="59">
        <v>76.2</v>
      </c>
      <c r="H55" s="59">
        <v>38.11</v>
      </c>
      <c r="I55" s="59">
        <v>0.28999999999999998</v>
      </c>
      <c r="J55" s="59">
        <v>0.64</v>
      </c>
      <c r="K55" s="59">
        <v>9.9600000000000009</v>
      </c>
      <c r="L55" s="59">
        <v>29.96</v>
      </c>
      <c r="M55" s="59">
        <v>42</v>
      </c>
      <c r="N55" s="59">
        <v>198.9</v>
      </c>
      <c r="O55" s="59">
        <v>0</v>
      </c>
      <c r="P55" s="59">
        <v>1.55</v>
      </c>
      <c r="Q55" s="59">
        <v>27.32</v>
      </c>
      <c r="R55" s="197"/>
      <c r="S55" s="197"/>
      <c r="T55" s="197"/>
      <c r="U55" s="197"/>
    </row>
    <row r="56" spans="1:21" s="12" customFormat="1" x14ac:dyDescent="0.25">
      <c r="A56" s="200" t="s">
        <v>2887</v>
      </c>
      <c r="B56" s="59">
        <v>17.100000000000001</v>
      </c>
      <c r="C56" s="59">
        <v>114.7</v>
      </c>
      <c r="D56" s="59">
        <v>77.02</v>
      </c>
      <c r="E56" s="59">
        <v>4.68</v>
      </c>
      <c r="F56" s="59">
        <v>3.22</v>
      </c>
      <c r="G56" s="59">
        <v>76.2</v>
      </c>
      <c r="H56" s="59">
        <v>38.11</v>
      </c>
      <c r="I56" s="59">
        <v>0.28000000000000003</v>
      </c>
      <c r="J56" s="59">
        <v>1.02</v>
      </c>
      <c r="K56" s="59">
        <v>10.79</v>
      </c>
      <c r="L56" s="59">
        <v>31.34</v>
      </c>
      <c r="M56" s="59">
        <v>39</v>
      </c>
      <c r="N56" s="59">
        <v>285.39999999999998</v>
      </c>
      <c r="O56" s="59">
        <v>0</v>
      </c>
      <c r="P56" s="59">
        <v>1.58</v>
      </c>
      <c r="Q56" s="59">
        <v>24.99</v>
      </c>
      <c r="R56" s="197"/>
      <c r="S56" s="197"/>
      <c r="T56" s="197"/>
      <c r="U56" s="197"/>
    </row>
    <row r="57" spans="1:21" s="12" customFormat="1" x14ac:dyDescent="0.25">
      <c r="A57" s="200" t="s">
        <v>2888</v>
      </c>
      <c r="B57" s="59">
        <v>9.52</v>
      </c>
      <c r="C57" s="59">
        <v>103.84</v>
      </c>
      <c r="D57" s="59">
        <v>64.94</v>
      </c>
      <c r="E57" s="59">
        <v>14.17</v>
      </c>
      <c r="F57" s="59">
        <v>7.38</v>
      </c>
      <c r="G57" s="59">
        <v>90.35</v>
      </c>
      <c r="H57" s="59">
        <v>38.96</v>
      </c>
      <c r="I57" s="59">
        <v>0.25</v>
      </c>
      <c r="J57" s="59">
        <v>0.92</v>
      </c>
      <c r="K57" s="59">
        <v>11.45</v>
      </c>
      <c r="L57" s="59">
        <v>31.32</v>
      </c>
      <c r="M57" s="59">
        <v>37</v>
      </c>
      <c r="N57" s="59">
        <v>180.7</v>
      </c>
      <c r="O57" s="59">
        <v>0</v>
      </c>
      <c r="P57" s="59">
        <v>1.57</v>
      </c>
      <c r="Q57" s="59">
        <v>23.08</v>
      </c>
      <c r="R57" s="197"/>
      <c r="S57" s="197"/>
      <c r="T57" s="197"/>
      <c r="U57" s="197"/>
    </row>
    <row r="58" spans="1:21" s="12" customFormat="1" x14ac:dyDescent="0.25">
      <c r="A58" s="200" t="s">
        <v>2889</v>
      </c>
      <c r="B58" s="59">
        <v>9.14</v>
      </c>
      <c r="C58" s="59">
        <v>106.89</v>
      </c>
      <c r="D58" s="59">
        <v>66.319999999999993</v>
      </c>
      <c r="E58" s="59">
        <v>5.64</v>
      </c>
      <c r="F58" s="59">
        <v>2.1</v>
      </c>
      <c r="G58" s="59">
        <v>100.14</v>
      </c>
      <c r="H58" s="59">
        <v>40.08</v>
      </c>
      <c r="I58" s="59">
        <v>0.24</v>
      </c>
      <c r="J58" s="59">
        <v>0.92</v>
      </c>
      <c r="K58" s="59">
        <v>0.7</v>
      </c>
      <c r="L58" s="59">
        <v>31.01</v>
      </c>
      <c r="M58" s="59">
        <v>38</v>
      </c>
      <c r="N58" s="59">
        <v>255.6</v>
      </c>
      <c r="O58" s="59">
        <v>0</v>
      </c>
      <c r="P58" s="59">
        <v>1.55</v>
      </c>
      <c r="Q58" s="59">
        <v>21.22</v>
      </c>
      <c r="R58" s="197"/>
      <c r="S58" s="197"/>
      <c r="T58" s="197"/>
      <c r="U58" s="197"/>
    </row>
    <row r="59" spans="1:21" s="12" customFormat="1" x14ac:dyDescent="0.25">
      <c r="A59" s="200" t="s">
        <v>2890</v>
      </c>
      <c r="B59" s="59">
        <v>8.73</v>
      </c>
      <c r="C59" s="59">
        <v>103.23</v>
      </c>
      <c r="D59" s="59">
        <v>63.97</v>
      </c>
      <c r="E59" s="59">
        <v>4.3600000000000003</v>
      </c>
      <c r="F59" s="59">
        <v>3.2</v>
      </c>
      <c r="G59" s="59">
        <v>100.14</v>
      </c>
      <c r="H59" s="59">
        <v>40.08</v>
      </c>
      <c r="I59" s="59">
        <v>0.21</v>
      </c>
      <c r="J59" s="59">
        <v>1.23</v>
      </c>
      <c r="K59" s="59">
        <v>23.21</v>
      </c>
      <c r="L59" s="59">
        <v>31.9</v>
      </c>
      <c r="M59" s="59">
        <v>35</v>
      </c>
      <c r="N59" s="59">
        <v>298.5</v>
      </c>
      <c r="O59" s="59">
        <v>0</v>
      </c>
      <c r="P59" s="59">
        <v>1.52</v>
      </c>
      <c r="Q59" s="59">
        <v>21.52</v>
      </c>
      <c r="R59" s="197"/>
      <c r="S59" s="197"/>
      <c r="T59" s="197"/>
      <c r="U59" s="197"/>
    </row>
    <row r="60" spans="1:21" s="12" customFormat="1" x14ac:dyDescent="0.25">
      <c r="A60" s="200" t="s">
        <v>2891</v>
      </c>
      <c r="B60" s="59">
        <v>8.67</v>
      </c>
      <c r="C60" s="59">
        <v>102.84</v>
      </c>
      <c r="D60" s="59">
        <v>63.71</v>
      </c>
      <c r="E60" s="59">
        <v>4.0599999999999996</v>
      </c>
      <c r="F60" s="59">
        <v>3.74</v>
      </c>
      <c r="G60" s="59">
        <v>100.14</v>
      </c>
      <c r="H60" s="59">
        <v>40.08</v>
      </c>
      <c r="I60" s="59">
        <v>0.23</v>
      </c>
      <c r="J60" s="59">
        <v>0.14000000000000001</v>
      </c>
      <c r="K60" s="59">
        <v>0.61</v>
      </c>
      <c r="L60" s="59">
        <v>32.04</v>
      </c>
      <c r="M60" s="59">
        <v>35</v>
      </c>
      <c r="N60" s="59">
        <v>289.39999999999998</v>
      </c>
      <c r="O60" s="59">
        <v>0</v>
      </c>
      <c r="P60" s="59">
        <v>1.49</v>
      </c>
      <c r="Q60" s="59">
        <v>23.6</v>
      </c>
      <c r="R60" s="197"/>
      <c r="S60" s="197"/>
      <c r="T60" s="197"/>
      <c r="U60" s="197"/>
    </row>
    <row r="61" spans="1:21" s="12" customFormat="1" x14ac:dyDescent="0.25">
      <c r="A61" s="200" t="s">
        <v>2892</v>
      </c>
      <c r="B61" s="216" t="s">
        <v>32</v>
      </c>
      <c r="C61" s="216" t="s">
        <v>32</v>
      </c>
      <c r="D61" s="216" t="s">
        <v>32</v>
      </c>
      <c r="E61" s="216" t="s">
        <v>32</v>
      </c>
      <c r="F61" s="216" t="s">
        <v>32</v>
      </c>
      <c r="G61" s="216" t="s">
        <v>32</v>
      </c>
      <c r="H61" s="216" t="s">
        <v>32</v>
      </c>
      <c r="I61" s="216" t="s">
        <v>32</v>
      </c>
      <c r="J61" s="216" t="s">
        <v>32</v>
      </c>
      <c r="K61" s="216" t="s">
        <v>32</v>
      </c>
      <c r="L61" s="216" t="s">
        <v>32</v>
      </c>
      <c r="M61" s="216" t="s">
        <v>32</v>
      </c>
      <c r="N61" s="216" t="s">
        <v>32</v>
      </c>
      <c r="O61" s="216" t="s">
        <v>32</v>
      </c>
      <c r="P61" s="216" t="s">
        <v>32</v>
      </c>
      <c r="Q61" s="216" t="s">
        <v>32</v>
      </c>
      <c r="R61" s="197"/>
      <c r="S61" s="197"/>
      <c r="T61" s="197"/>
      <c r="U61" s="197"/>
    </row>
    <row r="62" spans="1:21" s="12" customFormat="1" x14ac:dyDescent="0.25">
      <c r="A62" s="200" t="s">
        <v>2893</v>
      </c>
      <c r="B62" s="216" t="s">
        <v>32</v>
      </c>
      <c r="C62" s="216" t="s">
        <v>32</v>
      </c>
      <c r="D62" s="216" t="s">
        <v>32</v>
      </c>
      <c r="E62" s="216" t="s">
        <v>32</v>
      </c>
      <c r="F62" s="216" t="s">
        <v>32</v>
      </c>
      <c r="G62" s="216" t="s">
        <v>32</v>
      </c>
      <c r="H62" s="216" t="s">
        <v>32</v>
      </c>
      <c r="I62" s="216" t="s">
        <v>32</v>
      </c>
      <c r="J62" s="216" t="s">
        <v>32</v>
      </c>
      <c r="K62" s="216" t="s">
        <v>32</v>
      </c>
      <c r="L62" s="216" t="s">
        <v>32</v>
      </c>
      <c r="M62" s="216" t="s">
        <v>32</v>
      </c>
      <c r="N62" s="216" t="s">
        <v>32</v>
      </c>
      <c r="O62" s="216" t="s">
        <v>32</v>
      </c>
      <c r="P62" s="216" t="s">
        <v>32</v>
      </c>
      <c r="Q62" s="216" t="s">
        <v>32</v>
      </c>
      <c r="R62" s="197"/>
      <c r="S62" s="197"/>
      <c r="T62" s="197"/>
      <c r="U62" s="197"/>
    </row>
    <row r="63" spans="1:21" s="12" customFormat="1" x14ac:dyDescent="0.25">
      <c r="A63" s="200" t="s">
        <v>2894</v>
      </c>
      <c r="B63" s="216" t="s">
        <v>32</v>
      </c>
      <c r="C63" s="216" t="s">
        <v>32</v>
      </c>
      <c r="D63" s="216" t="s">
        <v>32</v>
      </c>
      <c r="E63" s="216" t="s">
        <v>32</v>
      </c>
      <c r="F63" s="216" t="s">
        <v>32</v>
      </c>
      <c r="G63" s="216" t="s">
        <v>32</v>
      </c>
      <c r="H63" s="216" t="s">
        <v>32</v>
      </c>
      <c r="I63" s="216" t="s">
        <v>32</v>
      </c>
      <c r="J63" s="216" t="s">
        <v>32</v>
      </c>
      <c r="K63" s="216" t="s">
        <v>32</v>
      </c>
      <c r="L63" s="216" t="s">
        <v>32</v>
      </c>
      <c r="M63" s="216" t="s">
        <v>32</v>
      </c>
      <c r="N63" s="216" t="s">
        <v>32</v>
      </c>
      <c r="O63" s="216" t="s">
        <v>32</v>
      </c>
      <c r="P63" s="216" t="s">
        <v>32</v>
      </c>
      <c r="Q63" s="216" t="s">
        <v>32</v>
      </c>
      <c r="R63" s="197"/>
      <c r="S63" s="197"/>
      <c r="T63" s="197"/>
      <c r="U63" s="197"/>
    </row>
    <row r="64" spans="1:21" s="12" customFormat="1" x14ac:dyDescent="0.25">
      <c r="A64" s="200" t="s">
        <v>2895</v>
      </c>
      <c r="B64" s="216" t="s">
        <v>32</v>
      </c>
      <c r="C64" s="216" t="s">
        <v>32</v>
      </c>
      <c r="D64" s="216" t="s">
        <v>32</v>
      </c>
      <c r="E64" s="216" t="s">
        <v>32</v>
      </c>
      <c r="F64" s="216" t="s">
        <v>32</v>
      </c>
      <c r="G64" s="216" t="s">
        <v>32</v>
      </c>
      <c r="H64" s="216" t="s">
        <v>32</v>
      </c>
      <c r="I64" s="216" t="s">
        <v>32</v>
      </c>
      <c r="J64" s="216" t="s">
        <v>32</v>
      </c>
      <c r="K64" s="216" t="s">
        <v>32</v>
      </c>
      <c r="L64" s="216" t="s">
        <v>32</v>
      </c>
      <c r="M64" s="216" t="s">
        <v>32</v>
      </c>
      <c r="N64" s="216" t="s">
        <v>32</v>
      </c>
      <c r="O64" s="216" t="s">
        <v>32</v>
      </c>
      <c r="P64" s="216" t="s">
        <v>32</v>
      </c>
      <c r="Q64" s="216" t="s">
        <v>32</v>
      </c>
      <c r="R64" s="197"/>
      <c r="S64" s="197"/>
      <c r="T64" s="197"/>
      <c r="U64" s="197"/>
    </row>
    <row r="65" spans="1:21" s="12" customFormat="1" x14ac:dyDescent="0.25">
      <c r="A65" s="200" t="s">
        <v>2896</v>
      </c>
      <c r="B65" s="216" t="s">
        <v>32</v>
      </c>
      <c r="C65" s="216" t="s">
        <v>32</v>
      </c>
      <c r="D65" s="216" t="s">
        <v>32</v>
      </c>
      <c r="E65" s="216" t="s">
        <v>32</v>
      </c>
      <c r="F65" s="216" t="s">
        <v>32</v>
      </c>
      <c r="G65" s="216" t="s">
        <v>32</v>
      </c>
      <c r="H65" s="216" t="s">
        <v>32</v>
      </c>
      <c r="I65" s="216" t="s">
        <v>32</v>
      </c>
      <c r="J65" s="216" t="s">
        <v>32</v>
      </c>
      <c r="K65" s="216" t="s">
        <v>32</v>
      </c>
      <c r="L65" s="216" t="s">
        <v>32</v>
      </c>
      <c r="M65" s="216" t="s">
        <v>32</v>
      </c>
      <c r="N65" s="216" t="s">
        <v>32</v>
      </c>
      <c r="O65" s="216" t="s">
        <v>32</v>
      </c>
      <c r="P65" s="216" t="s">
        <v>32</v>
      </c>
      <c r="Q65" s="216" t="s">
        <v>32</v>
      </c>
      <c r="R65" s="197"/>
      <c r="S65" s="197"/>
      <c r="T65" s="197"/>
      <c r="U65" s="197"/>
    </row>
    <row r="66" spans="1:21" s="12" customFormat="1" x14ac:dyDescent="0.25">
      <c r="A66" s="200" t="s">
        <v>2897</v>
      </c>
      <c r="B66" s="216" t="s">
        <v>32</v>
      </c>
      <c r="C66" s="216" t="s">
        <v>32</v>
      </c>
      <c r="D66" s="216" t="s">
        <v>32</v>
      </c>
      <c r="E66" s="216" t="s">
        <v>32</v>
      </c>
      <c r="F66" s="216" t="s">
        <v>32</v>
      </c>
      <c r="G66" s="216" t="s">
        <v>32</v>
      </c>
      <c r="H66" s="216" t="s">
        <v>32</v>
      </c>
      <c r="I66" s="216" t="s">
        <v>32</v>
      </c>
      <c r="J66" s="216" t="s">
        <v>32</v>
      </c>
      <c r="K66" s="216" t="s">
        <v>32</v>
      </c>
      <c r="L66" s="216" t="s">
        <v>32</v>
      </c>
      <c r="M66" s="216" t="s">
        <v>32</v>
      </c>
      <c r="N66" s="216" t="s">
        <v>32</v>
      </c>
      <c r="O66" s="216" t="s">
        <v>32</v>
      </c>
      <c r="P66" s="216" t="s">
        <v>32</v>
      </c>
      <c r="Q66" s="216" t="s">
        <v>32</v>
      </c>
      <c r="R66" s="197"/>
      <c r="S66" s="197"/>
      <c r="T66" s="197"/>
      <c r="U66" s="197"/>
    </row>
    <row r="67" spans="1:21" s="12" customFormat="1" x14ac:dyDescent="0.25">
      <c r="A67" s="200" t="s">
        <v>2898</v>
      </c>
      <c r="B67" s="216" t="s">
        <v>32</v>
      </c>
      <c r="C67" s="216" t="s">
        <v>32</v>
      </c>
      <c r="D67" s="216" t="s">
        <v>32</v>
      </c>
      <c r="E67" s="216" t="s">
        <v>32</v>
      </c>
      <c r="F67" s="216" t="s">
        <v>32</v>
      </c>
      <c r="G67" s="216" t="s">
        <v>32</v>
      </c>
      <c r="H67" s="216" t="s">
        <v>32</v>
      </c>
      <c r="I67" s="216" t="s">
        <v>32</v>
      </c>
      <c r="J67" s="216" t="s">
        <v>32</v>
      </c>
      <c r="K67" s="216" t="s">
        <v>32</v>
      </c>
      <c r="L67" s="216" t="s">
        <v>32</v>
      </c>
      <c r="M67" s="216" t="s">
        <v>32</v>
      </c>
      <c r="N67" s="216" t="s">
        <v>32</v>
      </c>
      <c r="O67" s="216" t="s">
        <v>32</v>
      </c>
      <c r="P67" s="216" t="s">
        <v>32</v>
      </c>
      <c r="Q67" s="216" t="s">
        <v>32</v>
      </c>
      <c r="R67" s="197"/>
      <c r="S67" s="197"/>
      <c r="T67" s="197"/>
      <c r="U67" s="197"/>
    </row>
    <row r="68" spans="1:21" s="12" customFormat="1" x14ac:dyDescent="0.25">
      <c r="A68" s="200" t="s">
        <v>2899</v>
      </c>
      <c r="B68" s="216" t="s">
        <v>32</v>
      </c>
      <c r="C68" s="216" t="s">
        <v>32</v>
      </c>
      <c r="D68" s="216" t="s">
        <v>32</v>
      </c>
      <c r="E68" s="216" t="s">
        <v>32</v>
      </c>
      <c r="F68" s="216" t="s">
        <v>32</v>
      </c>
      <c r="G68" s="216" t="s">
        <v>32</v>
      </c>
      <c r="H68" s="216" t="s">
        <v>32</v>
      </c>
      <c r="I68" s="216" t="s">
        <v>32</v>
      </c>
      <c r="J68" s="216" t="s">
        <v>32</v>
      </c>
      <c r="K68" s="216" t="s">
        <v>32</v>
      </c>
      <c r="L68" s="216" t="s">
        <v>32</v>
      </c>
      <c r="M68" s="216" t="s">
        <v>32</v>
      </c>
      <c r="N68" s="216" t="s">
        <v>32</v>
      </c>
      <c r="O68" s="216" t="s">
        <v>32</v>
      </c>
      <c r="P68" s="216" t="s">
        <v>32</v>
      </c>
      <c r="Q68" s="216" t="s">
        <v>32</v>
      </c>
      <c r="R68" s="197"/>
      <c r="S68" s="197"/>
      <c r="T68" s="197"/>
      <c r="U68" s="197"/>
    </row>
    <row r="69" spans="1:21" s="12" customFormat="1" x14ac:dyDescent="0.25">
      <c r="A69" s="200" t="s">
        <v>2900</v>
      </c>
      <c r="B69" s="216" t="s">
        <v>32</v>
      </c>
      <c r="C69" s="216" t="s">
        <v>32</v>
      </c>
      <c r="D69" s="216" t="s">
        <v>32</v>
      </c>
      <c r="E69" s="216" t="s">
        <v>32</v>
      </c>
      <c r="F69" s="216" t="s">
        <v>32</v>
      </c>
      <c r="G69" s="216" t="s">
        <v>32</v>
      </c>
      <c r="H69" s="216" t="s">
        <v>32</v>
      </c>
      <c r="I69" s="216" t="s">
        <v>32</v>
      </c>
      <c r="J69" s="216" t="s">
        <v>32</v>
      </c>
      <c r="K69" s="216" t="s">
        <v>32</v>
      </c>
      <c r="L69" s="216" t="s">
        <v>32</v>
      </c>
      <c r="M69" s="216" t="s">
        <v>32</v>
      </c>
      <c r="N69" s="216" t="s">
        <v>32</v>
      </c>
      <c r="O69" s="216" t="s">
        <v>32</v>
      </c>
      <c r="P69" s="216" t="s">
        <v>32</v>
      </c>
      <c r="Q69" s="216" t="s">
        <v>32</v>
      </c>
      <c r="R69" s="197"/>
      <c r="S69" s="197"/>
      <c r="T69" s="197"/>
      <c r="U69" s="197"/>
    </row>
    <row r="70" spans="1:21" s="12" customFormat="1" x14ac:dyDescent="0.25">
      <c r="A70" s="200" t="s">
        <v>2901</v>
      </c>
      <c r="B70" s="217" t="s">
        <v>49</v>
      </c>
      <c r="C70" s="217" t="s">
        <v>49</v>
      </c>
      <c r="D70" s="217" t="s">
        <v>49</v>
      </c>
      <c r="E70" s="217" t="s">
        <v>49</v>
      </c>
      <c r="F70" s="59">
        <v>10.02</v>
      </c>
      <c r="G70" s="59">
        <v>92.32</v>
      </c>
      <c r="H70" s="59">
        <v>40.130000000000003</v>
      </c>
      <c r="I70" s="209" t="s">
        <v>36</v>
      </c>
      <c r="J70" s="59">
        <v>1.17</v>
      </c>
      <c r="K70" s="59">
        <v>0.84</v>
      </c>
      <c r="L70" s="59">
        <v>29.79</v>
      </c>
      <c r="M70" s="59">
        <v>45</v>
      </c>
      <c r="N70" s="59">
        <v>141.9</v>
      </c>
      <c r="O70" s="59">
        <v>0</v>
      </c>
      <c r="P70" s="59">
        <v>0.84</v>
      </c>
      <c r="Q70" s="217" t="s">
        <v>49</v>
      </c>
      <c r="R70" s="197"/>
      <c r="S70" s="197"/>
      <c r="T70" s="197"/>
      <c r="U70" s="197"/>
    </row>
    <row r="71" spans="1:21" s="12" customFormat="1" x14ac:dyDescent="0.25">
      <c r="A71" s="200" t="s">
        <v>2902</v>
      </c>
      <c r="B71" s="59">
        <v>3.54</v>
      </c>
      <c r="C71" s="59">
        <v>51.75</v>
      </c>
      <c r="D71" s="59">
        <v>31.4</v>
      </c>
      <c r="E71" s="59">
        <v>1.9</v>
      </c>
      <c r="F71" s="59">
        <v>11.12</v>
      </c>
      <c r="G71" s="59">
        <v>92.32</v>
      </c>
      <c r="H71" s="59">
        <v>40.15</v>
      </c>
      <c r="I71" s="209" t="s">
        <v>36</v>
      </c>
      <c r="J71" s="59">
        <v>0.55000000000000004</v>
      </c>
      <c r="K71" s="59">
        <v>12.23</v>
      </c>
      <c r="L71" s="59">
        <v>29.52</v>
      </c>
      <c r="M71" s="59">
        <v>45</v>
      </c>
      <c r="N71" s="59">
        <v>132.30000000000001</v>
      </c>
      <c r="O71" s="59">
        <v>0</v>
      </c>
      <c r="P71" s="59">
        <v>0.9</v>
      </c>
      <c r="Q71" s="217" t="s">
        <v>49</v>
      </c>
      <c r="R71" s="197"/>
      <c r="S71" s="197"/>
      <c r="T71" s="197"/>
      <c r="U71" s="197"/>
    </row>
    <row r="72" spans="1:21" s="12" customFormat="1" x14ac:dyDescent="0.25">
      <c r="A72" s="200" t="s">
        <v>2903</v>
      </c>
      <c r="B72" s="59">
        <v>1.91</v>
      </c>
      <c r="C72" s="59">
        <v>72.25</v>
      </c>
      <c r="D72" s="59">
        <v>41.4</v>
      </c>
      <c r="E72" s="59">
        <v>1.3</v>
      </c>
      <c r="F72" s="59">
        <v>4.9800000000000004</v>
      </c>
      <c r="G72" s="59">
        <v>92.32</v>
      </c>
      <c r="H72" s="59">
        <v>40.15</v>
      </c>
      <c r="I72" s="209" t="s">
        <v>36</v>
      </c>
      <c r="J72" s="59">
        <v>0.52</v>
      </c>
      <c r="K72" s="59">
        <v>357.92</v>
      </c>
      <c r="L72" s="59">
        <v>29.39</v>
      </c>
      <c r="M72" s="59">
        <v>46</v>
      </c>
      <c r="N72" s="59">
        <v>98.4</v>
      </c>
      <c r="O72" s="59">
        <v>0</v>
      </c>
      <c r="P72" s="59">
        <v>0.82</v>
      </c>
      <c r="Q72" s="59">
        <v>62.81</v>
      </c>
      <c r="R72" s="197"/>
      <c r="S72" s="197"/>
      <c r="T72" s="197"/>
      <c r="U72" s="197"/>
    </row>
    <row r="73" spans="1:21" s="12" customFormat="1" x14ac:dyDescent="0.25">
      <c r="A73" s="200" t="s">
        <v>2904</v>
      </c>
      <c r="B73" s="59">
        <v>2.1800000000000002</v>
      </c>
      <c r="C73" s="59">
        <v>75.58</v>
      </c>
      <c r="D73" s="59">
        <v>43.46</v>
      </c>
      <c r="E73" s="59">
        <v>0.61</v>
      </c>
      <c r="F73" s="59">
        <v>4.5</v>
      </c>
      <c r="G73" s="59">
        <v>72.77</v>
      </c>
      <c r="H73" s="59">
        <v>39.14</v>
      </c>
      <c r="I73" s="209" t="s">
        <v>36</v>
      </c>
      <c r="J73" s="59">
        <v>0.67</v>
      </c>
      <c r="K73" s="59">
        <v>358.24</v>
      </c>
      <c r="L73" s="59">
        <v>28.98</v>
      </c>
      <c r="M73" s="59">
        <v>48</v>
      </c>
      <c r="N73" s="59">
        <v>63.9</v>
      </c>
      <c r="O73" s="59">
        <v>0</v>
      </c>
      <c r="P73" s="59">
        <v>0.79</v>
      </c>
      <c r="Q73" s="59">
        <v>58.05</v>
      </c>
      <c r="R73" s="197"/>
      <c r="S73" s="197"/>
      <c r="T73" s="197"/>
      <c r="U73" s="197"/>
    </row>
    <row r="74" spans="1:21" s="12" customFormat="1" x14ac:dyDescent="0.25">
      <c r="A74" s="200" t="s">
        <v>2905</v>
      </c>
      <c r="B74" s="59">
        <v>2.6</v>
      </c>
      <c r="C74" s="59">
        <v>73.58</v>
      </c>
      <c r="D74" s="59">
        <v>42.7</v>
      </c>
      <c r="E74" s="209" t="s">
        <v>36</v>
      </c>
      <c r="F74" s="209" t="s">
        <v>36</v>
      </c>
      <c r="G74" s="59">
        <v>58.37</v>
      </c>
      <c r="H74" s="59">
        <v>37.81</v>
      </c>
      <c r="I74" s="209" t="s">
        <v>36</v>
      </c>
      <c r="J74" s="59">
        <v>0.82</v>
      </c>
      <c r="K74" s="59">
        <v>342.8</v>
      </c>
      <c r="L74" s="59">
        <v>27.68</v>
      </c>
      <c r="M74" s="59">
        <v>57</v>
      </c>
      <c r="N74" s="59">
        <v>54.8</v>
      </c>
      <c r="O74" s="59">
        <v>0</v>
      </c>
      <c r="P74" s="59">
        <v>0.78</v>
      </c>
      <c r="Q74" s="59">
        <v>57.06</v>
      </c>
      <c r="R74" s="197"/>
      <c r="S74" s="197"/>
      <c r="T74" s="197"/>
      <c r="U74" s="197"/>
    </row>
    <row r="75" spans="1:21" s="12" customFormat="1" x14ac:dyDescent="0.25">
      <c r="A75" s="200" t="s">
        <v>2906</v>
      </c>
      <c r="B75" s="59">
        <v>3.34</v>
      </c>
      <c r="C75" s="59">
        <v>79.260000000000005</v>
      </c>
      <c r="D75" s="59">
        <v>46.42</v>
      </c>
      <c r="E75" s="209" t="s">
        <v>36</v>
      </c>
      <c r="F75" s="59">
        <v>1.23</v>
      </c>
      <c r="G75" s="59">
        <v>58.37</v>
      </c>
      <c r="H75" s="59">
        <v>37.81</v>
      </c>
      <c r="I75" s="209" t="s">
        <v>36</v>
      </c>
      <c r="J75" s="59">
        <v>0.75</v>
      </c>
      <c r="K75" s="59">
        <v>352.71</v>
      </c>
      <c r="L75" s="59">
        <v>27.27</v>
      </c>
      <c r="M75" s="59">
        <v>57</v>
      </c>
      <c r="N75" s="59">
        <v>45.6</v>
      </c>
      <c r="O75" s="59">
        <v>0</v>
      </c>
      <c r="P75" s="59">
        <v>0.77</v>
      </c>
      <c r="Q75" s="59">
        <v>46.76</v>
      </c>
      <c r="R75" s="197"/>
      <c r="S75" s="197"/>
      <c r="T75" s="197"/>
      <c r="U75" s="197"/>
    </row>
    <row r="76" spans="1:21" s="12" customFormat="1" x14ac:dyDescent="0.25">
      <c r="A76" s="200" t="s">
        <v>2907</v>
      </c>
      <c r="B76" s="59">
        <v>4.8499999999999996</v>
      </c>
      <c r="C76" s="59">
        <v>81.13</v>
      </c>
      <c r="D76" s="59">
        <v>48.66</v>
      </c>
      <c r="E76" s="59">
        <v>0.15</v>
      </c>
      <c r="F76" s="59">
        <v>4.75</v>
      </c>
      <c r="G76" s="59">
        <v>58.37</v>
      </c>
      <c r="H76" s="59">
        <v>37.81</v>
      </c>
      <c r="I76" s="209" t="s">
        <v>36</v>
      </c>
      <c r="J76" s="59">
        <v>0.87</v>
      </c>
      <c r="K76" s="59">
        <v>8</v>
      </c>
      <c r="L76" s="59">
        <v>27.14</v>
      </c>
      <c r="M76" s="59">
        <v>54</v>
      </c>
      <c r="N76" s="59">
        <v>37.6</v>
      </c>
      <c r="O76" s="59">
        <v>0</v>
      </c>
      <c r="P76" s="59">
        <v>0.82</v>
      </c>
      <c r="Q76" s="59">
        <v>43.51</v>
      </c>
      <c r="R76" s="197"/>
      <c r="S76" s="197"/>
      <c r="T76" s="197"/>
      <c r="U76" s="197"/>
    </row>
    <row r="77" spans="1:21" s="12" customFormat="1" x14ac:dyDescent="0.25">
      <c r="A77" s="200" t="s">
        <v>2908</v>
      </c>
      <c r="B77" s="59">
        <v>10.38</v>
      </c>
      <c r="C77" s="59">
        <v>70.19</v>
      </c>
      <c r="D77" s="59">
        <v>47.06</v>
      </c>
      <c r="E77" s="59">
        <v>4.6900000000000004</v>
      </c>
      <c r="F77" s="59">
        <v>15.01</v>
      </c>
      <c r="G77" s="59">
        <v>57.45</v>
      </c>
      <c r="H77" s="59">
        <v>36.299999999999997</v>
      </c>
      <c r="I77" s="209" t="s">
        <v>36</v>
      </c>
      <c r="J77" s="59">
        <v>0.76</v>
      </c>
      <c r="K77" s="59">
        <v>9.68</v>
      </c>
      <c r="L77" s="59">
        <v>26.95</v>
      </c>
      <c r="M77" s="59">
        <v>53</v>
      </c>
      <c r="N77" s="59">
        <v>31.2</v>
      </c>
      <c r="O77" s="59">
        <v>0</v>
      </c>
      <c r="P77" s="59">
        <v>0.91</v>
      </c>
      <c r="Q77" s="59">
        <v>39.770000000000003</v>
      </c>
      <c r="R77" s="197"/>
      <c r="S77" s="197"/>
      <c r="T77" s="197"/>
      <c r="U77" s="197"/>
    </row>
    <row r="78" spans="1:21" s="12" customFormat="1" x14ac:dyDescent="0.25">
      <c r="A78" s="200" t="s">
        <v>2909</v>
      </c>
      <c r="B78" s="59">
        <v>9.16</v>
      </c>
      <c r="C78" s="59">
        <v>74.8</v>
      </c>
      <c r="D78" s="59">
        <v>48.63</v>
      </c>
      <c r="E78" s="59">
        <v>4.9400000000000004</v>
      </c>
      <c r="F78" s="59">
        <v>6.72</v>
      </c>
      <c r="G78" s="59">
        <v>56.77</v>
      </c>
      <c r="H78" s="59">
        <v>34.409999999999997</v>
      </c>
      <c r="I78" s="59">
        <v>0.12</v>
      </c>
      <c r="J78" s="59">
        <v>0.78</v>
      </c>
      <c r="K78" s="59">
        <v>9.33</v>
      </c>
      <c r="L78" s="59">
        <v>26.33</v>
      </c>
      <c r="M78" s="59">
        <v>59</v>
      </c>
      <c r="N78" s="59">
        <v>26.4</v>
      </c>
      <c r="O78" s="59">
        <v>0</v>
      </c>
      <c r="P78" s="59">
        <v>0.96</v>
      </c>
      <c r="Q78" s="59">
        <v>36.29</v>
      </c>
      <c r="R78" s="197"/>
      <c r="S78" s="197"/>
      <c r="T78" s="197"/>
      <c r="U78" s="197"/>
    </row>
    <row r="79" spans="1:21" s="12" customFormat="1" x14ac:dyDescent="0.25">
      <c r="A79" s="200" t="s">
        <v>2910</v>
      </c>
      <c r="B79" s="59">
        <v>9.9600000000000009</v>
      </c>
      <c r="C79" s="59">
        <v>81.209999999999994</v>
      </c>
      <c r="D79" s="59">
        <v>52.81</v>
      </c>
      <c r="E79" s="59">
        <v>2.99</v>
      </c>
      <c r="F79" s="59">
        <v>2.63</v>
      </c>
      <c r="G79" s="59">
        <v>56.77</v>
      </c>
      <c r="H79" s="59">
        <v>34.409999999999997</v>
      </c>
      <c r="I79" s="59">
        <v>0.19</v>
      </c>
      <c r="J79" s="59">
        <v>0.6</v>
      </c>
      <c r="K79" s="59">
        <v>14.38</v>
      </c>
      <c r="L79" s="59">
        <v>25.83</v>
      </c>
      <c r="M79" s="59">
        <v>58</v>
      </c>
      <c r="N79" s="59">
        <v>24.7</v>
      </c>
      <c r="O79" s="59">
        <v>0</v>
      </c>
      <c r="P79" s="59">
        <v>0.99</v>
      </c>
      <c r="Q79" s="59">
        <v>36.24</v>
      </c>
      <c r="R79" s="197"/>
      <c r="S79" s="197"/>
      <c r="T79" s="197"/>
      <c r="U79" s="197"/>
    </row>
    <row r="80" spans="1:21" s="12" customFormat="1" x14ac:dyDescent="0.25">
      <c r="A80" s="200" t="s">
        <v>2911</v>
      </c>
      <c r="B80" s="59">
        <v>11.79</v>
      </c>
      <c r="C80" s="59">
        <v>80.739999999999995</v>
      </c>
      <c r="D80" s="59">
        <v>54.01</v>
      </c>
      <c r="E80" s="59">
        <v>3.25</v>
      </c>
      <c r="F80" s="59">
        <v>4.04</v>
      </c>
      <c r="G80" s="59">
        <v>56.77</v>
      </c>
      <c r="H80" s="59">
        <v>34.409999999999997</v>
      </c>
      <c r="I80" s="59">
        <v>0.22</v>
      </c>
      <c r="J80" s="59">
        <v>0.39</v>
      </c>
      <c r="K80" s="59">
        <v>8.9499999999999993</v>
      </c>
      <c r="L80" s="59">
        <v>25.5</v>
      </c>
      <c r="M80" s="59">
        <v>57</v>
      </c>
      <c r="N80" s="59">
        <v>24.6</v>
      </c>
      <c r="O80" s="59">
        <v>0</v>
      </c>
      <c r="P80" s="59">
        <v>1.1000000000000001</v>
      </c>
      <c r="Q80" s="59">
        <v>38.61</v>
      </c>
      <c r="R80" s="197"/>
      <c r="S80" s="197"/>
      <c r="T80" s="197"/>
      <c r="U80" s="197"/>
    </row>
    <row r="81" spans="1:26" s="12" customFormat="1" x14ac:dyDescent="0.25">
      <c r="A81" s="200" t="s">
        <v>2912</v>
      </c>
      <c r="B81" s="59">
        <v>19.32</v>
      </c>
      <c r="C81" s="59">
        <v>86.76</v>
      </c>
      <c r="D81" s="59">
        <v>63.37</v>
      </c>
      <c r="E81" s="59">
        <v>3.73</v>
      </c>
      <c r="F81" s="59">
        <v>2.09</v>
      </c>
      <c r="G81" s="59">
        <v>71.58</v>
      </c>
      <c r="H81" s="59">
        <v>34.44</v>
      </c>
      <c r="I81" s="59">
        <v>0.24</v>
      </c>
      <c r="J81" s="59">
        <v>0.22</v>
      </c>
      <c r="K81" s="59">
        <v>9.59</v>
      </c>
      <c r="L81" s="59">
        <v>25.28</v>
      </c>
      <c r="M81" s="59">
        <v>57</v>
      </c>
      <c r="N81" s="59">
        <v>24.6</v>
      </c>
      <c r="O81" s="59">
        <v>0</v>
      </c>
      <c r="P81" s="59">
        <v>1.22</v>
      </c>
      <c r="Q81" s="59">
        <v>36.909999999999997</v>
      </c>
      <c r="R81" s="197"/>
      <c r="S81" s="197"/>
      <c r="T81" s="197"/>
      <c r="U81" s="197"/>
    </row>
    <row r="82" spans="1:26" s="12" customFormat="1" x14ac:dyDescent="0.25">
      <c r="A82" s="200" t="s">
        <v>2913</v>
      </c>
      <c r="B82" s="59">
        <v>19.190000000000001</v>
      </c>
      <c r="C82" s="59">
        <v>88.32</v>
      </c>
      <c r="D82" s="59">
        <v>64.13</v>
      </c>
      <c r="E82" s="59">
        <v>3.95</v>
      </c>
      <c r="F82" s="59">
        <v>0.61</v>
      </c>
      <c r="G82" s="59">
        <v>81.83</v>
      </c>
      <c r="H82" s="59">
        <v>34.47</v>
      </c>
      <c r="I82" s="59">
        <v>0.26</v>
      </c>
      <c r="J82" s="59">
        <v>0.21</v>
      </c>
      <c r="K82" s="59">
        <v>91.72</v>
      </c>
      <c r="L82" s="59">
        <v>25.25</v>
      </c>
      <c r="M82" s="59">
        <v>58</v>
      </c>
      <c r="N82" s="59">
        <v>24.4</v>
      </c>
      <c r="O82" s="59">
        <v>0</v>
      </c>
      <c r="P82" s="59">
        <v>1.39</v>
      </c>
      <c r="Q82" s="59">
        <v>38.29</v>
      </c>
      <c r="R82" s="197"/>
      <c r="S82" s="197"/>
      <c r="T82" s="197"/>
      <c r="U82" s="197"/>
    </row>
    <row r="83" spans="1:26" s="12" customFormat="1" x14ac:dyDescent="0.25">
      <c r="A83" s="200" t="s">
        <v>2914</v>
      </c>
      <c r="B83" s="59">
        <v>24.95</v>
      </c>
      <c r="C83" s="59">
        <v>95.7</v>
      </c>
      <c r="D83" s="59">
        <v>72.819999999999993</v>
      </c>
      <c r="E83" s="59">
        <v>2.83</v>
      </c>
      <c r="F83" s="59">
        <v>0.27</v>
      </c>
      <c r="G83" s="59">
        <v>81.83</v>
      </c>
      <c r="H83" s="59">
        <v>34.47</v>
      </c>
      <c r="I83" s="59">
        <v>0.31</v>
      </c>
      <c r="J83" s="59">
        <v>0.13</v>
      </c>
      <c r="K83" s="59">
        <v>46</v>
      </c>
      <c r="L83" s="59">
        <v>24.77</v>
      </c>
      <c r="M83" s="59">
        <v>61</v>
      </c>
      <c r="N83" s="59">
        <v>24.6</v>
      </c>
      <c r="O83" s="59">
        <v>0</v>
      </c>
      <c r="P83" s="59">
        <v>1.45</v>
      </c>
      <c r="Q83" s="59">
        <v>37.67</v>
      </c>
      <c r="R83" s="197"/>
      <c r="S83" s="197"/>
      <c r="T83" s="197"/>
      <c r="U83" s="197"/>
    </row>
    <row r="84" spans="1:26" s="12" customFormat="1" x14ac:dyDescent="0.25">
      <c r="A84" s="200" t="s">
        <v>2915</v>
      </c>
      <c r="B84" s="59">
        <v>23.44</v>
      </c>
      <c r="C84" s="59">
        <v>102.51</v>
      </c>
      <c r="D84" s="59">
        <v>75.37</v>
      </c>
      <c r="E84" s="59">
        <v>2.67</v>
      </c>
      <c r="F84" s="59">
        <v>0.22</v>
      </c>
      <c r="G84" s="59">
        <v>81.83</v>
      </c>
      <c r="H84" s="59">
        <v>34.47</v>
      </c>
      <c r="I84" s="59">
        <v>0.35</v>
      </c>
      <c r="J84" s="59">
        <v>0.18</v>
      </c>
      <c r="K84" s="59">
        <v>86.2</v>
      </c>
      <c r="L84" s="59">
        <v>24.67</v>
      </c>
      <c r="M84" s="59">
        <v>61</v>
      </c>
      <c r="N84" s="59">
        <v>24.2</v>
      </c>
      <c r="O84" s="59">
        <v>0</v>
      </c>
      <c r="P84" s="59">
        <v>1.42</v>
      </c>
      <c r="Q84" s="59">
        <v>38.950000000000003</v>
      </c>
      <c r="R84" s="197"/>
      <c r="S84" s="197"/>
      <c r="T84" s="197"/>
      <c r="U84" s="197"/>
    </row>
    <row r="85" spans="1:26" s="12" customFormat="1" x14ac:dyDescent="0.25">
      <c r="A85" s="200" t="s">
        <v>2916</v>
      </c>
      <c r="B85" s="59">
        <v>24.65</v>
      </c>
      <c r="C85" s="59">
        <v>113.84</v>
      </c>
      <c r="D85" s="59">
        <v>82.6</v>
      </c>
      <c r="E85" s="59">
        <v>2.38</v>
      </c>
      <c r="F85" s="59">
        <v>0.1</v>
      </c>
      <c r="G85" s="59">
        <v>94.77</v>
      </c>
      <c r="H85" s="59">
        <v>37.479999999999997</v>
      </c>
      <c r="I85" s="59">
        <v>0.4</v>
      </c>
      <c r="J85" s="59">
        <v>0.23</v>
      </c>
      <c r="K85" s="59">
        <v>82.01</v>
      </c>
      <c r="L85" s="59">
        <v>24.31</v>
      </c>
      <c r="M85" s="59">
        <v>62</v>
      </c>
      <c r="N85" s="59">
        <v>24.3</v>
      </c>
      <c r="O85" s="59">
        <v>0</v>
      </c>
      <c r="P85" s="59">
        <v>1.62</v>
      </c>
      <c r="Q85" s="59">
        <v>41.94</v>
      </c>
      <c r="R85" s="197"/>
      <c r="S85" s="197"/>
      <c r="T85" s="197"/>
      <c r="U85" s="197"/>
    </row>
    <row r="86" spans="1:26" s="12" customFormat="1" x14ac:dyDescent="0.25">
      <c r="A86" s="200" t="s">
        <v>2917</v>
      </c>
      <c r="B86" s="59">
        <v>28.55</v>
      </c>
      <c r="C86" s="59">
        <v>115.08</v>
      </c>
      <c r="D86" s="59">
        <v>86.41</v>
      </c>
      <c r="E86" s="59">
        <v>1.94</v>
      </c>
      <c r="F86" s="59">
        <v>0.08</v>
      </c>
      <c r="G86" s="59">
        <v>118.06</v>
      </c>
      <c r="H86" s="59">
        <v>41.23</v>
      </c>
      <c r="I86" s="59">
        <v>0.43</v>
      </c>
      <c r="J86" s="59">
        <v>0.15</v>
      </c>
      <c r="K86" s="59">
        <v>44.16</v>
      </c>
      <c r="L86" s="59">
        <v>23.97</v>
      </c>
      <c r="M86" s="59">
        <v>65</v>
      </c>
      <c r="N86" s="59">
        <v>24.6</v>
      </c>
      <c r="O86" s="59">
        <v>0</v>
      </c>
      <c r="P86" s="59">
        <v>1.89</v>
      </c>
      <c r="Q86" s="59">
        <v>44.49</v>
      </c>
      <c r="R86" s="197"/>
      <c r="S86" s="197"/>
      <c r="T86" s="197"/>
      <c r="U86" s="197"/>
    </row>
    <row r="87" spans="1:26" s="12" customFormat="1" x14ac:dyDescent="0.25">
      <c r="A87" s="200" t="s">
        <v>2918</v>
      </c>
      <c r="B87" s="59">
        <v>38.49</v>
      </c>
      <c r="C87" s="59">
        <v>118.98</v>
      </c>
      <c r="D87" s="59">
        <v>96.53</v>
      </c>
      <c r="E87" s="59">
        <v>1.67</v>
      </c>
      <c r="F87" s="59">
        <v>0.02</v>
      </c>
      <c r="G87" s="59">
        <v>118.06</v>
      </c>
      <c r="H87" s="59">
        <v>41.23</v>
      </c>
      <c r="I87" s="59">
        <v>0.46</v>
      </c>
      <c r="J87" s="59">
        <v>0.17</v>
      </c>
      <c r="K87" s="59">
        <v>30.86</v>
      </c>
      <c r="L87" s="59">
        <v>23.68</v>
      </c>
      <c r="M87" s="59">
        <v>66</v>
      </c>
      <c r="N87" s="59">
        <v>24.4</v>
      </c>
      <c r="O87" s="59">
        <v>0</v>
      </c>
      <c r="P87" s="59">
        <v>2.2000000000000002</v>
      </c>
      <c r="Q87" s="59">
        <v>43.41</v>
      </c>
      <c r="R87" s="197"/>
      <c r="S87" s="197"/>
      <c r="T87" s="197"/>
      <c r="U87" s="197"/>
    </row>
    <row r="88" spans="1:26" s="12" customFormat="1" x14ac:dyDescent="0.25">
      <c r="A88" s="200" t="s">
        <v>2919</v>
      </c>
      <c r="B88" s="59">
        <v>45.47</v>
      </c>
      <c r="C88" s="59">
        <v>121.35</v>
      </c>
      <c r="D88" s="59">
        <v>103.43</v>
      </c>
      <c r="E88" s="59">
        <v>2.04</v>
      </c>
      <c r="F88" s="214" t="s">
        <v>47</v>
      </c>
      <c r="G88" s="59">
        <v>118.06</v>
      </c>
      <c r="H88" s="59">
        <v>41.23</v>
      </c>
      <c r="I88" s="59">
        <v>0.54</v>
      </c>
      <c r="J88" s="59">
        <v>0.18</v>
      </c>
      <c r="K88" s="59">
        <v>14.52</v>
      </c>
      <c r="L88" s="59">
        <v>23.22</v>
      </c>
      <c r="M88" s="59">
        <v>68</v>
      </c>
      <c r="N88" s="59">
        <v>24.4</v>
      </c>
      <c r="O88" s="59">
        <v>0</v>
      </c>
      <c r="P88" s="59">
        <v>2.4900000000000002</v>
      </c>
      <c r="Q88" s="59">
        <v>45.77</v>
      </c>
      <c r="R88" s="197"/>
      <c r="S88" s="197"/>
      <c r="T88" s="197"/>
      <c r="U88" s="197"/>
    </row>
    <row r="89" spans="1:26" s="12" customFormat="1" x14ac:dyDescent="0.25">
      <c r="A89" s="200" t="s">
        <v>2920</v>
      </c>
      <c r="B89" s="59">
        <v>51.83</v>
      </c>
      <c r="C89" s="59">
        <v>124.9</v>
      </c>
      <c r="D89" s="59">
        <v>110.49</v>
      </c>
      <c r="E89" s="59">
        <v>3.63</v>
      </c>
      <c r="F89" s="59">
        <v>0.32</v>
      </c>
      <c r="G89" s="59">
        <v>156.34</v>
      </c>
      <c r="H89" s="59">
        <v>47.8</v>
      </c>
      <c r="I89" s="59">
        <v>0.62</v>
      </c>
      <c r="J89" s="59">
        <v>0.41</v>
      </c>
      <c r="K89" s="59">
        <v>17.02</v>
      </c>
      <c r="L89" s="59">
        <v>23.16</v>
      </c>
      <c r="M89" s="59">
        <v>70</v>
      </c>
      <c r="N89" s="59">
        <v>23.6</v>
      </c>
      <c r="O89" s="59">
        <v>0</v>
      </c>
      <c r="P89" s="59">
        <v>2.73</v>
      </c>
      <c r="Q89" s="59">
        <v>44.06</v>
      </c>
      <c r="R89" s="197"/>
      <c r="S89" s="197"/>
      <c r="T89" s="197"/>
      <c r="U89" s="197"/>
    </row>
    <row r="90" spans="1:26" s="12" customFormat="1" x14ac:dyDescent="0.25">
      <c r="A90" s="200" t="s">
        <v>2921</v>
      </c>
      <c r="B90" s="59">
        <v>55.23</v>
      </c>
      <c r="C90" s="59">
        <v>125.34</v>
      </c>
      <c r="D90" s="59">
        <v>113.46</v>
      </c>
      <c r="E90" s="59">
        <v>3.71</v>
      </c>
      <c r="F90" s="59">
        <v>0.17</v>
      </c>
      <c r="G90" s="59">
        <v>183.82</v>
      </c>
      <c r="H90" s="59">
        <v>56.01</v>
      </c>
      <c r="I90" s="59">
        <v>0.7</v>
      </c>
      <c r="J90" s="59">
        <v>0.95</v>
      </c>
      <c r="K90" s="59">
        <v>18.25</v>
      </c>
      <c r="L90" s="59">
        <v>23.45</v>
      </c>
      <c r="M90" s="59">
        <v>63</v>
      </c>
      <c r="N90" s="59">
        <v>22.8</v>
      </c>
      <c r="O90" s="59">
        <v>0</v>
      </c>
      <c r="P90" s="59">
        <v>2.86</v>
      </c>
      <c r="Q90" s="59">
        <v>46.26</v>
      </c>
      <c r="R90" s="197"/>
      <c r="S90" s="197"/>
      <c r="T90" s="197"/>
      <c r="U90" s="197"/>
    </row>
    <row r="91" spans="1:26" s="12" customFormat="1" x14ac:dyDescent="0.25">
      <c r="A91" s="200" t="s">
        <v>2922</v>
      </c>
      <c r="B91" s="59">
        <v>54.44</v>
      </c>
      <c r="C91" s="59">
        <v>117.8</v>
      </c>
      <c r="D91" s="59">
        <v>108.67</v>
      </c>
      <c r="E91" s="59">
        <v>3.77</v>
      </c>
      <c r="F91" s="59">
        <v>0.53</v>
      </c>
      <c r="G91" s="59">
        <v>183.82</v>
      </c>
      <c r="H91" s="59">
        <v>56.01</v>
      </c>
      <c r="I91" s="59">
        <v>0.81</v>
      </c>
      <c r="J91" s="59">
        <v>1.27</v>
      </c>
      <c r="K91" s="59">
        <v>9.4499999999999993</v>
      </c>
      <c r="L91" s="59">
        <v>23.65</v>
      </c>
      <c r="M91" s="59">
        <v>55</v>
      </c>
      <c r="N91" s="59">
        <v>23.4</v>
      </c>
      <c r="O91" s="59">
        <v>0</v>
      </c>
      <c r="P91" s="59">
        <v>2.85</v>
      </c>
      <c r="Q91" s="59">
        <v>47.54</v>
      </c>
      <c r="R91" s="197"/>
      <c r="S91" s="197"/>
      <c r="T91" s="197"/>
      <c r="U91" s="197"/>
    </row>
    <row r="92" spans="1:26" s="12" customFormat="1" x14ac:dyDescent="0.25">
      <c r="A92" s="200" t="s">
        <v>2923</v>
      </c>
      <c r="B92" s="59">
        <v>51.72</v>
      </c>
      <c r="C92" s="59">
        <v>110.18</v>
      </c>
      <c r="D92" s="59">
        <v>102.29</v>
      </c>
      <c r="E92" s="59">
        <v>4.05</v>
      </c>
      <c r="F92" s="59">
        <v>0.6</v>
      </c>
      <c r="G92" s="59">
        <v>183.82</v>
      </c>
      <c r="H92" s="59">
        <v>56.01</v>
      </c>
      <c r="I92" s="59">
        <v>0.88</v>
      </c>
      <c r="J92" s="59">
        <v>1.32</v>
      </c>
      <c r="K92" s="59">
        <v>15.71</v>
      </c>
      <c r="L92" s="59">
        <v>23.42</v>
      </c>
      <c r="M92" s="59">
        <v>52</v>
      </c>
      <c r="N92" s="59">
        <v>24</v>
      </c>
      <c r="O92" s="59">
        <v>0</v>
      </c>
      <c r="P92" s="59">
        <v>2.76</v>
      </c>
      <c r="Q92" s="59">
        <v>44.57</v>
      </c>
      <c r="R92" s="197"/>
      <c r="S92" s="197"/>
      <c r="T92" s="197"/>
      <c r="U92" s="197"/>
    </row>
    <row r="93" spans="1:26" s="12" customFormat="1" x14ac:dyDescent="0.25">
      <c r="A93" s="200" t="s">
        <v>2924</v>
      </c>
      <c r="B93" s="59">
        <v>46.65</v>
      </c>
      <c r="C93" s="59">
        <v>115.29</v>
      </c>
      <c r="D93" s="59">
        <v>101.03</v>
      </c>
      <c r="E93" s="59">
        <v>4.09</v>
      </c>
      <c r="F93" s="59">
        <v>0.41</v>
      </c>
      <c r="G93" s="59">
        <v>141.12</v>
      </c>
      <c r="H93" s="59">
        <v>55.72</v>
      </c>
      <c r="I93" s="59">
        <v>0.85</v>
      </c>
      <c r="J93" s="59">
        <v>1.58</v>
      </c>
      <c r="K93" s="59">
        <v>20.86</v>
      </c>
      <c r="L93" s="59">
        <v>23.3</v>
      </c>
      <c r="M93" s="59">
        <v>47</v>
      </c>
      <c r="N93" s="59">
        <v>24.1</v>
      </c>
      <c r="O93" s="59">
        <v>0</v>
      </c>
      <c r="P93" s="59">
        <v>2.62</v>
      </c>
      <c r="Q93" s="59">
        <v>42.52</v>
      </c>
      <c r="R93" s="197"/>
      <c r="S93" s="197"/>
      <c r="T93" s="197"/>
      <c r="U93" s="197"/>
    </row>
    <row r="94" spans="1:26" s="12" customFormat="1" x14ac:dyDescent="0.25">
      <c r="A94" s="200" t="s">
        <v>2925</v>
      </c>
      <c r="B94" s="59">
        <v>44.01</v>
      </c>
      <c r="C94" s="59">
        <v>112.82</v>
      </c>
      <c r="D94" s="59">
        <v>97.55</v>
      </c>
      <c r="E94" s="59">
        <v>4.2300000000000004</v>
      </c>
      <c r="F94" s="59">
        <v>0.45</v>
      </c>
      <c r="G94" s="59">
        <v>110.78</v>
      </c>
      <c r="H94" s="59">
        <v>55.36</v>
      </c>
      <c r="I94" s="59">
        <v>0.86</v>
      </c>
      <c r="J94" s="59">
        <v>0.97</v>
      </c>
      <c r="K94" s="59">
        <v>17.73</v>
      </c>
      <c r="L94" s="59">
        <v>23.05</v>
      </c>
      <c r="M94" s="59">
        <v>48</v>
      </c>
      <c r="N94" s="59">
        <v>24.6</v>
      </c>
      <c r="O94" s="59">
        <v>0</v>
      </c>
      <c r="P94" s="59">
        <v>2.52</v>
      </c>
      <c r="Q94" s="59">
        <v>42.56</v>
      </c>
      <c r="R94" s="197"/>
      <c r="S94" s="197"/>
      <c r="T94" s="197"/>
      <c r="U94" s="197"/>
    </row>
    <row r="95" spans="1:26" s="12" customFormat="1" x14ac:dyDescent="0.25">
      <c r="A95" s="200" t="s">
        <v>2926</v>
      </c>
      <c r="B95" s="59">
        <v>43.2</v>
      </c>
      <c r="C95" s="59">
        <v>110.77</v>
      </c>
      <c r="D95" s="59">
        <v>95.77</v>
      </c>
      <c r="E95" s="59">
        <v>4.88</v>
      </c>
      <c r="F95" s="59">
        <v>0.56000000000000005</v>
      </c>
      <c r="G95" s="59">
        <v>110.78</v>
      </c>
      <c r="H95" s="59">
        <v>55.36</v>
      </c>
      <c r="I95" s="59">
        <v>0.74</v>
      </c>
      <c r="J95" s="59">
        <v>0.69</v>
      </c>
      <c r="K95" s="59">
        <v>14.76</v>
      </c>
      <c r="L95" s="59">
        <v>22.6</v>
      </c>
      <c r="M95" s="59">
        <v>44</v>
      </c>
      <c r="N95" s="59">
        <v>24.4</v>
      </c>
      <c r="O95" s="59">
        <v>0</v>
      </c>
      <c r="P95" s="59">
        <v>2.4500000000000002</v>
      </c>
      <c r="Q95" s="59">
        <v>43.17</v>
      </c>
      <c r="R95" s="197"/>
      <c r="S95" s="197"/>
      <c r="T95" s="197"/>
      <c r="U95" s="197"/>
    </row>
    <row r="96" spans="1:26" s="12" customFormat="1" x14ac:dyDescent="0.25">
      <c r="A96" s="200" t="s">
        <v>2927</v>
      </c>
      <c r="B96" s="59">
        <v>43.23</v>
      </c>
      <c r="C96" s="59">
        <v>110.9</v>
      </c>
      <c r="D96" s="59">
        <v>95.88</v>
      </c>
      <c r="E96" s="59">
        <v>3.91</v>
      </c>
      <c r="F96" s="59">
        <v>0.16</v>
      </c>
      <c r="G96" s="59">
        <v>110.78</v>
      </c>
      <c r="H96" s="59">
        <v>55.36</v>
      </c>
      <c r="I96" s="59">
        <v>0.71</v>
      </c>
      <c r="J96" s="59">
        <v>0.34</v>
      </c>
      <c r="K96" s="59">
        <v>50.19</v>
      </c>
      <c r="L96" s="59">
        <v>22.22</v>
      </c>
      <c r="M96" s="59">
        <v>41</v>
      </c>
      <c r="N96" s="59">
        <v>24.3</v>
      </c>
      <c r="O96" s="59">
        <v>0</v>
      </c>
      <c r="P96" s="59">
        <v>2.41</v>
      </c>
      <c r="Q96" s="59">
        <v>41.42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2928</v>
      </c>
      <c r="B97" s="59">
        <v>42.27</v>
      </c>
      <c r="C97" s="59">
        <v>106.88</v>
      </c>
      <c r="D97" s="59">
        <v>92.88</v>
      </c>
      <c r="E97" s="59">
        <v>3.58</v>
      </c>
      <c r="F97" s="59">
        <v>0.2</v>
      </c>
      <c r="G97" s="59">
        <v>91.75</v>
      </c>
      <c r="H97" s="59">
        <v>50.83</v>
      </c>
      <c r="I97" s="59">
        <v>0.7</v>
      </c>
      <c r="J97" s="59">
        <v>0.21</v>
      </c>
      <c r="K97" s="59">
        <v>56.08</v>
      </c>
      <c r="L97" s="59">
        <v>21.8</v>
      </c>
      <c r="M97" s="59">
        <v>39</v>
      </c>
      <c r="N97" s="59">
        <v>24.3</v>
      </c>
      <c r="O97" s="59">
        <v>0</v>
      </c>
      <c r="P97" s="59">
        <v>2.35</v>
      </c>
      <c r="Q97" s="59">
        <v>41.86</v>
      </c>
      <c r="R97" s="197"/>
      <c r="S97" s="197"/>
      <c r="T97" s="197"/>
      <c r="U97" s="197"/>
    </row>
    <row r="98" spans="1:33" s="12" customFormat="1" x14ac:dyDescent="0.25">
      <c r="A98" s="200" t="s">
        <v>2929</v>
      </c>
      <c r="B98" s="59">
        <v>40.99</v>
      </c>
      <c r="C98" s="59">
        <v>104.48</v>
      </c>
      <c r="D98" s="59">
        <v>90.53</v>
      </c>
      <c r="E98" s="59">
        <v>3.37</v>
      </c>
      <c r="F98" s="59">
        <v>0.19</v>
      </c>
      <c r="G98" s="59">
        <v>78.58</v>
      </c>
      <c r="H98" s="59">
        <v>44.89</v>
      </c>
      <c r="I98" s="59">
        <v>0.69</v>
      </c>
      <c r="J98" s="59">
        <v>0.31</v>
      </c>
      <c r="K98" s="59">
        <v>47.32</v>
      </c>
      <c r="L98" s="59">
        <v>21.5</v>
      </c>
      <c r="M98" s="59">
        <v>40</v>
      </c>
      <c r="N98" s="59">
        <v>24.1</v>
      </c>
      <c r="O98" s="59">
        <v>0</v>
      </c>
      <c r="P98" s="59">
        <v>2.2799999999999998</v>
      </c>
      <c r="Q98" s="59">
        <v>42.72</v>
      </c>
      <c r="R98" s="197"/>
      <c r="S98" s="197"/>
      <c r="T98" s="197"/>
      <c r="U98" s="197"/>
    </row>
    <row r="99" spans="1:33" s="12" customFormat="1" x14ac:dyDescent="0.25">
      <c r="A99" s="200" t="s">
        <v>2930</v>
      </c>
      <c r="B99" s="59">
        <v>40.47</v>
      </c>
      <c r="C99" s="59">
        <v>98.2</v>
      </c>
      <c r="D99" s="59">
        <v>86.65</v>
      </c>
      <c r="E99" s="59">
        <v>3.65</v>
      </c>
      <c r="F99" s="59">
        <v>0.14000000000000001</v>
      </c>
      <c r="G99" s="59">
        <v>78.58</v>
      </c>
      <c r="H99" s="59">
        <v>44.89</v>
      </c>
      <c r="I99" s="59">
        <v>0.68</v>
      </c>
      <c r="J99" s="59">
        <v>0.28999999999999998</v>
      </c>
      <c r="K99" s="59">
        <v>56.61</v>
      </c>
      <c r="L99" s="59">
        <v>20.99</v>
      </c>
      <c r="M99" s="59">
        <v>41</v>
      </c>
      <c r="N99" s="59">
        <v>24.2</v>
      </c>
      <c r="O99" s="59">
        <v>0</v>
      </c>
      <c r="P99" s="59">
        <v>2.2200000000000002</v>
      </c>
      <c r="Q99" s="59">
        <v>44.2</v>
      </c>
      <c r="R99" s="197"/>
      <c r="S99" s="197"/>
      <c r="T99" s="197"/>
      <c r="U99" s="197"/>
    </row>
    <row r="100" spans="1:33" s="12" customFormat="1" x14ac:dyDescent="0.25">
      <c r="A100" s="200" t="s">
        <v>2931</v>
      </c>
      <c r="B100" s="59">
        <v>39.21</v>
      </c>
      <c r="C100" s="59">
        <v>97.89</v>
      </c>
      <c r="D100" s="59">
        <v>85.47</v>
      </c>
      <c r="E100" s="59">
        <v>3.42</v>
      </c>
      <c r="F100" s="59">
        <v>0.22</v>
      </c>
      <c r="G100" s="59">
        <v>78.58</v>
      </c>
      <c r="H100" s="59">
        <v>44.89</v>
      </c>
      <c r="I100" s="59">
        <v>0.68</v>
      </c>
      <c r="J100" s="59">
        <v>0.26</v>
      </c>
      <c r="K100" s="59">
        <v>37.07</v>
      </c>
      <c r="L100" s="59">
        <v>20.69</v>
      </c>
      <c r="M100" s="59">
        <v>44</v>
      </c>
      <c r="N100" s="59">
        <v>24.2</v>
      </c>
      <c r="O100" s="59">
        <v>0</v>
      </c>
      <c r="P100" s="59">
        <v>2.12</v>
      </c>
      <c r="Q100" s="59">
        <v>43.89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2932</v>
      </c>
      <c r="B101" s="59">
        <v>38.83</v>
      </c>
      <c r="C101" s="59">
        <v>101.48</v>
      </c>
      <c r="D101" s="59">
        <v>87.14</v>
      </c>
      <c r="E101" s="59">
        <v>3.47</v>
      </c>
      <c r="F101" s="59">
        <v>0.1</v>
      </c>
      <c r="G101" s="59">
        <v>63.25</v>
      </c>
      <c r="H101" s="59">
        <v>40.79</v>
      </c>
      <c r="I101" s="59">
        <v>0.66</v>
      </c>
      <c r="J101" s="59">
        <v>0.21</v>
      </c>
      <c r="K101" s="59">
        <v>32.29</v>
      </c>
      <c r="L101" s="59">
        <v>19.89</v>
      </c>
      <c r="M101" s="59">
        <v>49</v>
      </c>
      <c r="N101" s="59">
        <v>24.3</v>
      </c>
      <c r="O101" s="59">
        <v>0</v>
      </c>
      <c r="P101" s="59">
        <v>2.0699999999999998</v>
      </c>
      <c r="Q101" s="59">
        <v>43.57</v>
      </c>
      <c r="R101" s="197"/>
      <c r="S101" s="197"/>
      <c r="T101" s="197"/>
      <c r="U101" s="197"/>
    </row>
    <row r="102" spans="1:33" s="12" customFormat="1" x14ac:dyDescent="0.25">
      <c r="A102" s="200" t="s">
        <v>2933</v>
      </c>
      <c r="B102" s="59">
        <v>38.76</v>
      </c>
      <c r="C102" s="59">
        <v>104.03</v>
      </c>
      <c r="D102" s="59">
        <v>88.49</v>
      </c>
      <c r="E102" s="59">
        <v>3.36</v>
      </c>
      <c r="F102" s="59">
        <v>7.44</v>
      </c>
      <c r="G102" s="59">
        <v>35.65</v>
      </c>
      <c r="H102" s="59">
        <v>35.67</v>
      </c>
      <c r="I102" s="59">
        <v>0.63</v>
      </c>
      <c r="J102" s="59">
        <v>0.2</v>
      </c>
      <c r="K102" s="59">
        <v>23.28</v>
      </c>
      <c r="L102" s="59">
        <v>19.96</v>
      </c>
      <c r="M102" s="59">
        <v>46</v>
      </c>
      <c r="N102" s="59">
        <v>23.9</v>
      </c>
      <c r="O102" s="59">
        <v>0</v>
      </c>
      <c r="P102" s="59">
        <v>2</v>
      </c>
      <c r="Q102" s="59">
        <v>43.56</v>
      </c>
      <c r="R102" s="197"/>
      <c r="S102" s="197"/>
      <c r="T102" s="197"/>
      <c r="U102" s="197"/>
    </row>
    <row r="103" spans="1:33" s="12" customFormat="1" x14ac:dyDescent="0.25">
      <c r="A103" s="200" t="s">
        <v>2934</v>
      </c>
      <c r="B103" s="59">
        <v>39.020000000000003</v>
      </c>
      <c r="C103" s="59">
        <v>104.83</v>
      </c>
      <c r="D103" s="59">
        <v>89.14</v>
      </c>
      <c r="E103" s="59">
        <v>2.91</v>
      </c>
      <c r="F103" s="59">
        <v>3.81</v>
      </c>
      <c r="G103" s="59">
        <v>35.65</v>
      </c>
      <c r="H103" s="59">
        <v>35.67</v>
      </c>
      <c r="I103" s="59">
        <v>0.61</v>
      </c>
      <c r="J103" s="59">
        <v>0.23</v>
      </c>
      <c r="K103" s="59">
        <v>63.93</v>
      </c>
      <c r="L103" s="59">
        <v>20.04</v>
      </c>
      <c r="M103" s="59">
        <v>43</v>
      </c>
      <c r="N103" s="59">
        <v>23.7</v>
      </c>
      <c r="O103" s="59">
        <v>0</v>
      </c>
      <c r="P103" s="59">
        <v>1.93</v>
      </c>
      <c r="Q103" s="59">
        <v>43.37</v>
      </c>
      <c r="R103" s="197"/>
      <c r="S103" s="197"/>
      <c r="T103" s="197"/>
      <c r="U103" s="197"/>
    </row>
    <row r="104" spans="1:33" s="12" customFormat="1" x14ac:dyDescent="0.25">
      <c r="A104" s="200" t="s">
        <v>2935</v>
      </c>
      <c r="B104" s="59">
        <v>38.11</v>
      </c>
      <c r="C104" s="59">
        <v>103.6</v>
      </c>
      <c r="D104" s="59">
        <v>87.74</v>
      </c>
      <c r="E104" s="59">
        <v>2.21</v>
      </c>
      <c r="F104" s="59">
        <v>2.04</v>
      </c>
      <c r="G104" s="59">
        <v>35.65</v>
      </c>
      <c r="H104" s="59">
        <v>35.67</v>
      </c>
      <c r="I104" s="59">
        <v>0.62</v>
      </c>
      <c r="J104" s="59">
        <v>0.27</v>
      </c>
      <c r="K104" s="59">
        <v>25.39</v>
      </c>
      <c r="L104" s="59">
        <v>19.59</v>
      </c>
      <c r="M104" s="59">
        <v>48</v>
      </c>
      <c r="N104" s="59">
        <v>24.2</v>
      </c>
      <c r="O104" s="59">
        <v>0</v>
      </c>
      <c r="P104" s="59">
        <v>1.86</v>
      </c>
      <c r="Q104" s="59">
        <v>42.94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-0.12</v>
      </c>
      <c r="C106" s="66">
        <f>MIN(C9:C104)</f>
        <v>7.56</v>
      </c>
      <c r="D106" s="66">
        <f t="shared" ref="D106:Q106" si="0">MIN(D9:D104)</f>
        <v>4.08</v>
      </c>
      <c r="E106" s="66">
        <f t="shared" si="0"/>
        <v>0.15</v>
      </c>
      <c r="F106" s="66">
        <f t="shared" si="0"/>
        <v>0.01</v>
      </c>
      <c r="G106" s="66">
        <f t="shared" si="0"/>
        <v>35.65</v>
      </c>
      <c r="H106" s="66">
        <f t="shared" si="0"/>
        <v>31.34</v>
      </c>
      <c r="I106" s="66">
        <f t="shared" si="0"/>
        <v>0.12</v>
      </c>
      <c r="J106" s="66">
        <f t="shared" si="0"/>
        <v>0.03</v>
      </c>
      <c r="K106" s="66">
        <f t="shared" si="0"/>
        <v>0.61</v>
      </c>
      <c r="L106" s="66">
        <f t="shared" si="0"/>
        <v>19.59</v>
      </c>
      <c r="M106" s="66">
        <f t="shared" si="0"/>
        <v>35</v>
      </c>
      <c r="N106" s="66">
        <f t="shared" si="0"/>
        <v>22.8</v>
      </c>
      <c r="O106" s="66">
        <f t="shared" si="0"/>
        <v>0</v>
      </c>
      <c r="P106" s="66">
        <f t="shared" si="0"/>
        <v>0.77</v>
      </c>
      <c r="Q106" s="66">
        <f t="shared" si="0"/>
        <v>21.22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109.12</v>
      </c>
      <c r="C107" s="65">
        <f t="shared" ref="C107:Q107" si="1">MAX(C9:C104)</f>
        <v>133.44999999999999</v>
      </c>
      <c r="D107" s="65">
        <f t="shared" si="1"/>
        <v>161.15</v>
      </c>
      <c r="E107" s="65">
        <f t="shared" si="1"/>
        <v>14.17</v>
      </c>
      <c r="F107" s="65">
        <f t="shared" si="1"/>
        <v>15.01</v>
      </c>
      <c r="G107" s="65">
        <f t="shared" si="1"/>
        <v>183.82</v>
      </c>
      <c r="H107" s="65">
        <f t="shared" si="1"/>
        <v>56.01</v>
      </c>
      <c r="I107" s="65">
        <f t="shared" si="1"/>
        <v>1.0900000000000001</v>
      </c>
      <c r="J107" s="65">
        <f t="shared" si="1"/>
        <v>1.58</v>
      </c>
      <c r="K107" s="65">
        <f t="shared" si="1"/>
        <v>359.14</v>
      </c>
      <c r="L107" s="65">
        <f t="shared" si="1"/>
        <v>32.04</v>
      </c>
      <c r="M107" s="65">
        <f t="shared" si="1"/>
        <v>85</v>
      </c>
      <c r="N107" s="65">
        <f t="shared" si="1"/>
        <v>298.5</v>
      </c>
      <c r="O107" s="65">
        <f t="shared" si="1"/>
        <v>0</v>
      </c>
      <c r="P107" s="65">
        <f t="shared" si="1"/>
        <v>2.86</v>
      </c>
      <c r="Q107" s="65">
        <f t="shared" si="1"/>
        <v>62.81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46.641511627906972</v>
      </c>
      <c r="C108" s="66">
        <f t="shared" ref="C108:Q108" si="2">AVERAGE(C9:C104)</f>
        <v>101.28104651162789</v>
      </c>
      <c r="D108" s="66">
        <f t="shared" si="2"/>
        <v>93.799302325581394</v>
      </c>
      <c r="E108" s="66">
        <f t="shared" si="2"/>
        <v>3.9571428571428577</v>
      </c>
      <c r="F108" s="66">
        <f t="shared" si="2"/>
        <v>1.438333333333333</v>
      </c>
      <c r="G108" s="66">
        <f t="shared" si="2"/>
        <v>92.134482758620692</v>
      </c>
      <c r="H108" s="66">
        <f t="shared" si="2"/>
        <v>42.00241379310345</v>
      </c>
      <c r="I108" s="66">
        <f t="shared" si="2"/>
        <v>0.57455696202531625</v>
      </c>
      <c r="J108" s="66">
        <f t="shared" si="2"/>
        <v>0.45988505747126457</v>
      </c>
      <c r="K108" s="66">
        <f t="shared" si="2"/>
        <v>100.02229885057471</v>
      </c>
      <c r="L108" s="66">
        <f t="shared" si="2"/>
        <v>23.713103448275866</v>
      </c>
      <c r="M108" s="66">
        <f t="shared" si="2"/>
        <v>62.448275862068968</v>
      </c>
      <c r="N108" s="66">
        <f t="shared" si="2"/>
        <v>71.797701149425279</v>
      </c>
      <c r="O108" s="66">
        <f t="shared" si="2"/>
        <v>0</v>
      </c>
      <c r="P108" s="66">
        <f t="shared" si="2"/>
        <v>1.7354022988505742</v>
      </c>
      <c r="Q108" s="66">
        <f t="shared" si="2"/>
        <v>40.876941176470581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27.951465773096199</v>
      </c>
      <c r="C109" s="66">
        <f t="shared" ref="C109:Q109" si="3">STDEV(C9:C104)</f>
        <v>18.605970074719103</v>
      </c>
      <c r="D109" s="66">
        <f t="shared" si="3"/>
        <v>29.75131541494072</v>
      </c>
      <c r="E109" s="66">
        <f t="shared" si="3"/>
        <v>1.5916896920353205</v>
      </c>
      <c r="F109" s="66">
        <f t="shared" si="3"/>
        <v>2.7152766542724431</v>
      </c>
      <c r="G109" s="66">
        <f t="shared" si="3"/>
        <v>34.569806551672364</v>
      </c>
      <c r="H109" s="66">
        <f t="shared" si="3"/>
        <v>6.4747315586838727</v>
      </c>
      <c r="I109" s="66">
        <f t="shared" si="3"/>
        <v>0.21173760653559281</v>
      </c>
      <c r="J109" s="66">
        <f t="shared" si="3"/>
        <v>0.37274748062060464</v>
      </c>
      <c r="K109" s="66">
        <f t="shared" si="3"/>
        <v>116.41951084883385</v>
      </c>
      <c r="L109" s="66">
        <f t="shared" si="3"/>
        <v>3.5560019064872854</v>
      </c>
      <c r="M109" s="66">
        <f t="shared" si="3"/>
        <v>15.90433509769457</v>
      </c>
      <c r="N109" s="66">
        <f t="shared" si="3"/>
        <v>79.445147051299955</v>
      </c>
      <c r="O109" s="66">
        <f t="shared" si="3"/>
        <v>0</v>
      </c>
      <c r="P109" s="66">
        <f t="shared" si="3"/>
        <v>0.51648364885012499</v>
      </c>
      <c r="Q109" s="66">
        <f t="shared" si="3"/>
        <v>6.9869608188821948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>COUNT(B9:B104)+10</f>
        <v>96</v>
      </c>
      <c r="C110" s="65">
        <f>COUNT(C9:C104)+10</f>
        <v>96</v>
      </c>
      <c r="D110" s="65">
        <f>COUNT(D9:D104)+10</f>
        <v>96</v>
      </c>
      <c r="E110" s="65">
        <f>COUNT(E9:E104)+12</f>
        <v>96</v>
      </c>
      <c r="F110" s="65">
        <f>COUNT(F9:F104)+12</f>
        <v>96</v>
      </c>
      <c r="G110" s="65">
        <f>COUNT(G9:G104)+9</f>
        <v>96</v>
      </c>
      <c r="H110" s="65">
        <f>COUNT(H9:H104)+9</f>
        <v>96</v>
      </c>
      <c r="I110" s="65">
        <f>COUNT(I9:I104)+17</f>
        <v>96</v>
      </c>
      <c r="J110" s="65">
        <f>COUNT(J9:J104)+9</f>
        <v>96</v>
      </c>
      <c r="K110" s="65">
        <f t="shared" ref="K110:P110" si="4">COUNT(K9:K104)+9</f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>COUNT(Q9:Q104)+11</f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topLeftCell="A70" zoomScale="85" zoomScaleNormal="85" workbookViewId="0">
      <selection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29-12-2022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3" t="s">
        <v>51</v>
      </c>
      <c r="C8" s="13" t="s">
        <v>51</v>
      </c>
      <c r="D8" s="13" t="s">
        <v>51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8" t="s">
        <v>51</v>
      </c>
      <c r="R8" s="195"/>
      <c r="S8" s="196"/>
      <c r="T8" s="195"/>
      <c r="U8" s="195"/>
    </row>
    <row r="9" spans="1:21" s="12" customFormat="1" x14ac:dyDescent="0.25">
      <c r="A9" s="200" t="s">
        <v>2936</v>
      </c>
      <c r="B9" s="59">
        <v>36.200000000000003</v>
      </c>
      <c r="C9" s="59">
        <v>100.84</v>
      </c>
      <c r="D9" s="59">
        <v>84.68</v>
      </c>
      <c r="E9" s="59">
        <v>4.09</v>
      </c>
      <c r="F9" s="59">
        <v>3.92</v>
      </c>
      <c r="G9" s="59">
        <v>47.5</v>
      </c>
      <c r="H9" s="59">
        <v>35.61</v>
      </c>
      <c r="I9" s="59">
        <v>0.62</v>
      </c>
      <c r="J9" s="59">
        <v>0.21</v>
      </c>
      <c r="K9" s="59">
        <v>59.57</v>
      </c>
      <c r="L9" s="59">
        <v>19.559999999999999</v>
      </c>
      <c r="M9" s="59">
        <v>45</v>
      </c>
      <c r="N9" s="59">
        <v>23.7</v>
      </c>
      <c r="O9" s="59">
        <v>0</v>
      </c>
      <c r="P9" s="59">
        <v>1.79</v>
      </c>
      <c r="Q9" s="59">
        <v>42.29</v>
      </c>
      <c r="R9" s="197"/>
      <c r="S9" s="197"/>
      <c r="T9" s="197"/>
      <c r="U9" s="197"/>
    </row>
    <row r="10" spans="1:21" s="12" customFormat="1" x14ac:dyDescent="0.25">
      <c r="A10" s="200" t="s">
        <v>2937</v>
      </c>
      <c r="B10" s="59">
        <v>34.229999999999997</v>
      </c>
      <c r="C10" s="59">
        <v>97.03</v>
      </c>
      <c r="D10" s="59">
        <v>81</v>
      </c>
      <c r="E10" s="59">
        <v>3.6</v>
      </c>
      <c r="F10" s="211" t="s">
        <v>40</v>
      </c>
      <c r="G10" s="59">
        <v>55.7</v>
      </c>
      <c r="H10" s="59">
        <v>35.54</v>
      </c>
      <c r="I10" s="59">
        <v>0.55000000000000004</v>
      </c>
      <c r="J10" s="59">
        <v>0.18</v>
      </c>
      <c r="K10" s="59">
        <v>34.229999999999997</v>
      </c>
      <c r="L10" s="59">
        <v>19.46</v>
      </c>
      <c r="M10" s="59">
        <v>44</v>
      </c>
      <c r="N10" s="59">
        <v>24</v>
      </c>
      <c r="O10" s="59">
        <v>0</v>
      </c>
      <c r="P10" s="59">
        <v>1.72</v>
      </c>
      <c r="Q10" s="59">
        <v>41.37</v>
      </c>
      <c r="R10" s="197"/>
      <c r="S10" s="197"/>
      <c r="T10" s="197"/>
      <c r="U10" s="197"/>
    </row>
    <row r="11" spans="1:21" s="12" customFormat="1" x14ac:dyDescent="0.25">
      <c r="A11" s="200" t="s">
        <v>2938</v>
      </c>
      <c r="B11" s="59">
        <v>32.79</v>
      </c>
      <c r="C11" s="59">
        <v>95.68</v>
      </c>
      <c r="D11" s="59">
        <v>79.099999999999994</v>
      </c>
      <c r="E11" s="59">
        <v>3.74</v>
      </c>
      <c r="F11" s="211" t="s">
        <v>40</v>
      </c>
      <c r="G11" s="59">
        <v>55.7</v>
      </c>
      <c r="H11" s="59">
        <v>35.54</v>
      </c>
      <c r="I11" s="59">
        <v>0.53</v>
      </c>
      <c r="J11" s="59">
        <v>0.24</v>
      </c>
      <c r="K11" s="59">
        <v>18.5</v>
      </c>
      <c r="L11" s="59">
        <v>18.95</v>
      </c>
      <c r="M11" s="59">
        <v>46</v>
      </c>
      <c r="N11" s="59">
        <v>24.1</v>
      </c>
      <c r="O11" s="59">
        <v>0</v>
      </c>
      <c r="P11" s="59">
        <v>1.66</v>
      </c>
      <c r="Q11" s="59">
        <v>40.92</v>
      </c>
      <c r="R11" s="197"/>
      <c r="S11" s="197"/>
      <c r="T11" s="197"/>
      <c r="U11" s="197"/>
    </row>
    <row r="12" spans="1:21" s="12" customFormat="1" x14ac:dyDescent="0.25">
      <c r="A12" s="200" t="s">
        <v>2939</v>
      </c>
      <c r="B12" s="59">
        <v>31.75</v>
      </c>
      <c r="C12" s="59">
        <v>94.08</v>
      </c>
      <c r="D12" s="59">
        <v>77.38</v>
      </c>
      <c r="E12" s="59">
        <v>3.86</v>
      </c>
      <c r="F12" s="59">
        <v>0.02</v>
      </c>
      <c r="G12" s="59">
        <v>55.7</v>
      </c>
      <c r="H12" s="59">
        <v>35.54</v>
      </c>
      <c r="I12" s="59">
        <v>0.51</v>
      </c>
      <c r="J12" s="59">
        <v>0.28999999999999998</v>
      </c>
      <c r="K12" s="59">
        <v>40.840000000000003</v>
      </c>
      <c r="L12" s="59">
        <v>18.97</v>
      </c>
      <c r="M12" s="59">
        <v>43</v>
      </c>
      <c r="N12" s="59">
        <v>23.5</v>
      </c>
      <c r="O12" s="59">
        <v>0</v>
      </c>
      <c r="P12" s="59">
        <v>1.6</v>
      </c>
      <c r="Q12" s="59">
        <v>40.86</v>
      </c>
      <c r="R12" s="197"/>
      <c r="S12" s="197"/>
      <c r="T12" s="197"/>
      <c r="U12" s="197"/>
    </row>
    <row r="13" spans="1:21" s="12" customFormat="1" x14ac:dyDescent="0.25">
      <c r="A13" s="200" t="s">
        <v>2940</v>
      </c>
      <c r="B13" s="59">
        <v>30.44</v>
      </c>
      <c r="C13" s="59">
        <v>91.77</v>
      </c>
      <c r="D13" s="59">
        <v>75.05</v>
      </c>
      <c r="E13" s="59">
        <v>4</v>
      </c>
      <c r="F13" s="59">
        <v>0.01</v>
      </c>
      <c r="G13" s="59">
        <v>38.200000000000003</v>
      </c>
      <c r="H13" s="59">
        <v>33.24</v>
      </c>
      <c r="I13" s="59">
        <v>0.5</v>
      </c>
      <c r="J13" s="59">
        <v>0.28000000000000003</v>
      </c>
      <c r="K13" s="59">
        <v>55.22</v>
      </c>
      <c r="L13" s="59">
        <v>19.22</v>
      </c>
      <c r="M13" s="59">
        <v>39</v>
      </c>
      <c r="N13" s="59">
        <v>23.7</v>
      </c>
      <c r="O13" s="59">
        <v>0</v>
      </c>
      <c r="P13" s="59">
        <v>1.49</v>
      </c>
      <c r="Q13" s="59">
        <v>40.61</v>
      </c>
      <c r="R13" s="197"/>
      <c r="S13" s="197"/>
      <c r="T13" s="197"/>
      <c r="U13" s="197"/>
    </row>
    <row r="14" spans="1:21" s="12" customFormat="1" x14ac:dyDescent="0.25">
      <c r="A14" s="200" t="s">
        <v>2941</v>
      </c>
      <c r="B14" s="59">
        <v>28.82</v>
      </c>
      <c r="C14" s="59">
        <v>89.23</v>
      </c>
      <c r="D14" s="59">
        <v>72.36</v>
      </c>
      <c r="E14" s="59">
        <v>3.82</v>
      </c>
      <c r="F14" s="59">
        <v>2.35</v>
      </c>
      <c r="G14" s="210" t="s">
        <v>43</v>
      </c>
      <c r="H14" s="59">
        <v>30.23</v>
      </c>
      <c r="I14" s="59">
        <v>0.49</v>
      </c>
      <c r="J14" s="59">
        <v>0.36</v>
      </c>
      <c r="K14" s="59">
        <v>21.81</v>
      </c>
      <c r="L14" s="59">
        <v>19.04</v>
      </c>
      <c r="M14" s="59">
        <v>40</v>
      </c>
      <c r="N14" s="59">
        <v>23.7</v>
      </c>
      <c r="O14" s="59">
        <v>0</v>
      </c>
      <c r="P14" s="59">
        <v>1.51</v>
      </c>
      <c r="Q14" s="59">
        <v>40.5</v>
      </c>
      <c r="R14" s="197"/>
      <c r="S14" s="197"/>
      <c r="T14" s="197"/>
      <c r="U14" s="197"/>
    </row>
    <row r="15" spans="1:21" s="12" customFormat="1" x14ac:dyDescent="0.25">
      <c r="A15" s="200" t="s">
        <v>2942</v>
      </c>
      <c r="B15" s="59">
        <v>27.15</v>
      </c>
      <c r="C15" s="59">
        <v>86.48</v>
      </c>
      <c r="D15" s="59">
        <v>69.5</v>
      </c>
      <c r="E15" s="59">
        <v>4.3499999999999996</v>
      </c>
      <c r="F15" s="59">
        <v>0.78</v>
      </c>
      <c r="G15" s="210" t="s">
        <v>43</v>
      </c>
      <c r="H15" s="59">
        <v>30.23</v>
      </c>
      <c r="I15" s="59">
        <v>0.48</v>
      </c>
      <c r="J15" s="59">
        <v>0.18</v>
      </c>
      <c r="K15" s="59">
        <v>43.49</v>
      </c>
      <c r="L15" s="59">
        <v>18.77</v>
      </c>
      <c r="M15" s="59">
        <v>40</v>
      </c>
      <c r="N15" s="59">
        <v>24.1</v>
      </c>
      <c r="O15" s="59">
        <v>0</v>
      </c>
      <c r="P15" s="59">
        <v>1.45</v>
      </c>
      <c r="Q15" s="59">
        <v>40.51</v>
      </c>
      <c r="R15" s="197"/>
      <c r="S15" s="197"/>
      <c r="T15" s="197"/>
      <c r="U15" s="197"/>
    </row>
    <row r="16" spans="1:21" s="12" customFormat="1" x14ac:dyDescent="0.25">
      <c r="A16" s="200" t="s">
        <v>2943</v>
      </c>
      <c r="B16" s="59">
        <v>25.44</v>
      </c>
      <c r="C16" s="59">
        <v>84.61</v>
      </c>
      <c r="D16" s="59">
        <v>67.099999999999994</v>
      </c>
      <c r="E16" s="59">
        <v>4.4800000000000004</v>
      </c>
      <c r="F16" s="59">
        <v>0.47</v>
      </c>
      <c r="G16" s="210" t="s">
        <v>43</v>
      </c>
      <c r="H16" s="59">
        <v>30.23</v>
      </c>
      <c r="I16" s="59">
        <v>0.47</v>
      </c>
      <c r="J16" s="59">
        <v>0.48</v>
      </c>
      <c r="K16" s="59">
        <v>18.010000000000002</v>
      </c>
      <c r="L16" s="59">
        <v>18.63</v>
      </c>
      <c r="M16" s="59">
        <v>42</v>
      </c>
      <c r="N16" s="59">
        <v>23.7</v>
      </c>
      <c r="O16" s="59">
        <v>0</v>
      </c>
      <c r="P16" s="59">
        <v>1.39</v>
      </c>
      <c r="Q16" s="59">
        <v>40.450000000000003</v>
      </c>
      <c r="R16" s="197"/>
      <c r="S16" s="197"/>
      <c r="T16" s="197"/>
      <c r="U16" s="197"/>
    </row>
    <row r="17" spans="1:21" s="12" customFormat="1" x14ac:dyDescent="0.25">
      <c r="A17" s="200" t="s">
        <v>2944</v>
      </c>
      <c r="B17" s="59">
        <v>24.2</v>
      </c>
      <c r="C17" s="59">
        <v>82.16</v>
      </c>
      <c r="D17" s="59">
        <v>64.75</v>
      </c>
      <c r="E17" s="59">
        <v>4.5599999999999996</v>
      </c>
      <c r="F17" s="59">
        <v>0.25</v>
      </c>
      <c r="G17" s="210" t="s">
        <v>43</v>
      </c>
      <c r="H17" s="59">
        <v>29.19</v>
      </c>
      <c r="I17" s="59">
        <v>0.46</v>
      </c>
      <c r="J17" s="59">
        <v>0.49</v>
      </c>
      <c r="K17" s="59">
        <v>19.899999999999999</v>
      </c>
      <c r="L17" s="59">
        <v>18.579999999999998</v>
      </c>
      <c r="M17" s="59">
        <v>42</v>
      </c>
      <c r="N17" s="59">
        <v>23.7</v>
      </c>
      <c r="O17" s="59">
        <v>0</v>
      </c>
      <c r="P17" s="59">
        <v>1.34</v>
      </c>
      <c r="Q17" s="59">
        <v>40.67</v>
      </c>
      <c r="R17" s="197"/>
      <c r="S17" s="197"/>
      <c r="T17" s="197"/>
      <c r="U17" s="197"/>
    </row>
    <row r="18" spans="1:21" s="12" customFormat="1" x14ac:dyDescent="0.25">
      <c r="A18" s="200" t="s">
        <v>2945</v>
      </c>
      <c r="B18" s="59">
        <v>23.06</v>
      </c>
      <c r="C18" s="59">
        <v>81.39</v>
      </c>
      <c r="D18" s="59">
        <v>63.41</v>
      </c>
      <c r="E18" s="59">
        <v>4.16</v>
      </c>
      <c r="F18" s="59">
        <v>4.16</v>
      </c>
      <c r="G18" s="210" t="s">
        <v>43</v>
      </c>
      <c r="H18" s="59">
        <v>27.84</v>
      </c>
      <c r="I18" s="59">
        <v>0.44</v>
      </c>
      <c r="J18" s="59">
        <v>0.5</v>
      </c>
      <c r="K18" s="59">
        <v>21.91</v>
      </c>
      <c r="L18" s="59">
        <v>18.57</v>
      </c>
      <c r="M18" s="59">
        <v>41</v>
      </c>
      <c r="N18" s="59">
        <v>23.9</v>
      </c>
      <c r="O18" s="59">
        <v>0</v>
      </c>
      <c r="P18" s="59">
        <v>1.28</v>
      </c>
      <c r="Q18" s="59">
        <v>41.07</v>
      </c>
      <c r="R18" s="197"/>
      <c r="S18" s="197"/>
      <c r="T18" s="197"/>
      <c r="U18" s="197"/>
    </row>
    <row r="19" spans="1:21" s="12" customFormat="1" x14ac:dyDescent="0.25">
      <c r="A19" s="200" t="s">
        <v>2946</v>
      </c>
      <c r="B19" s="59">
        <v>22.01</v>
      </c>
      <c r="C19" s="59">
        <v>81.22</v>
      </c>
      <c r="D19" s="59">
        <v>62.47</v>
      </c>
      <c r="E19" s="59">
        <v>4.2699999999999996</v>
      </c>
      <c r="F19" s="59">
        <v>0.16</v>
      </c>
      <c r="G19" s="210" t="s">
        <v>43</v>
      </c>
      <c r="H19" s="59">
        <v>27.84</v>
      </c>
      <c r="I19" s="59">
        <v>0.44</v>
      </c>
      <c r="J19" s="59">
        <v>0.67</v>
      </c>
      <c r="K19" s="59">
        <v>19.329999999999998</v>
      </c>
      <c r="L19" s="59">
        <v>18.43</v>
      </c>
      <c r="M19" s="59">
        <v>41</v>
      </c>
      <c r="N19" s="59">
        <v>23.8</v>
      </c>
      <c r="O19" s="59">
        <v>0</v>
      </c>
      <c r="P19" s="59">
        <v>1.23</v>
      </c>
      <c r="Q19" s="59">
        <v>40.71</v>
      </c>
      <c r="R19" s="197"/>
      <c r="S19" s="197"/>
      <c r="T19" s="197"/>
      <c r="U19" s="197"/>
    </row>
    <row r="20" spans="1:21" s="12" customFormat="1" x14ac:dyDescent="0.25">
      <c r="A20" s="200" t="s">
        <v>2947</v>
      </c>
      <c r="B20" s="59">
        <v>20.79</v>
      </c>
      <c r="C20" s="59">
        <v>80.33</v>
      </c>
      <c r="D20" s="59">
        <v>61</v>
      </c>
      <c r="E20" s="59">
        <v>4.18</v>
      </c>
      <c r="F20" s="59">
        <v>0.09</v>
      </c>
      <c r="G20" s="210" t="s">
        <v>43</v>
      </c>
      <c r="H20" s="59">
        <v>27.84</v>
      </c>
      <c r="I20" s="59">
        <v>0.43</v>
      </c>
      <c r="J20" s="59">
        <v>0.5</v>
      </c>
      <c r="K20" s="59">
        <v>28.21</v>
      </c>
      <c r="L20" s="59">
        <v>18.25</v>
      </c>
      <c r="M20" s="59">
        <v>42</v>
      </c>
      <c r="N20" s="59">
        <v>24.2</v>
      </c>
      <c r="O20" s="59">
        <v>0</v>
      </c>
      <c r="P20" s="59">
        <v>1.18</v>
      </c>
      <c r="Q20" s="59">
        <v>39.909999999999997</v>
      </c>
      <c r="R20" s="197"/>
      <c r="S20" s="197"/>
      <c r="T20" s="197"/>
      <c r="U20" s="197"/>
    </row>
    <row r="21" spans="1:21" s="12" customFormat="1" x14ac:dyDescent="0.25">
      <c r="A21" s="200" t="s">
        <v>2948</v>
      </c>
      <c r="B21" s="59">
        <v>19.27</v>
      </c>
      <c r="C21" s="59">
        <v>78.81</v>
      </c>
      <c r="D21" s="59">
        <v>58.95</v>
      </c>
      <c r="E21" s="59">
        <v>4.03</v>
      </c>
      <c r="F21" s="59">
        <v>0.41</v>
      </c>
      <c r="G21" s="210" t="s">
        <v>43</v>
      </c>
      <c r="H21" s="59">
        <v>28.84</v>
      </c>
      <c r="I21" s="59">
        <v>0.42</v>
      </c>
      <c r="J21" s="59">
        <v>0.37</v>
      </c>
      <c r="K21" s="59">
        <v>77.13</v>
      </c>
      <c r="L21" s="59">
        <v>17.88</v>
      </c>
      <c r="M21" s="59">
        <v>41</v>
      </c>
      <c r="N21" s="59">
        <v>24.1</v>
      </c>
      <c r="O21" s="59">
        <v>0</v>
      </c>
      <c r="P21" s="59">
        <v>1.1499999999999999</v>
      </c>
      <c r="Q21" s="59">
        <v>38.92</v>
      </c>
      <c r="R21" s="197"/>
      <c r="S21" s="197"/>
      <c r="T21" s="197"/>
      <c r="U21" s="197"/>
    </row>
    <row r="22" spans="1:21" s="12" customFormat="1" x14ac:dyDescent="0.25">
      <c r="A22" s="200" t="s">
        <v>2949</v>
      </c>
      <c r="B22" s="59">
        <v>17.79</v>
      </c>
      <c r="C22" s="59">
        <v>76.849999999999994</v>
      </c>
      <c r="D22" s="59">
        <v>56.67</v>
      </c>
      <c r="E22" s="59">
        <v>4.2</v>
      </c>
      <c r="F22" s="59">
        <v>0.34</v>
      </c>
      <c r="G22" s="210" t="s">
        <v>43</v>
      </c>
      <c r="H22" s="59">
        <v>30.09</v>
      </c>
      <c r="I22" s="59">
        <v>0.4</v>
      </c>
      <c r="J22" s="59">
        <v>0.28000000000000003</v>
      </c>
      <c r="K22" s="59">
        <v>51.8</v>
      </c>
      <c r="L22" s="59">
        <v>17.61</v>
      </c>
      <c r="M22" s="59">
        <v>42</v>
      </c>
      <c r="N22" s="59">
        <v>24.2</v>
      </c>
      <c r="O22" s="59">
        <v>0</v>
      </c>
      <c r="P22" s="59">
        <v>1.1100000000000001</v>
      </c>
      <c r="Q22" s="59">
        <v>38.299999999999997</v>
      </c>
      <c r="R22" s="197"/>
      <c r="S22" s="197"/>
      <c r="T22" s="197"/>
      <c r="U22" s="197"/>
    </row>
    <row r="23" spans="1:21" s="12" customFormat="1" x14ac:dyDescent="0.25">
      <c r="A23" s="200" t="s">
        <v>2950</v>
      </c>
      <c r="B23" s="59">
        <v>16.47</v>
      </c>
      <c r="C23" s="59">
        <v>74.930000000000007</v>
      </c>
      <c r="D23" s="59">
        <v>54.56</v>
      </c>
      <c r="E23" s="59">
        <v>4.13</v>
      </c>
      <c r="F23" s="59">
        <v>0.36</v>
      </c>
      <c r="G23" s="210" t="s">
        <v>43</v>
      </c>
      <c r="H23" s="59">
        <v>30.09</v>
      </c>
      <c r="I23" s="59">
        <v>0.39</v>
      </c>
      <c r="J23" s="59">
        <v>0.26</v>
      </c>
      <c r="K23" s="59">
        <v>73.11</v>
      </c>
      <c r="L23" s="59">
        <v>17.47</v>
      </c>
      <c r="M23" s="59">
        <v>42</v>
      </c>
      <c r="N23" s="59">
        <v>24.1</v>
      </c>
      <c r="O23" s="59">
        <v>0</v>
      </c>
      <c r="P23" s="59">
        <v>1.07</v>
      </c>
      <c r="Q23" s="59">
        <v>38.14</v>
      </c>
      <c r="R23" s="197"/>
      <c r="S23" s="197"/>
      <c r="T23" s="197"/>
      <c r="U23" s="197"/>
    </row>
    <row r="24" spans="1:21" s="12" customFormat="1" x14ac:dyDescent="0.25">
      <c r="A24" s="200" t="s">
        <v>2951</v>
      </c>
      <c r="B24" s="59">
        <v>15.41</v>
      </c>
      <c r="C24" s="59">
        <v>73.010000000000005</v>
      </c>
      <c r="D24" s="59">
        <v>52.65</v>
      </c>
      <c r="E24" s="59">
        <v>1.9</v>
      </c>
      <c r="F24" s="59">
        <v>0.23</v>
      </c>
      <c r="G24" s="210" t="s">
        <v>43</v>
      </c>
      <c r="H24" s="59">
        <v>30.09</v>
      </c>
      <c r="I24" s="59">
        <v>0.38</v>
      </c>
      <c r="J24" s="59">
        <v>0.26</v>
      </c>
      <c r="K24" s="59">
        <v>69.22</v>
      </c>
      <c r="L24" s="59">
        <v>17.41</v>
      </c>
      <c r="M24" s="59">
        <v>44</v>
      </c>
      <c r="N24" s="59">
        <v>24.2</v>
      </c>
      <c r="O24" s="59">
        <v>0</v>
      </c>
      <c r="P24" s="59">
        <v>1.03</v>
      </c>
      <c r="Q24" s="59">
        <v>37.33</v>
      </c>
      <c r="R24" s="197"/>
      <c r="S24" s="197"/>
      <c r="T24" s="197"/>
      <c r="U24" s="197"/>
    </row>
    <row r="25" spans="1:21" s="12" customFormat="1" x14ac:dyDescent="0.25">
      <c r="A25" s="200" t="s">
        <v>2952</v>
      </c>
      <c r="B25" s="59">
        <v>14.88</v>
      </c>
      <c r="C25" s="59">
        <v>71.8</v>
      </c>
      <c r="D25" s="59">
        <v>51.56</v>
      </c>
      <c r="E25" s="59">
        <v>3.01</v>
      </c>
      <c r="F25" s="59">
        <v>0.09</v>
      </c>
      <c r="G25" s="210" t="s">
        <v>43</v>
      </c>
      <c r="H25" s="59">
        <v>30.1</v>
      </c>
      <c r="I25" s="59">
        <v>0.37</v>
      </c>
      <c r="J25" s="59">
        <v>7.0000000000000007E-2</v>
      </c>
      <c r="K25" s="59">
        <v>95.68</v>
      </c>
      <c r="L25" s="59">
        <v>17.059999999999999</v>
      </c>
      <c r="M25" s="59">
        <v>46</v>
      </c>
      <c r="N25" s="59">
        <v>24.5</v>
      </c>
      <c r="O25" s="59">
        <v>0</v>
      </c>
      <c r="P25" s="59">
        <v>1.03</v>
      </c>
      <c r="Q25" s="59">
        <v>36.520000000000003</v>
      </c>
      <c r="R25" s="197"/>
      <c r="S25" s="197"/>
      <c r="T25" s="197"/>
      <c r="U25" s="197"/>
    </row>
    <row r="26" spans="1:21" s="12" customFormat="1" x14ac:dyDescent="0.25">
      <c r="A26" s="200" t="s">
        <v>2953</v>
      </c>
      <c r="B26" s="59">
        <v>14.45</v>
      </c>
      <c r="C26" s="59">
        <v>70.790000000000006</v>
      </c>
      <c r="D26" s="59">
        <v>50.65</v>
      </c>
      <c r="E26" s="59">
        <v>3.14</v>
      </c>
      <c r="F26" s="214" t="s">
        <v>47</v>
      </c>
      <c r="G26" s="59">
        <v>255.05</v>
      </c>
      <c r="H26" s="59">
        <v>30.12</v>
      </c>
      <c r="I26" s="59">
        <v>0.36</v>
      </c>
      <c r="J26" s="59">
        <v>0.08</v>
      </c>
      <c r="K26" s="59">
        <v>61.66</v>
      </c>
      <c r="L26" s="59">
        <v>16.57</v>
      </c>
      <c r="M26" s="59">
        <v>47</v>
      </c>
      <c r="N26" s="59">
        <v>24.3</v>
      </c>
      <c r="O26" s="59">
        <v>0</v>
      </c>
      <c r="P26" s="59">
        <v>1.01</v>
      </c>
      <c r="Q26" s="59">
        <v>36.01</v>
      </c>
      <c r="R26" s="197"/>
      <c r="S26" s="197"/>
      <c r="T26" s="197"/>
      <c r="U26" s="197"/>
    </row>
    <row r="27" spans="1:21" s="12" customFormat="1" x14ac:dyDescent="0.25">
      <c r="A27" s="200" t="s">
        <v>2954</v>
      </c>
      <c r="B27" s="59">
        <v>13.88</v>
      </c>
      <c r="C27" s="59">
        <v>69.37</v>
      </c>
      <c r="D27" s="59">
        <v>49.42</v>
      </c>
      <c r="E27" s="59">
        <v>3.23</v>
      </c>
      <c r="F27" s="59">
        <v>0.08</v>
      </c>
      <c r="G27" s="59">
        <v>255.05</v>
      </c>
      <c r="H27" s="59">
        <v>30.12</v>
      </c>
      <c r="I27" s="59">
        <v>0.36</v>
      </c>
      <c r="J27" s="59">
        <v>0.06</v>
      </c>
      <c r="K27" s="59">
        <v>83.3</v>
      </c>
      <c r="L27" s="59">
        <v>16.41</v>
      </c>
      <c r="M27" s="59">
        <v>48</v>
      </c>
      <c r="N27" s="59">
        <v>24.3</v>
      </c>
      <c r="O27" s="59">
        <v>0</v>
      </c>
      <c r="P27" s="59">
        <v>0.98</v>
      </c>
      <c r="Q27" s="59">
        <v>35.880000000000003</v>
      </c>
      <c r="R27" s="197"/>
      <c r="S27" s="197"/>
      <c r="T27" s="197"/>
      <c r="U27" s="197"/>
    </row>
    <row r="28" spans="1:21" s="12" customFormat="1" x14ac:dyDescent="0.25">
      <c r="A28" s="200" t="s">
        <v>2955</v>
      </c>
      <c r="B28" s="59">
        <v>13.47</v>
      </c>
      <c r="C28" s="59">
        <v>68.349999999999994</v>
      </c>
      <c r="D28" s="59">
        <v>48.53</v>
      </c>
      <c r="E28" s="59">
        <v>3.3</v>
      </c>
      <c r="F28" s="59">
        <v>0.2</v>
      </c>
      <c r="G28" s="59">
        <v>255.05</v>
      </c>
      <c r="H28" s="59">
        <v>30.12</v>
      </c>
      <c r="I28" s="59">
        <v>0.36</v>
      </c>
      <c r="J28" s="59">
        <v>0.09</v>
      </c>
      <c r="K28" s="59">
        <v>308.02999999999997</v>
      </c>
      <c r="L28" s="59">
        <v>15.94</v>
      </c>
      <c r="M28" s="59">
        <v>52</v>
      </c>
      <c r="N28" s="59">
        <v>24.3</v>
      </c>
      <c r="O28" s="59">
        <v>0</v>
      </c>
      <c r="P28" s="59">
        <v>0.97</v>
      </c>
      <c r="Q28" s="59">
        <v>35.950000000000003</v>
      </c>
      <c r="R28" s="197"/>
      <c r="S28" s="197"/>
      <c r="T28" s="197"/>
      <c r="U28" s="197"/>
    </row>
    <row r="29" spans="1:21" s="12" customFormat="1" x14ac:dyDescent="0.25">
      <c r="A29" s="200" t="s">
        <v>2956</v>
      </c>
      <c r="B29" s="59">
        <v>14.03</v>
      </c>
      <c r="C29" s="59">
        <v>68.459999999999994</v>
      </c>
      <c r="D29" s="59">
        <v>49.03</v>
      </c>
      <c r="E29" s="59">
        <v>3.07</v>
      </c>
      <c r="F29" s="59">
        <v>0.23</v>
      </c>
      <c r="G29" s="210" t="s">
        <v>43</v>
      </c>
      <c r="H29" s="59">
        <v>29.83</v>
      </c>
      <c r="I29" s="59">
        <v>0.36</v>
      </c>
      <c r="J29" s="59">
        <v>0.2</v>
      </c>
      <c r="K29" s="59">
        <v>66.58</v>
      </c>
      <c r="L29" s="59">
        <v>15.74</v>
      </c>
      <c r="M29" s="59">
        <v>55</v>
      </c>
      <c r="N29" s="59">
        <v>23.8</v>
      </c>
      <c r="O29" s="59">
        <v>0</v>
      </c>
      <c r="P29" s="59">
        <v>0.96</v>
      </c>
      <c r="Q29" s="59">
        <v>35.97</v>
      </c>
      <c r="R29" s="197"/>
      <c r="S29" s="197"/>
      <c r="T29" s="197"/>
      <c r="U29" s="197"/>
    </row>
    <row r="30" spans="1:21" s="12" customFormat="1" x14ac:dyDescent="0.25">
      <c r="A30" s="200" t="s">
        <v>2957</v>
      </c>
      <c r="B30" s="59">
        <v>15.49</v>
      </c>
      <c r="C30" s="59">
        <v>69.239999999999995</v>
      </c>
      <c r="D30" s="59">
        <v>50.64</v>
      </c>
      <c r="E30" s="59">
        <v>3.64</v>
      </c>
      <c r="F30" s="59">
        <v>0.38</v>
      </c>
      <c r="G30" s="210" t="s">
        <v>43</v>
      </c>
      <c r="H30" s="59">
        <v>29.47</v>
      </c>
      <c r="I30" s="59">
        <v>0.35</v>
      </c>
      <c r="J30" s="59">
        <v>0.04</v>
      </c>
      <c r="K30" s="59">
        <v>240.47</v>
      </c>
      <c r="L30" s="59">
        <v>16.149999999999999</v>
      </c>
      <c r="M30" s="59">
        <v>51</v>
      </c>
      <c r="N30" s="59">
        <v>24</v>
      </c>
      <c r="O30" s="59">
        <v>0</v>
      </c>
      <c r="P30" s="59">
        <v>0.96</v>
      </c>
      <c r="Q30" s="59">
        <v>35.79</v>
      </c>
      <c r="R30" s="197"/>
      <c r="S30" s="197"/>
      <c r="T30" s="197"/>
      <c r="U30" s="197"/>
    </row>
    <row r="31" spans="1:21" s="12" customFormat="1" x14ac:dyDescent="0.25">
      <c r="A31" s="200" t="s">
        <v>2958</v>
      </c>
      <c r="B31" s="59">
        <v>16.46</v>
      </c>
      <c r="C31" s="59">
        <v>69.709999999999994</v>
      </c>
      <c r="D31" s="59">
        <v>51.67</v>
      </c>
      <c r="E31" s="59">
        <v>3.5</v>
      </c>
      <c r="F31" s="59">
        <v>0.13</v>
      </c>
      <c r="G31" s="210" t="s">
        <v>43</v>
      </c>
      <c r="H31" s="59">
        <v>29.47</v>
      </c>
      <c r="I31" s="59">
        <v>0.35</v>
      </c>
      <c r="J31" s="59">
        <v>0.08</v>
      </c>
      <c r="K31" s="59">
        <v>314.35000000000002</v>
      </c>
      <c r="L31" s="59">
        <v>15.83</v>
      </c>
      <c r="M31" s="59">
        <v>54</v>
      </c>
      <c r="N31" s="59">
        <v>24.2</v>
      </c>
      <c r="O31" s="59">
        <v>0</v>
      </c>
      <c r="P31" s="59">
        <v>0.97</v>
      </c>
      <c r="Q31" s="59">
        <v>36.03</v>
      </c>
      <c r="R31" s="197"/>
      <c r="S31" s="197"/>
      <c r="T31" s="197"/>
      <c r="U31" s="197"/>
    </row>
    <row r="32" spans="1:21" s="12" customFormat="1" x14ac:dyDescent="0.25">
      <c r="A32" s="200" t="s">
        <v>2959</v>
      </c>
      <c r="B32" s="59">
        <v>20.350000000000001</v>
      </c>
      <c r="C32" s="59">
        <v>72.58</v>
      </c>
      <c r="D32" s="59">
        <v>56.38</v>
      </c>
      <c r="E32" s="59">
        <v>3.74</v>
      </c>
      <c r="F32" s="59">
        <v>0.1</v>
      </c>
      <c r="G32" s="210" t="s">
        <v>43</v>
      </c>
      <c r="H32" s="59">
        <v>29.47</v>
      </c>
      <c r="I32" s="59">
        <v>0.35</v>
      </c>
      <c r="J32" s="59">
        <v>7.0000000000000007E-2</v>
      </c>
      <c r="K32" s="59">
        <v>4.9800000000000004</v>
      </c>
      <c r="L32" s="59">
        <v>15.22</v>
      </c>
      <c r="M32" s="59">
        <v>57</v>
      </c>
      <c r="N32" s="59">
        <v>24.4</v>
      </c>
      <c r="O32" s="59">
        <v>0</v>
      </c>
      <c r="P32" s="59">
        <v>1</v>
      </c>
      <c r="Q32" s="59">
        <v>36.799999999999997</v>
      </c>
      <c r="R32" s="197"/>
      <c r="S32" s="197"/>
      <c r="T32" s="197"/>
      <c r="U32" s="197"/>
    </row>
    <row r="33" spans="1:21" s="12" customFormat="1" x14ac:dyDescent="0.25">
      <c r="A33" s="200" t="s">
        <v>2960</v>
      </c>
      <c r="B33" s="59">
        <v>27.32</v>
      </c>
      <c r="C33" s="59">
        <v>77.349999999999994</v>
      </c>
      <c r="D33" s="59">
        <v>64.59</v>
      </c>
      <c r="E33" s="59">
        <v>3.41</v>
      </c>
      <c r="F33" s="59">
        <v>0.03</v>
      </c>
      <c r="G33" s="59">
        <v>73.06</v>
      </c>
      <c r="H33" s="59">
        <v>30.98</v>
      </c>
      <c r="I33" s="59">
        <v>0.35</v>
      </c>
      <c r="J33" s="59">
        <v>0.15</v>
      </c>
      <c r="K33" s="59">
        <v>61.54</v>
      </c>
      <c r="L33" s="59">
        <v>15.35</v>
      </c>
      <c r="M33" s="59">
        <v>55</v>
      </c>
      <c r="N33" s="59">
        <v>23.8</v>
      </c>
      <c r="O33" s="59">
        <v>0</v>
      </c>
      <c r="P33" s="59">
        <v>1.02</v>
      </c>
      <c r="Q33" s="59">
        <v>37.25</v>
      </c>
      <c r="R33" s="197"/>
      <c r="S33" s="197"/>
      <c r="T33" s="197"/>
      <c r="U33" s="197"/>
    </row>
    <row r="34" spans="1:21" s="12" customFormat="1" x14ac:dyDescent="0.25">
      <c r="A34" s="200" t="s">
        <v>2961</v>
      </c>
      <c r="B34" s="59">
        <v>31.4</v>
      </c>
      <c r="C34" s="59">
        <v>80.260000000000005</v>
      </c>
      <c r="D34" s="59">
        <v>69.47</v>
      </c>
      <c r="E34" s="59">
        <v>3.53</v>
      </c>
      <c r="F34" s="59">
        <v>0.4</v>
      </c>
      <c r="G34" s="59">
        <v>123.48</v>
      </c>
      <c r="H34" s="59">
        <v>32.86</v>
      </c>
      <c r="I34" s="59">
        <v>0.34</v>
      </c>
      <c r="J34" s="59">
        <v>0.22</v>
      </c>
      <c r="K34" s="59">
        <v>57.85</v>
      </c>
      <c r="L34" s="59">
        <v>15.89</v>
      </c>
      <c r="M34" s="59">
        <v>49</v>
      </c>
      <c r="N34" s="59">
        <v>24.2</v>
      </c>
      <c r="O34" s="59">
        <v>0</v>
      </c>
      <c r="P34" s="59">
        <v>1.03</v>
      </c>
      <c r="Q34" s="59">
        <v>37.479999999999997</v>
      </c>
      <c r="R34" s="197"/>
      <c r="S34" s="197"/>
      <c r="T34" s="197"/>
      <c r="U34" s="197"/>
    </row>
    <row r="35" spans="1:21" s="12" customFormat="1" x14ac:dyDescent="0.25">
      <c r="A35" s="200" t="s">
        <v>2962</v>
      </c>
      <c r="B35" s="59">
        <v>33.57</v>
      </c>
      <c r="C35" s="59">
        <v>81.96</v>
      </c>
      <c r="D35" s="59">
        <v>72.150000000000006</v>
      </c>
      <c r="E35" s="59">
        <v>3.06</v>
      </c>
      <c r="F35" s="214" t="s">
        <v>47</v>
      </c>
      <c r="G35" s="59">
        <v>123.48</v>
      </c>
      <c r="H35" s="59">
        <v>32.86</v>
      </c>
      <c r="I35" s="59">
        <v>0.34</v>
      </c>
      <c r="J35" s="59">
        <v>7.0000000000000007E-2</v>
      </c>
      <c r="K35" s="59">
        <v>349.08</v>
      </c>
      <c r="L35" s="59">
        <v>15.92</v>
      </c>
      <c r="M35" s="59">
        <v>52</v>
      </c>
      <c r="N35" s="59">
        <v>28</v>
      </c>
      <c r="O35" s="59">
        <v>0</v>
      </c>
      <c r="P35" s="59">
        <v>1.03</v>
      </c>
      <c r="Q35" s="59">
        <v>37.64</v>
      </c>
      <c r="R35" s="197"/>
      <c r="S35" s="197"/>
      <c r="T35" s="197"/>
      <c r="U35" s="197"/>
    </row>
    <row r="36" spans="1:21" s="12" customFormat="1" x14ac:dyDescent="0.25">
      <c r="A36" s="200" t="s">
        <v>2963</v>
      </c>
      <c r="B36" s="59">
        <v>38.07</v>
      </c>
      <c r="C36" s="59">
        <v>84.98</v>
      </c>
      <c r="D36" s="59">
        <v>77.430000000000007</v>
      </c>
      <c r="E36" s="59">
        <v>3.52</v>
      </c>
      <c r="F36" s="59">
        <v>0.24</v>
      </c>
      <c r="G36" s="59">
        <v>123.48</v>
      </c>
      <c r="H36" s="59">
        <v>32.86</v>
      </c>
      <c r="I36" s="59">
        <v>0.33</v>
      </c>
      <c r="J36" s="59">
        <v>0.06</v>
      </c>
      <c r="K36" s="59">
        <v>263.57</v>
      </c>
      <c r="L36" s="59">
        <v>15.18</v>
      </c>
      <c r="M36" s="59">
        <v>56</v>
      </c>
      <c r="N36" s="59">
        <v>34.6</v>
      </c>
      <c r="O36" s="59">
        <v>0</v>
      </c>
      <c r="P36" s="59">
        <v>1.06</v>
      </c>
      <c r="Q36" s="59">
        <v>37.659999999999997</v>
      </c>
      <c r="R36" s="197"/>
      <c r="S36" s="197"/>
      <c r="T36" s="197"/>
      <c r="U36" s="197"/>
    </row>
    <row r="37" spans="1:21" s="12" customFormat="1" x14ac:dyDescent="0.25">
      <c r="A37" s="200" t="s">
        <v>2964</v>
      </c>
      <c r="B37" s="59">
        <v>40.200000000000003</v>
      </c>
      <c r="C37" s="59">
        <v>86.62</v>
      </c>
      <c r="D37" s="59">
        <v>80.040000000000006</v>
      </c>
      <c r="E37" s="59">
        <v>3.4</v>
      </c>
      <c r="F37" s="59">
        <v>0.14000000000000001</v>
      </c>
      <c r="G37" s="59">
        <v>81.66</v>
      </c>
      <c r="H37" s="59">
        <v>33.6</v>
      </c>
      <c r="I37" s="59">
        <v>0.32</v>
      </c>
      <c r="J37" s="59">
        <v>0.23</v>
      </c>
      <c r="K37" s="59">
        <v>46.95</v>
      </c>
      <c r="L37" s="59">
        <v>15.77</v>
      </c>
      <c r="M37" s="59">
        <v>52</v>
      </c>
      <c r="N37" s="59">
        <v>40.200000000000003</v>
      </c>
      <c r="O37" s="59">
        <v>0</v>
      </c>
      <c r="P37" s="59">
        <v>1.05</v>
      </c>
      <c r="Q37" s="59">
        <v>37.43</v>
      </c>
      <c r="R37" s="197"/>
      <c r="S37" s="197"/>
      <c r="T37" s="197"/>
      <c r="U37" s="197"/>
    </row>
    <row r="38" spans="1:21" s="12" customFormat="1" x14ac:dyDescent="0.25">
      <c r="A38" s="200" t="s">
        <v>2965</v>
      </c>
      <c r="B38" s="59">
        <v>41.39</v>
      </c>
      <c r="C38" s="59">
        <v>87.94</v>
      </c>
      <c r="D38" s="59">
        <v>81.73</v>
      </c>
      <c r="E38" s="59">
        <v>3.73</v>
      </c>
      <c r="F38" s="59">
        <v>0.13</v>
      </c>
      <c r="G38" s="210" t="s">
        <v>43</v>
      </c>
      <c r="H38" s="59">
        <v>34.520000000000003</v>
      </c>
      <c r="I38" s="59">
        <v>0.32</v>
      </c>
      <c r="J38" s="59">
        <v>0.36</v>
      </c>
      <c r="K38" s="59">
        <v>42.25</v>
      </c>
      <c r="L38" s="59">
        <v>16.989999999999998</v>
      </c>
      <c r="M38" s="59">
        <v>46</v>
      </c>
      <c r="N38" s="59">
        <v>46.7</v>
      </c>
      <c r="O38" s="59">
        <v>0</v>
      </c>
      <c r="P38" s="59">
        <v>1.0900000000000001</v>
      </c>
      <c r="Q38" s="59">
        <v>36.729999999999997</v>
      </c>
      <c r="R38" s="197"/>
      <c r="S38" s="197"/>
      <c r="T38" s="197"/>
      <c r="U38" s="197"/>
    </row>
    <row r="39" spans="1:21" s="12" customFormat="1" x14ac:dyDescent="0.25">
      <c r="A39" s="200" t="s">
        <v>2966</v>
      </c>
      <c r="B39" s="59">
        <v>40.74</v>
      </c>
      <c r="C39" s="59">
        <v>87.74</v>
      </c>
      <c r="D39" s="59">
        <v>81.09</v>
      </c>
      <c r="E39" s="59">
        <v>3.81</v>
      </c>
      <c r="F39" s="59">
        <v>0.08</v>
      </c>
      <c r="G39" s="210" t="s">
        <v>43</v>
      </c>
      <c r="H39" s="59">
        <v>34.520000000000003</v>
      </c>
      <c r="I39" s="59">
        <v>0.32</v>
      </c>
      <c r="J39" s="59">
        <v>0.38</v>
      </c>
      <c r="K39" s="59">
        <v>50.76</v>
      </c>
      <c r="L39" s="59">
        <v>17.55</v>
      </c>
      <c r="M39" s="59">
        <v>44</v>
      </c>
      <c r="N39" s="59">
        <v>85.9</v>
      </c>
      <c r="O39" s="59">
        <v>0</v>
      </c>
      <c r="P39" s="59">
        <v>1.08</v>
      </c>
      <c r="Q39" s="59">
        <v>36.25</v>
      </c>
      <c r="R39" s="197"/>
      <c r="S39" s="197"/>
      <c r="T39" s="197"/>
      <c r="U39" s="197"/>
    </row>
    <row r="40" spans="1:21" s="12" customFormat="1" x14ac:dyDescent="0.25">
      <c r="A40" s="200" t="s">
        <v>2967</v>
      </c>
      <c r="B40" s="59">
        <v>39.15</v>
      </c>
      <c r="C40" s="59">
        <v>87.43</v>
      </c>
      <c r="D40" s="59">
        <v>79.650000000000006</v>
      </c>
      <c r="E40" s="59">
        <v>1.64</v>
      </c>
      <c r="F40" s="59">
        <v>0.04</v>
      </c>
      <c r="G40" s="210" t="s">
        <v>43</v>
      </c>
      <c r="H40" s="59">
        <v>34.520000000000003</v>
      </c>
      <c r="I40" s="59">
        <v>0.32</v>
      </c>
      <c r="J40" s="59">
        <v>0.48</v>
      </c>
      <c r="K40" s="59">
        <v>79.66</v>
      </c>
      <c r="L40" s="59">
        <v>19.260000000000002</v>
      </c>
      <c r="M40" s="59">
        <v>39</v>
      </c>
      <c r="N40" s="59">
        <v>203</v>
      </c>
      <c r="O40" s="59">
        <v>0</v>
      </c>
      <c r="P40" s="59">
        <v>1.07</v>
      </c>
      <c r="Q40" s="59">
        <v>35.909999999999997</v>
      </c>
      <c r="R40" s="197"/>
      <c r="S40" s="197"/>
      <c r="T40" s="197"/>
      <c r="U40" s="197"/>
    </row>
    <row r="41" spans="1:21" s="12" customFormat="1" x14ac:dyDescent="0.25">
      <c r="A41" s="200" t="s">
        <v>2968</v>
      </c>
      <c r="B41" s="59">
        <v>38</v>
      </c>
      <c r="C41" s="59">
        <v>86.13</v>
      </c>
      <c r="D41" s="59">
        <v>78.010000000000005</v>
      </c>
      <c r="E41" s="59">
        <v>3.21</v>
      </c>
      <c r="F41" s="59">
        <v>0.12</v>
      </c>
      <c r="G41" s="59">
        <v>138.52000000000001</v>
      </c>
      <c r="H41" s="59">
        <v>34.090000000000003</v>
      </c>
      <c r="I41" s="59">
        <v>0.32</v>
      </c>
      <c r="J41" s="59">
        <v>0.56999999999999995</v>
      </c>
      <c r="K41" s="59">
        <v>85.75</v>
      </c>
      <c r="L41" s="59">
        <v>20.66</v>
      </c>
      <c r="M41" s="59">
        <v>36</v>
      </c>
      <c r="N41" s="59">
        <v>235.1</v>
      </c>
      <c r="O41" s="59">
        <v>0</v>
      </c>
      <c r="P41" s="59">
        <v>1.05</v>
      </c>
      <c r="Q41" s="59">
        <v>35.57</v>
      </c>
      <c r="R41" s="197"/>
      <c r="S41" s="197"/>
      <c r="T41" s="197"/>
      <c r="U41" s="197"/>
    </row>
    <row r="42" spans="1:21" s="12" customFormat="1" x14ac:dyDescent="0.25">
      <c r="A42" s="200" t="s">
        <v>2969</v>
      </c>
      <c r="B42" s="59">
        <v>36.06</v>
      </c>
      <c r="C42" s="59">
        <v>84.97</v>
      </c>
      <c r="D42" s="59">
        <v>75.81</v>
      </c>
      <c r="E42" s="59">
        <v>3.97</v>
      </c>
      <c r="F42" s="59">
        <v>0.12</v>
      </c>
      <c r="G42" s="59">
        <v>233.71</v>
      </c>
      <c r="H42" s="59">
        <v>33.520000000000003</v>
      </c>
      <c r="I42" s="59">
        <v>0.32</v>
      </c>
      <c r="J42" s="59">
        <v>0.48</v>
      </c>
      <c r="K42" s="59">
        <v>73.34</v>
      </c>
      <c r="L42" s="59">
        <v>22.04</v>
      </c>
      <c r="M42" s="59">
        <v>33</v>
      </c>
      <c r="N42" s="59">
        <v>261.7</v>
      </c>
      <c r="O42" s="59">
        <v>0</v>
      </c>
      <c r="P42" s="59">
        <v>1.03</v>
      </c>
      <c r="Q42" s="59">
        <v>35.44</v>
      </c>
      <c r="R42" s="197"/>
      <c r="S42" s="197"/>
      <c r="T42" s="197"/>
      <c r="U42" s="197"/>
    </row>
    <row r="43" spans="1:21" s="12" customFormat="1" x14ac:dyDescent="0.25">
      <c r="A43" s="200" t="s">
        <v>2970</v>
      </c>
      <c r="B43" s="59">
        <v>34.28</v>
      </c>
      <c r="C43" s="59">
        <v>84.14</v>
      </c>
      <c r="D43" s="59">
        <v>73.92</v>
      </c>
      <c r="E43" s="59">
        <v>4.1900000000000004</v>
      </c>
      <c r="F43" s="59">
        <v>0.2</v>
      </c>
      <c r="G43" s="59">
        <v>233.71</v>
      </c>
      <c r="H43" s="59">
        <v>33.520000000000003</v>
      </c>
      <c r="I43" s="59">
        <v>0.32</v>
      </c>
      <c r="J43" s="59">
        <v>0.65</v>
      </c>
      <c r="K43" s="59">
        <v>111.78</v>
      </c>
      <c r="L43" s="59">
        <v>22.4</v>
      </c>
      <c r="M43" s="59">
        <v>33</v>
      </c>
      <c r="N43" s="59">
        <v>291.7</v>
      </c>
      <c r="O43" s="59">
        <v>0</v>
      </c>
      <c r="P43" s="59">
        <v>1.01</v>
      </c>
      <c r="Q43" s="59">
        <v>35.520000000000003</v>
      </c>
      <c r="R43" s="197"/>
      <c r="S43" s="197"/>
      <c r="T43" s="197"/>
      <c r="U43" s="197"/>
    </row>
    <row r="44" spans="1:21" s="12" customFormat="1" x14ac:dyDescent="0.25">
      <c r="A44" s="200" t="s">
        <v>2971</v>
      </c>
      <c r="B44" s="59">
        <v>32.450000000000003</v>
      </c>
      <c r="C44" s="59">
        <v>83.09</v>
      </c>
      <c r="D44" s="59">
        <v>71.87</v>
      </c>
      <c r="E44" s="59">
        <v>3.56</v>
      </c>
      <c r="F44" s="59">
        <v>0.43</v>
      </c>
      <c r="G44" s="59">
        <v>233.71</v>
      </c>
      <c r="H44" s="59">
        <v>33.520000000000003</v>
      </c>
      <c r="I44" s="59">
        <v>0.33</v>
      </c>
      <c r="J44" s="59">
        <v>1.24</v>
      </c>
      <c r="K44" s="59">
        <v>124.31</v>
      </c>
      <c r="L44" s="59">
        <v>21.28</v>
      </c>
      <c r="M44" s="59">
        <v>34</v>
      </c>
      <c r="N44" s="59">
        <v>317.10000000000002</v>
      </c>
      <c r="O44" s="59">
        <v>0</v>
      </c>
      <c r="P44" s="59">
        <v>0.98</v>
      </c>
      <c r="Q44" s="59">
        <v>35.61</v>
      </c>
      <c r="R44" s="197"/>
      <c r="S44" s="197"/>
      <c r="T44" s="197"/>
      <c r="U44" s="197"/>
    </row>
    <row r="45" spans="1:21" s="12" customFormat="1" x14ac:dyDescent="0.25">
      <c r="A45" s="200" t="s">
        <v>2972</v>
      </c>
      <c r="B45" s="59">
        <v>30.36</v>
      </c>
      <c r="C45" s="59">
        <v>81.64</v>
      </c>
      <c r="D45" s="59">
        <v>69.400000000000006</v>
      </c>
      <c r="E45" s="59">
        <v>3.46</v>
      </c>
      <c r="F45" s="59">
        <v>0.79</v>
      </c>
      <c r="G45" s="59">
        <v>173.17</v>
      </c>
      <c r="H45" s="59">
        <v>32.520000000000003</v>
      </c>
      <c r="I45" s="59">
        <v>0.33</v>
      </c>
      <c r="J45" s="59">
        <v>1.1200000000000001</v>
      </c>
      <c r="K45" s="59">
        <v>130.57</v>
      </c>
      <c r="L45" s="59">
        <v>22.11</v>
      </c>
      <c r="M45" s="59">
        <v>33</v>
      </c>
      <c r="N45" s="59">
        <v>330.7</v>
      </c>
      <c r="O45" s="59">
        <v>0</v>
      </c>
      <c r="P45" s="59">
        <v>0.96</v>
      </c>
      <c r="Q45" s="59">
        <v>35.94</v>
      </c>
      <c r="R45" s="197"/>
      <c r="S45" s="197"/>
      <c r="T45" s="197"/>
      <c r="U45" s="197"/>
    </row>
    <row r="46" spans="1:21" s="12" customFormat="1" x14ac:dyDescent="0.25">
      <c r="A46" s="200" t="s">
        <v>2973</v>
      </c>
      <c r="B46" s="59">
        <v>28.28</v>
      </c>
      <c r="C46" s="59">
        <v>81.03</v>
      </c>
      <c r="D46" s="59">
        <v>67.39</v>
      </c>
      <c r="E46" s="59">
        <v>3.91</v>
      </c>
      <c r="F46" s="59">
        <v>0.6</v>
      </c>
      <c r="G46" s="59">
        <v>131.26</v>
      </c>
      <c r="H46" s="59">
        <v>31.22</v>
      </c>
      <c r="I46" s="59">
        <v>0.33</v>
      </c>
      <c r="J46" s="59">
        <v>0.98</v>
      </c>
      <c r="K46" s="59">
        <v>126.37</v>
      </c>
      <c r="L46" s="59">
        <v>22.55</v>
      </c>
      <c r="M46" s="59">
        <v>32</v>
      </c>
      <c r="N46" s="59">
        <v>339.7</v>
      </c>
      <c r="O46" s="59">
        <v>0</v>
      </c>
      <c r="P46" s="59">
        <v>0.93</v>
      </c>
      <c r="Q46" s="59">
        <v>36.99</v>
      </c>
      <c r="R46" s="197"/>
      <c r="S46" s="197"/>
      <c r="T46" s="197"/>
      <c r="U46" s="197"/>
    </row>
    <row r="47" spans="1:21" s="12" customFormat="1" x14ac:dyDescent="0.25">
      <c r="A47" s="200" t="s">
        <v>2974</v>
      </c>
      <c r="B47" s="59">
        <v>25.97</v>
      </c>
      <c r="C47" s="59">
        <v>81.05</v>
      </c>
      <c r="D47" s="59">
        <v>65.56</v>
      </c>
      <c r="E47" s="59">
        <v>3.89</v>
      </c>
      <c r="F47" s="59">
        <v>0.74</v>
      </c>
      <c r="G47" s="59">
        <v>131.26</v>
      </c>
      <c r="H47" s="59">
        <v>31.22</v>
      </c>
      <c r="I47" s="59">
        <v>0.32</v>
      </c>
      <c r="J47" s="59">
        <v>0.99</v>
      </c>
      <c r="K47" s="59">
        <v>109.73</v>
      </c>
      <c r="L47" s="59">
        <v>23.81</v>
      </c>
      <c r="M47" s="59">
        <v>29</v>
      </c>
      <c r="N47" s="59">
        <v>350.4</v>
      </c>
      <c r="O47" s="59">
        <v>0</v>
      </c>
      <c r="P47" s="59">
        <v>0.9</v>
      </c>
      <c r="Q47" s="59">
        <v>37.6</v>
      </c>
      <c r="R47" s="197"/>
      <c r="S47" s="197"/>
      <c r="T47" s="197"/>
      <c r="U47" s="197"/>
    </row>
    <row r="48" spans="1:21" s="12" customFormat="1" x14ac:dyDescent="0.25">
      <c r="A48" s="200" t="s">
        <v>2975</v>
      </c>
      <c r="B48" s="59">
        <v>23.84</v>
      </c>
      <c r="C48" s="59">
        <v>81.17</v>
      </c>
      <c r="D48" s="59">
        <v>63.92</v>
      </c>
      <c r="E48" s="59">
        <v>3.86</v>
      </c>
      <c r="F48" s="59">
        <v>0.72</v>
      </c>
      <c r="G48" s="59">
        <v>131.26</v>
      </c>
      <c r="H48" s="59">
        <v>31.22</v>
      </c>
      <c r="I48" s="59">
        <v>0.32</v>
      </c>
      <c r="J48" s="59">
        <v>0.71</v>
      </c>
      <c r="K48" s="59">
        <v>93.13</v>
      </c>
      <c r="L48" s="59">
        <v>24.92</v>
      </c>
      <c r="M48" s="59">
        <v>27</v>
      </c>
      <c r="N48" s="59">
        <v>355.1</v>
      </c>
      <c r="O48" s="59">
        <v>0</v>
      </c>
      <c r="P48" s="59">
        <v>0.86</v>
      </c>
      <c r="Q48" s="59">
        <v>37.57</v>
      </c>
      <c r="R48" s="197"/>
      <c r="S48" s="197"/>
      <c r="T48" s="197"/>
      <c r="U48" s="197"/>
    </row>
    <row r="49" spans="1:21" s="12" customFormat="1" x14ac:dyDescent="0.25">
      <c r="A49" s="200" t="s">
        <v>2976</v>
      </c>
      <c r="B49" s="59">
        <v>22.27</v>
      </c>
      <c r="C49" s="59">
        <v>81.52</v>
      </c>
      <c r="D49" s="59">
        <v>62.85</v>
      </c>
      <c r="E49" s="59">
        <v>3.74</v>
      </c>
      <c r="F49" s="59">
        <v>1.84</v>
      </c>
      <c r="G49" s="59">
        <v>71.510000000000005</v>
      </c>
      <c r="H49" s="59">
        <v>31.75</v>
      </c>
      <c r="I49" s="59">
        <v>0.3</v>
      </c>
      <c r="J49" s="59">
        <v>1.08</v>
      </c>
      <c r="K49" s="59">
        <v>116.44</v>
      </c>
      <c r="L49" s="59">
        <v>24.55</v>
      </c>
      <c r="M49" s="59">
        <v>26</v>
      </c>
      <c r="N49" s="59">
        <v>371</v>
      </c>
      <c r="O49" s="59">
        <v>0</v>
      </c>
      <c r="P49" s="59">
        <v>0.86</v>
      </c>
      <c r="Q49" s="59">
        <v>37.29</v>
      </c>
      <c r="R49" s="197"/>
      <c r="S49" s="197"/>
      <c r="T49" s="197"/>
      <c r="U49" s="197"/>
    </row>
    <row r="50" spans="1:21" s="12" customFormat="1" x14ac:dyDescent="0.25">
      <c r="A50" s="200" t="s">
        <v>2977</v>
      </c>
      <c r="B50" s="59">
        <v>20.51</v>
      </c>
      <c r="C50" s="59">
        <v>81.83</v>
      </c>
      <c r="D50" s="59">
        <v>61.61</v>
      </c>
      <c r="E50" s="59">
        <v>4.1900000000000004</v>
      </c>
      <c r="F50" s="59">
        <v>0.59</v>
      </c>
      <c r="G50" s="210" t="s">
        <v>43</v>
      </c>
      <c r="H50" s="59">
        <v>32.44</v>
      </c>
      <c r="I50" s="59">
        <v>0.28999999999999998</v>
      </c>
      <c r="J50" s="59">
        <v>0.95</v>
      </c>
      <c r="K50" s="59">
        <v>98.08</v>
      </c>
      <c r="L50" s="59">
        <v>25.05</v>
      </c>
      <c r="M50" s="59">
        <v>25</v>
      </c>
      <c r="N50" s="59">
        <v>374.6</v>
      </c>
      <c r="O50" s="59">
        <v>0</v>
      </c>
      <c r="P50" s="59">
        <v>0.82</v>
      </c>
      <c r="Q50" s="59">
        <v>36.81</v>
      </c>
      <c r="R50" s="197"/>
      <c r="S50" s="197"/>
      <c r="T50" s="197"/>
      <c r="U50" s="197"/>
    </row>
    <row r="51" spans="1:21" s="12" customFormat="1" x14ac:dyDescent="0.25">
      <c r="A51" s="200" t="s">
        <v>2978</v>
      </c>
      <c r="B51" s="59">
        <v>19.190000000000001</v>
      </c>
      <c r="C51" s="59">
        <v>82.7</v>
      </c>
      <c r="D51" s="59">
        <v>61.03</v>
      </c>
      <c r="E51" s="59">
        <v>4.41</v>
      </c>
      <c r="F51" s="59">
        <v>0.11</v>
      </c>
      <c r="G51" s="210" t="s">
        <v>43</v>
      </c>
      <c r="H51" s="59">
        <v>32.44</v>
      </c>
      <c r="I51" s="59">
        <v>0.28000000000000003</v>
      </c>
      <c r="J51" s="59">
        <v>0.84</v>
      </c>
      <c r="K51" s="59">
        <v>84.25</v>
      </c>
      <c r="L51" s="59">
        <v>26</v>
      </c>
      <c r="M51" s="59">
        <v>22</v>
      </c>
      <c r="N51" s="59">
        <v>387.9</v>
      </c>
      <c r="O51" s="59">
        <v>0</v>
      </c>
      <c r="P51" s="59">
        <v>0.8</v>
      </c>
      <c r="Q51" s="59">
        <v>36.72</v>
      </c>
      <c r="R51" s="197"/>
      <c r="S51" s="197"/>
      <c r="T51" s="197"/>
      <c r="U51" s="197"/>
    </row>
    <row r="52" spans="1:21" s="12" customFormat="1" x14ac:dyDescent="0.25">
      <c r="A52" s="200" t="s">
        <v>2979</v>
      </c>
      <c r="B52" s="59">
        <v>18.149999999999999</v>
      </c>
      <c r="C52" s="59">
        <v>83.53</v>
      </c>
      <c r="D52" s="59">
        <v>60.65</v>
      </c>
      <c r="E52" s="59">
        <v>6.49</v>
      </c>
      <c r="F52" s="59">
        <v>2.08</v>
      </c>
      <c r="G52" s="210" t="s">
        <v>43</v>
      </c>
      <c r="H52" s="59">
        <v>6.49</v>
      </c>
      <c r="I52" s="59">
        <v>0.27</v>
      </c>
      <c r="J52" s="59">
        <v>0.89</v>
      </c>
      <c r="K52" s="59">
        <v>110.96</v>
      </c>
      <c r="L52" s="59">
        <v>26.2</v>
      </c>
      <c r="M52" s="59">
        <v>22</v>
      </c>
      <c r="N52" s="59">
        <v>394.7</v>
      </c>
      <c r="O52" s="59">
        <v>0</v>
      </c>
      <c r="P52" s="59">
        <v>0.74</v>
      </c>
      <c r="Q52" s="59">
        <v>34.36</v>
      </c>
      <c r="R52" s="197"/>
      <c r="S52" s="197"/>
      <c r="T52" s="197"/>
      <c r="U52" s="197"/>
    </row>
    <row r="53" spans="1:21" s="12" customFormat="1" x14ac:dyDescent="0.25">
      <c r="A53" s="200" t="s">
        <v>2980</v>
      </c>
      <c r="B53" s="59">
        <v>12.11</v>
      </c>
      <c r="C53" s="59">
        <v>85.23</v>
      </c>
      <c r="D53" s="59">
        <v>56.75</v>
      </c>
      <c r="E53" s="59">
        <v>9.85</v>
      </c>
      <c r="F53" s="59">
        <v>4.17</v>
      </c>
      <c r="G53" s="211" t="s">
        <v>40</v>
      </c>
      <c r="H53" s="211" t="s">
        <v>40</v>
      </c>
      <c r="I53" s="59">
        <v>0.26</v>
      </c>
      <c r="J53" s="59">
        <v>1.25</v>
      </c>
      <c r="K53" s="59">
        <v>114.74</v>
      </c>
      <c r="L53" s="59">
        <v>25.71</v>
      </c>
      <c r="M53" s="59">
        <v>23</v>
      </c>
      <c r="N53" s="59">
        <v>393.2</v>
      </c>
      <c r="O53" s="59">
        <v>0</v>
      </c>
      <c r="P53" s="59">
        <v>0.65</v>
      </c>
      <c r="Q53" s="59">
        <v>28.97</v>
      </c>
      <c r="R53" s="197"/>
      <c r="S53" s="197"/>
      <c r="T53" s="197"/>
      <c r="U53" s="197"/>
    </row>
    <row r="54" spans="1:21" s="12" customFormat="1" x14ac:dyDescent="0.25">
      <c r="A54" s="200" t="s">
        <v>2981</v>
      </c>
      <c r="B54" s="59">
        <v>8.99</v>
      </c>
      <c r="C54" s="59">
        <v>82</v>
      </c>
      <c r="D54" s="59">
        <v>52.46</v>
      </c>
      <c r="E54" s="59">
        <v>9.23</v>
      </c>
      <c r="F54" s="59">
        <v>2.71</v>
      </c>
      <c r="G54" s="211" t="s">
        <v>40</v>
      </c>
      <c r="H54" s="211" t="s">
        <v>40</v>
      </c>
      <c r="I54" s="59">
        <v>0.22</v>
      </c>
      <c r="J54" s="59">
        <v>1.45</v>
      </c>
      <c r="K54" s="59">
        <v>129.72</v>
      </c>
      <c r="L54" s="59">
        <v>26.17</v>
      </c>
      <c r="M54" s="59">
        <v>22</v>
      </c>
      <c r="N54" s="59">
        <v>395.2</v>
      </c>
      <c r="O54" s="59">
        <v>0</v>
      </c>
      <c r="P54" s="59">
        <v>0.62</v>
      </c>
      <c r="Q54" s="59">
        <v>25.95</v>
      </c>
      <c r="R54" s="197"/>
      <c r="S54" s="197"/>
      <c r="T54" s="197"/>
      <c r="U54" s="197"/>
    </row>
    <row r="55" spans="1:21" s="12" customFormat="1" x14ac:dyDescent="0.25">
      <c r="A55" s="200" t="s">
        <v>2982</v>
      </c>
      <c r="B55" s="59">
        <v>5.79</v>
      </c>
      <c r="C55" s="59">
        <v>78.78</v>
      </c>
      <c r="D55" s="59">
        <v>48.12</v>
      </c>
      <c r="E55" s="59">
        <v>7.4</v>
      </c>
      <c r="F55" s="59">
        <v>2.2400000000000002</v>
      </c>
      <c r="G55" s="211" t="s">
        <v>40</v>
      </c>
      <c r="H55" s="211" t="s">
        <v>40</v>
      </c>
      <c r="I55" s="59">
        <v>0.18</v>
      </c>
      <c r="J55" s="59">
        <v>1.3</v>
      </c>
      <c r="K55" s="59">
        <v>116.17</v>
      </c>
      <c r="L55" s="59">
        <v>26.16</v>
      </c>
      <c r="M55" s="59">
        <v>22</v>
      </c>
      <c r="N55" s="59">
        <v>387.9</v>
      </c>
      <c r="O55" s="59">
        <v>0</v>
      </c>
      <c r="P55" s="59">
        <v>0.54</v>
      </c>
      <c r="Q55" s="59">
        <v>23.95</v>
      </c>
      <c r="R55" s="197"/>
      <c r="S55" s="197"/>
      <c r="T55" s="197"/>
      <c r="U55" s="197"/>
    </row>
    <row r="56" spans="1:21" s="12" customFormat="1" x14ac:dyDescent="0.25">
      <c r="A56" s="200" t="s">
        <v>2983</v>
      </c>
      <c r="B56" s="59">
        <v>3.54</v>
      </c>
      <c r="C56" s="59">
        <v>74.72</v>
      </c>
      <c r="D56" s="59">
        <v>44.07</v>
      </c>
      <c r="E56" s="59">
        <v>2.7</v>
      </c>
      <c r="F56" s="59">
        <v>3.86</v>
      </c>
      <c r="G56" s="59">
        <v>43.69</v>
      </c>
      <c r="H56" s="59">
        <v>18.440000000000001</v>
      </c>
      <c r="I56" s="59">
        <v>0.16</v>
      </c>
      <c r="J56" s="59">
        <v>1.1599999999999999</v>
      </c>
      <c r="K56" s="59">
        <v>114.7</v>
      </c>
      <c r="L56" s="59">
        <v>26.3</v>
      </c>
      <c r="M56" s="59">
        <v>22</v>
      </c>
      <c r="N56" s="59">
        <v>387.1</v>
      </c>
      <c r="O56" s="59">
        <v>0</v>
      </c>
      <c r="P56" s="59">
        <v>0.51</v>
      </c>
      <c r="Q56" s="59">
        <v>22.25</v>
      </c>
      <c r="R56" s="197"/>
      <c r="S56" s="197"/>
      <c r="T56" s="197"/>
      <c r="U56" s="197"/>
    </row>
    <row r="57" spans="1:21" s="12" customFormat="1" x14ac:dyDescent="0.25">
      <c r="A57" s="200" t="s">
        <v>2984</v>
      </c>
      <c r="B57" s="59">
        <v>3.54</v>
      </c>
      <c r="C57" s="59">
        <v>72.400000000000006</v>
      </c>
      <c r="D57" s="59">
        <v>42.8</v>
      </c>
      <c r="E57" s="59">
        <v>3.61</v>
      </c>
      <c r="F57" s="59">
        <v>3.36</v>
      </c>
      <c r="G57" s="59">
        <v>43.69</v>
      </c>
      <c r="H57" s="59">
        <v>23.71</v>
      </c>
      <c r="I57" s="59">
        <v>0.14000000000000001</v>
      </c>
      <c r="J57" s="59">
        <v>0.68</v>
      </c>
      <c r="K57" s="59">
        <v>92.16</v>
      </c>
      <c r="L57" s="59">
        <v>28.33</v>
      </c>
      <c r="M57" s="59">
        <v>18</v>
      </c>
      <c r="N57" s="59">
        <v>385.2</v>
      </c>
      <c r="O57" s="59">
        <v>0</v>
      </c>
      <c r="P57" s="59">
        <v>0.5</v>
      </c>
      <c r="Q57" s="59">
        <v>22.5</v>
      </c>
      <c r="R57" s="197"/>
      <c r="S57" s="197"/>
      <c r="T57" s="197"/>
      <c r="U57" s="197"/>
    </row>
    <row r="58" spans="1:21" s="12" customFormat="1" x14ac:dyDescent="0.25">
      <c r="A58" s="200" t="s">
        <v>2985</v>
      </c>
      <c r="B58" s="59">
        <v>4.3499999999999996</v>
      </c>
      <c r="C58" s="59">
        <v>70.680000000000007</v>
      </c>
      <c r="D58" s="59">
        <v>42.49</v>
      </c>
      <c r="E58" s="59">
        <v>3.35</v>
      </c>
      <c r="F58" s="59">
        <v>1.31</v>
      </c>
      <c r="G58" s="59">
        <v>43.69</v>
      </c>
      <c r="H58" s="59">
        <v>23.71</v>
      </c>
      <c r="I58" s="59">
        <v>0.13</v>
      </c>
      <c r="J58" s="59">
        <v>0.77</v>
      </c>
      <c r="K58" s="59">
        <v>115.44</v>
      </c>
      <c r="L58" s="59">
        <v>27.46</v>
      </c>
      <c r="M58" s="59">
        <v>18</v>
      </c>
      <c r="N58" s="59">
        <v>386.2</v>
      </c>
      <c r="O58" s="59">
        <v>0</v>
      </c>
      <c r="P58" s="59">
        <v>0.49</v>
      </c>
      <c r="Q58" s="59">
        <v>23.92</v>
      </c>
      <c r="R58" s="197"/>
      <c r="S58" s="197"/>
      <c r="T58" s="197"/>
      <c r="U58" s="197"/>
    </row>
    <row r="59" spans="1:21" s="12" customFormat="1" x14ac:dyDescent="0.25">
      <c r="A59" s="200" t="s">
        <v>2986</v>
      </c>
      <c r="B59" s="59">
        <v>5.62</v>
      </c>
      <c r="C59" s="59">
        <v>69.73</v>
      </c>
      <c r="D59" s="59">
        <v>42.99</v>
      </c>
      <c r="E59" s="59">
        <v>4.91</v>
      </c>
      <c r="F59" s="59">
        <v>4.12</v>
      </c>
      <c r="G59" s="59">
        <v>43.69</v>
      </c>
      <c r="H59" s="59">
        <v>23.71</v>
      </c>
      <c r="I59" s="59">
        <v>0.15</v>
      </c>
      <c r="J59" s="59">
        <v>0.37</v>
      </c>
      <c r="K59" s="59">
        <v>60.32</v>
      </c>
      <c r="L59" s="59">
        <v>28.49</v>
      </c>
      <c r="M59" s="59">
        <v>17</v>
      </c>
      <c r="N59" s="59">
        <v>379.1</v>
      </c>
      <c r="O59" s="59">
        <v>0</v>
      </c>
      <c r="P59" s="59">
        <v>0.49</v>
      </c>
      <c r="Q59" s="59">
        <v>24.99</v>
      </c>
      <c r="R59" s="197"/>
      <c r="S59" s="197"/>
      <c r="T59" s="197"/>
      <c r="U59" s="197"/>
    </row>
    <row r="60" spans="1:21" s="12" customFormat="1" x14ac:dyDescent="0.25">
      <c r="A60" s="200" t="s">
        <v>2987</v>
      </c>
      <c r="B60" s="59">
        <v>6.63</v>
      </c>
      <c r="C60" s="59">
        <v>71.7</v>
      </c>
      <c r="D60" s="59">
        <v>44.89</v>
      </c>
      <c r="E60" s="59">
        <v>4.3</v>
      </c>
      <c r="F60" s="59">
        <v>0.75</v>
      </c>
      <c r="G60" s="59">
        <v>42.84</v>
      </c>
      <c r="H60" s="59">
        <v>24.99</v>
      </c>
      <c r="I60" s="59">
        <v>0.16</v>
      </c>
      <c r="J60" s="59">
        <v>1.01</v>
      </c>
      <c r="K60" s="59">
        <v>18.940000000000001</v>
      </c>
      <c r="L60" s="59">
        <v>31.02</v>
      </c>
      <c r="M60" s="59">
        <v>14</v>
      </c>
      <c r="N60" s="59">
        <v>378.7</v>
      </c>
      <c r="O60" s="59">
        <v>0</v>
      </c>
      <c r="P60" s="59">
        <v>0.5</v>
      </c>
      <c r="Q60" s="59">
        <v>27.16</v>
      </c>
      <c r="R60" s="197"/>
      <c r="S60" s="197"/>
      <c r="T60" s="197"/>
      <c r="U60" s="197"/>
    </row>
    <row r="61" spans="1:21" s="12" customFormat="1" x14ac:dyDescent="0.25">
      <c r="A61" s="200" t="s">
        <v>2988</v>
      </c>
      <c r="B61" s="59">
        <v>7.52</v>
      </c>
      <c r="C61" s="59">
        <v>73.31</v>
      </c>
      <c r="D61" s="59">
        <v>46.49</v>
      </c>
      <c r="E61" s="59">
        <v>5.09</v>
      </c>
      <c r="F61" s="59">
        <v>0.82</v>
      </c>
      <c r="G61" s="59">
        <v>42.84</v>
      </c>
      <c r="H61" s="59">
        <v>25.36</v>
      </c>
      <c r="I61" s="59">
        <v>0.15</v>
      </c>
      <c r="J61" s="59">
        <v>0.78</v>
      </c>
      <c r="K61" s="59">
        <v>116.92</v>
      </c>
      <c r="L61" s="59">
        <v>28.83</v>
      </c>
      <c r="M61" s="59">
        <v>16</v>
      </c>
      <c r="N61" s="59">
        <v>376.9</v>
      </c>
      <c r="O61" s="59">
        <v>0</v>
      </c>
      <c r="P61" s="59">
        <v>0.53</v>
      </c>
      <c r="Q61" s="59">
        <v>29.6</v>
      </c>
      <c r="R61" s="197"/>
      <c r="S61" s="197"/>
      <c r="T61" s="197"/>
      <c r="U61" s="197"/>
    </row>
    <row r="62" spans="1:21" s="12" customFormat="1" x14ac:dyDescent="0.25">
      <c r="A62" s="200" t="s">
        <v>2989</v>
      </c>
      <c r="B62" s="59">
        <v>6.91</v>
      </c>
      <c r="C62" s="59">
        <v>73.959999999999994</v>
      </c>
      <c r="D62" s="59">
        <v>46.36</v>
      </c>
      <c r="E62" s="59">
        <v>6.14</v>
      </c>
      <c r="F62" s="59">
        <v>1.57</v>
      </c>
      <c r="G62" s="59">
        <v>42.84</v>
      </c>
      <c r="H62" s="59">
        <v>25.36</v>
      </c>
      <c r="I62" s="59">
        <v>0.16</v>
      </c>
      <c r="J62" s="59">
        <v>0.64</v>
      </c>
      <c r="K62" s="59">
        <v>126.67</v>
      </c>
      <c r="L62" s="59">
        <v>28.31</v>
      </c>
      <c r="M62" s="59">
        <v>16</v>
      </c>
      <c r="N62" s="59">
        <v>367.1</v>
      </c>
      <c r="O62" s="59">
        <v>0</v>
      </c>
      <c r="P62" s="59">
        <v>0.53</v>
      </c>
      <c r="Q62" s="59">
        <v>29.75</v>
      </c>
      <c r="R62" s="197"/>
      <c r="S62" s="197"/>
      <c r="T62" s="197"/>
      <c r="U62" s="197"/>
    </row>
    <row r="63" spans="1:21" s="12" customFormat="1" x14ac:dyDescent="0.25">
      <c r="A63" s="200" t="s">
        <v>2990</v>
      </c>
      <c r="B63" s="59">
        <v>6.75</v>
      </c>
      <c r="C63" s="59">
        <v>73.430000000000007</v>
      </c>
      <c r="D63" s="59">
        <v>45.94</v>
      </c>
      <c r="E63" s="59">
        <v>3.78</v>
      </c>
      <c r="F63" s="59">
        <v>0.87</v>
      </c>
      <c r="G63" s="59">
        <v>42.84</v>
      </c>
      <c r="H63" s="59">
        <v>25.36</v>
      </c>
      <c r="I63" s="59">
        <v>0.15</v>
      </c>
      <c r="J63" s="59">
        <v>0.56000000000000005</v>
      </c>
      <c r="K63" s="59">
        <v>141.43</v>
      </c>
      <c r="L63" s="59">
        <v>28.5</v>
      </c>
      <c r="M63" s="59">
        <v>15</v>
      </c>
      <c r="N63" s="59">
        <v>356</v>
      </c>
      <c r="O63" s="59">
        <v>0</v>
      </c>
      <c r="P63" s="59">
        <v>0.51</v>
      </c>
      <c r="Q63" s="59">
        <v>28.89</v>
      </c>
      <c r="R63" s="197"/>
      <c r="S63" s="197"/>
      <c r="T63" s="197"/>
      <c r="U63" s="197"/>
    </row>
    <row r="64" spans="1:21" s="12" customFormat="1" x14ac:dyDescent="0.25">
      <c r="A64" s="200" t="s">
        <v>2991</v>
      </c>
      <c r="B64" s="59">
        <v>6.76</v>
      </c>
      <c r="C64" s="59">
        <v>72.33</v>
      </c>
      <c r="D64" s="59">
        <v>45.34</v>
      </c>
      <c r="E64" s="59">
        <v>3.48</v>
      </c>
      <c r="F64" s="59">
        <v>0.56000000000000005</v>
      </c>
      <c r="G64" s="59">
        <v>40.130000000000003</v>
      </c>
      <c r="H64" s="59">
        <v>24.45</v>
      </c>
      <c r="I64" s="59">
        <v>0.14000000000000001</v>
      </c>
      <c r="J64" s="59">
        <v>0.67</v>
      </c>
      <c r="K64" s="59">
        <v>90.69</v>
      </c>
      <c r="L64" s="59">
        <v>28.57</v>
      </c>
      <c r="M64" s="59">
        <v>16</v>
      </c>
      <c r="N64" s="59">
        <v>345.6</v>
      </c>
      <c r="O64" s="59">
        <v>0</v>
      </c>
      <c r="P64" s="59">
        <v>0.5</v>
      </c>
      <c r="Q64" s="59">
        <v>28.81</v>
      </c>
      <c r="R64" s="197"/>
      <c r="S64" s="197"/>
      <c r="T64" s="197"/>
      <c r="U64" s="197"/>
    </row>
    <row r="65" spans="1:21" s="12" customFormat="1" x14ac:dyDescent="0.25">
      <c r="A65" s="200" t="s">
        <v>2992</v>
      </c>
      <c r="B65" s="59">
        <v>6.86</v>
      </c>
      <c r="C65" s="59">
        <v>71.14</v>
      </c>
      <c r="D65" s="59">
        <v>44.76</v>
      </c>
      <c r="E65" s="59">
        <v>3.32</v>
      </c>
      <c r="F65" s="59">
        <v>0.38</v>
      </c>
      <c r="G65" s="59">
        <v>39.85</v>
      </c>
      <c r="H65" s="59">
        <v>24.19</v>
      </c>
      <c r="I65" s="59">
        <v>0.14000000000000001</v>
      </c>
      <c r="J65" s="59">
        <v>0.53</v>
      </c>
      <c r="K65" s="59">
        <v>139.96</v>
      </c>
      <c r="L65" s="59">
        <v>28.75</v>
      </c>
      <c r="M65" s="59">
        <v>16</v>
      </c>
      <c r="N65" s="59">
        <v>330.5</v>
      </c>
      <c r="O65" s="59">
        <v>0</v>
      </c>
      <c r="P65" s="59">
        <v>0.5</v>
      </c>
      <c r="Q65" s="59">
        <v>29.79</v>
      </c>
      <c r="R65" s="197"/>
      <c r="S65" s="197"/>
      <c r="T65" s="197"/>
      <c r="U65" s="197"/>
    </row>
    <row r="66" spans="1:21" s="12" customFormat="1" x14ac:dyDescent="0.25">
      <c r="A66" s="200" t="s">
        <v>2993</v>
      </c>
      <c r="B66" s="59">
        <v>6.82</v>
      </c>
      <c r="C66" s="59">
        <v>72.349999999999994</v>
      </c>
      <c r="D66" s="59">
        <v>45.4</v>
      </c>
      <c r="E66" s="59">
        <v>5.03</v>
      </c>
      <c r="F66" s="59">
        <v>1.26</v>
      </c>
      <c r="G66" s="59">
        <v>39.85</v>
      </c>
      <c r="H66" s="59">
        <v>24.19</v>
      </c>
      <c r="I66" s="59">
        <v>0.14000000000000001</v>
      </c>
      <c r="J66" s="59">
        <v>0.7</v>
      </c>
      <c r="K66" s="59">
        <v>110.06</v>
      </c>
      <c r="L66" s="59">
        <v>28.6</v>
      </c>
      <c r="M66" s="59">
        <v>17</v>
      </c>
      <c r="N66" s="59">
        <v>237.4</v>
      </c>
      <c r="O66" s="59">
        <v>0</v>
      </c>
      <c r="P66" s="59">
        <v>0.5</v>
      </c>
      <c r="Q66" s="59">
        <v>30.93</v>
      </c>
      <c r="R66" s="197"/>
      <c r="S66" s="197"/>
      <c r="T66" s="197"/>
      <c r="U66" s="197"/>
    </row>
    <row r="67" spans="1:21" s="12" customFormat="1" x14ac:dyDescent="0.25">
      <c r="A67" s="200" t="s">
        <v>2994</v>
      </c>
      <c r="B67" s="59">
        <v>5.63</v>
      </c>
      <c r="C67" s="59">
        <v>70.78</v>
      </c>
      <c r="D67" s="59">
        <v>43.57</v>
      </c>
      <c r="E67" s="59">
        <v>8.0500000000000007</v>
      </c>
      <c r="F67" s="59">
        <v>5.49</v>
      </c>
      <c r="G67" s="59">
        <v>39.85</v>
      </c>
      <c r="H67" s="59">
        <v>24.19</v>
      </c>
      <c r="I67" s="59">
        <v>0.14000000000000001</v>
      </c>
      <c r="J67" s="59">
        <v>1.02</v>
      </c>
      <c r="K67" s="59">
        <v>108.88</v>
      </c>
      <c r="L67" s="59">
        <v>27.76</v>
      </c>
      <c r="M67" s="59">
        <v>17</v>
      </c>
      <c r="N67" s="59">
        <v>165.5</v>
      </c>
      <c r="O67" s="59">
        <v>0</v>
      </c>
      <c r="P67" s="59">
        <v>0.48</v>
      </c>
      <c r="Q67" s="59">
        <v>29.76</v>
      </c>
      <c r="R67" s="197"/>
      <c r="S67" s="197"/>
      <c r="T67" s="197"/>
      <c r="U67" s="197"/>
    </row>
    <row r="68" spans="1:21" s="12" customFormat="1" x14ac:dyDescent="0.25">
      <c r="A68" s="200" t="s">
        <v>2995</v>
      </c>
      <c r="B68" s="59">
        <v>5.69</v>
      </c>
      <c r="C68" s="59">
        <v>71.86</v>
      </c>
      <c r="D68" s="59">
        <v>44.22</v>
      </c>
      <c r="E68" s="59">
        <v>6.67</v>
      </c>
      <c r="F68" s="59">
        <v>5.07</v>
      </c>
      <c r="G68" s="59">
        <v>31.79</v>
      </c>
      <c r="H68" s="59">
        <v>21.39</v>
      </c>
      <c r="I68" s="59">
        <v>0.14000000000000001</v>
      </c>
      <c r="J68" s="59">
        <v>0.87</v>
      </c>
      <c r="K68" s="59">
        <v>93.82</v>
      </c>
      <c r="L68" s="59">
        <v>28.04</v>
      </c>
      <c r="M68" s="59">
        <v>17</v>
      </c>
      <c r="N68" s="59">
        <v>223.4</v>
      </c>
      <c r="O68" s="59">
        <v>0</v>
      </c>
      <c r="P68" s="59">
        <v>0.49</v>
      </c>
      <c r="Q68" s="59">
        <v>26.78</v>
      </c>
      <c r="R68" s="197"/>
      <c r="S68" s="197"/>
      <c r="T68" s="197"/>
      <c r="U68" s="197"/>
    </row>
    <row r="69" spans="1:21" s="12" customFormat="1" x14ac:dyDescent="0.25">
      <c r="A69" s="200" t="s">
        <v>2996</v>
      </c>
      <c r="B69" s="59">
        <v>4.8899999999999997</v>
      </c>
      <c r="C69" s="59">
        <v>68.3</v>
      </c>
      <c r="D69" s="59">
        <v>41.62</v>
      </c>
      <c r="E69" s="59">
        <v>6.07</v>
      </c>
      <c r="F69" s="59">
        <v>4.72</v>
      </c>
      <c r="G69" s="59">
        <v>31.79</v>
      </c>
      <c r="H69" s="59">
        <v>20.59</v>
      </c>
      <c r="I69" s="59">
        <v>0.12</v>
      </c>
      <c r="J69" s="59">
        <v>0.57999999999999996</v>
      </c>
      <c r="K69" s="59">
        <v>133.33000000000001</v>
      </c>
      <c r="L69" s="59">
        <v>27.75</v>
      </c>
      <c r="M69" s="59">
        <v>17</v>
      </c>
      <c r="N69" s="59">
        <v>225.2</v>
      </c>
      <c r="O69" s="59">
        <v>0</v>
      </c>
      <c r="P69" s="59">
        <v>0.47</v>
      </c>
      <c r="Q69" s="59">
        <v>26.66</v>
      </c>
      <c r="R69" s="197"/>
      <c r="S69" s="197"/>
      <c r="T69" s="197"/>
      <c r="U69" s="197"/>
    </row>
    <row r="70" spans="1:21" s="12" customFormat="1" x14ac:dyDescent="0.25">
      <c r="A70" s="200" t="s">
        <v>2997</v>
      </c>
      <c r="B70" s="59">
        <v>4.2</v>
      </c>
      <c r="C70" s="59">
        <v>66.27</v>
      </c>
      <c r="D70" s="59">
        <v>39.94</v>
      </c>
      <c r="E70" s="59">
        <v>8.6300000000000008</v>
      </c>
      <c r="F70" s="59">
        <v>11.97</v>
      </c>
      <c r="G70" s="59">
        <v>31.79</v>
      </c>
      <c r="H70" s="59">
        <v>20.59</v>
      </c>
      <c r="I70" s="59">
        <v>0.13</v>
      </c>
      <c r="J70" s="59">
        <v>0.57999999999999996</v>
      </c>
      <c r="K70" s="59">
        <v>107.22</v>
      </c>
      <c r="L70" s="59">
        <v>27.59</v>
      </c>
      <c r="M70" s="59">
        <v>17</v>
      </c>
      <c r="N70" s="59">
        <v>168</v>
      </c>
      <c r="O70" s="59">
        <v>0</v>
      </c>
      <c r="P70" s="59">
        <v>0.49</v>
      </c>
      <c r="Q70" s="59">
        <v>27.78</v>
      </c>
      <c r="R70" s="197"/>
      <c r="S70" s="197"/>
      <c r="T70" s="197"/>
      <c r="U70" s="197"/>
    </row>
    <row r="71" spans="1:21" s="12" customFormat="1" x14ac:dyDescent="0.25">
      <c r="A71" s="200" t="s">
        <v>2998</v>
      </c>
      <c r="B71" s="59">
        <v>3.49</v>
      </c>
      <c r="C71" s="59">
        <v>63.32</v>
      </c>
      <c r="D71" s="59">
        <v>37.74</v>
      </c>
      <c r="E71" s="59">
        <v>11.28</v>
      </c>
      <c r="F71" s="59">
        <v>7.2</v>
      </c>
      <c r="G71" s="59">
        <v>31.79</v>
      </c>
      <c r="H71" s="59">
        <v>20.59</v>
      </c>
      <c r="I71" s="59">
        <v>0.13</v>
      </c>
      <c r="J71" s="59">
        <v>0.56999999999999995</v>
      </c>
      <c r="K71" s="59">
        <v>101.33</v>
      </c>
      <c r="L71" s="59">
        <v>27.32</v>
      </c>
      <c r="M71" s="59">
        <v>18</v>
      </c>
      <c r="N71" s="59">
        <v>159.6</v>
      </c>
      <c r="O71" s="59">
        <v>0</v>
      </c>
      <c r="P71" s="59">
        <v>0.53</v>
      </c>
      <c r="Q71" s="59">
        <v>27.81</v>
      </c>
      <c r="R71" s="197"/>
      <c r="S71" s="197"/>
      <c r="T71" s="197"/>
      <c r="U71" s="197"/>
    </row>
    <row r="72" spans="1:21" s="12" customFormat="1" x14ac:dyDescent="0.25">
      <c r="A72" s="200" t="s">
        <v>2999</v>
      </c>
      <c r="B72" s="59">
        <v>5.14</v>
      </c>
      <c r="C72" s="59">
        <v>67.81</v>
      </c>
      <c r="D72" s="59">
        <v>41.55</v>
      </c>
      <c r="E72" s="59">
        <v>8.4</v>
      </c>
      <c r="F72" s="59">
        <v>6.72</v>
      </c>
      <c r="G72" s="59">
        <v>28.95</v>
      </c>
      <c r="H72" s="59">
        <v>21.34</v>
      </c>
      <c r="I72" s="59">
        <v>0.13</v>
      </c>
      <c r="J72" s="59">
        <v>0.56999999999999995</v>
      </c>
      <c r="K72" s="59">
        <v>109.96</v>
      </c>
      <c r="L72" s="59">
        <v>26.93</v>
      </c>
      <c r="M72" s="59">
        <v>19</v>
      </c>
      <c r="N72" s="59">
        <v>112.4</v>
      </c>
      <c r="O72" s="59">
        <v>0</v>
      </c>
      <c r="P72" s="59">
        <v>0.53</v>
      </c>
      <c r="Q72" s="59">
        <v>27.77</v>
      </c>
      <c r="R72" s="197"/>
      <c r="S72" s="197"/>
      <c r="T72" s="197"/>
      <c r="U72" s="197"/>
    </row>
    <row r="73" spans="1:21" s="12" customFormat="1" x14ac:dyDescent="0.25">
      <c r="A73" s="200" t="s">
        <v>3000</v>
      </c>
      <c r="B73" s="59">
        <v>5.12</v>
      </c>
      <c r="C73" s="59">
        <v>66.28</v>
      </c>
      <c r="D73" s="59">
        <v>40.69</v>
      </c>
      <c r="E73" s="59">
        <v>10.02</v>
      </c>
      <c r="F73" s="59">
        <v>6.32</v>
      </c>
      <c r="G73" s="59">
        <v>28.95</v>
      </c>
      <c r="H73" s="59">
        <v>21.56</v>
      </c>
      <c r="I73" s="59">
        <v>0.13</v>
      </c>
      <c r="J73" s="59">
        <v>0.61</v>
      </c>
      <c r="K73" s="59">
        <v>11.03</v>
      </c>
      <c r="L73" s="59">
        <v>27.11</v>
      </c>
      <c r="M73" s="59">
        <v>20</v>
      </c>
      <c r="N73" s="59">
        <v>55.1</v>
      </c>
      <c r="O73" s="59">
        <v>0</v>
      </c>
      <c r="P73" s="59">
        <v>0.56000000000000005</v>
      </c>
      <c r="Q73" s="59">
        <v>28.7</v>
      </c>
      <c r="R73" s="197"/>
      <c r="S73" s="197"/>
      <c r="T73" s="197"/>
      <c r="U73" s="197"/>
    </row>
    <row r="74" spans="1:21" s="12" customFormat="1" x14ac:dyDescent="0.25">
      <c r="A74" s="200" t="s">
        <v>3001</v>
      </c>
      <c r="B74" s="59">
        <v>7.37</v>
      </c>
      <c r="C74" s="59">
        <v>71.44</v>
      </c>
      <c r="D74" s="59">
        <v>45.34</v>
      </c>
      <c r="E74" s="59">
        <v>8.31</v>
      </c>
      <c r="F74" s="59">
        <v>3.1</v>
      </c>
      <c r="G74" s="59">
        <v>28.95</v>
      </c>
      <c r="H74" s="59">
        <v>21.56</v>
      </c>
      <c r="I74" s="59">
        <v>0.14000000000000001</v>
      </c>
      <c r="J74" s="59">
        <v>0.34</v>
      </c>
      <c r="K74" s="59">
        <v>25.68</v>
      </c>
      <c r="L74" s="59">
        <v>26.8</v>
      </c>
      <c r="M74" s="59">
        <v>20</v>
      </c>
      <c r="N74" s="59">
        <v>47.2</v>
      </c>
      <c r="O74" s="59">
        <v>0</v>
      </c>
      <c r="P74" s="59">
        <v>0.59</v>
      </c>
      <c r="Q74" s="59">
        <v>29.86</v>
      </c>
      <c r="R74" s="197"/>
      <c r="S74" s="197"/>
      <c r="T74" s="197"/>
      <c r="U74" s="197"/>
    </row>
    <row r="75" spans="1:21" s="12" customFormat="1" x14ac:dyDescent="0.25">
      <c r="A75" s="200" t="s">
        <v>3002</v>
      </c>
      <c r="B75" s="59">
        <v>5.66</v>
      </c>
      <c r="C75" s="59">
        <v>69.540000000000006</v>
      </c>
      <c r="D75" s="59">
        <v>42.92</v>
      </c>
      <c r="E75" s="59">
        <v>6.46</v>
      </c>
      <c r="F75" s="59">
        <v>2.9</v>
      </c>
      <c r="G75" s="59">
        <v>28.95</v>
      </c>
      <c r="H75" s="59">
        <v>21.56</v>
      </c>
      <c r="I75" s="59">
        <v>0.15</v>
      </c>
      <c r="J75" s="59">
        <v>0.47</v>
      </c>
      <c r="K75" s="59">
        <v>105.59</v>
      </c>
      <c r="L75" s="59">
        <v>26.28</v>
      </c>
      <c r="M75" s="59">
        <v>21</v>
      </c>
      <c r="N75" s="59">
        <v>41.6</v>
      </c>
      <c r="O75" s="59">
        <v>0</v>
      </c>
      <c r="P75" s="59">
        <v>0.61</v>
      </c>
      <c r="Q75" s="59">
        <v>31.22</v>
      </c>
      <c r="R75" s="197"/>
      <c r="S75" s="197"/>
      <c r="T75" s="197"/>
      <c r="U75" s="197"/>
    </row>
    <row r="76" spans="1:21" s="12" customFormat="1" x14ac:dyDescent="0.25">
      <c r="A76" s="200" t="s">
        <v>3003</v>
      </c>
      <c r="B76" s="59">
        <v>4.08</v>
      </c>
      <c r="C76" s="59">
        <v>72.040000000000006</v>
      </c>
      <c r="D76" s="59">
        <v>43.03</v>
      </c>
      <c r="E76" s="59">
        <v>6.36</v>
      </c>
      <c r="F76" s="59">
        <v>3.32</v>
      </c>
      <c r="G76" s="59">
        <v>35.56</v>
      </c>
      <c r="H76" s="59">
        <v>23.42</v>
      </c>
      <c r="I76" s="59">
        <v>0.16</v>
      </c>
      <c r="J76" s="59">
        <v>0.46</v>
      </c>
      <c r="K76" s="59">
        <v>100.26</v>
      </c>
      <c r="L76" s="59">
        <v>25.84</v>
      </c>
      <c r="M76" s="59">
        <v>22</v>
      </c>
      <c r="N76" s="59">
        <v>36.1</v>
      </c>
      <c r="O76" s="59">
        <v>0</v>
      </c>
      <c r="P76" s="59">
        <v>0.61</v>
      </c>
      <c r="Q76" s="59">
        <v>31.57</v>
      </c>
      <c r="R76" s="197"/>
      <c r="S76" s="197"/>
      <c r="T76" s="197"/>
      <c r="U76" s="197"/>
    </row>
    <row r="77" spans="1:21" s="12" customFormat="1" x14ac:dyDescent="0.25">
      <c r="A77" s="200" t="s">
        <v>3004</v>
      </c>
      <c r="B77" s="59">
        <v>4.4400000000000004</v>
      </c>
      <c r="C77" s="59">
        <v>78.069999999999993</v>
      </c>
      <c r="D77" s="59">
        <v>46.64</v>
      </c>
      <c r="E77" s="59">
        <v>5.58</v>
      </c>
      <c r="F77" s="59">
        <v>2.0099999999999998</v>
      </c>
      <c r="G77" s="59">
        <v>35.56</v>
      </c>
      <c r="H77" s="59">
        <v>23.95</v>
      </c>
      <c r="I77" s="59">
        <v>0.16</v>
      </c>
      <c r="J77" s="59">
        <v>0.3</v>
      </c>
      <c r="K77" s="59">
        <v>81.099999999999994</v>
      </c>
      <c r="L77" s="59">
        <v>25.3</v>
      </c>
      <c r="M77" s="59">
        <v>25</v>
      </c>
      <c r="N77" s="59">
        <v>30.5</v>
      </c>
      <c r="O77" s="59">
        <v>0</v>
      </c>
      <c r="P77" s="59">
        <v>0.68</v>
      </c>
      <c r="Q77" s="59">
        <v>30.62</v>
      </c>
      <c r="R77" s="197"/>
      <c r="S77" s="197"/>
      <c r="T77" s="197"/>
      <c r="U77" s="197"/>
    </row>
    <row r="78" spans="1:21" s="12" customFormat="1" x14ac:dyDescent="0.25">
      <c r="A78" s="200" t="s">
        <v>3005</v>
      </c>
      <c r="B78" s="59">
        <v>5.24</v>
      </c>
      <c r="C78" s="59">
        <v>81.22</v>
      </c>
      <c r="D78" s="59">
        <v>49.03</v>
      </c>
      <c r="E78" s="59">
        <v>4.8099999999999996</v>
      </c>
      <c r="F78" s="59">
        <v>0.47</v>
      </c>
      <c r="G78" s="59">
        <v>35.56</v>
      </c>
      <c r="H78" s="59">
        <v>23.95</v>
      </c>
      <c r="I78" s="59">
        <v>0.17</v>
      </c>
      <c r="J78" s="59">
        <v>0.33</v>
      </c>
      <c r="K78" s="59">
        <v>84.78</v>
      </c>
      <c r="L78" s="59">
        <v>24.71</v>
      </c>
      <c r="M78" s="59">
        <v>27</v>
      </c>
      <c r="N78" s="59">
        <v>26.3</v>
      </c>
      <c r="O78" s="59">
        <v>0</v>
      </c>
      <c r="P78" s="59">
        <v>0.74</v>
      </c>
      <c r="Q78" s="59">
        <v>31.03</v>
      </c>
      <c r="R78" s="197"/>
      <c r="S78" s="197"/>
      <c r="T78" s="197"/>
      <c r="U78" s="197"/>
    </row>
    <row r="79" spans="1:21" s="12" customFormat="1" x14ac:dyDescent="0.25">
      <c r="A79" s="200" t="s">
        <v>3006</v>
      </c>
      <c r="B79" s="59">
        <v>6.36</v>
      </c>
      <c r="C79" s="59">
        <v>85.79</v>
      </c>
      <c r="D79" s="59">
        <v>52.45</v>
      </c>
      <c r="E79" s="59">
        <v>4.0199999999999996</v>
      </c>
      <c r="F79" s="59">
        <v>0.09</v>
      </c>
      <c r="G79" s="59">
        <v>35.56</v>
      </c>
      <c r="H79" s="59">
        <v>23.95</v>
      </c>
      <c r="I79" s="59">
        <v>0.2</v>
      </c>
      <c r="J79" s="59">
        <v>0.25</v>
      </c>
      <c r="K79" s="59">
        <v>87.84</v>
      </c>
      <c r="L79" s="59">
        <v>24.25</v>
      </c>
      <c r="M79" s="59">
        <v>28</v>
      </c>
      <c r="N79" s="59">
        <v>24.4</v>
      </c>
      <c r="O79" s="59">
        <v>0</v>
      </c>
      <c r="P79" s="59">
        <v>0.81</v>
      </c>
      <c r="Q79" s="59">
        <v>32.21</v>
      </c>
      <c r="R79" s="197"/>
      <c r="S79" s="197"/>
      <c r="T79" s="197"/>
      <c r="U79" s="197"/>
    </row>
    <row r="80" spans="1:21" s="12" customFormat="1" x14ac:dyDescent="0.25">
      <c r="A80" s="200" t="s">
        <v>3007</v>
      </c>
      <c r="B80" s="59">
        <v>9</v>
      </c>
      <c r="C80" s="59">
        <v>89.59</v>
      </c>
      <c r="D80" s="59">
        <v>56.66</v>
      </c>
      <c r="E80" s="59">
        <v>3.88</v>
      </c>
      <c r="F80" s="59">
        <v>0.02</v>
      </c>
      <c r="G80" s="59">
        <v>58.47</v>
      </c>
      <c r="H80" s="59">
        <v>28.47</v>
      </c>
      <c r="I80" s="59">
        <v>0.21</v>
      </c>
      <c r="J80" s="59">
        <v>0.01</v>
      </c>
      <c r="K80" s="59">
        <v>236.98</v>
      </c>
      <c r="L80" s="59">
        <v>23.25</v>
      </c>
      <c r="M80" s="59">
        <v>31</v>
      </c>
      <c r="N80" s="59">
        <v>24.6</v>
      </c>
      <c r="O80" s="59">
        <v>0</v>
      </c>
      <c r="P80" s="59">
        <v>0.92</v>
      </c>
      <c r="Q80" s="59">
        <v>32.83</v>
      </c>
      <c r="R80" s="197"/>
      <c r="S80" s="197"/>
      <c r="T80" s="197"/>
      <c r="U80" s="197"/>
    </row>
    <row r="81" spans="1:26" s="12" customFormat="1" x14ac:dyDescent="0.25">
      <c r="A81" s="200" t="s">
        <v>3008</v>
      </c>
      <c r="B81" s="59">
        <v>16.21</v>
      </c>
      <c r="C81" s="59">
        <v>97.21</v>
      </c>
      <c r="D81" s="59">
        <v>66.650000000000006</v>
      </c>
      <c r="E81" s="59">
        <v>4.18</v>
      </c>
      <c r="F81" s="59">
        <v>0.18</v>
      </c>
      <c r="G81" s="59">
        <v>58.47</v>
      </c>
      <c r="H81" s="59">
        <v>29.76</v>
      </c>
      <c r="I81" s="59">
        <v>0.21</v>
      </c>
      <c r="J81" s="59">
        <v>0.02</v>
      </c>
      <c r="K81" s="59">
        <v>76.150000000000006</v>
      </c>
      <c r="L81" s="59">
        <v>22.01</v>
      </c>
      <c r="M81" s="59">
        <v>35</v>
      </c>
      <c r="N81" s="59">
        <v>24.6</v>
      </c>
      <c r="O81" s="59">
        <v>0</v>
      </c>
      <c r="P81" s="59">
        <v>1.05</v>
      </c>
      <c r="Q81" s="59">
        <v>32.630000000000003</v>
      </c>
      <c r="R81" s="197"/>
      <c r="S81" s="197"/>
      <c r="T81" s="197"/>
      <c r="U81" s="197"/>
    </row>
    <row r="82" spans="1:26" s="12" customFormat="1" x14ac:dyDescent="0.25">
      <c r="A82" s="200" t="s">
        <v>3009</v>
      </c>
      <c r="B82" s="59">
        <v>18.59</v>
      </c>
      <c r="C82" s="59">
        <v>99.43</v>
      </c>
      <c r="D82" s="59">
        <v>69.78</v>
      </c>
      <c r="E82" s="59">
        <v>4.38</v>
      </c>
      <c r="F82" s="59">
        <v>0.08</v>
      </c>
      <c r="G82" s="59">
        <v>58.47</v>
      </c>
      <c r="H82" s="59">
        <v>29.76</v>
      </c>
      <c r="I82" s="59">
        <v>0.24</v>
      </c>
      <c r="J82" s="59">
        <v>0.16</v>
      </c>
      <c r="K82" s="59">
        <v>72.22</v>
      </c>
      <c r="L82" s="59">
        <v>21.77</v>
      </c>
      <c r="M82" s="59">
        <v>36</v>
      </c>
      <c r="N82" s="59">
        <v>23.8</v>
      </c>
      <c r="O82" s="59">
        <v>0</v>
      </c>
      <c r="P82" s="59">
        <v>1.1100000000000001</v>
      </c>
      <c r="Q82" s="59">
        <v>32.39</v>
      </c>
      <c r="R82" s="197"/>
      <c r="S82" s="197"/>
      <c r="T82" s="197"/>
      <c r="U82" s="197"/>
    </row>
    <row r="83" spans="1:26" s="12" customFormat="1" x14ac:dyDescent="0.25">
      <c r="A83" s="200" t="s">
        <v>3010</v>
      </c>
      <c r="B83" s="59">
        <v>20.440000000000001</v>
      </c>
      <c r="C83" s="59">
        <v>101.64</v>
      </c>
      <c r="D83" s="59">
        <v>72.48</v>
      </c>
      <c r="E83" s="59">
        <v>4.05</v>
      </c>
      <c r="F83" s="59">
        <v>0.11</v>
      </c>
      <c r="G83" s="59">
        <v>58.47</v>
      </c>
      <c r="H83" s="59">
        <v>29.76</v>
      </c>
      <c r="I83" s="59">
        <v>0.28000000000000003</v>
      </c>
      <c r="J83" s="59">
        <v>0.11</v>
      </c>
      <c r="K83" s="59">
        <v>76.790000000000006</v>
      </c>
      <c r="L83" s="59">
        <v>21.67</v>
      </c>
      <c r="M83" s="59">
        <v>37</v>
      </c>
      <c r="N83" s="59">
        <v>24.1</v>
      </c>
      <c r="O83" s="59">
        <v>0</v>
      </c>
      <c r="P83" s="59">
        <v>1.19</v>
      </c>
      <c r="Q83" s="59">
        <v>32.78</v>
      </c>
      <c r="R83" s="197"/>
      <c r="S83" s="197"/>
      <c r="T83" s="197"/>
      <c r="U83" s="197"/>
    </row>
    <row r="84" spans="1:26" s="12" customFormat="1" x14ac:dyDescent="0.25">
      <c r="A84" s="200" t="s">
        <v>3011</v>
      </c>
      <c r="B84" s="59">
        <v>21.69</v>
      </c>
      <c r="C84" s="59">
        <v>100.65</v>
      </c>
      <c r="D84" s="59">
        <v>72.94</v>
      </c>
      <c r="E84" s="59">
        <v>4.16</v>
      </c>
      <c r="F84" s="59">
        <v>0.28999999999999998</v>
      </c>
      <c r="G84" s="59">
        <v>80.73</v>
      </c>
      <c r="H84" s="59">
        <v>38.08</v>
      </c>
      <c r="I84" s="59">
        <v>0.32</v>
      </c>
      <c r="J84" s="59">
        <v>0.03</v>
      </c>
      <c r="K84" s="59">
        <v>89.93</v>
      </c>
      <c r="L84" s="59">
        <v>21.22</v>
      </c>
      <c r="M84" s="59">
        <v>40</v>
      </c>
      <c r="N84" s="59">
        <v>24.1</v>
      </c>
      <c r="O84" s="59">
        <v>0</v>
      </c>
      <c r="P84" s="59">
        <v>1.26</v>
      </c>
      <c r="Q84" s="59">
        <v>32.96</v>
      </c>
      <c r="R84" s="197"/>
      <c r="S84" s="197"/>
      <c r="T84" s="197"/>
      <c r="U84" s="197"/>
    </row>
    <row r="85" spans="1:26" s="12" customFormat="1" x14ac:dyDescent="0.25">
      <c r="A85" s="200" t="s">
        <v>3012</v>
      </c>
      <c r="B85" s="59">
        <v>23.61</v>
      </c>
      <c r="C85" s="59">
        <v>98.65</v>
      </c>
      <c r="D85" s="59">
        <v>73.37</v>
      </c>
      <c r="E85" s="59">
        <v>4.41</v>
      </c>
      <c r="F85" s="59">
        <v>0.15</v>
      </c>
      <c r="G85" s="59">
        <v>80.73</v>
      </c>
      <c r="H85" s="59">
        <v>40.450000000000003</v>
      </c>
      <c r="I85" s="59">
        <v>0.35</v>
      </c>
      <c r="J85" s="59">
        <v>0.05</v>
      </c>
      <c r="K85" s="59">
        <v>35.479999999999997</v>
      </c>
      <c r="L85" s="59">
        <v>20.91</v>
      </c>
      <c r="M85" s="59">
        <v>45</v>
      </c>
      <c r="N85" s="59">
        <v>24</v>
      </c>
      <c r="O85" s="59">
        <v>0</v>
      </c>
      <c r="P85" s="59">
        <v>1.1299999999999999</v>
      </c>
      <c r="Q85" s="59">
        <v>33.56</v>
      </c>
      <c r="R85" s="197"/>
      <c r="S85" s="197"/>
      <c r="T85" s="197"/>
      <c r="U85" s="197"/>
    </row>
    <row r="86" spans="1:26" s="12" customFormat="1" x14ac:dyDescent="0.25">
      <c r="A86" s="200" t="s">
        <v>3013</v>
      </c>
      <c r="B86" s="59">
        <v>33.81</v>
      </c>
      <c r="C86" s="59">
        <v>100.67</v>
      </c>
      <c r="D86" s="59">
        <v>82.67</v>
      </c>
      <c r="E86" s="59">
        <v>4.29</v>
      </c>
      <c r="F86" s="59">
        <v>0.09</v>
      </c>
      <c r="G86" s="59">
        <v>80.73</v>
      </c>
      <c r="H86" s="59">
        <v>40.450000000000003</v>
      </c>
      <c r="I86" s="59">
        <v>0.41</v>
      </c>
      <c r="J86" s="59">
        <v>0.09</v>
      </c>
      <c r="K86" s="59">
        <v>29.32</v>
      </c>
      <c r="L86" s="59">
        <v>20.25</v>
      </c>
      <c r="M86" s="59">
        <v>51</v>
      </c>
      <c r="N86" s="59">
        <v>24.4</v>
      </c>
      <c r="O86" s="59">
        <v>0</v>
      </c>
      <c r="P86" s="59">
        <v>1.4</v>
      </c>
      <c r="Q86" s="59">
        <v>34.340000000000003</v>
      </c>
      <c r="R86" s="197"/>
      <c r="S86" s="197"/>
      <c r="T86" s="197"/>
      <c r="U86" s="197"/>
    </row>
    <row r="87" spans="1:26" s="12" customFormat="1" x14ac:dyDescent="0.25">
      <c r="A87" s="200" t="s">
        <v>3014</v>
      </c>
      <c r="B87" s="59">
        <v>40.159999999999997</v>
      </c>
      <c r="C87" s="59">
        <v>105.08</v>
      </c>
      <c r="D87" s="59">
        <v>90.2</v>
      </c>
      <c r="E87" s="59">
        <v>4.29</v>
      </c>
      <c r="F87" s="59">
        <v>0.04</v>
      </c>
      <c r="G87" s="59">
        <v>80.73</v>
      </c>
      <c r="H87" s="59">
        <v>40.450000000000003</v>
      </c>
      <c r="I87" s="59">
        <v>0.47</v>
      </c>
      <c r="J87" s="59">
        <v>0.04</v>
      </c>
      <c r="K87" s="59">
        <v>120.11</v>
      </c>
      <c r="L87" s="59">
        <v>19.739999999999998</v>
      </c>
      <c r="M87" s="59">
        <v>51</v>
      </c>
      <c r="N87" s="59">
        <v>24.4</v>
      </c>
      <c r="O87" s="59">
        <v>0</v>
      </c>
      <c r="P87" s="59">
        <v>1.56</v>
      </c>
      <c r="Q87" s="59">
        <v>35.49</v>
      </c>
      <c r="R87" s="197"/>
      <c r="S87" s="197"/>
      <c r="T87" s="197"/>
      <c r="U87" s="197"/>
    </row>
    <row r="88" spans="1:26" s="12" customFormat="1" x14ac:dyDescent="0.25">
      <c r="A88" s="200" t="s">
        <v>3015</v>
      </c>
      <c r="B88" s="59">
        <v>44.55</v>
      </c>
      <c r="C88" s="59">
        <v>107.7</v>
      </c>
      <c r="D88" s="59">
        <v>95.16</v>
      </c>
      <c r="E88" s="59">
        <v>1.81</v>
      </c>
      <c r="F88" s="59">
        <v>0.12</v>
      </c>
      <c r="G88" s="59">
        <v>155.12</v>
      </c>
      <c r="H88" s="59">
        <v>48.72</v>
      </c>
      <c r="I88" s="59">
        <v>0.49</v>
      </c>
      <c r="J88" s="59">
        <v>0.06</v>
      </c>
      <c r="K88" s="59">
        <v>94.77</v>
      </c>
      <c r="L88" s="59">
        <v>19.829999999999998</v>
      </c>
      <c r="M88" s="59">
        <v>44</v>
      </c>
      <c r="N88" s="59">
        <v>24.2</v>
      </c>
      <c r="O88" s="59">
        <v>0</v>
      </c>
      <c r="P88" s="59">
        <v>1.68</v>
      </c>
      <c r="Q88" s="59">
        <v>36.64</v>
      </c>
      <c r="R88" s="197"/>
      <c r="S88" s="197"/>
      <c r="T88" s="197"/>
      <c r="U88" s="197"/>
    </row>
    <row r="89" spans="1:26" s="12" customFormat="1" x14ac:dyDescent="0.25">
      <c r="A89" s="200" t="s">
        <v>3016</v>
      </c>
      <c r="B89" s="59">
        <v>45.85</v>
      </c>
      <c r="C89" s="59">
        <v>107.84</v>
      </c>
      <c r="D89" s="59">
        <v>96.28</v>
      </c>
      <c r="E89" s="59">
        <v>3.51</v>
      </c>
      <c r="F89" s="59">
        <v>0.2</v>
      </c>
      <c r="G89" s="59">
        <v>155.12</v>
      </c>
      <c r="H89" s="59">
        <v>51.08</v>
      </c>
      <c r="I89" s="59">
        <v>0.59</v>
      </c>
      <c r="J89" s="59">
        <v>0.08</v>
      </c>
      <c r="K89" s="59">
        <v>278.11</v>
      </c>
      <c r="L89" s="59">
        <v>19.87</v>
      </c>
      <c r="M89" s="59">
        <v>44</v>
      </c>
      <c r="N89" s="59">
        <v>24.1</v>
      </c>
      <c r="O89" s="59">
        <v>0</v>
      </c>
      <c r="P89" s="59">
        <v>1.78</v>
      </c>
      <c r="Q89" s="59">
        <v>38.590000000000003</v>
      </c>
      <c r="R89" s="197"/>
      <c r="S89" s="197"/>
      <c r="T89" s="197"/>
      <c r="U89" s="197"/>
    </row>
    <row r="90" spans="1:26" s="12" customFormat="1" x14ac:dyDescent="0.25">
      <c r="A90" s="200" t="s">
        <v>3017</v>
      </c>
      <c r="B90" s="59">
        <v>49.58</v>
      </c>
      <c r="C90" s="59">
        <v>110.12</v>
      </c>
      <c r="D90" s="59">
        <v>100.53</v>
      </c>
      <c r="E90" s="59">
        <v>3.61</v>
      </c>
      <c r="F90" s="59">
        <v>3.85</v>
      </c>
      <c r="G90" s="59">
        <v>155.12</v>
      </c>
      <c r="H90" s="59">
        <v>51.08</v>
      </c>
      <c r="I90" s="59">
        <v>0.67</v>
      </c>
      <c r="J90" s="59">
        <v>0.05</v>
      </c>
      <c r="K90" s="59">
        <v>309.56</v>
      </c>
      <c r="L90" s="59">
        <v>19.89</v>
      </c>
      <c r="M90" s="59">
        <v>46</v>
      </c>
      <c r="N90" s="59">
        <v>24.2</v>
      </c>
      <c r="O90" s="59">
        <v>0</v>
      </c>
      <c r="P90" s="59">
        <v>1.9</v>
      </c>
      <c r="Q90" s="59">
        <v>39.53</v>
      </c>
      <c r="R90" s="197"/>
      <c r="S90" s="197"/>
      <c r="T90" s="197"/>
      <c r="U90" s="197"/>
    </row>
    <row r="91" spans="1:26" s="12" customFormat="1" x14ac:dyDescent="0.25">
      <c r="A91" s="200" t="s">
        <v>3018</v>
      </c>
      <c r="B91" s="59">
        <v>56.38</v>
      </c>
      <c r="C91" s="59">
        <v>114.52</v>
      </c>
      <c r="D91" s="59">
        <v>108.41</v>
      </c>
      <c r="E91" s="59">
        <v>3.47</v>
      </c>
      <c r="F91" s="59">
        <v>0.24</v>
      </c>
      <c r="G91" s="59">
        <v>155.12</v>
      </c>
      <c r="H91" s="59">
        <v>51.08</v>
      </c>
      <c r="I91" s="59">
        <v>0.69</v>
      </c>
      <c r="J91" s="59">
        <v>0.12</v>
      </c>
      <c r="K91" s="59">
        <v>352.53</v>
      </c>
      <c r="L91" s="59">
        <v>19.62</v>
      </c>
      <c r="M91" s="59">
        <v>51</v>
      </c>
      <c r="N91" s="59">
        <v>24</v>
      </c>
      <c r="O91" s="59">
        <v>0</v>
      </c>
      <c r="P91" s="59">
        <v>2.0499999999999998</v>
      </c>
      <c r="Q91" s="59">
        <v>40.08</v>
      </c>
      <c r="R91" s="197"/>
      <c r="S91" s="197"/>
      <c r="T91" s="197"/>
      <c r="U91" s="197"/>
    </row>
    <row r="92" spans="1:26" s="12" customFormat="1" x14ac:dyDescent="0.25">
      <c r="A92" s="200" t="s">
        <v>3019</v>
      </c>
      <c r="B92" s="59">
        <v>68.13</v>
      </c>
      <c r="C92" s="59">
        <v>121.52</v>
      </c>
      <c r="D92" s="59">
        <v>121.7</v>
      </c>
      <c r="E92" s="59">
        <v>3.94</v>
      </c>
      <c r="F92" s="59">
        <v>0.01</v>
      </c>
      <c r="G92" s="59">
        <v>149.72</v>
      </c>
      <c r="H92" s="59">
        <v>56.1</v>
      </c>
      <c r="I92" s="59">
        <v>0.8</v>
      </c>
      <c r="J92" s="59">
        <v>0.09</v>
      </c>
      <c r="K92" s="59">
        <v>316.94</v>
      </c>
      <c r="L92" s="59">
        <v>19.04</v>
      </c>
      <c r="M92" s="59">
        <v>52</v>
      </c>
      <c r="N92" s="59">
        <v>24.1</v>
      </c>
      <c r="O92" s="59">
        <v>0</v>
      </c>
      <c r="P92" s="59">
        <v>2.29</v>
      </c>
      <c r="Q92" s="59">
        <v>40.6</v>
      </c>
      <c r="R92" s="197"/>
      <c r="S92" s="197"/>
      <c r="T92" s="197"/>
      <c r="U92" s="197"/>
    </row>
    <row r="93" spans="1:26" s="12" customFormat="1" x14ac:dyDescent="0.25">
      <c r="A93" s="200" t="s">
        <v>3020</v>
      </c>
      <c r="B93" s="59">
        <v>82.96</v>
      </c>
      <c r="C93" s="59">
        <v>130.41999999999999</v>
      </c>
      <c r="D93" s="59">
        <v>138.5</v>
      </c>
      <c r="E93" s="59">
        <v>3.92</v>
      </c>
      <c r="F93" s="59">
        <v>0.02</v>
      </c>
      <c r="G93" s="59">
        <v>149.72</v>
      </c>
      <c r="H93" s="59">
        <v>57.53</v>
      </c>
      <c r="I93" s="59">
        <v>0.85</v>
      </c>
      <c r="J93" s="59">
        <v>0.09</v>
      </c>
      <c r="K93" s="59">
        <v>0.96</v>
      </c>
      <c r="L93" s="59">
        <v>18.59</v>
      </c>
      <c r="M93" s="59">
        <v>54</v>
      </c>
      <c r="N93" s="59">
        <v>24.2</v>
      </c>
      <c r="O93" s="59">
        <v>0</v>
      </c>
      <c r="P93" s="59">
        <v>2.54</v>
      </c>
      <c r="Q93" s="59">
        <v>41.75</v>
      </c>
      <c r="R93" s="197"/>
      <c r="S93" s="197"/>
      <c r="T93" s="197"/>
      <c r="U93" s="197"/>
    </row>
    <row r="94" spans="1:26" s="12" customFormat="1" x14ac:dyDescent="0.25">
      <c r="A94" s="200" t="s">
        <v>3021</v>
      </c>
      <c r="B94" s="59">
        <v>99.07</v>
      </c>
      <c r="C94" s="59">
        <v>139.99</v>
      </c>
      <c r="D94" s="59">
        <v>156.69999999999999</v>
      </c>
      <c r="E94" s="59">
        <v>4.67</v>
      </c>
      <c r="F94" s="59">
        <v>0.19</v>
      </c>
      <c r="G94" s="59">
        <v>149.72</v>
      </c>
      <c r="H94" s="59">
        <v>57.53</v>
      </c>
      <c r="I94" s="59">
        <v>0.93</v>
      </c>
      <c r="J94" s="59">
        <v>0.1</v>
      </c>
      <c r="K94" s="59">
        <v>24.47</v>
      </c>
      <c r="L94" s="59">
        <v>18.440000000000001</v>
      </c>
      <c r="M94" s="59">
        <v>57</v>
      </c>
      <c r="N94" s="59">
        <v>24.2</v>
      </c>
      <c r="O94" s="59">
        <v>0</v>
      </c>
      <c r="P94" s="59">
        <v>2.81</v>
      </c>
      <c r="Q94" s="59">
        <v>42.83</v>
      </c>
      <c r="R94" s="197"/>
      <c r="S94" s="197"/>
      <c r="T94" s="197"/>
      <c r="U94" s="197"/>
    </row>
    <row r="95" spans="1:26" s="12" customFormat="1" x14ac:dyDescent="0.25">
      <c r="A95" s="200" t="s">
        <v>3022</v>
      </c>
      <c r="B95" s="59">
        <v>118.95</v>
      </c>
      <c r="C95" s="59">
        <v>150.79</v>
      </c>
      <c r="D95" s="59">
        <v>178.61</v>
      </c>
      <c r="E95" s="59">
        <v>4.13</v>
      </c>
      <c r="F95" s="59">
        <v>7.0000000000000007E-2</v>
      </c>
      <c r="G95" s="59">
        <v>149.72</v>
      </c>
      <c r="H95" s="59">
        <v>57.53</v>
      </c>
      <c r="I95" s="59">
        <v>1.02</v>
      </c>
      <c r="J95" s="59">
        <v>0.1</v>
      </c>
      <c r="K95" s="59">
        <v>342.43</v>
      </c>
      <c r="L95" s="59">
        <v>18.16</v>
      </c>
      <c r="M95" s="59">
        <v>58</v>
      </c>
      <c r="N95" s="59">
        <v>24.1</v>
      </c>
      <c r="O95" s="59">
        <v>0</v>
      </c>
      <c r="P95" s="59">
        <v>3.11</v>
      </c>
      <c r="Q95" s="59">
        <v>43.62</v>
      </c>
      <c r="R95" s="197"/>
      <c r="S95" s="197"/>
      <c r="T95" s="197"/>
      <c r="U95" s="197"/>
    </row>
    <row r="96" spans="1:26" s="12" customFormat="1" x14ac:dyDescent="0.25">
      <c r="A96" s="200" t="s">
        <v>3023</v>
      </c>
      <c r="B96" s="59">
        <v>128.46</v>
      </c>
      <c r="C96" s="59">
        <v>156.97999999999999</v>
      </c>
      <c r="D96" s="59">
        <v>189.65</v>
      </c>
      <c r="E96" s="59">
        <v>4.42</v>
      </c>
      <c r="F96" s="59">
        <v>0.03</v>
      </c>
      <c r="G96" s="59">
        <v>216.07</v>
      </c>
      <c r="H96" s="59">
        <v>66.73</v>
      </c>
      <c r="I96" s="59">
        <v>1.1200000000000001</v>
      </c>
      <c r="J96" s="59">
        <v>0.11</v>
      </c>
      <c r="K96" s="59">
        <v>306.5</v>
      </c>
      <c r="L96" s="59">
        <v>18.18</v>
      </c>
      <c r="M96" s="59">
        <v>55</v>
      </c>
      <c r="N96" s="59">
        <v>24</v>
      </c>
      <c r="O96" s="59">
        <v>0</v>
      </c>
      <c r="P96" s="59">
        <v>3.29</v>
      </c>
      <c r="Q96" s="59">
        <v>43.82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3024</v>
      </c>
      <c r="B97" s="59">
        <v>133.13</v>
      </c>
      <c r="C97" s="59">
        <v>158.91999999999999</v>
      </c>
      <c r="D97" s="59">
        <v>194.46</v>
      </c>
      <c r="E97" s="59">
        <v>4.43</v>
      </c>
      <c r="F97" s="59">
        <v>0.08</v>
      </c>
      <c r="G97" s="59">
        <v>216.07</v>
      </c>
      <c r="H97" s="59">
        <v>69.37</v>
      </c>
      <c r="I97" s="59">
        <v>1.19</v>
      </c>
      <c r="J97" s="59">
        <v>7.0000000000000007E-2</v>
      </c>
      <c r="K97" s="59">
        <v>295.72000000000003</v>
      </c>
      <c r="L97" s="59">
        <v>17.829999999999998</v>
      </c>
      <c r="M97" s="59">
        <v>60</v>
      </c>
      <c r="N97" s="59">
        <v>24.2</v>
      </c>
      <c r="O97" s="59">
        <v>0</v>
      </c>
      <c r="P97" s="59">
        <v>3.37</v>
      </c>
      <c r="Q97" s="59">
        <v>44.1</v>
      </c>
      <c r="R97" s="197"/>
      <c r="S97" s="197"/>
      <c r="T97" s="197"/>
      <c r="U97" s="197"/>
    </row>
    <row r="98" spans="1:33" s="12" customFormat="1" x14ac:dyDescent="0.25">
      <c r="A98" s="200" t="s">
        <v>3025</v>
      </c>
      <c r="B98" s="59">
        <v>140.52000000000001</v>
      </c>
      <c r="C98" s="59">
        <v>160.52000000000001</v>
      </c>
      <c r="D98" s="59">
        <v>201.28</v>
      </c>
      <c r="E98" s="59">
        <v>4.5599999999999996</v>
      </c>
      <c r="F98" s="59">
        <v>0.13</v>
      </c>
      <c r="G98" s="59">
        <v>216.07</v>
      </c>
      <c r="H98" s="59">
        <v>69.37</v>
      </c>
      <c r="I98" s="59">
        <v>1.25</v>
      </c>
      <c r="J98" s="59">
        <v>0.11</v>
      </c>
      <c r="K98" s="59">
        <v>0.49</v>
      </c>
      <c r="L98" s="59">
        <v>17.53</v>
      </c>
      <c r="M98" s="59">
        <v>64</v>
      </c>
      <c r="N98" s="59">
        <v>24.3</v>
      </c>
      <c r="O98" s="59">
        <v>0</v>
      </c>
      <c r="P98" s="59">
        <v>3.48</v>
      </c>
      <c r="Q98" s="59">
        <v>44.76</v>
      </c>
      <c r="R98" s="197"/>
      <c r="S98" s="197"/>
      <c r="T98" s="197"/>
      <c r="U98" s="197"/>
    </row>
    <row r="99" spans="1:33" s="12" customFormat="1" x14ac:dyDescent="0.25">
      <c r="A99" s="200" t="s">
        <v>3026</v>
      </c>
      <c r="B99" s="59">
        <v>150.43</v>
      </c>
      <c r="C99" s="59">
        <v>167.03</v>
      </c>
      <c r="D99" s="59">
        <v>212.82</v>
      </c>
      <c r="E99" s="59">
        <v>4.72</v>
      </c>
      <c r="F99" s="59">
        <v>0.13</v>
      </c>
      <c r="G99" s="59">
        <v>216.07</v>
      </c>
      <c r="H99" s="59">
        <v>69.37</v>
      </c>
      <c r="I99" s="59">
        <v>1.31</v>
      </c>
      <c r="J99" s="59">
        <v>0.11</v>
      </c>
      <c r="K99" s="59">
        <v>330.61</v>
      </c>
      <c r="L99" s="59">
        <v>17.39</v>
      </c>
      <c r="M99" s="59">
        <v>61</v>
      </c>
      <c r="N99" s="59">
        <v>23.9</v>
      </c>
      <c r="O99" s="59">
        <v>0</v>
      </c>
      <c r="P99" s="59">
        <v>3.6</v>
      </c>
      <c r="Q99" s="59">
        <v>45.72</v>
      </c>
      <c r="R99" s="197"/>
      <c r="S99" s="197"/>
      <c r="T99" s="197"/>
      <c r="U99" s="197"/>
    </row>
    <row r="100" spans="1:33" s="12" customFormat="1" x14ac:dyDescent="0.25">
      <c r="A100" s="200" t="s">
        <v>3027</v>
      </c>
      <c r="B100" s="59">
        <v>162.16</v>
      </c>
      <c r="C100" s="59">
        <v>173.11</v>
      </c>
      <c r="D100" s="59">
        <v>225.57</v>
      </c>
      <c r="E100" s="59">
        <v>5.0599999999999996</v>
      </c>
      <c r="F100" s="59">
        <v>0.19</v>
      </c>
      <c r="G100" s="59">
        <v>187.15</v>
      </c>
      <c r="H100" s="59">
        <v>72.38</v>
      </c>
      <c r="I100" s="59">
        <v>1.37</v>
      </c>
      <c r="J100" s="59">
        <v>0.12</v>
      </c>
      <c r="K100" s="59">
        <v>134.93</v>
      </c>
      <c r="L100" s="59">
        <v>17.559999999999999</v>
      </c>
      <c r="M100" s="59">
        <v>61</v>
      </c>
      <c r="N100" s="59">
        <v>23.9</v>
      </c>
      <c r="O100" s="59">
        <v>0</v>
      </c>
      <c r="P100" s="59">
        <v>3.69</v>
      </c>
      <c r="Q100" s="59">
        <v>46.53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3028</v>
      </c>
      <c r="B101" s="59">
        <v>173.72</v>
      </c>
      <c r="C101" s="59">
        <v>177.83</v>
      </c>
      <c r="D101" s="59">
        <v>237.45</v>
      </c>
      <c r="E101" s="59">
        <v>5.37</v>
      </c>
      <c r="F101" s="59">
        <v>0.15</v>
      </c>
      <c r="G101" s="59">
        <v>187.15</v>
      </c>
      <c r="H101" s="59">
        <v>73.239999999999995</v>
      </c>
      <c r="I101" s="59">
        <v>1.43</v>
      </c>
      <c r="J101" s="59">
        <v>0.01</v>
      </c>
      <c r="K101" s="59">
        <v>21.03</v>
      </c>
      <c r="L101" s="59">
        <v>17.350000000000001</v>
      </c>
      <c r="M101" s="59">
        <v>64</v>
      </c>
      <c r="N101" s="59">
        <v>24.4</v>
      </c>
      <c r="O101" s="59">
        <v>0</v>
      </c>
      <c r="P101" s="59">
        <v>3.76</v>
      </c>
      <c r="Q101" s="59">
        <v>47.71</v>
      </c>
      <c r="R101" s="197"/>
      <c r="S101" s="197"/>
      <c r="T101" s="197"/>
      <c r="U101" s="197"/>
    </row>
    <row r="102" spans="1:33" s="12" customFormat="1" x14ac:dyDescent="0.25">
      <c r="A102" s="200" t="s">
        <v>3029</v>
      </c>
      <c r="B102" s="59">
        <v>185.88</v>
      </c>
      <c r="C102" s="59">
        <v>184.65</v>
      </c>
      <c r="D102" s="59">
        <v>250.96</v>
      </c>
      <c r="E102" s="59">
        <v>5.1100000000000003</v>
      </c>
      <c r="F102" s="59">
        <v>0.14000000000000001</v>
      </c>
      <c r="G102" s="59">
        <v>187.15</v>
      </c>
      <c r="H102" s="59">
        <v>73.239999999999995</v>
      </c>
      <c r="I102" s="59">
        <v>1.47</v>
      </c>
      <c r="J102" s="59">
        <v>0.11</v>
      </c>
      <c r="K102" s="59">
        <v>318.31</v>
      </c>
      <c r="L102" s="59">
        <v>17.27</v>
      </c>
      <c r="M102" s="59">
        <v>63</v>
      </c>
      <c r="N102" s="59">
        <v>23.9</v>
      </c>
      <c r="O102" s="59">
        <v>0</v>
      </c>
      <c r="P102" s="59">
        <v>3.83</v>
      </c>
      <c r="Q102" s="59">
        <v>49.35</v>
      </c>
      <c r="R102" s="197"/>
      <c r="S102" s="197"/>
      <c r="T102" s="197"/>
      <c r="U102" s="197"/>
    </row>
    <row r="103" spans="1:33" s="12" customFormat="1" x14ac:dyDescent="0.25">
      <c r="A103" s="200" t="s">
        <v>3030</v>
      </c>
      <c r="B103" s="59">
        <v>191.96</v>
      </c>
      <c r="C103" s="59">
        <v>187.29</v>
      </c>
      <c r="D103" s="59">
        <v>257.3</v>
      </c>
      <c r="E103" s="59">
        <v>5.09</v>
      </c>
      <c r="F103" s="59">
        <v>0.17</v>
      </c>
      <c r="G103" s="59">
        <v>187.15</v>
      </c>
      <c r="H103" s="59">
        <v>73.239999999999995</v>
      </c>
      <c r="I103" s="59">
        <v>1.53</v>
      </c>
      <c r="J103" s="59">
        <v>0.12</v>
      </c>
      <c r="K103" s="59">
        <v>25.41</v>
      </c>
      <c r="L103" s="59">
        <v>17.03</v>
      </c>
      <c r="M103" s="59">
        <v>68</v>
      </c>
      <c r="N103" s="59">
        <v>24.2</v>
      </c>
      <c r="O103" s="59">
        <v>0</v>
      </c>
      <c r="P103" s="59">
        <v>3.86</v>
      </c>
      <c r="Q103" s="59">
        <v>50.96</v>
      </c>
      <c r="R103" s="197"/>
      <c r="S103" s="197"/>
      <c r="T103" s="197"/>
      <c r="U103" s="197"/>
    </row>
    <row r="104" spans="1:33" s="12" customFormat="1" x14ac:dyDescent="0.25">
      <c r="A104" s="200" t="s">
        <v>3031</v>
      </c>
      <c r="B104" s="59">
        <v>196.6</v>
      </c>
      <c r="C104" s="59">
        <v>188.63</v>
      </c>
      <c r="D104" s="59">
        <v>261.76</v>
      </c>
      <c r="E104" s="59">
        <v>3.03</v>
      </c>
      <c r="F104" s="59">
        <v>0.19</v>
      </c>
      <c r="G104" s="59">
        <v>202.82</v>
      </c>
      <c r="H104" s="59">
        <v>76.52</v>
      </c>
      <c r="I104" s="59">
        <v>1.57</v>
      </c>
      <c r="J104" s="59">
        <v>0.03</v>
      </c>
      <c r="K104" s="59">
        <v>85.17</v>
      </c>
      <c r="L104" s="59">
        <v>17.02</v>
      </c>
      <c r="M104" s="59">
        <v>66</v>
      </c>
      <c r="N104" s="59">
        <v>23.8</v>
      </c>
      <c r="O104" s="59">
        <v>0</v>
      </c>
      <c r="P104" s="59">
        <v>3.9</v>
      </c>
      <c r="Q104" s="59">
        <v>51.58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3.49</v>
      </c>
      <c r="C106" s="66">
        <f>MIN(C9:C104)</f>
        <v>63.32</v>
      </c>
      <c r="D106" s="66">
        <f t="shared" ref="D106:Q106" si="0">MIN(D9:D104)</f>
        <v>37.74</v>
      </c>
      <c r="E106" s="66">
        <f t="shared" si="0"/>
        <v>1.64</v>
      </c>
      <c r="F106" s="66">
        <f t="shared" si="0"/>
        <v>0.01</v>
      </c>
      <c r="G106" s="66">
        <f t="shared" si="0"/>
        <v>28.95</v>
      </c>
      <c r="H106" s="66">
        <f t="shared" si="0"/>
        <v>6.49</v>
      </c>
      <c r="I106" s="66">
        <f t="shared" si="0"/>
        <v>0.12</v>
      </c>
      <c r="J106" s="66">
        <f t="shared" si="0"/>
        <v>0.01</v>
      </c>
      <c r="K106" s="66">
        <f t="shared" si="0"/>
        <v>0.49</v>
      </c>
      <c r="L106" s="66">
        <f t="shared" si="0"/>
        <v>15.18</v>
      </c>
      <c r="M106" s="66">
        <f t="shared" si="0"/>
        <v>14</v>
      </c>
      <c r="N106" s="66">
        <f t="shared" si="0"/>
        <v>23.5</v>
      </c>
      <c r="O106" s="66">
        <f t="shared" si="0"/>
        <v>0</v>
      </c>
      <c r="P106" s="66">
        <f t="shared" si="0"/>
        <v>0.47</v>
      </c>
      <c r="Q106" s="66">
        <f t="shared" si="0"/>
        <v>22.25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196.6</v>
      </c>
      <c r="C107" s="65">
        <f t="shared" ref="C107:Q107" si="1">MAX(C9:C104)</f>
        <v>188.63</v>
      </c>
      <c r="D107" s="65">
        <f t="shared" si="1"/>
        <v>261.76</v>
      </c>
      <c r="E107" s="65">
        <f t="shared" si="1"/>
        <v>11.28</v>
      </c>
      <c r="F107" s="65">
        <f t="shared" si="1"/>
        <v>11.97</v>
      </c>
      <c r="G107" s="65">
        <f t="shared" si="1"/>
        <v>255.05</v>
      </c>
      <c r="H107" s="65">
        <f t="shared" si="1"/>
        <v>76.52</v>
      </c>
      <c r="I107" s="65">
        <f t="shared" si="1"/>
        <v>1.57</v>
      </c>
      <c r="J107" s="65">
        <f t="shared" si="1"/>
        <v>1.45</v>
      </c>
      <c r="K107" s="65">
        <f t="shared" si="1"/>
        <v>352.53</v>
      </c>
      <c r="L107" s="65">
        <f t="shared" si="1"/>
        <v>31.02</v>
      </c>
      <c r="M107" s="65">
        <f t="shared" si="1"/>
        <v>68</v>
      </c>
      <c r="N107" s="65">
        <f t="shared" si="1"/>
        <v>395.2</v>
      </c>
      <c r="O107" s="65">
        <f t="shared" si="1"/>
        <v>0</v>
      </c>
      <c r="P107" s="65">
        <f t="shared" si="1"/>
        <v>3.9</v>
      </c>
      <c r="Q107" s="65">
        <f t="shared" si="1"/>
        <v>51.58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36.680937499999992</v>
      </c>
      <c r="C108" s="66">
        <f t="shared" ref="C108:Q108" si="2">AVERAGE(C9:C104)</f>
        <v>92.719374999999999</v>
      </c>
      <c r="D108" s="66">
        <f t="shared" si="2"/>
        <v>80.585104166666639</v>
      </c>
      <c r="E108" s="66">
        <f t="shared" si="2"/>
        <v>4.5450000000000008</v>
      </c>
      <c r="F108" s="66">
        <f t="shared" si="2"/>
        <v>1.2868478260869565</v>
      </c>
      <c r="G108" s="66">
        <f t="shared" si="2"/>
        <v>105.69126760563375</v>
      </c>
      <c r="H108" s="66">
        <f t="shared" si="2"/>
        <v>35.169354838709666</v>
      </c>
      <c r="I108" s="66">
        <f t="shared" si="2"/>
        <v>0.43427083333333338</v>
      </c>
      <c r="J108" s="66">
        <f t="shared" si="2"/>
        <v>0.41145833333333331</v>
      </c>
      <c r="K108" s="66">
        <f t="shared" si="2"/>
        <v>111.01416666666665</v>
      </c>
      <c r="L108" s="66">
        <f t="shared" si="2"/>
        <v>21.432291666666657</v>
      </c>
      <c r="M108" s="66">
        <f t="shared" si="2"/>
        <v>37.947916666666664</v>
      </c>
      <c r="N108" s="66">
        <f t="shared" si="2"/>
        <v>126.01770833333336</v>
      </c>
      <c r="O108" s="66">
        <f t="shared" si="2"/>
        <v>0</v>
      </c>
      <c r="P108" s="66">
        <f t="shared" si="2"/>
        <v>1.2996875000000003</v>
      </c>
      <c r="Q108" s="66">
        <f t="shared" si="2"/>
        <v>35.808958333333337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45.692102140952223</v>
      </c>
      <c r="C109" s="66">
        <f t="shared" ref="C109:Q109" si="3">STDEV(C9:C104)</f>
        <v>30.362895840413326</v>
      </c>
      <c r="D109" s="66">
        <f t="shared" si="3"/>
        <v>53.054320663275597</v>
      </c>
      <c r="E109" s="66">
        <f t="shared" si="3"/>
        <v>1.7342324253868471</v>
      </c>
      <c r="F109" s="66">
        <f t="shared" si="3"/>
        <v>2.0602773361524309</v>
      </c>
      <c r="G109" s="66">
        <f t="shared" si="3"/>
        <v>72.71149893202363</v>
      </c>
      <c r="H109" s="66">
        <f t="shared" si="3"/>
        <v>14.838262072034377</v>
      </c>
      <c r="I109" s="66">
        <f t="shared" si="3"/>
        <v>0.35046358709171616</v>
      </c>
      <c r="J109" s="66">
        <f t="shared" si="3"/>
        <v>0.36176171036708576</v>
      </c>
      <c r="K109" s="66">
        <f t="shared" si="3"/>
        <v>91.954350386959504</v>
      </c>
      <c r="L109" s="66">
        <f t="shared" si="3"/>
        <v>4.4064819430057343</v>
      </c>
      <c r="M109" s="66">
        <f t="shared" si="3"/>
        <v>15.048951557582217</v>
      </c>
      <c r="N109" s="66">
        <f t="shared" si="3"/>
        <v>145.6700771171779</v>
      </c>
      <c r="O109" s="66">
        <f t="shared" si="3"/>
        <v>0</v>
      </c>
      <c r="P109" s="66">
        <f t="shared" si="3"/>
        <v>0.9111374650749231</v>
      </c>
      <c r="Q109" s="66">
        <f t="shared" si="3"/>
        <v>6.1963315937172068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 t="shared" si="4"/>
        <v>92</v>
      </c>
      <c r="G110" s="65">
        <f t="shared" si="4"/>
        <v>71</v>
      </c>
      <c r="H110" s="65">
        <f>COUNT(H9:H104)</f>
        <v>93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activeCell="F111" sqref="F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30-12-2022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3" t="s">
        <v>51</v>
      </c>
      <c r="C8" s="13" t="s">
        <v>51</v>
      </c>
      <c r="D8" s="13" t="s">
        <v>51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8" t="s">
        <v>51</v>
      </c>
      <c r="R8" s="195"/>
      <c r="S8" s="196"/>
      <c r="T8" s="195"/>
      <c r="U8" s="195"/>
    </row>
    <row r="9" spans="1:21" s="12" customFormat="1" x14ac:dyDescent="0.25">
      <c r="A9" s="200" t="s">
        <v>3032</v>
      </c>
      <c r="B9" s="59">
        <v>199.87</v>
      </c>
      <c r="C9" s="59">
        <v>189.66</v>
      </c>
      <c r="D9" s="59">
        <v>264.95</v>
      </c>
      <c r="E9" s="59">
        <v>4.9400000000000004</v>
      </c>
      <c r="F9" s="59">
        <v>0.09</v>
      </c>
      <c r="G9" s="59">
        <v>202.82</v>
      </c>
      <c r="H9" s="59">
        <v>77.459999999999994</v>
      </c>
      <c r="I9" s="59">
        <v>1.58</v>
      </c>
      <c r="J9" s="59">
        <v>0.14000000000000001</v>
      </c>
      <c r="K9" s="59">
        <v>10.029999999999999</v>
      </c>
      <c r="L9" s="59">
        <v>17.010000000000002</v>
      </c>
      <c r="M9" s="59">
        <v>68</v>
      </c>
      <c r="N9" s="59">
        <v>24.1</v>
      </c>
      <c r="O9" s="59">
        <v>0</v>
      </c>
      <c r="P9" s="59">
        <v>3.95</v>
      </c>
      <c r="Q9" s="59">
        <v>51.96</v>
      </c>
      <c r="R9" s="197"/>
      <c r="S9" s="197"/>
      <c r="T9" s="197"/>
      <c r="U9" s="197"/>
    </row>
    <row r="10" spans="1:21" s="12" customFormat="1" x14ac:dyDescent="0.25">
      <c r="A10" s="200" t="s">
        <v>3033</v>
      </c>
      <c r="B10" s="59">
        <v>201.81</v>
      </c>
      <c r="C10" s="59">
        <v>189.83</v>
      </c>
      <c r="D10" s="59">
        <v>266.60000000000002</v>
      </c>
      <c r="E10" s="59">
        <v>5.45</v>
      </c>
      <c r="F10" s="59">
        <v>0.1</v>
      </c>
      <c r="G10" s="59">
        <v>202.82</v>
      </c>
      <c r="H10" s="59">
        <v>77.459999999999994</v>
      </c>
      <c r="I10" s="59">
        <v>1.59</v>
      </c>
      <c r="J10" s="59">
        <v>0.03</v>
      </c>
      <c r="K10" s="59">
        <v>322.41000000000003</v>
      </c>
      <c r="L10" s="59">
        <v>16.88</v>
      </c>
      <c r="M10" s="59">
        <v>68</v>
      </c>
      <c r="N10" s="59">
        <v>24.2</v>
      </c>
      <c r="O10" s="59">
        <v>0</v>
      </c>
      <c r="P10" s="59">
        <v>4</v>
      </c>
      <c r="Q10" s="59">
        <v>52.09</v>
      </c>
      <c r="R10" s="197"/>
      <c r="S10" s="197"/>
      <c r="T10" s="197"/>
      <c r="U10" s="197"/>
    </row>
    <row r="11" spans="1:21" s="12" customFormat="1" x14ac:dyDescent="0.25">
      <c r="A11" s="200" t="s">
        <v>3034</v>
      </c>
      <c r="B11" s="59">
        <v>200.24</v>
      </c>
      <c r="C11" s="59">
        <v>187.62</v>
      </c>
      <c r="D11" s="59">
        <v>264.12</v>
      </c>
      <c r="E11" s="59">
        <v>5.54</v>
      </c>
      <c r="F11" s="59">
        <v>0.15</v>
      </c>
      <c r="G11" s="59">
        <v>202.82</v>
      </c>
      <c r="H11" s="59">
        <v>77.459999999999994</v>
      </c>
      <c r="I11" s="59">
        <v>1.62</v>
      </c>
      <c r="J11" s="59">
        <v>0.04</v>
      </c>
      <c r="K11" s="59">
        <v>24.3</v>
      </c>
      <c r="L11" s="59">
        <v>16.690000000000001</v>
      </c>
      <c r="M11" s="59">
        <v>67</v>
      </c>
      <c r="N11" s="59">
        <v>24.3</v>
      </c>
      <c r="O11" s="59">
        <v>0</v>
      </c>
      <c r="P11" s="59">
        <v>4.0199999999999996</v>
      </c>
      <c r="Q11" s="59">
        <v>51.81</v>
      </c>
      <c r="R11" s="197"/>
      <c r="S11" s="197"/>
      <c r="T11" s="197"/>
      <c r="U11" s="197"/>
    </row>
    <row r="12" spans="1:21" s="12" customFormat="1" x14ac:dyDescent="0.25">
      <c r="A12" s="200" t="s">
        <v>3035</v>
      </c>
      <c r="B12" s="59">
        <v>198.03</v>
      </c>
      <c r="C12" s="59">
        <v>185.45</v>
      </c>
      <c r="D12" s="59">
        <v>261.14999999999998</v>
      </c>
      <c r="E12" s="59">
        <v>5.43</v>
      </c>
      <c r="F12" s="59">
        <v>7.0000000000000007E-2</v>
      </c>
      <c r="G12" s="59">
        <v>180.11</v>
      </c>
      <c r="H12" s="59">
        <v>80.13</v>
      </c>
      <c r="I12" s="59">
        <v>1.64</v>
      </c>
      <c r="J12" s="59">
        <v>0.05</v>
      </c>
      <c r="K12" s="59">
        <v>354.06</v>
      </c>
      <c r="L12" s="59">
        <v>16.63</v>
      </c>
      <c r="M12" s="59">
        <v>61</v>
      </c>
      <c r="N12" s="59">
        <v>24.2</v>
      </c>
      <c r="O12" s="59">
        <v>0</v>
      </c>
      <c r="P12" s="59">
        <v>4</v>
      </c>
      <c r="Q12" s="59">
        <v>51.37</v>
      </c>
      <c r="R12" s="197"/>
      <c r="S12" s="197"/>
      <c r="T12" s="197"/>
      <c r="U12" s="197"/>
    </row>
    <row r="13" spans="1:21" s="12" customFormat="1" x14ac:dyDescent="0.25">
      <c r="A13" s="200" t="s">
        <v>3036</v>
      </c>
      <c r="B13" s="59">
        <v>191.25</v>
      </c>
      <c r="C13" s="59">
        <v>181.76</v>
      </c>
      <c r="D13" s="59">
        <v>253.67</v>
      </c>
      <c r="E13" s="59">
        <v>5.43</v>
      </c>
      <c r="F13" s="59">
        <v>0.04</v>
      </c>
      <c r="G13" s="59">
        <v>180.11</v>
      </c>
      <c r="H13" s="59">
        <v>80.89</v>
      </c>
      <c r="I13" s="59">
        <v>1.65</v>
      </c>
      <c r="J13" s="59">
        <v>0.05</v>
      </c>
      <c r="K13" s="59">
        <v>298.12</v>
      </c>
      <c r="L13" s="59">
        <v>16.71</v>
      </c>
      <c r="M13" s="59">
        <v>57</v>
      </c>
      <c r="N13" s="59">
        <v>23.9</v>
      </c>
      <c r="O13" s="59">
        <v>0</v>
      </c>
      <c r="P13" s="59">
        <v>3.79</v>
      </c>
      <c r="Q13" s="59">
        <v>51.18</v>
      </c>
      <c r="R13" s="197"/>
      <c r="S13" s="197"/>
      <c r="T13" s="197"/>
      <c r="U13" s="197"/>
    </row>
    <row r="14" spans="1:21" s="12" customFormat="1" x14ac:dyDescent="0.25">
      <c r="A14" s="200" t="s">
        <v>3037</v>
      </c>
      <c r="B14" s="59">
        <v>182.36</v>
      </c>
      <c r="C14" s="59">
        <v>175.97</v>
      </c>
      <c r="D14" s="59">
        <v>243.36</v>
      </c>
      <c r="E14" s="59">
        <v>5.3</v>
      </c>
      <c r="F14" s="59">
        <v>0.18</v>
      </c>
      <c r="G14" s="59">
        <v>180.11</v>
      </c>
      <c r="H14" s="59">
        <v>80.89</v>
      </c>
      <c r="I14" s="59">
        <v>1.64</v>
      </c>
      <c r="J14" s="59">
        <v>0.08</v>
      </c>
      <c r="K14" s="59">
        <v>314.05</v>
      </c>
      <c r="L14" s="59">
        <v>17.14</v>
      </c>
      <c r="M14" s="59">
        <v>56</v>
      </c>
      <c r="N14" s="59">
        <v>23.9</v>
      </c>
      <c r="O14" s="59">
        <v>0</v>
      </c>
      <c r="P14" s="59">
        <v>3.81</v>
      </c>
      <c r="Q14" s="59">
        <v>49.93</v>
      </c>
      <c r="R14" s="197"/>
      <c r="S14" s="197"/>
      <c r="T14" s="197"/>
      <c r="U14" s="197"/>
    </row>
    <row r="15" spans="1:21" s="12" customFormat="1" x14ac:dyDescent="0.25">
      <c r="A15" s="200" t="s">
        <v>3038</v>
      </c>
      <c r="B15" s="59">
        <v>175.59</v>
      </c>
      <c r="C15" s="59">
        <v>170.63</v>
      </c>
      <c r="D15" s="59">
        <v>234.97</v>
      </c>
      <c r="E15" s="59">
        <v>5.77</v>
      </c>
      <c r="F15" s="59">
        <v>0.35</v>
      </c>
      <c r="G15" s="59">
        <v>180.11</v>
      </c>
      <c r="H15" s="59">
        <v>80.89</v>
      </c>
      <c r="I15" s="59">
        <v>1.62</v>
      </c>
      <c r="J15" s="59">
        <v>0.08</v>
      </c>
      <c r="K15" s="59">
        <v>292.41000000000003</v>
      </c>
      <c r="L15" s="59">
        <v>16.78</v>
      </c>
      <c r="M15" s="59">
        <v>60</v>
      </c>
      <c r="N15" s="59">
        <v>24.2</v>
      </c>
      <c r="O15" s="59">
        <v>0</v>
      </c>
      <c r="P15" s="59">
        <v>3.71</v>
      </c>
      <c r="Q15" s="59">
        <v>48.36</v>
      </c>
      <c r="R15" s="197"/>
      <c r="S15" s="197"/>
      <c r="T15" s="197"/>
      <c r="U15" s="197"/>
    </row>
    <row r="16" spans="1:21" s="12" customFormat="1" x14ac:dyDescent="0.25">
      <c r="A16" s="200" t="s">
        <v>3039</v>
      </c>
      <c r="B16" s="59">
        <v>167.94</v>
      </c>
      <c r="C16" s="59">
        <v>165.3</v>
      </c>
      <c r="D16" s="59">
        <v>225.9</v>
      </c>
      <c r="E16" s="59">
        <v>5.31</v>
      </c>
      <c r="F16" s="59">
        <v>0.06</v>
      </c>
      <c r="G16" s="59">
        <v>88.85</v>
      </c>
      <c r="H16" s="59">
        <v>71.790000000000006</v>
      </c>
      <c r="I16" s="59">
        <v>1.57</v>
      </c>
      <c r="J16" s="59">
        <v>0.09</v>
      </c>
      <c r="K16" s="59">
        <v>307.8</v>
      </c>
      <c r="L16" s="59">
        <v>16.5</v>
      </c>
      <c r="M16" s="59">
        <v>57</v>
      </c>
      <c r="N16" s="59">
        <v>24.2</v>
      </c>
      <c r="O16" s="59">
        <v>0</v>
      </c>
      <c r="P16" s="59">
        <v>3.61</v>
      </c>
      <c r="Q16" s="59">
        <v>47.12</v>
      </c>
      <c r="R16" s="197"/>
      <c r="S16" s="197"/>
      <c r="T16" s="197"/>
      <c r="U16" s="197"/>
    </row>
    <row r="17" spans="1:21" s="12" customFormat="1" x14ac:dyDescent="0.25">
      <c r="A17" s="200" t="s">
        <v>3040</v>
      </c>
      <c r="B17" s="59">
        <v>159.15</v>
      </c>
      <c r="C17" s="59">
        <v>160.15</v>
      </c>
      <c r="D17" s="59">
        <v>216.01</v>
      </c>
      <c r="E17" s="59">
        <v>5.03</v>
      </c>
      <c r="F17" s="59">
        <v>0.12</v>
      </c>
      <c r="G17" s="59">
        <v>88.85</v>
      </c>
      <c r="H17" s="59">
        <v>69.19</v>
      </c>
      <c r="I17" s="59">
        <v>1.53</v>
      </c>
      <c r="J17" s="59">
        <v>0.09</v>
      </c>
      <c r="K17" s="59">
        <v>298.56</v>
      </c>
      <c r="L17" s="59">
        <v>16.66</v>
      </c>
      <c r="M17" s="59">
        <v>57</v>
      </c>
      <c r="N17" s="59">
        <v>24.2</v>
      </c>
      <c r="O17" s="59">
        <v>0</v>
      </c>
      <c r="P17" s="59">
        <v>3.47</v>
      </c>
      <c r="Q17" s="59">
        <v>46.48</v>
      </c>
      <c r="R17" s="197"/>
      <c r="S17" s="197"/>
      <c r="T17" s="197"/>
      <c r="U17" s="197"/>
    </row>
    <row r="18" spans="1:21" s="12" customFormat="1" x14ac:dyDescent="0.25">
      <c r="A18" s="200" t="s">
        <v>3041</v>
      </c>
      <c r="B18" s="59">
        <v>150.91999999999999</v>
      </c>
      <c r="C18" s="59">
        <v>154.6</v>
      </c>
      <c r="D18" s="59">
        <v>206.35</v>
      </c>
      <c r="E18" s="59">
        <v>4.7300000000000004</v>
      </c>
      <c r="F18" s="59">
        <v>0.08</v>
      </c>
      <c r="G18" s="59">
        <v>88.85</v>
      </c>
      <c r="H18" s="59">
        <v>69.19</v>
      </c>
      <c r="I18" s="59">
        <v>1.5</v>
      </c>
      <c r="J18" s="59">
        <v>0.17</v>
      </c>
      <c r="K18" s="59">
        <v>271.36</v>
      </c>
      <c r="L18" s="59">
        <v>16.11</v>
      </c>
      <c r="M18" s="59">
        <v>64</v>
      </c>
      <c r="N18" s="59">
        <v>24</v>
      </c>
      <c r="O18" s="59">
        <v>0</v>
      </c>
      <c r="P18" s="59">
        <v>3.33</v>
      </c>
      <c r="Q18" s="59">
        <v>45.79</v>
      </c>
      <c r="R18" s="197"/>
      <c r="S18" s="197"/>
      <c r="T18" s="197"/>
      <c r="U18" s="197"/>
    </row>
    <row r="19" spans="1:21" s="12" customFormat="1" x14ac:dyDescent="0.25">
      <c r="A19" s="200" t="s">
        <v>3042</v>
      </c>
      <c r="B19" s="59">
        <v>142.38999999999999</v>
      </c>
      <c r="C19" s="59">
        <v>148.57</v>
      </c>
      <c r="D19" s="59">
        <v>196.17</v>
      </c>
      <c r="E19" s="59">
        <v>4.5599999999999996</v>
      </c>
      <c r="F19" s="59">
        <v>0.01</v>
      </c>
      <c r="G19" s="59">
        <v>88.85</v>
      </c>
      <c r="H19" s="59">
        <v>69.19</v>
      </c>
      <c r="I19" s="59">
        <v>1.46</v>
      </c>
      <c r="J19" s="59">
        <v>0.24</v>
      </c>
      <c r="K19" s="59">
        <v>239.13</v>
      </c>
      <c r="L19" s="59">
        <v>16.32</v>
      </c>
      <c r="M19" s="59">
        <v>63</v>
      </c>
      <c r="N19" s="59">
        <v>23.6</v>
      </c>
      <c r="O19" s="59">
        <v>0</v>
      </c>
      <c r="P19" s="59">
        <v>3.2</v>
      </c>
      <c r="Q19" s="59">
        <v>45.07</v>
      </c>
      <c r="R19" s="197"/>
      <c r="S19" s="197"/>
      <c r="T19" s="197"/>
      <c r="U19" s="197"/>
    </row>
    <row r="20" spans="1:21" s="12" customFormat="1" x14ac:dyDescent="0.25">
      <c r="A20" s="200" t="s">
        <v>3043</v>
      </c>
      <c r="B20" s="59">
        <v>133.66999999999999</v>
      </c>
      <c r="C20" s="59">
        <v>142.44999999999999</v>
      </c>
      <c r="D20" s="59">
        <v>185.81</v>
      </c>
      <c r="E20" s="59">
        <v>4.62</v>
      </c>
      <c r="F20" s="59">
        <v>0.01</v>
      </c>
      <c r="G20" s="59">
        <v>76.09</v>
      </c>
      <c r="H20" s="59">
        <v>58.86</v>
      </c>
      <c r="I20" s="59">
        <v>1.41</v>
      </c>
      <c r="J20" s="59">
        <v>0.28999999999999998</v>
      </c>
      <c r="K20" s="59">
        <v>233.56</v>
      </c>
      <c r="L20" s="59">
        <v>16.079999999999998</v>
      </c>
      <c r="M20" s="59">
        <v>65</v>
      </c>
      <c r="N20" s="59">
        <v>23.8</v>
      </c>
      <c r="O20" s="59">
        <v>0</v>
      </c>
      <c r="P20" s="59">
        <v>3.04</v>
      </c>
      <c r="Q20" s="59">
        <v>44.13</v>
      </c>
      <c r="R20" s="197"/>
      <c r="S20" s="197"/>
      <c r="T20" s="197"/>
      <c r="U20" s="197"/>
    </row>
    <row r="21" spans="1:21" s="12" customFormat="1" x14ac:dyDescent="0.25">
      <c r="A21" s="200" t="s">
        <v>3044</v>
      </c>
      <c r="B21" s="59">
        <v>125.06</v>
      </c>
      <c r="C21" s="59">
        <v>136.38</v>
      </c>
      <c r="D21" s="59">
        <v>175.55</v>
      </c>
      <c r="E21" s="59">
        <v>4.74</v>
      </c>
      <c r="F21" s="214" t="s">
        <v>47</v>
      </c>
      <c r="G21" s="59">
        <v>76.09</v>
      </c>
      <c r="H21" s="59">
        <v>55.72</v>
      </c>
      <c r="I21" s="59">
        <v>1.37</v>
      </c>
      <c r="J21" s="59">
        <v>0.14000000000000001</v>
      </c>
      <c r="K21" s="59">
        <v>327.08</v>
      </c>
      <c r="L21" s="59">
        <v>15.4</v>
      </c>
      <c r="M21" s="59">
        <v>68</v>
      </c>
      <c r="N21" s="59">
        <v>24.6</v>
      </c>
      <c r="O21" s="59">
        <v>0</v>
      </c>
      <c r="P21" s="59">
        <v>2.86</v>
      </c>
      <c r="Q21" s="59">
        <v>44.16</v>
      </c>
      <c r="R21" s="197"/>
      <c r="S21" s="197"/>
      <c r="T21" s="197"/>
      <c r="U21" s="197"/>
    </row>
    <row r="22" spans="1:21" s="12" customFormat="1" x14ac:dyDescent="0.25">
      <c r="A22" s="200" t="s">
        <v>3045</v>
      </c>
      <c r="B22" s="59">
        <v>116.42</v>
      </c>
      <c r="C22" s="59">
        <v>130.34</v>
      </c>
      <c r="D22" s="59">
        <v>165.29</v>
      </c>
      <c r="E22" s="59">
        <v>4.26</v>
      </c>
      <c r="F22" s="59">
        <v>0.12</v>
      </c>
      <c r="G22" s="59">
        <v>76.09</v>
      </c>
      <c r="H22" s="59">
        <v>55.72</v>
      </c>
      <c r="I22" s="59">
        <v>1.3</v>
      </c>
      <c r="J22" s="59">
        <v>0.13</v>
      </c>
      <c r="K22" s="59">
        <v>323.39</v>
      </c>
      <c r="L22" s="59">
        <v>14.74</v>
      </c>
      <c r="M22" s="59">
        <v>72</v>
      </c>
      <c r="N22" s="59">
        <v>24.5</v>
      </c>
      <c r="O22" s="59">
        <v>0</v>
      </c>
      <c r="P22" s="59">
        <v>2.7</v>
      </c>
      <c r="Q22" s="59">
        <v>44.17</v>
      </c>
      <c r="R22" s="197"/>
      <c r="S22" s="197"/>
      <c r="T22" s="197"/>
      <c r="U22" s="197"/>
    </row>
    <row r="23" spans="1:21" s="12" customFormat="1" x14ac:dyDescent="0.25">
      <c r="A23" s="200" t="s">
        <v>3046</v>
      </c>
      <c r="B23" s="59">
        <v>108.42</v>
      </c>
      <c r="C23" s="59">
        <v>124.86</v>
      </c>
      <c r="D23" s="59">
        <v>155.85</v>
      </c>
      <c r="E23" s="59">
        <v>3.82</v>
      </c>
      <c r="F23" s="59">
        <v>0.11</v>
      </c>
      <c r="G23" s="59">
        <v>76.09</v>
      </c>
      <c r="H23" s="59">
        <v>55.72</v>
      </c>
      <c r="I23" s="59">
        <v>1.22</v>
      </c>
      <c r="J23" s="59">
        <v>0.11</v>
      </c>
      <c r="K23" s="59">
        <v>327.51</v>
      </c>
      <c r="L23" s="59">
        <v>14.43</v>
      </c>
      <c r="M23" s="59">
        <v>72</v>
      </c>
      <c r="N23" s="59">
        <v>24.4</v>
      </c>
      <c r="O23" s="59">
        <v>0</v>
      </c>
      <c r="P23" s="59">
        <v>2.54</v>
      </c>
      <c r="Q23" s="59">
        <v>43.42</v>
      </c>
      <c r="R23" s="197"/>
      <c r="S23" s="197"/>
      <c r="T23" s="197"/>
      <c r="U23" s="197"/>
    </row>
    <row r="24" spans="1:21" s="12" customFormat="1" x14ac:dyDescent="0.25">
      <c r="A24" s="200" t="s">
        <v>3047</v>
      </c>
      <c r="B24" s="59">
        <v>101.74</v>
      </c>
      <c r="C24" s="59">
        <v>120.84</v>
      </c>
      <c r="D24" s="59">
        <v>148.27000000000001</v>
      </c>
      <c r="E24" s="59">
        <v>2.69</v>
      </c>
      <c r="F24" s="59">
        <v>0.24</v>
      </c>
      <c r="G24" s="59">
        <v>65.09</v>
      </c>
      <c r="H24" s="59">
        <v>43.81</v>
      </c>
      <c r="I24" s="59">
        <v>1.1399999999999999</v>
      </c>
      <c r="J24" s="59">
        <v>0.12</v>
      </c>
      <c r="K24" s="59">
        <v>309.63</v>
      </c>
      <c r="L24" s="59">
        <v>14.28</v>
      </c>
      <c r="M24" s="59">
        <v>69</v>
      </c>
      <c r="N24" s="59">
        <v>24.4</v>
      </c>
      <c r="O24" s="59">
        <v>0</v>
      </c>
      <c r="P24" s="59">
        <v>2.41</v>
      </c>
      <c r="Q24" s="59">
        <v>42.46</v>
      </c>
      <c r="R24" s="197"/>
      <c r="S24" s="197"/>
      <c r="T24" s="197"/>
      <c r="U24" s="197"/>
    </row>
    <row r="25" spans="1:21" s="12" customFormat="1" x14ac:dyDescent="0.25">
      <c r="A25" s="200" t="s">
        <v>3048</v>
      </c>
      <c r="B25" s="59">
        <v>95.34</v>
      </c>
      <c r="C25" s="59">
        <v>117.35</v>
      </c>
      <c r="D25" s="59">
        <v>141.21</v>
      </c>
      <c r="E25" s="59">
        <v>4.5</v>
      </c>
      <c r="F25" s="59">
        <v>0.24</v>
      </c>
      <c r="G25" s="59">
        <v>65.09</v>
      </c>
      <c r="H25" s="59">
        <v>40.4</v>
      </c>
      <c r="I25" s="59">
        <v>1.07</v>
      </c>
      <c r="J25" s="59">
        <v>0.11</v>
      </c>
      <c r="K25" s="59">
        <v>315.48</v>
      </c>
      <c r="L25" s="59">
        <v>14.35</v>
      </c>
      <c r="M25" s="59">
        <v>64</v>
      </c>
      <c r="N25" s="59">
        <v>24.1</v>
      </c>
      <c r="O25" s="59">
        <v>0</v>
      </c>
      <c r="P25" s="59">
        <v>2.27</v>
      </c>
      <c r="Q25" s="59">
        <v>41.74</v>
      </c>
      <c r="R25" s="197"/>
      <c r="S25" s="197"/>
      <c r="T25" s="197"/>
      <c r="U25" s="197"/>
    </row>
    <row r="26" spans="1:21" s="12" customFormat="1" x14ac:dyDescent="0.25">
      <c r="A26" s="200" t="s">
        <v>3049</v>
      </c>
      <c r="B26" s="59">
        <v>89.72</v>
      </c>
      <c r="C26" s="59">
        <v>114.69</v>
      </c>
      <c r="D26" s="59">
        <v>135.24</v>
      </c>
      <c r="E26" s="59">
        <v>4.34</v>
      </c>
      <c r="F26" s="59">
        <v>0.39</v>
      </c>
      <c r="G26" s="59">
        <v>65.09</v>
      </c>
      <c r="H26" s="59">
        <v>40.4</v>
      </c>
      <c r="I26" s="59">
        <v>0.96</v>
      </c>
      <c r="J26" s="59">
        <v>0.15</v>
      </c>
      <c r="K26" s="59">
        <v>3.02</v>
      </c>
      <c r="L26" s="59">
        <v>14.3</v>
      </c>
      <c r="M26" s="59">
        <v>68</v>
      </c>
      <c r="N26" s="59">
        <v>24</v>
      </c>
      <c r="O26" s="59">
        <v>0</v>
      </c>
      <c r="P26" s="59">
        <v>2.14</v>
      </c>
      <c r="Q26" s="59">
        <v>40.83</v>
      </c>
      <c r="R26" s="197"/>
      <c r="S26" s="197"/>
      <c r="T26" s="197"/>
      <c r="U26" s="197"/>
    </row>
    <row r="27" spans="1:21" s="12" customFormat="1" x14ac:dyDescent="0.25">
      <c r="A27" s="200" t="s">
        <v>3050</v>
      </c>
      <c r="B27" s="59">
        <v>84.64</v>
      </c>
      <c r="C27" s="59">
        <v>112.18</v>
      </c>
      <c r="D27" s="59">
        <v>129.79</v>
      </c>
      <c r="E27" s="59">
        <v>4.91</v>
      </c>
      <c r="F27" s="59">
        <v>0.13</v>
      </c>
      <c r="G27" s="59">
        <v>65.09</v>
      </c>
      <c r="H27" s="59">
        <v>40.4</v>
      </c>
      <c r="I27" s="59">
        <v>0.86</v>
      </c>
      <c r="J27" s="59">
        <v>0.08</v>
      </c>
      <c r="K27" s="59">
        <v>319.87</v>
      </c>
      <c r="L27" s="59">
        <v>14.49</v>
      </c>
      <c r="M27" s="59">
        <v>65</v>
      </c>
      <c r="N27" s="59">
        <v>23.8</v>
      </c>
      <c r="O27" s="59">
        <v>0</v>
      </c>
      <c r="P27" s="59">
        <v>2.04</v>
      </c>
      <c r="Q27" s="59">
        <v>39.82</v>
      </c>
      <c r="R27" s="197"/>
      <c r="S27" s="197"/>
      <c r="T27" s="197"/>
      <c r="U27" s="197"/>
    </row>
    <row r="28" spans="1:21" s="12" customFormat="1" x14ac:dyDescent="0.25">
      <c r="A28" s="200" t="s">
        <v>3051</v>
      </c>
      <c r="B28" s="59">
        <v>79.56</v>
      </c>
      <c r="C28" s="59">
        <v>109.36</v>
      </c>
      <c r="D28" s="59">
        <v>124.16</v>
      </c>
      <c r="E28" s="59">
        <v>4.5</v>
      </c>
      <c r="F28" s="212" t="s">
        <v>42</v>
      </c>
      <c r="G28" s="59">
        <v>58.1</v>
      </c>
      <c r="H28" s="59">
        <v>38.89</v>
      </c>
      <c r="I28" s="59">
        <v>0.88</v>
      </c>
      <c r="J28" s="59">
        <v>0.11</v>
      </c>
      <c r="K28" s="59">
        <v>325.22000000000003</v>
      </c>
      <c r="L28" s="59">
        <v>14.76</v>
      </c>
      <c r="M28" s="59">
        <v>65</v>
      </c>
      <c r="N28" s="59">
        <v>24.1</v>
      </c>
      <c r="O28" s="59">
        <v>0</v>
      </c>
      <c r="P28" s="59">
        <v>1.92</v>
      </c>
      <c r="Q28" s="59">
        <v>38.229999999999997</v>
      </c>
      <c r="R28" s="197"/>
      <c r="S28" s="197"/>
      <c r="T28" s="197"/>
      <c r="U28" s="197"/>
    </row>
    <row r="29" spans="1:21" s="12" customFormat="1" x14ac:dyDescent="0.25">
      <c r="A29" s="200" t="s">
        <v>3052</v>
      </c>
      <c r="B29" s="59">
        <v>76.3</v>
      </c>
      <c r="C29" s="59">
        <v>107.49</v>
      </c>
      <c r="D29" s="59">
        <v>120.51</v>
      </c>
      <c r="E29" s="59">
        <v>4.21</v>
      </c>
      <c r="F29" s="212" t="s">
        <v>42</v>
      </c>
      <c r="G29" s="59">
        <v>58.1</v>
      </c>
      <c r="H29" s="59">
        <v>38.46</v>
      </c>
      <c r="I29" s="59">
        <v>0.82</v>
      </c>
      <c r="J29" s="59">
        <v>0.1</v>
      </c>
      <c r="K29" s="59">
        <v>311.91000000000003</v>
      </c>
      <c r="L29" s="59">
        <v>14.41</v>
      </c>
      <c r="M29" s="59">
        <v>67</v>
      </c>
      <c r="N29" s="59">
        <v>24.1</v>
      </c>
      <c r="O29" s="59">
        <v>0</v>
      </c>
      <c r="P29" s="59">
        <v>1.83</v>
      </c>
      <c r="Q29" s="59">
        <v>37.270000000000003</v>
      </c>
      <c r="R29" s="197"/>
      <c r="S29" s="197"/>
      <c r="T29" s="197"/>
      <c r="U29" s="197"/>
    </row>
    <row r="30" spans="1:21" s="12" customFormat="1" x14ac:dyDescent="0.25">
      <c r="A30" s="200" t="s">
        <v>3053</v>
      </c>
      <c r="B30" s="59">
        <v>72.87</v>
      </c>
      <c r="C30" s="59">
        <v>105.62</v>
      </c>
      <c r="D30" s="59">
        <v>116.73</v>
      </c>
      <c r="E30" s="59">
        <v>4.59</v>
      </c>
      <c r="F30" s="59">
        <v>0.14000000000000001</v>
      </c>
      <c r="G30" s="59">
        <v>58.1</v>
      </c>
      <c r="H30" s="59">
        <v>38.46</v>
      </c>
      <c r="I30" s="59">
        <v>0.78</v>
      </c>
      <c r="J30" s="59">
        <v>0.12</v>
      </c>
      <c r="K30" s="59">
        <v>290.08999999999997</v>
      </c>
      <c r="L30" s="59">
        <v>14.49</v>
      </c>
      <c r="M30" s="59">
        <v>67</v>
      </c>
      <c r="N30" s="59">
        <v>24.2</v>
      </c>
      <c r="O30" s="59">
        <v>0</v>
      </c>
      <c r="P30" s="59">
        <v>1.77</v>
      </c>
      <c r="Q30" s="59">
        <v>36.57</v>
      </c>
      <c r="R30" s="197"/>
      <c r="S30" s="197"/>
      <c r="T30" s="197"/>
      <c r="U30" s="197"/>
    </row>
    <row r="31" spans="1:21" s="12" customFormat="1" x14ac:dyDescent="0.25">
      <c r="A31" s="200" t="s">
        <v>3054</v>
      </c>
      <c r="B31" s="59">
        <v>70.680000000000007</v>
      </c>
      <c r="C31" s="59">
        <v>104.3</v>
      </c>
      <c r="D31" s="59">
        <v>114.24</v>
      </c>
      <c r="E31" s="59">
        <v>4.43</v>
      </c>
      <c r="F31" s="59">
        <v>0.13</v>
      </c>
      <c r="G31" s="59">
        <v>58.1</v>
      </c>
      <c r="H31" s="59">
        <v>38.46</v>
      </c>
      <c r="I31" s="59">
        <v>0.71</v>
      </c>
      <c r="J31" s="59">
        <v>0.12</v>
      </c>
      <c r="K31" s="59">
        <v>344.22</v>
      </c>
      <c r="L31" s="59">
        <v>14.39</v>
      </c>
      <c r="M31" s="59">
        <v>70</v>
      </c>
      <c r="N31" s="59">
        <v>24.3</v>
      </c>
      <c r="O31" s="59">
        <v>0</v>
      </c>
      <c r="P31" s="59">
        <v>1.71</v>
      </c>
      <c r="Q31" s="59">
        <v>36.49</v>
      </c>
      <c r="R31" s="197"/>
      <c r="S31" s="197"/>
      <c r="T31" s="197"/>
      <c r="U31" s="197"/>
    </row>
    <row r="32" spans="1:21" s="12" customFormat="1" x14ac:dyDescent="0.25">
      <c r="A32" s="200" t="s">
        <v>3055</v>
      </c>
      <c r="B32" s="59">
        <v>73.95</v>
      </c>
      <c r="C32" s="59">
        <v>106.56</v>
      </c>
      <c r="D32" s="59">
        <v>118.11</v>
      </c>
      <c r="E32" s="59">
        <v>4.53</v>
      </c>
      <c r="F32" s="59">
        <v>0.08</v>
      </c>
      <c r="G32" s="59">
        <v>84.66</v>
      </c>
      <c r="H32" s="59">
        <v>39.61</v>
      </c>
      <c r="I32" s="59">
        <v>0.62</v>
      </c>
      <c r="J32" s="59">
        <v>0.09</v>
      </c>
      <c r="K32" s="59">
        <v>304.49</v>
      </c>
      <c r="L32" s="59">
        <v>14.3</v>
      </c>
      <c r="M32" s="59">
        <v>72</v>
      </c>
      <c r="N32" s="59">
        <v>24.1</v>
      </c>
      <c r="O32" s="59">
        <v>0</v>
      </c>
      <c r="P32" s="59">
        <v>1.69</v>
      </c>
      <c r="Q32" s="59">
        <v>36.409999999999997</v>
      </c>
      <c r="R32" s="197"/>
      <c r="S32" s="197"/>
      <c r="T32" s="197"/>
      <c r="U32" s="197"/>
    </row>
    <row r="33" spans="1:21" s="12" customFormat="1" x14ac:dyDescent="0.25">
      <c r="A33" s="200" t="s">
        <v>3056</v>
      </c>
      <c r="B33" s="59">
        <v>80.260000000000005</v>
      </c>
      <c r="C33" s="59">
        <v>110.18</v>
      </c>
      <c r="D33" s="59">
        <v>125.17</v>
      </c>
      <c r="E33" s="59">
        <v>4.5199999999999996</v>
      </c>
      <c r="F33" s="59">
        <v>0.04</v>
      </c>
      <c r="G33" s="59">
        <v>84.66</v>
      </c>
      <c r="H33" s="59">
        <v>39.94</v>
      </c>
      <c r="I33" s="59">
        <v>0.6</v>
      </c>
      <c r="J33" s="59">
        <v>0.09</v>
      </c>
      <c r="K33" s="59">
        <v>326.75</v>
      </c>
      <c r="L33" s="59">
        <v>14.14</v>
      </c>
      <c r="M33" s="59">
        <v>74</v>
      </c>
      <c r="N33" s="59">
        <v>24.2</v>
      </c>
      <c r="O33" s="59">
        <v>0</v>
      </c>
      <c r="P33" s="59">
        <v>1.66</v>
      </c>
      <c r="Q33" s="59">
        <v>36.99</v>
      </c>
      <c r="R33" s="197"/>
      <c r="S33" s="197"/>
      <c r="T33" s="197"/>
      <c r="U33" s="197"/>
    </row>
    <row r="34" spans="1:21" s="12" customFormat="1" x14ac:dyDescent="0.25">
      <c r="A34" s="200" t="s">
        <v>3057</v>
      </c>
      <c r="B34" s="59">
        <v>88.25</v>
      </c>
      <c r="C34" s="59">
        <v>114.77</v>
      </c>
      <c r="D34" s="59">
        <v>134.11000000000001</v>
      </c>
      <c r="E34" s="59">
        <v>4.8499999999999996</v>
      </c>
      <c r="F34" s="59">
        <v>0.13</v>
      </c>
      <c r="G34" s="59">
        <v>84.66</v>
      </c>
      <c r="H34" s="59">
        <v>39.94</v>
      </c>
      <c r="I34" s="59">
        <v>0.59</v>
      </c>
      <c r="J34" s="59">
        <v>0.1</v>
      </c>
      <c r="K34" s="59">
        <v>313.18</v>
      </c>
      <c r="L34" s="59">
        <v>14.12</v>
      </c>
      <c r="M34" s="59">
        <v>75</v>
      </c>
      <c r="N34" s="59">
        <v>24.7</v>
      </c>
      <c r="O34" s="59">
        <v>0</v>
      </c>
      <c r="P34" s="59">
        <v>1.65</v>
      </c>
      <c r="Q34" s="59">
        <v>37.61</v>
      </c>
      <c r="R34" s="197"/>
      <c r="S34" s="197"/>
      <c r="T34" s="197"/>
      <c r="U34" s="197"/>
    </row>
    <row r="35" spans="1:21" s="12" customFormat="1" x14ac:dyDescent="0.25">
      <c r="A35" s="200" t="s">
        <v>3058</v>
      </c>
      <c r="B35" s="59">
        <v>97.76</v>
      </c>
      <c r="C35" s="59">
        <v>120.19</v>
      </c>
      <c r="D35" s="59">
        <v>144.72999999999999</v>
      </c>
      <c r="E35" s="59">
        <v>4.88</v>
      </c>
      <c r="F35" s="59">
        <v>0.1</v>
      </c>
      <c r="G35" s="59">
        <v>84.66</v>
      </c>
      <c r="H35" s="59">
        <v>39.94</v>
      </c>
      <c r="I35" s="59">
        <v>0.62</v>
      </c>
      <c r="J35" s="59">
        <v>7.0000000000000007E-2</v>
      </c>
      <c r="K35" s="59">
        <v>281.62</v>
      </c>
      <c r="L35" s="59">
        <v>14.08</v>
      </c>
      <c r="M35" s="59">
        <v>75</v>
      </c>
      <c r="N35" s="59">
        <v>27.4</v>
      </c>
      <c r="O35" s="59">
        <v>0</v>
      </c>
      <c r="P35" s="59">
        <v>1.67</v>
      </c>
      <c r="Q35" s="59">
        <v>38.72</v>
      </c>
      <c r="R35" s="197"/>
      <c r="S35" s="197"/>
      <c r="T35" s="197"/>
      <c r="U35" s="197"/>
    </row>
    <row r="36" spans="1:21" s="12" customFormat="1" x14ac:dyDescent="0.25">
      <c r="A36" s="200" t="s">
        <v>3059</v>
      </c>
      <c r="B36" s="59">
        <v>103.19</v>
      </c>
      <c r="C36" s="59">
        <v>123.51</v>
      </c>
      <c r="D36" s="59">
        <v>150.91</v>
      </c>
      <c r="E36" s="59">
        <v>4.8600000000000003</v>
      </c>
      <c r="F36" s="59">
        <v>0.03</v>
      </c>
      <c r="G36" s="59">
        <v>129.08000000000001</v>
      </c>
      <c r="H36" s="59">
        <v>43.53</v>
      </c>
      <c r="I36" s="59">
        <v>0.65</v>
      </c>
      <c r="J36" s="59">
        <v>0.04</v>
      </c>
      <c r="K36" s="59">
        <v>302.32</v>
      </c>
      <c r="L36" s="59">
        <v>14.33</v>
      </c>
      <c r="M36" s="59">
        <v>76</v>
      </c>
      <c r="N36" s="59">
        <v>33.6</v>
      </c>
      <c r="O36" s="59">
        <v>0</v>
      </c>
      <c r="P36" s="59">
        <v>1.65</v>
      </c>
      <c r="Q36" s="59">
        <v>39.79</v>
      </c>
      <c r="R36" s="197"/>
      <c r="S36" s="197"/>
      <c r="T36" s="197"/>
      <c r="U36" s="197"/>
    </row>
    <row r="37" spans="1:21" s="12" customFormat="1" x14ac:dyDescent="0.25">
      <c r="A37" s="200" t="s">
        <v>3060</v>
      </c>
      <c r="B37" s="59">
        <v>109.22</v>
      </c>
      <c r="C37" s="59">
        <v>127.3</v>
      </c>
      <c r="D37" s="59">
        <v>157.84</v>
      </c>
      <c r="E37" s="59">
        <v>4.7</v>
      </c>
      <c r="F37" s="59">
        <v>0.3</v>
      </c>
      <c r="G37" s="59">
        <v>129.08000000000001</v>
      </c>
      <c r="H37" s="59">
        <v>44.56</v>
      </c>
      <c r="I37" s="59">
        <v>0.61</v>
      </c>
      <c r="J37" s="59">
        <v>7.0000000000000007E-2</v>
      </c>
      <c r="K37" s="59">
        <v>303.04000000000002</v>
      </c>
      <c r="L37" s="59">
        <v>14.69</v>
      </c>
      <c r="M37" s="59">
        <v>76</v>
      </c>
      <c r="N37" s="59">
        <v>40.9</v>
      </c>
      <c r="O37" s="59">
        <v>0</v>
      </c>
      <c r="P37" s="59">
        <v>1.66</v>
      </c>
      <c r="Q37" s="59">
        <v>40.64</v>
      </c>
      <c r="R37" s="197"/>
      <c r="S37" s="197"/>
      <c r="T37" s="197"/>
      <c r="U37" s="197"/>
    </row>
    <row r="38" spans="1:21" s="12" customFormat="1" x14ac:dyDescent="0.25">
      <c r="A38" s="200" t="s">
        <v>3061</v>
      </c>
      <c r="B38" s="59">
        <v>114.04</v>
      </c>
      <c r="C38" s="59">
        <v>130.77000000000001</v>
      </c>
      <c r="D38" s="59">
        <v>163.62</v>
      </c>
      <c r="E38" s="59">
        <v>5.05</v>
      </c>
      <c r="F38" s="59">
        <v>0.43</v>
      </c>
      <c r="G38" s="59">
        <v>129.08000000000001</v>
      </c>
      <c r="H38" s="59">
        <v>44.56</v>
      </c>
      <c r="I38" s="59">
        <v>0.62</v>
      </c>
      <c r="J38" s="59">
        <v>0.13</v>
      </c>
      <c r="K38" s="59">
        <v>297.74</v>
      </c>
      <c r="L38" s="59">
        <v>15.56</v>
      </c>
      <c r="M38" s="59">
        <v>73</v>
      </c>
      <c r="N38" s="59">
        <v>48.3</v>
      </c>
      <c r="O38" s="59">
        <v>0</v>
      </c>
      <c r="P38" s="59">
        <v>1.76</v>
      </c>
      <c r="Q38" s="59">
        <v>41.34</v>
      </c>
      <c r="R38" s="197"/>
      <c r="S38" s="197"/>
      <c r="T38" s="197"/>
      <c r="U38" s="197"/>
    </row>
    <row r="39" spans="1:21" s="12" customFormat="1" x14ac:dyDescent="0.25">
      <c r="A39" s="200" t="s">
        <v>3062</v>
      </c>
      <c r="B39" s="59">
        <v>114.84</v>
      </c>
      <c r="C39" s="59">
        <v>132.22</v>
      </c>
      <c r="D39" s="59">
        <v>165.06</v>
      </c>
      <c r="E39" s="59">
        <v>5.07</v>
      </c>
      <c r="F39" s="59">
        <v>0.24</v>
      </c>
      <c r="G39" s="59">
        <v>129.08000000000001</v>
      </c>
      <c r="H39" s="59">
        <v>44.56</v>
      </c>
      <c r="I39" s="59">
        <v>0.56999999999999995</v>
      </c>
      <c r="J39" s="59">
        <v>0.09</v>
      </c>
      <c r="K39" s="59">
        <v>348.42</v>
      </c>
      <c r="L39" s="59">
        <v>16.579999999999998</v>
      </c>
      <c r="M39" s="59">
        <v>69</v>
      </c>
      <c r="N39" s="59">
        <v>77.599999999999994</v>
      </c>
      <c r="O39" s="59">
        <v>0</v>
      </c>
      <c r="P39" s="59">
        <v>1.81</v>
      </c>
      <c r="Q39" s="59">
        <v>41.38</v>
      </c>
      <c r="R39" s="197"/>
      <c r="S39" s="197"/>
      <c r="T39" s="197"/>
      <c r="U39" s="197"/>
    </row>
    <row r="40" spans="1:21" s="12" customFormat="1" x14ac:dyDescent="0.25">
      <c r="A40" s="200" t="s">
        <v>3063</v>
      </c>
      <c r="B40" s="59">
        <v>117.28</v>
      </c>
      <c r="C40" s="59">
        <v>136.09</v>
      </c>
      <c r="D40" s="59">
        <v>169.16</v>
      </c>
      <c r="E40" s="59">
        <v>2.4300000000000002</v>
      </c>
      <c r="F40" s="59">
        <v>0.22</v>
      </c>
      <c r="G40" s="59">
        <v>145.02000000000001</v>
      </c>
      <c r="H40" s="59">
        <v>51.45</v>
      </c>
      <c r="I40" s="59">
        <v>0.56999999999999995</v>
      </c>
      <c r="J40" s="59">
        <v>0.28000000000000003</v>
      </c>
      <c r="K40" s="59">
        <v>21.59</v>
      </c>
      <c r="L40" s="59">
        <v>19.45</v>
      </c>
      <c r="M40" s="59">
        <v>59</v>
      </c>
      <c r="N40" s="59">
        <v>168.7</v>
      </c>
      <c r="O40" s="59">
        <v>0</v>
      </c>
      <c r="P40" s="59">
        <v>1.92</v>
      </c>
      <c r="Q40" s="59">
        <v>41.31</v>
      </c>
      <c r="R40" s="197"/>
      <c r="S40" s="197"/>
      <c r="T40" s="197"/>
      <c r="U40" s="197"/>
    </row>
    <row r="41" spans="1:21" s="12" customFormat="1" x14ac:dyDescent="0.25">
      <c r="A41" s="200" t="s">
        <v>3064</v>
      </c>
      <c r="B41" s="59">
        <v>118.27</v>
      </c>
      <c r="C41" s="59">
        <v>139.37</v>
      </c>
      <c r="D41" s="59">
        <v>171.76</v>
      </c>
      <c r="E41" s="59">
        <v>4.7699999999999996</v>
      </c>
      <c r="F41" s="59">
        <v>0.2</v>
      </c>
      <c r="G41" s="59">
        <v>145.02000000000001</v>
      </c>
      <c r="H41" s="59">
        <v>53.42</v>
      </c>
      <c r="I41" s="59">
        <v>0.57999999999999996</v>
      </c>
      <c r="J41" s="59">
        <v>0.11</v>
      </c>
      <c r="K41" s="59">
        <v>27.7</v>
      </c>
      <c r="L41" s="59">
        <v>22.82</v>
      </c>
      <c r="M41" s="59">
        <v>49</v>
      </c>
      <c r="N41" s="59">
        <v>200.6</v>
      </c>
      <c r="O41" s="59">
        <v>0</v>
      </c>
      <c r="P41" s="59">
        <v>2.0099999999999998</v>
      </c>
      <c r="Q41" s="59">
        <v>41.58</v>
      </c>
      <c r="R41" s="197"/>
      <c r="S41" s="197"/>
      <c r="T41" s="197"/>
      <c r="U41" s="197"/>
    </row>
    <row r="42" spans="1:21" s="12" customFormat="1" x14ac:dyDescent="0.25">
      <c r="A42" s="200" t="s">
        <v>3065</v>
      </c>
      <c r="B42" s="59">
        <v>116.47</v>
      </c>
      <c r="C42" s="59">
        <v>142.63999999999999</v>
      </c>
      <c r="D42" s="59">
        <v>172.12</v>
      </c>
      <c r="E42" s="59">
        <v>4.51</v>
      </c>
      <c r="F42" s="59">
        <v>0.13</v>
      </c>
      <c r="G42" s="59">
        <v>145.02000000000001</v>
      </c>
      <c r="H42" s="59">
        <v>53.42</v>
      </c>
      <c r="I42" s="59">
        <v>0.59</v>
      </c>
      <c r="J42" s="59">
        <v>0.18</v>
      </c>
      <c r="K42" s="59">
        <v>135.82</v>
      </c>
      <c r="L42" s="59">
        <v>24.48</v>
      </c>
      <c r="M42" s="59">
        <v>44</v>
      </c>
      <c r="N42" s="59">
        <v>220.4</v>
      </c>
      <c r="O42" s="59">
        <v>0</v>
      </c>
      <c r="P42" s="59">
        <v>2.09</v>
      </c>
      <c r="Q42" s="59">
        <v>41.16</v>
      </c>
      <c r="R42" s="197"/>
      <c r="S42" s="197"/>
      <c r="T42" s="197"/>
      <c r="U42" s="197"/>
    </row>
    <row r="43" spans="1:21" s="12" customFormat="1" x14ac:dyDescent="0.25">
      <c r="A43" s="200" t="s">
        <v>3066</v>
      </c>
      <c r="B43" s="59">
        <v>112.58</v>
      </c>
      <c r="C43" s="59">
        <v>143.59</v>
      </c>
      <c r="D43" s="59">
        <v>169.53</v>
      </c>
      <c r="E43" s="59">
        <v>4.46</v>
      </c>
      <c r="F43" s="59">
        <v>0.27</v>
      </c>
      <c r="G43" s="59">
        <v>145.02000000000001</v>
      </c>
      <c r="H43" s="59">
        <v>53.42</v>
      </c>
      <c r="I43" s="59">
        <v>0.61</v>
      </c>
      <c r="J43" s="59">
        <v>0.39</v>
      </c>
      <c r="K43" s="59">
        <v>161.15</v>
      </c>
      <c r="L43" s="59">
        <v>24.27</v>
      </c>
      <c r="M43" s="59">
        <v>44</v>
      </c>
      <c r="N43" s="59">
        <v>251.1</v>
      </c>
      <c r="O43" s="59">
        <v>0</v>
      </c>
      <c r="P43" s="59">
        <v>2.12</v>
      </c>
      <c r="Q43" s="59">
        <v>40.590000000000003</v>
      </c>
      <c r="R43" s="197"/>
      <c r="S43" s="197"/>
      <c r="T43" s="197"/>
      <c r="U43" s="197"/>
    </row>
    <row r="44" spans="1:21" s="12" customFormat="1" x14ac:dyDescent="0.25">
      <c r="A44" s="200" t="s">
        <v>3067</v>
      </c>
      <c r="B44" s="59">
        <v>107.36</v>
      </c>
      <c r="C44" s="59">
        <v>143.03</v>
      </c>
      <c r="D44" s="59">
        <v>165.03</v>
      </c>
      <c r="E44" s="59">
        <v>4.38</v>
      </c>
      <c r="F44" s="59">
        <v>0.1</v>
      </c>
      <c r="G44" s="59">
        <v>147.55000000000001</v>
      </c>
      <c r="H44" s="59">
        <v>64.19</v>
      </c>
      <c r="I44" s="59">
        <v>0.63</v>
      </c>
      <c r="J44" s="59">
        <v>0.56999999999999995</v>
      </c>
      <c r="K44" s="59">
        <v>160.07</v>
      </c>
      <c r="L44" s="59">
        <v>23.98</v>
      </c>
      <c r="M44" s="59">
        <v>38</v>
      </c>
      <c r="N44" s="59">
        <v>284.7</v>
      </c>
      <c r="O44" s="59">
        <v>0</v>
      </c>
      <c r="P44" s="59">
        <v>2.11</v>
      </c>
      <c r="Q44" s="59">
        <v>40.090000000000003</v>
      </c>
      <c r="R44" s="197"/>
      <c r="S44" s="197"/>
      <c r="T44" s="197"/>
      <c r="U44" s="197"/>
    </row>
    <row r="45" spans="1:21" s="12" customFormat="1" x14ac:dyDescent="0.25">
      <c r="A45" s="200" t="s">
        <v>3068</v>
      </c>
      <c r="B45" s="59">
        <v>100.48</v>
      </c>
      <c r="C45" s="59">
        <v>140.75</v>
      </c>
      <c r="D45" s="59">
        <v>158.25</v>
      </c>
      <c r="E45" s="59">
        <v>4.53</v>
      </c>
      <c r="F45" s="59">
        <v>0.28000000000000003</v>
      </c>
      <c r="G45" s="59">
        <v>147.55000000000001</v>
      </c>
      <c r="H45" s="59">
        <v>67.27</v>
      </c>
      <c r="I45" s="59">
        <v>0.64</v>
      </c>
      <c r="J45" s="59">
        <v>0.63</v>
      </c>
      <c r="K45" s="59">
        <v>171.73</v>
      </c>
      <c r="L45" s="59">
        <v>23.84</v>
      </c>
      <c r="M45" s="59">
        <v>38</v>
      </c>
      <c r="N45" s="59">
        <v>300.10000000000002</v>
      </c>
      <c r="O45" s="59">
        <v>0</v>
      </c>
      <c r="P45" s="59">
        <v>2.0499999999999998</v>
      </c>
      <c r="Q45" s="59">
        <v>39.93</v>
      </c>
      <c r="R45" s="197"/>
      <c r="S45" s="197"/>
      <c r="T45" s="197"/>
      <c r="U45" s="197"/>
    </row>
    <row r="46" spans="1:21" s="12" customFormat="1" x14ac:dyDescent="0.25">
      <c r="A46" s="200" t="s">
        <v>3069</v>
      </c>
      <c r="B46" s="59">
        <v>93</v>
      </c>
      <c r="C46" s="59">
        <v>137.66</v>
      </c>
      <c r="D46" s="59">
        <v>150.55000000000001</v>
      </c>
      <c r="E46" s="59">
        <v>4.51</v>
      </c>
      <c r="F46" s="59">
        <v>0.46</v>
      </c>
      <c r="G46" s="59">
        <v>147.55000000000001</v>
      </c>
      <c r="H46" s="59">
        <v>67.27</v>
      </c>
      <c r="I46" s="59">
        <v>0.64</v>
      </c>
      <c r="J46" s="59">
        <v>0.42</v>
      </c>
      <c r="K46" s="59">
        <v>159.35</v>
      </c>
      <c r="L46" s="59">
        <v>24.71</v>
      </c>
      <c r="M46" s="59">
        <v>36</v>
      </c>
      <c r="N46" s="59">
        <v>308</v>
      </c>
      <c r="O46" s="59">
        <v>0</v>
      </c>
      <c r="P46" s="59">
        <v>2.0099999999999998</v>
      </c>
      <c r="Q46" s="59">
        <v>39.74</v>
      </c>
      <c r="R46" s="197"/>
      <c r="S46" s="197"/>
      <c r="T46" s="197"/>
      <c r="U46" s="197"/>
    </row>
    <row r="47" spans="1:21" s="12" customFormat="1" x14ac:dyDescent="0.25">
      <c r="A47" s="200" t="s">
        <v>3070</v>
      </c>
      <c r="B47" s="59">
        <v>86.39</v>
      </c>
      <c r="C47" s="59">
        <v>134.97</v>
      </c>
      <c r="D47" s="59">
        <v>143.76</v>
      </c>
      <c r="E47" s="59">
        <v>4.4800000000000004</v>
      </c>
      <c r="F47" s="59">
        <v>0.31</v>
      </c>
      <c r="G47" s="59">
        <v>147.55000000000001</v>
      </c>
      <c r="H47" s="59">
        <v>67.27</v>
      </c>
      <c r="I47" s="59">
        <v>0.63</v>
      </c>
      <c r="J47" s="59">
        <v>0.48</v>
      </c>
      <c r="K47" s="59">
        <v>138.47</v>
      </c>
      <c r="L47" s="59">
        <v>25.14</v>
      </c>
      <c r="M47" s="59">
        <v>34</v>
      </c>
      <c r="N47" s="59">
        <v>320.8</v>
      </c>
      <c r="O47" s="59">
        <v>0</v>
      </c>
      <c r="P47" s="59">
        <v>1.97</v>
      </c>
      <c r="Q47" s="59">
        <v>39.75</v>
      </c>
      <c r="R47" s="197"/>
      <c r="S47" s="197"/>
      <c r="T47" s="197"/>
      <c r="U47" s="197"/>
    </row>
    <row r="48" spans="1:21" s="12" customFormat="1" x14ac:dyDescent="0.25">
      <c r="A48" s="200" t="s">
        <v>3071</v>
      </c>
      <c r="B48" s="59">
        <v>79.61</v>
      </c>
      <c r="C48" s="59">
        <v>133.91999999999999</v>
      </c>
      <c r="D48" s="59">
        <v>137.75</v>
      </c>
      <c r="E48" s="59">
        <v>4.9800000000000004</v>
      </c>
      <c r="F48" s="59">
        <v>0.3</v>
      </c>
      <c r="G48" s="59">
        <v>88.63</v>
      </c>
      <c r="H48" s="59">
        <v>57.55</v>
      </c>
      <c r="I48" s="59">
        <v>0.62</v>
      </c>
      <c r="J48" s="59">
        <v>0.43</v>
      </c>
      <c r="K48" s="59">
        <v>138.69999999999999</v>
      </c>
      <c r="L48" s="59">
        <v>25.76</v>
      </c>
      <c r="M48" s="59">
        <v>32</v>
      </c>
      <c r="N48" s="59">
        <v>329.8</v>
      </c>
      <c r="O48" s="59">
        <v>0</v>
      </c>
      <c r="P48" s="59">
        <v>1.91</v>
      </c>
      <c r="Q48" s="59">
        <v>39.74</v>
      </c>
      <c r="R48" s="197"/>
      <c r="S48" s="197"/>
      <c r="T48" s="197"/>
      <c r="U48" s="197"/>
    </row>
    <row r="49" spans="1:21" s="12" customFormat="1" x14ac:dyDescent="0.25">
      <c r="A49" s="200" t="s">
        <v>3072</v>
      </c>
      <c r="B49" s="59">
        <v>75.08</v>
      </c>
      <c r="C49" s="59">
        <v>129.4</v>
      </c>
      <c r="D49" s="59">
        <v>131.62</v>
      </c>
      <c r="E49" s="59">
        <v>4.46</v>
      </c>
      <c r="F49" s="59">
        <v>0.19</v>
      </c>
      <c r="G49" s="59">
        <v>88.63</v>
      </c>
      <c r="H49" s="59">
        <v>54.77</v>
      </c>
      <c r="I49" s="59">
        <v>0.6</v>
      </c>
      <c r="J49" s="59">
        <v>0.63</v>
      </c>
      <c r="K49" s="59">
        <v>119.77</v>
      </c>
      <c r="L49" s="59">
        <v>25.13</v>
      </c>
      <c r="M49" s="59">
        <v>32</v>
      </c>
      <c r="N49" s="59">
        <v>341.1</v>
      </c>
      <c r="O49" s="59">
        <v>0</v>
      </c>
      <c r="P49" s="59">
        <v>1.86</v>
      </c>
      <c r="Q49" s="59">
        <v>40.06</v>
      </c>
      <c r="R49" s="197"/>
      <c r="S49" s="197"/>
      <c r="T49" s="197"/>
      <c r="U49" s="197"/>
    </row>
    <row r="50" spans="1:21" s="12" customFormat="1" x14ac:dyDescent="0.25">
      <c r="A50" s="200" t="s">
        <v>3073</v>
      </c>
      <c r="B50" s="59">
        <v>68.05</v>
      </c>
      <c r="C50" s="59">
        <v>126.21</v>
      </c>
      <c r="D50" s="59">
        <v>124.22</v>
      </c>
      <c r="E50" s="59">
        <v>4.58</v>
      </c>
      <c r="F50" s="59">
        <v>0.12</v>
      </c>
      <c r="G50" s="59">
        <v>88.63</v>
      </c>
      <c r="H50" s="59">
        <v>54.77</v>
      </c>
      <c r="I50" s="59">
        <v>0.6</v>
      </c>
      <c r="J50" s="59">
        <v>0.6</v>
      </c>
      <c r="K50" s="59">
        <v>117.63</v>
      </c>
      <c r="L50" s="59">
        <v>25.76</v>
      </c>
      <c r="M50" s="59">
        <v>31</v>
      </c>
      <c r="N50" s="59">
        <v>347.1</v>
      </c>
      <c r="O50" s="59">
        <v>0</v>
      </c>
      <c r="P50" s="59">
        <v>1.79</v>
      </c>
      <c r="Q50" s="59">
        <v>41.14</v>
      </c>
      <c r="R50" s="197"/>
      <c r="S50" s="197"/>
      <c r="T50" s="197"/>
      <c r="U50" s="197"/>
    </row>
    <row r="51" spans="1:21" s="12" customFormat="1" x14ac:dyDescent="0.25">
      <c r="A51" s="200" t="s">
        <v>3074</v>
      </c>
      <c r="B51" s="59">
        <v>59.49</v>
      </c>
      <c r="C51" s="59">
        <v>123.75</v>
      </c>
      <c r="D51" s="59">
        <v>115.99</v>
      </c>
      <c r="E51" s="59">
        <v>4.33</v>
      </c>
      <c r="F51" s="59">
        <v>0.28999999999999998</v>
      </c>
      <c r="G51" s="59">
        <v>88.63</v>
      </c>
      <c r="H51" s="59">
        <v>54.77</v>
      </c>
      <c r="I51" s="59">
        <v>0.59</v>
      </c>
      <c r="J51" s="59">
        <v>0.71</v>
      </c>
      <c r="K51" s="59">
        <v>144.63</v>
      </c>
      <c r="L51" s="59">
        <v>26.7</v>
      </c>
      <c r="M51" s="59">
        <v>29</v>
      </c>
      <c r="N51" s="59">
        <v>360.8</v>
      </c>
      <c r="O51" s="59">
        <v>0</v>
      </c>
      <c r="P51" s="59">
        <v>1.7</v>
      </c>
      <c r="Q51" s="59">
        <v>41.33</v>
      </c>
      <c r="R51" s="197"/>
      <c r="S51" s="197"/>
      <c r="T51" s="197"/>
      <c r="U51" s="197"/>
    </row>
    <row r="52" spans="1:21" s="12" customFormat="1" x14ac:dyDescent="0.25">
      <c r="A52" s="200" t="s">
        <v>3075</v>
      </c>
      <c r="B52" s="59">
        <v>51.54</v>
      </c>
      <c r="C52" s="59">
        <v>121.53</v>
      </c>
      <c r="D52" s="59">
        <v>108.4</v>
      </c>
      <c r="E52" s="59">
        <v>4.03</v>
      </c>
      <c r="F52" s="59">
        <v>0.35</v>
      </c>
      <c r="G52" s="59">
        <v>54.72</v>
      </c>
      <c r="H52" s="59">
        <v>45.79</v>
      </c>
      <c r="I52" s="59">
        <v>0.56000000000000005</v>
      </c>
      <c r="J52" s="59">
        <v>0.83</v>
      </c>
      <c r="K52" s="59">
        <v>108.81</v>
      </c>
      <c r="L52" s="59">
        <v>26.75</v>
      </c>
      <c r="M52" s="59">
        <v>29</v>
      </c>
      <c r="N52" s="59">
        <v>368.8</v>
      </c>
      <c r="O52" s="59">
        <v>0</v>
      </c>
      <c r="P52" s="59">
        <v>1.62</v>
      </c>
      <c r="Q52" s="59">
        <v>40.74</v>
      </c>
      <c r="R52" s="197"/>
      <c r="S52" s="197"/>
      <c r="T52" s="197"/>
      <c r="U52" s="197"/>
    </row>
    <row r="53" spans="1:21" s="12" customFormat="1" x14ac:dyDescent="0.25">
      <c r="A53" s="200" t="s">
        <v>3076</v>
      </c>
      <c r="B53" s="59">
        <v>44.83</v>
      </c>
      <c r="C53" s="59">
        <v>120.13</v>
      </c>
      <c r="D53" s="59">
        <v>102.25</v>
      </c>
      <c r="E53" s="59">
        <v>3.91</v>
      </c>
      <c r="F53" s="59">
        <v>0.24</v>
      </c>
      <c r="G53" s="59">
        <v>54.72</v>
      </c>
      <c r="H53" s="59">
        <v>43.22</v>
      </c>
      <c r="I53" s="59">
        <v>0.53</v>
      </c>
      <c r="J53" s="59">
        <v>0.4</v>
      </c>
      <c r="K53" s="59">
        <v>50.48</v>
      </c>
      <c r="L53" s="59">
        <v>29.17</v>
      </c>
      <c r="M53" s="59">
        <v>26</v>
      </c>
      <c r="N53" s="59">
        <v>368.1</v>
      </c>
      <c r="O53" s="59">
        <v>0</v>
      </c>
      <c r="P53" s="59">
        <v>1.56</v>
      </c>
      <c r="Q53" s="59">
        <v>40.56</v>
      </c>
      <c r="R53" s="197"/>
      <c r="S53" s="197"/>
      <c r="T53" s="197"/>
      <c r="U53" s="197"/>
    </row>
    <row r="54" spans="1:21" s="12" customFormat="1" x14ac:dyDescent="0.25">
      <c r="A54" s="200" t="s">
        <v>3077</v>
      </c>
      <c r="B54" s="59">
        <v>38.96</v>
      </c>
      <c r="C54" s="59">
        <v>120.16</v>
      </c>
      <c r="D54" s="59">
        <v>97.55</v>
      </c>
      <c r="E54" s="59">
        <v>3.73</v>
      </c>
      <c r="F54" s="59">
        <v>0.53</v>
      </c>
      <c r="G54" s="59">
        <v>54.72</v>
      </c>
      <c r="H54" s="59">
        <v>43.22</v>
      </c>
      <c r="I54" s="59">
        <v>0.5</v>
      </c>
      <c r="J54" s="59">
        <v>0.35</v>
      </c>
      <c r="K54" s="59">
        <v>81.52</v>
      </c>
      <c r="L54" s="59">
        <v>29.11</v>
      </c>
      <c r="M54" s="59">
        <v>25</v>
      </c>
      <c r="N54" s="59">
        <v>368.3</v>
      </c>
      <c r="O54" s="59">
        <v>0</v>
      </c>
      <c r="P54" s="59">
        <v>1.51</v>
      </c>
      <c r="Q54" s="59">
        <v>40.25</v>
      </c>
      <c r="R54" s="197"/>
      <c r="S54" s="197"/>
      <c r="T54" s="197"/>
      <c r="U54" s="197"/>
    </row>
    <row r="55" spans="1:21" s="12" customFormat="1" x14ac:dyDescent="0.25">
      <c r="A55" s="200" t="s">
        <v>3078</v>
      </c>
      <c r="B55" s="59">
        <v>33.01</v>
      </c>
      <c r="C55" s="59">
        <v>120.22</v>
      </c>
      <c r="D55" s="59">
        <v>92.82</v>
      </c>
      <c r="E55" s="59">
        <v>3.92</v>
      </c>
      <c r="F55" s="59">
        <v>0.41</v>
      </c>
      <c r="G55" s="59">
        <v>54.72</v>
      </c>
      <c r="H55" s="59">
        <v>43.22</v>
      </c>
      <c r="I55" s="59">
        <v>0.48</v>
      </c>
      <c r="J55" s="59">
        <v>0.91</v>
      </c>
      <c r="K55" s="59">
        <v>128.55000000000001</v>
      </c>
      <c r="L55" s="59">
        <v>28.56</v>
      </c>
      <c r="M55" s="59">
        <v>25</v>
      </c>
      <c r="N55" s="59">
        <v>370.4</v>
      </c>
      <c r="O55" s="59">
        <v>0</v>
      </c>
      <c r="P55" s="59">
        <v>1.45</v>
      </c>
      <c r="Q55" s="59">
        <v>40.18</v>
      </c>
      <c r="R55" s="197"/>
      <c r="S55" s="197"/>
      <c r="T55" s="197"/>
      <c r="U55" s="197"/>
    </row>
    <row r="56" spans="1:21" s="12" customFormat="1" x14ac:dyDescent="0.25">
      <c r="A56" s="200" t="s">
        <v>3079</v>
      </c>
      <c r="B56" s="59">
        <v>26.82</v>
      </c>
      <c r="C56" s="59">
        <v>118.69</v>
      </c>
      <c r="D56" s="59">
        <v>87.01</v>
      </c>
      <c r="E56" s="59">
        <v>2.16</v>
      </c>
      <c r="F56" s="59">
        <v>0.47</v>
      </c>
      <c r="G56" s="59">
        <v>51.49</v>
      </c>
      <c r="H56" s="59">
        <v>37.61</v>
      </c>
      <c r="I56" s="59">
        <v>0.46</v>
      </c>
      <c r="J56" s="59">
        <v>0.52</v>
      </c>
      <c r="K56" s="59">
        <v>167.02</v>
      </c>
      <c r="L56" s="59">
        <v>28.26</v>
      </c>
      <c r="M56" s="59">
        <v>23</v>
      </c>
      <c r="N56" s="59">
        <v>369.3</v>
      </c>
      <c r="O56" s="59">
        <v>0</v>
      </c>
      <c r="P56" s="59">
        <v>1.38</v>
      </c>
      <c r="Q56" s="59">
        <v>39.409999999999997</v>
      </c>
      <c r="R56" s="197"/>
      <c r="S56" s="197"/>
      <c r="T56" s="197"/>
      <c r="U56" s="197"/>
    </row>
    <row r="57" spans="1:21" s="12" customFormat="1" x14ac:dyDescent="0.25">
      <c r="A57" s="200" t="s">
        <v>3080</v>
      </c>
      <c r="B57" s="59">
        <v>20.39</v>
      </c>
      <c r="C57" s="59">
        <v>113.22</v>
      </c>
      <c r="D57" s="59">
        <v>78.83</v>
      </c>
      <c r="E57" s="59">
        <v>3.93</v>
      </c>
      <c r="F57" s="59">
        <v>1.53</v>
      </c>
      <c r="G57" s="59">
        <v>51.49</v>
      </c>
      <c r="H57" s="59">
        <v>36.01</v>
      </c>
      <c r="I57" s="59">
        <v>0.44</v>
      </c>
      <c r="J57" s="59">
        <v>0.23</v>
      </c>
      <c r="K57" s="59">
        <v>156.37</v>
      </c>
      <c r="L57" s="59">
        <v>29.81</v>
      </c>
      <c r="M57" s="59">
        <v>22</v>
      </c>
      <c r="N57" s="59">
        <v>363.2</v>
      </c>
      <c r="O57" s="59">
        <v>0</v>
      </c>
      <c r="P57" s="59">
        <v>1.32</v>
      </c>
      <c r="Q57" s="59">
        <v>37.950000000000003</v>
      </c>
      <c r="R57" s="197"/>
      <c r="S57" s="197"/>
      <c r="T57" s="197"/>
      <c r="U57" s="197"/>
    </row>
    <row r="58" spans="1:21" s="12" customFormat="1" x14ac:dyDescent="0.25">
      <c r="A58" s="200" t="s">
        <v>3081</v>
      </c>
      <c r="B58" s="59">
        <v>16.11</v>
      </c>
      <c r="C58" s="59">
        <v>107.89</v>
      </c>
      <c r="D58" s="59">
        <v>72.459999999999994</v>
      </c>
      <c r="E58" s="59">
        <v>4.67</v>
      </c>
      <c r="F58" s="59">
        <v>3.55</v>
      </c>
      <c r="G58" s="59">
        <v>51.49</v>
      </c>
      <c r="H58" s="59">
        <v>36.01</v>
      </c>
      <c r="I58" s="59">
        <v>0.41</v>
      </c>
      <c r="J58" s="59">
        <v>0.41</v>
      </c>
      <c r="K58" s="59">
        <v>11.46</v>
      </c>
      <c r="L58" s="59">
        <v>31.93</v>
      </c>
      <c r="M58" s="59">
        <v>21</v>
      </c>
      <c r="N58" s="59">
        <v>355.9</v>
      </c>
      <c r="O58" s="59">
        <v>0</v>
      </c>
      <c r="P58" s="59">
        <v>1.28</v>
      </c>
      <c r="Q58" s="59">
        <v>35.909999999999997</v>
      </c>
      <c r="R58" s="197"/>
      <c r="S58" s="197"/>
      <c r="T58" s="197"/>
      <c r="U58" s="197"/>
    </row>
    <row r="59" spans="1:21" s="12" customFormat="1" x14ac:dyDescent="0.25">
      <c r="A59" s="200" t="s">
        <v>3082</v>
      </c>
      <c r="B59" s="59">
        <v>15.22</v>
      </c>
      <c r="C59" s="59">
        <v>105.64</v>
      </c>
      <c r="D59" s="59">
        <v>70.510000000000005</v>
      </c>
      <c r="E59" s="59">
        <v>4.37</v>
      </c>
      <c r="F59" s="59">
        <v>3.23</v>
      </c>
      <c r="G59" s="59">
        <v>51.49</v>
      </c>
      <c r="H59" s="59">
        <v>36.01</v>
      </c>
      <c r="I59" s="59">
        <v>0.4</v>
      </c>
      <c r="J59" s="59">
        <v>0.44</v>
      </c>
      <c r="K59" s="59">
        <v>12.3</v>
      </c>
      <c r="L59" s="59">
        <v>33.159999999999997</v>
      </c>
      <c r="M59" s="59">
        <v>20</v>
      </c>
      <c r="N59" s="59">
        <v>352.5</v>
      </c>
      <c r="O59" s="59">
        <v>0</v>
      </c>
      <c r="P59" s="59">
        <v>1.26</v>
      </c>
      <c r="Q59" s="59">
        <v>35.25</v>
      </c>
      <c r="R59" s="197"/>
      <c r="S59" s="197"/>
      <c r="T59" s="197"/>
      <c r="U59" s="197"/>
    </row>
    <row r="60" spans="1:21" s="12" customFormat="1" x14ac:dyDescent="0.25">
      <c r="A60" s="200" t="s">
        <v>3083</v>
      </c>
      <c r="B60" s="59">
        <v>12.98</v>
      </c>
      <c r="C60" s="59">
        <v>98.89</v>
      </c>
      <c r="D60" s="59">
        <v>64.98</v>
      </c>
      <c r="E60" s="59">
        <v>4.87</v>
      </c>
      <c r="F60" s="59">
        <v>5.54</v>
      </c>
      <c r="G60" s="59">
        <v>55.04</v>
      </c>
      <c r="H60" s="59">
        <v>32.21</v>
      </c>
      <c r="I60" s="59">
        <v>0.39</v>
      </c>
      <c r="J60" s="59">
        <v>0.28000000000000003</v>
      </c>
      <c r="K60" s="59">
        <v>25.18</v>
      </c>
      <c r="L60" s="59">
        <v>32.47</v>
      </c>
      <c r="M60" s="59">
        <v>21</v>
      </c>
      <c r="N60" s="59">
        <v>347.8</v>
      </c>
      <c r="O60" s="59">
        <v>0</v>
      </c>
      <c r="P60" s="59">
        <v>1.22</v>
      </c>
      <c r="Q60" s="59">
        <v>35.53</v>
      </c>
      <c r="R60" s="197"/>
      <c r="S60" s="197"/>
      <c r="T60" s="197"/>
      <c r="U60" s="197"/>
    </row>
    <row r="61" spans="1:21" s="12" customFormat="1" x14ac:dyDescent="0.25">
      <c r="A61" s="200" t="s">
        <v>3084</v>
      </c>
      <c r="B61" s="59">
        <v>11.84</v>
      </c>
      <c r="C61" s="59">
        <v>98.41</v>
      </c>
      <c r="D61" s="59">
        <v>63.81</v>
      </c>
      <c r="E61" s="59">
        <v>5.18</v>
      </c>
      <c r="F61" s="59">
        <v>6.52</v>
      </c>
      <c r="G61" s="59">
        <v>55.04</v>
      </c>
      <c r="H61" s="59">
        <v>31.13</v>
      </c>
      <c r="I61" s="59">
        <v>0.38</v>
      </c>
      <c r="J61" s="59">
        <v>0.59</v>
      </c>
      <c r="K61" s="59">
        <v>30.09</v>
      </c>
      <c r="L61" s="59">
        <v>31.58</v>
      </c>
      <c r="M61" s="59">
        <v>22</v>
      </c>
      <c r="N61" s="59">
        <v>344.9</v>
      </c>
      <c r="O61" s="59">
        <v>0</v>
      </c>
      <c r="P61" s="59">
        <v>1.18</v>
      </c>
      <c r="Q61" s="59">
        <v>36.01</v>
      </c>
      <c r="R61" s="197"/>
      <c r="S61" s="197"/>
      <c r="T61" s="197"/>
      <c r="U61" s="197"/>
    </row>
    <row r="62" spans="1:21" s="12" customFormat="1" x14ac:dyDescent="0.25">
      <c r="A62" s="200" t="s">
        <v>3085</v>
      </c>
      <c r="B62" s="59">
        <v>10.36</v>
      </c>
      <c r="C62" s="59">
        <v>97.44</v>
      </c>
      <c r="D62" s="59">
        <v>62.09</v>
      </c>
      <c r="E62" s="59">
        <v>4.91</v>
      </c>
      <c r="F62" s="59">
        <v>2.82</v>
      </c>
      <c r="G62" s="59">
        <v>55.04</v>
      </c>
      <c r="H62" s="59">
        <v>31.13</v>
      </c>
      <c r="I62" s="59">
        <v>0.37</v>
      </c>
      <c r="J62" s="59">
        <v>0.82</v>
      </c>
      <c r="K62" s="59">
        <v>5.83</v>
      </c>
      <c r="L62" s="59">
        <v>32.32</v>
      </c>
      <c r="M62" s="59">
        <v>21</v>
      </c>
      <c r="N62" s="59">
        <v>342.4</v>
      </c>
      <c r="O62" s="59">
        <v>0</v>
      </c>
      <c r="P62" s="59">
        <v>1.24</v>
      </c>
      <c r="Q62" s="59">
        <v>36.28</v>
      </c>
      <c r="R62" s="197"/>
      <c r="S62" s="197"/>
      <c r="T62" s="197"/>
      <c r="U62" s="197"/>
    </row>
    <row r="63" spans="1:21" s="12" customFormat="1" x14ac:dyDescent="0.25">
      <c r="A63" s="200" t="s">
        <v>3086</v>
      </c>
      <c r="B63" s="59">
        <v>8.4600000000000009</v>
      </c>
      <c r="C63" s="59">
        <v>94.98</v>
      </c>
      <c r="D63" s="59">
        <v>59.21</v>
      </c>
      <c r="E63" s="59">
        <v>4.24</v>
      </c>
      <c r="F63" s="59">
        <v>4.43</v>
      </c>
      <c r="G63" s="59">
        <v>55.04</v>
      </c>
      <c r="H63" s="59">
        <v>31.13</v>
      </c>
      <c r="I63" s="59">
        <v>0.38</v>
      </c>
      <c r="J63" s="59">
        <v>0.59</v>
      </c>
      <c r="K63" s="59">
        <v>11.36</v>
      </c>
      <c r="L63" s="59">
        <v>33.78</v>
      </c>
      <c r="M63" s="59">
        <v>20</v>
      </c>
      <c r="N63" s="59">
        <v>333</v>
      </c>
      <c r="O63" s="59">
        <v>0</v>
      </c>
      <c r="P63" s="59">
        <v>1.22</v>
      </c>
      <c r="Q63" s="59">
        <v>36.229999999999997</v>
      </c>
      <c r="R63" s="197"/>
      <c r="S63" s="197"/>
      <c r="T63" s="197"/>
      <c r="U63" s="197"/>
    </row>
    <row r="64" spans="1:21" s="12" customFormat="1" x14ac:dyDescent="0.25">
      <c r="A64" s="200" t="s">
        <v>3087</v>
      </c>
      <c r="B64" s="59">
        <v>7</v>
      </c>
      <c r="C64" s="59">
        <v>97.14</v>
      </c>
      <c r="D64" s="59">
        <v>59.22</v>
      </c>
      <c r="E64" s="59">
        <v>4.3600000000000003</v>
      </c>
      <c r="F64" s="59">
        <v>3.26</v>
      </c>
      <c r="G64" s="59">
        <v>51.01</v>
      </c>
      <c r="H64" s="59">
        <v>31.54</v>
      </c>
      <c r="I64" s="59">
        <v>0.38</v>
      </c>
      <c r="J64" s="59">
        <v>0.61</v>
      </c>
      <c r="K64" s="59">
        <v>23.61</v>
      </c>
      <c r="L64" s="59">
        <v>32.4</v>
      </c>
      <c r="M64" s="59">
        <v>22</v>
      </c>
      <c r="N64" s="59">
        <v>320.60000000000002</v>
      </c>
      <c r="O64" s="59">
        <v>0</v>
      </c>
      <c r="P64" s="59">
        <v>1.21</v>
      </c>
      <c r="Q64" s="59">
        <v>37.340000000000003</v>
      </c>
      <c r="R64" s="197"/>
      <c r="S64" s="197"/>
      <c r="T64" s="197"/>
      <c r="U64" s="197"/>
    </row>
    <row r="65" spans="1:21" s="12" customFormat="1" x14ac:dyDescent="0.25">
      <c r="A65" s="200" t="s">
        <v>3088</v>
      </c>
      <c r="B65" s="59">
        <v>5.35</v>
      </c>
      <c r="C65" s="59">
        <v>99.65</v>
      </c>
      <c r="D65" s="59">
        <v>59.28</v>
      </c>
      <c r="E65" s="59">
        <v>4.53</v>
      </c>
      <c r="F65" s="59">
        <v>3.09</v>
      </c>
      <c r="G65" s="59">
        <v>51.01</v>
      </c>
      <c r="H65" s="59">
        <v>31.66</v>
      </c>
      <c r="I65" s="59">
        <v>0.38</v>
      </c>
      <c r="J65" s="59">
        <v>0.61</v>
      </c>
      <c r="K65" s="59">
        <v>23.9</v>
      </c>
      <c r="L65" s="59">
        <v>32.97</v>
      </c>
      <c r="M65" s="59">
        <v>21</v>
      </c>
      <c r="N65" s="59">
        <v>300.5</v>
      </c>
      <c r="O65" s="59">
        <v>0</v>
      </c>
      <c r="P65" s="59">
        <v>1.2</v>
      </c>
      <c r="Q65" s="59">
        <v>38.97</v>
      </c>
      <c r="R65" s="197"/>
      <c r="S65" s="197"/>
      <c r="T65" s="197"/>
      <c r="U65" s="197"/>
    </row>
    <row r="66" spans="1:21" s="12" customFormat="1" x14ac:dyDescent="0.25">
      <c r="A66" s="200" t="s">
        <v>3089</v>
      </c>
      <c r="B66" s="59">
        <v>3.6</v>
      </c>
      <c r="C66" s="59">
        <v>99.68</v>
      </c>
      <c r="D66" s="59">
        <v>57.9</v>
      </c>
      <c r="E66" s="59">
        <v>4.18</v>
      </c>
      <c r="F66" s="59">
        <v>3.61</v>
      </c>
      <c r="G66" s="59">
        <v>51.01</v>
      </c>
      <c r="H66" s="59">
        <v>31.66</v>
      </c>
      <c r="I66" s="59">
        <v>0.38</v>
      </c>
      <c r="J66" s="59">
        <v>0.57999999999999996</v>
      </c>
      <c r="K66" s="59">
        <v>10.19</v>
      </c>
      <c r="L66" s="59">
        <v>33.07</v>
      </c>
      <c r="M66" s="59">
        <v>21</v>
      </c>
      <c r="N66" s="59">
        <v>208.3</v>
      </c>
      <c r="O66" s="59">
        <v>0</v>
      </c>
      <c r="P66" s="59">
        <v>1.19</v>
      </c>
      <c r="Q66" s="59">
        <v>39.58</v>
      </c>
      <c r="R66" s="197"/>
      <c r="S66" s="197"/>
      <c r="T66" s="197"/>
      <c r="U66" s="197"/>
    </row>
    <row r="67" spans="1:21" s="12" customFormat="1" x14ac:dyDescent="0.25">
      <c r="A67" s="200" t="s">
        <v>3090</v>
      </c>
      <c r="B67" s="59">
        <v>2.36</v>
      </c>
      <c r="C67" s="59">
        <v>98.51</v>
      </c>
      <c r="D67" s="59">
        <v>56.25</v>
      </c>
      <c r="E67" s="59">
        <v>3.97</v>
      </c>
      <c r="F67" s="59">
        <v>3.9</v>
      </c>
      <c r="G67" s="59">
        <v>51.01</v>
      </c>
      <c r="H67" s="59">
        <v>31.66</v>
      </c>
      <c r="I67" s="59">
        <v>0.37</v>
      </c>
      <c r="J67" s="59">
        <v>0.93</v>
      </c>
      <c r="K67" s="59">
        <v>0.71</v>
      </c>
      <c r="L67" s="59">
        <v>33.04</v>
      </c>
      <c r="M67" s="59">
        <v>22</v>
      </c>
      <c r="N67" s="59">
        <v>151.1</v>
      </c>
      <c r="O67" s="59">
        <v>0</v>
      </c>
      <c r="P67" s="59">
        <v>1.18</v>
      </c>
      <c r="Q67" s="59">
        <v>39.81</v>
      </c>
      <c r="R67" s="197"/>
      <c r="S67" s="197"/>
      <c r="T67" s="197"/>
      <c r="U67" s="197"/>
    </row>
    <row r="68" spans="1:21" s="12" customFormat="1" x14ac:dyDescent="0.25">
      <c r="A68" s="200" t="s">
        <v>3091</v>
      </c>
      <c r="B68" s="59">
        <v>1.9</v>
      </c>
      <c r="C68" s="59">
        <v>95.1</v>
      </c>
      <c r="D68" s="59">
        <v>54.01</v>
      </c>
      <c r="E68" s="59">
        <v>4.5</v>
      </c>
      <c r="F68" s="59">
        <v>4.66</v>
      </c>
      <c r="G68" s="59">
        <v>55.71</v>
      </c>
      <c r="H68" s="59">
        <v>31.87</v>
      </c>
      <c r="I68" s="59">
        <v>0.35</v>
      </c>
      <c r="J68" s="59">
        <v>0.62</v>
      </c>
      <c r="K68" s="59">
        <v>358.86</v>
      </c>
      <c r="L68" s="59">
        <v>32.93</v>
      </c>
      <c r="M68" s="59">
        <v>21</v>
      </c>
      <c r="N68" s="59">
        <v>210.1</v>
      </c>
      <c r="O68" s="59">
        <v>0</v>
      </c>
      <c r="P68" s="59">
        <v>1.17</v>
      </c>
      <c r="Q68" s="59">
        <v>38.840000000000003</v>
      </c>
      <c r="R68" s="197"/>
      <c r="S68" s="197"/>
      <c r="T68" s="197"/>
      <c r="U68" s="197"/>
    </row>
    <row r="69" spans="1:21" s="12" customFormat="1" x14ac:dyDescent="0.25">
      <c r="A69" s="200" t="s">
        <v>3092</v>
      </c>
      <c r="B69" s="59">
        <v>2.2599999999999998</v>
      </c>
      <c r="C69" s="59">
        <v>97.41</v>
      </c>
      <c r="D69" s="59">
        <v>55.58</v>
      </c>
      <c r="E69" s="59">
        <v>4.42</v>
      </c>
      <c r="F69" s="59">
        <v>3.14</v>
      </c>
      <c r="G69" s="59">
        <v>55.71</v>
      </c>
      <c r="H69" s="59">
        <v>31.93</v>
      </c>
      <c r="I69" s="59">
        <v>0.33</v>
      </c>
      <c r="J69" s="59">
        <v>0.44</v>
      </c>
      <c r="K69" s="59">
        <v>355.26</v>
      </c>
      <c r="L69" s="59">
        <v>32.01</v>
      </c>
      <c r="M69" s="59">
        <v>23</v>
      </c>
      <c r="N69" s="59">
        <v>204.3</v>
      </c>
      <c r="O69" s="59">
        <v>0</v>
      </c>
      <c r="P69" s="59">
        <v>1.17</v>
      </c>
      <c r="Q69" s="59">
        <v>38.54</v>
      </c>
      <c r="R69" s="197"/>
      <c r="S69" s="197"/>
      <c r="T69" s="197"/>
      <c r="U69" s="197"/>
    </row>
    <row r="70" spans="1:21" s="12" customFormat="1" x14ac:dyDescent="0.25">
      <c r="A70" s="200" t="s">
        <v>3093</v>
      </c>
      <c r="B70" s="59">
        <v>1.68</v>
      </c>
      <c r="C70" s="59">
        <v>97.37</v>
      </c>
      <c r="D70" s="59">
        <v>55.09</v>
      </c>
      <c r="E70" s="59">
        <v>4.66</v>
      </c>
      <c r="F70" s="59">
        <v>4.22</v>
      </c>
      <c r="G70" s="59">
        <v>55.71</v>
      </c>
      <c r="H70" s="59">
        <v>31.93</v>
      </c>
      <c r="I70" s="59">
        <v>0.32</v>
      </c>
      <c r="J70" s="59">
        <v>0.56999999999999995</v>
      </c>
      <c r="K70" s="59">
        <v>8.08</v>
      </c>
      <c r="L70" s="59">
        <v>31.44</v>
      </c>
      <c r="M70" s="59">
        <v>23</v>
      </c>
      <c r="N70" s="59">
        <v>151.19999999999999</v>
      </c>
      <c r="O70" s="59">
        <v>0</v>
      </c>
      <c r="P70" s="59">
        <v>1.19</v>
      </c>
      <c r="Q70" s="59">
        <v>38.26</v>
      </c>
      <c r="R70" s="197"/>
      <c r="S70" s="197"/>
      <c r="T70" s="197"/>
      <c r="U70" s="197"/>
    </row>
    <row r="71" spans="1:21" s="12" customFormat="1" x14ac:dyDescent="0.25">
      <c r="A71" s="200" t="s">
        <v>3094</v>
      </c>
      <c r="B71" s="59">
        <v>3.53</v>
      </c>
      <c r="C71" s="59">
        <v>98.85</v>
      </c>
      <c r="D71" s="59">
        <v>57.38</v>
      </c>
      <c r="E71" s="59">
        <v>8.2100000000000009</v>
      </c>
      <c r="F71" s="59">
        <v>12.86</v>
      </c>
      <c r="G71" s="59">
        <v>55.71</v>
      </c>
      <c r="H71" s="59">
        <v>31.93</v>
      </c>
      <c r="I71" s="59">
        <v>0.31</v>
      </c>
      <c r="J71" s="59">
        <v>0.33</v>
      </c>
      <c r="K71" s="59">
        <v>355.47</v>
      </c>
      <c r="L71" s="59">
        <v>30.61</v>
      </c>
      <c r="M71" s="59">
        <v>25</v>
      </c>
      <c r="N71" s="59">
        <v>131.69999999999999</v>
      </c>
      <c r="O71" s="59">
        <v>0</v>
      </c>
      <c r="P71" s="59">
        <v>1.2</v>
      </c>
      <c r="Q71" s="59">
        <v>36.81</v>
      </c>
      <c r="R71" s="197"/>
      <c r="S71" s="197"/>
      <c r="T71" s="197"/>
      <c r="U71" s="197"/>
    </row>
    <row r="72" spans="1:21" s="12" customFormat="1" x14ac:dyDescent="0.25">
      <c r="A72" s="200" t="s">
        <v>3095</v>
      </c>
      <c r="B72" s="59">
        <v>3.68</v>
      </c>
      <c r="C72" s="59">
        <v>98.36</v>
      </c>
      <c r="D72" s="59">
        <v>57.23</v>
      </c>
      <c r="E72" s="59">
        <v>4.8099999999999996</v>
      </c>
      <c r="F72" s="59">
        <v>10.26</v>
      </c>
      <c r="G72" s="59">
        <v>61.84</v>
      </c>
      <c r="H72" s="59">
        <v>37.51</v>
      </c>
      <c r="I72" s="59">
        <v>0.28999999999999998</v>
      </c>
      <c r="J72" s="59">
        <v>0.61</v>
      </c>
      <c r="K72" s="59">
        <v>6.09</v>
      </c>
      <c r="L72" s="59">
        <v>29.83</v>
      </c>
      <c r="M72" s="59">
        <v>26</v>
      </c>
      <c r="N72" s="59">
        <v>103.1</v>
      </c>
      <c r="O72" s="59">
        <v>0</v>
      </c>
      <c r="P72" s="59">
        <v>1.22</v>
      </c>
      <c r="Q72" s="59">
        <v>35.14</v>
      </c>
      <c r="R72" s="197"/>
      <c r="S72" s="197"/>
      <c r="T72" s="197"/>
      <c r="U72" s="197"/>
    </row>
    <row r="73" spans="1:21" s="12" customFormat="1" x14ac:dyDescent="0.25">
      <c r="A73" s="200" t="s">
        <v>3096</v>
      </c>
      <c r="B73" s="59">
        <v>5.49</v>
      </c>
      <c r="C73" s="59">
        <v>98.1</v>
      </c>
      <c r="D73" s="59">
        <v>58.55</v>
      </c>
      <c r="E73" s="59">
        <v>9.43</v>
      </c>
      <c r="F73" s="59">
        <v>11.93</v>
      </c>
      <c r="G73" s="59">
        <v>61.84</v>
      </c>
      <c r="H73" s="59">
        <v>39.1</v>
      </c>
      <c r="I73" s="59">
        <v>0.27</v>
      </c>
      <c r="J73" s="59">
        <v>0.83</v>
      </c>
      <c r="K73" s="59">
        <v>16.57</v>
      </c>
      <c r="L73" s="59">
        <v>29.3</v>
      </c>
      <c r="M73" s="59">
        <v>27</v>
      </c>
      <c r="N73" s="59">
        <v>60.9</v>
      </c>
      <c r="O73" s="59">
        <v>0</v>
      </c>
      <c r="P73" s="59">
        <v>1.23</v>
      </c>
      <c r="Q73" s="59">
        <v>34.840000000000003</v>
      </c>
      <c r="R73" s="197"/>
      <c r="S73" s="197"/>
      <c r="T73" s="197"/>
      <c r="U73" s="197"/>
    </row>
    <row r="74" spans="1:21" s="12" customFormat="1" x14ac:dyDescent="0.25">
      <c r="A74" s="200" t="s">
        <v>3097</v>
      </c>
      <c r="B74" s="59">
        <v>4.96</v>
      </c>
      <c r="C74" s="59">
        <v>95.11</v>
      </c>
      <c r="D74" s="59">
        <v>56.46</v>
      </c>
      <c r="E74" s="59">
        <v>9.5500000000000007</v>
      </c>
      <c r="F74" s="59">
        <v>7.14</v>
      </c>
      <c r="G74" s="59">
        <v>61.84</v>
      </c>
      <c r="H74" s="59">
        <v>39.1</v>
      </c>
      <c r="I74" s="59">
        <v>0.28000000000000003</v>
      </c>
      <c r="J74" s="59">
        <v>0.83</v>
      </c>
      <c r="K74" s="59">
        <v>8.9600000000000009</v>
      </c>
      <c r="L74" s="59">
        <v>28.75</v>
      </c>
      <c r="M74" s="59">
        <v>29</v>
      </c>
      <c r="N74" s="59">
        <v>51.3</v>
      </c>
      <c r="O74" s="59">
        <v>0</v>
      </c>
      <c r="P74" s="59">
        <v>1.23</v>
      </c>
      <c r="Q74" s="59">
        <v>35.26</v>
      </c>
      <c r="R74" s="197"/>
      <c r="S74" s="197"/>
      <c r="T74" s="197"/>
      <c r="U74" s="197"/>
    </row>
    <row r="75" spans="1:21" s="12" customFormat="1" x14ac:dyDescent="0.25">
      <c r="A75" s="200" t="s">
        <v>3098</v>
      </c>
      <c r="B75" s="59">
        <v>6.79</v>
      </c>
      <c r="C75" s="59">
        <v>100.06</v>
      </c>
      <c r="D75" s="59">
        <v>60.66</v>
      </c>
      <c r="E75" s="59">
        <v>9.8000000000000007</v>
      </c>
      <c r="F75" s="59">
        <v>11.68</v>
      </c>
      <c r="G75" s="59">
        <v>61.84</v>
      </c>
      <c r="H75" s="59">
        <v>39.1</v>
      </c>
      <c r="I75" s="59">
        <v>0.28999999999999998</v>
      </c>
      <c r="J75" s="59">
        <v>0.66</v>
      </c>
      <c r="K75" s="59">
        <v>20.13</v>
      </c>
      <c r="L75" s="59">
        <v>28.23</v>
      </c>
      <c r="M75" s="59">
        <v>30</v>
      </c>
      <c r="N75" s="59">
        <v>43.8</v>
      </c>
      <c r="O75" s="59">
        <v>0</v>
      </c>
      <c r="P75" s="59">
        <v>1.27</v>
      </c>
      <c r="Q75" s="59">
        <v>35.409999999999997</v>
      </c>
      <c r="R75" s="197"/>
      <c r="S75" s="197"/>
      <c r="T75" s="197"/>
      <c r="U75" s="197"/>
    </row>
    <row r="76" spans="1:21" s="12" customFormat="1" x14ac:dyDescent="0.25">
      <c r="A76" s="200" t="s">
        <v>3099</v>
      </c>
      <c r="B76" s="59">
        <v>7.3</v>
      </c>
      <c r="C76" s="59">
        <v>100.86</v>
      </c>
      <c r="D76" s="59">
        <v>61.52</v>
      </c>
      <c r="E76" s="59">
        <v>12.07</v>
      </c>
      <c r="F76" s="59">
        <v>15.58</v>
      </c>
      <c r="G76" s="59">
        <v>68.37</v>
      </c>
      <c r="H76" s="59">
        <v>34.659999999999997</v>
      </c>
      <c r="I76" s="59">
        <v>0.28999999999999998</v>
      </c>
      <c r="J76" s="59">
        <v>0.43</v>
      </c>
      <c r="K76" s="59">
        <v>15.16</v>
      </c>
      <c r="L76" s="59">
        <v>27.54</v>
      </c>
      <c r="M76" s="59">
        <v>33</v>
      </c>
      <c r="N76" s="59">
        <v>37.299999999999997</v>
      </c>
      <c r="O76" s="59">
        <v>0</v>
      </c>
      <c r="P76" s="59">
        <v>1.33</v>
      </c>
      <c r="Q76" s="59">
        <v>35.74</v>
      </c>
      <c r="R76" s="197"/>
      <c r="S76" s="197"/>
      <c r="T76" s="197"/>
      <c r="U76" s="197"/>
    </row>
    <row r="77" spans="1:21" s="12" customFormat="1" x14ac:dyDescent="0.25">
      <c r="A77" s="200" t="s">
        <v>3100</v>
      </c>
      <c r="B77" s="59">
        <v>19.149999999999999</v>
      </c>
      <c r="C77" s="59">
        <v>125.05</v>
      </c>
      <c r="D77" s="59">
        <v>84.37</v>
      </c>
      <c r="E77" s="59">
        <v>12.14</v>
      </c>
      <c r="F77" s="59">
        <v>4.45</v>
      </c>
      <c r="G77" s="59">
        <v>68.37</v>
      </c>
      <c r="H77" s="59">
        <v>33.4</v>
      </c>
      <c r="I77" s="59">
        <v>0.28999999999999998</v>
      </c>
      <c r="J77" s="59">
        <v>0.1</v>
      </c>
      <c r="K77" s="59">
        <v>359.17</v>
      </c>
      <c r="L77" s="59">
        <v>26.61</v>
      </c>
      <c r="M77" s="59">
        <v>35</v>
      </c>
      <c r="N77" s="59">
        <v>31.3</v>
      </c>
      <c r="O77" s="59">
        <v>0</v>
      </c>
      <c r="P77" s="59">
        <v>1.59</v>
      </c>
      <c r="Q77" s="59">
        <v>35.64</v>
      </c>
      <c r="R77" s="197"/>
      <c r="S77" s="197"/>
      <c r="T77" s="197"/>
      <c r="U77" s="197"/>
    </row>
    <row r="78" spans="1:21" s="12" customFormat="1" x14ac:dyDescent="0.25">
      <c r="A78" s="200" t="s">
        <v>3101</v>
      </c>
      <c r="B78" s="59">
        <v>12.53</v>
      </c>
      <c r="C78" s="59">
        <v>108.24</v>
      </c>
      <c r="D78" s="59">
        <v>69.790000000000006</v>
      </c>
      <c r="E78" s="59">
        <v>7.01</v>
      </c>
      <c r="F78" s="59">
        <v>2.15</v>
      </c>
      <c r="G78" s="59">
        <v>68.37</v>
      </c>
      <c r="H78" s="59">
        <v>33.4</v>
      </c>
      <c r="I78" s="59">
        <v>0.3</v>
      </c>
      <c r="J78" s="59">
        <v>0.08</v>
      </c>
      <c r="K78" s="59">
        <v>347.3</v>
      </c>
      <c r="L78" s="59">
        <v>25.65</v>
      </c>
      <c r="M78" s="59">
        <v>39</v>
      </c>
      <c r="N78" s="59">
        <v>26.9</v>
      </c>
      <c r="O78" s="59">
        <v>0</v>
      </c>
      <c r="P78" s="59">
        <v>1.42</v>
      </c>
      <c r="Q78" s="59">
        <v>37.409999999999997</v>
      </c>
      <c r="R78" s="197"/>
      <c r="S78" s="197"/>
      <c r="T78" s="197"/>
      <c r="U78" s="197"/>
    </row>
    <row r="79" spans="1:21" s="12" customFormat="1" x14ac:dyDescent="0.25">
      <c r="A79" s="200" t="s">
        <v>3102</v>
      </c>
      <c r="B79" s="59">
        <v>15.37</v>
      </c>
      <c r="C79" s="59">
        <v>113.29</v>
      </c>
      <c r="D79" s="59">
        <v>74.849999999999994</v>
      </c>
      <c r="E79" s="59">
        <v>5.77</v>
      </c>
      <c r="F79" s="59">
        <v>0.71</v>
      </c>
      <c r="G79" s="59">
        <v>68.37</v>
      </c>
      <c r="H79" s="59">
        <v>33.4</v>
      </c>
      <c r="I79" s="59">
        <v>0.35</v>
      </c>
      <c r="J79" s="59">
        <v>0.15</v>
      </c>
      <c r="K79" s="59">
        <v>101.91</v>
      </c>
      <c r="L79" s="59">
        <v>24.83</v>
      </c>
      <c r="M79" s="59">
        <v>42</v>
      </c>
      <c r="N79" s="59">
        <v>24.9</v>
      </c>
      <c r="O79" s="59">
        <v>0</v>
      </c>
      <c r="P79" s="59">
        <v>1.53</v>
      </c>
      <c r="Q79" s="59">
        <v>40.369999999999997</v>
      </c>
      <c r="R79" s="197"/>
      <c r="S79" s="197"/>
      <c r="T79" s="197"/>
      <c r="U79" s="197"/>
    </row>
    <row r="80" spans="1:21" s="12" customFormat="1" x14ac:dyDescent="0.25">
      <c r="A80" s="200" t="s">
        <v>3103</v>
      </c>
      <c r="B80" s="59">
        <v>15.57</v>
      </c>
      <c r="C80" s="59">
        <v>114.62</v>
      </c>
      <c r="D80" s="59">
        <v>75.75</v>
      </c>
      <c r="E80" s="59">
        <v>4.92</v>
      </c>
      <c r="F80" s="59">
        <v>0.15</v>
      </c>
      <c r="G80" s="59">
        <v>95.94</v>
      </c>
      <c r="H80" s="59">
        <v>38.630000000000003</v>
      </c>
      <c r="I80" s="59">
        <v>0.38</v>
      </c>
      <c r="J80" s="59">
        <v>0.35</v>
      </c>
      <c r="K80" s="59">
        <v>100.11</v>
      </c>
      <c r="L80" s="59">
        <v>24.11</v>
      </c>
      <c r="M80" s="59">
        <v>48</v>
      </c>
      <c r="N80" s="59">
        <v>24.3</v>
      </c>
      <c r="O80" s="59">
        <v>0</v>
      </c>
      <c r="P80" s="59">
        <v>1.59</v>
      </c>
      <c r="Q80" s="59">
        <v>41.18</v>
      </c>
      <c r="R80" s="197"/>
      <c r="S80" s="197"/>
      <c r="T80" s="197"/>
      <c r="U80" s="197"/>
    </row>
    <row r="81" spans="1:26" s="12" customFormat="1" x14ac:dyDescent="0.25">
      <c r="A81" s="200" t="s">
        <v>3104</v>
      </c>
      <c r="B81" s="59">
        <v>15.89</v>
      </c>
      <c r="C81" s="59">
        <v>116.24</v>
      </c>
      <c r="D81" s="59">
        <v>76.900000000000006</v>
      </c>
      <c r="E81" s="59">
        <v>4.88</v>
      </c>
      <c r="F81" s="59">
        <v>0.15</v>
      </c>
      <c r="G81" s="59">
        <v>95.94</v>
      </c>
      <c r="H81" s="59">
        <v>40.130000000000003</v>
      </c>
      <c r="I81" s="59">
        <v>0.4</v>
      </c>
      <c r="J81" s="59">
        <v>0.08</v>
      </c>
      <c r="K81" s="59">
        <v>247.77</v>
      </c>
      <c r="L81" s="59">
        <v>23.48</v>
      </c>
      <c r="M81" s="59">
        <v>53</v>
      </c>
      <c r="N81" s="59">
        <v>24.5</v>
      </c>
      <c r="O81" s="59">
        <v>0</v>
      </c>
      <c r="P81" s="59">
        <v>1.63</v>
      </c>
      <c r="Q81" s="59">
        <v>41.49</v>
      </c>
      <c r="R81" s="197"/>
      <c r="S81" s="197"/>
      <c r="T81" s="197"/>
      <c r="U81" s="197"/>
    </row>
    <row r="82" spans="1:26" s="12" customFormat="1" x14ac:dyDescent="0.25">
      <c r="A82" s="200" t="s">
        <v>3105</v>
      </c>
      <c r="B82" s="59">
        <v>18.21</v>
      </c>
      <c r="C82" s="59">
        <v>119.31</v>
      </c>
      <c r="D82" s="59">
        <v>80.45</v>
      </c>
      <c r="E82" s="59">
        <v>4.78</v>
      </c>
      <c r="F82" s="59">
        <v>0.1</v>
      </c>
      <c r="G82" s="59">
        <v>95.94</v>
      </c>
      <c r="H82" s="59">
        <v>40.130000000000003</v>
      </c>
      <c r="I82" s="59">
        <v>0.42</v>
      </c>
      <c r="J82" s="59">
        <v>0.1</v>
      </c>
      <c r="K82" s="59">
        <v>264.23</v>
      </c>
      <c r="L82" s="59">
        <v>23.34</v>
      </c>
      <c r="M82" s="59">
        <v>47</v>
      </c>
      <c r="N82" s="59">
        <v>24.1</v>
      </c>
      <c r="O82" s="59">
        <v>0</v>
      </c>
      <c r="P82" s="59">
        <v>1.69</v>
      </c>
      <c r="Q82" s="59">
        <v>41.69</v>
      </c>
      <c r="R82" s="197"/>
      <c r="S82" s="197"/>
      <c r="T82" s="197"/>
      <c r="U82" s="197"/>
    </row>
    <row r="83" spans="1:26" s="12" customFormat="1" x14ac:dyDescent="0.25">
      <c r="A83" s="200" t="s">
        <v>3106</v>
      </c>
      <c r="B83" s="59">
        <v>22.07</v>
      </c>
      <c r="C83" s="59">
        <v>123.55</v>
      </c>
      <c r="D83" s="59">
        <v>85.88</v>
      </c>
      <c r="E83" s="59">
        <v>5.12</v>
      </c>
      <c r="F83" s="59">
        <v>0.02</v>
      </c>
      <c r="G83" s="59">
        <v>95.94</v>
      </c>
      <c r="H83" s="59">
        <v>40.130000000000003</v>
      </c>
      <c r="I83" s="59">
        <v>0.44</v>
      </c>
      <c r="J83" s="59">
        <v>0.1</v>
      </c>
      <c r="K83" s="59">
        <v>125.75</v>
      </c>
      <c r="L83" s="59">
        <v>22.74</v>
      </c>
      <c r="M83" s="59">
        <v>53</v>
      </c>
      <c r="N83" s="59">
        <v>24.5</v>
      </c>
      <c r="O83" s="59">
        <v>0</v>
      </c>
      <c r="P83" s="59">
        <v>1.76</v>
      </c>
      <c r="Q83" s="59">
        <v>41.95</v>
      </c>
      <c r="R83" s="197"/>
      <c r="S83" s="197"/>
      <c r="T83" s="197"/>
      <c r="U83" s="197"/>
    </row>
    <row r="84" spans="1:26" s="12" customFormat="1" x14ac:dyDescent="0.25">
      <c r="A84" s="200" t="s">
        <v>3107</v>
      </c>
      <c r="B84" s="59">
        <v>27.2</v>
      </c>
      <c r="C84" s="59">
        <v>128.53</v>
      </c>
      <c r="D84" s="59">
        <v>92.74</v>
      </c>
      <c r="E84" s="59">
        <v>4.8899999999999997</v>
      </c>
      <c r="F84" s="59">
        <v>0.08</v>
      </c>
      <c r="G84" s="59">
        <v>120.05</v>
      </c>
      <c r="H84" s="59">
        <v>46.97</v>
      </c>
      <c r="I84" s="59">
        <v>0.46</v>
      </c>
      <c r="J84" s="59">
        <v>0.04</v>
      </c>
      <c r="K84" s="59">
        <v>106.8</v>
      </c>
      <c r="L84" s="59">
        <v>22.3</v>
      </c>
      <c r="M84" s="59">
        <v>59</v>
      </c>
      <c r="N84" s="59">
        <v>24.2</v>
      </c>
      <c r="O84" s="59">
        <v>0</v>
      </c>
      <c r="P84" s="59">
        <v>1.82</v>
      </c>
      <c r="Q84" s="59">
        <v>41.83</v>
      </c>
      <c r="R84" s="197"/>
      <c r="S84" s="197"/>
      <c r="T84" s="197"/>
      <c r="U84" s="197"/>
    </row>
    <row r="85" spans="1:26" s="12" customFormat="1" x14ac:dyDescent="0.25">
      <c r="A85" s="200" t="s">
        <v>3108</v>
      </c>
      <c r="B85" s="59">
        <v>40.28</v>
      </c>
      <c r="C85" s="59">
        <v>138</v>
      </c>
      <c r="D85" s="59">
        <v>108.46</v>
      </c>
      <c r="E85" s="59">
        <v>5.17</v>
      </c>
      <c r="F85" s="59">
        <v>0.2</v>
      </c>
      <c r="G85" s="59">
        <v>120.05</v>
      </c>
      <c r="H85" s="59">
        <v>48.93</v>
      </c>
      <c r="I85" s="59">
        <v>0.5</v>
      </c>
      <c r="J85" s="59">
        <v>0.03</v>
      </c>
      <c r="K85" s="59">
        <v>336.7</v>
      </c>
      <c r="L85" s="59">
        <v>21.98</v>
      </c>
      <c r="M85" s="59">
        <v>59</v>
      </c>
      <c r="N85" s="59">
        <v>24.4</v>
      </c>
      <c r="O85" s="59">
        <v>0</v>
      </c>
      <c r="P85" s="59">
        <v>2.0099999999999998</v>
      </c>
      <c r="Q85" s="59">
        <v>41.1</v>
      </c>
      <c r="R85" s="197"/>
      <c r="S85" s="197"/>
      <c r="T85" s="197"/>
      <c r="U85" s="197"/>
    </row>
    <row r="86" spans="1:26" s="12" customFormat="1" x14ac:dyDescent="0.25">
      <c r="A86" s="200" t="s">
        <v>3109</v>
      </c>
      <c r="B86" s="59">
        <v>42.26</v>
      </c>
      <c r="C86" s="59">
        <v>136.32</v>
      </c>
      <c r="D86" s="59">
        <v>109.12</v>
      </c>
      <c r="E86" s="59">
        <v>4.97</v>
      </c>
      <c r="F86" s="59">
        <v>0.12</v>
      </c>
      <c r="G86" s="59">
        <v>120.05</v>
      </c>
      <c r="H86" s="59">
        <v>48.93</v>
      </c>
      <c r="I86" s="59">
        <v>0.54</v>
      </c>
      <c r="J86" s="59">
        <v>0.06</v>
      </c>
      <c r="K86" s="59">
        <v>175.34</v>
      </c>
      <c r="L86" s="59">
        <v>21.55</v>
      </c>
      <c r="M86" s="59">
        <v>61</v>
      </c>
      <c r="N86" s="59">
        <v>24.4</v>
      </c>
      <c r="O86" s="59">
        <v>0</v>
      </c>
      <c r="P86" s="59">
        <v>2.0499999999999998</v>
      </c>
      <c r="Q86" s="59">
        <v>40.57</v>
      </c>
      <c r="R86" s="197"/>
      <c r="S86" s="197"/>
      <c r="T86" s="197"/>
      <c r="U86" s="197"/>
    </row>
    <row r="87" spans="1:26" s="12" customFormat="1" x14ac:dyDescent="0.25">
      <c r="A87" s="200" t="s">
        <v>3110</v>
      </c>
      <c r="B87" s="59">
        <v>49.33</v>
      </c>
      <c r="C87" s="59">
        <v>141.62</v>
      </c>
      <c r="D87" s="59">
        <v>117.71</v>
      </c>
      <c r="E87" s="59">
        <v>5.45</v>
      </c>
      <c r="F87" s="59">
        <v>0.1</v>
      </c>
      <c r="G87" s="59">
        <v>120.05</v>
      </c>
      <c r="H87" s="59">
        <v>48.93</v>
      </c>
      <c r="I87" s="59">
        <v>0.6</v>
      </c>
      <c r="J87" s="59">
        <v>0.05</v>
      </c>
      <c r="K87" s="59">
        <v>31.23</v>
      </c>
      <c r="L87" s="59">
        <v>21.37</v>
      </c>
      <c r="M87" s="59">
        <v>61</v>
      </c>
      <c r="N87" s="59">
        <v>24.3</v>
      </c>
      <c r="O87" s="59">
        <v>0</v>
      </c>
      <c r="P87" s="59">
        <v>2.2000000000000002</v>
      </c>
      <c r="Q87" s="59">
        <v>40.659999999999997</v>
      </c>
      <c r="R87" s="197"/>
      <c r="S87" s="197"/>
      <c r="T87" s="197"/>
      <c r="U87" s="197"/>
    </row>
    <row r="88" spans="1:26" s="12" customFormat="1" x14ac:dyDescent="0.25">
      <c r="A88" s="200" t="s">
        <v>3111</v>
      </c>
      <c r="B88" s="59">
        <v>57.41</v>
      </c>
      <c r="C88" s="59">
        <v>145.08000000000001</v>
      </c>
      <c r="D88" s="59">
        <v>126.11</v>
      </c>
      <c r="E88" s="59">
        <v>2.87</v>
      </c>
      <c r="F88" s="59">
        <v>0.1</v>
      </c>
      <c r="G88" s="59">
        <v>183.18</v>
      </c>
      <c r="H88" s="59">
        <v>58.1</v>
      </c>
      <c r="I88" s="59">
        <v>0.66</v>
      </c>
      <c r="J88" s="59">
        <v>0.03</v>
      </c>
      <c r="K88" s="59">
        <v>308.31</v>
      </c>
      <c r="L88" s="59">
        <v>21.24</v>
      </c>
      <c r="M88" s="59">
        <v>59</v>
      </c>
      <c r="N88" s="59">
        <v>24.4</v>
      </c>
      <c r="O88" s="59">
        <v>0</v>
      </c>
      <c r="P88" s="59">
        <v>2.36</v>
      </c>
      <c r="Q88" s="59">
        <v>41.06</v>
      </c>
      <c r="R88" s="197"/>
      <c r="S88" s="197"/>
      <c r="T88" s="197"/>
      <c r="U88" s="197"/>
    </row>
    <row r="89" spans="1:26" s="12" customFormat="1" x14ac:dyDescent="0.25">
      <c r="A89" s="200" t="s">
        <v>3112</v>
      </c>
      <c r="B89" s="59">
        <v>61.58</v>
      </c>
      <c r="C89" s="59">
        <v>144.93</v>
      </c>
      <c r="D89" s="59">
        <v>129.36000000000001</v>
      </c>
      <c r="E89" s="59">
        <v>5.0199999999999996</v>
      </c>
      <c r="F89" s="59">
        <v>0.16</v>
      </c>
      <c r="G89" s="59">
        <v>183.18</v>
      </c>
      <c r="H89" s="59">
        <v>60.72</v>
      </c>
      <c r="I89" s="59">
        <v>0.72</v>
      </c>
      <c r="J89" s="59">
        <v>0.1</v>
      </c>
      <c r="K89" s="59">
        <v>319.35000000000002</v>
      </c>
      <c r="L89" s="59">
        <v>21.1</v>
      </c>
      <c r="M89" s="59">
        <v>59</v>
      </c>
      <c r="N89" s="59">
        <v>24.2</v>
      </c>
      <c r="O89" s="59">
        <v>0</v>
      </c>
      <c r="P89" s="59">
        <v>2.4700000000000002</v>
      </c>
      <c r="Q89" s="59">
        <v>42.12</v>
      </c>
      <c r="R89" s="197"/>
      <c r="S89" s="197"/>
      <c r="T89" s="197"/>
      <c r="U89" s="197"/>
    </row>
    <row r="90" spans="1:26" s="12" customFormat="1" x14ac:dyDescent="0.25">
      <c r="A90" s="200" t="s">
        <v>3113</v>
      </c>
      <c r="B90" s="59">
        <v>70.31</v>
      </c>
      <c r="C90" s="59">
        <v>149.69999999999999</v>
      </c>
      <c r="D90" s="59">
        <v>139</v>
      </c>
      <c r="E90" s="59">
        <v>4.97</v>
      </c>
      <c r="F90" s="59">
        <v>0.25</v>
      </c>
      <c r="G90" s="59">
        <v>183.18</v>
      </c>
      <c r="H90" s="59">
        <v>60.72</v>
      </c>
      <c r="I90" s="59">
        <v>0.79</v>
      </c>
      <c r="J90" s="59">
        <v>7.0000000000000007E-2</v>
      </c>
      <c r="K90" s="59">
        <v>158.29</v>
      </c>
      <c r="L90" s="59">
        <v>20.94</v>
      </c>
      <c r="M90" s="59">
        <v>60</v>
      </c>
      <c r="N90" s="59">
        <v>24.3</v>
      </c>
      <c r="O90" s="59">
        <v>0</v>
      </c>
      <c r="P90" s="59">
        <v>2.64</v>
      </c>
      <c r="Q90" s="59">
        <v>43.17</v>
      </c>
      <c r="R90" s="197"/>
      <c r="S90" s="197"/>
      <c r="T90" s="197"/>
      <c r="U90" s="197"/>
    </row>
    <row r="91" spans="1:26" s="12" customFormat="1" x14ac:dyDescent="0.25">
      <c r="A91" s="200" t="s">
        <v>3114</v>
      </c>
      <c r="B91" s="59">
        <v>76.069999999999993</v>
      </c>
      <c r="C91" s="59">
        <v>148.84</v>
      </c>
      <c r="D91" s="59">
        <v>143.13999999999999</v>
      </c>
      <c r="E91" s="59">
        <v>4.8600000000000003</v>
      </c>
      <c r="F91" s="59">
        <v>0.05</v>
      </c>
      <c r="G91" s="59">
        <v>183.18</v>
      </c>
      <c r="H91" s="59">
        <v>60.72</v>
      </c>
      <c r="I91" s="59">
        <v>0.86</v>
      </c>
      <c r="J91" s="59">
        <v>0.05</v>
      </c>
      <c r="K91" s="59">
        <v>67.14</v>
      </c>
      <c r="L91" s="59">
        <v>20.79</v>
      </c>
      <c r="M91" s="59">
        <v>60</v>
      </c>
      <c r="N91" s="59">
        <v>24.1</v>
      </c>
      <c r="O91" s="59">
        <v>0</v>
      </c>
      <c r="P91" s="59">
        <v>2.74</v>
      </c>
      <c r="Q91" s="59">
        <v>43.88</v>
      </c>
      <c r="R91" s="197"/>
      <c r="S91" s="197"/>
      <c r="T91" s="197"/>
      <c r="U91" s="197"/>
    </row>
    <row r="92" spans="1:26" s="12" customFormat="1" x14ac:dyDescent="0.25">
      <c r="A92" s="200" t="s">
        <v>3115</v>
      </c>
      <c r="B92" s="59">
        <v>82.87</v>
      </c>
      <c r="C92" s="59">
        <v>150.49</v>
      </c>
      <c r="D92" s="59">
        <v>149.51</v>
      </c>
      <c r="E92" s="59">
        <v>5.24</v>
      </c>
      <c r="F92" s="212" t="s">
        <v>42</v>
      </c>
      <c r="G92" s="59">
        <v>256.97000000000003</v>
      </c>
      <c r="H92" s="59">
        <v>75.89</v>
      </c>
      <c r="I92" s="59">
        <v>0.92</v>
      </c>
      <c r="J92" s="59">
        <v>0.1</v>
      </c>
      <c r="K92" s="59">
        <v>292.02</v>
      </c>
      <c r="L92" s="59">
        <v>20.67</v>
      </c>
      <c r="M92" s="59">
        <v>64</v>
      </c>
      <c r="N92" s="59">
        <v>24.1</v>
      </c>
      <c r="O92" s="59">
        <v>0</v>
      </c>
      <c r="P92" s="59">
        <v>2.92</v>
      </c>
      <c r="Q92" s="59">
        <v>45.2</v>
      </c>
      <c r="R92" s="197"/>
      <c r="S92" s="197"/>
      <c r="T92" s="197"/>
      <c r="U92" s="197"/>
    </row>
    <row r="93" spans="1:26" s="12" customFormat="1" x14ac:dyDescent="0.25">
      <c r="A93" s="200" t="s">
        <v>3116</v>
      </c>
      <c r="B93" s="59">
        <v>88.37</v>
      </c>
      <c r="C93" s="59">
        <v>153.82</v>
      </c>
      <c r="D93" s="59">
        <v>155.76</v>
      </c>
      <c r="E93" s="59">
        <v>5.97</v>
      </c>
      <c r="F93" s="59">
        <v>0.01</v>
      </c>
      <c r="G93" s="59">
        <v>256.97000000000003</v>
      </c>
      <c r="H93" s="59">
        <v>80.23</v>
      </c>
      <c r="I93" s="59">
        <v>0.97</v>
      </c>
      <c r="J93" s="59">
        <v>0.11</v>
      </c>
      <c r="K93" s="59">
        <v>291.72000000000003</v>
      </c>
      <c r="L93" s="59">
        <v>20.61</v>
      </c>
      <c r="M93" s="59">
        <v>59</v>
      </c>
      <c r="N93" s="59">
        <v>24.2</v>
      </c>
      <c r="O93" s="59">
        <v>0</v>
      </c>
      <c r="P93" s="59">
        <v>3.11</v>
      </c>
      <c r="Q93" s="59">
        <v>47.53</v>
      </c>
      <c r="R93" s="197"/>
      <c r="S93" s="197"/>
      <c r="T93" s="197"/>
      <c r="U93" s="197"/>
    </row>
    <row r="94" spans="1:26" s="12" customFormat="1" x14ac:dyDescent="0.25">
      <c r="A94" s="200" t="s">
        <v>3117</v>
      </c>
      <c r="B94" s="59">
        <v>95.31</v>
      </c>
      <c r="C94" s="59">
        <v>158.94</v>
      </c>
      <c r="D94" s="59">
        <v>164.15</v>
      </c>
      <c r="E94" s="59">
        <v>5.58</v>
      </c>
      <c r="F94" s="59">
        <v>0.03</v>
      </c>
      <c r="G94" s="59">
        <v>256.97000000000003</v>
      </c>
      <c r="H94" s="59">
        <v>80.23</v>
      </c>
      <c r="I94" s="59">
        <v>1.03</v>
      </c>
      <c r="J94" s="59">
        <v>0.12</v>
      </c>
      <c r="K94" s="59">
        <v>334.68</v>
      </c>
      <c r="L94" s="59">
        <v>20.309999999999999</v>
      </c>
      <c r="M94" s="59">
        <v>60</v>
      </c>
      <c r="N94" s="59">
        <v>24.2</v>
      </c>
      <c r="O94" s="59">
        <v>0</v>
      </c>
      <c r="P94" s="59">
        <v>3.23</v>
      </c>
      <c r="Q94" s="59">
        <v>48.33</v>
      </c>
      <c r="R94" s="197"/>
      <c r="S94" s="197"/>
      <c r="T94" s="197"/>
      <c r="U94" s="197"/>
    </row>
    <row r="95" spans="1:26" s="12" customFormat="1" x14ac:dyDescent="0.25">
      <c r="A95" s="200" t="s">
        <v>3118</v>
      </c>
      <c r="B95" s="59">
        <v>104.9</v>
      </c>
      <c r="C95" s="59">
        <v>165.34</v>
      </c>
      <c r="D95" s="59">
        <v>175.37</v>
      </c>
      <c r="E95" s="59">
        <v>5.58</v>
      </c>
      <c r="F95" s="59">
        <v>0.08</v>
      </c>
      <c r="G95" s="59">
        <v>256.97000000000003</v>
      </c>
      <c r="H95" s="59">
        <v>80.23</v>
      </c>
      <c r="I95" s="59">
        <v>1.1299999999999999</v>
      </c>
      <c r="J95" s="59">
        <v>0.1</v>
      </c>
      <c r="K95" s="59">
        <v>344.33</v>
      </c>
      <c r="L95" s="59">
        <v>20.149999999999999</v>
      </c>
      <c r="M95" s="59">
        <v>64</v>
      </c>
      <c r="N95" s="59">
        <v>24.4</v>
      </c>
      <c r="O95" s="59">
        <v>0</v>
      </c>
      <c r="P95" s="59">
        <v>3.43</v>
      </c>
      <c r="Q95" s="59">
        <v>48.79</v>
      </c>
      <c r="R95" s="197"/>
      <c r="S95" s="197"/>
      <c r="T95" s="197"/>
      <c r="U95" s="197"/>
    </row>
    <row r="96" spans="1:26" s="12" customFormat="1" x14ac:dyDescent="0.25">
      <c r="A96" s="200" t="s">
        <v>3119</v>
      </c>
      <c r="B96" s="59">
        <v>115.41</v>
      </c>
      <c r="C96" s="59">
        <v>172.17</v>
      </c>
      <c r="D96" s="59">
        <v>187.56</v>
      </c>
      <c r="E96" s="59">
        <v>6</v>
      </c>
      <c r="F96" s="59">
        <v>0.03</v>
      </c>
      <c r="G96" s="59">
        <v>211.43</v>
      </c>
      <c r="H96" s="59">
        <v>87.56</v>
      </c>
      <c r="I96" s="59">
        <v>1.2</v>
      </c>
      <c r="J96" s="59">
        <v>7.0000000000000007E-2</v>
      </c>
      <c r="K96" s="59">
        <v>327.29000000000002</v>
      </c>
      <c r="L96" s="59">
        <v>19.829999999999998</v>
      </c>
      <c r="M96" s="59">
        <v>64</v>
      </c>
      <c r="N96" s="59">
        <v>24.5</v>
      </c>
      <c r="O96" s="59">
        <v>0</v>
      </c>
      <c r="P96" s="59">
        <v>3.62</v>
      </c>
      <c r="Q96" s="59">
        <v>49.04</v>
      </c>
      <c r="R96" s="197"/>
      <c r="S96" s="197"/>
      <c r="T96" s="213"/>
      <c r="U96" s="197"/>
      <c r="Z96" s="108"/>
    </row>
    <row r="97" spans="1:33" s="12" customFormat="1" x14ac:dyDescent="0.25">
      <c r="A97" s="200" t="s">
        <v>3120</v>
      </c>
      <c r="B97" s="59">
        <v>129.41</v>
      </c>
      <c r="C97" s="59">
        <v>181.02</v>
      </c>
      <c r="D97" s="59">
        <v>203.68</v>
      </c>
      <c r="E97" s="59">
        <v>5.9</v>
      </c>
      <c r="F97" s="59">
        <v>0.06</v>
      </c>
      <c r="G97" s="59">
        <v>211.43</v>
      </c>
      <c r="H97" s="59">
        <v>89.66</v>
      </c>
      <c r="I97" s="59">
        <v>1.2</v>
      </c>
      <c r="J97" s="59">
        <v>0.12</v>
      </c>
      <c r="K97" s="59">
        <v>355.54</v>
      </c>
      <c r="L97" s="59">
        <v>19.559999999999999</v>
      </c>
      <c r="M97" s="59">
        <v>66</v>
      </c>
      <c r="N97" s="59">
        <v>24.3</v>
      </c>
      <c r="O97" s="59">
        <v>0</v>
      </c>
      <c r="P97" s="59">
        <v>3.83</v>
      </c>
      <c r="Q97" s="59">
        <v>49.94</v>
      </c>
      <c r="R97" s="197"/>
      <c r="S97" s="197"/>
      <c r="T97" s="197"/>
      <c r="U97" s="197"/>
    </row>
    <row r="98" spans="1:33" s="12" customFormat="1" x14ac:dyDescent="0.25">
      <c r="A98" s="200" t="s">
        <v>3121</v>
      </c>
      <c r="B98" s="59">
        <v>140.63999999999999</v>
      </c>
      <c r="C98" s="59">
        <v>187.92</v>
      </c>
      <c r="D98" s="59">
        <v>216.49</v>
      </c>
      <c r="E98" s="59">
        <v>6.22</v>
      </c>
      <c r="F98" s="59">
        <v>0.02</v>
      </c>
      <c r="G98" s="59">
        <v>211.43</v>
      </c>
      <c r="H98" s="59">
        <v>89.66</v>
      </c>
      <c r="I98" s="59">
        <v>1.33</v>
      </c>
      <c r="J98" s="59">
        <v>0.12</v>
      </c>
      <c r="K98" s="59">
        <v>322.39999999999998</v>
      </c>
      <c r="L98" s="59">
        <v>19.36</v>
      </c>
      <c r="M98" s="59">
        <v>66</v>
      </c>
      <c r="N98" s="59">
        <v>24.3</v>
      </c>
      <c r="O98" s="59">
        <v>0</v>
      </c>
      <c r="P98" s="59">
        <v>4.01</v>
      </c>
      <c r="Q98" s="59">
        <v>50.68</v>
      </c>
      <c r="R98" s="197"/>
      <c r="S98" s="197"/>
      <c r="T98" s="197"/>
      <c r="U98" s="197"/>
    </row>
    <row r="99" spans="1:33" s="12" customFormat="1" x14ac:dyDescent="0.25">
      <c r="A99" s="200" t="s">
        <v>3122</v>
      </c>
      <c r="B99" s="59">
        <v>145.78</v>
      </c>
      <c r="C99" s="59">
        <v>190.33</v>
      </c>
      <c r="D99" s="59">
        <v>221.95</v>
      </c>
      <c r="E99" s="59">
        <v>6.32</v>
      </c>
      <c r="F99" s="212" t="s">
        <v>42</v>
      </c>
      <c r="G99" s="59">
        <v>211.43</v>
      </c>
      <c r="H99" s="59">
        <v>89.66</v>
      </c>
      <c r="I99" s="59">
        <v>1.37</v>
      </c>
      <c r="J99" s="59">
        <v>0.14000000000000001</v>
      </c>
      <c r="K99" s="59">
        <v>319.22000000000003</v>
      </c>
      <c r="L99" s="59">
        <v>19.239999999999998</v>
      </c>
      <c r="M99" s="59">
        <v>62</v>
      </c>
      <c r="N99" s="59">
        <v>24.2</v>
      </c>
      <c r="O99" s="59">
        <v>0</v>
      </c>
      <c r="P99" s="59">
        <v>4.05</v>
      </c>
      <c r="Q99" s="59">
        <v>50.52</v>
      </c>
      <c r="R99" s="197"/>
      <c r="S99" s="197"/>
      <c r="T99" s="197"/>
      <c r="U99" s="197"/>
    </row>
    <row r="100" spans="1:33" s="12" customFormat="1" x14ac:dyDescent="0.25">
      <c r="A100" s="200" t="s">
        <v>3123</v>
      </c>
      <c r="B100" s="59">
        <v>145.88</v>
      </c>
      <c r="C100" s="59">
        <v>188.85</v>
      </c>
      <c r="D100" s="59">
        <v>221.21</v>
      </c>
      <c r="E100" s="59">
        <v>5.73</v>
      </c>
      <c r="F100" s="212" t="s">
        <v>42</v>
      </c>
      <c r="G100" s="59">
        <v>195.81</v>
      </c>
      <c r="H100" s="59">
        <v>84.9</v>
      </c>
      <c r="I100" s="59">
        <v>1.43</v>
      </c>
      <c r="J100" s="59">
        <v>0.12</v>
      </c>
      <c r="K100" s="59">
        <v>314.64</v>
      </c>
      <c r="L100" s="59">
        <v>19.059999999999999</v>
      </c>
      <c r="M100" s="59">
        <v>61</v>
      </c>
      <c r="N100" s="59">
        <v>24.3</v>
      </c>
      <c r="O100" s="59">
        <v>0</v>
      </c>
      <c r="P100" s="59">
        <v>4.0199999999999996</v>
      </c>
      <c r="Q100" s="59">
        <v>49.52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3124</v>
      </c>
      <c r="B101" s="59">
        <v>143.86000000000001</v>
      </c>
      <c r="C101" s="59">
        <v>185.7</v>
      </c>
      <c r="D101" s="59">
        <v>217.85</v>
      </c>
      <c r="E101" s="59">
        <v>6.18</v>
      </c>
      <c r="F101" s="59">
        <v>0.04</v>
      </c>
      <c r="G101" s="59">
        <v>195.81</v>
      </c>
      <c r="H101" s="59">
        <v>83.54</v>
      </c>
      <c r="I101" s="59">
        <v>1.43</v>
      </c>
      <c r="J101" s="59">
        <v>0.11</v>
      </c>
      <c r="K101" s="59">
        <v>333.65</v>
      </c>
      <c r="L101" s="59">
        <v>18.77</v>
      </c>
      <c r="M101" s="59">
        <v>65</v>
      </c>
      <c r="N101" s="59">
        <v>24.4</v>
      </c>
      <c r="O101" s="59">
        <v>0</v>
      </c>
      <c r="P101" s="59">
        <v>3.99</v>
      </c>
      <c r="Q101" s="59">
        <v>49.03</v>
      </c>
      <c r="R101" s="197"/>
      <c r="S101" s="197"/>
      <c r="T101" s="197"/>
      <c r="U101" s="197"/>
    </row>
    <row r="102" spans="1:33" s="12" customFormat="1" x14ac:dyDescent="0.25">
      <c r="A102" s="200" t="s">
        <v>3125</v>
      </c>
      <c r="B102" s="59">
        <v>143.35</v>
      </c>
      <c r="C102" s="59">
        <v>184.09</v>
      </c>
      <c r="D102" s="59">
        <v>216.55</v>
      </c>
      <c r="E102" s="59">
        <v>5.81</v>
      </c>
      <c r="F102" s="212" t="s">
        <v>42</v>
      </c>
      <c r="G102" s="59">
        <v>195.81</v>
      </c>
      <c r="H102" s="59">
        <v>83.54</v>
      </c>
      <c r="I102" s="59">
        <v>1.43</v>
      </c>
      <c r="J102" s="59">
        <v>0.09</v>
      </c>
      <c r="K102" s="59">
        <v>325.72000000000003</v>
      </c>
      <c r="L102" s="59">
        <v>18.649999999999999</v>
      </c>
      <c r="M102" s="59">
        <v>65</v>
      </c>
      <c r="N102" s="59">
        <v>24.3</v>
      </c>
      <c r="O102" s="59">
        <v>0</v>
      </c>
      <c r="P102" s="59">
        <v>3.96</v>
      </c>
      <c r="Q102" s="59">
        <v>48.99</v>
      </c>
      <c r="R102" s="197"/>
      <c r="S102" s="197"/>
      <c r="T102" s="197"/>
      <c r="U102" s="197"/>
    </row>
    <row r="103" spans="1:33" s="12" customFormat="1" x14ac:dyDescent="0.25">
      <c r="A103" s="200" t="s">
        <v>3126</v>
      </c>
      <c r="B103" s="59">
        <v>143.19999999999999</v>
      </c>
      <c r="C103" s="59">
        <v>182.47</v>
      </c>
      <c r="D103" s="59">
        <v>215.54</v>
      </c>
      <c r="E103" s="59">
        <v>6.89</v>
      </c>
      <c r="F103" s="59">
        <v>0.01</v>
      </c>
      <c r="G103" s="59">
        <v>195.81</v>
      </c>
      <c r="H103" s="59">
        <v>83.54</v>
      </c>
      <c r="I103" s="59">
        <v>1.42</v>
      </c>
      <c r="J103" s="59">
        <v>7.0000000000000007E-2</v>
      </c>
      <c r="K103" s="59">
        <v>333.18</v>
      </c>
      <c r="L103" s="59">
        <v>18.5</v>
      </c>
      <c r="M103" s="59">
        <v>65</v>
      </c>
      <c r="N103" s="59">
        <v>24.4</v>
      </c>
      <c r="O103" s="59">
        <v>0</v>
      </c>
      <c r="P103" s="59">
        <v>3.91</v>
      </c>
      <c r="Q103" s="59">
        <v>49.03</v>
      </c>
      <c r="R103" s="197"/>
      <c r="S103" s="197"/>
      <c r="T103" s="197"/>
      <c r="U103" s="197"/>
    </row>
    <row r="104" spans="1:33" s="12" customFormat="1" x14ac:dyDescent="0.25">
      <c r="A104" s="200" t="s">
        <v>3127</v>
      </c>
      <c r="B104" s="59">
        <v>140.81</v>
      </c>
      <c r="C104" s="59">
        <v>179.58</v>
      </c>
      <c r="D104" s="59">
        <v>212.02</v>
      </c>
      <c r="E104" s="59">
        <v>2.34</v>
      </c>
      <c r="F104" s="212" t="s">
        <v>42</v>
      </c>
      <c r="G104" s="59">
        <v>193.06</v>
      </c>
      <c r="H104" s="59">
        <v>79.819999999999993</v>
      </c>
      <c r="I104" s="59">
        <v>1.41</v>
      </c>
      <c r="J104" s="59">
        <v>0.04</v>
      </c>
      <c r="K104" s="59">
        <v>90</v>
      </c>
      <c r="L104" s="59">
        <v>18.309999999999999</v>
      </c>
      <c r="M104" s="59">
        <v>68</v>
      </c>
      <c r="N104" s="59">
        <v>24.3</v>
      </c>
      <c r="O104" s="59">
        <v>0</v>
      </c>
      <c r="P104" s="59">
        <v>3.85</v>
      </c>
      <c r="Q104" s="59">
        <v>48.91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1.68</v>
      </c>
      <c r="C106" s="66">
        <f>MIN(C9:C104)</f>
        <v>94.98</v>
      </c>
      <c r="D106" s="66">
        <f t="shared" ref="D106:Q106" si="0">MIN(D9:D104)</f>
        <v>54.01</v>
      </c>
      <c r="E106" s="66">
        <f t="shared" si="0"/>
        <v>2.16</v>
      </c>
      <c r="F106" s="66">
        <f t="shared" si="0"/>
        <v>0.01</v>
      </c>
      <c r="G106" s="66">
        <f t="shared" si="0"/>
        <v>51.01</v>
      </c>
      <c r="H106" s="66">
        <f t="shared" si="0"/>
        <v>31.13</v>
      </c>
      <c r="I106" s="66">
        <f t="shared" si="0"/>
        <v>0.27</v>
      </c>
      <c r="J106" s="66">
        <f t="shared" si="0"/>
        <v>0.03</v>
      </c>
      <c r="K106" s="66">
        <f t="shared" si="0"/>
        <v>0.71</v>
      </c>
      <c r="L106" s="66">
        <f t="shared" si="0"/>
        <v>14.08</v>
      </c>
      <c r="M106" s="66">
        <f t="shared" si="0"/>
        <v>20</v>
      </c>
      <c r="N106" s="66">
        <f t="shared" si="0"/>
        <v>23.6</v>
      </c>
      <c r="O106" s="66">
        <f t="shared" si="0"/>
        <v>0</v>
      </c>
      <c r="P106" s="66">
        <f t="shared" si="0"/>
        <v>1.17</v>
      </c>
      <c r="Q106" s="66">
        <f t="shared" si="0"/>
        <v>34.840000000000003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201.81</v>
      </c>
      <c r="C107" s="65">
        <f t="shared" ref="C107:Q107" si="1">MAX(C9:C104)</f>
        <v>190.33</v>
      </c>
      <c r="D107" s="65">
        <f t="shared" si="1"/>
        <v>266.60000000000002</v>
      </c>
      <c r="E107" s="65">
        <f t="shared" si="1"/>
        <v>12.14</v>
      </c>
      <c r="F107" s="65">
        <f t="shared" si="1"/>
        <v>15.58</v>
      </c>
      <c r="G107" s="65">
        <f t="shared" si="1"/>
        <v>256.97000000000003</v>
      </c>
      <c r="H107" s="65">
        <f t="shared" si="1"/>
        <v>89.66</v>
      </c>
      <c r="I107" s="65">
        <f t="shared" si="1"/>
        <v>1.65</v>
      </c>
      <c r="J107" s="65">
        <f t="shared" si="1"/>
        <v>0.93</v>
      </c>
      <c r="K107" s="65">
        <f t="shared" si="1"/>
        <v>359.17</v>
      </c>
      <c r="L107" s="65">
        <f t="shared" si="1"/>
        <v>33.78</v>
      </c>
      <c r="M107" s="65">
        <f t="shared" si="1"/>
        <v>76</v>
      </c>
      <c r="N107" s="65">
        <f t="shared" si="1"/>
        <v>370.4</v>
      </c>
      <c r="O107" s="65">
        <f t="shared" si="1"/>
        <v>0</v>
      </c>
      <c r="P107" s="65">
        <f t="shared" si="1"/>
        <v>4.05</v>
      </c>
      <c r="Q107" s="65">
        <f t="shared" si="1"/>
        <v>52.09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78.635208333333324</v>
      </c>
      <c r="C108" s="66">
        <f t="shared" ref="C108:Q108" si="2">AVERAGE(C9:C104)</f>
        <v>132.91375000000005</v>
      </c>
      <c r="D108" s="66">
        <f t="shared" si="2"/>
        <v>136.41156249999997</v>
      </c>
      <c r="E108" s="66">
        <f t="shared" si="2"/>
        <v>5.1142708333333333</v>
      </c>
      <c r="F108" s="66">
        <f t="shared" si="2"/>
        <v>1.6022727272727275</v>
      </c>
      <c r="G108" s="66">
        <f t="shared" si="2"/>
        <v>113.54666666666664</v>
      </c>
      <c r="H108" s="66">
        <f t="shared" si="2"/>
        <v>53.000937499999971</v>
      </c>
      <c r="I108" s="66">
        <f t="shared" si="2"/>
        <v>0.78770833333333368</v>
      </c>
      <c r="J108" s="66">
        <f t="shared" si="2"/>
        <v>0.26947916666666671</v>
      </c>
      <c r="K108" s="66">
        <f t="shared" si="2"/>
        <v>199.61593750000006</v>
      </c>
      <c r="L108" s="66">
        <f t="shared" si="2"/>
        <v>22.223541666666659</v>
      </c>
      <c r="M108" s="66">
        <f t="shared" si="2"/>
        <v>49.666666666666664</v>
      </c>
      <c r="N108" s="66">
        <f t="shared" si="2"/>
        <v>117.06874999999995</v>
      </c>
      <c r="O108" s="66">
        <f t="shared" si="2"/>
        <v>0</v>
      </c>
      <c r="P108" s="66">
        <f t="shared" si="2"/>
        <v>2.2361458333333335</v>
      </c>
      <c r="Q108" s="66">
        <f t="shared" si="2"/>
        <v>41.856458333333329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57.51934076518441</v>
      </c>
      <c r="C109" s="66">
        <f t="shared" ref="C109:Q109" si="3">STDEV(C9:C104)</f>
        <v>28.830757999783845</v>
      </c>
      <c r="D109" s="66">
        <f t="shared" si="3"/>
        <v>60.28392484215842</v>
      </c>
      <c r="E109" s="66">
        <f t="shared" si="3"/>
        <v>1.5976777521019028</v>
      </c>
      <c r="F109" s="66">
        <f t="shared" si="3"/>
        <v>3.1602923359877355</v>
      </c>
      <c r="G109" s="66">
        <f t="shared" si="3"/>
        <v>60.902698145513291</v>
      </c>
      <c r="H109" s="66">
        <f t="shared" si="3"/>
        <v>18.337249812629814</v>
      </c>
      <c r="I109" s="66">
        <f t="shared" si="3"/>
        <v>0.43665831316504161</v>
      </c>
      <c r="J109" s="66">
        <f t="shared" si="3"/>
        <v>0.24999103054085187</v>
      </c>
      <c r="K109" s="66">
        <f t="shared" si="3"/>
        <v>129.96352896974483</v>
      </c>
      <c r="L109" s="66">
        <f t="shared" si="3"/>
        <v>6.2048688826499268</v>
      </c>
      <c r="M109" s="66">
        <f t="shared" si="3"/>
        <v>18.768768384384384</v>
      </c>
      <c r="N109" s="66">
        <f t="shared" si="3"/>
        <v>133.40730770838613</v>
      </c>
      <c r="O109" s="66">
        <f t="shared" si="3"/>
        <v>0</v>
      </c>
      <c r="P109" s="66">
        <f t="shared" si="3"/>
        <v>0.954703999089347</v>
      </c>
      <c r="Q109" s="66">
        <f t="shared" si="3"/>
        <v>4.8018774791286241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 t="shared" si="4"/>
        <v>96</v>
      </c>
      <c r="F110" s="65">
        <f>COUNT(F9:F104)+8</f>
        <v>96</v>
      </c>
      <c r="G110" s="65">
        <f t="shared" si="4"/>
        <v>96</v>
      </c>
      <c r="H110" s="65">
        <f>COUNT(H9:H104)</f>
        <v>96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tabSelected="1" zoomScale="80" zoomScaleNormal="80" workbookViewId="0">
      <selection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31-12-2022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x14ac:dyDescent="0.25">
      <c r="A8" s="15"/>
      <c r="B8" s="13" t="s">
        <v>51</v>
      </c>
      <c r="C8" s="13" t="s">
        <v>51</v>
      </c>
      <c r="D8" s="13" t="s">
        <v>51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8" t="s">
        <v>51</v>
      </c>
      <c r="R8" s="195"/>
      <c r="S8" s="196"/>
      <c r="T8" s="195"/>
      <c r="U8" s="195"/>
    </row>
    <row r="9" spans="1:21" s="12" customFormat="1" x14ac:dyDescent="0.25">
      <c r="A9" s="200" t="s">
        <v>3128</v>
      </c>
      <c r="B9" s="59">
        <v>139.49</v>
      </c>
      <c r="C9" s="59">
        <v>177.27</v>
      </c>
      <c r="D9" s="59">
        <v>209.69</v>
      </c>
      <c r="E9" s="59">
        <v>4.7699999999999996</v>
      </c>
      <c r="F9" s="212" t="s">
        <v>42</v>
      </c>
      <c r="G9" s="59">
        <v>193.06</v>
      </c>
      <c r="H9" s="59">
        <v>78.75</v>
      </c>
      <c r="I9" s="59">
        <v>1.4</v>
      </c>
      <c r="J9" s="59">
        <v>0.05</v>
      </c>
      <c r="K9" s="59">
        <v>183.39</v>
      </c>
      <c r="L9" s="59">
        <v>18.12</v>
      </c>
      <c r="M9" s="59">
        <v>69</v>
      </c>
      <c r="N9" s="59">
        <v>24.3</v>
      </c>
      <c r="O9" s="59">
        <v>0</v>
      </c>
      <c r="P9" s="59">
        <v>3.79</v>
      </c>
      <c r="Q9" s="59">
        <v>48.77</v>
      </c>
      <c r="R9" s="197"/>
      <c r="S9" s="197"/>
      <c r="T9" s="197"/>
      <c r="U9" s="197"/>
    </row>
    <row r="10" spans="1:21" s="12" customFormat="1" x14ac:dyDescent="0.25">
      <c r="A10" s="200" t="s">
        <v>3129</v>
      </c>
      <c r="B10" s="59">
        <v>135.04</v>
      </c>
      <c r="C10" s="59">
        <v>173.52</v>
      </c>
      <c r="D10" s="59">
        <v>204.05</v>
      </c>
      <c r="E10" s="59">
        <v>5.16</v>
      </c>
      <c r="F10" s="59">
        <v>0.01</v>
      </c>
      <c r="G10" s="59">
        <v>193.06</v>
      </c>
      <c r="H10" s="59">
        <v>78.75</v>
      </c>
      <c r="I10" s="59">
        <v>1.34</v>
      </c>
      <c r="J10" s="59">
        <v>0.03</v>
      </c>
      <c r="K10" s="59">
        <v>228.2</v>
      </c>
      <c r="L10" s="59">
        <v>18.32</v>
      </c>
      <c r="M10" s="59">
        <v>69</v>
      </c>
      <c r="N10" s="59">
        <v>24.1</v>
      </c>
      <c r="O10" s="59">
        <v>0</v>
      </c>
      <c r="P10" s="59">
        <v>3.69</v>
      </c>
      <c r="Q10" s="59">
        <v>48.85</v>
      </c>
      <c r="R10" s="197"/>
      <c r="S10" s="197"/>
      <c r="T10" s="197"/>
      <c r="U10" s="197"/>
    </row>
    <row r="11" spans="1:21" s="12" customFormat="1" x14ac:dyDescent="0.25">
      <c r="A11" s="200" t="s">
        <v>3130</v>
      </c>
      <c r="B11" s="59">
        <v>127.85</v>
      </c>
      <c r="C11" s="59">
        <v>167.06</v>
      </c>
      <c r="D11" s="59">
        <v>194.72</v>
      </c>
      <c r="E11" s="59">
        <v>4.99</v>
      </c>
      <c r="F11" s="212" t="s">
        <v>42</v>
      </c>
      <c r="G11" s="59">
        <v>193.06</v>
      </c>
      <c r="H11" s="59">
        <v>78.75</v>
      </c>
      <c r="I11" s="59">
        <v>1.23</v>
      </c>
      <c r="J11" s="59">
        <v>0.02</v>
      </c>
      <c r="K11" s="59">
        <v>103.43</v>
      </c>
      <c r="L11" s="59">
        <v>18.170000000000002</v>
      </c>
      <c r="M11" s="59">
        <v>69</v>
      </c>
      <c r="N11" s="59">
        <v>24.4</v>
      </c>
      <c r="O11" s="59">
        <v>0</v>
      </c>
      <c r="P11" s="59">
        <v>3.54</v>
      </c>
      <c r="Q11" s="59">
        <v>49.83</v>
      </c>
      <c r="R11" s="197"/>
      <c r="S11" s="197"/>
      <c r="T11" s="197"/>
      <c r="U11" s="197"/>
    </row>
    <row r="12" spans="1:21" s="12" customFormat="1" x14ac:dyDescent="0.25">
      <c r="A12" s="200" t="s">
        <v>3131</v>
      </c>
      <c r="B12" s="59">
        <v>118.5</v>
      </c>
      <c r="C12" s="59">
        <v>161.05000000000001</v>
      </c>
      <c r="D12" s="59">
        <v>183.91</v>
      </c>
      <c r="E12" s="59">
        <v>4.67</v>
      </c>
      <c r="F12" s="59">
        <v>0.01</v>
      </c>
      <c r="G12" s="59">
        <v>112.98</v>
      </c>
      <c r="H12" s="59">
        <v>71.930000000000007</v>
      </c>
      <c r="I12" s="59">
        <v>1.2</v>
      </c>
      <c r="J12" s="59">
        <v>0.06</v>
      </c>
      <c r="K12" s="59">
        <v>243.88</v>
      </c>
      <c r="L12" s="59">
        <v>17.86</v>
      </c>
      <c r="M12" s="59">
        <v>71</v>
      </c>
      <c r="N12" s="59">
        <v>24.5</v>
      </c>
      <c r="O12" s="59">
        <v>0</v>
      </c>
      <c r="P12" s="59">
        <v>3.38</v>
      </c>
      <c r="Q12" s="59">
        <v>49.07</v>
      </c>
      <c r="R12" s="197"/>
      <c r="S12" s="197"/>
      <c r="T12" s="197"/>
      <c r="U12" s="197"/>
    </row>
    <row r="13" spans="1:21" s="12" customFormat="1" x14ac:dyDescent="0.25">
      <c r="A13" s="200" t="s">
        <v>3132</v>
      </c>
      <c r="B13" s="59">
        <v>109.3</v>
      </c>
      <c r="C13" s="59">
        <v>155.01</v>
      </c>
      <c r="D13" s="59">
        <v>173.2</v>
      </c>
      <c r="E13" s="59">
        <v>4.5199999999999996</v>
      </c>
      <c r="F13" s="59">
        <v>0.02</v>
      </c>
      <c r="G13" s="59">
        <v>112.98</v>
      </c>
      <c r="H13" s="59">
        <v>69.989999999999995</v>
      </c>
      <c r="I13" s="59">
        <v>1.19</v>
      </c>
      <c r="J13" s="59">
        <v>0.06</v>
      </c>
      <c r="K13" s="59">
        <v>320.55</v>
      </c>
      <c r="L13" s="59">
        <v>17.600000000000001</v>
      </c>
      <c r="M13" s="59">
        <v>73</v>
      </c>
      <c r="N13" s="59">
        <v>24.4</v>
      </c>
      <c r="O13" s="59">
        <v>0</v>
      </c>
      <c r="P13" s="59">
        <v>2.93</v>
      </c>
      <c r="Q13" s="59">
        <v>48.1</v>
      </c>
      <c r="R13" s="197"/>
      <c r="S13" s="197"/>
      <c r="T13" s="197"/>
      <c r="U13" s="197"/>
    </row>
    <row r="14" spans="1:21" s="12" customFormat="1" x14ac:dyDescent="0.25">
      <c r="A14" s="200" t="s">
        <v>3133</v>
      </c>
      <c r="B14" s="59">
        <v>101.26</v>
      </c>
      <c r="C14" s="59">
        <v>149.66</v>
      </c>
      <c r="D14" s="59">
        <v>163.80000000000001</v>
      </c>
      <c r="E14" s="59">
        <v>4.53</v>
      </c>
      <c r="F14" s="212" t="s">
        <v>42</v>
      </c>
      <c r="G14" s="59">
        <v>112.98</v>
      </c>
      <c r="H14" s="59">
        <v>69.989999999999995</v>
      </c>
      <c r="I14" s="59">
        <v>1.17</v>
      </c>
      <c r="J14" s="59">
        <v>7.0000000000000007E-2</v>
      </c>
      <c r="K14" s="59">
        <v>314.08</v>
      </c>
      <c r="L14" s="59">
        <v>17.43</v>
      </c>
      <c r="M14" s="59">
        <v>74</v>
      </c>
      <c r="N14" s="59">
        <v>24.4</v>
      </c>
      <c r="O14" s="59">
        <v>0</v>
      </c>
      <c r="P14" s="59">
        <v>2.98</v>
      </c>
      <c r="Q14" s="59">
        <v>46.98</v>
      </c>
      <c r="R14" s="197"/>
      <c r="S14" s="197"/>
      <c r="T14" s="197"/>
      <c r="U14" s="197"/>
    </row>
    <row r="15" spans="1:21" s="12" customFormat="1" x14ac:dyDescent="0.25">
      <c r="A15" s="200" t="s">
        <v>3134</v>
      </c>
      <c r="B15" s="59">
        <v>93.69</v>
      </c>
      <c r="C15" s="59">
        <v>144.94999999999999</v>
      </c>
      <c r="D15" s="59">
        <v>155.13</v>
      </c>
      <c r="E15" s="59">
        <v>4.28</v>
      </c>
      <c r="F15" s="212" t="s">
        <v>42</v>
      </c>
      <c r="G15" s="59">
        <v>112.98</v>
      </c>
      <c r="H15" s="59">
        <v>69.989999999999995</v>
      </c>
      <c r="I15" s="59">
        <v>1.03</v>
      </c>
      <c r="J15" s="59">
        <v>0.06</v>
      </c>
      <c r="K15" s="59">
        <v>306.45</v>
      </c>
      <c r="L15" s="59">
        <v>17.309999999999999</v>
      </c>
      <c r="M15" s="59">
        <v>74</v>
      </c>
      <c r="N15" s="59">
        <v>24.4</v>
      </c>
      <c r="O15" s="59">
        <v>0</v>
      </c>
      <c r="P15" s="59">
        <v>2.86</v>
      </c>
      <c r="Q15" s="59">
        <v>46.04</v>
      </c>
      <c r="R15" s="197"/>
      <c r="S15" s="197"/>
      <c r="T15" s="197"/>
      <c r="U15" s="197"/>
    </row>
    <row r="16" spans="1:21" s="12" customFormat="1" x14ac:dyDescent="0.25">
      <c r="A16" s="200" t="s">
        <v>3135</v>
      </c>
      <c r="B16" s="59">
        <v>86.31</v>
      </c>
      <c r="C16" s="59">
        <v>140.08000000000001</v>
      </c>
      <c r="D16" s="59">
        <v>146.52000000000001</v>
      </c>
      <c r="E16" s="59">
        <v>4.47</v>
      </c>
      <c r="F16" s="212" t="s">
        <v>42</v>
      </c>
      <c r="G16" s="59">
        <v>87.86</v>
      </c>
      <c r="H16" s="59">
        <v>62.56</v>
      </c>
      <c r="I16" s="59">
        <v>0.97</v>
      </c>
      <c r="J16" s="59">
        <v>0.05</v>
      </c>
      <c r="K16" s="59">
        <v>324.2</v>
      </c>
      <c r="L16" s="59">
        <v>17.25</v>
      </c>
      <c r="M16" s="59">
        <v>74</v>
      </c>
      <c r="N16" s="59">
        <v>24.4</v>
      </c>
      <c r="O16" s="59">
        <v>0</v>
      </c>
      <c r="P16" s="59">
        <v>2.76</v>
      </c>
      <c r="Q16" s="59">
        <v>45.08</v>
      </c>
      <c r="R16" s="197"/>
      <c r="S16" s="197"/>
      <c r="T16" s="197"/>
      <c r="U16" s="197"/>
    </row>
    <row r="17" spans="1:21" s="12" customFormat="1" x14ac:dyDescent="0.25">
      <c r="A17" s="200" t="s">
        <v>3136</v>
      </c>
      <c r="B17" s="59">
        <v>79</v>
      </c>
      <c r="C17" s="59">
        <v>135.05000000000001</v>
      </c>
      <c r="D17" s="59">
        <v>137.88</v>
      </c>
      <c r="E17" s="59">
        <v>3.89</v>
      </c>
      <c r="F17" s="212" t="s">
        <v>42</v>
      </c>
      <c r="G17" s="59">
        <v>87.86</v>
      </c>
      <c r="H17" s="59">
        <v>60.44</v>
      </c>
      <c r="I17" s="59">
        <v>0.92</v>
      </c>
      <c r="J17" s="59">
        <v>0.06</v>
      </c>
      <c r="K17" s="59">
        <v>322.08</v>
      </c>
      <c r="L17" s="59">
        <v>17.11</v>
      </c>
      <c r="M17" s="59">
        <v>75</v>
      </c>
      <c r="N17" s="59">
        <v>24.3</v>
      </c>
      <c r="O17" s="59">
        <v>0</v>
      </c>
      <c r="P17" s="59">
        <v>2.66</v>
      </c>
      <c r="Q17" s="59">
        <v>44.07</v>
      </c>
      <c r="R17" s="197"/>
      <c r="S17" s="197"/>
      <c r="T17" s="197"/>
      <c r="U17" s="197"/>
    </row>
    <row r="18" spans="1:21" s="12" customFormat="1" x14ac:dyDescent="0.25">
      <c r="A18" s="200" t="s">
        <v>3137</v>
      </c>
      <c r="B18" s="59">
        <v>73.08</v>
      </c>
      <c r="C18" s="59">
        <v>129.87</v>
      </c>
      <c r="D18" s="59">
        <v>130.27000000000001</v>
      </c>
      <c r="E18" s="59">
        <v>3.86</v>
      </c>
      <c r="F18" s="212" t="s">
        <v>42</v>
      </c>
      <c r="G18" s="59">
        <v>87.86</v>
      </c>
      <c r="H18" s="59">
        <v>60.44</v>
      </c>
      <c r="I18" s="59">
        <v>0.88</v>
      </c>
      <c r="J18" s="59">
        <v>0.12</v>
      </c>
      <c r="K18" s="59">
        <v>320.52999999999997</v>
      </c>
      <c r="L18" s="59">
        <v>17.010000000000002</v>
      </c>
      <c r="M18" s="59">
        <v>75</v>
      </c>
      <c r="N18" s="59">
        <v>24.2</v>
      </c>
      <c r="O18" s="59">
        <v>0</v>
      </c>
      <c r="P18" s="59">
        <v>2.57</v>
      </c>
      <c r="Q18" s="59">
        <v>42.74</v>
      </c>
      <c r="R18" s="197"/>
      <c r="S18" s="197"/>
      <c r="T18" s="197"/>
      <c r="U18" s="197"/>
    </row>
    <row r="19" spans="1:21" s="12" customFormat="1" x14ac:dyDescent="0.25">
      <c r="A19" s="200" t="s">
        <v>3138</v>
      </c>
      <c r="B19" s="59">
        <v>69.47</v>
      </c>
      <c r="C19" s="59">
        <v>126.66</v>
      </c>
      <c r="D19" s="59">
        <v>125.61</v>
      </c>
      <c r="E19" s="59">
        <v>3.98</v>
      </c>
      <c r="F19" s="212" t="s">
        <v>42</v>
      </c>
      <c r="G19" s="59">
        <v>87.86</v>
      </c>
      <c r="H19" s="59">
        <v>60.44</v>
      </c>
      <c r="I19" s="59">
        <v>0.84</v>
      </c>
      <c r="J19" s="59">
        <v>0.09</v>
      </c>
      <c r="K19" s="59">
        <v>320.52</v>
      </c>
      <c r="L19" s="59">
        <v>16.850000000000001</v>
      </c>
      <c r="M19" s="59">
        <v>77</v>
      </c>
      <c r="N19" s="59">
        <v>24.3</v>
      </c>
      <c r="O19" s="59">
        <v>0</v>
      </c>
      <c r="P19" s="59">
        <v>2.4900000000000002</v>
      </c>
      <c r="Q19" s="59">
        <v>41.73</v>
      </c>
      <c r="R19" s="197"/>
      <c r="S19" s="197"/>
      <c r="T19" s="197"/>
      <c r="U19" s="197"/>
    </row>
    <row r="20" spans="1:21" s="12" customFormat="1" x14ac:dyDescent="0.25">
      <c r="A20" s="200" t="s">
        <v>3139</v>
      </c>
      <c r="B20" s="59">
        <v>65.94</v>
      </c>
      <c r="C20" s="59">
        <v>123.61</v>
      </c>
      <c r="D20" s="59">
        <v>121.09</v>
      </c>
      <c r="E20" s="59">
        <v>3.91</v>
      </c>
      <c r="F20" s="212" t="s">
        <v>42</v>
      </c>
      <c r="G20" s="59">
        <v>93.2</v>
      </c>
      <c r="H20" s="59">
        <v>56.68</v>
      </c>
      <c r="I20" s="59">
        <v>0.81</v>
      </c>
      <c r="J20" s="59">
        <v>0.1</v>
      </c>
      <c r="K20" s="59">
        <v>320.43</v>
      </c>
      <c r="L20" s="59">
        <v>16.899999999999999</v>
      </c>
      <c r="M20" s="59">
        <v>77</v>
      </c>
      <c r="N20" s="59">
        <v>24.2</v>
      </c>
      <c r="O20" s="59">
        <v>0</v>
      </c>
      <c r="P20" s="59">
        <v>2.42</v>
      </c>
      <c r="Q20" s="59">
        <v>41.09</v>
      </c>
      <c r="R20" s="197"/>
      <c r="S20" s="197"/>
      <c r="T20" s="197"/>
      <c r="U20" s="197"/>
    </row>
    <row r="21" spans="1:21" s="12" customFormat="1" x14ac:dyDescent="0.25">
      <c r="A21" s="200" t="s">
        <v>3140</v>
      </c>
      <c r="B21" s="59">
        <v>62.72</v>
      </c>
      <c r="C21" s="59">
        <v>120.21</v>
      </c>
      <c r="D21" s="59">
        <v>116.64</v>
      </c>
      <c r="E21" s="59">
        <v>3.66</v>
      </c>
      <c r="F21" s="59">
        <v>7.0000000000000007E-2</v>
      </c>
      <c r="G21" s="59">
        <v>93.2</v>
      </c>
      <c r="H21" s="59">
        <v>55.61</v>
      </c>
      <c r="I21" s="59">
        <v>0.79</v>
      </c>
      <c r="J21" s="59">
        <v>7.0000000000000007E-2</v>
      </c>
      <c r="K21" s="59">
        <v>278.24</v>
      </c>
      <c r="L21" s="59">
        <v>16.899999999999999</v>
      </c>
      <c r="M21" s="59">
        <v>79</v>
      </c>
      <c r="N21" s="59">
        <v>24.3</v>
      </c>
      <c r="O21" s="59">
        <v>0</v>
      </c>
      <c r="P21" s="59">
        <v>2.35</v>
      </c>
      <c r="Q21" s="59">
        <v>40.93</v>
      </c>
      <c r="R21" s="197"/>
      <c r="S21" s="197"/>
      <c r="T21" s="197"/>
      <c r="U21" s="197"/>
    </row>
    <row r="22" spans="1:21" s="12" customFormat="1" x14ac:dyDescent="0.25">
      <c r="A22" s="200" t="s">
        <v>3141</v>
      </c>
      <c r="B22" s="59">
        <v>59.77</v>
      </c>
      <c r="C22" s="59">
        <v>117.32</v>
      </c>
      <c r="D22" s="59">
        <v>112.68</v>
      </c>
      <c r="E22" s="59">
        <v>4.01</v>
      </c>
      <c r="F22" s="59">
        <v>0.05</v>
      </c>
      <c r="G22" s="59">
        <v>93.2</v>
      </c>
      <c r="H22" s="59">
        <v>55.61</v>
      </c>
      <c r="I22" s="59">
        <v>0.77</v>
      </c>
      <c r="J22" s="59">
        <v>0.06</v>
      </c>
      <c r="K22" s="59">
        <v>272.06</v>
      </c>
      <c r="L22" s="59">
        <v>16.82</v>
      </c>
      <c r="M22" s="59">
        <v>78</v>
      </c>
      <c r="N22" s="59">
        <v>24.5</v>
      </c>
      <c r="O22" s="59">
        <v>0</v>
      </c>
      <c r="P22" s="59">
        <v>2.2799999999999998</v>
      </c>
      <c r="Q22" s="59">
        <v>40.83</v>
      </c>
      <c r="R22" s="197"/>
      <c r="S22" s="197"/>
      <c r="T22" s="197"/>
      <c r="U22" s="197"/>
    </row>
    <row r="23" spans="1:21" s="12" customFormat="1" x14ac:dyDescent="0.25">
      <c r="A23" s="200" t="s">
        <v>3142</v>
      </c>
      <c r="B23" s="59">
        <v>56.79</v>
      </c>
      <c r="C23" s="59">
        <v>114.57</v>
      </c>
      <c r="D23" s="59">
        <v>108.77</v>
      </c>
      <c r="E23" s="59">
        <v>4.2699999999999996</v>
      </c>
      <c r="F23" s="209" t="s">
        <v>36</v>
      </c>
      <c r="G23" s="59">
        <v>93.2</v>
      </c>
      <c r="H23" s="59">
        <v>55.61</v>
      </c>
      <c r="I23" s="59">
        <v>0.76</v>
      </c>
      <c r="J23" s="59">
        <v>0.09</v>
      </c>
      <c r="K23" s="59">
        <v>310.3</v>
      </c>
      <c r="L23" s="59">
        <v>16.739999999999998</v>
      </c>
      <c r="M23" s="59">
        <v>77</v>
      </c>
      <c r="N23" s="59">
        <v>24.4</v>
      </c>
      <c r="O23" s="59">
        <v>0</v>
      </c>
      <c r="P23" s="59">
        <v>2.21</v>
      </c>
      <c r="Q23" s="59">
        <v>40.659999999999997</v>
      </c>
      <c r="R23" s="197"/>
      <c r="S23" s="197"/>
      <c r="T23" s="197"/>
      <c r="U23" s="197"/>
    </row>
    <row r="24" spans="1:21" s="12" customFormat="1" x14ac:dyDescent="0.25">
      <c r="A24" s="200" t="s">
        <v>3143</v>
      </c>
      <c r="B24" s="59">
        <v>54.19</v>
      </c>
      <c r="C24" s="59">
        <v>112.19</v>
      </c>
      <c r="D24" s="59">
        <v>105.38</v>
      </c>
      <c r="E24" s="59">
        <v>3.22</v>
      </c>
      <c r="F24" s="59">
        <v>0.01</v>
      </c>
      <c r="G24" s="59">
        <v>96.73</v>
      </c>
      <c r="H24" s="59">
        <v>51.08</v>
      </c>
      <c r="I24" s="59">
        <v>0.73</v>
      </c>
      <c r="J24" s="59">
        <v>0.08</v>
      </c>
      <c r="K24" s="59">
        <v>245.06</v>
      </c>
      <c r="L24" s="59">
        <v>16.73</v>
      </c>
      <c r="M24" s="59">
        <v>78</v>
      </c>
      <c r="N24" s="59">
        <v>24.1</v>
      </c>
      <c r="O24" s="59">
        <v>0</v>
      </c>
      <c r="P24" s="59">
        <v>2.15</v>
      </c>
      <c r="Q24" s="59">
        <v>40.36</v>
      </c>
      <c r="R24" s="197"/>
      <c r="S24" s="197"/>
      <c r="T24" s="197"/>
      <c r="U24" s="197"/>
    </row>
    <row r="25" spans="1:21" s="12" customFormat="1" x14ac:dyDescent="0.25">
      <c r="A25" s="200" t="s">
        <v>3144</v>
      </c>
      <c r="B25" s="59">
        <v>51.95</v>
      </c>
      <c r="C25" s="59">
        <v>110.67</v>
      </c>
      <c r="D25" s="59">
        <v>102.74</v>
      </c>
      <c r="E25" s="59">
        <v>5.88</v>
      </c>
      <c r="F25" s="209" t="s">
        <v>36</v>
      </c>
      <c r="G25" s="59">
        <v>96.73</v>
      </c>
      <c r="H25" s="59">
        <v>49.79</v>
      </c>
      <c r="I25" s="59">
        <v>0.71</v>
      </c>
      <c r="J25" s="59">
        <v>0.09</v>
      </c>
      <c r="K25" s="59">
        <v>286.45999999999998</v>
      </c>
      <c r="L25" s="59">
        <v>16.82</v>
      </c>
      <c r="M25" s="59">
        <v>78</v>
      </c>
      <c r="N25" s="59">
        <v>24.3</v>
      </c>
      <c r="O25" s="59">
        <v>0</v>
      </c>
      <c r="P25" s="59">
        <v>2.08</v>
      </c>
      <c r="Q25" s="59">
        <v>41.48</v>
      </c>
      <c r="R25" s="197"/>
      <c r="S25" s="197"/>
      <c r="T25" s="197"/>
      <c r="U25" s="197"/>
    </row>
    <row r="26" spans="1:21" s="12" customFormat="1" x14ac:dyDescent="0.25">
      <c r="A26" s="200" t="s">
        <v>3145</v>
      </c>
      <c r="B26" s="59">
        <v>50.23</v>
      </c>
      <c r="C26" s="59">
        <v>109.87</v>
      </c>
      <c r="D26" s="59">
        <v>100.91</v>
      </c>
      <c r="E26" s="59">
        <v>4.92</v>
      </c>
      <c r="F26" s="209" t="s">
        <v>36</v>
      </c>
      <c r="G26" s="59">
        <v>96.73</v>
      </c>
      <c r="H26" s="59">
        <v>49.79</v>
      </c>
      <c r="I26" s="59">
        <v>0.7</v>
      </c>
      <c r="J26" s="59">
        <v>0.12</v>
      </c>
      <c r="K26" s="59">
        <v>283.79000000000002</v>
      </c>
      <c r="L26" s="59">
        <v>16.920000000000002</v>
      </c>
      <c r="M26" s="59">
        <v>77</v>
      </c>
      <c r="N26" s="59">
        <v>24.1</v>
      </c>
      <c r="O26" s="59">
        <v>0</v>
      </c>
      <c r="P26" s="59">
        <v>2.0099999999999998</v>
      </c>
      <c r="Q26" s="59">
        <v>41.85</v>
      </c>
      <c r="R26" s="197"/>
      <c r="S26" s="197"/>
      <c r="T26" s="197"/>
      <c r="U26" s="197"/>
    </row>
    <row r="27" spans="1:21" s="12" customFormat="1" x14ac:dyDescent="0.25">
      <c r="A27" s="200" t="s">
        <v>3146</v>
      </c>
      <c r="B27" s="59">
        <v>48.27</v>
      </c>
      <c r="C27" s="59">
        <v>108.63</v>
      </c>
      <c r="D27" s="59">
        <v>98.66</v>
      </c>
      <c r="E27" s="59">
        <v>5.0999999999999996</v>
      </c>
      <c r="F27" s="59">
        <v>7.0000000000000007E-2</v>
      </c>
      <c r="G27" s="59">
        <v>96.73</v>
      </c>
      <c r="H27" s="59">
        <v>49.79</v>
      </c>
      <c r="I27" s="59">
        <v>0.68</v>
      </c>
      <c r="J27" s="59">
        <v>0.15</v>
      </c>
      <c r="K27" s="59">
        <v>327.64</v>
      </c>
      <c r="L27" s="59">
        <v>16.809999999999999</v>
      </c>
      <c r="M27" s="59">
        <v>79</v>
      </c>
      <c r="N27" s="59">
        <v>24.4</v>
      </c>
      <c r="O27" s="59">
        <v>0</v>
      </c>
      <c r="P27" s="59">
        <v>1.94</v>
      </c>
      <c r="Q27" s="59">
        <v>41.27</v>
      </c>
      <c r="R27" s="197"/>
      <c r="S27" s="197"/>
      <c r="T27" s="197"/>
      <c r="U27" s="197"/>
    </row>
    <row r="28" spans="1:21" s="12" customFormat="1" x14ac:dyDescent="0.25">
      <c r="A28" s="200" t="s">
        <v>3147</v>
      </c>
      <c r="B28" s="59">
        <v>48.23</v>
      </c>
      <c r="C28" s="59">
        <v>108.77</v>
      </c>
      <c r="D28" s="59">
        <v>98.7</v>
      </c>
      <c r="E28" s="59">
        <v>5.34</v>
      </c>
      <c r="F28" s="59">
        <v>0.06</v>
      </c>
      <c r="G28" s="59">
        <v>94.27</v>
      </c>
      <c r="H28" s="59">
        <v>51.52</v>
      </c>
      <c r="I28" s="59">
        <v>0.64</v>
      </c>
      <c r="J28" s="59">
        <v>0.08</v>
      </c>
      <c r="K28" s="59">
        <v>334.44</v>
      </c>
      <c r="L28" s="59">
        <v>16.649999999999999</v>
      </c>
      <c r="M28" s="59">
        <v>80</v>
      </c>
      <c r="N28" s="59">
        <v>24.5</v>
      </c>
      <c r="O28" s="59">
        <v>0</v>
      </c>
      <c r="P28" s="59">
        <v>1.93</v>
      </c>
      <c r="Q28" s="59">
        <v>40.86</v>
      </c>
      <c r="R28" s="197"/>
      <c r="S28" s="197"/>
      <c r="T28" s="197"/>
      <c r="U28" s="197"/>
    </row>
    <row r="29" spans="1:21" s="12" customFormat="1" x14ac:dyDescent="0.25">
      <c r="A29" s="200" t="s">
        <v>3148</v>
      </c>
      <c r="B29" s="59">
        <v>48.97</v>
      </c>
      <c r="C29" s="59">
        <v>109.14</v>
      </c>
      <c r="D29" s="59">
        <v>99.5</v>
      </c>
      <c r="E29" s="59">
        <v>5.04</v>
      </c>
      <c r="F29" s="209" t="s">
        <v>36</v>
      </c>
      <c r="G29" s="59">
        <v>94.27</v>
      </c>
      <c r="H29" s="59">
        <v>52.02</v>
      </c>
      <c r="I29" s="59">
        <v>0.6</v>
      </c>
      <c r="J29" s="59">
        <v>0.05</v>
      </c>
      <c r="K29" s="59">
        <v>315.41000000000003</v>
      </c>
      <c r="L29" s="59">
        <v>16.7</v>
      </c>
      <c r="M29" s="59">
        <v>80</v>
      </c>
      <c r="N29" s="59">
        <v>24.3</v>
      </c>
      <c r="O29" s="59">
        <v>0</v>
      </c>
      <c r="P29" s="59">
        <v>1.89</v>
      </c>
      <c r="Q29" s="59">
        <v>40.94</v>
      </c>
      <c r="R29" s="197"/>
      <c r="S29" s="197"/>
      <c r="T29" s="197"/>
      <c r="U29" s="197"/>
    </row>
    <row r="30" spans="1:21" s="12" customFormat="1" x14ac:dyDescent="0.25">
      <c r="A30" s="200" t="s">
        <v>3149</v>
      </c>
      <c r="B30" s="59">
        <v>47.45</v>
      </c>
      <c r="C30" s="59">
        <v>108.08</v>
      </c>
      <c r="D30" s="59">
        <v>97.7</v>
      </c>
      <c r="E30" s="59">
        <v>5.28</v>
      </c>
      <c r="F30" s="209" t="s">
        <v>36</v>
      </c>
      <c r="G30" s="59">
        <v>94.27</v>
      </c>
      <c r="H30" s="59">
        <v>52.02</v>
      </c>
      <c r="I30" s="59">
        <v>0.57999999999999996</v>
      </c>
      <c r="J30" s="59">
        <v>0.09</v>
      </c>
      <c r="K30" s="59">
        <v>291.08</v>
      </c>
      <c r="L30" s="59">
        <v>16.89</v>
      </c>
      <c r="M30" s="59">
        <v>79</v>
      </c>
      <c r="N30" s="59">
        <v>24.2</v>
      </c>
      <c r="O30" s="59">
        <v>0</v>
      </c>
      <c r="P30" s="59">
        <v>1.83</v>
      </c>
      <c r="Q30" s="59">
        <v>40.590000000000003</v>
      </c>
      <c r="R30" s="197"/>
      <c r="S30" s="197"/>
      <c r="T30" s="197"/>
      <c r="U30" s="197"/>
    </row>
    <row r="31" spans="1:21" s="12" customFormat="1" x14ac:dyDescent="0.25">
      <c r="A31" s="200" t="s">
        <v>3150</v>
      </c>
      <c r="B31" s="59">
        <v>46.31</v>
      </c>
      <c r="C31" s="59">
        <v>107.76</v>
      </c>
      <c r="D31" s="59">
        <v>96.61</v>
      </c>
      <c r="E31" s="59">
        <v>5.08</v>
      </c>
      <c r="F31" s="209" t="s">
        <v>36</v>
      </c>
      <c r="G31" s="59">
        <v>94.27</v>
      </c>
      <c r="H31" s="59">
        <v>52.02</v>
      </c>
      <c r="I31" s="59">
        <v>0.56000000000000005</v>
      </c>
      <c r="J31" s="59">
        <v>0.06</v>
      </c>
      <c r="K31" s="59">
        <v>52.62</v>
      </c>
      <c r="L31" s="59">
        <v>17.02</v>
      </c>
      <c r="M31" s="59">
        <v>76</v>
      </c>
      <c r="N31" s="59">
        <v>24.3</v>
      </c>
      <c r="O31" s="59">
        <v>0</v>
      </c>
      <c r="P31" s="59">
        <v>1.81</v>
      </c>
      <c r="Q31" s="59">
        <v>40.049999999999997</v>
      </c>
      <c r="R31" s="197"/>
      <c r="S31" s="197"/>
      <c r="T31" s="197"/>
      <c r="U31" s="197"/>
    </row>
    <row r="32" spans="1:21" s="12" customFormat="1" x14ac:dyDescent="0.25">
      <c r="A32" s="200" t="s">
        <v>3151</v>
      </c>
      <c r="B32" s="59">
        <v>46.59</v>
      </c>
      <c r="C32" s="59">
        <v>107.68</v>
      </c>
      <c r="D32" s="59">
        <v>96.79</v>
      </c>
      <c r="E32" s="59">
        <v>4.6399999999999997</v>
      </c>
      <c r="F32" s="59">
        <v>0.11</v>
      </c>
      <c r="G32" s="59">
        <v>95.37</v>
      </c>
      <c r="H32" s="59">
        <v>51.76</v>
      </c>
      <c r="I32" s="59">
        <v>0.55000000000000004</v>
      </c>
      <c r="J32" s="59">
        <v>0.09</v>
      </c>
      <c r="K32" s="59">
        <v>314.58999999999997</v>
      </c>
      <c r="L32" s="59">
        <v>16.97</v>
      </c>
      <c r="M32" s="59">
        <v>76</v>
      </c>
      <c r="N32" s="59">
        <v>24.5</v>
      </c>
      <c r="O32" s="59">
        <v>0</v>
      </c>
      <c r="P32" s="59">
        <v>1.8</v>
      </c>
      <c r="Q32" s="59">
        <v>39.22</v>
      </c>
      <c r="R32" s="197"/>
      <c r="S32" s="197"/>
      <c r="T32" s="197"/>
      <c r="U32" s="197"/>
    </row>
    <row r="33" spans="1:21" s="12" customFormat="1" x14ac:dyDescent="0.25">
      <c r="A33" s="200" t="s">
        <v>3152</v>
      </c>
      <c r="B33" s="59">
        <v>47</v>
      </c>
      <c r="C33" s="59">
        <v>107.68</v>
      </c>
      <c r="D33" s="59">
        <v>97.12</v>
      </c>
      <c r="E33" s="59">
        <v>5.19</v>
      </c>
      <c r="F33" s="59">
        <v>0.06</v>
      </c>
      <c r="G33" s="59">
        <v>95.37</v>
      </c>
      <c r="H33" s="59">
        <v>51.69</v>
      </c>
      <c r="I33" s="59">
        <v>0.53</v>
      </c>
      <c r="J33" s="59">
        <v>0.05</v>
      </c>
      <c r="K33" s="59">
        <v>5.52</v>
      </c>
      <c r="L33" s="59">
        <v>16.8</v>
      </c>
      <c r="M33" s="59">
        <v>76</v>
      </c>
      <c r="N33" s="59">
        <v>24.6</v>
      </c>
      <c r="O33" s="59">
        <v>0</v>
      </c>
      <c r="P33" s="59">
        <v>1.81</v>
      </c>
      <c r="Q33" s="59">
        <v>38.53</v>
      </c>
      <c r="R33" s="197"/>
      <c r="S33" s="197"/>
      <c r="T33" s="197"/>
      <c r="U33" s="197"/>
    </row>
    <row r="34" spans="1:21" s="12" customFormat="1" x14ac:dyDescent="0.25">
      <c r="A34" s="200" t="s">
        <v>3153</v>
      </c>
      <c r="B34" s="59">
        <v>46.47</v>
      </c>
      <c r="C34" s="59">
        <v>107.25</v>
      </c>
      <c r="D34" s="59">
        <v>96.46</v>
      </c>
      <c r="E34" s="59">
        <v>5.12</v>
      </c>
      <c r="F34" s="209" t="s">
        <v>36</v>
      </c>
      <c r="G34" s="59">
        <v>95.37</v>
      </c>
      <c r="H34" s="59">
        <v>51.69</v>
      </c>
      <c r="I34" s="59">
        <v>0.52</v>
      </c>
      <c r="J34" s="59">
        <v>0.02</v>
      </c>
      <c r="K34" s="59">
        <v>305.95999999999998</v>
      </c>
      <c r="L34" s="59">
        <v>17.07</v>
      </c>
      <c r="M34" s="59">
        <v>74</v>
      </c>
      <c r="N34" s="59">
        <v>24.6</v>
      </c>
      <c r="O34" s="59">
        <v>0</v>
      </c>
      <c r="P34" s="59">
        <v>1.81</v>
      </c>
      <c r="Q34" s="59">
        <v>38.340000000000003</v>
      </c>
      <c r="R34" s="197"/>
      <c r="S34" s="197"/>
      <c r="T34" s="197"/>
      <c r="U34" s="197"/>
    </row>
    <row r="35" spans="1:21" s="12" customFormat="1" x14ac:dyDescent="0.25">
      <c r="A35" s="200" t="s">
        <v>3154</v>
      </c>
      <c r="B35" s="59">
        <v>45.88</v>
      </c>
      <c r="C35" s="59">
        <v>106.75</v>
      </c>
      <c r="D35" s="59">
        <v>95.7</v>
      </c>
      <c r="E35" s="59">
        <v>5.17</v>
      </c>
      <c r="F35" s="209" t="s">
        <v>36</v>
      </c>
      <c r="G35" s="59">
        <v>95.37</v>
      </c>
      <c r="H35" s="59">
        <v>51.69</v>
      </c>
      <c r="I35" s="59">
        <v>0.52</v>
      </c>
      <c r="J35" s="59">
        <v>0.3</v>
      </c>
      <c r="K35" s="59">
        <v>235.78</v>
      </c>
      <c r="L35" s="59">
        <v>17.309999999999999</v>
      </c>
      <c r="M35" s="59">
        <v>75</v>
      </c>
      <c r="N35" s="59">
        <v>26.2</v>
      </c>
      <c r="O35" s="59">
        <v>0</v>
      </c>
      <c r="P35" s="59">
        <v>1.84</v>
      </c>
      <c r="Q35" s="59">
        <v>38.28</v>
      </c>
      <c r="R35" s="197"/>
      <c r="S35" s="197"/>
      <c r="T35" s="197"/>
      <c r="U35" s="197"/>
    </row>
    <row r="36" spans="1:21" s="12" customFormat="1" x14ac:dyDescent="0.25">
      <c r="A36" s="200" t="s">
        <v>3155</v>
      </c>
      <c r="B36" s="59">
        <v>47.12</v>
      </c>
      <c r="C36" s="59">
        <v>107.32</v>
      </c>
      <c r="D36" s="59">
        <v>97.01</v>
      </c>
      <c r="E36" s="59">
        <v>5.48</v>
      </c>
      <c r="F36" s="59">
        <v>0.02</v>
      </c>
      <c r="G36" s="59">
        <v>117.51</v>
      </c>
      <c r="H36" s="59">
        <v>56.57</v>
      </c>
      <c r="I36" s="59">
        <v>0.52</v>
      </c>
      <c r="J36" s="59">
        <v>0.06</v>
      </c>
      <c r="K36" s="59">
        <v>355.68</v>
      </c>
      <c r="L36" s="59">
        <v>17.28</v>
      </c>
      <c r="M36" s="59">
        <v>76</v>
      </c>
      <c r="N36" s="59">
        <v>33.200000000000003</v>
      </c>
      <c r="O36" s="59">
        <v>0</v>
      </c>
      <c r="P36" s="59">
        <v>1.87</v>
      </c>
      <c r="Q36" s="59">
        <v>38.130000000000003</v>
      </c>
      <c r="R36" s="197"/>
      <c r="S36" s="197"/>
      <c r="T36" s="197"/>
      <c r="U36" s="197"/>
    </row>
    <row r="37" spans="1:21" s="12" customFormat="1" x14ac:dyDescent="0.25">
      <c r="A37" s="200" t="s">
        <v>3156</v>
      </c>
      <c r="B37" s="59">
        <v>51.57</v>
      </c>
      <c r="C37" s="59">
        <v>109.53</v>
      </c>
      <c r="D37" s="59">
        <v>101.8</v>
      </c>
      <c r="E37" s="59">
        <v>4.88</v>
      </c>
      <c r="F37" s="59">
        <v>0.05</v>
      </c>
      <c r="G37" s="59">
        <v>117.51</v>
      </c>
      <c r="H37" s="59">
        <v>57.96</v>
      </c>
      <c r="I37" s="59">
        <v>0.52</v>
      </c>
      <c r="J37" s="59">
        <v>0.27</v>
      </c>
      <c r="K37" s="59">
        <v>222.83</v>
      </c>
      <c r="L37" s="59">
        <v>17.39</v>
      </c>
      <c r="M37" s="59">
        <v>75</v>
      </c>
      <c r="N37" s="59">
        <v>41.3</v>
      </c>
      <c r="O37" s="59">
        <v>0</v>
      </c>
      <c r="P37" s="59">
        <v>1.93</v>
      </c>
      <c r="Q37" s="59">
        <v>38.46</v>
      </c>
      <c r="R37" s="197"/>
      <c r="S37" s="197"/>
      <c r="T37" s="197"/>
      <c r="U37" s="197"/>
    </row>
    <row r="38" spans="1:21" s="12" customFormat="1" x14ac:dyDescent="0.25">
      <c r="A38" s="200" t="s">
        <v>3157</v>
      </c>
      <c r="B38" s="59">
        <v>53.62</v>
      </c>
      <c r="C38" s="59">
        <v>109.84</v>
      </c>
      <c r="D38" s="59">
        <v>103.61</v>
      </c>
      <c r="E38" s="59">
        <v>5.41</v>
      </c>
      <c r="F38" s="59">
        <v>0.01</v>
      </c>
      <c r="G38" s="59">
        <v>117.51</v>
      </c>
      <c r="H38" s="59">
        <v>57.96</v>
      </c>
      <c r="I38" s="59">
        <v>0.53</v>
      </c>
      <c r="J38" s="59">
        <v>0.41</v>
      </c>
      <c r="K38" s="59">
        <v>194.5</v>
      </c>
      <c r="L38" s="59">
        <v>17.59</v>
      </c>
      <c r="M38" s="59">
        <v>78</v>
      </c>
      <c r="N38" s="59">
        <v>51.5</v>
      </c>
      <c r="O38" s="59">
        <v>0</v>
      </c>
      <c r="P38" s="59">
        <v>2.0499999999999998</v>
      </c>
      <c r="Q38" s="59">
        <v>39.1</v>
      </c>
      <c r="R38" s="197"/>
      <c r="S38" s="197"/>
      <c r="T38" s="197"/>
      <c r="U38" s="197"/>
    </row>
    <row r="39" spans="1:21" s="12" customFormat="1" x14ac:dyDescent="0.25">
      <c r="A39" s="200" t="s">
        <v>3158</v>
      </c>
      <c r="B39" s="59">
        <v>53.12</v>
      </c>
      <c r="C39" s="59">
        <v>108.3</v>
      </c>
      <c r="D39" s="59">
        <v>102.37</v>
      </c>
      <c r="E39" s="59">
        <v>5.4</v>
      </c>
      <c r="F39" s="59">
        <v>0.01</v>
      </c>
      <c r="G39" s="59">
        <v>117.51</v>
      </c>
      <c r="H39" s="59">
        <v>57.96</v>
      </c>
      <c r="I39" s="59">
        <v>0.55000000000000004</v>
      </c>
      <c r="J39" s="59">
        <v>0.11</v>
      </c>
      <c r="K39" s="59">
        <v>345.01</v>
      </c>
      <c r="L39" s="59">
        <v>18.079999999999998</v>
      </c>
      <c r="M39" s="59">
        <v>78</v>
      </c>
      <c r="N39" s="59">
        <v>71.400000000000006</v>
      </c>
      <c r="O39" s="59">
        <v>0</v>
      </c>
      <c r="P39" s="59">
        <v>2.0499999999999998</v>
      </c>
      <c r="Q39" s="59">
        <v>39.79</v>
      </c>
      <c r="R39" s="197"/>
      <c r="S39" s="197"/>
      <c r="T39" s="197"/>
      <c r="U39" s="197"/>
    </row>
    <row r="40" spans="1:21" s="12" customFormat="1" x14ac:dyDescent="0.25">
      <c r="A40" s="200" t="s">
        <v>3159</v>
      </c>
      <c r="B40" s="59">
        <v>55.53</v>
      </c>
      <c r="C40" s="59">
        <v>109.11</v>
      </c>
      <c r="D40" s="59">
        <v>104.75</v>
      </c>
      <c r="E40" s="59">
        <v>2.41</v>
      </c>
      <c r="F40" s="59">
        <v>0.06</v>
      </c>
      <c r="G40" s="59">
        <v>131.07</v>
      </c>
      <c r="H40" s="59">
        <v>61.42</v>
      </c>
      <c r="I40" s="59">
        <v>0.55000000000000004</v>
      </c>
      <c r="J40" s="59">
        <v>0.15</v>
      </c>
      <c r="K40" s="59">
        <v>14.2</v>
      </c>
      <c r="L40" s="59">
        <v>19.87</v>
      </c>
      <c r="M40" s="59">
        <v>71</v>
      </c>
      <c r="N40" s="59">
        <v>133.6</v>
      </c>
      <c r="O40" s="59">
        <v>0</v>
      </c>
      <c r="P40" s="59">
        <v>2.1</v>
      </c>
      <c r="Q40" s="59">
        <v>40.58</v>
      </c>
      <c r="R40" s="197"/>
      <c r="S40" s="197"/>
      <c r="T40" s="197"/>
      <c r="U40" s="197"/>
    </row>
    <row r="41" spans="1:21" s="12" customFormat="1" x14ac:dyDescent="0.25">
      <c r="A41" s="200" t="s">
        <v>3160</v>
      </c>
      <c r="B41" s="59">
        <v>59.34</v>
      </c>
      <c r="C41" s="59">
        <v>112.55</v>
      </c>
      <c r="D41" s="59">
        <v>109.69</v>
      </c>
      <c r="E41" s="59">
        <v>4.3</v>
      </c>
      <c r="F41" s="209" t="s">
        <v>36</v>
      </c>
      <c r="G41" s="59">
        <v>131.07</v>
      </c>
      <c r="H41" s="59">
        <v>62.41</v>
      </c>
      <c r="I41" s="59">
        <v>0.55000000000000004</v>
      </c>
      <c r="J41" s="59">
        <v>0.06</v>
      </c>
      <c r="K41" s="59">
        <v>66.34</v>
      </c>
      <c r="L41" s="59">
        <v>22.16</v>
      </c>
      <c r="M41" s="59">
        <v>61</v>
      </c>
      <c r="N41" s="59">
        <v>162.4</v>
      </c>
      <c r="O41" s="59">
        <v>0</v>
      </c>
      <c r="P41" s="59">
        <v>2.16</v>
      </c>
      <c r="Q41" s="59">
        <v>41.06</v>
      </c>
      <c r="R41" s="197"/>
      <c r="S41" s="197"/>
      <c r="T41" s="197"/>
      <c r="U41" s="197"/>
    </row>
    <row r="42" spans="1:21" s="12" customFormat="1" x14ac:dyDescent="0.25">
      <c r="A42" s="200" t="s">
        <v>3161</v>
      </c>
      <c r="B42" s="59">
        <v>61.23</v>
      </c>
      <c r="C42" s="59">
        <v>116.46</v>
      </c>
      <c r="D42" s="59">
        <v>113.37</v>
      </c>
      <c r="E42" s="59">
        <v>4.43</v>
      </c>
      <c r="F42" s="59">
        <v>0.06</v>
      </c>
      <c r="G42" s="59">
        <v>131.07</v>
      </c>
      <c r="H42" s="59">
        <v>62.41</v>
      </c>
      <c r="I42" s="59">
        <v>0.55000000000000004</v>
      </c>
      <c r="J42" s="59">
        <v>0.28000000000000003</v>
      </c>
      <c r="K42" s="59">
        <v>8.09</v>
      </c>
      <c r="L42" s="59">
        <v>24.02</v>
      </c>
      <c r="M42" s="59">
        <v>55</v>
      </c>
      <c r="N42" s="59">
        <v>187.9</v>
      </c>
      <c r="O42" s="59">
        <v>0</v>
      </c>
      <c r="P42" s="59">
        <v>2.23</v>
      </c>
      <c r="Q42" s="59">
        <v>41.2</v>
      </c>
      <c r="R42" s="197"/>
      <c r="S42" s="197"/>
      <c r="T42" s="197"/>
      <c r="U42" s="197"/>
    </row>
    <row r="43" spans="1:21" s="12" customFormat="1" x14ac:dyDescent="0.25">
      <c r="A43" s="200" t="s">
        <v>3162</v>
      </c>
      <c r="B43" s="59">
        <v>60.98</v>
      </c>
      <c r="C43" s="59">
        <v>120.26</v>
      </c>
      <c r="D43" s="59">
        <v>115.27</v>
      </c>
      <c r="E43" s="59">
        <v>4.68</v>
      </c>
      <c r="F43" s="59">
        <v>0.06</v>
      </c>
      <c r="G43" s="59">
        <v>131.07</v>
      </c>
      <c r="H43" s="59">
        <v>62.41</v>
      </c>
      <c r="I43" s="59">
        <v>0.55000000000000004</v>
      </c>
      <c r="J43" s="59">
        <v>0.28000000000000003</v>
      </c>
      <c r="K43" s="59">
        <v>359.67</v>
      </c>
      <c r="L43" s="59">
        <v>25.5</v>
      </c>
      <c r="M43" s="59">
        <v>50</v>
      </c>
      <c r="N43" s="59">
        <v>213.7</v>
      </c>
      <c r="O43" s="59">
        <v>0</v>
      </c>
      <c r="P43" s="59">
        <v>2.3199999999999998</v>
      </c>
      <c r="Q43" s="59">
        <v>41.18</v>
      </c>
      <c r="R43" s="197"/>
      <c r="S43" s="197"/>
      <c r="T43" s="197"/>
      <c r="U43" s="197"/>
    </row>
    <row r="44" spans="1:21" s="12" customFormat="1" x14ac:dyDescent="0.25">
      <c r="A44" s="200" t="s">
        <v>3163</v>
      </c>
      <c r="B44" s="59">
        <v>59.4</v>
      </c>
      <c r="C44" s="59">
        <v>124.43</v>
      </c>
      <c r="D44" s="59">
        <v>116.3</v>
      </c>
      <c r="E44" s="59">
        <v>4.51</v>
      </c>
      <c r="F44" s="59">
        <v>0.05</v>
      </c>
      <c r="G44" s="59">
        <v>164.78</v>
      </c>
      <c r="H44" s="59">
        <v>67.489999999999995</v>
      </c>
      <c r="I44" s="59">
        <v>0.55000000000000004</v>
      </c>
      <c r="J44" s="59">
        <v>0.28000000000000003</v>
      </c>
      <c r="K44" s="59">
        <v>352.26</v>
      </c>
      <c r="L44" s="59">
        <v>27.09</v>
      </c>
      <c r="M44" s="59">
        <v>43</v>
      </c>
      <c r="N44" s="59">
        <v>230</v>
      </c>
      <c r="O44" s="59">
        <v>0</v>
      </c>
      <c r="P44" s="59">
        <v>2.39</v>
      </c>
      <c r="Q44" s="59">
        <v>40.840000000000003</v>
      </c>
      <c r="R44" s="197"/>
      <c r="S44" s="197"/>
      <c r="T44" s="197"/>
      <c r="U44" s="197"/>
    </row>
    <row r="45" spans="1:21" s="12" customFormat="1" x14ac:dyDescent="0.25">
      <c r="A45" s="200" t="s">
        <v>3164</v>
      </c>
      <c r="B45" s="59">
        <v>56.61</v>
      </c>
      <c r="C45" s="59">
        <v>128.47</v>
      </c>
      <c r="D45" s="59">
        <v>116.29</v>
      </c>
      <c r="E45" s="59">
        <v>4.46</v>
      </c>
      <c r="F45" s="59">
        <v>0.18</v>
      </c>
      <c r="G45" s="59">
        <v>164.78</v>
      </c>
      <c r="H45" s="59">
        <v>68.94</v>
      </c>
      <c r="I45" s="59">
        <v>0.56000000000000005</v>
      </c>
      <c r="J45" s="59">
        <v>0.41</v>
      </c>
      <c r="K45" s="59">
        <v>2.98</v>
      </c>
      <c r="L45" s="59">
        <v>27.94</v>
      </c>
      <c r="M45" s="59">
        <v>38</v>
      </c>
      <c r="N45" s="59">
        <v>248.2</v>
      </c>
      <c r="O45" s="59">
        <v>0</v>
      </c>
      <c r="P45" s="59">
        <v>2.4300000000000002</v>
      </c>
      <c r="Q45" s="59">
        <v>40.799999999999997</v>
      </c>
      <c r="R45" s="197"/>
      <c r="S45" s="197"/>
      <c r="T45" s="197"/>
      <c r="U45" s="197"/>
    </row>
    <row r="46" spans="1:21" s="12" customFormat="1" x14ac:dyDescent="0.25">
      <c r="A46" s="200" t="s">
        <v>3165</v>
      </c>
      <c r="B46" s="59">
        <v>52.54</v>
      </c>
      <c r="C46" s="59">
        <v>130.66</v>
      </c>
      <c r="D46" s="59">
        <v>114.24</v>
      </c>
      <c r="E46" s="59">
        <v>5.03</v>
      </c>
      <c r="F46" s="59">
        <v>0.2</v>
      </c>
      <c r="G46" s="59">
        <v>164.78</v>
      </c>
      <c r="H46" s="59">
        <v>68.94</v>
      </c>
      <c r="I46" s="59">
        <v>0.55000000000000004</v>
      </c>
      <c r="J46" s="59">
        <v>0.48</v>
      </c>
      <c r="K46" s="59">
        <v>357.02</v>
      </c>
      <c r="L46" s="59">
        <v>29.1</v>
      </c>
      <c r="M46" s="59">
        <v>35</v>
      </c>
      <c r="N46" s="59">
        <v>260.60000000000002</v>
      </c>
      <c r="O46" s="59">
        <v>0</v>
      </c>
      <c r="P46" s="59">
        <v>2.44</v>
      </c>
      <c r="Q46" s="59">
        <v>40.43</v>
      </c>
      <c r="R46" s="197"/>
      <c r="S46" s="197"/>
      <c r="T46" s="197"/>
      <c r="U46" s="197"/>
    </row>
    <row r="47" spans="1:21" s="12" customFormat="1" x14ac:dyDescent="0.25">
      <c r="A47" s="200" t="s">
        <v>3166</v>
      </c>
      <c r="B47" s="59">
        <v>46.34</v>
      </c>
      <c r="C47" s="59">
        <v>129.1</v>
      </c>
      <c r="D47" s="59">
        <v>108.41</v>
      </c>
      <c r="E47" s="59">
        <v>5.59</v>
      </c>
      <c r="F47" s="59">
        <v>1.44</v>
      </c>
      <c r="G47" s="59">
        <v>164.78</v>
      </c>
      <c r="H47" s="59">
        <v>68.94</v>
      </c>
      <c r="I47" s="59">
        <v>0.55000000000000004</v>
      </c>
      <c r="J47" s="59">
        <v>0.41</v>
      </c>
      <c r="K47" s="59">
        <v>8.66</v>
      </c>
      <c r="L47" s="59">
        <v>29.66</v>
      </c>
      <c r="M47" s="59">
        <v>34</v>
      </c>
      <c r="N47" s="59">
        <v>266.5</v>
      </c>
      <c r="O47" s="59">
        <v>0</v>
      </c>
      <c r="P47" s="59">
        <v>2.44</v>
      </c>
      <c r="Q47" s="59">
        <v>39.58</v>
      </c>
      <c r="R47" s="197"/>
      <c r="S47" s="197"/>
      <c r="T47" s="197"/>
      <c r="U47" s="197"/>
    </row>
    <row r="48" spans="1:21" s="12" customFormat="1" x14ac:dyDescent="0.25">
      <c r="A48" s="200" t="s">
        <v>3167</v>
      </c>
      <c r="B48" s="59">
        <v>43.38</v>
      </c>
      <c r="C48" s="59">
        <v>132.1</v>
      </c>
      <c r="D48" s="59">
        <v>107.69</v>
      </c>
      <c r="E48" s="59">
        <v>6.02</v>
      </c>
      <c r="F48" s="59">
        <v>1.74</v>
      </c>
      <c r="G48" s="59">
        <v>148.13999999999999</v>
      </c>
      <c r="H48" s="59">
        <v>77.150000000000006</v>
      </c>
      <c r="I48" s="59">
        <v>0.54</v>
      </c>
      <c r="J48" s="59">
        <v>0.49</v>
      </c>
      <c r="K48" s="59">
        <v>8.57</v>
      </c>
      <c r="L48" s="59">
        <v>30.17</v>
      </c>
      <c r="M48" s="59">
        <v>33</v>
      </c>
      <c r="N48" s="59">
        <v>273.89999999999998</v>
      </c>
      <c r="O48" s="59">
        <v>0</v>
      </c>
      <c r="P48" s="59">
        <v>2.46</v>
      </c>
      <c r="Q48" s="59">
        <v>39.06</v>
      </c>
      <c r="R48" s="197"/>
      <c r="S48" s="197"/>
      <c r="T48" s="197"/>
      <c r="U48" s="197"/>
    </row>
    <row r="49" spans="1:21" s="12" customFormat="1" x14ac:dyDescent="0.25">
      <c r="A49" s="200" t="s">
        <v>3168</v>
      </c>
      <c r="B49" s="59">
        <v>42.75</v>
      </c>
      <c r="C49" s="59">
        <v>131.58000000000001</v>
      </c>
      <c r="D49" s="59">
        <v>106.9</v>
      </c>
      <c r="E49" s="59">
        <v>5.87</v>
      </c>
      <c r="F49" s="59">
        <v>0.8</v>
      </c>
      <c r="G49" s="59">
        <v>148.13999999999999</v>
      </c>
      <c r="H49" s="59">
        <v>79.5</v>
      </c>
      <c r="I49" s="59">
        <v>0.54</v>
      </c>
      <c r="J49" s="59">
        <v>0.42</v>
      </c>
      <c r="K49" s="59">
        <v>355.26</v>
      </c>
      <c r="L49" s="59">
        <v>31.13</v>
      </c>
      <c r="M49" s="59">
        <v>32</v>
      </c>
      <c r="N49" s="59">
        <v>287.7</v>
      </c>
      <c r="O49" s="59">
        <v>0</v>
      </c>
      <c r="P49" s="59">
        <v>2.48</v>
      </c>
      <c r="Q49" s="59">
        <v>39.21</v>
      </c>
      <c r="R49" s="197"/>
      <c r="S49" s="197"/>
      <c r="T49" s="197"/>
      <c r="U49" s="197"/>
    </row>
    <row r="50" spans="1:21" s="12" customFormat="1" x14ac:dyDescent="0.25">
      <c r="A50" s="200" t="s">
        <v>3169</v>
      </c>
      <c r="B50" s="59">
        <v>40.130000000000003</v>
      </c>
      <c r="C50" s="59">
        <v>132.04</v>
      </c>
      <c r="D50" s="59">
        <v>105.05</v>
      </c>
      <c r="E50" s="59">
        <v>5.42</v>
      </c>
      <c r="F50" s="59">
        <v>0.65</v>
      </c>
      <c r="G50" s="59">
        <v>148.13999999999999</v>
      </c>
      <c r="H50" s="59">
        <v>79.5</v>
      </c>
      <c r="I50" s="59">
        <v>0.55000000000000004</v>
      </c>
      <c r="J50" s="59">
        <v>0.37</v>
      </c>
      <c r="K50" s="59">
        <v>356.01</v>
      </c>
      <c r="L50" s="59">
        <v>31.61</v>
      </c>
      <c r="M50" s="59">
        <v>32</v>
      </c>
      <c r="N50" s="59">
        <v>286.7</v>
      </c>
      <c r="O50" s="59">
        <v>0</v>
      </c>
      <c r="P50" s="59">
        <v>2.4900000000000002</v>
      </c>
      <c r="Q50" s="59">
        <v>39.69</v>
      </c>
      <c r="R50" s="197"/>
      <c r="S50" s="197"/>
      <c r="T50" s="197"/>
      <c r="U50" s="197"/>
    </row>
    <row r="51" spans="1:21" s="12" customFormat="1" x14ac:dyDescent="0.25">
      <c r="A51" s="200" t="s">
        <v>3170</v>
      </c>
      <c r="B51" s="59">
        <v>32.65</v>
      </c>
      <c r="C51" s="59">
        <v>133.97999999999999</v>
      </c>
      <c r="D51" s="59">
        <v>100.12</v>
      </c>
      <c r="E51" s="59">
        <v>12.57</v>
      </c>
      <c r="F51" s="59">
        <v>2.83</v>
      </c>
      <c r="G51" s="59">
        <v>148.13999999999999</v>
      </c>
      <c r="H51" s="59">
        <v>79.5</v>
      </c>
      <c r="I51" s="59">
        <v>0.56000000000000005</v>
      </c>
      <c r="J51" s="59">
        <v>0.5</v>
      </c>
      <c r="K51" s="59">
        <v>341.64</v>
      </c>
      <c r="L51" s="59">
        <v>32.22</v>
      </c>
      <c r="M51" s="59">
        <v>31</v>
      </c>
      <c r="N51" s="59">
        <v>289</v>
      </c>
      <c r="O51" s="59">
        <v>0</v>
      </c>
      <c r="P51" s="59">
        <v>2.44</v>
      </c>
      <c r="Q51" s="59">
        <v>39.43</v>
      </c>
      <c r="R51" s="197"/>
      <c r="S51" s="197"/>
      <c r="T51" s="197"/>
      <c r="U51" s="197"/>
    </row>
    <row r="52" spans="1:21" s="12" customFormat="1" x14ac:dyDescent="0.25">
      <c r="A52" s="200" t="s">
        <v>3171</v>
      </c>
      <c r="B52" s="59">
        <v>13.21</v>
      </c>
      <c r="C52" s="59">
        <v>144.01</v>
      </c>
      <c r="D52" s="59">
        <v>90.07</v>
      </c>
      <c r="E52" s="59">
        <v>13.58</v>
      </c>
      <c r="F52" s="59">
        <v>4.24</v>
      </c>
      <c r="G52" s="59">
        <v>171.84</v>
      </c>
      <c r="H52" s="59">
        <v>83</v>
      </c>
      <c r="I52" s="59">
        <v>0.56000000000000005</v>
      </c>
      <c r="J52" s="59">
        <v>1.02</v>
      </c>
      <c r="K52" s="59">
        <v>343.24</v>
      </c>
      <c r="L52" s="59">
        <v>33.21</v>
      </c>
      <c r="M52" s="59">
        <v>28</v>
      </c>
      <c r="N52" s="59">
        <v>321.7</v>
      </c>
      <c r="O52" s="59">
        <v>0</v>
      </c>
      <c r="P52" s="59">
        <v>2.11</v>
      </c>
      <c r="Q52" s="59">
        <v>30.32</v>
      </c>
      <c r="R52" s="197"/>
      <c r="S52" s="197"/>
      <c r="T52" s="197"/>
      <c r="U52" s="197"/>
    </row>
    <row r="53" spans="1:21" s="12" customFormat="1" x14ac:dyDescent="0.25">
      <c r="A53" s="200" t="s">
        <v>3172</v>
      </c>
      <c r="B53" s="59">
        <v>9.42</v>
      </c>
      <c r="C53" s="59">
        <v>138.82</v>
      </c>
      <c r="D53" s="59">
        <v>84.17</v>
      </c>
      <c r="E53" s="59">
        <v>9.24</v>
      </c>
      <c r="F53" s="59">
        <v>3.14</v>
      </c>
      <c r="G53" s="59">
        <v>171.84</v>
      </c>
      <c r="H53" s="59">
        <v>84</v>
      </c>
      <c r="I53" s="59">
        <v>0.48</v>
      </c>
      <c r="J53" s="59">
        <v>0.86</v>
      </c>
      <c r="K53" s="59">
        <v>346.71</v>
      </c>
      <c r="L53" s="59">
        <v>33.86</v>
      </c>
      <c r="M53" s="59">
        <v>26</v>
      </c>
      <c r="N53" s="59">
        <v>331.5</v>
      </c>
      <c r="O53" s="59">
        <v>0</v>
      </c>
      <c r="P53" s="59">
        <v>1.96</v>
      </c>
      <c r="Q53" s="59">
        <v>27.95</v>
      </c>
      <c r="R53" s="197"/>
      <c r="S53" s="197"/>
      <c r="T53" s="197"/>
      <c r="U53" s="197"/>
    </row>
    <row r="54" spans="1:21" s="12" customFormat="1" x14ac:dyDescent="0.25">
      <c r="A54" s="200" t="s">
        <v>3173</v>
      </c>
      <c r="B54" s="59">
        <v>6.8</v>
      </c>
      <c r="C54" s="59">
        <v>128.94999999999999</v>
      </c>
      <c r="D54" s="59">
        <v>76.61</v>
      </c>
      <c r="E54" s="59">
        <v>7.08</v>
      </c>
      <c r="F54" s="59">
        <v>3.8</v>
      </c>
      <c r="G54" s="59">
        <v>171.84</v>
      </c>
      <c r="H54" s="59">
        <v>84</v>
      </c>
      <c r="I54" s="59">
        <v>0.31</v>
      </c>
      <c r="J54" s="59">
        <v>1.1299999999999999</v>
      </c>
      <c r="K54" s="59">
        <v>347.64</v>
      </c>
      <c r="L54" s="59">
        <v>33.89</v>
      </c>
      <c r="M54" s="59">
        <v>25</v>
      </c>
      <c r="N54" s="59">
        <v>338.7</v>
      </c>
      <c r="O54" s="59">
        <v>0</v>
      </c>
      <c r="P54" s="59">
        <v>1.81</v>
      </c>
      <c r="Q54" s="59">
        <v>28.15</v>
      </c>
      <c r="R54" s="197"/>
      <c r="S54" s="197"/>
      <c r="T54" s="197"/>
      <c r="U54" s="197"/>
    </row>
    <row r="55" spans="1:21" s="12" customFormat="1" x14ac:dyDescent="0.25">
      <c r="A55" s="200" t="s">
        <v>3174</v>
      </c>
      <c r="B55" s="59">
        <v>1.88</v>
      </c>
      <c r="C55" s="59">
        <v>109.11</v>
      </c>
      <c r="D55" s="59">
        <v>61.72</v>
      </c>
      <c r="E55" s="59">
        <v>9.81</v>
      </c>
      <c r="F55" s="59">
        <v>12.33</v>
      </c>
      <c r="G55" s="59">
        <v>171.84</v>
      </c>
      <c r="H55" s="59">
        <v>84</v>
      </c>
      <c r="I55" s="59">
        <v>0.28000000000000003</v>
      </c>
      <c r="J55" s="59">
        <v>1.0900000000000001</v>
      </c>
      <c r="K55" s="59">
        <v>359.41</v>
      </c>
      <c r="L55" s="59">
        <v>33.83</v>
      </c>
      <c r="M55" s="59">
        <v>25</v>
      </c>
      <c r="N55" s="59">
        <v>342.7</v>
      </c>
      <c r="O55" s="59">
        <v>0</v>
      </c>
      <c r="P55" s="59">
        <v>1.5</v>
      </c>
      <c r="Q55" s="59">
        <v>27.57</v>
      </c>
      <c r="R55" s="197"/>
      <c r="S55" s="197"/>
      <c r="T55" s="197"/>
      <c r="U55" s="197"/>
    </row>
    <row r="56" spans="1:21" s="12" customFormat="1" x14ac:dyDescent="0.25">
      <c r="A56" s="200" t="s">
        <v>3175</v>
      </c>
      <c r="B56" s="59">
        <v>1.23</v>
      </c>
      <c r="C56" s="59">
        <v>106.84</v>
      </c>
      <c r="D56" s="59">
        <v>59.95</v>
      </c>
      <c r="E56" s="59">
        <v>2.8</v>
      </c>
      <c r="F56" s="59">
        <v>5.7</v>
      </c>
      <c r="G56" s="210" t="s">
        <v>43</v>
      </c>
      <c r="H56" s="59">
        <v>75.78</v>
      </c>
      <c r="I56" s="59">
        <v>0.24</v>
      </c>
      <c r="J56" s="59">
        <v>1.1399999999999999</v>
      </c>
      <c r="K56" s="59">
        <v>359.98</v>
      </c>
      <c r="L56" s="59">
        <v>34.229999999999997</v>
      </c>
      <c r="M56" s="59">
        <v>25</v>
      </c>
      <c r="N56" s="59">
        <v>338</v>
      </c>
      <c r="O56" s="59">
        <v>0</v>
      </c>
      <c r="P56" s="59">
        <v>1.44</v>
      </c>
      <c r="Q56" s="59">
        <v>26.22</v>
      </c>
      <c r="R56" s="197"/>
      <c r="S56" s="197"/>
      <c r="T56" s="197"/>
      <c r="U56" s="197"/>
    </row>
    <row r="57" spans="1:21" s="12" customFormat="1" x14ac:dyDescent="0.25">
      <c r="A57" s="200" t="s">
        <v>3176</v>
      </c>
      <c r="B57" s="59">
        <v>1.46</v>
      </c>
      <c r="C57" s="59">
        <v>101.89</v>
      </c>
      <c r="D57" s="59">
        <v>57.4</v>
      </c>
      <c r="E57" s="59">
        <v>4</v>
      </c>
      <c r="F57" s="59">
        <v>3.52</v>
      </c>
      <c r="G57" s="210" t="s">
        <v>43</v>
      </c>
      <c r="H57" s="59">
        <v>73.44</v>
      </c>
      <c r="I57" s="59">
        <v>0.21</v>
      </c>
      <c r="J57" s="59">
        <v>1.31</v>
      </c>
      <c r="K57" s="59">
        <v>3.59</v>
      </c>
      <c r="L57" s="59">
        <v>33.61</v>
      </c>
      <c r="M57" s="59">
        <v>26</v>
      </c>
      <c r="N57" s="59">
        <v>332.9</v>
      </c>
      <c r="O57" s="59">
        <v>0</v>
      </c>
      <c r="P57" s="59">
        <v>1.4</v>
      </c>
      <c r="Q57" s="59">
        <v>26.38</v>
      </c>
      <c r="R57" s="197"/>
      <c r="S57" s="197"/>
      <c r="T57" s="197"/>
      <c r="U57" s="197"/>
    </row>
    <row r="58" spans="1:21" s="12" customFormat="1" x14ac:dyDescent="0.25">
      <c r="A58" s="200" t="s">
        <v>3177</v>
      </c>
      <c r="B58" s="59">
        <v>1.79</v>
      </c>
      <c r="C58" s="59">
        <v>97.56</v>
      </c>
      <c r="D58" s="59">
        <v>55.27</v>
      </c>
      <c r="E58" s="59">
        <v>3.19</v>
      </c>
      <c r="F58" s="59">
        <v>2.5299999999999998</v>
      </c>
      <c r="G58" s="210" t="s">
        <v>43</v>
      </c>
      <c r="H58" s="59">
        <v>73.44</v>
      </c>
      <c r="I58" s="59">
        <v>0.2</v>
      </c>
      <c r="J58" s="59">
        <v>0.73</v>
      </c>
      <c r="K58" s="59">
        <v>357.53</v>
      </c>
      <c r="L58" s="59">
        <v>33.17</v>
      </c>
      <c r="M58" s="59">
        <v>27</v>
      </c>
      <c r="N58" s="59">
        <v>321.3</v>
      </c>
      <c r="O58" s="59">
        <v>0</v>
      </c>
      <c r="P58" s="59">
        <v>1.34</v>
      </c>
      <c r="Q58" s="59">
        <v>26.61</v>
      </c>
      <c r="R58" s="197"/>
      <c r="S58" s="197"/>
      <c r="T58" s="197"/>
      <c r="U58" s="197"/>
    </row>
    <row r="59" spans="1:21" s="12" customFormat="1" x14ac:dyDescent="0.25">
      <c r="A59" s="200" t="s">
        <v>3178</v>
      </c>
      <c r="B59" s="59">
        <v>1.99</v>
      </c>
      <c r="C59" s="59">
        <v>89.48</v>
      </c>
      <c r="D59" s="59">
        <v>50.98</v>
      </c>
      <c r="E59" s="59">
        <v>4.79</v>
      </c>
      <c r="F59" s="59">
        <v>9.14</v>
      </c>
      <c r="G59" s="210" t="s">
        <v>43</v>
      </c>
      <c r="H59" s="59">
        <v>73.44</v>
      </c>
      <c r="I59" s="59">
        <v>0.2</v>
      </c>
      <c r="J59" s="59">
        <v>1.18</v>
      </c>
      <c r="K59" s="59">
        <v>354.7</v>
      </c>
      <c r="L59" s="59">
        <v>33.520000000000003</v>
      </c>
      <c r="M59" s="59">
        <v>27</v>
      </c>
      <c r="N59" s="59">
        <v>323.8</v>
      </c>
      <c r="O59" s="59">
        <v>0</v>
      </c>
      <c r="P59" s="59">
        <v>1.27</v>
      </c>
      <c r="Q59" s="59">
        <v>26.72</v>
      </c>
      <c r="R59" s="197"/>
      <c r="S59" s="197"/>
      <c r="T59" s="197"/>
      <c r="U59" s="197"/>
    </row>
    <row r="60" spans="1:21" s="12" customFormat="1" x14ac:dyDescent="0.25">
      <c r="A60" s="200" t="s">
        <v>3179</v>
      </c>
      <c r="B60" s="59">
        <v>3.61</v>
      </c>
      <c r="C60" s="59">
        <v>81.489999999999995</v>
      </c>
      <c r="D60" s="59">
        <v>47.87</v>
      </c>
      <c r="E60" s="59">
        <v>11.02</v>
      </c>
      <c r="F60" s="59">
        <v>24.82</v>
      </c>
      <c r="G60" s="210" t="s">
        <v>43</v>
      </c>
      <c r="H60" s="59">
        <v>60.02</v>
      </c>
      <c r="I60" s="59">
        <v>0.19</v>
      </c>
      <c r="J60" s="59">
        <v>1.02</v>
      </c>
      <c r="K60" s="59">
        <v>4.6100000000000003</v>
      </c>
      <c r="L60" s="59">
        <v>33.4</v>
      </c>
      <c r="M60" s="59">
        <v>26</v>
      </c>
      <c r="N60" s="59">
        <v>325</v>
      </c>
      <c r="O60" s="59">
        <v>0</v>
      </c>
      <c r="P60" s="59">
        <v>1.1299999999999999</v>
      </c>
      <c r="Q60" s="59">
        <v>25.47</v>
      </c>
      <c r="R60" s="197"/>
      <c r="S60" s="197"/>
      <c r="T60" s="197"/>
      <c r="U60" s="197"/>
    </row>
    <row r="61" spans="1:21" s="12" customFormat="1" x14ac:dyDescent="0.25">
      <c r="A61" s="200" t="s">
        <v>3180</v>
      </c>
      <c r="B61" s="59">
        <v>3.08</v>
      </c>
      <c r="C61" s="59">
        <v>80.13</v>
      </c>
      <c r="D61" s="59">
        <v>46.69</v>
      </c>
      <c r="E61" s="59">
        <v>10.8</v>
      </c>
      <c r="F61" s="59">
        <v>21.32</v>
      </c>
      <c r="G61" s="210" t="s">
        <v>43</v>
      </c>
      <c r="H61" s="59">
        <v>44.82</v>
      </c>
      <c r="I61" s="59">
        <v>0.18</v>
      </c>
      <c r="J61" s="59">
        <v>0.86</v>
      </c>
      <c r="K61" s="59">
        <v>356.9</v>
      </c>
      <c r="L61" s="59">
        <v>33.36</v>
      </c>
      <c r="M61" s="59">
        <v>27</v>
      </c>
      <c r="N61" s="59">
        <v>319.39999999999998</v>
      </c>
      <c r="O61" s="59">
        <v>0</v>
      </c>
      <c r="P61" s="59">
        <v>1.08</v>
      </c>
      <c r="Q61" s="59">
        <v>24.65</v>
      </c>
      <c r="R61" s="197"/>
      <c r="S61" s="197"/>
      <c r="T61" s="197"/>
      <c r="U61" s="197"/>
    </row>
    <row r="62" spans="1:21" s="12" customFormat="1" x14ac:dyDescent="0.25">
      <c r="A62" s="200" t="s">
        <v>3181</v>
      </c>
      <c r="B62" s="59">
        <v>1.64</v>
      </c>
      <c r="C62" s="59">
        <v>82.82</v>
      </c>
      <c r="D62" s="59">
        <v>47.02</v>
      </c>
      <c r="E62" s="59">
        <v>7.21</v>
      </c>
      <c r="F62" s="59">
        <v>10.1</v>
      </c>
      <c r="G62" s="209" t="s">
        <v>36</v>
      </c>
      <c r="H62" s="209" t="s">
        <v>36</v>
      </c>
      <c r="I62" s="59">
        <v>0.16</v>
      </c>
      <c r="J62" s="59">
        <v>0.56000000000000005</v>
      </c>
      <c r="K62" s="59">
        <v>352.5</v>
      </c>
      <c r="L62" s="59">
        <v>33.47</v>
      </c>
      <c r="M62" s="59">
        <v>26</v>
      </c>
      <c r="N62" s="59">
        <v>317.3</v>
      </c>
      <c r="O62" s="59">
        <v>0</v>
      </c>
      <c r="P62" s="59">
        <v>1.1200000000000001</v>
      </c>
      <c r="Q62" s="59">
        <v>23.26</v>
      </c>
      <c r="R62" s="197"/>
      <c r="S62" s="197"/>
      <c r="T62" s="197"/>
      <c r="U62" s="197"/>
    </row>
    <row r="63" spans="1:21" s="12" customFormat="1" x14ac:dyDescent="0.25">
      <c r="A63" s="200" t="s">
        <v>3182</v>
      </c>
      <c r="B63" s="59">
        <v>1.18</v>
      </c>
      <c r="C63" s="59">
        <v>80.41</v>
      </c>
      <c r="D63" s="59">
        <v>45.32</v>
      </c>
      <c r="E63" s="59">
        <v>5.89</v>
      </c>
      <c r="F63" s="59">
        <v>7.03</v>
      </c>
      <c r="G63" s="209" t="s">
        <v>36</v>
      </c>
      <c r="H63" s="209" t="s">
        <v>36</v>
      </c>
      <c r="I63" s="59">
        <v>0.16</v>
      </c>
      <c r="J63" s="59">
        <v>0.56000000000000005</v>
      </c>
      <c r="K63" s="59">
        <v>355.07</v>
      </c>
      <c r="L63" s="59">
        <v>32.76</v>
      </c>
      <c r="M63" s="59">
        <v>27</v>
      </c>
      <c r="N63" s="59">
        <v>306.3</v>
      </c>
      <c r="O63" s="59">
        <v>0</v>
      </c>
      <c r="P63" s="59">
        <v>1.1000000000000001</v>
      </c>
      <c r="Q63" s="59">
        <v>23.97</v>
      </c>
      <c r="R63" s="197"/>
      <c r="S63" s="197"/>
      <c r="T63" s="197"/>
      <c r="U63" s="197"/>
    </row>
    <row r="64" spans="1:21" s="12" customFormat="1" x14ac:dyDescent="0.25">
      <c r="A64" s="200" t="s">
        <v>3183</v>
      </c>
      <c r="B64" s="59">
        <v>1.49</v>
      </c>
      <c r="C64" s="59">
        <v>84.07</v>
      </c>
      <c r="D64" s="59">
        <v>47.6</v>
      </c>
      <c r="E64" s="59">
        <v>3.95</v>
      </c>
      <c r="F64" s="59">
        <v>4.26</v>
      </c>
      <c r="G64" s="209" t="s">
        <v>36</v>
      </c>
      <c r="H64" s="209" t="s">
        <v>36</v>
      </c>
      <c r="I64" s="59">
        <v>0.18</v>
      </c>
      <c r="J64" s="59">
        <v>0.98</v>
      </c>
      <c r="K64" s="59">
        <v>347.68</v>
      </c>
      <c r="L64" s="59">
        <v>33.51</v>
      </c>
      <c r="M64" s="59">
        <v>26</v>
      </c>
      <c r="N64" s="59">
        <v>305.89999999999998</v>
      </c>
      <c r="O64" s="59">
        <v>0</v>
      </c>
      <c r="P64" s="59">
        <v>1.1100000000000001</v>
      </c>
      <c r="Q64" s="59">
        <v>24.7</v>
      </c>
      <c r="R64" s="197"/>
      <c r="S64" s="197"/>
      <c r="T64" s="197"/>
      <c r="U64" s="197"/>
    </row>
    <row r="65" spans="1:21" s="12" customFormat="1" x14ac:dyDescent="0.25">
      <c r="A65" s="200" t="s">
        <v>3184</v>
      </c>
      <c r="B65" s="59">
        <v>1.73</v>
      </c>
      <c r="C65" s="59">
        <v>84.57</v>
      </c>
      <c r="D65" s="59">
        <v>48.06</v>
      </c>
      <c r="E65" s="59">
        <v>4.05</v>
      </c>
      <c r="F65" s="59">
        <v>2.19</v>
      </c>
      <c r="G65" s="209" t="s">
        <v>36</v>
      </c>
      <c r="H65" s="209" t="s">
        <v>36</v>
      </c>
      <c r="I65" s="59">
        <v>0.18</v>
      </c>
      <c r="J65" s="59">
        <v>0.28999999999999998</v>
      </c>
      <c r="K65" s="59">
        <v>357.96</v>
      </c>
      <c r="L65" s="59">
        <v>32.53</v>
      </c>
      <c r="M65" s="59">
        <v>27</v>
      </c>
      <c r="N65" s="59">
        <v>287.3</v>
      </c>
      <c r="O65" s="59">
        <v>0</v>
      </c>
      <c r="P65" s="59">
        <v>1.0900000000000001</v>
      </c>
      <c r="Q65" s="59">
        <v>25.33</v>
      </c>
      <c r="R65" s="197"/>
      <c r="S65" s="197"/>
      <c r="T65" s="197"/>
      <c r="U65" s="197"/>
    </row>
    <row r="66" spans="1:21" s="12" customFormat="1" x14ac:dyDescent="0.25">
      <c r="A66" s="200" t="s">
        <v>3185</v>
      </c>
      <c r="B66" s="59">
        <v>2.52</v>
      </c>
      <c r="C66" s="59">
        <v>75.02</v>
      </c>
      <c r="D66" s="59">
        <v>43.42</v>
      </c>
      <c r="E66" s="59">
        <v>5.25</v>
      </c>
      <c r="F66" s="59">
        <v>16.97</v>
      </c>
      <c r="G66" s="59">
        <v>48.09</v>
      </c>
      <c r="H66" s="59">
        <v>31.49</v>
      </c>
      <c r="I66" s="59">
        <v>0.19</v>
      </c>
      <c r="J66" s="59">
        <v>0.57999999999999996</v>
      </c>
      <c r="K66" s="59">
        <v>352.1</v>
      </c>
      <c r="L66" s="59">
        <v>32.81</v>
      </c>
      <c r="M66" s="59">
        <v>26</v>
      </c>
      <c r="N66" s="59">
        <v>201.2</v>
      </c>
      <c r="O66" s="59">
        <v>0</v>
      </c>
      <c r="P66" s="59">
        <v>1.02</v>
      </c>
      <c r="Q66" s="59">
        <v>25.7</v>
      </c>
      <c r="R66" s="197"/>
      <c r="S66" s="197"/>
      <c r="T66" s="197"/>
      <c r="U66" s="197"/>
    </row>
    <row r="67" spans="1:21" s="12" customFormat="1" x14ac:dyDescent="0.25">
      <c r="A67" s="200" t="s">
        <v>3186</v>
      </c>
      <c r="B67" s="59">
        <v>3.46</v>
      </c>
      <c r="C67" s="59">
        <v>76.709999999999994</v>
      </c>
      <c r="D67" s="59">
        <v>45.11</v>
      </c>
      <c r="E67" s="59">
        <v>4.62</v>
      </c>
      <c r="F67" s="59">
        <v>9.3000000000000007</v>
      </c>
      <c r="G67" s="59">
        <v>48.09</v>
      </c>
      <c r="H67" s="59">
        <v>31.49</v>
      </c>
      <c r="I67" s="59">
        <v>0.19</v>
      </c>
      <c r="J67" s="59">
        <v>0.95</v>
      </c>
      <c r="K67" s="59">
        <v>348.43</v>
      </c>
      <c r="L67" s="59">
        <v>33.33</v>
      </c>
      <c r="M67" s="59">
        <v>26</v>
      </c>
      <c r="N67" s="59">
        <v>138.19999999999999</v>
      </c>
      <c r="O67" s="59">
        <v>0</v>
      </c>
      <c r="P67" s="59">
        <v>1</v>
      </c>
      <c r="Q67" s="59">
        <v>24.78</v>
      </c>
      <c r="R67" s="197"/>
      <c r="S67" s="197"/>
      <c r="T67" s="197"/>
      <c r="U67" s="197"/>
    </row>
    <row r="68" spans="1:21" s="12" customFormat="1" x14ac:dyDescent="0.25">
      <c r="A68" s="200" t="s">
        <v>3187</v>
      </c>
      <c r="B68" s="59">
        <v>3.64</v>
      </c>
      <c r="C68" s="59">
        <v>74.88</v>
      </c>
      <c r="D68" s="59">
        <v>44.24</v>
      </c>
      <c r="E68" s="59">
        <v>4.83</v>
      </c>
      <c r="F68" s="59">
        <v>9.48</v>
      </c>
      <c r="G68" s="59">
        <v>48.09</v>
      </c>
      <c r="H68" s="59">
        <v>31.49</v>
      </c>
      <c r="I68" s="59">
        <v>0.17</v>
      </c>
      <c r="J68" s="59">
        <v>0.62</v>
      </c>
      <c r="K68" s="59">
        <v>7.66</v>
      </c>
      <c r="L68" s="59">
        <v>32.869999999999997</v>
      </c>
      <c r="M68" s="59">
        <v>26</v>
      </c>
      <c r="N68" s="59">
        <v>206.2</v>
      </c>
      <c r="O68" s="59">
        <v>0</v>
      </c>
      <c r="P68" s="59">
        <v>0.95</v>
      </c>
      <c r="Q68" s="59">
        <v>25.41</v>
      </c>
      <c r="R68" s="197"/>
      <c r="S68" s="197"/>
      <c r="T68" s="197"/>
      <c r="U68" s="197"/>
    </row>
    <row r="69" spans="1:21" s="12" customFormat="1" x14ac:dyDescent="0.25">
      <c r="A69" s="200" t="s">
        <v>3188</v>
      </c>
      <c r="B69" s="59">
        <v>3.53</v>
      </c>
      <c r="C69" s="59">
        <v>82.62</v>
      </c>
      <c r="D69" s="59">
        <v>48.42</v>
      </c>
      <c r="E69" s="59">
        <v>4.4000000000000004</v>
      </c>
      <c r="F69" s="59">
        <v>8.6</v>
      </c>
      <c r="G69" s="59">
        <v>47.08</v>
      </c>
      <c r="H69" s="59">
        <v>29.9</v>
      </c>
      <c r="I69" s="59">
        <v>0.17</v>
      </c>
      <c r="J69" s="59">
        <v>0.88</v>
      </c>
      <c r="K69" s="59">
        <v>3.47</v>
      </c>
      <c r="L69" s="59">
        <v>32.07</v>
      </c>
      <c r="M69" s="59">
        <v>27</v>
      </c>
      <c r="N69" s="59">
        <v>208.8</v>
      </c>
      <c r="O69" s="59">
        <v>0</v>
      </c>
      <c r="P69" s="59">
        <v>0.96</v>
      </c>
      <c r="Q69" s="59">
        <v>26.1</v>
      </c>
      <c r="R69" s="197"/>
      <c r="S69" s="197"/>
      <c r="T69" s="197"/>
      <c r="U69" s="197"/>
    </row>
    <row r="70" spans="1:21" s="12" customFormat="1" x14ac:dyDescent="0.25">
      <c r="A70" s="200" t="s">
        <v>3189</v>
      </c>
      <c r="B70" s="59">
        <v>2.46</v>
      </c>
      <c r="C70" s="59">
        <v>83.91</v>
      </c>
      <c r="D70" s="59">
        <v>48.28</v>
      </c>
      <c r="E70" s="59">
        <v>2.89</v>
      </c>
      <c r="F70" s="59">
        <v>3.02</v>
      </c>
      <c r="G70" s="59">
        <v>44.58</v>
      </c>
      <c r="H70" s="59">
        <v>23.95</v>
      </c>
      <c r="I70" s="59">
        <v>0.16</v>
      </c>
      <c r="J70" s="59">
        <v>1.02</v>
      </c>
      <c r="K70" s="59">
        <v>350.75</v>
      </c>
      <c r="L70" s="59">
        <v>30.82</v>
      </c>
      <c r="M70" s="59">
        <v>28</v>
      </c>
      <c r="N70" s="59">
        <v>168.3</v>
      </c>
      <c r="O70" s="59">
        <v>0</v>
      </c>
      <c r="P70" s="59">
        <v>0.97</v>
      </c>
      <c r="Q70" s="59">
        <v>26.26</v>
      </c>
      <c r="R70" s="197"/>
      <c r="S70" s="197"/>
      <c r="T70" s="197"/>
      <c r="U70" s="197"/>
    </row>
    <row r="71" spans="1:21" s="12" customFormat="1" x14ac:dyDescent="0.25">
      <c r="A71" s="200" t="s">
        <v>3190</v>
      </c>
      <c r="B71" s="59">
        <v>2.48</v>
      </c>
      <c r="C71" s="59">
        <v>85.2</v>
      </c>
      <c r="D71" s="59">
        <v>49</v>
      </c>
      <c r="E71" s="59">
        <v>3</v>
      </c>
      <c r="F71" s="59">
        <v>2.23</v>
      </c>
      <c r="G71" s="59">
        <v>44.58</v>
      </c>
      <c r="H71" s="59">
        <v>23.95</v>
      </c>
      <c r="I71" s="59">
        <v>0.16</v>
      </c>
      <c r="J71" s="59">
        <v>0.47</v>
      </c>
      <c r="K71" s="59">
        <v>342.04</v>
      </c>
      <c r="L71" s="59">
        <v>30.23</v>
      </c>
      <c r="M71" s="59">
        <v>29</v>
      </c>
      <c r="N71" s="59">
        <v>140.1</v>
      </c>
      <c r="O71" s="59">
        <v>0</v>
      </c>
      <c r="P71" s="59">
        <v>0.96</v>
      </c>
      <c r="Q71" s="59">
        <v>27.39</v>
      </c>
      <c r="R71" s="197"/>
      <c r="S71" s="197"/>
      <c r="T71" s="197"/>
      <c r="U71" s="197"/>
    </row>
    <row r="72" spans="1:21" s="12" customFormat="1" x14ac:dyDescent="0.25">
      <c r="A72" s="200" t="s">
        <v>3191</v>
      </c>
      <c r="B72" s="59">
        <v>2.35</v>
      </c>
      <c r="C72" s="59">
        <v>84.66</v>
      </c>
      <c r="D72" s="59">
        <v>48.61</v>
      </c>
      <c r="E72" s="214" t="s">
        <v>47</v>
      </c>
      <c r="F72" s="59">
        <v>5.05</v>
      </c>
      <c r="G72" s="59">
        <v>44.58</v>
      </c>
      <c r="H72" s="59">
        <v>23.95</v>
      </c>
      <c r="I72" s="59">
        <v>0.16</v>
      </c>
      <c r="J72" s="59">
        <v>0.52</v>
      </c>
      <c r="K72" s="59">
        <v>4.49</v>
      </c>
      <c r="L72" s="59">
        <v>29.53</v>
      </c>
      <c r="M72" s="59">
        <v>30</v>
      </c>
      <c r="N72" s="59">
        <v>121.1</v>
      </c>
      <c r="O72" s="59">
        <v>0</v>
      </c>
      <c r="P72" s="59">
        <v>0.95</v>
      </c>
      <c r="Q72" s="59">
        <v>27.61</v>
      </c>
      <c r="R72" s="197"/>
      <c r="S72" s="197"/>
      <c r="T72" s="197"/>
      <c r="U72" s="197"/>
    </row>
    <row r="73" spans="1:21" s="12" customFormat="1" x14ac:dyDescent="0.25">
      <c r="A73" s="200" t="s">
        <v>3192</v>
      </c>
      <c r="B73" s="59">
        <v>2.23</v>
      </c>
      <c r="C73" s="59">
        <v>85.68</v>
      </c>
      <c r="D73" s="59">
        <v>49.07</v>
      </c>
      <c r="E73" s="59">
        <v>1.78</v>
      </c>
      <c r="F73" s="59">
        <v>3.09</v>
      </c>
      <c r="G73" s="59">
        <v>43.9</v>
      </c>
      <c r="H73" s="59">
        <v>24.15</v>
      </c>
      <c r="I73" s="59">
        <v>0.16</v>
      </c>
      <c r="J73" s="59">
        <v>0.31</v>
      </c>
      <c r="K73" s="59">
        <v>343.06</v>
      </c>
      <c r="L73" s="59">
        <v>29.18</v>
      </c>
      <c r="M73" s="59">
        <v>31</v>
      </c>
      <c r="N73" s="59">
        <v>60.6</v>
      </c>
      <c r="O73" s="59">
        <v>0</v>
      </c>
      <c r="P73" s="59">
        <v>0.97</v>
      </c>
      <c r="Q73" s="59">
        <v>27.89</v>
      </c>
      <c r="R73" s="197"/>
      <c r="S73" s="197"/>
      <c r="T73" s="197"/>
      <c r="U73" s="197"/>
    </row>
    <row r="74" spans="1:21" s="12" customFormat="1" x14ac:dyDescent="0.25">
      <c r="A74" s="200" t="s">
        <v>3193</v>
      </c>
      <c r="B74" s="59">
        <v>3.33</v>
      </c>
      <c r="C74" s="59">
        <v>86.68</v>
      </c>
      <c r="D74" s="59">
        <v>50.51</v>
      </c>
      <c r="E74" s="59">
        <v>3.06</v>
      </c>
      <c r="F74" s="59">
        <v>3.85</v>
      </c>
      <c r="G74" s="59">
        <v>42.21</v>
      </c>
      <c r="H74" s="59">
        <v>24.87</v>
      </c>
      <c r="I74" s="59">
        <v>0.17</v>
      </c>
      <c r="J74" s="59">
        <v>0.43</v>
      </c>
      <c r="K74" s="59">
        <v>344.86</v>
      </c>
      <c r="L74" s="59">
        <v>28.6</v>
      </c>
      <c r="M74" s="59">
        <v>32</v>
      </c>
      <c r="N74" s="59">
        <v>50.8</v>
      </c>
      <c r="O74" s="59">
        <v>0</v>
      </c>
      <c r="P74" s="59">
        <v>0.99</v>
      </c>
      <c r="Q74" s="59">
        <v>28.23</v>
      </c>
      <c r="R74" s="197"/>
      <c r="S74" s="197"/>
      <c r="T74" s="197"/>
      <c r="U74" s="197"/>
    </row>
    <row r="75" spans="1:21" s="12" customFormat="1" x14ac:dyDescent="0.25">
      <c r="A75" s="200" t="s">
        <v>3194</v>
      </c>
      <c r="B75" s="59">
        <v>6.07</v>
      </c>
      <c r="C75" s="59">
        <v>87.82</v>
      </c>
      <c r="D75" s="59">
        <v>53.34</v>
      </c>
      <c r="E75" s="59">
        <v>4</v>
      </c>
      <c r="F75" s="59">
        <v>7.97</v>
      </c>
      <c r="G75" s="59">
        <v>42.21</v>
      </c>
      <c r="H75" s="59">
        <v>24.87</v>
      </c>
      <c r="I75" s="59">
        <v>0.17</v>
      </c>
      <c r="J75" s="59">
        <v>0.68</v>
      </c>
      <c r="K75" s="59">
        <v>347.96</v>
      </c>
      <c r="L75" s="59">
        <v>28.11</v>
      </c>
      <c r="M75" s="59">
        <v>34</v>
      </c>
      <c r="N75" s="59">
        <v>44.2</v>
      </c>
      <c r="O75" s="59">
        <v>0</v>
      </c>
      <c r="P75" s="59">
        <v>1</v>
      </c>
      <c r="Q75" s="59">
        <v>27.26</v>
      </c>
      <c r="R75" s="197"/>
      <c r="S75" s="197"/>
      <c r="T75" s="197"/>
      <c r="U75" s="197"/>
    </row>
    <row r="76" spans="1:21" s="12" customFormat="1" x14ac:dyDescent="0.25">
      <c r="A76" s="200" t="s">
        <v>3195</v>
      </c>
      <c r="B76" s="59">
        <v>7.2</v>
      </c>
      <c r="C76" s="59">
        <v>94.44</v>
      </c>
      <c r="D76" s="59">
        <v>57.89</v>
      </c>
      <c r="E76" s="59">
        <v>4.0599999999999996</v>
      </c>
      <c r="F76" s="59">
        <v>6.1</v>
      </c>
      <c r="G76" s="59">
        <v>42.21</v>
      </c>
      <c r="H76" s="59">
        <v>24.87</v>
      </c>
      <c r="I76" s="59">
        <v>0.17</v>
      </c>
      <c r="J76" s="59">
        <v>0.45</v>
      </c>
      <c r="K76" s="59">
        <v>349.71</v>
      </c>
      <c r="L76" s="59">
        <v>27.56</v>
      </c>
      <c r="M76" s="59">
        <v>35</v>
      </c>
      <c r="N76" s="59">
        <v>37.4</v>
      </c>
      <c r="O76" s="59">
        <v>0</v>
      </c>
      <c r="P76" s="59">
        <v>1.06</v>
      </c>
      <c r="Q76" s="59">
        <v>26.02</v>
      </c>
      <c r="R76" s="197"/>
      <c r="S76" s="197"/>
      <c r="T76" s="197"/>
      <c r="U76" s="197"/>
    </row>
    <row r="77" spans="1:21" s="12" customFormat="1" x14ac:dyDescent="0.25">
      <c r="A77" s="200" t="s">
        <v>3196</v>
      </c>
      <c r="B77" s="59">
        <v>8.7899999999999991</v>
      </c>
      <c r="C77" s="59">
        <v>97.31</v>
      </c>
      <c r="D77" s="59">
        <v>60.75</v>
      </c>
      <c r="E77" s="59">
        <v>3.93</v>
      </c>
      <c r="F77" s="59">
        <v>5.85</v>
      </c>
      <c r="G77" s="59">
        <v>42.69</v>
      </c>
      <c r="H77" s="59">
        <v>24.83</v>
      </c>
      <c r="I77" s="59">
        <v>0.17</v>
      </c>
      <c r="J77" s="59">
        <v>0.2</v>
      </c>
      <c r="K77" s="59">
        <v>341.04</v>
      </c>
      <c r="L77" s="59">
        <v>26.82</v>
      </c>
      <c r="M77" s="59">
        <v>38</v>
      </c>
      <c r="N77" s="59">
        <v>31.6</v>
      </c>
      <c r="O77" s="59">
        <v>0</v>
      </c>
      <c r="P77" s="59">
        <v>1.2</v>
      </c>
      <c r="Q77" s="59">
        <v>26.27</v>
      </c>
      <c r="R77" s="197"/>
      <c r="S77" s="197"/>
      <c r="T77" s="197"/>
      <c r="U77" s="197"/>
    </row>
    <row r="78" spans="1:21" s="12" customFormat="1" x14ac:dyDescent="0.25">
      <c r="A78" s="200" t="s">
        <v>3197</v>
      </c>
      <c r="B78" s="59">
        <v>11.59</v>
      </c>
      <c r="C78" s="59">
        <v>102.12</v>
      </c>
      <c r="D78" s="59">
        <v>65.650000000000006</v>
      </c>
      <c r="E78" s="59">
        <v>4.46</v>
      </c>
      <c r="F78" s="59">
        <v>3.39</v>
      </c>
      <c r="G78" s="59">
        <v>44.96</v>
      </c>
      <c r="H78" s="59">
        <v>24.69</v>
      </c>
      <c r="I78" s="59">
        <v>0.19</v>
      </c>
      <c r="J78" s="59">
        <v>7.0000000000000007E-2</v>
      </c>
      <c r="K78" s="59">
        <v>305.95999999999998</v>
      </c>
      <c r="L78" s="59">
        <v>25.89</v>
      </c>
      <c r="M78" s="59">
        <v>40</v>
      </c>
      <c r="N78" s="59">
        <v>27</v>
      </c>
      <c r="O78" s="59">
        <v>0</v>
      </c>
      <c r="P78" s="59">
        <v>1.24</v>
      </c>
      <c r="Q78" s="59">
        <v>26.77</v>
      </c>
      <c r="R78" s="197"/>
      <c r="S78" s="197"/>
      <c r="T78" s="197"/>
      <c r="U78" s="197"/>
    </row>
    <row r="79" spans="1:21" s="12" customFormat="1" x14ac:dyDescent="0.25">
      <c r="A79" s="200" t="s">
        <v>3198</v>
      </c>
      <c r="B79" s="59">
        <v>11.25</v>
      </c>
      <c r="C79" s="59">
        <v>104.89</v>
      </c>
      <c r="D79" s="59">
        <v>66.91</v>
      </c>
      <c r="E79" s="59">
        <v>4.0199999999999996</v>
      </c>
      <c r="F79" s="59">
        <v>1.71</v>
      </c>
      <c r="G79" s="59">
        <v>44.96</v>
      </c>
      <c r="H79" s="59">
        <v>24.69</v>
      </c>
      <c r="I79" s="59">
        <v>0.24</v>
      </c>
      <c r="J79" s="59">
        <v>0.13</v>
      </c>
      <c r="K79" s="59">
        <v>116.96</v>
      </c>
      <c r="L79" s="59">
        <v>25.03</v>
      </c>
      <c r="M79" s="59">
        <v>44</v>
      </c>
      <c r="N79" s="59">
        <v>25</v>
      </c>
      <c r="O79" s="59">
        <v>0</v>
      </c>
      <c r="P79" s="59">
        <v>1.1599999999999999</v>
      </c>
      <c r="Q79" s="59">
        <v>28.59</v>
      </c>
      <c r="R79" s="197"/>
      <c r="S79" s="197"/>
      <c r="T79" s="197"/>
      <c r="U79" s="197"/>
    </row>
    <row r="80" spans="1:21" s="12" customFormat="1" x14ac:dyDescent="0.25">
      <c r="A80" s="200" t="s">
        <v>3199</v>
      </c>
      <c r="B80" s="59">
        <v>14.76</v>
      </c>
      <c r="C80" s="59">
        <v>109.03</v>
      </c>
      <c r="D80" s="59">
        <v>72.010000000000005</v>
      </c>
      <c r="E80" s="59">
        <v>3.32</v>
      </c>
      <c r="F80" s="59">
        <v>0.45</v>
      </c>
      <c r="G80" s="59">
        <v>44.96</v>
      </c>
      <c r="H80" s="59">
        <v>24.69</v>
      </c>
      <c r="I80" s="59">
        <v>0.25</v>
      </c>
      <c r="J80" s="59">
        <v>0.2</v>
      </c>
      <c r="K80" s="59">
        <v>96.5</v>
      </c>
      <c r="L80" s="59">
        <v>24.27</v>
      </c>
      <c r="M80" s="59">
        <v>47</v>
      </c>
      <c r="N80" s="59">
        <v>24.5</v>
      </c>
      <c r="O80" s="59">
        <v>0</v>
      </c>
      <c r="P80" s="59">
        <v>1.18</v>
      </c>
      <c r="Q80" s="59">
        <v>29.99</v>
      </c>
      <c r="R80" s="197"/>
      <c r="S80" s="197"/>
      <c r="T80" s="197"/>
      <c r="U80" s="197"/>
    </row>
    <row r="81" spans="1:26" s="12" customFormat="1" x14ac:dyDescent="0.25">
      <c r="A81" s="200" t="s">
        <v>3200</v>
      </c>
      <c r="B81" s="59">
        <v>32.14</v>
      </c>
      <c r="C81" s="59">
        <v>113.9</v>
      </c>
      <c r="D81" s="59">
        <v>88.63</v>
      </c>
      <c r="E81" s="59">
        <v>3.63</v>
      </c>
      <c r="F81" s="59">
        <v>0.13</v>
      </c>
      <c r="G81" s="59">
        <v>50.93</v>
      </c>
      <c r="H81" s="59">
        <v>26.38</v>
      </c>
      <c r="I81" s="59">
        <v>0.25</v>
      </c>
      <c r="J81" s="59">
        <v>0.1</v>
      </c>
      <c r="K81" s="59">
        <v>100.05</v>
      </c>
      <c r="L81" s="59">
        <v>23.76</v>
      </c>
      <c r="M81" s="59">
        <v>51</v>
      </c>
      <c r="N81" s="59">
        <v>24.5</v>
      </c>
      <c r="O81" s="59">
        <v>0</v>
      </c>
      <c r="P81" s="59">
        <v>1.23</v>
      </c>
      <c r="Q81" s="59">
        <v>30.38</v>
      </c>
      <c r="R81" s="197"/>
      <c r="S81" s="197"/>
      <c r="T81" s="197"/>
      <c r="U81" s="197"/>
    </row>
    <row r="82" spans="1:26" s="12" customFormat="1" x14ac:dyDescent="0.25">
      <c r="A82" s="200" t="s">
        <v>3201</v>
      </c>
      <c r="B82" s="59">
        <v>21.38</v>
      </c>
      <c r="C82" s="59">
        <v>102.32</v>
      </c>
      <c r="D82" s="59">
        <v>73.61</v>
      </c>
      <c r="E82" s="59">
        <v>3.54</v>
      </c>
      <c r="F82" s="209" t="s">
        <v>36</v>
      </c>
      <c r="G82" s="59">
        <v>65.72</v>
      </c>
      <c r="H82" s="59">
        <v>32.299999999999997</v>
      </c>
      <c r="I82" s="59">
        <v>0.27</v>
      </c>
      <c r="J82" s="59">
        <v>0.04</v>
      </c>
      <c r="K82" s="59">
        <v>98.38</v>
      </c>
      <c r="L82" s="59">
        <v>23.07</v>
      </c>
      <c r="M82" s="59">
        <v>55</v>
      </c>
      <c r="N82" s="59">
        <v>24.6</v>
      </c>
      <c r="O82" s="59">
        <v>0</v>
      </c>
      <c r="P82" s="59">
        <v>1.21</v>
      </c>
      <c r="Q82" s="59">
        <v>32.229999999999997</v>
      </c>
      <c r="R82" s="197"/>
      <c r="S82" s="197"/>
      <c r="T82" s="197"/>
      <c r="U82" s="197"/>
    </row>
    <row r="83" spans="1:26" s="12" customFormat="1" x14ac:dyDescent="0.25">
      <c r="A83" s="200" t="s">
        <v>3202</v>
      </c>
      <c r="B83" s="59">
        <v>27.61</v>
      </c>
      <c r="C83" s="59">
        <v>108.36</v>
      </c>
      <c r="D83" s="59">
        <v>81.94</v>
      </c>
      <c r="E83" s="59">
        <v>3.74</v>
      </c>
      <c r="F83" s="209" t="s">
        <v>36</v>
      </c>
      <c r="G83" s="59">
        <v>65.72</v>
      </c>
      <c r="H83" s="59">
        <v>32.299999999999997</v>
      </c>
      <c r="I83" s="59">
        <v>0.3</v>
      </c>
      <c r="J83" s="59">
        <v>0.04</v>
      </c>
      <c r="K83" s="59">
        <v>13.95</v>
      </c>
      <c r="L83" s="59">
        <v>22.53</v>
      </c>
      <c r="M83" s="59">
        <v>57</v>
      </c>
      <c r="N83" s="59">
        <v>24.6</v>
      </c>
      <c r="O83" s="59">
        <v>0</v>
      </c>
      <c r="P83" s="59">
        <v>1.33</v>
      </c>
      <c r="Q83" s="59">
        <v>35.64</v>
      </c>
      <c r="R83" s="197"/>
      <c r="S83" s="197"/>
      <c r="T83" s="197"/>
      <c r="U83" s="197"/>
    </row>
    <row r="84" spans="1:26" s="12" customFormat="1" x14ac:dyDescent="0.25">
      <c r="A84" s="200" t="s">
        <v>3203</v>
      </c>
      <c r="B84" s="59">
        <v>36.21</v>
      </c>
      <c r="C84" s="59">
        <v>116</v>
      </c>
      <c r="D84" s="59">
        <v>93.05</v>
      </c>
      <c r="E84" s="59">
        <v>3.56</v>
      </c>
      <c r="F84" s="209" t="s">
        <v>36</v>
      </c>
      <c r="G84" s="59">
        <v>65.72</v>
      </c>
      <c r="H84" s="59">
        <v>32.299999999999997</v>
      </c>
      <c r="I84" s="59">
        <v>0.32</v>
      </c>
      <c r="J84" s="59">
        <v>0.03</v>
      </c>
      <c r="K84" s="59">
        <v>22.99</v>
      </c>
      <c r="L84" s="59">
        <v>22.12</v>
      </c>
      <c r="M84" s="59">
        <v>60</v>
      </c>
      <c r="N84" s="59">
        <v>24.6</v>
      </c>
      <c r="O84" s="59">
        <v>0</v>
      </c>
      <c r="P84" s="59">
        <v>1.45</v>
      </c>
      <c r="Q84" s="59">
        <v>37.450000000000003</v>
      </c>
      <c r="R84" s="197"/>
      <c r="S84" s="197"/>
      <c r="T84" s="197"/>
      <c r="U84" s="197"/>
    </row>
    <row r="85" spans="1:26" s="12" customFormat="1" x14ac:dyDescent="0.25">
      <c r="A85" s="200" t="s">
        <v>3204</v>
      </c>
      <c r="B85" s="59">
        <v>42.03</v>
      </c>
      <c r="C85" s="59">
        <v>120.55</v>
      </c>
      <c r="D85" s="59">
        <v>100.23</v>
      </c>
      <c r="E85" s="59">
        <v>3.28</v>
      </c>
      <c r="F85" s="59">
        <v>0.24</v>
      </c>
      <c r="G85" s="59">
        <v>96.46</v>
      </c>
      <c r="H85" s="59">
        <v>33.880000000000003</v>
      </c>
      <c r="I85" s="59">
        <v>0.36</v>
      </c>
      <c r="J85" s="59">
        <v>0.13</v>
      </c>
      <c r="K85" s="59">
        <v>285.5</v>
      </c>
      <c r="L85" s="59">
        <v>22.2</v>
      </c>
      <c r="M85" s="59">
        <v>59</v>
      </c>
      <c r="N85" s="59">
        <v>23.9</v>
      </c>
      <c r="O85" s="59">
        <v>0</v>
      </c>
      <c r="P85" s="59">
        <v>1.44</v>
      </c>
      <c r="Q85" s="59">
        <v>38.479999999999997</v>
      </c>
      <c r="R85" s="197"/>
      <c r="S85" s="197"/>
      <c r="T85" s="197"/>
      <c r="U85" s="197"/>
    </row>
    <row r="86" spans="1:26" s="12" customFormat="1" x14ac:dyDescent="0.25">
      <c r="A86" s="200" t="s">
        <v>3205</v>
      </c>
      <c r="B86" s="59">
        <v>51.63</v>
      </c>
      <c r="C86" s="59">
        <v>126.69</v>
      </c>
      <c r="D86" s="59">
        <v>111.32</v>
      </c>
      <c r="E86" s="59">
        <v>3.67</v>
      </c>
      <c r="F86" s="59">
        <v>0.54</v>
      </c>
      <c r="G86" s="59">
        <v>172.52</v>
      </c>
      <c r="H86" s="59">
        <v>39.409999999999997</v>
      </c>
      <c r="I86" s="59">
        <v>0.41</v>
      </c>
      <c r="J86" s="59">
        <v>0.17</v>
      </c>
      <c r="K86" s="59">
        <v>357.19</v>
      </c>
      <c r="L86" s="59">
        <v>22.06</v>
      </c>
      <c r="M86" s="59">
        <v>64</v>
      </c>
      <c r="N86" s="59">
        <v>24.2</v>
      </c>
      <c r="O86" s="59">
        <v>0</v>
      </c>
      <c r="P86" s="59">
        <v>1.74</v>
      </c>
      <c r="Q86" s="59">
        <v>39.229999999999997</v>
      </c>
      <c r="R86" s="197"/>
      <c r="S86" s="197"/>
      <c r="T86" s="197"/>
      <c r="U86" s="197"/>
    </row>
    <row r="87" spans="1:26" s="12" customFormat="1" x14ac:dyDescent="0.25">
      <c r="A87" s="200" t="s">
        <v>3206</v>
      </c>
      <c r="B87" s="59">
        <v>59.98</v>
      </c>
      <c r="C87" s="59">
        <v>131.97</v>
      </c>
      <c r="D87" s="59">
        <v>120.93</v>
      </c>
      <c r="E87" s="59">
        <v>4.1100000000000003</v>
      </c>
      <c r="F87" s="209" t="s">
        <v>36</v>
      </c>
      <c r="G87" s="59">
        <v>172.52</v>
      </c>
      <c r="H87" s="59">
        <v>39.409999999999997</v>
      </c>
      <c r="I87" s="59">
        <v>0.47</v>
      </c>
      <c r="J87" s="59">
        <v>0.6</v>
      </c>
      <c r="K87" s="59">
        <v>5.17</v>
      </c>
      <c r="L87" s="59">
        <v>22.48</v>
      </c>
      <c r="M87" s="59">
        <v>56</v>
      </c>
      <c r="N87" s="59">
        <v>22.2</v>
      </c>
      <c r="O87" s="59">
        <v>0</v>
      </c>
      <c r="P87" s="59">
        <v>2.04</v>
      </c>
      <c r="Q87" s="59">
        <v>40.39</v>
      </c>
      <c r="R87" s="197"/>
      <c r="S87" s="197"/>
      <c r="T87" s="197"/>
      <c r="U87" s="197"/>
    </row>
    <row r="88" spans="1:26" s="12" customFormat="1" x14ac:dyDescent="0.25">
      <c r="A88" s="200" t="s">
        <v>3207</v>
      </c>
      <c r="B88" s="59">
        <v>61.94</v>
      </c>
      <c r="C88" s="59">
        <v>133.54</v>
      </c>
      <c r="D88" s="59">
        <v>123.36</v>
      </c>
      <c r="E88" s="59">
        <v>1.96</v>
      </c>
      <c r="F88" s="209" t="s">
        <v>36</v>
      </c>
      <c r="G88" s="59">
        <v>172.52</v>
      </c>
      <c r="H88" s="59">
        <v>39.409999999999997</v>
      </c>
      <c r="I88" s="59">
        <v>0.54</v>
      </c>
      <c r="J88" s="59">
        <v>1.18</v>
      </c>
      <c r="K88" s="59">
        <v>9.76</v>
      </c>
      <c r="L88" s="59">
        <v>23.45</v>
      </c>
      <c r="M88" s="59">
        <v>46</v>
      </c>
      <c r="N88" s="59">
        <v>22.1</v>
      </c>
      <c r="O88" s="59">
        <v>0</v>
      </c>
      <c r="P88" s="59">
        <v>2.17</v>
      </c>
      <c r="Q88" s="59">
        <v>40.770000000000003</v>
      </c>
      <c r="R88" s="197"/>
      <c r="S88" s="197"/>
      <c r="T88" s="197"/>
      <c r="U88" s="197"/>
    </row>
    <row r="89" spans="1:26" s="12" customFormat="1" x14ac:dyDescent="0.25">
      <c r="A89" s="200" t="s">
        <v>3208</v>
      </c>
      <c r="B89" s="59">
        <v>54.64</v>
      </c>
      <c r="C89" s="59">
        <v>132.54</v>
      </c>
      <c r="D89" s="59">
        <v>116.96</v>
      </c>
      <c r="E89" s="59">
        <v>4.55</v>
      </c>
      <c r="F89" s="59">
        <v>0.13</v>
      </c>
      <c r="G89" s="59">
        <v>157.25</v>
      </c>
      <c r="H89" s="59">
        <v>41.75</v>
      </c>
      <c r="I89" s="59">
        <v>0.63</v>
      </c>
      <c r="J89" s="59">
        <v>1.2</v>
      </c>
      <c r="K89" s="59">
        <v>8.43</v>
      </c>
      <c r="L89" s="59">
        <v>23.82</v>
      </c>
      <c r="M89" s="59">
        <v>42</v>
      </c>
      <c r="N89" s="59">
        <v>23.4</v>
      </c>
      <c r="O89" s="59">
        <v>0</v>
      </c>
      <c r="P89" s="59">
        <v>2.13</v>
      </c>
      <c r="Q89" s="59">
        <v>40.47</v>
      </c>
      <c r="R89" s="197"/>
      <c r="S89" s="197"/>
      <c r="T89" s="197"/>
      <c r="U89" s="197"/>
    </row>
    <row r="90" spans="1:26" s="12" customFormat="1" x14ac:dyDescent="0.25">
      <c r="A90" s="200" t="s">
        <v>3209</v>
      </c>
      <c r="B90" s="59">
        <v>55.09</v>
      </c>
      <c r="C90" s="59">
        <v>124.67</v>
      </c>
      <c r="D90" s="59">
        <v>112.98</v>
      </c>
      <c r="E90" s="59">
        <v>4.6500000000000004</v>
      </c>
      <c r="F90" s="59">
        <v>0.43</v>
      </c>
      <c r="G90" s="59">
        <v>119.49</v>
      </c>
      <c r="H90" s="59">
        <v>49.95</v>
      </c>
      <c r="I90" s="59">
        <v>0.69</v>
      </c>
      <c r="J90" s="59">
        <v>0.71</v>
      </c>
      <c r="K90" s="59">
        <v>11.62</v>
      </c>
      <c r="L90" s="59">
        <v>23.56</v>
      </c>
      <c r="M90" s="59">
        <v>43</v>
      </c>
      <c r="N90" s="59">
        <v>24.4</v>
      </c>
      <c r="O90" s="59">
        <v>0</v>
      </c>
      <c r="P90" s="59">
        <v>2.12</v>
      </c>
      <c r="Q90" s="59">
        <v>38.61</v>
      </c>
      <c r="R90" s="197"/>
      <c r="S90" s="197"/>
      <c r="T90" s="197"/>
      <c r="U90" s="197"/>
    </row>
    <row r="91" spans="1:26" s="12" customFormat="1" x14ac:dyDescent="0.25">
      <c r="A91" s="200" t="s">
        <v>3210</v>
      </c>
      <c r="B91" s="59">
        <v>56.89</v>
      </c>
      <c r="C91" s="59">
        <v>127.54</v>
      </c>
      <c r="D91" s="59">
        <v>116.01</v>
      </c>
      <c r="E91" s="59">
        <v>4.8600000000000003</v>
      </c>
      <c r="F91" s="59">
        <v>0.25</v>
      </c>
      <c r="G91" s="59">
        <v>119.49</v>
      </c>
      <c r="H91" s="59">
        <v>49.95</v>
      </c>
      <c r="I91" s="59">
        <v>0.7</v>
      </c>
      <c r="J91" s="59">
        <v>0.25</v>
      </c>
      <c r="K91" s="59">
        <v>12.32</v>
      </c>
      <c r="L91" s="59">
        <v>23.14</v>
      </c>
      <c r="M91" s="59">
        <v>44</v>
      </c>
      <c r="N91" s="59">
        <v>24.7</v>
      </c>
      <c r="O91" s="59">
        <v>0</v>
      </c>
      <c r="P91" s="59">
        <v>2.15</v>
      </c>
      <c r="Q91" s="59">
        <v>37.82</v>
      </c>
      <c r="R91" s="197"/>
      <c r="S91" s="197"/>
      <c r="T91" s="197"/>
      <c r="U91" s="197"/>
    </row>
    <row r="92" spans="1:26" s="12" customFormat="1" x14ac:dyDescent="0.25">
      <c r="A92" s="200" t="s">
        <v>3211</v>
      </c>
      <c r="B92" s="59">
        <v>54.2</v>
      </c>
      <c r="C92" s="59">
        <v>121.09</v>
      </c>
      <c r="D92" s="59">
        <v>110.29</v>
      </c>
      <c r="E92" s="59">
        <v>4.88</v>
      </c>
      <c r="F92" s="59">
        <v>0.23</v>
      </c>
      <c r="G92" s="59">
        <v>119.49</v>
      </c>
      <c r="H92" s="59">
        <v>49.95</v>
      </c>
      <c r="I92" s="59">
        <v>0.64</v>
      </c>
      <c r="J92" s="59">
        <v>0.66</v>
      </c>
      <c r="K92" s="59">
        <v>14.66</v>
      </c>
      <c r="L92" s="59">
        <v>22.82</v>
      </c>
      <c r="M92" s="59">
        <v>45</v>
      </c>
      <c r="N92" s="59">
        <v>23.9</v>
      </c>
      <c r="O92" s="59">
        <v>0</v>
      </c>
      <c r="P92" s="59">
        <v>2.16</v>
      </c>
      <c r="Q92" s="59">
        <v>38.159999999999997</v>
      </c>
      <c r="R92" s="197"/>
      <c r="S92" s="197"/>
      <c r="T92" s="197"/>
      <c r="U92" s="197"/>
    </row>
    <row r="93" spans="1:26" s="12" customFormat="1" x14ac:dyDescent="0.25">
      <c r="A93" s="200" t="s">
        <v>3212</v>
      </c>
      <c r="B93" s="59">
        <v>54.22</v>
      </c>
      <c r="C93" s="59">
        <v>118.49</v>
      </c>
      <c r="D93" s="59">
        <v>108.87</v>
      </c>
      <c r="E93" s="59">
        <v>5.0999999999999996</v>
      </c>
      <c r="F93" s="59">
        <v>0.35</v>
      </c>
      <c r="G93" s="59">
        <v>114.78</v>
      </c>
      <c r="H93" s="59">
        <v>47.75</v>
      </c>
      <c r="I93" s="59">
        <v>0.64</v>
      </c>
      <c r="J93" s="59">
        <v>0.79</v>
      </c>
      <c r="K93" s="59">
        <v>15.29</v>
      </c>
      <c r="L93" s="59">
        <v>22.77</v>
      </c>
      <c r="M93" s="59">
        <v>45</v>
      </c>
      <c r="N93" s="59">
        <v>23.9</v>
      </c>
      <c r="O93" s="59">
        <v>0</v>
      </c>
      <c r="P93" s="59">
        <v>2.14</v>
      </c>
      <c r="Q93" s="59">
        <v>38.68</v>
      </c>
      <c r="R93" s="197"/>
      <c r="S93" s="197"/>
      <c r="T93" s="197"/>
      <c r="U93" s="197"/>
    </row>
    <row r="94" spans="1:26" s="12" customFormat="1" x14ac:dyDescent="0.25">
      <c r="A94" s="200" t="s">
        <v>3213</v>
      </c>
      <c r="B94" s="59">
        <v>54.47</v>
      </c>
      <c r="C94" s="59">
        <v>117.19</v>
      </c>
      <c r="D94" s="59">
        <v>108.36</v>
      </c>
      <c r="E94" s="59">
        <v>5.0999999999999996</v>
      </c>
      <c r="F94" s="59">
        <v>0.04</v>
      </c>
      <c r="G94" s="59">
        <v>92.68</v>
      </c>
      <c r="H94" s="59">
        <v>40.049999999999997</v>
      </c>
      <c r="I94" s="59">
        <v>0.68</v>
      </c>
      <c r="J94" s="59">
        <v>0.61</v>
      </c>
      <c r="K94" s="59">
        <v>14.78</v>
      </c>
      <c r="L94" s="59">
        <v>22.64</v>
      </c>
      <c r="M94" s="59">
        <v>45</v>
      </c>
      <c r="N94" s="59">
        <v>24.1</v>
      </c>
      <c r="O94" s="59">
        <v>0</v>
      </c>
      <c r="P94" s="59">
        <v>2.15</v>
      </c>
      <c r="Q94" s="59">
        <v>38.49</v>
      </c>
      <c r="R94" s="197"/>
      <c r="S94" s="197"/>
      <c r="T94" s="197"/>
      <c r="U94" s="197"/>
    </row>
    <row r="95" spans="1:26" s="12" customFormat="1" x14ac:dyDescent="0.25">
      <c r="A95" s="200" t="s">
        <v>3214</v>
      </c>
      <c r="B95" s="59">
        <v>54.98</v>
      </c>
      <c r="C95" s="59">
        <v>116.62</v>
      </c>
      <c r="D95" s="59">
        <v>108.45</v>
      </c>
      <c r="E95" s="59">
        <v>5.43</v>
      </c>
      <c r="F95" s="59">
        <v>0.23</v>
      </c>
      <c r="G95" s="59">
        <v>92.68</v>
      </c>
      <c r="H95" s="59">
        <v>40.049999999999997</v>
      </c>
      <c r="I95" s="59">
        <v>0.7</v>
      </c>
      <c r="J95" s="59">
        <v>0.59</v>
      </c>
      <c r="K95" s="59">
        <v>17.5</v>
      </c>
      <c r="L95" s="59">
        <v>22.5</v>
      </c>
      <c r="M95" s="59">
        <v>45</v>
      </c>
      <c r="N95" s="59">
        <v>24.1</v>
      </c>
      <c r="O95" s="59">
        <v>0</v>
      </c>
      <c r="P95" s="59">
        <v>2.16</v>
      </c>
      <c r="Q95" s="59">
        <v>38.869999999999997</v>
      </c>
      <c r="R95" s="197"/>
      <c r="S95" s="197"/>
      <c r="T95" s="197"/>
      <c r="U95" s="197"/>
    </row>
    <row r="96" spans="1:26" s="12" customFormat="1" x14ac:dyDescent="0.25">
      <c r="A96" s="200" t="s">
        <v>3215</v>
      </c>
      <c r="B96" s="59">
        <v>55.47</v>
      </c>
      <c r="C96" s="59">
        <v>118.52</v>
      </c>
      <c r="D96" s="59">
        <v>109.89</v>
      </c>
      <c r="E96" s="59">
        <v>5.09</v>
      </c>
      <c r="F96" s="59">
        <v>0.28000000000000003</v>
      </c>
      <c r="G96" s="59">
        <v>92.68</v>
      </c>
      <c r="H96" s="59">
        <v>40.049999999999997</v>
      </c>
      <c r="I96" s="59">
        <v>0.64</v>
      </c>
      <c r="J96" s="59">
        <v>0.53</v>
      </c>
      <c r="K96" s="59">
        <v>16.91</v>
      </c>
      <c r="L96" s="59">
        <v>22.32</v>
      </c>
      <c r="M96" s="59">
        <v>45</v>
      </c>
      <c r="N96" s="59">
        <v>24.1</v>
      </c>
      <c r="O96" s="59">
        <v>0</v>
      </c>
      <c r="P96" s="59">
        <v>2.16</v>
      </c>
      <c r="Q96" s="59">
        <v>39.51</v>
      </c>
      <c r="R96" s="197"/>
      <c r="S96" s="197"/>
      <c r="T96" s="213"/>
      <c r="U96" s="197"/>
      <c r="Z96" s="108"/>
    </row>
    <row r="97" spans="1:33" s="12" customFormat="1" x14ac:dyDescent="0.25">
      <c r="A97" s="200" t="s">
        <v>3216</v>
      </c>
      <c r="B97" s="59">
        <v>55.73</v>
      </c>
      <c r="C97" s="59">
        <v>116.76</v>
      </c>
      <c r="D97" s="59">
        <v>109.13</v>
      </c>
      <c r="E97" s="59">
        <v>4.47</v>
      </c>
      <c r="F97" s="59">
        <v>0.08</v>
      </c>
      <c r="G97" s="59">
        <v>92.29</v>
      </c>
      <c r="H97" s="59">
        <v>39.520000000000003</v>
      </c>
      <c r="I97" s="59">
        <v>0.65</v>
      </c>
      <c r="J97" s="59">
        <v>0.64</v>
      </c>
      <c r="K97" s="59">
        <v>16.98</v>
      </c>
      <c r="L97" s="59">
        <v>22.24</v>
      </c>
      <c r="M97" s="59">
        <v>44</v>
      </c>
      <c r="N97" s="59">
        <v>23.9</v>
      </c>
      <c r="O97" s="59">
        <v>0</v>
      </c>
      <c r="P97" s="59">
        <v>2.16</v>
      </c>
      <c r="Q97" s="59">
        <v>40.72</v>
      </c>
      <c r="R97" s="197"/>
      <c r="S97" s="197"/>
      <c r="T97" s="197"/>
      <c r="U97" s="197"/>
    </row>
    <row r="98" spans="1:33" s="12" customFormat="1" x14ac:dyDescent="0.25">
      <c r="A98" s="200" t="s">
        <v>3217</v>
      </c>
      <c r="B98" s="59">
        <v>54.87</v>
      </c>
      <c r="C98" s="59">
        <v>116.33</v>
      </c>
      <c r="D98" s="59">
        <v>108.2</v>
      </c>
      <c r="E98" s="59">
        <v>4.53</v>
      </c>
      <c r="F98" s="59">
        <v>0.04</v>
      </c>
      <c r="G98" s="59">
        <v>91.34</v>
      </c>
      <c r="H98" s="59">
        <v>37.659999999999997</v>
      </c>
      <c r="I98" s="59">
        <v>0.65</v>
      </c>
      <c r="J98" s="59">
        <v>0.66</v>
      </c>
      <c r="K98" s="59">
        <v>17.100000000000001</v>
      </c>
      <c r="L98" s="59">
        <v>22.17</v>
      </c>
      <c r="M98" s="59">
        <v>43</v>
      </c>
      <c r="N98" s="59">
        <v>24.1</v>
      </c>
      <c r="O98" s="59">
        <v>0</v>
      </c>
      <c r="P98" s="59">
        <v>2.14</v>
      </c>
      <c r="Q98" s="59">
        <v>40.799999999999997</v>
      </c>
      <c r="R98" s="197"/>
      <c r="S98" s="197"/>
      <c r="T98" s="197"/>
      <c r="U98" s="197"/>
    </row>
    <row r="99" spans="1:33" s="12" customFormat="1" x14ac:dyDescent="0.25">
      <c r="A99" s="200" t="s">
        <v>3218</v>
      </c>
      <c r="B99" s="59">
        <v>52.61</v>
      </c>
      <c r="C99" s="59">
        <v>115.06</v>
      </c>
      <c r="D99" s="59">
        <v>105.69</v>
      </c>
      <c r="E99" s="59">
        <v>4.74</v>
      </c>
      <c r="F99" s="59">
        <v>0.08</v>
      </c>
      <c r="G99" s="59">
        <v>91.34</v>
      </c>
      <c r="H99" s="59">
        <v>37.659999999999997</v>
      </c>
      <c r="I99" s="59">
        <v>0.65</v>
      </c>
      <c r="J99" s="59">
        <v>0.85</v>
      </c>
      <c r="K99" s="59">
        <v>11.56</v>
      </c>
      <c r="L99" s="59">
        <v>21.86</v>
      </c>
      <c r="M99" s="59">
        <v>43</v>
      </c>
      <c r="N99" s="59">
        <v>24.2</v>
      </c>
      <c r="O99" s="59">
        <v>0</v>
      </c>
      <c r="P99" s="59">
        <v>2.0699999999999998</v>
      </c>
      <c r="Q99" s="59">
        <v>40.44</v>
      </c>
      <c r="R99" s="197"/>
      <c r="S99" s="197"/>
      <c r="T99" s="197"/>
      <c r="U99" s="197"/>
    </row>
    <row r="100" spans="1:33" s="12" customFormat="1" x14ac:dyDescent="0.25">
      <c r="A100" s="200" t="s">
        <v>3219</v>
      </c>
      <c r="B100" s="59">
        <v>47.77</v>
      </c>
      <c r="C100" s="59">
        <v>108.84</v>
      </c>
      <c r="D100" s="59">
        <v>98.38</v>
      </c>
      <c r="E100" s="59">
        <v>4.3499999999999996</v>
      </c>
      <c r="F100" s="59">
        <v>0.34</v>
      </c>
      <c r="G100" s="59">
        <v>91.34</v>
      </c>
      <c r="H100" s="59">
        <v>37.659999999999997</v>
      </c>
      <c r="I100" s="59">
        <v>0.62</v>
      </c>
      <c r="J100" s="59">
        <v>1.07</v>
      </c>
      <c r="K100" s="59">
        <v>14.09</v>
      </c>
      <c r="L100" s="59">
        <v>21.71</v>
      </c>
      <c r="M100" s="59">
        <v>42</v>
      </c>
      <c r="N100" s="59">
        <v>23.8</v>
      </c>
      <c r="O100" s="59">
        <v>0</v>
      </c>
      <c r="P100" s="59">
        <v>1.97</v>
      </c>
      <c r="Q100" s="59">
        <v>39.76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3220</v>
      </c>
      <c r="B101" s="59">
        <v>42.75</v>
      </c>
      <c r="C101" s="59">
        <v>108.37</v>
      </c>
      <c r="D101" s="59">
        <v>94.09</v>
      </c>
      <c r="E101" s="59">
        <v>4.05</v>
      </c>
      <c r="F101" s="59">
        <v>0.32</v>
      </c>
      <c r="G101" s="59">
        <v>82.09</v>
      </c>
      <c r="H101" s="59">
        <v>36.020000000000003</v>
      </c>
      <c r="I101" s="59">
        <v>0.59</v>
      </c>
      <c r="J101" s="59">
        <v>0.84</v>
      </c>
      <c r="K101" s="59">
        <v>16.87</v>
      </c>
      <c r="L101" s="59">
        <v>21.59</v>
      </c>
      <c r="M101" s="59">
        <v>42</v>
      </c>
      <c r="N101" s="59">
        <v>24.1</v>
      </c>
      <c r="O101" s="59">
        <v>0</v>
      </c>
      <c r="P101" s="59">
        <v>1.85</v>
      </c>
      <c r="Q101" s="59">
        <v>38.840000000000003</v>
      </c>
      <c r="R101" s="197"/>
      <c r="S101" s="197"/>
      <c r="T101" s="197"/>
      <c r="U101" s="197"/>
    </row>
    <row r="102" spans="1:33" s="12" customFormat="1" x14ac:dyDescent="0.25">
      <c r="A102" s="200" t="s">
        <v>3221</v>
      </c>
      <c r="B102" s="59">
        <v>39.14</v>
      </c>
      <c r="C102" s="59">
        <v>105.55</v>
      </c>
      <c r="D102" s="59">
        <v>89.64</v>
      </c>
      <c r="E102" s="59">
        <v>4.28</v>
      </c>
      <c r="F102" s="59">
        <v>0.31</v>
      </c>
      <c r="G102" s="59">
        <v>59.2</v>
      </c>
      <c r="H102" s="59">
        <v>30.29</v>
      </c>
      <c r="I102" s="59">
        <v>0.55000000000000004</v>
      </c>
      <c r="J102" s="59">
        <v>0.95</v>
      </c>
      <c r="K102" s="59">
        <v>13.99</v>
      </c>
      <c r="L102" s="59">
        <v>21.34</v>
      </c>
      <c r="M102" s="59">
        <v>42</v>
      </c>
      <c r="N102" s="59">
        <v>24.1</v>
      </c>
      <c r="O102" s="59">
        <v>0</v>
      </c>
      <c r="P102" s="59">
        <v>1.75</v>
      </c>
      <c r="Q102" s="59">
        <v>37.94</v>
      </c>
      <c r="R102" s="197"/>
      <c r="S102" s="197"/>
      <c r="T102" s="197"/>
      <c r="U102" s="197"/>
    </row>
    <row r="103" spans="1:33" s="12" customFormat="1" x14ac:dyDescent="0.25">
      <c r="A103" s="200" t="s">
        <v>3222</v>
      </c>
      <c r="B103" s="59">
        <v>33.299999999999997</v>
      </c>
      <c r="C103" s="59">
        <v>102</v>
      </c>
      <c r="D103" s="59">
        <v>82.99</v>
      </c>
      <c r="E103" s="59">
        <v>4.6100000000000003</v>
      </c>
      <c r="F103" s="59">
        <v>0.6</v>
      </c>
      <c r="G103" s="59">
        <v>59.2</v>
      </c>
      <c r="H103" s="59">
        <v>30.29</v>
      </c>
      <c r="I103" s="59">
        <v>0.52</v>
      </c>
      <c r="J103" s="59">
        <v>0.85</v>
      </c>
      <c r="K103" s="59">
        <v>14.61</v>
      </c>
      <c r="L103" s="59">
        <v>21.06</v>
      </c>
      <c r="M103" s="59">
        <v>43</v>
      </c>
      <c r="N103" s="59">
        <v>24.2</v>
      </c>
      <c r="O103" s="59">
        <v>0</v>
      </c>
      <c r="P103" s="59">
        <v>1.63</v>
      </c>
      <c r="Q103" s="59">
        <v>36.99</v>
      </c>
      <c r="R103" s="197"/>
      <c r="S103" s="197"/>
      <c r="T103" s="197"/>
      <c r="U103" s="197"/>
    </row>
    <row r="104" spans="1:33" s="12" customFormat="1" x14ac:dyDescent="0.25">
      <c r="A104" s="200" t="s">
        <v>3223</v>
      </c>
      <c r="B104" s="59">
        <v>29.96</v>
      </c>
      <c r="C104" s="59">
        <v>100.59</v>
      </c>
      <c r="D104" s="59">
        <v>79.540000000000006</v>
      </c>
      <c r="E104" s="59">
        <v>2.64</v>
      </c>
      <c r="F104" s="59">
        <v>0.75</v>
      </c>
      <c r="G104" s="59">
        <v>59.2</v>
      </c>
      <c r="H104" s="59">
        <v>30.29</v>
      </c>
      <c r="I104" s="59">
        <v>0.48</v>
      </c>
      <c r="J104" s="59">
        <v>1</v>
      </c>
      <c r="K104" s="59">
        <v>15.84</v>
      </c>
      <c r="L104" s="59">
        <v>20.97</v>
      </c>
      <c r="M104" s="59">
        <v>43</v>
      </c>
      <c r="N104" s="59">
        <v>23.9</v>
      </c>
      <c r="O104" s="59">
        <v>0</v>
      </c>
      <c r="P104" s="59">
        <v>1.55</v>
      </c>
      <c r="Q104" s="59">
        <v>35.82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4" t="s">
        <v>59</v>
      </c>
      <c r="B106" s="66">
        <f>MIN(B9:B104)</f>
        <v>1.18</v>
      </c>
      <c r="C106" s="66">
        <f>MIN(C9:C104)</f>
        <v>74.88</v>
      </c>
      <c r="D106" s="66">
        <f t="shared" ref="D106:Q106" si="0">MIN(D9:D104)</f>
        <v>43.42</v>
      </c>
      <c r="E106" s="66">
        <f t="shared" si="0"/>
        <v>1.78</v>
      </c>
      <c r="F106" s="66">
        <f t="shared" si="0"/>
        <v>0.01</v>
      </c>
      <c r="G106" s="66">
        <f t="shared" si="0"/>
        <v>42.21</v>
      </c>
      <c r="H106" s="66">
        <f t="shared" si="0"/>
        <v>23.95</v>
      </c>
      <c r="I106" s="66">
        <f t="shared" si="0"/>
        <v>0.16</v>
      </c>
      <c r="J106" s="66">
        <f t="shared" si="0"/>
        <v>0.02</v>
      </c>
      <c r="K106" s="66">
        <f t="shared" si="0"/>
        <v>2.98</v>
      </c>
      <c r="L106" s="66">
        <f t="shared" si="0"/>
        <v>16.649999999999999</v>
      </c>
      <c r="M106" s="66">
        <f t="shared" si="0"/>
        <v>25</v>
      </c>
      <c r="N106" s="66">
        <f t="shared" si="0"/>
        <v>22.1</v>
      </c>
      <c r="O106" s="66">
        <f t="shared" si="0"/>
        <v>0</v>
      </c>
      <c r="P106" s="66">
        <f t="shared" si="0"/>
        <v>0.95</v>
      </c>
      <c r="Q106" s="66">
        <f t="shared" si="0"/>
        <v>23.26</v>
      </c>
      <c r="R106" s="198"/>
      <c r="S106" s="198"/>
      <c r="T106" s="198"/>
      <c r="U106" s="198"/>
    </row>
    <row r="107" spans="1:33" x14ac:dyDescent="0.25">
      <c r="A107" s="64" t="s">
        <v>60</v>
      </c>
      <c r="B107" s="65">
        <f>MAX(B9:B104)</f>
        <v>139.49</v>
      </c>
      <c r="C107" s="65">
        <f t="shared" ref="C107:Q107" si="1">MAX(C9:C104)</f>
        <v>177.27</v>
      </c>
      <c r="D107" s="65">
        <f t="shared" si="1"/>
        <v>209.69</v>
      </c>
      <c r="E107" s="65">
        <f t="shared" si="1"/>
        <v>13.58</v>
      </c>
      <c r="F107" s="65">
        <f t="shared" si="1"/>
        <v>24.82</v>
      </c>
      <c r="G107" s="65">
        <f t="shared" si="1"/>
        <v>193.06</v>
      </c>
      <c r="H107" s="65">
        <f t="shared" si="1"/>
        <v>84</v>
      </c>
      <c r="I107" s="65">
        <f t="shared" si="1"/>
        <v>1.4</v>
      </c>
      <c r="J107" s="65">
        <f t="shared" si="1"/>
        <v>1.31</v>
      </c>
      <c r="K107" s="65">
        <f t="shared" si="1"/>
        <v>359.98</v>
      </c>
      <c r="L107" s="65">
        <f t="shared" si="1"/>
        <v>34.229999999999997</v>
      </c>
      <c r="M107" s="65">
        <f t="shared" si="1"/>
        <v>80</v>
      </c>
      <c r="N107" s="65">
        <f t="shared" si="1"/>
        <v>342.7</v>
      </c>
      <c r="O107" s="65">
        <f t="shared" si="1"/>
        <v>0</v>
      </c>
      <c r="P107" s="65">
        <f t="shared" si="1"/>
        <v>3.79</v>
      </c>
      <c r="Q107" s="65">
        <f t="shared" si="1"/>
        <v>49.83</v>
      </c>
      <c r="R107" s="199"/>
      <c r="S107" s="199"/>
      <c r="T107" s="199"/>
      <c r="U107" s="199"/>
    </row>
    <row r="108" spans="1:33" x14ac:dyDescent="0.25">
      <c r="A108" s="64" t="s">
        <v>61</v>
      </c>
      <c r="B108" s="66">
        <f>AVERAGE(B9:B104)</f>
        <v>42.096250000000005</v>
      </c>
      <c r="C108" s="66">
        <f t="shared" ref="C108:Q108" si="2">AVERAGE(C9:C104)</f>
        <v>113.75729166666672</v>
      </c>
      <c r="D108" s="66">
        <f t="shared" si="2"/>
        <v>96.537291666666633</v>
      </c>
      <c r="E108" s="66">
        <f t="shared" si="2"/>
        <v>4.8764210526315788</v>
      </c>
      <c r="F108" s="66">
        <f t="shared" si="2"/>
        <v>2.9476712328767118</v>
      </c>
      <c r="G108" s="66">
        <f t="shared" si="2"/>
        <v>103.53511627906985</v>
      </c>
      <c r="H108" s="66">
        <f t="shared" si="2"/>
        <v>51.23434782608696</v>
      </c>
      <c r="I108" s="66">
        <f t="shared" si="2"/>
        <v>0.52645833333333314</v>
      </c>
      <c r="J108" s="66">
        <f t="shared" si="2"/>
        <v>0.43625000000000003</v>
      </c>
      <c r="K108" s="66">
        <f t="shared" si="2"/>
        <v>203.57770833333328</v>
      </c>
      <c r="L108" s="66">
        <f t="shared" si="2"/>
        <v>24.036874999999995</v>
      </c>
      <c r="M108" s="66">
        <f t="shared" si="2"/>
        <v>50.6875</v>
      </c>
      <c r="N108" s="66">
        <f t="shared" si="2"/>
        <v>106.97083333333337</v>
      </c>
      <c r="O108" s="66">
        <f t="shared" si="2"/>
        <v>0</v>
      </c>
      <c r="P108" s="66">
        <f t="shared" si="2"/>
        <v>1.8964583333333325</v>
      </c>
      <c r="Q108" s="66">
        <f t="shared" si="2"/>
        <v>36.282708333333325</v>
      </c>
      <c r="R108" s="198"/>
      <c r="S108" s="198"/>
      <c r="T108" s="198"/>
      <c r="U108" s="198"/>
    </row>
    <row r="109" spans="1:33" x14ac:dyDescent="0.25">
      <c r="A109" s="64" t="s">
        <v>77</v>
      </c>
      <c r="B109" s="66">
        <f>STDEV(B9:B104)</f>
        <v>31.796166377659265</v>
      </c>
      <c r="C109" s="66">
        <f t="shared" ref="C109:Q109" si="3">STDEV(C9:C104)</f>
        <v>21.337883261031067</v>
      </c>
      <c r="D109" s="66">
        <f t="shared" si="3"/>
        <v>35.965352756556072</v>
      </c>
      <c r="E109" s="66">
        <f t="shared" si="3"/>
        <v>1.9240421301782902</v>
      </c>
      <c r="F109" s="66">
        <f t="shared" si="3"/>
        <v>4.8707170703398361</v>
      </c>
      <c r="G109" s="66">
        <f t="shared" si="3"/>
        <v>42.861955343505329</v>
      </c>
      <c r="H109" s="66">
        <f t="shared" si="3"/>
        <v>18.217500480192662</v>
      </c>
      <c r="I109" s="66">
        <f t="shared" si="3"/>
        <v>0.29068695104660619</v>
      </c>
      <c r="J109" s="66">
        <f t="shared" si="3"/>
        <v>0.375615284706657</v>
      </c>
      <c r="K109" s="66">
        <f t="shared" si="3"/>
        <v>149.81670741261195</v>
      </c>
      <c r="L109" s="66">
        <f t="shared" si="3"/>
        <v>6.1557010481940306</v>
      </c>
      <c r="M109" s="66">
        <f t="shared" si="3"/>
        <v>19.829968017597693</v>
      </c>
      <c r="N109" s="66">
        <f t="shared" si="3"/>
        <v>117.96210891786767</v>
      </c>
      <c r="O109" s="66">
        <f t="shared" si="3"/>
        <v>0</v>
      </c>
      <c r="P109" s="66">
        <f t="shared" si="3"/>
        <v>0.64619693782634169</v>
      </c>
      <c r="Q109" s="66">
        <f t="shared" si="3"/>
        <v>7.076158708042386</v>
      </c>
      <c r="R109" s="198"/>
      <c r="S109" s="198"/>
      <c r="T109" s="198"/>
      <c r="U109" s="198"/>
    </row>
    <row r="110" spans="1:33" x14ac:dyDescent="0.25">
      <c r="A110" s="64" t="s">
        <v>62</v>
      </c>
      <c r="B110" s="65">
        <f t="shared" ref="B110:Q110" si="4">COUNT(B9:B104)</f>
        <v>96</v>
      </c>
      <c r="C110" s="65">
        <f t="shared" si="4"/>
        <v>96</v>
      </c>
      <c r="D110" s="65">
        <f t="shared" si="4"/>
        <v>96</v>
      </c>
      <c r="E110" s="65">
        <f>COUNT(E9:E104)+1</f>
        <v>96</v>
      </c>
      <c r="F110" s="65">
        <f>COUNT(F9:F104)+23</f>
        <v>96</v>
      </c>
      <c r="G110" s="65">
        <f t="shared" si="4"/>
        <v>86</v>
      </c>
      <c r="H110" s="65">
        <f>COUNT(H9:H104)</f>
        <v>92</v>
      </c>
      <c r="I110" s="65">
        <f>COUNT(I9:I104)</f>
        <v>96</v>
      </c>
      <c r="J110" s="65">
        <f>COUNT(J9:J104)</f>
        <v>96</v>
      </c>
      <c r="K110" s="65">
        <f t="shared" si="4"/>
        <v>96</v>
      </c>
      <c r="L110" s="65">
        <f t="shared" si="4"/>
        <v>96</v>
      </c>
      <c r="M110" s="65">
        <f t="shared" si="4"/>
        <v>96</v>
      </c>
      <c r="N110" s="65">
        <f t="shared" si="4"/>
        <v>96</v>
      </c>
      <c r="O110" s="65">
        <f t="shared" si="4"/>
        <v>96</v>
      </c>
      <c r="P110" s="65">
        <f t="shared" si="4"/>
        <v>96</v>
      </c>
      <c r="Q110" s="65">
        <f t="shared" si="4"/>
        <v>96</v>
      </c>
      <c r="R110" s="199"/>
      <c r="S110" s="199"/>
      <c r="T110" s="199"/>
      <c r="U110" s="199"/>
      <c r="V110" s="65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zoomScale="85" zoomScaleNormal="85" workbookViewId="0">
      <pane xSplit="1" ySplit="8" topLeftCell="B15" activePane="bottomRight" state="frozen"/>
      <selection activeCell="B2" sqref="B2"/>
      <selection pane="topRight" activeCell="B2" sqref="B2"/>
      <selection pane="bottomLeft" activeCell="B2" sqref="B2"/>
      <selection pane="bottomRight" activeCell="A39" sqref="A39"/>
    </sheetView>
  </sheetViews>
  <sheetFormatPr defaultColWidth="8.85546875" defaultRowHeight="15" x14ac:dyDescent="0.25"/>
  <cols>
    <col min="1" max="1" width="15.85546875" style="95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3" t="s">
        <v>30</v>
      </c>
      <c r="B1" s="56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3" t="s">
        <v>0</v>
      </c>
      <c r="B2" s="107" t="str">
        <f>$A$9</f>
        <v>01-12-2022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3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3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3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3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3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3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4" t="s">
        <v>50</v>
      </c>
      <c r="B7" s="197" t="s">
        <v>221</v>
      </c>
      <c r="C7" s="197" t="s">
        <v>222</v>
      </c>
      <c r="D7" s="197" t="s">
        <v>223</v>
      </c>
      <c r="E7" s="197" t="s">
        <v>224</v>
      </c>
      <c r="F7" s="197" t="s">
        <v>225</v>
      </c>
      <c r="G7" s="197" t="s">
        <v>226</v>
      </c>
      <c r="H7" s="197" t="s">
        <v>227</v>
      </c>
      <c r="I7" s="197" t="s">
        <v>228</v>
      </c>
      <c r="J7" s="197" t="s">
        <v>229</v>
      </c>
      <c r="K7" s="197" t="s">
        <v>230</v>
      </c>
      <c r="L7" s="197" t="s">
        <v>231</v>
      </c>
      <c r="M7" s="197" t="s">
        <v>232</v>
      </c>
      <c r="N7" s="197" t="s">
        <v>233</v>
      </c>
      <c r="O7" s="197" t="s">
        <v>234</v>
      </c>
      <c r="P7" s="197" t="s">
        <v>235</v>
      </c>
      <c r="Q7" s="197" t="s">
        <v>236</v>
      </c>
      <c r="R7" s="195"/>
      <c r="S7" s="196"/>
      <c r="T7" s="195"/>
      <c r="U7" s="195"/>
    </row>
    <row r="8" spans="1:21" s="54" customFormat="1" x14ac:dyDescent="0.25">
      <c r="A8" s="94"/>
      <c r="B8" s="13" t="s">
        <v>51</v>
      </c>
      <c r="C8" s="13" t="s">
        <v>51</v>
      </c>
      <c r="D8" s="13" t="s">
        <v>51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5"/>
      <c r="S8" s="196"/>
      <c r="T8" s="195"/>
      <c r="U8" s="195"/>
    </row>
    <row r="9" spans="1:21" x14ac:dyDescent="0.25">
      <c r="A9" s="93" t="str">
        <f>'01'!$B$2</f>
        <v>01-12-2022 00:15</v>
      </c>
      <c r="B9" s="60">
        <f>'01'!B108</f>
        <v>31.483541666666664</v>
      </c>
      <c r="C9" s="60">
        <f>'01'!C108</f>
        <v>102.0828125</v>
      </c>
      <c r="D9" s="60">
        <f>'01'!D108</f>
        <v>81.583541666666648</v>
      </c>
      <c r="E9" s="60">
        <f>'01'!E108</f>
        <v>5.4015625000000034</v>
      </c>
      <c r="F9" s="60">
        <f>'01'!F108</f>
        <v>2.2838541666666674</v>
      </c>
      <c r="G9" s="98">
        <f>'01'!$G$108</f>
        <v>120.34531250000003</v>
      </c>
      <c r="H9" s="60">
        <f>'01'!H108</f>
        <v>49.872083333333315</v>
      </c>
      <c r="I9" s="60">
        <f>'01'!I108</f>
        <v>0.78218750000000004</v>
      </c>
      <c r="J9" s="60">
        <f>'01'!J108</f>
        <v>0.4458333333333333</v>
      </c>
      <c r="K9" s="60">
        <f>'01'!K108</f>
        <v>215.23471428571429</v>
      </c>
      <c r="L9" s="60">
        <f>'01'!L108</f>
        <v>22.515937500000003</v>
      </c>
      <c r="M9" s="60">
        <f>'01'!M108</f>
        <v>61.708333333333336</v>
      </c>
      <c r="N9" s="60">
        <f>'01'!N108</f>
        <v>188.94705882352943</v>
      </c>
      <c r="O9" s="60">
        <f>'01'!O108</f>
        <v>0</v>
      </c>
      <c r="P9" s="201">
        <f>'01'!P108</f>
        <v>2.1655208333333338</v>
      </c>
      <c r="Q9" s="60">
        <f>'01'!Q108</f>
        <v>119.33343749999999</v>
      </c>
      <c r="R9" s="117"/>
      <c r="S9" s="117"/>
      <c r="T9" s="117"/>
      <c r="U9" s="117"/>
    </row>
    <row r="10" spans="1:21" x14ac:dyDescent="0.25">
      <c r="A10" s="93" t="str">
        <f>'02'!$B$2</f>
        <v>02-12-2022 00:15</v>
      </c>
      <c r="B10" s="60">
        <f>'02'!B108</f>
        <v>27.927916666666672</v>
      </c>
      <c r="C10" s="60">
        <f>'02'!C108</f>
        <v>72.192291666666662</v>
      </c>
      <c r="D10" s="60">
        <f>'02'!D108</f>
        <v>62.236874999999998</v>
      </c>
      <c r="E10" s="60">
        <f>'02'!E108</f>
        <v>6.1081250000000002</v>
      </c>
      <c r="F10" s="60">
        <f>'02'!F108</f>
        <v>4.96</v>
      </c>
      <c r="G10" s="60">
        <f>'02'!G108</f>
        <v>120.72374999999998</v>
      </c>
      <c r="H10" s="60">
        <f>'02'!H108</f>
        <v>46.505104166666676</v>
      </c>
      <c r="I10" s="60">
        <f>'02'!I108</f>
        <v>0.72107142857142847</v>
      </c>
      <c r="J10" s="60">
        <f>'02'!J108</f>
        <v>0.41291666666666665</v>
      </c>
      <c r="K10" s="60">
        <f>'02'!K108</f>
        <v>191.75976744186048</v>
      </c>
      <c r="L10" s="60">
        <f>'02'!L108</f>
        <v>21.22229166666666</v>
      </c>
      <c r="M10" s="9" t="s">
        <v>36</v>
      </c>
      <c r="N10" s="60">
        <f>'02'!N108</f>
        <v>117.8731343283582</v>
      </c>
      <c r="O10" s="60">
        <f>'02'!O108</f>
        <v>0</v>
      </c>
      <c r="P10" s="201">
        <f>'02'!P108</f>
        <v>2.1712500000000015</v>
      </c>
      <c r="Q10" s="60">
        <f>'02'!Q108</f>
        <v>89.413510638297865</v>
      </c>
      <c r="R10" s="117"/>
      <c r="S10" s="117"/>
      <c r="T10" s="117"/>
      <c r="U10" s="117"/>
    </row>
    <row r="11" spans="1:21" x14ac:dyDescent="0.25">
      <c r="A11" s="93" t="str">
        <f>'03'!$B$2</f>
        <v>03-12-2022 00:15</v>
      </c>
      <c r="B11" s="60">
        <f>'03'!B108</f>
        <v>47.728958333333345</v>
      </c>
      <c r="C11" s="60">
        <f>'03'!C108</f>
        <v>25.75630952380952</v>
      </c>
      <c r="D11" s="60">
        <f>'03'!D108</f>
        <v>49.406666666666666</v>
      </c>
      <c r="E11" s="60">
        <f>'03'!E108</f>
        <v>5.101770833333334</v>
      </c>
      <c r="F11" s="60">
        <f>'03'!F108</f>
        <v>1.4794791666666667</v>
      </c>
      <c r="G11" s="60">
        <f>'03'!G108</f>
        <v>148.67000000000004</v>
      </c>
      <c r="H11" s="60">
        <f>'03'!H108</f>
        <v>59.828645833333347</v>
      </c>
      <c r="I11" s="60">
        <f>'03'!I108</f>
        <v>1.0364383561643837</v>
      </c>
      <c r="J11" s="60">
        <f>'03'!J108</f>
        <v>0.36625000000000013</v>
      </c>
      <c r="K11" s="60">
        <f>'03'!K108</f>
        <v>227.21687499999996</v>
      </c>
      <c r="L11" s="60">
        <f>'03'!L108</f>
        <v>23.440937500000004</v>
      </c>
      <c r="M11" s="9" t="s">
        <v>36</v>
      </c>
      <c r="N11" s="60">
        <f>'03'!N108</f>
        <v>130.40312500000005</v>
      </c>
      <c r="O11" s="60">
        <f>'03'!O108</f>
        <v>0</v>
      </c>
      <c r="P11" s="201">
        <f>'03'!P108</f>
        <v>2.5239583333333333</v>
      </c>
      <c r="Q11" s="60">
        <f>'03'!Q108</f>
        <v>53.0546875</v>
      </c>
      <c r="R11" s="117"/>
      <c r="S11" s="117"/>
      <c r="T11" s="117"/>
      <c r="U11" s="117"/>
    </row>
    <row r="12" spans="1:21" x14ac:dyDescent="0.25">
      <c r="A12" s="93" t="str">
        <f>'04'!$B$2</f>
        <v>04-12-2022 00:15</v>
      </c>
      <c r="B12" s="60">
        <f>'04'!B108</f>
        <v>55.399999999999984</v>
      </c>
      <c r="C12" s="60">
        <f>'04'!C108</f>
        <v>27.598767123287679</v>
      </c>
      <c r="D12" s="60">
        <f>'04'!D108</f>
        <v>52.541250000000012</v>
      </c>
      <c r="E12" s="60">
        <f>'04'!E108</f>
        <v>4.6722916666666654</v>
      </c>
      <c r="F12" s="60">
        <f>'04'!F108</f>
        <v>1.6983333333333333</v>
      </c>
      <c r="G12" s="60">
        <f>'04'!G108</f>
        <v>137.69041666666669</v>
      </c>
      <c r="H12" s="60">
        <f>'04'!H108</f>
        <v>56.280833333333341</v>
      </c>
      <c r="I12" s="60">
        <f>'04'!I108</f>
        <v>0.90041095890410983</v>
      </c>
      <c r="J12" s="60">
        <f>'04'!J108</f>
        <v>0.6312500000000002</v>
      </c>
      <c r="K12" s="60">
        <f>'04'!K108</f>
        <v>261.43093749999986</v>
      </c>
      <c r="L12" s="60">
        <f>'04'!L108</f>
        <v>22.611666666666668</v>
      </c>
      <c r="M12" s="60">
        <f>'04'!M108</f>
        <v>44.833333333333336</v>
      </c>
      <c r="N12" s="60">
        <f>'04'!N108</f>
        <v>131.29062499999995</v>
      </c>
      <c r="O12" s="60">
        <f>'04'!O108</f>
        <v>0</v>
      </c>
      <c r="P12" s="201">
        <f>'04'!P108</f>
        <v>2.5123958333333314</v>
      </c>
      <c r="Q12" s="60">
        <f>'04'!Q108</f>
        <v>51.113789473684207</v>
      </c>
      <c r="R12" s="117"/>
      <c r="S12" s="117"/>
      <c r="T12" s="117"/>
      <c r="U12" s="117"/>
    </row>
    <row r="13" spans="1:21" x14ac:dyDescent="0.25">
      <c r="A13" s="93" t="str">
        <f>'05'!$B$2</f>
        <v>05-12-2022 00:15</v>
      </c>
      <c r="B13" s="60">
        <f>'05'!B108</f>
        <v>49.590625000000017</v>
      </c>
      <c r="C13" s="60">
        <f>'05'!C108</f>
        <v>26.248055555555549</v>
      </c>
      <c r="D13" s="60">
        <f>'05'!D108</f>
        <v>49.631979166666675</v>
      </c>
      <c r="E13" s="60">
        <f>'05'!E108</f>
        <v>5.0290624999999975</v>
      </c>
      <c r="F13" s="60">
        <f>'05'!F108</f>
        <v>2.2923958333333334</v>
      </c>
      <c r="G13" s="60">
        <f>'05'!G108</f>
        <v>124.42322916666662</v>
      </c>
      <c r="H13" s="60">
        <f>'05'!H108</f>
        <v>44.039374999999986</v>
      </c>
      <c r="I13" s="60">
        <f>'05'!I108</f>
        <v>0.77447916666666694</v>
      </c>
      <c r="J13" s="60">
        <f>'05'!J108</f>
        <v>0.34406249999999994</v>
      </c>
      <c r="K13" s="60">
        <f>'05'!K108</f>
        <v>225.94833333333335</v>
      </c>
      <c r="L13" s="60">
        <f>'05'!L108</f>
        <v>22.506249999999998</v>
      </c>
      <c r="M13" s="60">
        <f>'05'!M108</f>
        <v>55.78125</v>
      </c>
      <c r="N13" s="60">
        <f>'05'!N108</f>
        <v>132.48854166666669</v>
      </c>
      <c r="O13" s="60">
        <f>'05'!O108</f>
        <v>0</v>
      </c>
      <c r="P13" s="201">
        <f>'05'!P108</f>
        <v>2.1018750000000002</v>
      </c>
      <c r="Q13" s="60">
        <f>'05'!Q108</f>
        <v>47.233437500000008</v>
      </c>
      <c r="R13" s="117"/>
      <c r="S13" s="117"/>
      <c r="T13" s="117"/>
      <c r="U13" s="117"/>
    </row>
    <row r="14" spans="1:21" x14ac:dyDescent="0.25">
      <c r="A14" s="93" t="str">
        <f>'06'!$B$2</f>
        <v>06-12-2022 00:15</v>
      </c>
      <c r="B14" s="60">
        <f>'06'!B108</f>
        <v>34.735104166666659</v>
      </c>
      <c r="C14" s="60">
        <f>'06'!C108</f>
        <v>26.471529411764706</v>
      </c>
      <c r="D14" s="60">
        <f>'06'!D108</f>
        <v>40.591666666666669</v>
      </c>
      <c r="E14" s="60">
        <f>'06'!E108</f>
        <v>4.2402083333333316</v>
      </c>
      <c r="F14" s="60">
        <f>'06'!F108</f>
        <v>2.2934375</v>
      </c>
      <c r="G14" s="60">
        <f>'06'!G108</f>
        <v>81.866874999999965</v>
      </c>
      <c r="H14" s="60">
        <f>'06'!H108</f>
        <v>31.45343750000001</v>
      </c>
      <c r="I14" s="60">
        <f>'06'!I108</f>
        <v>0.65114583333333331</v>
      </c>
      <c r="J14" s="60">
        <f>'06'!J108</f>
        <v>0.45927083333333324</v>
      </c>
      <c r="K14" s="60">
        <f>'06'!K108</f>
        <v>131.5779166666666</v>
      </c>
      <c r="L14" s="60">
        <f>'06'!L108</f>
        <v>22.475312500000005</v>
      </c>
      <c r="M14" s="60">
        <f>'06'!M108</f>
        <v>48.395833333333336</v>
      </c>
      <c r="N14" s="60">
        <f>'06'!N108</f>
        <v>139.63125000000002</v>
      </c>
      <c r="O14" s="60">
        <f>'06'!O108</f>
        <v>0</v>
      </c>
      <c r="P14" s="201">
        <f>'06'!P108</f>
        <v>1.6751041666666664</v>
      </c>
      <c r="Q14" s="60">
        <f>'06'!Q108</f>
        <v>44.155208333333327</v>
      </c>
      <c r="R14" s="117"/>
      <c r="S14" s="117"/>
      <c r="T14" s="117"/>
      <c r="U14" s="117"/>
    </row>
    <row r="15" spans="1:21" x14ac:dyDescent="0.25">
      <c r="A15" s="93" t="str">
        <f>'07'!$B$2</f>
        <v>07-12-2022 00:15</v>
      </c>
      <c r="B15" s="60">
        <f>'07'!B108</f>
        <v>35.728020833333325</v>
      </c>
      <c r="C15" s="60">
        <f>'07'!C108</f>
        <v>28.035542168674695</v>
      </c>
      <c r="D15" s="60">
        <f>'07'!D108</f>
        <v>41.092083333333328</v>
      </c>
      <c r="E15" s="60">
        <f>'07'!E108</f>
        <v>4.4586458333333345</v>
      </c>
      <c r="F15" s="60">
        <f>'07'!F108</f>
        <v>1.2483333333333333</v>
      </c>
      <c r="G15" s="99">
        <f>'07'!$G$108</f>
        <v>97.418125000000018</v>
      </c>
      <c r="H15" s="60">
        <f>'07'!H108</f>
        <v>35.375729166666652</v>
      </c>
      <c r="I15" s="60">
        <f>'07'!I108</f>
        <v>0.75776315789473681</v>
      </c>
      <c r="J15" s="60">
        <f>'07'!J108</f>
        <v>0.54343749999999991</v>
      </c>
      <c r="K15" s="60">
        <f>'07'!K108</f>
        <v>99.350104166666668</v>
      </c>
      <c r="L15" s="60">
        <f>'07'!L108</f>
        <v>20.800416666666671</v>
      </c>
      <c r="M15" s="60">
        <f>'07'!M108</f>
        <v>50.010416666666664</v>
      </c>
      <c r="N15" s="60">
        <f>'07'!N108</f>
        <v>134.34687500000004</v>
      </c>
      <c r="O15" s="60">
        <f>'07'!O108</f>
        <v>0</v>
      </c>
      <c r="P15" s="201">
        <f>'07'!P108</f>
        <v>1.7927083333333333</v>
      </c>
      <c r="Q15" s="60">
        <f>'07'!Q108</f>
        <v>43.874687499999986</v>
      </c>
      <c r="R15" s="117"/>
      <c r="S15" s="117"/>
      <c r="T15" s="117"/>
      <c r="U15" s="117"/>
    </row>
    <row r="16" spans="1:21" x14ac:dyDescent="0.25">
      <c r="A16" s="93" t="str">
        <f>'08'!$B$2</f>
        <v>08-12-2022 00:15</v>
      </c>
      <c r="B16" s="60">
        <f>'08'!B108</f>
        <v>34.635104166666672</v>
      </c>
      <c r="C16" s="60">
        <f>'08'!C108</f>
        <v>49.15760416666668</v>
      </c>
      <c r="D16" s="60">
        <f>'08'!D108</f>
        <v>54.903229166666669</v>
      </c>
      <c r="E16" s="60">
        <f>'08'!E108</f>
        <v>7.5593749999999966</v>
      </c>
      <c r="F16" s="60">
        <f>'08'!F108</f>
        <v>2.2721875000000002</v>
      </c>
      <c r="G16" s="99">
        <f>'08'!$G$108</f>
        <v>100.9206451612903</v>
      </c>
      <c r="H16" s="60">
        <f>'08'!H108</f>
        <v>38.595161290322594</v>
      </c>
      <c r="I16" s="60">
        <f>'08'!I108</f>
        <v>0.69537313432835823</v>
      </c>
      <c r="J16" s="60">
        <f>'08'!J108</f>
        <v>0.62583333333333346</v>
      </c>
      <c r="K16" s="60">
        <f>'08'!K108</f>
        <v>72.818437500000016</v>
      </c>
      <c r="L16" s="60">
        <f>'08'!L108</f>
        <v>19.782083333333333</v>
      </c>
      <c r="M16" s="60">
        <f>'08'!M108</f>
        <v>46.28125</v>
      </c>
      <c r="N16" s="60">
        <f>'08'!N108</f>
        <v>124.36562499999997</v>
      </c>
      <c r="O16" s="60">
        <f>'08'!O108</f>
        <v>0</v>
      </c>
      <c r="P16" s="201">
        <f>'08'!P108</f>
        <v>1.7817708333333335</v>
      </c>
      <c r="Q16" s="60">
        <f>'08'!Q108</f>
        <v>37.53406249999999</v>
      </c>
      <c r="R16" s="117"/>
      <c r="S16" s="117"/>
      <c r="T16" s="117"/>
      <c r="U16" s="117"/>
    </row>
    <row r="17" spans="1:21" x14ac:dyDescent="0.25">
      <c r="A17" s="93" t="str">
        <f>'09'!$B$2</f>
        <v>09-12-2022 00:15</v>
      </c>
      <c r="B17" s="60">
        <f>'09'!B108</f>
        <v>24.577812500000007</v>
      </c>
      <c r="C17" s="60">
        <f>'09'!C108</f>
        <v>73.444468085106408</v>
      </c>
      <c r="D17" s="60">
        <f>'09'!D108</f>
        <v>59.992499999999986</v>
      </c>
      <c r="E17" s="60">
        <f>'09'!E108</f>
        <v>6.4182291666666691</v>
      </c>
      <c r="F17" s="60">
        <f>'09'!F108</f>
        <v>2.0576041666666671</v>
      </c>
      <c r="G17" s="99">
        <f>'09'!$G$108</f>
        <v>87.527272727272702</v>
      </c>
      <c r="H17" s="60">
        <f>'09'!H108</f>
        <v>31.781770833333329</v>
      </c>
      <c r="I17" s="60">
        <f>'09'!I108</f>
        <v>0.51770833333333333</v>
      </c>
      <c r="J17" s="60">
        <f>'09'!J108</f>
        <v>0.58833333333333349</v>
      </c>
      <c r="K17" s="60">
        <f>'09'!K108</f>
        <v>73.338020833333346</v>
      </c>
      <c r="L17" s="60">
        <f>'09'!L108</f>
        <v>20.28958333333334</v>
      </c>
      <c r="M17" s="60">
        <f>'09'!M108</f>
        <v>47.854166666666664</v>
      </c>
      <c r="N17" s="60">
        <f>'09'!N108</f>
        <v>132.07604166666667</v>
      </c>
      <c r="O17" s="60">
        <f>'09'!O108</f>
        <v>0</v>
      </c>
      <c r="P17" s="201">
        <f>'09'!P108</f>
        <v>1.4548958333333335</v>
      </c>
      <c r="Q17" s="60">
        <f>'09'!Q108</f>
        <v>39.158124999999998</v>
      </c>
      <c r="R17" s="117"/>
      <c r="S17" s="117"/>
      <c r="T17" s="117"/>
      <c r="U17" s="117"/>
    </row>
    <row r="18" spans="1:21" x14ac:dyDescent="0.25">
      <c r="A18" s="93" t="str">
        <f>'10'!$B$2</f>
        <v>10-12-2022 00:15</v>
      </c>
      <c r="B18" s="60">
        <f>'10'!B108</f>
        <v>10.414895833333333</v>
      </c>
      <c r="C18" s="60">
        <f>'10'!C108</f>
        <v>76.984895833333312</v>
      </c>
      <c r="D18" s="60">
        <f>'10'!D108</f>
        <v>50.837916666666644</v>
      </c>
      <c r="E18" s="60">
        <f>'10'!E108</f>
        <v>5.2827083333333347</v>
      </c>
      <c r="F18" s="60">
        <f>'10'!F108</f>
        <v>1.4239583333333332</v>
      </c>
      <c r="G18" s="100">
        <f>'10'!$G$108</f>
        <v>78.520624999999981</v>
      </c>
      <c r="H18" s="60">
        <f>'10'!H108</f>
        <v>33.058437500000011</v>
      </c>
      <c r="I18" s="60">
        <f>'10'!I108</f>
        <v>0.49489583333333348</v>
      </c>
      <c r="J18" s="60">
        <f>'10'!J108</f>
        <v>0.60239583333333335</v>
      </c>
      <c r="K18" s="60">
        <f>'10'!K108</f>
        <v>67.699166666666656</v>
      </c>
      <c r="L18" s="60">
        <f>'10'!L108</f>
        <v>21.470000000000002</v>
      </c>
      <c r="M18" s="60">
        <f>'10'!M108</f>
        <v>50.4375</v>
      </c>
      <c r="N18" s="60">
        <f>'10'!N108</f>
        <v>73.8020833333333</v>
      </c>
      <c r="O18" s="60">
        <f>'10'!O108</f>
        <v>0</v>
      </c>
      <c r="P18" s="201">
        <f>'10'!P108</f>
        <v>1.4859375000000001</v>
      </c>
      <c r="Q18" s="60">
        <f>'10'!Q108</f>
        <v>42.013854166666654</v>
      </c>
      <c r="R18" s="117"/>
      <c r="S18" s="117"/>
      <c r="T18" s="117"/>
      <c r="U18" s="117"/>
    </row>
    <row r="19" spans="1:21" x14ac:dyDescent="0.25">
      <c r="A19" s="93" t="str">
        <f>'11'!$B$2</f>
        <v>11-12-2022 00:15</v>
      </c>
      <c r="B19" s="60">
        <f>'11'!B108</f>
        <v>12.479999999999992</v>
      </c>
      <c r="C19" s="60">
        <f>'11'!C108</f>
        <v>81.456354166666685</v>
      </c>
      <c r="D19" s="60">
        <f>'11'!D108</f>
        <v>54.962708333333296</v>
      </c>
      <c r="E19" s="60">
        <f>'11'!E108</f>
        <v>6.2544791666666697</v>
      </c>
      <c r="F19" s="60">
        <f>'11'!F108</f>
        <v>1.3056249999999998</v>
      </c>
      <c r="G19" s="98">
        <f>'11'!$G$108</f>
        <v>87.790312500000013</v>
      </c>
      <c r="H19" s="60">
        <f>'11'!H108</f>
        <v>36.777187499999989</v>
      </c>
      <c r="I19" s="60">
        <f>'11'!I108</f>
        <v>0.46864583333333343</v>
      </c>
      <c r="J19" s="60">
        <f>'11'!J108</f>
        <v>0.64666666666666661</v>
      </c>
      <c r="K19" s="60">
        <f>'11'!K108</f>
        <v>126.60385416666669</v>
      </c>
      <c r="L19" s="60">
        <f>'11'!L108</f>
        <v>23.547604166666673</v>
      </c>
      <c r="M19" s="60">
        <f>'11'!M108</f>
        <v>57.239583333333336</v>
      </c>
      <c r="N19" s="60">
        <f>'11'!N108</f>
        <v>76.685416666666669</v>
      </c>
      <c r="O19" s="60">
        <f>'11'!O108</f>
        <v>0</v>
      </c>
      <c r="P19" s="201">
        <f>'11'!P108</f>
        <v>1.7341666666666669</v>
      </c>
      <c r="Q19" s="60">
        <f>'11'!Q108</f>
        <v>43.720729166666665</v>
      </c>
      <c r="R19" s="117"/>
      <c r="S19" s="117"/>
      <c r="T19" s="117"/>
      <c r="U19" s="117"/>
    </row>
    <row r="20" spans="1:21" x14ac:dyDescent="0.25">
      <c r="A20" s="93" t="str">
        <f>'12'!$B$2</f>
        <v>12-12-2022 00:15</v>
      </c>
      <c r="B20" s="60">
        <f>'12'!B108</f>
        <v>25.255520833333332</v>
      </c>
      <c r="C20" s="60">
        <f>'12'!C108</f>
        <v>85.390625000000014</v>
      </c>
      <c r="D20" s="60">
        <f>'12'!D108</f>
        <v>67.378124999999969</v>
      </c>
      <c r="E20" s="60">
        <f>'12'!E108</f>
        <v>9.4249999999999972</v>
      </c>
      <c r="F20" s="60">
        <f>'12'!F108</f>
        <v>15.489375000000003</v>
      </c>
      <c r="G20" s="100">
        <f>'12'!$G$108</f>
        <v>93.776562499999969</v>
      </c>
      <c r="H20" s="60">
        <f>'12'!H108</f>
        <v>32.855312499999982</v>
      </c>
      <c r="I20" s="60">
        <f>'12'!I108</f>
        <v>0.57708333333333328</v>
      </c>
      <c r="J20" s="60">
        <f>'12'!J108</f>
        <v>0.34854166666666669</v>
      </c>
      <c r="K20" s="60">
        <f>'12'!K108</f>
        <v>151.73854166666669</v>
      </c>
      <c r="L20" s="60">
        <f>'12'!L108</f>
        <v>25.196041666666673</v>
      </c>
      <c r="M20" s="60">
        <f>'12'!M108</f>
        <v>58.520833333333336</v>
      </c>
      <c r="N20" s="60">
        <f>'12'!N108</f>
        <v>97.512499999999974</v>
      </c>
      <c r="O20" s="60">
        <f>'12'!O108</f>
        <v>0</v>
      </c>
      <c r="P20" s="201">
        <f>'12'!P108</f>
        <v>1.9777083333333341</v>
      </c>
      <c r="Q20" s="60">
        <f>'12'!Q108</f>
        <v>44.602812499999999</v>
      </c>
      <c r="R20" s="117"/>
      <c r="S20" s="117"/>
      <c r="T20" s="117"/>
      <c r="U20" s="117"/>
    </row>
    <row r="21" spans="1:21" s="88" customFormat="1" x14ac:dyDescent="0.25">
      <c r="A21" s="93" t="str">
        <f>'13'!$B$2</f>
        <v>13-12-2022 00:15</v>
      </c>
      <c r="B21" s="90">
        <f>'13'!B108</f>
        <v>28.552291666666672</v>
      </c>
      <c r="C21" s="90">
        <f>'13'!C108</f>
        <v>86.053333333333342</v>
      </c>
      <c r="D21" s="90">
        <f>'13'!D108</f>
        <v>70.387812499999995</v>
      </c>
      <c r="E21" s="90">
        <f>'13'!E108</f>
        <v>8.0308333333333355</v>
      </c>
      <c r="F21" s="90">
        <f>'13'!F108</f>
        <v>1.595729166666666</v>
      </c>
      <c r="G21" s="99">
        <f>'13'!$G$108</f>
        <v>82.56624999999994</v>
      </c>
      <c r="H21" s="90">
        <f>'13'!H108</f>
        <v>31.931354166666662</v>
      </c>
      <c r="I21" s="90">
        <f>'13'!I108</f>
        <v>0.60052083333333328</v>
      </c>
      <c r="J21" s="90">
        <f>'13'!J108</f>
        <v>0.65052083333333355</v>
      </c>
      <c r="K21" s="90">
        <f>'13'!K108</f>
        <v>56.022708333333298</v>
      </c>
      <c r="L21" s="90">
        <f>'13'!L108</f>
        <v>26.695937499999985</v>
      </c>
      <c r="M21" s="90">
        <f>'13'!M108</f>
        <v>43.739583333333336</v>
      </c>
      <c r="N21" s="90">
        <f>'13'!N108</f>
        <v>115.03437499999995</v>
      </c>
      <c r="O21" s="90">
        <f>'13'!O108</f>
        <v>0</v>
      </c>
      <c r="P21" s="202">
        <f>'13'!P108</f>
        <v>1.8145833333333339</v>
      </c>
      <c r="Q21" s="90">
        <f>'13'!Q108</f>
        <v>48.572083333333332</v>
      </c>
      <c r="R21" s="204"/>
      <c r="S21" s="204"/>
      <c r="T21" s="204"/>
      <c r="U21" s="204"/>
    </row>
    <row r="22" spans="1:21" s="88" customFormat="1" x14ac:dyDescent="0.25">
      <c r="A22" s="93" t="str">
        <f>'14'!$B$2</f>
        <v>14-12-2022 00:15</v>
      </c>
      <c r="B22" s="89">
        <f>'14'!B108</f>
        <v>18.450312499999995</v>
      </c>
      <c r="C22" s="89">
        <f>'14'!C108</f>
        <v>77.033541666666665</v>
      </c>
      <c r="D22" s="89">
        <f>'14'!D108</f>
        <v>57.308541666666649</v>
      </c>
      <c r="E22" s="89">
        <f>'14'!E108</f>
        <v>7.3736458333333337</v>
      </c>
      <c r="F22" s="89">
        <f>'14'!F108</f>
        <v>2.6473958333333347</v>
      </c>
      <c r="G22" s="99">
        <f>'14'!$G$108</f>
        <v>53.343750000000007</v>
      </c>
      <c r="H22" s="99">
        <f>'14'!$G$108</f>
        <v>53.343750000000007</v>
      </c>
      <c r="I22" s="89">
        <f>'14'!I108</f>
        <v>0.44427083333333345</v>
      </c>
      <c r="J22" s="89">
        <f>'14'!J108</f>
        <v>0.4685416666666668</v>
      </c>
      <c r="K22" s="89">
        <f>'14'!K108</f>
        <v>85.256041666666661</v>
      </c>
      <c r="L22" s="89">
        <f>'14'!L108</f>
        <v>26.190520833333323</v>
      </c>
      <c r="M22" s="89">
        <f>'14'!M108</f>
        <v>41.5</v>
      </c>
      <c r="N22" s="89">
        <f>'14'!N108</f>
        <v>130.67499999999998</v>
      </c>
      <c r="O22" s="89">
        <f>'14'!O108</f>
        <v>0</v>
      </c>
      <c r="P22" s="203">
        <f>'14'!P108</f>
        <v>1.2457291666666668</v>
      </c>
      <c r="Q22" s="89">
        <f>'14'!Q108</f>
        <v>42.150208333333346</v>
      </c>
      <c r="R22" s="205"/>
      <c r="S22" s="205"/>
      <c r="T22" s="205"/>
      <c r="U22" s="205"/>
    </row>
    <row r="23" spans="1:21" x14ac:dyDescent="0.25">
      <c r="A23" s="93" t="str">
        <f>'15'!$B$2</f>
        <v>15-12-2022 00:15</v>
      </c>
      <c r="B23" s="60">
        <f>'15'!B108</f>
        <v>42.519375000000004</v>
      </c>
      <c r="C23" s="60">
        <f>'15'!C108</f>
        <v>89.428541666666675</v>
      </c>
      <c r="D23" s="60">
        <f>'15'!D108</f>
        <v>83.450312500000024</v>
      </c>
      <c r="E23" s="60">
        <f>'15'!E108</f>
        <v>6.0837499999999993</v>
      </c>
      <c r="F23" s="60">
        <f>'15'!F108</f>
        <v>1.680312500000001</v>
      </c>
      <c r="G23" s="99">
        <f>'15'!$G$108</f>
        <v>90.822812499999927</v>
      </c>
      <c r="H23" s="60">
        <f>'15'!H108</f>
        <v>24.421770833333337</v>
      </c>
      <c r="I23" s="60">
        <f>'15'!I108</f>
        <v>0.67385416666666664</v>
      </c>
      <c r="J23" s="60">
        <f>'15'!J108</f>
        <v>0.30781249999999988</v>
      </c>
      <c r="K23" s="60">
        <f>'15'!K108</f>
        <v>122.7475</v>
      </c>
      <c r="L23" s="60">
        <f>'15'!L108</f>
        <v>25.29624999999999</v>
      </c>
      <c r="M23" s="60">
        <f>'15'!M108</f>
        <v>44.302083333333336</v>
      </c>
      <c r="N23" s="60">
        <f>'15'!N108</f>
        <v>115.421875</v>
      </c>
      <c r="O23" s="60">
        <f>'15'!O108</f>
        <v>0</v>
      </c>
      <c r="P23" s="201">
        <f>'15'!P108</f>
        <v>1.7701041666666664</v>
      </c>
      <c r="Q23" s="60">
        <f>'15'!Q108</f>
        <v>47.258437500000007</v>
      </c>
      <c r="R23" s="117"/>
      <c r="S23" s="117"/>
      <c r="T23" s="117"/>
      <c r="U23" s="117"/>
    </row>
    <row r="24" spans="1:21" x14ac:dyDescent="0.25">
      <c r="A24" s="93" t="str">
        <f>'16'!$B$2</f>
        <v>16-12-2022 00:15</v>
      </c>
      <c r="B24" s="60">
        <f>'16'!B108</f>
        <v>51.948854166666671</v>
      </c>
      <c r="C24" s="60">
        <f>'16'!C108</f>
        <v>93.641979166666701</v>
      </c>
      <c r="D24" s="60">
        <f>'16'!D108</f>
        <v>93.337604166666679</v>
      </c>
      <c r="E24" s="60">
        <f>'16'!E108</f>
        <v>5.671875</v>
      </c>
      <c r="F24" s="60">
        <f>'16'!F108</f>
        <v>1.4221875000000004</v>
      </c>
      <c r="G24" s="99">
        <f>'16'!$G$108</f>
        <v>84.145937500000002</v>
      </c>
      <c r="H24" s="60">
        <f>'16'!H108</f>
        <v>26.686770833333345</v>
      </c>
      <c r="I24" s="60">
        <f>'16'!I108</f>
        <v>0.85104166666666681</v>
      </c>
      <c r="J24" s="60">
        <f>'16'!J108</f>
        <v>0.4557894736842108</v>
      </c>
      <c r="K24" s="60">
        <f>'16'!K108</f>
        <v>134.7182291666667</v>
      </c>
      <c r="L24" s="60">
        <f>'16'!L108</f>
        <v>24.714687499999993</v>
      </c>
      <c r="M24" s="60">
        <f>'16'!M108</f>
        <v>51.489583333333336</v>
      </c>
      <c r="N24" s="60">
        <f>'16'!N108</f>
        <v>124.69479166666673</v>
      </c>
      <c r="O24" s="60">
        <f>'16'!O108</f>
        <v>0</v>
      </c>
      <c r="P24" s="201">
        <f>'16'!P108</f>
        <v>2.1527083333333334</v>
      </c>
      <c r="Q24" s="60">
        <f>'16'!Q108</f>
        <v>46.852187500000007</v>
      </c>
      <c r="R24" s="117"/>
      <c r="S24" s="117"/>
      <c r="T24" s="117"/>
      <c r="U24" s="117"/>
    </row>
    <row r="25" spans="1:21" x14ac:dyDescent="0.25">
      <c r="A25" s="93" t="str">
        <f>'17'!$B$2</f>
        <v>17-12-2022 00:15</v>
      </c>
      <c r="B25" s="60">
        <f>'17'!B108</f>
        <v>31.131666666666671</v>
      </c>
      <c r="C25" s="60">
        <f>'17'!C108</f>
        <v>89.523854166666695</v>
      </c>
      <c r="D25" s="60">
        <f>'17'!D108</f>
        <v>74.371354166666663</v>
      </c>
      <c r="E25" s="60">
        <f>'17'!E108</f>
        <v>6.149583333333335</v>
      </c>
      <c r="F25" s="60">
        <f>'17'!F108</f>
        <v>2.2380208333333331</v>
      </c>
      <c r="G25" s="100">
        <f>'17'!$G$108</f>
        <v>70.866266666666689</v>
      </c>
      <c r="H25" s="60">
        <f>'17'!H108</f>
        <v>24.885866666666669</v>
      </c>
      <c r="I25" s="60">
        <f>'17'!I108</f>
        <v>0.55187500000000023</v>
      </c>
      <c r="J25" s="60">
        <f>'17'!J108</f>
        <v>0.51208333333333356</v>
      </c>
      <c r="K25" s="60">
        <f>'17'!K108</f>
        <v>67.93854166666668</v>
      </c>
      <c r="L25" s="60">
        <f>'17'!L108</f>
        <v>23.975208333333331</v>
      </c>
      <c r="M25" s="60">
        <f>'17'!M108</f>
        <v>41.09375</v>
      </c>
      <c r="N25" s="60">
        <f>'17'!N108</f>
        <v>130.34479166666662</v>
      </c>
      <c r="O25" s="60">
        <f>'17'!O108</f>
        <v>0</v>
      </c>
      <c r="P25" s="201">
        <f>'17'!P108</f>
        <v>1.6842708333333338</v>
      </c>
      <c r="Q25" s="60">
        <f>'17'!Q108</f>
        <v>38.61843750000002</v>
      </c>
      <c r="R25" s="117"/>
      <c r="S25" s="117"/>
      <c r="T25" s="117"/>
      <c r="U25" s="117"/>
    </row>
    <row r="26" spans="1:21" x14ac:dyDescent="0.25">
      <c r="A26" s="93" t="str">
        <f>'18'!$B$2</f>
        <v>18-12-2022 00:15</v>
      </c>
      <c r="B26" s="60">
        <f>'18'!B108</f>
        <v>29.315208333333327</v>
      </c>
      <c r="C26" s="60">
        <f>'18'!C108</f>
        <v>87.403229166666662</v>
      </c>
      <c r="D26" s="60">
        <f>'18'!D108</f>
        <v>71.744270833333346</v>
      </c>
      <c r="E26" s="60">
        <f>'18'!E108</f>
        <v>6.8794791666666688</v>
      </c>
      <c r="F26" s="60">
        <f>'18'!F108</f>
        <v>1.1481250000000001</v>
      </c>
      <c r="G26" s="98">
        <f>'18'!$G$108</f>
        <v>151.21959999999999</v>
      </c>
      <c r="H26" s="60">
        <f>'18'!H108</f>
        <v>36.529166666666661</v>
      </c>
      <c r="I26" s="60">
        <f>'18'!I108</f>
        <v>0.46104166666666679</v>
      </c>
      <c r="J26" s="60">
        <f>'18'!J108</f>
        <v>0.53437500000000027</v>
      </c>
      <c r="K26" s="60">
        <f>'18'!K108</f>
        <v>82.199895833333315</v>
      </c>
      <c r="L26" s="60">
        <f>'18'!L108</f>
        <v>21.2425</v>
      </c>
      <c r="M26" s="60">
        <f>'18'!M108</f>
        <v>42.260416666666664</v>
      </c>
      <c r="N26" s="60">
        <f>'18'!N108</f>
        <v>134.17916666666667</v>
      </c>
      <c r="O26" s="60">
        <f>'18'!O108</f>
        <v>0</v>
      </c>
      <c r="P26" s="201">
        <f>'18'!P108</f>
        <v>1.4864583333333334</v>
      </c>
      <c r="Q26" s="60">
        <f>'18'!Q108</f>
        <v>39.718229166666674</v>
      </c>
      <c r="R26" s="117"/>
      <c r="S26" s="117"/>
      <c r="T26" s="117"/>
      <c r="U26" s="117"/>
    </row>
    <row r="27" spans="1:21" x14ac:dyDescent="0.25">
      <c r="A27" s="93" t="str">
        <f>'19'!$B$2</f>
        <v>19-12-2022 00:15</v>
      </c>
      <c r="B27" s="60">
        <f>'19'!B108</f>
        <v>53.779062499999988</v>
      </c>
      <c r="C27" s="60">
        <f>'19'!C108</f>
        <v>101.83875</v>
      </c>
      <c r="D27" s="60">
        <f>'19'!D108</f>
        <v>106.98062500000002</v>
      </c>
      <c r="E27" s="60">
        <f>'19'!E108</f>
        <v>11.089687500000002</v>
      </c>
      <c r="F27" s="60">
        <f>'19'!F108</f>
        <v>9.372812500000002</v>
      </c>
      <c r="G27" s="60">
        <f>'19'!G108</f>
        <v>108.7691397849462</v>
      </c>
      <c r="H27" s="60">
        <f>'19'!H108</f>
        <v>43.725806451612911</v>
      </c>
      <c r="I27" s="60">
        <f>'19'!I108</f>
        <v>0.62281249999999988</v>
      </c>
      <c r="J27" s="60">
        <f>'19'!J108</f>
        <v>0.37489583333333337</v>
      </c>
      <c r="K27" s="60">
        <f>'19'!K108</f>
        <v>160.66239583333331</v>
      </c>
      <c r="L27" s="60">
        <f>'19'!L108</f>
        <v>20.748750000000001</v>
      </c>
      <c r="M27" s="60">
        <f>'19'!M108</f>
        <v>46.3125</v>
      </c>
      <c r="N27" s="60">
        <f>'19'!N108</f>
        <v>129.26979166666663</v>
      </c>
      <c r="O27" s="60">
        <f>'19'!O108</f>
        <v>0</v>
      </c>
      <c r="P27" s="201">
        <f>'19'!P108</f>
        <v>2.1231250000000004</v>
      </c>
      <c r="Q27" s="60">
        <f>'19'!Q108</f>
        <v>39.237395833333331</v>
      </c>
      <c r="R27" s="117"/>
      <c r="S27" s="117"/>
      <c r="T27" s="117"/>
      <c r="U27" s="117"/>
    </row>
    <row r="28" spans="1:21" x14ac:dyDescent="0.25">
      <c r="A28" s="93" t="str">
        <f>'20'!$B$2</f>
        <v>20-12-2022 00:15</v>
      </c>
      <c r="B28" s="60">
        <f>'20'!B108</f>
        <v>72.052187500000002</v>
      </c>
      <c r="C28" s="60">
        <f>'20'!C108</f>
        <v>114.38031250000002</v>
      </c>
      <c r="D28" s="60">
        <f>'20'!D108</f>
        <v>120.90499999999993</v>
      </c>
      <c r="E28" s="60">
        <f>'20'!E108</f>
        <v>6.330520833333332</v>
      </c>
      <c r="F28" s="60">
        <f>'20'!F108</f>
        <v>1.3489583333333333</v>
      </c>
      <c r="G28" s="60">
        <f>'20'!G108</f>
        <v>140.09479166666674</v>
      </c>
      <c r="H28" s="60">
        <f>'20'!H108</f>
        <v>66.330520833333324</v>
      </c>
      <c r="I28" s="60">
        <f>'20'!I108</f>
        <v>0.77635416666666657</v>
      </c>
      <c r="J28" s="60">
        <f>'20'!J108</f>
        <v>0.27343750000000011</v>
      </c>
      <c r="K28" s="60">
        <f>'20'!K108</f>
        <v>168.42072916666669</v>
      </c>
      <c r="L28" s="60">
        <f>'20'!L108</f>
        <v>21.810104166666665</v>
      </c>
      <c r="M28" s="60">
        <f>'20'!M108</f>
        <v>50.520833333333336</v>
      </c>
      <c r="N28" s="60">
        <f>'20'!N108</f>
        <v>118.36562500000004</v>
      </c>
      <c r="O28" s="60">
        <f>'20'!O108</f>
        <v>0</v>
      </c>
      <c r="P28" s="201">
        <f>'20'!P108</f>
        <v>2.5626041666666661</v>
      </c>
      <c r="Q28" s="60">
        <f>'20'!Q108</f>
        <v>46.474166666666683</v>
      </c>
      <c r="R28" s="117"/>
      <c r="S28" s="117"/>
      <c r="T28" s="117"/>
      <c r="U28" s="117"/>
    </row>
    <row r="29" spans="1:21" x14ac:dyDescent="0.25">
      <c r="A29" s="93" t="str">
        <f>'21'!$B$2</f>
        <v>21-12-2022 00:15</v>
      </c>
      <c r="B29" s="60">
        <f>'21'!B108</f>
        <v>72.186562500000022</v>
      </c>
      <c r="C29" s="60">
        <f>'21'!C108</f>
        <v>111.66187499999995</v>
      </c>
      <c r="D29" s="60">
        <f>'21'!D108</f>
        <v>119.51166666666667</v>
      </c>
      <c r="E29" s="60">
        <f>'21'!E108</f>
        <v>6.6292708333333366</v>
      </c>
      <c r="F29" s="60">
        <f>'21'!F108</f>
        <v>2.2286315789473687</v>
      </c>
      <c r="G29" s="60">
        <f>'21'!G108</f>
        <v>134.65791666666669</v>
      </c>
      <c r="H29" s="60">
        <f>'21'!H108</f>
        <v>60.217395833333363</v>
      </c>
      <c r="I29" s="60">
        <f>'21'!I108</f>
        <v>0.73927083333333332</v>
      </c>
      <c r="J29" s="60">
        <f>'21'!J108</f>
        <v>0.41052083333333339</v>
      </c>
      <c r="K29" s="60">
        <f>'21'!K108</f>
        <v>150.95666666666671</v>
      </c>
      <c r="L29" s="60">
        <f>'21'!L108</f>
        <v>21.618958333333339</v>
      </c>
      <c r="M29" s="60">
        <f>'21'!M108</f>
        <v>47.65625</v>
      </c>
      <c r="N29" s="60">
        <f>'21'!N108</f>
        <v>124.84583333333335</v>
      </c>
      <c r="O29" s="60">
        <f>'21'!O108</f>
        <v>0</v>
      </c>
      <c r="P29" s="201">
        <f>'21'!P108</f>
        <v>2.5046875000000006</v>
      </c>
      <c r="Q29" s="60">
        <f>'21'!Q108</f>
        <v>41.92114583333332</v>
      </c>
      <c r="R29" s="117"/>
      <c r="S29" s="117"/>
      <c r="T29" s="117"/>
      <c r="U29" s="117"/>
    </row>
    <row r="30" spans="1:21" x14ac:dyDescent="0.25">
      <c r="A30" s="93" t="str">
        <f>'22'!$B$2</f>
        <v>22-12-2022 00:15</v>
      </c>
      <c r="B30" s="60">
        <f>'22'!B108</f>
        <v>72.098645833333308</v>
      </c>
      <c r="C30" s="60">
        <f>'22'!C108</f>
        <v>112.93510416666665</v>
      </c>
      <c r="D30" s="60">
        <f>'22'!D108</f>
        <v>120.14354166666664</v>
      </c>
      <c r="E30" s="60">
        <f>'22'!E108</f>
        <v>8.1713541666666654</v>
      </c>
      <c r="F30" s="60">
        <f>'22'!F108</f>
        <v>1.6373958333333327</v>
      </c>
      <c r="G30" s="60">
        <f>'22'!G108</f>
        <v>109.03875000000004</v>
      </c>
      <c r="H30" s="60">
        <f>'22'!H108</f>
        <v>54.291666666666607</v>
      </c>
      <c r="I30" s="60">
        <f>'22'!I108</f>
        <v>0.7431249999999997</v>
      </c>
      <c r="J30" s="60">
        <f>'22'!J108</f>
        <v>0.35812500000000003</v>
      </c>
      <c r="K30" s="60">
        <f>'22'!K108</f>
        <v>153.42864583333338</v>
      </c>
      <c r="L30" s="60">
        <f>'22'!L108</f>
        <v>21.71937500000001</v>
      </c>
      <c r="M30" s="60">
        <f>'22'!M108</f>
        <v>43.458333333333336</v>
      </c>
      <c r="N30" s="60">
        <f>'22'!N108</f>
        <v>123.88437499999999</v>
      </c>
      <c r="O30" s="60">
        <f>'22'!O108</f>
        <v>0</v>
      </c>
      <c r="P30" s="201">
        <f>'22'!P108</f>
        <v>2.2703124999999997</v>
      </c>
      <c r="Q30" s="60">
        <f>'22'!Q108</f>
        <v>40.572499999999991</v>
      </c>
      <c r="R30" s="117"/>
      <c r="S30" s="117"/>
      <c r="T30" s="117"/>
      <c r="U30" s="117"/>
    </row>
    <row r="31" spans="1:21" x14ac:dyDescent="0.25">
      <c r="A31" s="93" t="str">
        <f>'23'!$B$2</f>
        <v>23-12-2022 00:15</v>
      </c>
      <c r="B31" s="60">
        <f>'23'!B108</f>
        <v>36.692291666666677</v>
      </c>
      <c r="C31" s="60">
        <f>'23'!C108</f>
        <v>95.529375000000002</v>
      </c>
      <c r="D31" s="60">
        <f>'23'!D108</f>
        <v>82.144999999999968</v>
      </c>
      <c r="E31" s="60">
        <f>'23'!E108</f>
        <v>5.835729166666666</v>
      </c>
      <c r="F31" s="60">
        <f>'23'!F108</f>
        <v>2.8980219780219785</v>
      </c>
      <c r="G31" s="60">
        <f>'23'!G108</f>
        <v>106.59406250000008</v>
      </c>
      <c r="H31" s="60">
        <f>'23'!H108</f>
        <v>51.021250000000002</v>
      </c>
      <c r="I31" s="60">
        <f>'23'!I108</f>
        <v>0.57552083333333348</v>
      </c>
      <c r="J31" s="60">
        <f>'23'!J108</f>
        <v>0.36822916666666677</v>
      </c>
      <c r="K31" s="60">
        <f>'23'!K108</f>
        <v>146.24145833333336</v>
      </c>
      <c r="L31" s="60">
        <f>'23'!L108</f>
        <v>22.590520833333329</v>
      </c>
      <c r="M31" s="60">
        <f>'23'!M108</f>
        <v>46.78125</v>
      </c>
      <c r="N31" s="60">
        <f>'23'!N108</f>
        <v>122.06979166666669</v>
      </c>
      <c r="O31" s="60">
        <f>'23'!O108</f>
        <v>0</v>
      </c>
      <c r="P31" s="201">
        <f>'23'!P108</f>
        <v>1.847291666666667</v>
      </c>
      <c r="Q31" s="60">
        <f>'23'!Q108</f>
        <v>43.354375000000012</v>
      </c>
      <c r="R31" s="117"/>
      <c r="S31" s="206"/>
      <c r="T31" s="117"/>
      <c r="U31" s="117"/>
    </row>
    <row r="32" spans="1:21" x14ac:dyDescent="0.25">
      <c r="A32" s="93" t="str">
        <f>'24'!$B$2</f>
        <v>24-12-2022 00:15</v>
      </c>
      <c r="B32" s="60">
        <f>'24'!B108</f>
        <v>46.418645833333329</v>
      </c>
      <c r="C32" s="60">
        <f>'24'!C108</f>
        <v>87.784999999999982</v>
      </c>
      <c r="D32" s="60">
        <f>'24'!D108</f>
        <v>85.670208333333321</v>
      </c>
      <c r="E32" s="60">
        <f>'24'!E108</f>
        <v>4.5102083333333338</v>
      </c>
      <c r="F32" s="60">
        <f>'24'!F108</f>
        <v>2.7063529411764704</v>
      </c>
      <c r="G32" s="60">
        <f>'24'!G108</f>
        <v>108.74850574712643</v>
      </c>
      <c r="H32" s="60">
        <f>'24'!H108</f>
        <v>48.063229166666673</v>
      </c>
      <c r="I32" s="60">
        <f>'24'!I108</f>
        <v>0.50322916666666673</v>
      </c>
      <c r="J32" s="60">
        <f>'24'!J108</f>
        <v>0.33354166666666668</v>
      </c>
      <c r="K32" s="60">
        <f>'24'!K108</f>
        <v>167.44468749999993</v>
      </c>
      <c r="L32" s="60">
        <f>'24'!L108</f>
        <v>22.393020833333342</v>
      </c>
      <c r="M32" s="60">
        <f>'24'!M108</f>
        <v>50.520833333333336</v>
      </c>
      <c r="N32" s="60">
        <f>'24'!N108</f>
        <v>127.72812499999992</v>
      </c>
      <c r="O32" s="60">
        <f>'24'!O108</f>
        <v>0</v>
      </c>
      <c r="P32" s="201">
        <f>'24'!P108</f>
        <v>1.5856249999999996</v>
      </c>
      <c r="Q32" s="60">
        <f>'24'!Q108</f>
        <v>40.951249999999995</v>
      </c>
      <c r="R32" s="117"/>
      <c r="S32" s="117"/>
      <c r="T32" s="117"/>
      <c r="U32" s="117"/>
    </row>
    <row r="33" spans="1:21" x14ac:dyDescent="0.25">
      <c r="A33" s="93" t="str">
        <f>'25'!$B$2</f>
        <v>25-12-2022 00:15</v>
      </c>
      <c r="B33" s="60">
        <f>'25'!B108</f>
        <v>73.937395833333326</v>
      </c>
      <c r="C33" s="60">
        <f>'25'!C108</f>
        <v>105.07416666666664</v>
      </c>
      <c r="D33" s="60">
        <f>'25'!D108</f>
        <v>117.28020833333335</v>
      </c>
      <c r="E33" s="60">
        <f>'25'!E108</f>
        <v>4.5696874999999997</v>
      </c>
      <c r="F33" s="60">
        <f>'25'!F108</f>
        <v>1.0399999999999998</v>
      </c>
      <c r="G33" s="60">
        <f>'25'!G108</f>
        <v>92.979583333333338</v>
      </c>
      <c r="H33" s="60">
        <f>'25'!H108</f>
        <v>43.3440625</v>
      </c>
      <c r="I33" s="60">
        <f>'25'!I108</f>
        <v>0.72864583333333321</v>
      </c>
      <c r="J33" s="60">
        <f>'25'!J108</f>
        <v>0.17999999999999994</v>
      </c>
      <c r="K33" s="60">
        <f>'25'!K108</f>
        <v>218.36333333333334</v>
      </c>
      <c r="L33" s="60">
        <f>'25'!L108</f>
        <v>23.344062500000003</v>
      </c>
      <c r="M33" s="60">
        <f>'25'!M108</f>
        <v>56.260416666666664</v>
      </c>
      <c r="N33" s="60">
        <f>'25'!N108</f>
        <v>118.71354166666659</v>
      </c>
      <c r="O33" s="60">
        <f>'25'!O108</f>
        <v>0</v>
      </c>
      <c r="P33" s="201">
        <f>'25'!P108</f>
        <v>2.1693749999999992</v>
      </c>
      <c r="Q33" s="60">
        <f>'25'!Q108</f>
        <v>46.880208333333336</v>
      </c>
      <c r="R33" s="117"/>
      <c r="S33" s="206"/>
      <c r="T33" s="117"/>
      <c r="U33" s="117"/>
    </row>
    <row r="34" spans="1:21" x14ac:dyDescent="0.25">
      <c r="A34" s="93" t="str">
        <f>'26'!$B$2</f>
        <v>26-12-2022 00:15</v>
      </c>
      <c r="B34" s="60">
        <f>'26'!B108</f>
        <v>70.912209302325564</v>
      </c>
      <c r="C34" s="60">
        <f>'26'!C108</f>
        <v>108.76290697674413</v>
      </c>
      <c r="D34" s="60">
        <f>'26'!D108</f>
        <v>117.06104651162788</v>
      </c>
      <c r="E34" s="60">
        <f>'26'!E108</f>
        <v>10.372758620689657</v>
      </c>
      <c r="F34" s="60">
        <f>'26'!F108</f>
        <v>6.6724657534246559</v>
      </c>
      <c r="G34" s="60">
        <f>'26'!G108</f>
        <v>118.69891566265056</v>
      </c>
      <c r="H34" s="60">
        <f>'26'!H108</f>
        <v>48.926867469879518</v>
      </c>
      <c r="I34" s="60">
        <f>'26'!I108</f>
        <v>0.74916666666666665</v>
      </c>
      <c r="J34" s="60">
        <f>'26'!J108</f>
        <v>0.21367816091954048</v>
      </c>
      <c r="K34" s="60">
        <f>'26'!K108</f>
        <v>184.46402298850575</v>
      </c>
      <c r="L34" s="60">
        <f>'26'!L108</f>
        <v>22.727471264367811</v>
      </c>
      <c r="M34" s="60">
        <f>'26'!M108</f>
        <v>61.494252873563219</v>
      </c>
      <c r="N34" s="60">
        <f>'26'!N108</f>
        <v>97.849425287356297</v>
      </c>
      <c r="O34" s="60">
        <f>'26'!O108</f>
        <v>0</v>
      </c>
      <c r="P34" s="201">
        <f>'26'!P108</f>
        <v>2.2702298850574714</v>
      </c>
      <c r="Q34" s="60">
        <f>'26'!Q108</f>
        <v>43.31845238095238</v>
      </c>
      <c r="R34" s="117"/>
      <c r="S34" s="117"/>
      <c r="T34" s="117"/>
      <c r="U34" s="117"/>
    </row>
    <row r="35" spans="1:21" x14ac:dyDescent="0.25">
      <c r="A35" s="93" t="str">
        <f>'27'!$B$2</f>
        <v>27-12-2022 00:15</v>
      </c>
      <c r="B35" s="60">
        <f>'27'!B108</f>
        <v>56.140312499999986</v>
      </c>
      <c r="C35" s="60">
        <f>'27'!C108</f>
        <v>102.69583333333331</v>
      </c>
      <c r="D35" s="60">
        <f>'27'!D108</f>
        <v>101.69562500000001</v>
      </c>
      <c r="E35" s="60">
        <f>'27'!E108</f>
        <v>3.733750000000001</v>
      </c>
      <c r="F35" s="60">
        <f>'27'!F108</f>
        <v>0.34012345679012346</v>
      </c>
      <c r="G35" s="60">
        <f>'27'!G108</f>
        <v>66.12552083333334</v>
      </c>
      <c r="H35" s="60">
        <f>'27'!H108</f>
        <v>26.522083333333317</v>
      </c>
      <c r="I35" s="60">
        <f>'27'!I108</f>
        <v>0.59738636363636355</v>
      </c>
      <c r="J35" s="60">
        <f>'27'!J108</f>
        <v>0.20572916666666682</v>
      </c>
      <c r="K35" s="60">
        <f>'27'!K108</f>
        <v>188.2811458333334</v>
      </c>
      <c r="L35" s="60">
        <f>'27'!L108</f>
        <v>24.212083333333339</v>
      </c>
      <c r="M35" s="60">
        <f>'27'!M108</f>
        <v>63.239583333333336</v>
      </c>
      <c r="N35" s="60">
        <f>'27'!N108</f>
        <v>112.98437500000004</v>
      </c>
      <c r="O35" s="60">
        <f>'27'!O108</f>
        <v>0</v>
      </c>
      <c r="P35" s="201">
        <f>'27'!P108</f>
        <v>1.6196874999999997</v>
      </c>
      <c r="Q35" s="60">
        <f>'27'!Q108</f>
        <v>37.523125</v>
      </c>
      <c r="R35" s="117"/>
      <c r="S35" s="117"/>
      <c r="T35" s="117"/>
      <c r="U35" s="117"/>
    </row>
    <row r="36" spans="1:21" x14ac:dyDescent="0.25">
      <c r="A36" s="93" t="str">
        <f>'28'!$B$2</f>
        <v>28-12-2022 00:15</v>
      </c>
      <c r="B36" s="60">
        <f>'28'!B108</f>
        <v>46.641511627906972</v>
      </c>
      <c r="C36" s="60">
        <f>'28'!C108</f>
        <v>101.28104651162789</v>
      </c>
      <c r="D36" s="60">
        <f>'28'!D108</f>
        <v>93.799302325581394</v>
      </c>
      <c r="E36" s="60">
        <f>'28'!E108</f>
        <v>3.9571428571428577</v>
      </c>
      <c r="F36" s="60">
        <f>'28'!F108</f>
        <v>1.438333333333333</v>
      </c>
      <c r="G36" s="60">
        <f>'28'!G108</f>
        <v>92.134482758620692</v>
      </c>
      <c r="H36" s="60">
        <f>'28'!H108</f>
        <v>42.00241379310345</v>
      </c>
      <c r="I36" s="60">
        <f>'28'!I108</f>
        <v>0.57455696202531625</v>
      </c>
      <c r="J36" s="60">
        <f>'28'!J108</f>
        <v>0.45988505747126457</v>
      </c>
      <c r="K36" s="60">
        <f>'28'!K108</f>
        <v>100.02229885057471</v>
      </c>
      <c r="L36" s="60">
        <f>'28'!L108</f>
        <v>23.713103448275866</v>
      </c>
      <c r="M36" s="60">
        <f>'28'!M108</f>
        <v>62.448275862068968</v>
      </c>
      <c r="N36" s="60">
        <f>'28'!N108</f>
        <v>71.797701149425279</v>
      </c>
      <c r="O36" s="60">
        <f>'28'!O108</f>
        <v>0</v>
      </c>
      <c r="P36" s="201">
        <f>'28'!P108</f>
        <v>1.7354022988505742</v>
      </c>
      <c r="Q36" s="60">
        <f>'28'!Q108</f>
        <v>40.876941176470581</v>
      </c>
      <c r="R36" s="117"/>
      <c r="S36" s="117"/>
      <c r="T36" s="117"/>
      <c r="U36" s="117"/>
    </row>
    <row r="37" spans="1:21" s="54" customFormat="1" x14ac:dyDescent="0.25">
      <c r="A37" s="93" t="str">
        <f>'29'!$B$2</f>
        <v>29-12-2022 00:15</v>
      </c>
      <c r="B37" s="60">
        <f>'29'!B108</f>
        <v>36.680937499999992</v>
      </c>
      <c r="C37" s="60">
        <f>'29'!C108</f>
        <v>92.719374999999999</v>
      </c>
      <c r="D37" s="60">
        <f>'29'!D108</f>
        <v>80.585104166666639</v>
      </c>
      <c r="E37" s="60">
        <f>'29'!E108</f>
        <v>4.5450000000000008</v>
      </c>
      <c r="F37" s="60">
        <f>'29'!F108</f>
        <v>1.2868478260869565</v>
      </c>
      <c r="G37" s="60">
        <f>'29'!G108</f>
        <v>105.69126760563375</v>
      </c>
      <c r="H37" s="60">
        <f>'29'!H108</f>
        <v>35.169354838709666</v>
      </c>
      <c r="I37" s="60">
        <f>'29'!I108</f>
        <v>0.43427083333333338</v>
      </c>
      <c r="J37" s="60">
        <f>'29'!J108</f>
        <v>0.41145833333333331</v>
      </c>
      <c r="K37" s="60">
        <f>'29'!K108</f>
        <v>111.01416666666665</v>
      </c>
      <c r="L37" s="60">
        <f>'29'!L108</f>
        <v>21.432291666666657</v>
      </c>
      <c r="M37" s="60">
        <f>'29'!M108</f>
        <v>37.947916666666664</v>
      </c>
      <c r="N37" s="60">
        <f>'29'!N108</f>
        <v>126.01770833333336</v>
      </c>
      <c r="O37" s="60">
        <f>'29'!O108</f>
        <v>0</v>
      </c>
      <c r="P37" s="201">
        <f>'29'!P108</f>
        <v>1.2996875000000003</v>
      </c>
      <c r="Q37" s="60">
        <f>'29'!Q108</f>
        <v>35.808958333333337</v>
      </c>
      <c r="R37" s="117"/>
      <c r="S37" s="117"/>
      <c r="T37" s="117"/>
      <c r="U37" s="117"/>
    </row>
    <row r="38" spans="1:21" s="54" customFormat="1" x14ac:dyDescent="0.25">
      <c r="A38" s="93" t="str">
        <f>'30'!$B$2</f>
        <v>30-12-2022 00:15</v>
      </c>
      <c r="B38" s="60">
        <f>'30'!B108</f>
        <v>78.635208333333324</v>
      </c>
      <c r="C38" s="60">
        <f>'30'!C108</f>
        <v>132.91375000000005</v>
      </c>
      <c r="D38" s="60">
        <f>'30'!D108</f>
        <v>136.41156249999997</v>
      </c>
      <c r="E38" s="60">
        <f>'30'!E108</f>
        <v>5.1142708333333333</v>
      </c>
      <c r="F38" s="60">
        <f>'30'!F108</f>
        <v>1.6022727272727275</v>
      </c>
      <c r="G38" s="60">
        <f>'30'!G108</f>
        <v>113.54666666666664</v>
      </c>
      <c r="H38" s="60">
        <f>'30'!H108</f>
        <v>53.000937499999971</v>
      </c>
      <c r="I38" s="60">
        <f>'30'!I108</f>
        <v>0.78770833333333368</v>
      </c>
      <c r="J38" s="60">
        <f>'30'!J108</f>
        <v>0.26947916666666671</v>
      </c>
      <c r="K38" s="60">
        <f>'30'!K108</f>
        <v>199.61593750000006</v>
      </c>
      <c r="L38" s="60">
        <f>'30'!L108</f>
        <v>22.223541666666659</v>
      </c>
      <c r="M38" s="60">
        <f>'30'!M108</f>
        <v>49.666666666666664</v>
      </c>
      <c r="N38" s="60">
        <f>'30'!N108</f>
        <v>117.06874999999995</v>
      </c>
      <c r="O38" s="60">
        <f>'30'!O108</f>
        <v>0</v>
      </c>
      <c r="P38" s="201">
        <f>'30'!P108</f>
        <v>2.2361458333333335</v>
      </c>
      <c r="Q38" s="60">
        <f>'30'!Q108</f>
        <v>41.856458333333329</v>
      </c>
      <c r="R38" s="117"/>
      <c r="S38" s="117"/>
      <c r="T38" s="117"/>
      <c r="U38" s="117"/>
    </row>
    <row r="39" spans="1:21" s="54" customFormat="1" x14ac:dyDescent="0.25">
      <c r="A39" s="93" t="str">
        <f>'31'!$B$2</f>
        <v>31-12-2022 00:15</v>
      </c>
      <c r="B39" s="117">
        <f>'31'!B108</f>
        <v>42.096250000000005</v>
      </c>
      <c r="C39" s="117">
        <f>'31'!C108</f>
        <v>113.75729166666672</v>
      </c>
      <c r="D39" s="117">
        <f>'31'!D108</f>
        <v>96.537291666666633</v>
      </c>
      <c r="E39" s="117">
        <f>'31'!E108</f>
        <v>4.8764210526315788</v>
      </c>
      <c r="F39" s="117">
        <f>'31'!F108</f>
        <v>2.9476712328767118</v>
      </c>
      <c r="G39" s="117">
        <f>'31'!G108</f>
        <v>103.53511627906985</v>
      </c>
      <c r="H39" s="117">
        <f>'31'!H108</f>
        <v>51.23434782608696</v>
      </c>
      <c r="I39" s="117">
        <f>'31'!I108</f>
        <v>0.52645833333333314</v>
      </c>
      <c r="J39" s="117">
        <f>'31'!J108</f>
        <v>0.43625000000000003</v>
      </c>
      <c r="K39" s="117">
        <f>'31'!K108</f>
        <v>203.57770833333328</v>
      </c>
      <c r="L39" s="117">
        <f>'31'!L108</f>
        <v>24.036874999999995</v>
      </c>
      <c r="M39" s="117">
        <f>'31'!M108</f>
        <v>50.6875</v>
      </c>
      <c r="N39" s="117">
        <f>'31'!N108</f>
        <v>106.97083333333337</v>
      </c>
      <c r="O39" s="117">
        <f>'31'!O108</f>
        <v>0</v>
      </c>
      <c r="P39" s="117">
        <f>'31'!P108</f>
        <v>1.8964583333333325</v>
      </c>
      <c r="Q39" s="117">
        <f>'31'!Q108</f>
        <v>36.282708333333325</v>
      </c>
      <c r="R39" s="117"/>
      <c r="S39" s="117"/>
      <c r="T39" s="117"/>
      <c r="U39" s="117"/>
    </row>
    <row r="40" spans="1:21" s="54" customFormat="1" x14ac:dyDescent="0.25">
      <c r="A40" s="93" t="s">
        <v>59</v>
      </c>
      <c r="B40" s="16">
        <f t="shared" ref="B40:Q40" si="0">MIN(B9:B38)</f>
        <v>10.414895833333333</v>
      </c>
      <c r="C40" s="16">
        <f t="shared" si="0"/>
        <v>25.75630952380952</v>
      </c>
      <c r="D40" s="16">
        <f t="shared" si="0"/>
        <v>40.591666666666669</v>
      </c>
      <c r="E40" s="16">
        <f t="shared" si="0"/>
        <v>3.733750000000001</v>
      </c>
      <c r="F40" s="16">
        <f t="shared" si="0"/>
        <v>0.34012345679012346</v>
      </c>
      <c r="G40" s="16">
        <f t="shared" si="0"/>
        <v>53.343750000000007</v>
      </c>
      <c r="H40" s="16">
        <f t="shared" si="0"/>
        <v>24.421770833333337</v>
      </c>
      <c r="I40" s="16">
        <f t="shared" si="0"/>
        <v>0.43427083333333338</v>
      </c>
      <c r="J40" s="16">
        <f t="shared" si="0"/>
        <v>0.17999999999999994</v>
      </c>
      <c r="K40" s="16">
        <f t="shared" si="0"/>
        <v>56.022708333333298</v>
      </c>
      <c r="L40" s="16">
        <f t="shared" si="0"/>
        <v>19.782083333333333</v>
      </c>
      <c r="M40" s="16">
        <f t="shared" si="0"/>
        <v>37.947916666666664</v>
      </c>
      <c r="N40" s="16">
        <f t="shared" si="0"/>
        <v>71.797701149425279</v>
      </c>
      <c r="O40" s="16">
        <f t="shared" si="0"/>
        <v>0</v>
      </c>
      <c r="P40" s="16">
        <f t="shared" si="0"/>
        <v>1.2457291666666668</v>
      </c>
      <c r="Q40" s="16">
        <f t="shared" si="0"/>
        <v>35.808958333333337</v>
      </c>
      <c r="R40" s="16"/>
      <c r="S40" s="16"/>
      <c r="T40" s="16"/>
      <c r="U40" s="16"/>
    </row>
    <row r="41" spans="1:21" s="54" customFormat="1" x14ac:dyDescent="0.25">
      <c r="A41" s="93" t="s">
        <v>60</v>
      </c>
      <c r="B41" s="16">
        <f t="shared" ref="B41:Q41" si="1">MAX(B9:B38)</f>
        <v>78.635208333333324</v>
      </c>
      <c r="C41" s="16">
        <f t="shared" si="1"/>
        <v>132.91375000000005</v>
      </c>
      <c r="D41" s="16">
        <f t="shared" si="1"/>
        <v>136.41156249999997</v>
      </c>
      <c r="E41" s="16">
        <f t="shared" si="1"/>
        <v>11.089687500000002</v>
      </c>
      <c r="F41" s="16">
        <f t="shared" si="1"/>
        <v>15.489375000000003</v>
      </c>
      <c r="G41" s="16">
        <f t="shared" si="1"/>
        <v>151.21959999999999</v>
      </c>
      <c r="H41" s="16">
        <f t="shared" si="1"/>
        <v>66.330520833333324</v>
      </c>
      <c r="I41" s="16">
        <f t="shared" si="1"/>
        <v>1.0364383561643837</v>
      </c>
      <c r="J41" s="16">
        <f t="shared" si="1"/>
        <v>0.65052083333333355</v>
      </c>
      <c r="K41" s="16">
        <f t="shared" si="1"/>
        <v>261.43093749999986</v>
      </c>
      <c r="L41" s="16">
        <f t="shared" si="1"/>
        <v>26.695937499999985</v>
      </c>
      <c r="M41" s="16">
        <f t="shared" si="1"/>
        <v>63.239583333333336</v>
      </c>
      <c r="N41" s="16">
        <f t="shared" si="1"/>
        <v>188.94705882352943</v>
      </c>
      <c r="O41" s="16">
        <f t="shared" si="1"/>
        <v>0</v>
      </c>
      <c r="P41" s="16">
        <f t="shared" si="1"/>
        <v>2.5626041666666661</v>
      </c>
      <c r="Q41" s="16">
        <f t="shared" si="1"/>
        <v>119.33343749999999</v>
      </c>
      <c r="R41" s="16"/>
      <c r="S41" s="16"/>
      <c r="T41" s="16"/>
      <c r="U41" s="16"/>
    </row>
    <row r="42" spans="1:21" s="54" customFormat="1" x14ac:dyDescent="0.25">
      <c r="A42" s="93" t="s">
        <v>61</v>
      </c>
      <c r="B42" s="16">
        <f t="shared" ref="B42:Q42" si="2">AVERAGE(B9:B38)</f>
        <v>43.601672642118864</v>
      </c>
      <c r="C42" s="16">
        <f t="shared" si="2"/>
        <v>82.182707650774589</v>
      </c>
      <c r="D42" s="16">
        <f t="shared" si="2"/>
        <v>79.931577600129174</v>
      </c>
      <c r="E42" s="16">
        <f t="shared" si="2"/>
        <v>6.1666668548166399</v>
      </c>
      <c r="F42" s="16">
        <f t="shared" si="2"/>
        <v>2.736952347612899</v>
      </c>
      <c r="G42" s="16">
        <f t="shared" si="2"/>
        <v>103.65724487047355</v>
      </c>
      <c r="H42" s="16">
        <f t="shared" si="2"/>
        <v>42.227911517009822</v>
      </c>
      <c r="I42" s="16">
        <f t="shared" si="2"/>
        <v>0.65972848427304553</v>
      </c>
      <c r="J42" s="16">
        <f t="shared" si="2"/>
        <v>0.42676314529138948</v>
      </c>
      <c r="K42" s="16">
        <f t="shared" si="2"/>
        <v>144.75050247999965</v>
      </c>
      <c r="L42" s="16">
        <f t="shared" si="2"/>
        <v>22.750217073754794</v>
      </c>
      <c r="M42" s="16">
        <f t="shared" si="2"/>
        <v>50.062679597701162</v>
      </c>
      <c r="N42" s="16">
        <f t="shared" si="2"/>
        <v>120.67891065295564</v>
      </c>
      <c r="O42" s="16">
        <f t="shared" si="2"/>
        <v>0</v>
      </c>
      <c r="P42" s="16">
        <f t="shared" si="2"/>
        <v>1.9251773227969347</v>
      </c>
      <c r="Q42" s="16">
        <f t="shared" si="2"/>
        <v>47.23843006675795</v>
      </c>
      <c r="R42" s="16"/>
      <c r="S42" s="16"/>
      <c r="T42" s="16"/>
      <c r="U42" s="16"/>
    </row>
    <row r="43" spans="1:21" s="54" customFormat="1" x14ac:dyDescent="0.25">
      <c r="A43" s="93" t="s">
        <v>77</v>
      </c>
      <c r="B43" s="16">
        <f t="shared" ref="B43:Q43" si="3">STDEV(B9:B38)</f>
        <v>19.090751645485923</v>
      </c>
      <c r="C43" s="16">
        <f t="shared" si="3"/>
        <v>29.643182343319886</v>
      </c>
      <c r="D43" s="16">
        <f t="shared" si="3"/>
        <v>27.403900001846747</v>
      </c>
      <c r="E43" s="16">
        <f t="shared" si="3"/>
        <v>1.8299099853698098</v>
      </c>
      <c r="F43" s="16">
        <f t="shared" si="3"/>
        <v>3.0003773925653463</v>
      </c>
      <c r="G43" s="16">
        <f t="shared" si="3"/>
        <v>24.331854771211589</v>
      </c>
      <c r="H43" s="16">
        <f t="shared" si="3"/>
        <v>11.474259179569412</v>
      </c>
      <c r="I43" s="16">
        <f t="shared" si="3"/>
        <v>0.14647207741542326</v>
      </c>
      <c r="J43" s="16">
        <f t="shared" si="3"/>
        <v>0.13503203755001053</v>
      </c>
      <c r="K43" s="16">
        <f t="shared" si="3"/>
        <v>56.110671801089779</v>
      </c>
      <c r="L43" s="16">
        <f t="shared" si="3"/>
        <v>1.7047642127850289</v>
      </c>
      <c r="M43" s="16">
        <f t="shared" si="3"/>
        <v>7.066785122232548</v>
      </c>
      <c r="N43" s="16">
        <f t="shared" si="3"/>
        <v>21.970905839265331</v>
      </c>
      <c r="O43" s="16">
        <f t="shared" si="3"/>
        <v>0</v>
      </c>
      <c r="P43" s="16">
        <f t="shared" si="3"/>
        <v>0.37254405182060546</v>
      </c>
      <c r="Q43" s="16">
        <f t="shared" si="3"/>
        <v>16.518251859472279</v>
      </c>
      <c r="R43" s="16"/>
      <c r="S43" s="16"/>
      <c r="T43" s="16"/>
      <c r="U43" s="16"/>
    </row>
    <row r="44" spans="1:21" s="54" customFormat="1" x14ac:dyDescent="0.25">
      <c r="A44" s="93" t="s">
        <v>62</v>
      </c>
      <c r="B44" s="13">
        <f t="shared" ref="B44:Q44" si="4">COUNT(B9:B38)</f>
        <v>30</v>
      </c>
      <c r="C44" s="13">
        <f t="shared" si="4"/>
        <v>30</v>
      </c>
      <c r="D44" s="13">
        <f t="shared" si="4"/>
        <v>30</v>
      </c>
      <c r="E44" s="13">
        <f t="shared" si="4"/>
        <v>30</v>
      </c>
      <c r="F44" s="13">
        <f t="shared" si="4"/>
        <v>30</v>
      </c>
      <c r="G44" s="13">
        <f t="shared" si="4"/>
        <v>30</v>
      </c>
      <c r="H44" s="13">
        <f t="shared" si="4"/>
        <v>30</v>
      </c>
      <c r="I44" s="13">
        <f t="shared" si="4"/>
        <v>30</v>
      </c>
      <c r="J44" s="13">
        <f t="shared" si="4"/>
        <v>30</v>
      </c>
      <c r="K44" s="13">
        <f t="shared" si="4"/>
        <v>30</v>
      </c>
      <c r="L44" s="13">
        <f t="shared" si="4"/>
        <v>30</v>
      </c>
      <c r="M44" s="16">
        <f>COUNT(M9:M38)+2</f>
        <v>30</v>
      </c>
      <c r="N44" s="13">
        <f t="shared" si="4"/>
        <v>30</v>
      </c>
      <c r="O44" s="13">
        <f t="shared" si="4"/>
        <v>30</v>
      </c>
      <c r="P44" s="13">
        <f t="shared" si="4"/>
        <v>30</v>
      </c>
      <c r="Q44" s="13">
        <f t="shared" si="4"/>
        <v>30</v>
      </c>
      <c r="R44" s="13"/>
      <c r="S44" s="13"/>
      <c r="T44" s="13"/>
      <c r="U44" s="13"/>
    </row>
    <row r="45" spans="1:21" s="54" customFormat="1" x14ac:dyDescent="0.25">
      <c r="A45" s="93" t="s">
        <v>63</v>
      </c>
      <c r="B45" s="13" t="str">
        <f>IF(B44&gt;=28,"&gt;90%",IF(B44&lt;=28,"&lt;90%"))</f>
        <v>&gt;90%</v>
      </c>
      <c r="C45" s="13" t="str">
        <f t="shared" ref="C45:Q45" si="5">IF(C44&gt;=28,"&gt;90%",IF(C44&lt;=28,"&lt;90%"))</f>
        <v>&gt;90%</v>
      </c>
      <c r="D45" s="13" t="str">
        <f t="shared" si="5"/>
        <v>&gt;90%</v>
      </c>
      <c r="E45" s="13" t="str">
        <f t="shared" si="5"/>
        <v>&gt;90%</v>
      </c>
      <c r="F45" s="13" t="str">
        <f t="shared" si="5"/>
        <v>&gt;90%</v>
      </c>
      <c r="G45" s="13" t="str">
        <f t="shared" si="5"/>
        <v>&gt;90%</v>
      </c>
      <c r="H45" s="13" t="str">
        <f t="shared" si="5"/>
        <v>&gt;90%</v>
      </c>
      <c r="I45" s="13" t="str">
        <f t="shared" si="5"/>
        <v>&gt;90%</v>
      </c>
      <c r="J45" s="13" t="str">
        <f t="shared" si="5"/>
        <v>&gt;90%</v>
      </c>
      <c r="K45" s="13" t="str">
        <f t="shared" si="5"/>
        <v>&gt;90%</v>
      </c>
      <c r="L45" s="13" t="str">
        <f t="shared" si="5"/>
        <v>&gt;90%</v>
      </c>
      <c r="M45" s="13" t="str">
        <f t="shared" si="5"/>
        <v>&gt;90%</v>
      </c>
      <c r="N45" s="13" t="str">
        <f t="shared" si="5"/>
        <v>&gt;90%</v>
      </c>
      <c r="O45" s="13" t="str">
        <f t="shared" si="5"/>
        <v>&gt;90%</v>
      </c>
      <c r="P45" s="13" t="str">
        <f t="shared" si="5"/>
        <v>&gt;90%</v>
      </c>
      <c r="Q45" s="13" t="str">
        <f t="shared" si="5"/>
        <v>&gt;90%</v>
      </c>
      <c r="R45" s="13"/>
      <c r="S45" s="13"/>
      <c r="T45" s="13"/>
      <c r="U45" s="13"/>
    </row>
    <row r="46" spans="1:21" x14ac:dyDescent="0.25">
      <c r="A46" s="93" t="s">
        <v>5</v>
      </c>
      <c r="B46" s="13" t="str">
        <f>IF(B44&gt;=28,"OK",IF(B44&lt;=28,"LESS"))</f>
        <v>OK</v>
      </c>
      <c r="C46" s="13" t="str">
        <f t="shared" ref="C46:Q46" si="6">IF(C44&gt;=28,"OK",IF(C44&lt;=28,"LESS"))</f>
        <v>OK</v>
      </c>
      <c r="D46" s="13" t="str">
        <f t="shared" si="6"/>
        <v>OK</v>
      </c>
      <c r="E46" s="13" t="str">
        <f t="shared" si="6"/>
        <v>OK</v>
      </c>
      <c r="F46" s="13" t="str">
        <f t="shared" si="6"/>
        <v>OK</v>
      </c>
      <c r="G46" s="13" t="str">
        <f t="shared" si="6"/>
        <v>OK</v>
      </c>
      <c r="H46" s="13" t="str">
        <f t="shared" si="6"/>
        <v>OK</v>
      </c>
      <c r="I46" s="13" t="str">
        <f t="shared" si="6"/>
        <v>OK</v>
      </c>
      <c r="J46" s="13" t="str">
        <f t="shared" si="6"/>
        <v>OK</v>
      </c>
      <c r="K46" s="13" t="str">
        <f t="shared" si="6"/>
        <v>OK</v>
      </c>
      <c r="L46" s="13" t="str">
        <f t="shared" si="6"/>
        <v>OK</v>
      </c>
      <c r="M46" s="13" t="str">
        <f t="shared" si="6"/>
        <v>OK</v>
      </c>
      <c r="N46" s="13" t="str">
        <f t="shared" si="6"/>
        <v>OK</v>
      </c>
      <c r="O46" s="13" t="str">
        <f t="shared" si="6"/>
        <v>OK</v>
      </c>
      <c r="P46" s="13" t="str">
        <f t="shared" si="6"/>
        <v>OK</v>
      </c>
      <c r="Q46" s="13" t="str">
        <f t="shared" si="6"/>
        <v>OK</v>
      </c>
      <c r="R46" s="13"/>
      <c r="S46" s="13"/>
      <c r="T46" s="13"/>
      <c r="U46" s="13"/>
    </row>
    <row r="47" spans="1:21" x14ac:dyDescent="0.25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9" spans="1:16" x14ac:dyDescent="0.25">
      <c r="A49" s="93" t="s">
        <v>64</v>
      </c>
      <c r="B49" s="106" t="s">
        <v>240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</row>
    <row r="50" spans="1:16" x14ac:dyDescent="0.25">
      <c r="A50" s="96"/>
      <c r="B50" s="54"/>
      <c r="C50" s="54"/>
      <c r="D50" s="2"/>
      <c r="E50" s="2"/>
      <c r="F50" s="2"/>
      <c r="G50" s="2"/>
      <c r="H50" s="2"/>
      <c r="I50" s="2"/>
      <c r="J50" s="54"/>
      <c r="K50" s="54"/>
      <c r="L50" s="54"/>
      <c r="M50" s="54"/>
      <c r="N50" s="54"/>
      <c r="O50" s="54"/>
      <c r="P50" s="54"/>
    </row>
    <row r="51" spans="1:16" ht="15.75" x14ac:dyDescent="0.25">
      <c r="A51" s="97" t="s">
        <v>65</v>
      </c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</row>
    <row r="52" spans="1:16" x14ac:dyDescent="0.25">
      <c r="A52" s="96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 x14ac:dyDescent="0.25">
      <c r="A53" s="96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6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</sheetData>
  <mergeCells count="1">
    <mergeCell ref="B51:P51"/>
  </mergeCells>
  <pageMargins left="0.17" right="0.17" top="0.19" bottom="0.16" header="0.17" footer="0.16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topLeftCell="A10" zoomScale="85" zoomScaleNormal="85" workbookViewId="0">
      <selection activeCell="M30" sqref="M30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3" customWidth="1"/>
    <col min="20" max="20" width="10" style="83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0" t="s">
        <v>9</v>
      </c>
      <c r="D1" s="221" t="s">
        <v>241</v>
      </c>
      <c r="E1" s="221"/>
      <c r="F1" s="221"/>
      <c r="G1" s="221"/>
      <c r="H1" s="221"/>
      <c r="I1" s="221"/>
      <c r="J1" s="222"/>
    </row>
    <row r="2" spans="2:24" ht="22.5" customHeight="1" thickBot="1" x14ac:dyDescent="0.3">
      <c r="B2" s="54"/>
      <c r="C2" s="110" t="s">
        <v>0</v>
      </c>
      <c r="D2" s="111" t="s">
        <v>242</v>
      </c>
      <c r="E2" s="112"/>
      <c r="F2" s="112"/>
      <c r="G2" s="113"/>
      <c r="H2" s="114"/>
      <c r="I2" s="114"/>
      <c r="J2" s="115"/>
    </row>
    <row r="4" spans="2:24" ht="15.75" thickBot="1" x14ac:dyDescent="0.3">
      <c r="S4" s="25"/>
      <c r="T4" s="25"/>
      <c r="U4" s="83"/>
      <c r="V4" s="83"/>
      <c r="W4" s="25"/>
      <c r="X4" s="25"/>
    </row>
    <row r="5" spans="2:24" x14ac:dyDescent="0.25">
      <c r="B5" s="49"/>
      <c r="C5" s="40"/>
      <c r="D5" s="40"/>
      <c r="E5" s="40"/>
      <c r="F5" s="40"/>
      <c r="G5" s="225" t="s">
        <v>1</v>
      </c>
      <c r="H5" s="225"/>
      <c r="I5" s="40"/>
      <c r="J5" s="40"/>
      <c r="K5" s="40"/>
      <c r="L5" s="40"/>
      <c r="M5" s="41"/>
      <c r="O5" s="67"/>
      <c r="P5" s="68"/>
      <c r="Q5" s="68"/>
      <c r="R5" s="68"/>
      <c r="S5" s="207" t="s">
        <v>238</v>
      </c>
      <c r="T5" s="68"/>
      <c r="U5" s="84"/>
      <c r="V5" s="84"/>
      <c r="W5" s="68"/>
      <c r="X5" s="69"/>
    </row>
    <row r="6" spans="2:24" x14ac:dyDescent="0.25">
      <c r="B6" s="43"/>
      <c r="C6" s="37"/>
      <c r="D6" s="37"/>
      <c r="E6" s="37"/>
      <c r="F6" s="37"/>
      <c r="G6" s="37"/>
      <c r="H6" s="60"/>
      <c r="I6" s="37"/>
      <c r="J6" s="37"/>
      <c r="K6" s="37"/>
      <c r="L6" s="37"/>
      <c r="M6" s="42"/>
      <c r="O6" s="70"/>
      <c r="P6" s="63"/>
      <c r="Q6" s="63"/>
      <c r="R6" s="63"/>
      <c r="S6" s="63"/>
      <c r="T6" s="63"/>
      <c r="U6" s="85"/>
      <c r="V6" s="85"/>
      <c r="W6" s="63"/>
      <c r="X6" s="71"/>
    </row>
    <row r="7" spans="2:24" ht="15.75" x14ac:dyDescent="0.3">
      <c r="B7" s="91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1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2" t="s">
        <v>10</v>
      </c>
      <c r="P7" s="73" t="s">
        <v>11</v>
      </c>
      <c r="Q7" s="73" t="s">
        <v>76</v>
      </c>
      <c r="R7" s="73" t="s">
        <v>39</v>
      </c>
      <c r="S7" s="73" t="s">
        <v>72</v>
      </c>
      <c r="T7" s="73" t="s">
        <v>73</v>
      </c>
      <c r="U7" s="86" t="s">
        <v>74</v>
      </c>
      <c r="V7" s="86" t="s">
        <v>75</v>
      </c>
      <c r="W7" s="73" t="s">
        <v>5</v>
      </c>
      <c r="X7" s="74" t="s">
        <v>20</v>
      </c>
    </row>
    <row r="8" spans="2:24" ht="15.75" x14ac:dyDescent="0.25">
      <c r="B8" s="62">
        <v>44897.46875</v>
      </c>
      <c r="C8" s="59" t="s">
        <v>1</v>
      </c>
      <c r="D8" s="59" t="s">
        <v>51</v>
      </c>
      <c r="E8" s="59">
        <v>0</v>
      </c>
      <c r="F8" s="59">
        <v>200</v>
      </c>
      <c r="G8" s="59">
        <v>0</v>
      </c>
      <c r="H8" s="60">
        <v>199.14</v>
      </c>
      <c r="I8" s="59"/>
      <c r="J8" s="60"/>
      <c r="K8" s="60">
        <f>(H8-F8)*100/F8</f>
        <v>-0.43000000000000682</v>
      </c>
      <c r="L8" s="59" t="s">
        <v>67</v>
      </c>
      <c r="M8" s="77" t="s">
        <v>215</v>
      </c>
      <c r="O8" s="62">
        <v>44903.527777777781</v>
      </c>
      <c r="P8" s="63" t="s">
        <v>70</v>
      </c>
      <c r="Q8" s="63">
        <v>4908.57</v>
      </c>
      <c r="R8" s="63">
        <v>3729.82</v>
      </c>
      <c r="S8" s="76" t="s">
        <v>1012</v>
      </c>
      <c r="T8" s="76">
        <v>825.51</v>
      </c>
      <c r="U8" s="85">
        <v>0.88049999999999995</v>
      </c>
      <c r="V8" s="85">
        <v>0.89019999999999999</v>
      </c>
      <c r="W8" s="59" t="s">
        <v>67</v>
      </c>
      <c r="X8" s="77" t="s">
        <v>215</v>
      </c>
    </row>
    <row r="9" spans="2:24" ht="15.75" x14ac:dyDescent="0.25">
      <c r="B9" s="62">
        <v>44907.5</v>
      </c>
      <c r="C9" s="59" t="s">
        <v>1</v>
      </c>
      <c r="D9" s="59" t="s">
        <v>51</v>
      </c>
      <c r="E9" s="59">
        <v>0</v>
      </c>
      <c r="F9" s="59">
        <v>200</v>
      </c>
      <c r="G9" s="59">
        <v>0</v>
      </c>
      <c r="H9" s="60">
        <v>200.13</v>
      </c>
      <c r="I9" s="59"/>
      <c r="J9" s="60">
        <f>F9/H9</f>
        <v>0.99935042222555337</v>
      </c>
      <c r="K9" s="60">
        <f t="shared" ref="K9:K14" si="0">(H9-F9)*100/F9</f>
        <v>6.4999999999997726E-2</v>
      </c>
      <c r="L9" s="59" t="s">
        <v>67</v>
      </c>
      <c r="M9" s="61" t="s">
        <v>239</v>
      </c>
      <c r="O9" s="62" t="s">
        <v>2647</v>
      </c>
      <c r="P9" s="63" t="s">
        <v>70</v>
      </c>
      <c r="Q9" s="63">
        <v>3454.13</v>
      </c>
      <c r="R9" s="63">
        <v>3829.24</v>
      </c>
      <c r="S9" s="76" t="s">
        <v>1013</v>
      </c>
      <c r="T9" s="76">
        <v>832.26</v>
      </c>
      <c r="U9" s="85">
        <v>0.96540000000000004</v>
      </c>
      <c r="V9" s="85">
        <v>0.87460000000000004</v>
      </c>
      <c r="W9" s="59" t="s">
        <v>67</v>
      </c>
      <c r="X9" s="61" t="s">
        <v>215</v>
      </c>
    </row>
    <row r="10" spans="2:24" ht="15.75" x14ac:dyDescent="0.25">
      <c r="B10" s="62">
        <v>44921.527777777781</v>
      </c>
      <c r="C10" s="59" t="s">
        <v>1</v>
      </c>
      <c r="D10" s="59" t="s">
        <v>51</v>
      </c>
      <c r="E10" s="59">
        <v>0</v>
      </c>
      <c r="F10" s="59">
        <v>200</v>
      </c>
      <c r="G10" s="59">
        <v>0</v>
      </c>
      <c r="H10" s="60">
        <v>208.8</v>
      </c>
      <c r="I10" s="59"/>
      <c r="J10" s="60">
        <f>F10/F10</f>
        <v>1</v>
      </c>
      <c r="K10" s="60">
        <f t="shared" si="0"/>
        <v>4.4000000000000057</v>
      </c>
      <c r="L10" s="59" t="s">
        <v>67</v>
      </c>
      <c r="M10" s="61" t="s">
        <v>240</v>
      </c>
      <c r="O10" s="62">
        <v>44921.462500000001</v>
      </c>
      <c r="P10" s="63" t="s">
        <v>70</v>
      </c>
      <c r="Q10" s="63">
        <v>4591.2299999999996</v>
      </c>
      <c r="R10" s="63">
        <v>3444.59</v>
      </c>
      <c r="S10" s="76" t="s">
        <v>1013</v>
      </c>
      <c r="T10" s="76">
        <v>853.98</v>
      </c>
      <c r="U10" s="85">
        <v>0.87639999999999996</v>
      </c>
      <c r="V10" s="85">
        <v>0.8569</v>
      </c>
      <c r="W10" s="59" t="s">
        <v>67</v>
      </c>
      <c r="X10" s="61" t="s">
        <v>215</v>
      </c>
    </row>
    <row r="11" spans="2:24" ht="15.75" x14ac:dyDescent="0.25">
      <c r="B11" s="62"/>
      <c r="C11" s="59" t="s">
        <v>1</v>
      </c>
      <c r="D11" s="59" t="s">
        <v>51</v>
      </c>
      <c r="E11" s="59">
        <v>0</v>
      </c>
      <c r="F11" s="59"/>
      <c r="G11" s="59">
        <v>0</v>
      </c>
      <c r="H11" s="60"/>
      <c r="I11" s="59"/>
      <c r="J11" s="60" t="e">
        <f>F11/H11</f>
        <v>#DIV/0!</v>
      </c>
      <c r="K11" s="60" t="e">
        <f t="shared" si="0"/>
        <v>#DIV/0!</v>
      </c>
      <c r="L11" s="59" t="s">
        <v>67</v>
      </c>
      <c r="M11" s="61"/>
      <c r="O11" s="62"/>
      <c r="P11" s="63" t="s">
        <v>70</v>
      </c>
      <c r="Q11" s="63"/>
      <c r="R11" s="63"/>
      <c r="S11" s="76" t="s">
        <v>1013</v>
      </c>
      <c r="T11" s="76"/>
      <c r="U11" s="85"/>
      <c r="V11" s="85"/>
      <c r="W11" s="59" t="s">
        <v>67</v>
      </c>
      <c r="X11" s="61"/>
    </row>
    <row r="12" spans="2:24" ht="15.75" x14ac:dyDescent="0.25">
      <c r="B12" s="62"/>
      <c r="C12" s="59" t="s">
        <v>1</v>
      </c>
      <c r="D12" s="59" t="s">
        <v>51</v>
      </c>
      <c r="E12" s="59">
        <v>0</v>
      </c>
      <c r="F12" s="59"/>
      <c r="G12" s="59">
        <v>0</v>
      </c>
      <c r="H12" s="60"/>
      <c r="I12" s="59">
        <v>0</v>
      </c>
      <c r="J12" s="60" t="e">
        <f>F15/H15</f>
        <v>#DIV/0!</v>
      </c>
      <c r="K12" s="60" t="e">
        <f t="shared" si="0"/>
        <v>#DIV/0!</v>
      </c>
      <c r="L12" s="59" t="s">
        <v>67</v>
      </c>
      <c r="M12" s="61"/>
      <c r="O12" s="62"/>
      <c r="P12" s="63" t="s">
        <v>70</v>
      </c>
      <c r="Q12" s="63"/>
      <c r="R12" s="63"/>
      <c r="S12" s="76" t="s">
        <v>1013</v>
      </c>
      <c r="T12" s="76"/>
      <c r="U12" s="85"/>
      <c r="V12" s="85"/>
      <c r="W12" s="59" t="s">
        <v>67</v>
      </c>
      <c r="X12" s="61"/>
    </row>
    <row r="13" spans="2:24" ht="15.75" x14ac:dyDescent="0.25">
      <c r="B13" s="62"/>
      <c r="C13" s="59" t="s">
        <v>1</v>
      </c>
      <c r="D13" s="59" t="s">
        <v>51</v>
      </c>
      <c r="E13" s="59">
        <v>0</v>
      </c>
      <c r="F13" s="59"/>
      <c r="G13" s="59">
        <v>0</v>
      </c>
      <c r="H13" s="60"/>
      <c r="I13" s="59">
        <v>0</v>
      </c>
      <c r="J13" s="60" t="e">
        <f>F13/H13</f>
        <v>#DIV/0!</v>
      </c>
      <c r="K13" s="60" t="e">
        <f t="shared" si="0"/>
        <v>#DIV/0!</v>
      </c>
      <c r="L13" s="59" t="s">
        <v>67</v>
      </c>
      <c r="M13" s="61"/>
      <c r="O13" s="62"/>
      <c r="P13" s="63" t="s">
        <v>70</v>
      </c>
      <c r="Q13" s="63"/>
      <c r="R13" s="63"/>
      <c r="S13" s="76" t="s">
        <v>1013</v>
      </c>
      <c r="T13" s="76"/>
      <c r="U13" s="85"/>
      <c r="V13" s="85"/>
      <c r="W13" s="59" t="s">
        <v>67</v>
      </c>
      <c r="X13" s="61"/>
    </row>
    <row r="14" spans="2:24" ht="15.75" x14ac:dyDescent="0.25">
      <c r="B14" s="62"/>
      <c r="C14" s="59" t="s">
        <v>1</v>
      </c>
      <c r="D14" s="59" t="s">
        <v>51</v>
      </c>
      <c r="E14" s="59">
        <v>0</v>
      </c>
      <c r="F14" s="59"/>
      <c r="G14" s="59">
        <v>0</v>
      </c>
      <c r="H14" s="60"/>
      <c r="I14" s="59">
        <v>0</v>
      </c>
      <c r="J14" s="60" t="e">
        <f>F14/H14</f>
        <v>#DIV/0!</v>
      </c>
      <c r="K14" s="60" t="e">
        <f t="shared" si="0"/>
        <v>#DIV/0!</v>
      </c>
      <c r="L14" s="59" t="s">
        <v>67</v>
      </c>
      <c r="M14" s="61"/>
      <c r="O14" s="62"/>
      <c r="P14" s="63" t="s">
        <v>70</v>
      </c>
      <c r="Q14" s="63"/>
      <c r="R14" s="63"/>
      <c r="S14" s="76" t="s">
        <v>1013</v>
      </c>
      <c r="T14" s="76"/>
      <c r="U14" s="85"/>
      <c r="V14" s="85"/>
      <c r="W14" s="59" t="s">
        <v>67</v>
      </c>
      <c r="X14" s="77"/>
    </row>
    <row r="15" spans="2:24" ht="15.75" x14ac:dyDescent="0.25">
      <c r="B15" s="62"/>
      <c r="C15" s="59"/>
      <c r="D15" s="59"/>
      <c r="E15" s="59"/>
      <c r="F15" s="59"/>
      <c r="G15" s="59"/>
      <c r="H15" s="60"/>
      <c r="I15" s="59"/>
      <c r="J15" s="60"/>
      <c r="K15" s="60"/>
      <c r="L15" s="59"/>
      <c r="M15" s="61"/>
      <c r="O15" s="62"/>
      <c r="P15" s="63" t="s">
        <v>70</v>
      </c>
      <c r="Q15" s="63"/>
      <c r="R15" s="63"/>
      <c r="S15" s="76" t="s">
        <v>1013</v>
      </c>
      <c r="T15" s="76"/>
      <c r="U15" s="85"/>
      <c r="V15" s="85"/>
      <c r="W15" s="59" t="s">
        <v>67</v>
      </c>
      <c r="X15" s="77"/>
    </row>
    <row r="16" spans="2:24" ht="15.75" x14ac:dyDescent="0.25">
      <c r="B16" s="62"/>
      <c r="C16" s="59"/>
      <c r="D16" s="59"/>
      <c r="E16" s="59"/>
      <c r="F16" s="59"/>
      <c r="G16" s="37"/>
      <c r="H16" s="60"/>
      <c r="I16" s="59"/>
      <c r="J16" s="60"/>
      <c r="K16" s="60"/>
      <c r="L16" s="59"/>
      <c r="M16" s="61"/>
      <c r="O16" s="62"/>
      <c r="P16" s="63" t="s">
        <v>70</v>
      </c>
      <c r="Q16" s="63"/>
      <c r="R16" s="63"/>
      <c r="S16" s="76" t="s">
        <v>1013</v>
      </c>
      <c r="T16" s="76"/>
      <c r="U16" s="85"/>
      <c r="V16" s="85"/>
      <c r="W16" s="59" t="s">
        <v>67</v>
      </c>
      <c r="X16" s="77"/>
    </row>
    <row r="17" spans="2:24" ht="15.75" x14ac:dyDescent="0.25">
      <c r="B17" s="62"/>
      <c r="C17" s="59"/>
      <c r="D17" s="59"/>
      <c r="E17" s="59"/>
      <c r="F17" s="59"/>
      <c r="G17" s="59"/>
      <c r="H17" s="60"/>
      <c r="I17" s="59"/>
      <c r="J17" s="60"/>
      <c r="K17" s="60"/>
      <c r="L17" s="59"/>
      <c r="M17" s="61"/>
      <c r="O17" s="62"/>
      <c r="P17" s="63" t="s">
        <v>70</v>
      </c>
      <c r="Q17" s="63"/>
      <c r="R17" s="63"/>
      <c r="S17" s="76" t="s">
        <v>1013</v>
      </c>
      <c r="T17" s="76"/>
      <c r="U17" s="85"/>
      <c r="V17" s="85"/>
      <c r="W17" s="59"/>
      <c r="X17" s="77"/>
    </row>
    <row r="18" spans="2:24" ht="15.75" x14ac:dyDescent="0.25">
      <c r="B18" s="58"/>
      <c r="C18" s="59"/>
      <c r="D18" s="59"/>
      <c r="E18" s="59"/>
      <c r="F18" s="59"/>
      <c r="G18" s="37"/>
      <c r="H18" s="60"/>
      <c r="I18" s="59"/>
      <c r="J18" s="60"/>
      <c r="K18" s="60"/>
      <c r="L18" s="59"/>
      <c r="M18" s="61"/>
      <c r="O18" s="75"/>
      <c r="P18" s="63"/>
      <c r="Q18" s="63"/>
      <c r="R18" s="63"/>
      <c r="S18" s="76" t="s">
        <v>1013</v>
      </c>
      <c r="T18" s="76"/>
      <c r="U18" s="85"/>
      <c r="V18" s="85"/>
      <c r="W18" s="59"/>
      <c r="X18" s="77"/>
    </row>
    <row r="19" spans="2:24" ht="15.75" x14ac:dyDescent="0.25">
      <c r="B19" s="58"/>
      <c r="C19" s="59"/>
      <c r="D19" s="59"/>
      <c r="E19" s="59"/>
      <c r="F19" s="59"/>
      <c r="G19" s="37"/>
      <c r="H19" s="60"/>
      <c r="I19" s="59"/>
      <c r="J19" s="60"/>
      <c r="K19" s="60"/>
      <c r="L19" s="59"/>
      <c r="M19" s="61"/>
      <c r="O19" s="78"/>
      <c r="P19" s="63"/>
      <c r="Q19" s="63"/>
      <c r="R19" s="63"/>
      <c r="S19" s="76"/>
      <c r="T19" s="76"/>
      <c r="U19" s="85"/>
      <c r="V19" s="85"/>
      <c r="W19" s="59"/>
      <c r="X19" s="77"/>
    </row>
    <row r="20" spans="2:24" ht="15.75" x14ac:dyDescent="0.25">
      <c r="B20" s="58"/>
      <c r="C20" s="59"/>
      <c r="D20" s="59"/>
      <c r="E20" s="59"/>
      <c r="F20" s="59"/>
      <c r="G20" s="37"/>
      <c r="H20" s="60"/>
      <c r="I20" s="59"/>
      <c r="J20" s="60"/>
      <c r="K20" s="60"/>
      <c r="L20" s="59"/>
      <c r="M20" s="61"/>
      <c r="O20" s="78"/>
      <c r="P20" s="63"/>
      <c r="Q20" s="63"/>
      <c r="R20" s="63"/>
      <c r="S20" s="76"/>
      <c r="T20" s="76"/>
      <c r="U20" s="85"/>
      <c r="V20" s="85"/>
      <c r="W20" s="59"/>
      <c r="X20" s="77"/>
    </row>
    <row r="21" spans="2:24" ht="15.75" thickBot="1" x14ac:dyDescent="0.3">
      <c r="B21" s="44"/>
      <c r="C21" s="224" t="s">
        <v>25</v>
      </c>
      <c r="D21" s="224"/>
      <c r="E21" s="224"/>
      <c r="F21" s="224"/>
      <c r="G21" s="224"/>
      <c r="H21" s="224"/>
      <c r="I21" s="45">
        <f>COUNT(B8:B20)</f>
        <v>3</v>
      </c>
      <c r="J21" s="46"/>
      <c r="K21" s="46"/>
      <c r="L21" s="47"/>
      <c r="M21" s="48"/>
      <c r="O21" s="79"/>
      <c r="P21" s="226" t="s">
        <v>84</v>
      </c>
      <c r="Q21" s="226"/>
      <c r="R21" s="226"/>
      <c r="S21" s="226"/>
      <c r="T21" s="80">
        <f>COUNT(O8:O20)</f>
        <v>2</v>
      </c>
      <c r="U21" s="87"/>
      <c r="V21" s="87"/>
      <c r="W21" s="81"/>
      <c r="X21" s="82"/>
    </row>
    <row r="22" spans="2:24" x14ac:dyDescent="0.25">
      <c r="C22" s="23"/>
      <c r="D22" s="23"/>
      <c r="E22" s="23"/>
      <c r="F22" s="23"/>
      <c r="G22" s="23"/>
      <c r="H22" s="102"/>
      <c r="J22" s="22"/>
      <c r="K22" s="22"/>
      <c r="S22" s="25"/>
      <c r="T22" s="25"/>
      <c r="U22" s="83"/>
      <c r="V22" s="83"/>
      <c r="W22" s="25"/>
      <c r="X22" s="25"/>
    </row>
    <row r="23" spans="2:24" ht="15.75" thickBot="1" x14ac:dyDescent="0.3">
      <c r="J23" s="22"/>
      <c r="K23" s="22"/>
      <c r="S23" s="25"/>
      <c r="T23" s="25"/>
      <c r="U23" s="83"/>
      <c r="V23" s="83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3" t="s">
        <v>2</v>
      </c>
      <c r="H24" s="223"/>
      <c r="I24" s="40"/>
      <c r="J24" s="51"/>
      <c r="K24" s="51"/>
      <c r="L24" s="40"/>
      <c r="M24" s="41"/>
      <c r="O24" s="67"/>
      <c r="P24" s="68"/>
      <c r="Q24" s="68"/>
      <c r="R24" s="68"/>
      <c r="S24" s="207"/>
      <c r="T24" s="68"/>
      <c r="U24" s="84"/>
      <c r="V24" s="84"/>
      <c r="W24" s="68"/>
      <c r="X24" s="69"/>
    </row>
    <row r="25" spans="2:24" s="54" customFormat="1" x14ac:dyDescent="0.25">
      <c r="B25" s="118"/>
      <c r="C25" s="119"/>
      <c r="D25" s="119"/>
      <c r="E25" s="119"/>
      <c r="F25" s="119"/>
      <c r="G25" s="120"/>
      <c r="H25" s="120"/>
      <c r="I25" s="120"/>
      <c r="J25" s="121"/>
      <c r="K25" s="121"/>
      <c r="L25" s="120"/>
      <c r="M25" s="122"/>
      <c r="O25" s="70"/>
      <c r="P25" s="63"/>
      <c r="Q25" s="63"/>
      <c r="R25" s="63"/>
      <c r="S25" s="63"/>
      <c r="T25" s="63"/>
      <c r="U25" s="85"/>
      <c r="V25" s="85"/>
      <c r="W25" s="63"/>
      <c r="X25" s="71"/>
    </row>
    <row r="26" spans="2:24" s="24" customFormat="1" ht="15.75" x14ac:dyDescent="0.3">
      <c r="B26" s="91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1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2" t="s">
        <v>10</v>
      </c>
      <c r="P26" s="73" t="s">
        <v>11</v>
      </c>
      <c r="Q26" s="73" t="s">
        <v>76</v>
      </c>
      <c r="R26" s="73" t="s">
        <v>39</v>
      </c>
      <c r="S26" s="73" t="s">
        <v>72</v>
      </c>
      <c r="T26" s="73" t="s">
        <v>73</v>
      </c>
      <c r="U26" s="86" t="s">
        <v>74</v>
      </c>
      <c r="V26" s="86" t="s">
        <v>75</v>
      </c>
      <c r="W26" s="73" t="s">
        <v>5</v>
      </c>
      <c r="X26" s="74" t="s">
        <v>20</v>
      </c>
    </row>
    <row r="27" spans="2:24" s="24" customFormat="1" ht="15.75" x14ac:dyDescent="0.25">
      <c r="B27" s="62">
        <v>44897.506944444445</v>
      </c>
      <c r="C27" s="59" t="s">
        <v>68</v>
      </c>
      <c r="D27" s="59" t="s">
        <v>51</v>
      </c>
      <c r="E27" s="59">
        <v>0</v>
      </c>
      <c r="F27" s="59">
        <v>200</v>
      </c>
      <c r="G27" s="59"/>
      <c r="H27" s="59">
        <v>200.15</v>
      </c>
      <c r="I27" s="59">
        <v>0</v>
      </c>
      <c r="J27" s="60">
        <f>F27/H27</f>
        <v>0.9992505620784411</v>
      </c>
      <c r="K27" s="60">
        <f>(H27-F27)*100/F27</f>
        <v>7.5000000000002842E-2</v>
      </c>
      <c r="L27" s="59" t="s">
        <v>67</v>
      </c>
      <c r="M27" s="77" t="s">
        <v>215</v>
      </c>
      <c r="O27" s="62">
        <v>44903.527777777781</v>
      </c>
      <c r="P27" s="63" t="s">
        <v>71</v>
      </c>
      <c r="Q27" s="63">
        <v>4537.17</v>
      </c>
      <c r="R27" s="63">
        <v>3537.36</v>
      </c>
      <c r="S27" s="76" t="s">
        <v>1014</v>
      </c>
      <c r="T27" s="76">
        <v>850.05</v>
      </c>
      <c r="U27" s="85">
        <v>1.0026999999999999</v>
      </c>
      <c r="V27" s="85">
        <v>0.99909999999999999</v>
      </c>
      <c r="W27" s="59" t="s">
        <v>67</v>
      </c>
      <c r="X27" s="77" t="s">
        <v>215</v>
      </c>
    </row>
    <row r="28" spans="2:24" s="24" customFormat="1" ht="15.75" x14ac:dyDescent="0.25">
      <c r="B28" s="62">
        <v>44907.482638888891</v>
      </c>
      <c r="C28" s="59" t="s">
        <v>68</v>
      </c>
      <c r="D28" s="59" t="s">
        <v>51</v>
      </c>
      <c r="E28" s="59">
        <v>0</v>
      </c>
      <c r="F28" s="59">
        <v>200</v>
      </c>
      <c r="G28" s="59"/>
      <c r="H28" s="60">
        <v>200.142</v>
      </c>
      <c r="I28" s="59">
        <v>0</v>
      </c>
      <c r="J28" s="60">
        <f t="shared" ref="J28:J33" si="1">F28/H28</f>
        <v>0.99929050374234296</v>
      </c>
      <c r="K28" s="60">
        <f t="shared" ref="K28:K33" si="2">(H28-F28)*100/F28</f>
        <v>7.0999999999997954E-2</v>
      </c>
      <c r="L28" s="59" t="s">
        <v>67</v>
      </c>
      <c r="M28" s="61" t="s">
        <v>239</v>
      </c>
      <c r="O28" s="62" t="s">
        <v>2647</v>
      </c>
      <c r="P28" s="63" t="s">
        <v>71</v>
      </c>
      <c r="Q28" s="63">
        <v>6352.24</v>
      </c>
      <c r="R28" s="63">
        <v>6528.31</v>
      </c>
      <c r="S28" s="76" t="s">
        <v>1014</v>
      </c>
      <c r="T28" s="76">
        <v>852.24</v>
      </c>
      <c r="U28" s="85">
        <v>1.0209999999999999</v>
      </c>
      <c r="V28" s="85">
        <v>1.1002000000000001</v>
      </c>
      <c r="W28" s="59" t="s">
        <v>67</v>
      </c>
      <c r="X28" s="61" t="s">
        <v>215</v>
      </c>
    </row>
    <row r="29" spans="2:24" s="24" customFormat="1" ht="15.75" x14ac:dyDescent="0.25">
      <c r="B29" s="62">
        <v>44921.482638888891</v>
      </c>
      <c r="C29" s="59" t="s">
        <v>68</v>
      </c>
      <c r="D29" s="59" t="s">
        <v>51</v>
      </c>
      <c r="E29" s="59">
        <v>0</v>
      </c>
      <c r="F29" s="59">
        <v>200</v>
      </c>
      <c r="G29" s="59"/>
      <c r="H29" s="60">
        <v>200.36</v>
      </c>
      <c r="I29" s="59">
        <v>0</v>
      </c>
      <c r="J29" s="60">
        <f t="shared" si="1"/>
        <v>0.99820323417847867</v>
      </c>
      <c r="K29" s="60">
        <f t="shared" si="2"/>
        <v>0.18000000000000682</v>
      </c>
      <c r="L29" s="59" t="s">
        <v>67</v>
      </c>
      <c r="M29" s="61" t="s">
        <v>240</v>
      </c>
      <c r="O29" s="62">
        <v>44921.462500000001</v>
      </c>
      <c r="P29" s="63" t="s">
        <v>71</v>
      </c>
      <c r="Q29" s="63">
        <v>4618.33</v>
      </c>
      <c r="R29" s="63">
        <v>3602.91</v>
      </c>
      <c r="S29" s="76" t="s">
        <v>1014</v>
      </c>
      <c r="T29" s="76">
        <v>866.97</v>
      </c>
      <c r="U29" s="85">
        <v>1.0266</v>
      </c>
      <c r="V29" s="85">
        <v>1.0029999999999999</v>
      </c>
      <c r="W29" s="59" t="s">
        <v>67</v>
      </c>
      <c r="X29" s="61" t="s">
        <v>215</v>
      </c>
    </row>
    <row r="30" spans="2:24" s="24" customFormat="1" ht="15.75" x14ac:dyDescent="0.25">
      <c r="B30" s="62">
        <v>44923.517361111109</v>
      </c>
      <c r="C30" s="59" t="s">
        <v>68</v>
      </c>
      <c r="D30" s="59" t="s">
        <v>51</v>
      </c>
      <c r="E30" s="59">
        <v>0</v>
      </c>
      <c r="F30" s="59">
        <v>200</v>
      </c>
      <c r="G30" s="59"/>
      <c r="H30" s="60">
        <v>204.23</v>
      </c>
      <c r="I30" s="59">
        <v>0</v>
      </c>
      <c r="J30" s="60">
        <f t="shared" si="1"/>
        <v>0.97928805758213788</v>
      </c>
      <c r="K30" s="60">
        <f t="shared" si="2"/>
        <v>2.1149999999999949</v>
      </c>
      <c r="L30" s="59" t="s">
        <v>67</v>
      </c>
      <c r="M30" s="61" t="s">
        <v>240</v>
      </c>
      <c r="O30" s="62"/>
      <c r="P30" s="63" t="s">
        <v>71</v>
      </c>
      <c r="Q30" s="63"/>
      <c r="R30" s="63"/>
      <c r="S30" s="76" t="s">
        <v>1014</v>
      </c>
      <c r="T30" s="76"/>
      <c r="U30" s="85"/>
      <c r="V30" s="85"/>
      <c r="W30" s="59" t="s">
        <v>67</v>
      </c>
      <c r="X30" s="61"/>
    </row>
    <row r="31" spans="2:24" s="24" customFormat="1" ht="15.75" x14ac:dyDescent="0.25">
      <c r="B31" s="62"/>
      <c r="C31" s="59" t="s">
        <v>68</v>
      </c>
      <c r="D31" s="59" t="s">
        <v>51</v>
      </c>
      <c r="E31" s="59">
        <v>0</v>
      </c>
      <c r="F31" s="59">
        <v>200</v>
      </c>
      <c r="G31" s="59"/>
      <c r="H31" s="60"/>
      <c r="I31" s="59">
        <v>0</v>
      </c>
      <c r="J31" s="60" t="e">
        <f t="shared" si="1"/>
        <v>#DIV/0!</v>
      </c>
      <c r="K31" s="60">
        <f t="shared" si="2"/>
        <v>-100</v>
      </c>
      <c r="L31" s="59" t="s">
        <v>67</v>
      </c>
      <c r="M31" s="61"/>
      <c r="O31" s="62"/>
      <c r="P31" s="63" t="s">
        <v>71</v>
      </c>
      <c r="Q31" s="63"/>
      <c r="R31" s="63"/>
      <c r="S31" s="76" t="s">
        <v>1014</v>
      </c>
      <c r="T31" s="76"/>
      <c r="U31" s="85"/>
      <c r="V31" s="85"/>
      <c r="W31" s="59" t="s">
        <v>67</v>
      </c>
      <c r="X31" s="61"/>
    </row>
    <row r="32" spans="2:24" s="24" customFormat="1" ht="15.75" x14ac:dyDescent="0.25">
      <c r="B32" s="62"/>
      <c r="C32" s="59" t="s">
        <v>68</v>
      </c>
      <c r="D32" s="59" t="s">
        <v>51</v>
      </c>
      <c r="E32" s="59">
        <v>0</v>
      </c>
      <c r="F32" s="59">
        <v>200</v>
      </c>
      <c r="G32" s="59"/>
      <c r="H32" s="60"/>
      <c r="I32" s="59">
        <v>0</v>
      </c>
      <c r="J32" s="60" t="e">
        <f t="shared" si="1"/>
        <v>#DIV/0!</v>
      </c>
      <c r="K32" s="60">
        <f t="shared" si="2"/>
        <v>-100</v>
      </c>
      <c r="L32" s="59" t="s">
        <v>67</v>
      </c>
      <c r="M32" s="61"/>
      <c r="O32" s="62"/>
      <c r="P32" s="63" t="s">
        <v>71</v>
      </c>
      <c r="Q32" s="63"/>
      <c r="R32" s="63"/>
      <c r="S32" s="76" t="s">
        <v>1014</v>
      </c>
      <c r="T32" s="76"/>
      <c r="U32" s="85"/>
      <c r="V32" s="85"/>
      <c r="W32" s="59" t="s">
        <v>67</v>
      </c>
      <c r="X32" s="61"/>
    </row>
    <row r="33" spans="2:24" s="24" customFormat="1" ht="15.75" x14ac:dyDescent="0.25">
      <c r="B33" s="62"/>
      <c r="C33" s="59" t="s">
        <v>68</v>
      </c>
      <c r="D33" s="59" t="s">
        <v>51</v>
      </c>
      <c r="E33" s="59">
        <v>0</v>
      </c>
      <c r="F33" s="59"/>
      <c r="G33" s="59"/>
      <c r="H33" s="60"/>
      <c r="I33" s="59">
        <v>0</v>
      </c>
      <c r="J33" s="60" t="e">
        <f t="shared" si="1"/>
        <v>#DIV/0!</v>
      </c>
      <c r="K33" s="60" t="e">
        <f t="shared" si="2"/>
        <v>#DIV/0!</v>
      </c>
      <c r="L33" s="59" t="s">
        <v>67</v>
      </c>
      <c r="M33" s="61"/>
      <c r="O33" s="62"/>
      <c r="P33" s="63" t="s">
        <v>71</v>
      </c>
      <c r="Q33" s="63"/>
      <c r="R33" s="63"/>
      <c r="S33" s="76" t="s">
        <v>1014</v>
      </c>
      <c r="T33" s="76"/>
      <c r="U33" s="85"/>
      <c r="V33" s="85"/>
      <c r="W33" s="59" t="s">
        <v>67</v>
      </c>
      <c r="X33" s="77"/>
    </row>
    <row r="34" spans="2:24" s="24" customFormat="1" ht="15.75" x14ac:dyDescent="0.25">
      <c r="B34" s="62"/>
      <c r="C34" s="59"/>
      <c r="D34" s="59"/>
      <c r="E34" s="59"/>
      <c r="F34" s="59"/>
      <c r="G34" s="59"/>
      <c r="H34" s="60"/>
      <c r="I34" s="59"/>
      <c r="J34" s="60"/>
      <c r="K34" s="60"/>
      <c r="L34" s="59"/>
      <c r="M34" s="61"/>
      <c r="N34" s="54"/>
      <c r="O34" s="62"/>
      <c r="P34" s="63" t="s">
        <v>71</v>
      </c>
      <c r="Q34" s="63"/>
      <c r="R34" s="63"/>
      <c r="S34" s="76" t="s">
        <v>1014</v>
      </c>
      <c r="T34" s="76"/>
      <c r="U34" s="85"/>
      <c r="V34" s="85"/>
      <c r="W34" s="59" t="s">
        <v>67</v>
      </c>
      <c r="X34" s="77"/>
    </row>
    <row r="35" spans="2:24" s="24" customFormat="1" ht="15.75" x14ac:dyDescent="0.25">
      <c r="B35" s="62"/>
      <c r="C35" s="59"/>
      <c r="D35" s="59"/>
      <c r="E35" s="59"/>
      <c r="F35" s="59"/>
      <c r="G35" s="37"/>
      <c r="H35" s="60"/>
      <c r="I35" s="59"/>
      <c r="J35" s="60"/>
      <c r="K35" s="60"/>
      <c r="L35" s="59"/>
      <c r="M35" s="61"/>
      <c r="O35" s="62"/>
      <c r="P35" s="63" t="s">
        <v>71</v>
      </c>
      <c r="Q35" s="63"/>
      <c r="R35" s="63"/>
      <c r="S35" s="76" t="s">
        <v>1014</v>
      </c>
      <c r="T35" s="76"/>
      <c r="U35" s="85"/>
      <c r="V35" s="85"/>
      <c r="W35" s="59" t="s">
        <v>67</v>
      </c>
      <c r="X35" s="77"/>
    </row>
    <row r="36" spans="2:24" s="24" customFormat="1" ht="15.75" x14ac:dyDescent="0.25">
      <c r="B36" s="62"/>
      <c r="C36" s="59"/>
      <c r="D36" s="59"/>
      <c r="E36" s="59"/>
      <c r="F36" s="59"/>
      <c r="G36" s="59"/>
      <c r="H36" s="60"/>
      <c r="I36" s="59"/>
      <c r="J36" s="60"/>
      <c r="K36" s="60"/>
      <c r="L36" s="59"/>
      <c r="M36" s="61"/>
      <c r="O36" s="62"/>
      <c r="P36" s="63" t="s">
        <v>71</v>
      </c>
      <c r="Q36" s="63"/>
      <c r="R36" s="63"/>
      <c r="S36" s="76" t="s">
        <v>1014</v>
      </c>
      <c r="T36" s="76"/>
      <c r="U36" s="85"/>
      <c r="V36" s="85"/>
      <c r="W36" s="59"/>
      <c r="X36" s="77"/>
    </row>
    <row r="37" spans="2:24" s="24" customFormat="1" ht="15.75" x14ac:dyDescent="0.25">
      <c r="B37" s="58"/>
      <c r="C37" s="59"/>
      <c r="D37" s="59"/>
      <c r="E37" s="59"/>
      <c r="F37" s="59"/>
      <c r="G37" s="37"/>
      <c r="H37" s="60"/>
      <c r="I37" s="59"/>
      <c r="J37" s="60"/>
      <c r="K37" s="60"/>
      <c r="L37" s="59"/>
      <c r="M37" s="61"/>
      <c r="O37" s="75"/>
      <c r="P37" s="63" t="s">
        <v>71</v>
      </c>
      <c r="Q37" s="63"/>
      <c r="R37" s="63"/>
      <c r="S37" s="76" t="s">
        <v>1014</v>
      </c>
      <c r="T37" s="76"/>
      <c r="U37" s="85"/>
      <c r="V37" s="85"/>
      <c r="W37" s="59"/>
      <c r="X37" s="77"/>
    </row>
    <row r="38" spans="2:24" s="24" customFormat="1" ht="15.75" x14ac:dyDescent="0.25">
      <c r="B38" s="58"/>
      <c r="C38" s="59"/>
      <c r="D38" s="59"/>
      <c r="E38" s="59"/>
      <c r="F38" s="59"/>
      <c r="G38" s="37"/>
      <c r="H38" s="60"/>
      <c r="I38" s="59"/>
      <c r="J38" s="60"/>
      <c r="K38" s="60"/>
      <c r="L38" s="59"/>
      <c r="M38" s="61"/>
      <c r="O38" s="78"/>
      <c r="P38" s="63"/>
      <c r="Q38" s="63"/>
      <c r="R38" s="63"/>
      <c r="S38" s="76"/>
      <c r="T38" s="76"/>
      <c r="U38" s="85"/>
      <c r="V38" s="85"/>
      <c r="W38" s="59"/>
      <c r="X38" s="77"/>
    </row>
    <row r="39" spans="2:24" s="24" customFormat="1" ht="15.75" x14ac:dyDescent="0.25">
      <c r="B39" s="58"/>
      <c r="C39" s="59"/>
      <c r="D39" s="59"/>
      <c r="E39" s="59"/>
      <c r="F39" s="59"/>
      <c r="G39" s="37"/>
      <c r="H39" s="60"/>
      <c r="I39" s="59"/>
      <c r="J39" s="60"/>
      <c r="K39" s="60"/>
      <c r="L39" s="59"/>
      <c r="M39" s="61"/>
      <c r="O39" s="78"/>
      <c r="P39" s="63"/>
      <c r="Q39" s="63"/>
      <c r="R39" s="63"/>
      <c r="S39" s="76"/>
      <c r="T39" s="76"/>
      <c r="U39" s="85"/>
      <c r="V39" s="85"/>
      <c r="W39" s="59"/>
      <c r="X39" s="77"/>
    </row>
    <row r="40" spans="2:24" s="24" customFormat="1" ht="16.5" thickBot="1" x14ac:dyDescent="0.3">
      <c r="B40" s="43"/>
      <c r="C40" s="59"/>
      <c r="D40" s="59"/>
      <c r="E40" s="59"/>
      <c r="F40" s="59"/>
      <c r="G40" s="37"/>
      <c r="H40" s="60"/>
      <c r="I40" s="59"/>
      <c r="J40" s="60"/>
      <c r="K40" s="60"/>
      <c r="L40" s="59"/>
      <c r="M40" s="61"/>
      <c r="O40" s="79"/>
      <c r="P40" s="226" t="s">
        <v>85</v>
      </c>
      <c r="Q40" s="226"/>
      <c r="R40" s="226"/>
      <c r="S40" s="226"/>
      <c r="T40" s="80">
        <f>COUNT(O27:O39)</f>
        <v>2</v>
      </c>
      <c r="U40" s="87"/>
      <c r="V40" s="87"/>
      <c r="W40" s="81"/>
      <c r="X40" s="82"/>
    </row>
    <row r="41" spans="2:24" s="24" customFormat="1" ht="15.75" thickBot="1" x14ac:dyDescent="0.3">
      <c r="B41" s="44"/>
      <c r="C41" s="47"/>
      <c r="D41" s="224" t="s">
        <v>26</v>
      </c>
      <c r="E41" s="224"/>
      <c r="F41" s="224"/>
      <c r="G41" s="224"/>
      <c r="H41" s="224"/>
      <c r="I41" s="224"/>
      <c r="J41" s="52">
        <f>COUNT(B27:B39)</f>
        <v>4</v>
      </c>
      <c r="K41" s="46"/>
      <c r="L41" s="47"/>
      <c r="M41" s="48"/>
      <c r="O41" s="25"/>
      <c r="P41" s="25"/>
      <c r="Q41" s="25"/>
      <c r="R41" s="25"/>
      <c r="S41" s="25"/>
      <c r="T41" s="25"/>
      <c r="U41" s="83"/>
      <c r="V41" s="83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3"/>
      <c r="T42" s="83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3" t="s">
        <v>23</v>
      </c>
      <c r="H44" s="223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0"/>
      <c r="I45" s="37"/>
      <c r="J45" s="39"/>
      <c r="K45" s="39"/>
      <c r="L45" s="37"/>
      <c r="M45" s="42"/>
      <c r="O45" s="25"/>
      <c r="P45" s="25"/>
      <c r="Q45" s="25"/>
      <c r="R45" s="25"/>
      <c r="S45" s="83"/>
      <c r="T45" s="83"/>
      <c r="U45" s="25"/>
      <c r="V45" s="25"/>
    </row>
    <row r="46" spans="2:24" s="24" customFormat="1" ht="15.75" x14ac:dyDescent="0.3">
      <c r="B46" s="91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1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3"/>
      <c r="T46" s="83"/>
      <c r="U46" s="25"/>
      <c r="V46" s="25"/>
    </row>
    <row r="47" spans="2:24" s="24" customFormat="1" ht="15.75" x14ac:dyDescent="0.25">
      <c r="B47" s="62"/>
      <c r="C47" s="59" t="s">
        <v>23</v>
      </c>
      <c r="D47" s="59" t="s">
        <v>51</v>
      </c>
      <c r="E47" s="59">
        <v>0</v>
      </c>
      <c r="F47" s="59"/>
      <c r="G47" s="59"/>
      <c r="H47" s="60"/>
      <c r="I47" s="59">
        <v>0</v>
      </c>
      <c r="J47" s="60" t="e">
        <f>F47/H47</f>
        <v>#DIV/0!</v>
      </c>
      <c r="K47" s="60" t="e">
        <f>(H47-F47)*100/F47</f>
        <v>#DIV/0!</v>
      </c>
      <c r="L47" s="59" t="s">
        <v>67</v>
      </c>
      <c r="M47" s="61" t="s">
        <v>239</v>
      </c>
      <c r="O47" s="25"/>
      <c r="P47" s="25"/>
      <c r="Q47" s="25"/>
      <c r="R47" s="25"/>
      <c r="S47" s="83"/>
      <c r="T47" s="83"/>
      <c r="U47" s="25"/>
      <c r="V47" s="25"/>
    </row>
    <row r="48" spans="2:24" s="24" customFormat="1" ht="15.75" x14ac:dyDescent="0.25">
      <c r="B48" s="62"/>
      <c r="C48" s="59" t="s">
        <v>23</v>
      </c>
      <c r="D48" s="59" t="s">
        <v>51</v>
      </c>
      <c r="E48" s="59">
        <v>0</v>
      </c>
      <c r="F48" s="59"/>
      <c r="G48" s="59"/>
      <c r="H48" s="60"/>
      <c r="I48" s="59">
        <v>0</v>
      </c>
      <c r="J48" s="60" t="e">
        <f>F48/H48</f>
        <v>#DIV/0!</v>
      </c>
      <c r="K48" s="60" t="e">
        <f>(H48-F48)*100/F48</f>
        <v>#DIV/0!</v>
      </c>
      <c r="L48" s="59" t="s">
        <v>67</v>
      </c>
      <c r="M48" s="61"/>
      <c r="O48" s="25"/>
      <c r="P48" s="25"/>
      <c r="Q48" s="25"/>
      <c r="R48" s="25"/>
      <c r="S48" s="83"/>
      <c r="T48" s="83"/>
      <c r="U48" s="25"/>
      <c r="V48" s="25"/>
    </row>
    <row r="49" spans="2:22" s="24" customFormat="1" ht="15.75" x14ac:dyDescent="0.25">
      <c r="B49" s="62"/>
      <c r="C49" s="59" t="s">
        <v>23</v>
      </c>
      <c r="D49" s="59" t="s">
        <v>51</v>
      </c>
      <c r="E49" s="59">
        <v>0</v>
      </c>
      <c r="F49" s="59"/>
      <c r="G49" s="59"/>
      <c r="H49" s="60"/>
      <c r="I49" s="59">
        <v>0</v>
      </c>
      <c r="J49" s="60" t="e">
        <f>F49/H49</f>
        <v>#DIV/0!</v>
      </c>
      <c r="K49" s="60" t="e">
        <f>(H49-F49)*100/F49</f>
        <v>#DIV/0!</v>
      </c>
      <c r="L49" s="59" t="s">
        <v>67</v>
      </c>
      <c r="M49" s="61"/>
      <c r="O49" s="25"/>
      <c r="P49" s="25"/>
      <c r="Q49" s="25"/>
      <c r="R49" s="25"/>
      <c r="S49" s="83"/>
      <c r="T49" s="83"/>
      <c r="U49" s="25"/>
      <c r="V49" s="25"/>
    </row>
    <row r="50" spans="2:22" s="24" customFormat="1" ht="15.75" x14ac:dyDescent="0.25">
      <c r="B50" s="62"/>
      <c r="C50" s="59" t="s">
        <v>23</v>
      </c>
      <c r="D50" s="59" t="s">
        <v>51</v>
      </c>
      <c r="E50" s="59">
        <v>0</v>
      </c>
      <c r="F50" s="59"/>
      <c r="G50" s="59"/>
      <c r="H50" s="60"/>
      <c r="I50" s="59">
        <v>0</v>
      </c>
      <c r="J50" s="60" t="e">
        <f>F50/H50</f>
        <v>#DIV/0!</v>
      </c>
      <c r="K50" s="60" t="e">
        <f>(H50-F50)*100/F50</f>
        <v>#DIV/0!</v>
      </c>
      <c r="L50" s="59" t="s">
        <v>67</v>
      </c>
      <c r="M50" s="61"/>
      <c r="O50" s="25"/>
      <c r="P50" s="25"/>
      <c r="Q50" s="25"/>
      <c r="R50" s="25"/>
      <c r="S50" s="83"/>
      <c r="T50" s="83"/>
      <c r="U50" s="25"/>
      <c r="V50" s="25"/>
    </row>
    <row r="51" spans="2:22" s="24" customFormat="1" ht="15.75" x14ac:dyDescent="0.25">
      <c r="B51" s="62"/>
      <c r="C51" s="59" t="s">
        <v>23</v>
      </c>
      <c r="D51" s="59" t="s">
        <v>51</v>
      </c>
      <c r="E51" s="59">
        <v>0</v>
      </c>
      <c r="F51" s="59"/>
      <c r="G51" s="59"/>
      <c r="H51" s="60"/>
      <c r="I51" s="59">
        <v>0</v>
      </c>
      <c r="J51" s="60" t="e">
        <f>F51/H51</f>
        <v>#DIV/0!</v>
      </c>
      <c r="K51" s="60" t="e">
        <f>(H51-F51)*100/F51</f>
        <v>#DIV/0!</v>
      </c>
      <c r="L51" s="59" t="s">
        <v>67</v>
      </c>
      <c r="M51" s="61"/>
      <c r="O51" s="25"/>
      <c r="P51" s="25"/>
      <c r="Q51" s="25"/>
      <c r="R51" s="25"/>
      <c r="S51" s="83"/>
      <c r="T51" s="83"/>
      <c r="U51" s="25"/>
      <c r="V51" s="25"/>
    </row>
    <row r="52" spans="2:22" s="24" customFormat="1" ht="15.75" x14ac:dyDescent="0.25">
      <c r="B52" s="58"/>
      <c r="C52" s="59"/>
      <c r="D52" s="59"/>
      <c r="E52" s="59"/>
      <c r="F52" s="59"/>
      <c r="G52" s="59"/>
      <c r="H52" s="60"/>
      <c r="I52" s="59"/>
      <c r="J52" s="60"/>
      <c r="K52" s="60"/>
      <c r="L52" s="59"/>
      <c r="M52" s="61"/>
      <c r="O52" s="25"/>
      <c r="P52" s="25"/>
      <c r="Q52" s="25"/>
      <c r="R52" s="25"/>
      <c r="S52" s="83"/>
      <c r="T52" s="83"/>
      <c r="U52" s="25"/>
      <c r="V52" s="25"/>
    </row>
    <row r="53" spans="2:22" s="24" customFormat="1" ht="15.75" x14ac:dyDescent="0.25">
      <c r="B53" s="58"/>
      <c r="C53" s="59"/>
      <c r="D53" s="59"/>
      <c r="E53" s="59"/>
      <c r="F53" s="59"/>
      <c r="G53" s="59"/>
      <c r="H53" s="60"/>
      <c r="I53" s="59"/>
      <c r="J53" s="60"/>
      <c r="K53" s="60"/>
      <c r="L53" s="59"/>
      <c r="M53" s="61"/>
      <c r="O53" s="25"/>
      <c r="P53" s="25"/>
      <c r="Q53" s="25"/>
      <c r="R53" s="25"/>
      <c r="S53" s="83"/>
      <c r="T53" s="83"/>
      <c r="U53" s="25"/>
      <c r="V53" s="25"/>
    </row>
    <row r="54" spans="2:22" s="24" customFormat="1" ht="15.75" x14ac:dyDescent="0.25">
      <c r="B54" s="58"/>
      <c r="C54" s="59"/>
      <c r="D54" s="59"/>
      <c r="E54" s="59"/>
      <c r="F54" s="59"/>
      <c r="G54" s="59"/>
      <c r="H54" s="60"/>
      <c r="I54" s="59"/>
      <c r="J54" s="60"/>
      <c r="K54" s="60"/>
      <c r="L54" s="59"/>
      <c r="M54" s="61"/>
      <c r="O54" s="25"/>
      <c r="P54" s="25"/>
      <c r="Q54" s="25"/>
      <c r="R54" s="25"/>
      <c r="S54" s="83"/>
      <c r="T54" s="83"/>
      <c r="U54" s="25"/>
      <c r="V54" s="25"/>
    </row>
    <row r="55" spans="2:22" s="24" customFormat="1" ht="15.75" x14ac:dyDescent="0.25">
      <c r="B55" s="58"/>
      <c r="C55" s="59"/>
      <c r="D55" s="59"/>
      <c r="E55" s="59"/>
      <c r="F55" s="59"/>
      <c r="G55" s="37"/>
      <c r="H55" s="60"/>
      <c r="I55" s="59"/>
      <c r="J55" s="60"/>
      <c r="K55" s="60"/>
      <c r="L55" s="59"/>
      <c r="M55" s="61"/>
      <c r="O55" s="25"/>
      <c r="P55" s="25"/>
      <c r="Q55" s="25"/>
      <c r="R55" s="25"/>
      <c r="S55" s="83"/>
      <c r="T55" s="83"/>
      <c r="U55" s="25"/>
      <c r="V55" s="25"/>
    </row>
    <row r="56" spans="2:22" s="24" customFormat="1" ht="15.75" x14ac:dyDescent="0.25">
      <c r="B56" s="58"/>
      <c r="C56" s="59"/>
      <c r="D56" s="59"/>
      <c r="E56" s="59"/>
      <c r="F56" s="59"/>
      <c r="G56" s="37"/>
      <c r="H56" s="60"/>
      <c r="I56" s="59"/>
      <c r="J56" s="60"/>
      <c r="K56" s="60"/>
      <c r="L56" s="59"/>
      <c r="M56" s="61"/>
      <c r="O56" s="25"/>
      <c r="P56" s="25"/>
      <c r="Q56" s="25"/>
      <c r="R56" s="25"/>
      <c r="S56" s="83"/>
      <c r="T56" s="83"/>
      <c r="U56" s="25"/>
      <c r="V56" s="25"/>
    </row>
    <row r="57" spans="2:22" s="24" customFormat="1" ht="15.75" x14ac:dyDescent="0.25">
      <c r="B57" s="58"/>
      <c r="C57" s="59"/>
      <c r="D57" s="59"/>
      <c r="E57" s="59"/>
      <c r="F57" s="59"/>
      <c r="G57" s="37"/>
      <c r="H57" s="60"/>
      <c r="I57" s="59"/>
      <c r="J57" s="60"/>
      <c r="K57" s="60"/>
      <c r="L57" s="59"/>
      <c r="M57" s="61"/>
      <c r="O57" s="25"/>
      <c r="P57" s="25"/>
      <c r="Q57" s="25"/>
      <c r="R57" s="25"/>
      <c r="S57" s="83"/>
      <c r="T57" s="83"/>
      <c r="U57" s="25"/>
      <c r="V57" s="25"/>
    </row>
    <row r="58" spans="2:22" s="24" customFormat="1" ht="15.75" x14ac:dyDescent="0.25">
      <c r="B58" s="58"/>
      <c r="C58" s="59"/>
      <c r="D58" s="59"/>
      <c r="E58" s="59"/>
      <c r="F58" s="59"/>
      <c r="G58" s="37"/>
      <c r="H58" s="60"/>
      <c r="I58" s="59"/>
      <c r="J58" s="60"/>
      <c r="K58" s="60"/>
      <c r="L58" s="59"/>
      <c r="M58" s="61"/>
      <c r="O58" s="25"/>
      <c r="P58" s="25"/>
      <c r="Q58" s="25"/>
      <c r="R58" s="25"/>
      <c r="S58" s="83"/>
      <c r="T58" s="83"/>
      <c r="U58" s="25"/>
      <c r="V58" s="25"/>
    </row>
    <row r="59" spans="2:22" s="24" customFormat="1" ht="15.75" x14ac:dyDescent="0.25">
      <c r="B59" s="58"/>
      <c r="C59" s="59"/>
      <c r="D59" s="59"/>
      <c r="E59" s="59"/>
      <c r="F59" s="59"/>
      <c r="G59" s="37"/>
      <c r="H59" s="60"/>
      <c r="I59" s="59"/>
      <c r="J59" s="60"/>
      <c r="K59" s="60"/>
      <c r="L59" s="59"/>
      <c r="M59" s="61"/>
      <c r="O59" s="25"/>
      <c r="P59" s="25"/>
      <c r="Q59" s="25"/>
      <c r="R59" s="25"/>
      <c r="S59" s="83"/>
      <c r="T59" s="83"/>
      <c r="U59" s="25"/>
      <c r="V59" s="25"/>
    </row>
    <row r="60" spans="2:22" s="24" customFormat="1" ht="15.75" x14ac:dyDescent="0.25">
      <c r="B60" s="43"/>
      <c r="C60" s="59"/>
      <c r="D60" s="59"/>
      <c r="E60" s="59"/>
      <c r="F60" s="59"/>
      <c r="G60" s="37"/>
      <c r="H60" s="60"/>
      <c r="I60" s="59"/>
      <c r="J60" s="60"/>
      <c r="K60" s="60"/>
      <c r="L60" s="59"/>
      <c r="M60" s="61"/>
      <c r="O60" s="25"/>
      <c r="P60" s="25"/>
      <c r="Q60" s="25"/>
      <c r="R60" s="25"/>
      <c r="S60" s="83"/>
      <c r="T60" s="83"/>
      <c r="U60" s="25"/>
      <c r="V60" s="25"/>
    </row>
    <row r="61" spans="2:22" s="24" customFormat="1" ht="15.75" thickBot="1" x14ac:dyDescent="0.3">
      <c r="B61" s="44"/>
      <c r="C61" s="47"/>
      <c r="D61" s="224" t="s">
        <v>27</v>
      </c>
      <c r="E61" s="224"/>
      <c r="F61" s="224"/>
      <c r="G61" s="224"/>
      <c r="H61" s="224"/>
      <c r="I61" s="224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3"/>
      <c r="T61" s="83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3"/>
      <c r="T62" s="83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3" t="s">
        <v>3</v>
      </c>
      <c r="H64" s="223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0"/>
      <c r="I65" s="37"/>
      <c r="J65" s="39"/>
      <c r="K65" s="39"/>
      <c r="L65" s="37"/>
      <c r="M65" s="42"/>
    </row>
    <row r="66" spans="2:13" ht="15.75" x14ac:dyDescent="0.3">
      <c r="B66" s="91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1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2">
        <v>44897.506944444445</v>
      </c>
      <c r="C67" s="59" t="s">
        <v>3</v>
      </c>
      <c r="D67" s="59" t="s">
        <v>52</v>
      </c>
      <c r="E67" s="59">
        <v>0</v>
      </c>
      <c r="F67" s="59">
        <v>5</v>
      </c>
      <c r="G67" s="59">
        <v>0</v>
      </c>
      <c r="H67" s="116">
        <v>5.1239999999999997</v>
      </c>
      <c r="I67" s="59">
        <v>0</v>
      </c>
      <c r="J67" s="60">
        <f>F67/H67</f>
        <v>0.97580015612802506</v>
      </c>
      <c r="K67" s="60">
        <f>(H67-F67)*100/F67</f>
        <v>2.4799999999999933</v>
      </c>
      <c r="L67" s="59" t="s">
        <v>67</v>
      </c>
      <c r="M67" s="77" t="s">
        <v>240</v>
      </c>
    </row>
    <row r="68" spans="2:13" ht="15.75" x14ac:dyDescent="0.25">
      <c r="B68" s="62">
        <v>44907.451388888891</v>
      </c>
      <c r="C68" s="59" t="s">
        <v>3</v>
      </c>
      <c r="D68" s="59" t="s">
        <v>52</v>
      </c>
      <c r="E68" s="59">
        <v>0</v>
      </c>
      <c r="F68" s="59">
        <v>5</v>
      </c>
      <c r="G68" s="59">
        <v>0</v>
      </c>
      <c r="H68" s="60">
        <v>5.4249999999999998</v>
      </c>
      <c r="I68" s="59">
        <v>0</v>
      </c>
      <c r="J68" s="60">
        <f t="shared" ref="J68:J73" si="3">F68/H68</f>
        <v>0.92165898617511521</v>
      </c>
      <c r="K68" s="60">
        <f t="shared" ref="K68:K73" si="4">(H68-F68)*100/F68</f>
        <v>8.4999999999999964</v>
      </c>
      <c r="L68" s="59" t="s">
        <v>67</v>
      </c>
      <c r="M68" s="61" t="s">
        <v>240</v>
      </c>
    </row>
    <row r="69" spans="2:13" ht="15.75" x14ac:dyDescent="0.25">
      <c r="B69" s="62">
        <v>44921.489583333336</v>
      </c>
      <c r="C69" s="59" t="s">
        <v>3</v>
      </c>
      <c r="D69" s="59" t="s">
        <v>52</v>
      </c>
      <c r="E69" s="59">
        <v>0</v>
      </c>
      <c r="F69" s="59">
        <v>5</v>
      </c>
      <c r="G69" s="59">
        <v>0</v>
      </c>
      <c r="H69" s="60">
        <v>5.3559999999999999</v>
      </c>
      <c r="I69" s="59">
        <v>0</v>
      </c>
      <c r="J69" s="60">
        <f t="shared" si="3"/>
        <v>0.93353248693054525</v>
      </c>
      <c r="K69" s="60">
        <f t="shared" si="4"/>
        <v>7.1199999999999974</v>
      </c>
      <c r="L69" s="59" t="s">
        <v>67</v>
      </c>
      <c r="M69" s="61" t="s">
        <v>240</v>
      </c>
    </row>
    <row r="70" spans="2:13" ht="15.75" x14ac:dyDescent="0.25">
      <c r="B70" s="62"/>
      <c r="C70" s="59" t="s">
        <v>3</v>
      </c>
      <c r="D70" s="59" t="s">
        <v>52</v>
      </c>
      <c r="E70" s="59">
        <v>0</v>
      </c>
      <c r="F70" s="59">
        <v>5</v>
      </c>
      <c r="G70" s="59">
        <v>0</v>
      </c>
      <c r="H70" s="60"/>
      <c r="I70" s="59">
        <v>0</v>
      </c>
      <c r="J70" s="60" t="e">
        <f t="shared" si="3"/>
        <v>#DIV/0!</v>
      </c>
      <c r="K70" s="60">
        <f t="shared" si="4"/>
        <v>-100</v>
      </c>
      <c r="L70" s="59" t="s">
        <v>67</v>
      </c>
      <c r="M70" s="61"/>
    </row>
    <row r="71" spans="2:13" ht="15.75" x14ac:dyDescent="0.25">
      <c r="B71" s="62"/>
      <c r="C71" s="59" t="s">
        <v>3</v>
      </c>
      <c r="D71" s="59" t="s">
        <v>52</v>
      </c>
      <c r="E71" s="59">
        <v>0</v>
      </c>
      <c r="F71" s="59">
        <v>6</v>
      </c>
      <c r="G71" s="59">
        <v>0</v>
      </c>
      <c r="H71" s="116"/>
      <c r="I71" s="59">
        <v>0</v>
      </c>
      <c r="J71" s="60" t="e">
        <f t="shared" si="3"/>
        <v>#DIV/0!</v>
      </c>
      <c r="K71" s="60">
        <f t="shared" si="4"/>
        <v>-100</v>
      </c>
      <c r="L71" s="59" t="s">
        <v>67</v>
      </c>
      <c r="M71" s="61"/>
    </row>
    <row r="72" spans="2:13" ht="15.75" x14ac:dyDescent="0.25">
      <c r="B72" s="62"/>
      <c r="C72" s="59" t="s">
        <v>3</v>
      </c>
      <c r="D72" s="59" t="s">
        <v>52</v>
      </c>
      <c r="E72" s="59">
        <v>0</v>
      </c>
      <c r="F72" s="59"/>
      <c r="G72" s="59">
        <v>0</v>
      </c>
      <c r="H72" s="116"/>
      <c r="I72" s="59">
        <v>0</v>
      </c>
      <c r="J72" s="60" t="e">
        <f t="shared" si="3"/>
        <v>#DIV/0!</v>
      </c>
      <c r="K72" s="60" t="e">
        <f t="shared" si="4"/>
        <v>#DIV/0!</v>
      </c>
      <c r="L72" s="59" t="s">
        <v>67</v>
      </c>
      <c r="M72" s="61"/>
    </row>
    <row r="73" spans="2:13" ht="15.75" x14ac:dyDescent="0.25">
      <c r="B73" s="62"/>
      <c r="C73" s="59" t="s">
        <v>3</v>
      </c>
      <c r="D73" s="59" t="s">
        <v>52</v>
      </c>
      <c r="E73" s="59">
        <v>0</v>
      </c>
      <c r="F73" s="59"/>
      <c r="G73" s="59">
        <v>0</v>
      </c>
      <c r="H73" s="116"/>
      <c r="I73" s="59">
        <v>0</v>
      </c>
      <c r="J73" s="60" t="e">
        <f t="shared" si="3"/>
        <v>#DIV/0!</v>
      </c>
      <c r="K73" s="60" t="e">
        <f t="shared" si="4"/>
        <v>#DIV/0!</v>
      </c>
      <c r="L73" s="59" t="s">
        <v>67</v>
      </c>
      <c r="M73" s="61"/>
    </row>
    <row r="74" spans="2:13" ht="15.75" x14ac:dyDescent="0.25">
      <c r="B74" s="62"/>
      <c r="C74" s="59"/>
      <c r="D74" s="59"/>
      <c r="E74" s="59"/>
      <c r="F74" s="59"/>
      <c r="G74" s="59"/>
      <c r="H74" s="116"/>
      <c r="I74" s="59"/>
      <c r="J74" s="60"/>
      <c r="K74" s="60"/>
      <c r="L74" s="59"/>
      <c r="M74" s="61"/>
    </row>
    <row r="75" spans="2:13" ht="15.75" x14ac:dyDescent="0.25">
      <c r="B75" s="62"/>
      <c r="C75" s="59"/>
      <c r="D75" s="59"/>
      <c r="E75" s="59"/>
      <c r="F75" s="59"/>
      <c r="G75" s="59"/>
      <c r="H75" s="116"/>
      <c r="I75" s="59"/>
      <c r="J75" s="60"/>
      <c r="K75" s="60"/>
      <c r="L75" s="59"/>
      <c r="M75" s="61"/>
    </row>
    <row r="76" spans="2:13" ht="15.75" x14ac:dyDescent="0.25">
      <c r="B76" s="62"/>
      <c r="C76" s="59"/>
      <c r="D76" s="59"/>
      <c r="E76" s="59"/>
      <c r="F76" s="59"/>
      <c r="G76" s="59"/>
      <c r="H76" s="116"/>
      <c r="I76" s="59"/>
      <c r="J76" s="60"/>
      <c r="K76" s="60"/>
      <c r="L76" s="59"/>
      <c r="M76" s="61"/>
    </row>
    <row r="77" spans="2:13" ht="15.75" x14ac:dyDescent="0.25">
      <c r="B77" s="58"/>
      <c r="C77" s="59"/>
      <c r="D77" s="59"/>
      <c r="E77" s="59"/>
      <c r="F77" s="59"/>
      <c r="G77" s="37"/>
      <c r="H77" s="116"/>
      <c r="I77" s="59"/>
      <c r="J77" s="60"/>
      <c r="K77" s="60"/>
      <c r="L77" s="59"/>
      <c r="M77" s="57"/>
    </row>
    <row r="78" spans="2:13" ht="15.75" x14ac:dyDescent="0.25">
      <c r="B78" s="58"/>
      <c r="C78" s="59"/>
      <c r="D78" s="59"/>
      <c r="E78" s="59"/>
      <c r="F78" s="59"/>
      <c r="G78" s="37"/>
      <c r="H78" s="116"/>
      <c r="I78" s="59"/>
      <c r="J78" s="60"/>
      <c r="K78" s="60"/>
      <c r="L78" s="59"/>
      <c r="M78" s="57"/>
    </row>
    <row r="79" spans="2:13" ht="15.75" x14ac:dyDescent="0.25">
      <c r="B79" s="58"/>
      <c r="C79" s="59"/>
      <c r="D79" s="59"/>
      <c r="E79" s="59"/>
      <c r="F79" s="59"/>
      <c r="G79" s="37"/>
      <c r="H79" s="116"/>
      <c r="I79" s="59"/>
      <c r="J79" s="60"/>
      <c r="K79" s="60"/>
      <c r="L79" s="59"/>
      <c r="M79" s="57"/>
    </row>
    <row r="80" spans="2:13" ht="15.75" x14ac:dyDescent="0.25">
      <c r="B80" s="43"/>
      <c r="C80" s="59"/>
      <c r="D80" s="59"/>
      <c r="E80" s="59"/>
      <c r="F80" s="59"/>
      <c r="G80" s="37"/>
      <c r="H80" s="116"/>
      <c r="I80" s="59"/>
      <c r="J80" s="60"/>
      <c r="K80" s="60"/>
      <c r="L80" s="59"/>
      <c r="M80" s="61"/>
    </row>
    <row r="81" spans="2:13" ht="15.75" thickBot="1" x14ac:dyDescent="0.3">
      <c r="B81" s="44"/>
      <c r="C81" s="47"/>
      <c r="D81" s="224" t="s">
        <v>28</v>
      </c>
      <c r="E81" s="224"/>
      <c r="F81" s="224"/>
      <c r="G81" s="224"/>
      <c r="H81" s="224"/>
      <c r="I81" s="224"/>
      <c r="J81" s="52">
        <f>COUNT(B67:B79)</f>
        <v>3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3" t="s">
        <v>24</v>
      </c>
      <c r="H84" s="223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0"/>
      <c r="I85" s="37"/>
      <c r="J85" s="39"/>
      <c r="K85" s="39"/>
      <c r="L85" s="37"/>
      <c r="M85" s="42"/>
    </row>
    <row r="86" spans="2:13" ht="15.75" x14ac:dyDescent="0.3">
      <c r="B86" s="91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1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2"/>
      <c r="C87" s="59" t="s">
        <v>24</v>
      </c>
      <c r="D87" s="59" t="s">
        <v>51</v>
      </c>
      <c r="E87" s="59">
        <v>0</v>
      </c>
      <c r="F87" s="59">
        <v>60</v>
      </c>
      <c r="G87" s="59">
        <v>0</v>
      </c>
      <c r="H87" s="60"/>
      <c r="I87" s="59">
        <v>0</v>
      </c>
      <c r="J87" s="60" t="e">
        <f t="shared" ref="J87:J92" si="5">F87/H87</f>
        <v>#DIV/0!</v>
      </c>
      <c r="K87" s="60">
        <f t="shared" ref="K87:K92" si="6">(H87-F87)*100/F87</f>
        <v>-100</v>
      </c>
      <c r="L87" s="59" t="s">
        <v>67</v>
      </c>
      <c r="M87" s="61"/>
    </row>
    <row r="88" spans="2:13" ht="15.75" x14ac:dyDescent="0.25">
      <c r="B88" s="62"/>
      <c r="C88" s="59" t="s">
        <v>24</v>
      </c>
      <c r="D88" s="59" t="s">
        <v>51</v>
      </c>
      <c r="E88" s="59">
        <v>0</v>
      </c>
      <c r="F88" s="59">
        <v>60</v>
      </c>
      <c r="G88" s="59">
        <v>0</v>
      </c>
      <c r="H88" s="60"/>
      <c r="I88" s="59">
        <v>0</v>
      </c>
      <c r="J88" s="60" t="e">
        <f t="shared" si="5"/>
        <v>#DIV/0!</v>
      </c>
      <c r="K88" s="60">
        <f t="shared" si="6"/>
        <v>-100</v>
      </c>
      <c r="L88" s="59" t="s">
        <v>67</v>
      </c>
      <c r="M88" s="61"/>
    </row>
    <row r="89" spans="2:13" ht="15.75" x14ac:dyDescent="0.25">
      <c r="B89" s="62"/>
      <c r="C89" s="59" t="s">
        <v>24</v>
      </c>
      <c r="D89" s="59" t="s">
        <v>51</v>
      </c>
      <c r="E89" s="59">
        <v>0</v>
      </c>
      <c r="F89" s="59"/>
      <c r="G89" s="59">
        <v>0</v>
      </c>
      <c r="H89" s="60"/>
      <c r="I89" s="59">
        <v>0</v>
      </c>
      <c r="J89" s="60" t="e">
        <f t="shared" si="5"/>
        <v>#DIV/0!</v>
      </c>
      <c r="K89" s="60" t="e">
        <f t="shared" si="6"/>
        <v>#DIV/0!</v>
      </c>
      <c r="L89" s="59" t="s">
        <v>67</v>
      </c>
      <c r="M89" s="61"/>
    </row>
    <row r="90" spans="2:13" ht="15.75" x14ac:dyDescent="0.25">
      <c r="B90" s="62"/>
      <c r="C90" s="59" t="s">
        <v>24</v>
      </c>
      <c r="D90" s="59" t="s">
        <v>51</v>
      </c>
      <c r="E90" s="59">
        <v>0</v>
      </c>
      <c r="F90" s="59"/>
      <c r="G90" s="59">
        <v>0</v>
      </c>
      <c r="H90" s="60"/>
      <c r="I90" s="59">
        <v>0</v>
      </c>
      <c r="J90" s="60" t="e">
        <f t="shared" si="5"/>
        <v>#DIV/0!</v>
      </c>
      <c r="K90" s="60" t="e">
        <f t="shared" si="6"/>
        <v>#DIV/0!</v>
      </c>
      <c r="L90" s="59" t="s">
        <v>67</v>
      </c>
      <c r="M90" s="61"/>
    </row>
    <row r="91" spans="2:13" ht="15.75" x14ac:dyDescent="0.25">
      <c r="B91" s="62"/>
      <c r="C91" s="59" t="s">
        <v>24</v>
      </c>
      <c r="D91" s="59" t="s">
        <v>51</v>
      </c>
      <c r="E91" s="59">
        <v>0</v>
      </c>
      <c r="F91" s="59"/>
      <c r="G91" s="59">
        <v>0</v>
      </c>
      <c r="H91" s="60"/>
      <c r="I91" s="59">
        <v>0</v>
      </c>
      <c r="J91" s="60" t="e">
        <f t="shared" si="5"/>
        <v>#DIV/0!</v>
      </c>
      <c r="K91" s="60" t="e">
        <f t="shared" si="6"/>
        <v>#DIV/0!</v>
      </c>
      <c r="L91" s="59" t="s">
        <v>67</v>
      </c>
      <c r="M91" s="61"/>
    </row>
    <row r="92" spans="2:13" ht="15.75" x14ac:dyDescent="0.25">
      <c r="B92" s="62"/>
      <c r="C92" s="59" t="s">
        <v>24</v>
      </c>
      <c r="D92" s="59" t="s">
        <v>51</v>
      </c>
      <c r="E92" s="59">
        <v>0</v>
      </c>
      <c r="F92" s="59"/>
      <c r="G92" s="59">
        <v>0</v>
      </c>
      <c r="H92" s="60"/>
      <c r="I92" s="59">
        <v>0</v>
      </c>
      <c r="J92" s="60" t="e">
        <f t="shared" si="5"/>
        <v>#DIV/0!</v>
      </c>
      <c r="K92" s="60" t="e">
        <f t="shared" si="6"/>
        <v>#DIV/0!</v>
      </c>
      <c r="L92" s="59" t="s">
        <v>67</v>
      </c>
      <c r="M92" s="61"/>
    </row>
    <row r="93" spans="2:13" ht="15.75" x14ac:dyDescent="0.25">
      <c r="B93" s="58"/>
      <c r="C93" s="59"/>
      <c r="D93" s="59"/>
      <c r="E93" s="59"/>
      <c r="F93" s="59"/>
      <c r="G93" s="59"/>
      <c r="H93" s="60"/>
      <c r="I93" s="59"/>
      <c r="J93" s="60"/>
      <c r="K93" s="60"/>
      <c r="L93" s="59"/>
      <c r="M93" s="61"/>
    </row>
    <row r="94" spans="2:13" ht="15.75" x14ac:dyDescent="0.25">
      <c r="B94" s="58"/>
      <c r="C94" s="59"/>
      <c r="D94" s="59"/>
      <c r="E94" s="59"/>
      <c r="F94" s="59"/>
      <c r="G94" s="59"/>
      <c r="H94" s="60"/>
      <c r="I94" s="59"/>
      <c r="J94" s="60"/>
      <c r="K94" s="60"/>
      <c r="L94" s="59"/>
      <c r="M94" s="61"/>
    </row>
    <row r="95" spans="2:13" ht="15.75" x14ac:dyDescent="0.25">
      <c r="B95" s="58"/>
      <c r="C95" s="59"/>
      <c r="D95" s="59"/>
      <c r="E95" s="59"/>
      <c r="F95" s="59"/>
      <c r="G95" s="59"/>
      <c r="H95" s="60"/>
      <c r="I95" s="59"/>
      <c r="J95" s="60"/>
      <c r="K95" s="60"/>
      <c r="L95" s="59"/>
      <c r="M95" s="57"/>
    </row>
    <row r="96" spans="2:13" ht="15.75" x14ac:dyDescent="0.25">
      <c r="B96" s="58"/>
      <c r="C96" s="59"/>
      <c r="D96" s="59"/>
      <c r="E96" s="59"/>
      <c r="F96" s="59"/>
      <c r="G96" s="59"/>
      <c r="H96" s="60"/>
      <c r="I96" s="59"/>
      <c r="J96" s="60"/>
      <c r="K96" s="60"/>
      <c r="L96" s="59"/>
      <c r="M96" s="57"/>
    </row>
    <row r="97" spans="2:13" ht="15.75" x14ac:dyDescent="0.25">
      <c r="B97" s="58"/>
      <c r="C97" s="59"/>
      <c r="D97" s="59"/>
      <c r="E97" s="59"/>
      <c r="F97" s="59"/>
      <c r="G97" s="59"/>
      <c r="H97" s="60"/>
      <c r="I97" s="59"/>
      <c r="J97" s="60"/>
      <c r="K97" s="60"/>
      <c r="L97" s="59"/>
      <c r="M97" s="57"/>
    </row>
    <row r="98" spans="2:13" ht="15.75" x14ac:dyDescent="0.25">
      <c r="B98" s="58"/>
      <c r="C98" s="59"/>
      <c r="D98" s="59"/>
      <c r="E98" s="59"/>
      <c r="F98" s="59"/>
      <c r="G98" s="59"/>
      <c r="H98" s="60"/>
      <c r="I98" s="59"/>
      <c r="J98" s="60"/>
      <c r="K98" s="60"/>
      <c r="L98" s="59"/>
      <c r="M98" s="57"/>
    </row>
    <row r="99" spans="2:13" ht="15.75" x14ac:dyDescent="0.25">
      <c r="B99" s="58"/>
      <c r="C99" s="59"/>
      <c r="D99" s="59"/>
      <c r="E99" s="59"/>
      <c r="F99" s="59"/>
      <c r="G99" s="59"/>
      <c r="H99" s="60"/>
      <c r="I99" s="59"/>
      <c r="J99" s="60"/>
      <c r="K99" s="60"/>
      <c r="L99" s="59"/>
      <c r="M99" s="57"/>
    </row>
    <row r="100" spans="2:13" ht="15.75" x14ac:dyDescent="0.25">
      <c r="B100" s="43"/>
      <c r="C100" s="59"/>
      <c r="D100" s="59"/>
      <c r="E100" s="59"/>
      <c r="F100" s="59"/>
      <c r="G100" s="59"/>
      <c r="H100" s="60"/>
      <c r="I100" s="59"/>
      <c r="J100" s="60"/>
      <c r="K100" s="60"/>
      <c r="L100" s="59"/>
      <c r="M100" s="61"/>
    </row>
    <row r="101" spans="2:13" ht="15.75" thickBot="1" x14ac:dyDescent="0.3">
      <c r="B101" s="44"/>
      <c r="C101" s="47"/>
      <c r="D101" s="224" t="s">
        <v>29</v>
      </c>
      <c r="E101" s="224"/>
      <c r="F101" s="224"/>
      <c r="G101" s="224"/>
      <c r="H101" s="224"/>
      <c r="I101" s="224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5" t="s">
        <v>4</v>
      </c>
      <c r="H104" s="225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0"/>
      <c r="I105" s="37"/>
      <c r="J105" s="37"/>
      <c r="K105" s="37"/>
      <c r="L105" s="37"/>
      <c r="M105" s="42"/>
    </row>
    <row r="106" spans="2:13" ht="15.75" x14ac:dyDescent="0.3">
      <c r="B106" s="92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1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2">
        <v>44897.53125</v>
      </c>
      <c r="C107" s="59" t="s">
        <v>4</v>
      </c>
      <c r="D107" s="59" t="s">
        <v>51</v>
      </c>
      <c r="E107" s="59">
        <v>0</v>
      </c>
      <c r="F107" s="59">
        <v>320</v>
      </c>
      <c r="G107" s="59"/>
      <c r="H107" s="59">
        <v>321.10000000000002</v>
      </c>
      <c r="I107" s="59">
        <f>G107-E107</f>
        <v>0</v>
      </c>
      <c r="J107" s="60">
        <f>F107/H107</f>
        <v>0.99657427592650261</v>
      </c>
      <c r="K107" s="60">
        <f>(H107-F107)*100/F107</f>
        <v>0.34375000000000711</v>
      </c>
      <c r="L107" s="59" t="s">
        <v>67</v>
      </c>
      <c r="M107" s="61" t="s">
        <v>240</v>
      </c>
    </row>
    <row r="108" spans="2:13" ht="15.75" x14ac:dyDescent="0.25">
      <c r="B108" s="62">
        <v>44907.489583333336</v>
      </c>
      <c r="C108" s="59" t="s">
        <v>4</v>
      </c>
      <c r="D108" s="59" t="s">
        <v>51</v>
      </c>
      <c r="E108" s="59">
        <v>0</v>
      </c>
      <c r="F108" s="59">
        <v>320</v>
      </c>
      <c r="G108" s="59">
        <v>0</v>
      </c>
      <c r="H108" s="60">
        <v>320.39999999999998</v>
      </c>
      <c r="I108" s="59">
        <f>G108-E108</f>
        <v>0</v>
      </c>
      <c r="J108" s="60">
        <f>F108/H108</f>
        <v>0.99875156054931347</v>
      </c>
      <c r="K108" s="60">
        <f>(H108-F108)*100/F108</f>
        <v>0.12499999999999289</v>
      </c>
      <c r="L108" s="59" t="s">
        <v>67</v>
      </c>
      <c r="M108" s="61" t="s">
        <v>240</v>
      </c>
    </row>
    <row r="109" spans="2:13" ht="15.75" x14ac:dyDescent="0.25">
      <c r="B109" s="62">
        <v>44921.513888888891</v>
      </c>
      <c r="C109" s="59" t="s">
        <v>4</v>
      </c>
      <c r="D109" s="59" t="s">
        <v>51</v>
      </c>
      <c r="E109" s="59">
        <v>0</v>
      </c>
      <c r="F109" s="59">
        <v>320</v>
      </c>
      <c r="G109" s="59">
        <v>0</v>
      </c>
      <c r="H109" s="60">
        <v>320.01</v>
      </c>
      <c r="I109" s="59">
        <f t="shared" ref="I109:I114" si="7">G109-E109</f>
        <v>0</v>
      </c>
      <c r="J109" s="60">
        <f t="shared" ref="J109:J114" si="8">F109/H109</f>
        <v>0.99996875097653204</v>
      </c>
      <c r="K109" s="60">
        <f t="shared" ref="K109:K114" si="9">(H109-F109)*100/F109</f>
        <v>3.1249999999971578E-3</v>
      </c>
      <c r="L109" s="59" t="s">
        <v>67</v>
      </c>
      <c r="M109" s="61" t="s">
        <v>240</v>
      </c>
    </row>
    <row r="110" spans="2:13" ht="15.75" x14ac:dyDescent="0.25">
      <c r="B110" s="62"/>
      <c r="C110" s="59" t="s">
        <v>4</v>
      </c>
      <c r="D110" s="59" t="s">
        <v>51</v>
      </c>
      <c r="E110" s="59">
        <v>0</v>
      </c>
      <c r="F110" s="59">
        <v>320</v>
      </c>
      <c r="G110" s="59">
        <v>0</v>
      </c>
      <c r="H110" s="60"/>
      <c r="I110" s="59">
        <f t="shared" si="7"/>
        <v>0</v>
      </c>
      <c r="J110" s="60" t="e">
        <f t="shared" si="8"/>
        <v>#DIV/0!</v>
      </c>
      <c r="K110" s="60">
        <f t="shared" si="9"/>
        <v>-100</v>
      </c>
      <c r="L110" s="59" t="s">
        <v>67</v>
      </c>
      <c r="M110" s="61" t="s">
        <v>240</v>
      </c>
    </row>
    <row r="111" spans="2:13" ht="15.75" x14ac:dyDescent="0.25">
      <c r="B111" s="62"/>
      <c r="C111" s="59" t="s">
        <v>4</v>
      </c>
      <c r="D111" s="59" t="s">
        <v>51</v>
      </c>
      <c r="E111" s="59">
        <v>0</v>
      </c>
      <c r="F111" s="59">
        <v>320</v>
      </c>
      <c r="G111" s="59">
        <v>0</v>
      </c>
      <c r="H111" s="60"/>
      <c r="I111" s="59">
        <f t="shared" si="7"/>
        <v>0</v>
      </c>
      <c r="J111" s="60" t="e">
        <f t="shared" si="8"/>
        <v>#DIV/0!</v>
      </c>
      <c r="K111" s="60">
        <f t="shared" si="9"/>
        <v>-100</v>
      </c>
      <c r="L111" s="59" t="s">
        <v>67</v>
      </c>
      <c r="M111" s="61"/>
    </row>
    <row r="112" spans="2:13" ht="15.75" x14ac:dyDescent="0.25">
      <c r="B112" s="62"/>
      <c r="C112" s="59" t="s">
        <v>4</v>
      </c>
      <c r="D112" s="59" t="s">
        <v>51</v>
      </c>
      <c r="E112" s="59">
        <v>0</v>
      </c>
      <c r="F112" s="59">
        <v>320</v>
      </c>
      <c r="G112" s="37">
        <v>0</v>
      </c>
      <c r="H112" s="60"/>
      <c r="I112" s="59">
        <f t="shared" si="7"/>
        <v>0</v>
      </c>
      <c r="J112" s="60" t="e">
        <f t="shared" si="8"/>
        <v>#DIV/0!</v>
      </c>
      <c r="K112" s="60">
        <f t="shared" si="9"/>
        <v>-100</v>
      </c>
      <c r="L112" s="59" t="s">
        <v>67</v>
      </c>
      <c r="M112" s="61"/>
    </row>
    <row r="113" spans="2:13" ht="15.75" x14ac:dyDescent="0.25">
      <c r="B113" s="62"/>
      <c r="C113" s="59" t="s">
        <v>4</v>
      </c>
      <c r="D113" s="59" t="s">
        <v>51</v>
      </c>
      <c r="E113" s="59">
        <v>0</v>
      </c>
      <c r="F113" s="59">
        <v>320</v>
      </c>
      <c r="G113" s="37">
        <v>0</v>
      </c>
      <c r="H113" s="60"/>
      <c r="I113" s="59">
        <f t="shared" si="7"/>
        <v>0</v>
      </c>
      <c r="J113" s="60" t="e">
        <f t="shared" si="8"/>
        <v>#DIV/0!</v>
      </c>
      <c r="K113" s="60">
        <f t="shared" si="9"/>
        <v>-100</v>
      </c>
      <c r="L113" s="59" t="s">
        <v>67</v>
      </c>
      <c r="M113" s="61"/>
    </row>
    <row r="114" spans="2:13" ht="15.75" x14ac:dyDescent="0.25">
      <c r="B114" s="62"/>
      <c r="C114" s="59" t="s">
        <v>4</v>
      </c>
      <c r="D114" s="59" t="s">
        <v>51</v>
      </c>
      <c r="E114" s="59">
        <v>0</v>
      </c>
      <c r="F114" s="59">
        <v>320</v>
      </c>
      <c r="G114" s="37">
        <v>0</v>
      </c>
      <c r="H114" s="60"/>
      <c r="I114" s="59">
        <f t="shared" si="7"/>
        <v>0</v>
      </c>
      <c r="J114" s="60" t="e">
        <f t="shared" si="8"/>
        <v>#DIV/0!</v>
      </c>
      <c r="K114" s="60">
        <f t="shared" si="9"/>
        <v>-100</v>
      </c>
      <c r="L114" s="59" t="s">
        <v>67</v>
      </c>
      <c r="M114" s="61"/>
    </row>
    <row r="115" spans="2:13" ht="15.75" x14ac:dyDescent="0.25">
      <c r="B115" s="62"/>
      <c r="C115" s="59" t="s">
        <v>4</v>
      </c>
      <c r="D115" s="59" t="s">
        <v>51</v>
      </c>
      <c r="E115" s="59">
        <v>0</v>
      </c>
      <c r="F115" s="59">
        <v>320</v>
      </c>
      <c r="G115" s="59">
        <v>0</v>
      </c>
      <c r="H115" s="60"/>
      <c r="I115" s="59">
        <f>G115-E115</f>
        <v>0</v>
      </c>
      <c r="J115" s="60" t="e">
        <f>F115/H115</f>
        <v>#DIV/0!</v>
      </c>
      <c r="K115" s="60">
        <f>(H115-F115)*100/F115</f>
        <v>-100</v>
      </c>
      <c r="L115" s="59" t="s">
        <v>67</v>
      </c>
      <c r="M115" s="61"/>
    </row>
    <row r="116" spans="2:13" ht="15.75" x14ac:dyDescent="0.25">
      <c r="B116" s="58"/>
      <c r="C116" s="59"/>
      <c r="D116" s="59"/>
      <c r="E116" s="59"/>
      <c r="F116" s="59"/>
      <c r="G116" s="37"/>
      <c r="H116" s="60"/>
      <c r="I116" s="59"/>
      <c r="J116" s="60"/>
      <c r="K116" s="60"/>
      <c r="L116" s="59"/>
      <c r="M116" s="61"/>
    </row>
    <row r="117" spans="2:13" ht="15.75" x14ac:dyDescent="0.25">
      <c r="B117" s="58"/>
      <c r="C117" s="59"/>
      <c r="D117" s="59"/>
      <c r="E117" s="59"/>
      <c r="F117" s="59"/>
      <c r="G117" s="37"/>
      <c r="H117" s="60"/>
      <c r="I117" s="59"/>
      <c r="J117" s="60"/>
      <c r="K117" s="60"/>
      <c r="L117" s="59"/>
      <c r="M117" s="61"/>
    </row>
    <row r="118" spans="2:13" ht="15.75" x14ac:dyDescent="0.25">
      <c r="B118" s="43"/>
      <c r="C118" s="59"/>
      <c r="D118" s="59"/>
      <c r="E118" s="59"/>
      <c r="F118" s="59"/>
      <c r="G118" s="37"/>
      <c r="H118" s="60"/>
      <c r="I118" s="59"/>
      <c r="J118" s="60"/>
      <c r="K118" s="60"/>
      <c r="L118" s="59"/>
      <c r="M118" s="61"/>
    </row>
    <row r="119" spans="2:13" ht="15.75" thickBot="1" x14ac:dyDescent="0.3">
      <c r="B119" s="44"/>
      <c r="C119" s="224" t="s">
        <v>69</v>
      </c>
      <c r="D119" s="224"/>
      <c r="E119" s="224"/>
      <c r="F119" s="224"/>
      <c r="G119" s="224"/>
      <c r="H119" s="224"/>
      <c r="I119" s="52">
        <f>COUNT(B107:B118)</f>
        <v>3</v>
      </c>
      <c r="J119" s="46"/>
      <c r="K119" s="46"/>
      <c r="L119" s="47"/>
      <c r="M119" s="48"/>
    </row>
  </sheetData>
  <mergeCells count="15">
    <mergeCell ref="C119:H119"/>
    <mergeCell ref="G64:H64"/>
    <mergeCell ref="D81:I81"/>
    <mergeCell ref="G84:H84"/>
    <mergeCell ref="D101:I101"/>
    <mergeCell ref="G104:H104"/>
    <mergeCell ref="D61:I61"/>
    <mergeCell ref="P21:S21"/>
    <mergeCell ref="P40:S40"/>
    <mergeCell ref="D41:I41"/>
    <mergeCell ref="D1:J1"/>
    <mergeCell ref="G44:H44"/>
    <mergeCell ref="C21:H21"/>
    <mergeCell ref="G5:H5"/>
    <mergeCell ref="G24:H2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C9" sqref="C9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7" t="s">
        <v>243</v>
      </c>
      <c r="C2" s="227"/>
      <c r="D2" s="228" t="str">
        <f>'MONTHLY '!$B$2</f>
        <v>01-12-2022 00:15</v>
      </c>
      <c r="E2" s="228"/>
    </row>
    <row r="3" spans="1:5" x14ac:dyDescent="0.25">
      <c r="B3" s="227" t="s">
        <v>21</v>
      </c>
      <c r="C3" s="227"/>
      <c r="D3" s="228"/>
      <c r="E3" s="228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0" t="s">
        <v>2700</v>
      </c>
      <c r="C8" s="200" t="s">
        <v>2708</v>
      </c>
      <c r="D8" s="33">
        <f t="shared" ref="D8:D13" si="0">C8-B8</f>
        <v>8.3333333328482695E-2</v>
      </c>
    </row>
    <row r="9" spans="1:5" s="24" customFormat="1" x14ac:dyDescent="0.25">
      <c r="A9" s="53"/>
      <c r="B9" s="200" t="s">
        <v>2892</v>
      </c>
      <c r="C9" s="200" t="s">
        <v>2900</v>
      </c>
      <c r="D9" s="33">
        <f t="shared" si="0"/>
        <v>8.3333333328482695E-2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0.16666666665696539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9" t="s">
        <v>22</v>
      </c>
      <c r="C44" s="229"/>
      <c r="D44" s="20">
        <f>SUM(D11:D42)</f>
        <v>0.16666666665696539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30" t="s">
        <v>219</v>
      </c>
      <c r="C2" s="230"/>
      <c r="D2" s="230"/>
      <c r="E2" s="230"/>
      <c r="F2" s="231">
        <v>44713</v>
      </c>
      <c r="G2" s="232"/>
      <c r="H2" s="232"/>
    </row>
    <row r="3" spans="2:24" s="12" customFormat="1" ht="15" customHeight="1" x14ac:dyDescent="0.25">
      <c r="B3" s="230"/>
      <c r="C3" s="230"/>
      <c r="D3" s="230"/>
      <c r="E3" s="230"/>
      <c r="F3" s="232"/>
      <c r="G3" s="232"/>
      <c r="H3" s="232"/>
    </row>
    <row r="8" spans="2:24" x14ac:dyDescent="0.25">
      <c r="J8" s="14"/>
      <c r="K8" s="14"/>
      <c r="L8" s="14"/>
      <c r="U8" s="124"/>
    </row>
    <row r="9" spans="2:24" ht="15.75" x14ac:dyDescent="0.25">
      <c r="J9" s="125"/>
      <c r="K9" s="125"/>
      <c r="L9" s="14"/>
      <c r="U9" s="124"/>
    </row>
    <row r="10" spans="2:24" x14ac:dyDescent="0.25">
      <c r="U10" s="124"/>
    </row>
    <row r="11" spans="2:24" ht="15.75" thickBot="1" x14ac:dyDescent="0.3">
      <c r="U11" s="124"/>
    </row>
    <row r="12" spans="2:24" ht="15.75" customHeight="1" thickBot="1" x14ac:dyDescent="0.3">
      <c r="B12" s="233" t="s">
        <v>4</v>
      </c>
      <c r="C12" s="235" t="s">
        <v>133</v>
      </c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  <c r="R12" s="126"/>
      <c r="U12" s="124"/>
    </row>
    <row r="13" spans="2:24" ht="15" customHeight="1" x14ac:dyDescent="0.25">
      <c r="B13" s="234"/>
      <c r="C13" s="127" t="s">
        <v>78</v>
      </c>
      <c r="D13" s="128" t="s">
        <v>83</v>
      </c>
      <c r="E13" s="128" t="s">
        <v>134</v>
      </c>
      <c r="F13" s="128" t="s">
        <v>216</v>
      </c>
      <c r="G13" s="128" t="s">
        <v>136</v>
      </c>
      <c r="H13" s="128" t="s">
        <v>137</v>
      </c>
      <c r="I13" s="128" t="s">
        <v>138</v>
      </c>
      <c r="J13" s="128" t="s">
        <v>139</v>
      </c>
      <c r="K13" s="128" t="s">
        <v>140</v>
      </c>
      <c r="L13" s="128" t="s">
        <v>141</v>
      </c>
      <c r="M13" s="128" t="s">
        <v>142</v>
      </c>
      <c r="N13" s="128" t="s">
        <v>143</v>
      </c>
      <c r="O13" s="128" t="s">
        <v>144</v>
      </c>
      <c r="P13" s="129" t="s">
        <v>145</v>
      </c>
      <c r="Q13" s="128" t="s">
        <v>146</v>
      </c>
      <c r="R13" s="130"/>
      <c r="U13" s="124"/>
    </row>
    <row r="14" spans="2:24" ht="15" customHeight="1" x14ac:dyDescent="0.25">
      <c r="B14" s="234"/>
      <c r="C14" s="123">
        <v>44718</v>
      </c>
      <c r="D14" s="59">
        <v>24.1</v>
      </c>
      <c r="E14" s="59">
        <v>5</v>
      </c>
      <c r="F14" s="59">
        <v>4035.5</v>
      </c>
      <c r="G14" s="59">
        <v>1</v>
      </c>
      <c r="H14" s="59">
        <v>11.9</v>
      </c>
      <c r="I14" s="59">
        <v>5</v>
      </c>
      <c r="J14" s="59">
        <v>3.3</v>
      </c>
      <c r="K14" s="194">
        <v>2423398912</v>
      </c>
      <c r="L14" s="194">
        <v>2513913600</v>
      </c>
      <c r="M14" s="59">
        <v>1498.4</v>
      </c>
      <c r="N14" s="59">
        <v>18.899999999999999</v>
      </c>
      <c r="O14" s="59">
        <v>77.849999999999994</v>
      </c>
      <c r="P14" s="59">
        <v>77.98</v>
      </c>
      <c r="Q14" s="59">
        <v>37.11</v>
      </c>
      <c r="R14" s="59"/>
      <c r="X14" s="11"/>
    </row>
    <row r="15" spans="2:24" ht="15" customHeight="1" x14ac:dyDescent="0.3">
      <c r="B15" s="234"/>
      <c r="C15" s="131" t="s">
        <v>147</v>
      </c>
      <c r="D15" s="132" t="s">
        <v>148</v>
      </c>
      <c r="E15" s="132" t="s">
        <v>149</v>
      </c>
      <c r="F15" s="132" t="s">
        <v>150</v>
      </c>
      <c r="G15" s="132" t="s">
        <v>151</v>
      </c>
      <c r="H15" s="132" t="s">
        <v>152</v>
      </c>
      <c r="I15" s="132" t="s">
        <v>153</v>
      </c>
      <c r="J15" s="132" t="s">
        <v>154</v>
      </c>
      <c r="K15" s="132" t="s">
        <v>155</v>
      </c>
      <c r="L15" s="132" t="s">
        <v>156</v>
      </c>
      <c r="M15" s="132" t="s">
        <v>157</v>
      </c>
      <c r="N15" s="132" t="s">
        <v>158</v>
      </c>
      <c r="O15" s="132" t="s">
        <v>159</v>
      </c>
      <c r="P15" s="133" t="s">
        <v>160</v>
      </c>
      <c r="Q15" s="132" t="s">
        <v>161</v>
      </c>
      <c r="R15" s="134" t="s">
        <v>20</v>
      </c>
      <c r="X15" s="11"/>
    </row>
    <row r="16" spans="2:24" ht="15.75" customHeight="1" x14ac:dyDescent="0.25">
      <c r="B16" s="234"/>
      <c r="C16" s="194">
        <v>2425504512</v>
      </c>
      <c r="D16" s="194">
        <v>2513962496</v>
      </c>
      <c r="E16" s="59">
        <v>1445.7</v>
      </c>
      <c r="F16" s="59" t="s">
        <v>217</v>
      </c>
      <c r="G16" s="59">
        <v>81.489999999999995</v>
      </c>
      <c r="H16" s="59">
        <v>76.53</v>
      </c>
      <c r="I16" s="59">
        <v>943</v>
      </c>
      <c r="J16" s="59">
        <v>0</v>
      </c>
      <c r="K16" s="59" t="s">
        <v>217</v>
      </c>
      <c r="L16" s="59" t="s">
        <v>218</v>
      </c>
      <c r="M16" s="59">
        <v>485</v>
      </c>
      <c r="N16" s="59" t="s">
        <v>218</v>
      </c>
      <c r="O16" s="59">
        <v>30</v>
      </c>
      <c r="P16" s="59">
        <v>49.5</v>
      </c>
      <c r="Q16" s="59">
        <v>50</v>
      </c>
      <c r="R16" s="149" t="s">
        <v>215</v>
      </c>
      <c r="X16" s="11"/>
    </row>
    <row r="17" spans="2:28" ht="15.75" customHeight="1" x14ac:dyDescent="0.25">
      <c r="B17" s="234"/>
      <c r="C17" s="137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9"/>
      <c r="Q17" s="139"/>
      <c r="R17" s="140"/>
      <c r="X17" s="11"/>
    </row>
    <row r="18" spans="2:28" ht="15.75" customHeight="1" x14ac:dyDescent="0.25">
      <c r="B18" s="234"/>
      <c r="C18" s="141" t="s">
        <v>78</v>
      </c>
      <c r="D18" s="141" t="s">
        <v>83</v>
      </c>
      <c r="E18" s="141" t="s">
        <v>134</v>
      </c>
      <c r="F18" s="141" t="s">
        <v>135</v>
      </c>
      <c r="G18" s="141" t="s">
        <v>136</v>
      </c>
      <c r="H18" s="141" t="s">
        <v>137</v>
      </c>
      <c r="I18" s="141" t="s">
        <v>138</v>
      </c>
      <c r="J18" s="141" t="s">
        <v>139</v>
      </c>
      <c r="K18" s="141" t="s">
        <v>140</v>
      </c>
      <c r="L18" s="141" t="s">
        <v>141</v>
      </c>
      <c r="M18" s="141" t="s">
        <v>142</v>
      </c>
      <c r="N18" s="141" t="s">
        <v>143</v>
      </c>
      <c r="O18" s="141" t="s">
        <v>144</v>
      </c>
      <c r="P18" s="142" t="s">
        <v>145</v>
      </c>
      <c r="Q18" s="141" t="s">
        <v>146</v>
      </c>
      <c r="R18" s="140"/>
    </row>
    <row r="19" spans="2:28" ht="15.75" x14ac:dyDescent="0.25">
      <c r="B19" s="143"/>
      <c r="C19" s="123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140"/>
    </row>
    <row r="20" spans="2:28" ht="15.75" x14ac:dyDescent="0.3">
      <c r="B20" s="143"/>
      <c r="C20" s="141" t="s">
        <v>147</v>
      </c>
      <c r="D20" s="132" t="s">
        <v>148</v>
      </c>
      <c r="E20" s="132" t="s">
        <v>149</v>
      </c>
      <c r="F20" s="132" t="s">
        <v>150</v>
      </c>
      <c r="G20" s="132" t="s">
        <v>151</v>
      </c>
      <c r="H20" s="132" t="s">
        <v>152</v>
      </c>
      <c r="I20" s="132" t="s">
        <v>153</v>
      </c>
      <c r="J20" s="132" t="s">
        <v>154</v>
      </c>
      <c r="K20" s="132" t="s">
        <v>155</v>
      </c>
      <c r="L20" s="132" t="s">
        <v>156</v>
      </c>
      <c r="M20" s="132" t="s">
        <v>157</v>
      </c>
      <c r="N20" s="132" t="s">
        <v>158</v>
      </c>
      <c r="O20" s="132" t="s">
        <v>159</v>
      </c>
      <c r="P20" s="133" t="s">
        <v>160</v>
      </c>
      <c r="Q20" s="132" t="s">
        <v>161</v>
      </c>
      <c r="R20" s="144" t="s">
        <v>20</v>
      </c>
    </row>
    <row r="21" spans="2:28" ht="16.5" thickBot="1" x14ac:dyDescent="0.3">
      <c r="B21" s="145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135"/>
      <c r="R21" s="146"/>
      <c r="S21" s="147"/>
    </row>
    <row r="22" spans="2:28" x14ac:dyDescent="0.25">
      <c r="J22" s="14"/>
    </row>
    <row r="23" spans="2:28" s="148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7" t="s">
        <v>2</v>
      </c>
      <c r="C25" s="239" t="s">
        <v>133</v>
      </c>
      <c r="D25" s="240"/>
      <c r="E25" s="240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1"/>
      <c r="S25" s="187"/>
      <c r="T25" s="188"/>
    </row>
    <row r="26" spans="2:28" ht="15" customHeight="1" x14ac:dyDescent="0.3">
      <c r="B26" s="237"/>
      <c r="C26" s="189" t="s">
        <v>78</v>
      </c>
      <c r="D26" s="178" t="s">
        <v>87</v>
      </c>
      <c r="E26" s="178" t="s">
        <v>86</v>
      </c>
      <c r="F26" s="178" t="s">
        <v>121</v>
      </c>
      <c r="G26" s="178" t="s">
        <v>122</v>
      </c>
      <c r="H26" s="178" t="s">
        <v>123</v>
      </c>
      <c r="I26" s="178" t="s">
        <v>124</v>
      </c>
      <c r="J26" s="178" t="s">
        <v>125</v>
      </c>
      <c r="K26" s="178" t="s">
        <v>126</v>
      </c>
      <c r="L26" s="178" t="s">
        <v>127</v>
      </c>
      <c r="M26" s="178" t="s">
        <v>128</v>
      </c>
      <c r="N26" s="178" t="s">
        <v>129</v>
      </c>
      <c r="O26" s="178" t="s">
        <v>130</v>
      </c>
      <c r="P26" s="178" t="s">
        <v>131</v>
      </c>
      <c r="Q26" s="178" t="s">
        <v>132</v>
      </c>
      <c r="R26" s="178" t="s">
        <v>213</v>
      </c>
      <c r="S26" s="178" t="s">
        <v>214</v>
      </c>
      <c r="T26" s="169" t="s">
        <v>20</v>
      </c>
      <c r="Z26" s="148"/>
      <c r="AA26" s="148"/>
      <c r="AB26" s="148"/>
    </row>
    <row r="27" spans="2:28" ht="15.75" customHeight="1" x14ac:dyDescent="0.25">
      <c r="B27" s="237"/>
      <c r="C27" s="123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186"/>
    </row>
    <row r="28" spans="2:28" ht="15" customHeight="1" x14ac:dyDescent="0.25">
      <c r="B28" s="237"/>
      <c r="C28" s="190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2"/>
      <c r="T28" s="192"/>
    </row>
    <row r="29" spans="2:28" ht="15.75" customHeight="1" x14ac:dyDescent="0.3">
      <c r="B29" s="238"/>
      <c r="C29" s="193" t="s">
        <v>78</v>
      </c>
      <c r="D29" s="183" t="s">
        <v>87</v>
      </c>
      <c r="E29" s="183" t="s">
        <v>86</v>
      </c>
      <c r="F29" s="183" t="s">
        <v>121</v>
      </c>
      <c r="G29" s="183" t="s">
        <v>122</v>
      </c>
      <c r="H29" s="183" t="s">
        <v>123</v>
      </c>
      <c r="I29" s="183" t="s">
        <v>124</v>
      </c>
      <c r="J29" s="183" t="s">
        <v>125</v>
      </c>
      <c r="K29" s="183" t="s">
        <v>126</v>
      </c>
      <c r="L29" s="183" t="s">
        <v>127</v>
      </c>
      <c r="M29" s="183" t="s">
        <v>128</v>
      </c>
      <c r="N29" s="183" t="s">
        <v>129</v>
      </c>
      <c r="O29" s="183" t="s">
        <v>130</v>
      </c>
      <c r="P29" s="183" t="s">
        <v>131</v>
      </c>
      <c r="Q29" s="183" t="s">
        <v>132</v>
      </c>
      <c r="R29" s="183" t="s">
        <v>213</v>
      </c>
      <c r="S29" s="183" t="s">
        <v>214</v>
      </c>
      <c r="T29" s="174" t="s">
        <v>20</v>
      </c>
    </row>
    <row r="30" spans="2:28" x14ac:dyDescent="0.25">
      <c r="B30" s="175"/>
      <c r="C30" s="123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186"/>
    </row>
    <row r="31" spans="2:28" x14ac:dyDescent="0.25">
      <c r="C31" s="150"/>
    </row>
    <row r="32" spans="2:28" x14ac:dyDescent="0.25">
      <c r="C32" s="150"/>
    </row>
    <row r="33" spans="2:25" ht="15" customHeight="1" x14ac:dyDescent="0.25">
      <c r="C33" s="150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45" t="s">
        <v>3</v>
      </c>
      <c r="C36" s="247" t="s">
        <v>133</v>
      </c>
      <c r="D36" s="247"/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8"/>
    </row>
    <row r="37" spans="2:25" ht="15.75" customHeight="1" x14ac:dyDescent="0.25">
      <c r="B37" s="246"/>
      <c r="C37" s="151" t="s">
        <v>78</v>
      </c>
      <c r="D37" s="141" t="s">
        <v>87</v>
      </c>
      <c r="E37" s="141" t="s">
        <v>86</v>
      </c>
      <c r="F37" s="141" t="s">
        <v>88</v>
      </c>
      <c r="G37" s="141" t="s">
        <v>89</v>
      </c>
      <c r="H37" s="141" t="s">
        <v>90</v>
      </c>
      <c r="I37" s="141" t="s">
        <v>91</v>
      </c>
      <c r="J37" s="141" t="s">
        <v>92</v>
      </c>
      <c r="K37" s="141" t="s">
        <v>93</v>
      </c>
      <c r="L37" s="141" t="s">
        <v>94</v>
      </c>
      <c r="M37" s="141" t="s">
        <v>95</v>
      </c>
      <c r="N37" s="141" t="s">
        <v>96</v>
      </c>
      <c r="O37" s="152" t="s">
        <v>97</v>
      </c>
    </row>
    <row r="38" spans="2:25" x14ac:dyDescent="0.25">
      <c r="B38" s="246"/>
      <c r="C38" s="123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W38" s="148"/>
      <c r="X38" s="148"/>
      <c r="Y38" s="148"/>
    </row>
    <row r="39" spans="2:25" ht="15.75" x14ac:dyDescent="0.3">
      <c r="B39" s="246"/>
      <c r="C39" s="151" t="s">
        <v>98</v>
      </c>
      <c r="D39" s="141" t="s">
        <v>99</v>
      </c>
      <c r="E39" s="141" t="s">
        <v>100</v>
      </c>
      <c r="F39" s="141" t="s">
        <v>101</v>
      </c>
      <c r="G39" s="132" t="s">
        <v>102</v>
      </c>
      <c r="H39" s="132" t="s">
        <v>103</v>
      </c>
      <c r="I39" s="132" t="s">
        <v>104</v>
      </c>
      <c r="J39" s="132" t="s">
        <v>105</v>
      </c>
      <c r="K39" s="132" t="s">
        <v>106</v>
      </c>
      <c r="L39" s="132" t="s">
        <v>107</v>
      </c>
      <c r="M39" s="132" t="s">
        <v>108</v>
      </c>
      <c r="N39" s="132" t="s">
        <v>82</v>
      </c>
      <c r="O39" s="29" t="s">
        <v>20</v>
      </c>
      <c r="W39" s="148"/>
      <c r="X39" s="148"/>
      <c r="Y39" s="148"/>
    </row>
    <row r="40" spans="2:25" x14ac:dyDescent="0.25">
      <c r="B40" s="246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186"/>
      <c r="W40" s="148"/>
      <c r="X40" s="148"/>
      <c r="Y40" s="148"/>
    </row>
    <row r="41" spans="2:25" x14ac:dyDescent="0.25">
      <c r="B41" s="153"/>
      <c r="C41" s="154"/>
      <c r="D41" s="138"/>
      <c r="E41" s="138"/>
      <c r="F41" s="138"/>
      <c r="G41" s="138"/>
      <c r="H41" s="138"/>
      <c r="I41" s="138"/>
      <c r="J41" s="155"/>
      <c r="K41" s="138"/>
      <c r="L41" s="138"/>
      <c r="M41" s="138"/>
      <c r="N41" s="138"/>
      <c r="O41" s="156"/>
    </row>
    <row r="42" spans="2:25" ht="15.75" customHeight="1" x14ac:dyDescent="0.25">
      <c r="B42" s="153"/>
      <c r="C42" s="151" t="s">
        <v>78</v>
      </c>
      <c r="D42" s="141" t="s">
        <v>87</v>
      </c>
      <c r="E42" s="141" t="s">
        <v>86</v>
      </c>
      <c r="F42" s="141" t="s">
        <v>88</v>
      </c>
      <c r="G42" s="141" t="s">
        <v>89</v>
      </c>
      <c r="H42" s="141" t="s">
        <v>90</v>
      </c>
      <c r="I42" s="141" t="s">
        <v>91</v>
      </c>
      <c r="J42" s="141" t="s">
        <v>92</v>
      </c>
      <c r="K42" s="141" t="s">
        <v>93</v>
      </c>
      <c r="L42" s="141" t="s">
        <v>94</v>
      </c>
      <c r="M42" s="141" t="s">
        <v>95</v>
      </c>
      <c r="N42" s="141" t="s">
        <v>96</v>
      </c>
      <c r="O42" s="152" t="s">
        <v>97</v>
      </c>
    </row>
    <row r="43" spans="2:25" ht="15" customHeight="1" x14ac:dyDescent="0.25">
      <c r="B43" s="153"/>
      <c r="C43" s="123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</row>
    <row r="44" spans="2:25" ht="15" customHeight="1" x14ac:dyDescent="0.3">
      <c r="B44" s="153"/>
      <c r="C44" s="151" t="s">
        <v>98</v>
      </c>
      <c r="D44" s="141" t="s">
        <v>99</v>
      </c>
      <c r="E44" s="141" t="s">
        <v>100</v>
      </c>
      <c r="F44" s="141" t="s">
        <v>101</v>
      </c>
      <c r="G44" s="132" t="s">
        <v>102</v>
      </c>
      <c r="H44" s="132" t="s">
        <v>103</v>
      </c>
      <c r="I44" s="132" t="s">
        <v>104</v>
      </c>
      <c r="J44" s="132" t="s">
        <v>105</v>
      </c>
      <c r="K44" s="132" t="s">
        <v>106</v>
      </c>
      <c r="L44" s="132" t="s">
        <v>107</v>
      </c>
      <c r="M44" s="132" t="s">
        <v>108</v>
      </c>
      <c r="N44" s="132" t="s">
        <v>82</v>
      </c>
      <c r="O44" s="29" t="s">
        <v>20</v>
      </c>
      <c r="R44" s="157"/>
    </row>
    <row r="45" spans="2:25" ht="15" customHeight="1" thickBot="1" x14ac:dyDescent="0.3">
      <c r="B45" s="158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136"/>
      <c r="R45" s="159"/>
    </row>
    <row r="46" spans="2:25" ht="15.75" customHeight="1" x14ac:dyDescent="0.25">
      <c r="J46" s="160"/>
      <c r="R46" s="161"/>
      <c r="Y46" s="148"/>
    </row>
    <row r="47" spans="2:25" ht="16.5" thickBot="1" x14ac:dyDescent="0.3">
      <c r="J47" s="160"/>
      <c r="R47" s="159"/>
    </row>
    <row r="48" spans="2:25" x14ac:dyDescent="0.25">
      <c r="B48" s="249" t="s">
        <v>1</v>
      </c>
      <c r="C48" s="162" t="s">
        <v>133</v>
      </c>
      <c r="D48" s="163"/>
      <c r="E48" s="163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4"/>
      <c r="R48" s="161"/>
    </row>
    <row r="49" spans="2:20" x14ac:dyDescent="0.25">
      <c r="B49" s="250"/>
      <c r="C49" s="151" t="s">
        <v>78</v>
      </c>
      <c r="D49" s="141" t="s">
        <v>154</v>
      </c>
      <c r="E49" s="141" t="s">
        <v>163</v>
      </c>
      <c r="F49" s="141" t="s">
        <v>164</v>
      </c>
      <c r="G49" s="141" t="s">
        <v>165</v>
      </c>
      <c r="H49" s="141" t="s">
        <v>166</v>
      </c>
      <c r="I49" s="141" t="s">
        <v>167</v>
      </c>
      <c r="J49" s="141" t="s">
        <v>139</v>
      </c>
      <c r="K49" s="141" t="s">
        <v>168</v>
      </c>
      <c r="L49" s="141" t="s">
        <v>169</v>
      </c>
      <c r="M49" s="141" t="s">
        <v>170</v>
      </c>
      <c r="N49" s="141" t="s">
        <v>171</v>
      </c>
      <c r="O49" s="141" t="s">
        <v>172</v>
      </c>
      <c r="P49" s="141" t="s">
        <v>79</v>
      </c>
      <c r="Q49" s="152" t="s">
        <v>173</v>
      </c>
    </row>
    <row r="50" spans="2:20" x14ac:dyDescent="0.25">
      <c r="B50" s="250"/>
      <c r="C50" s="123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</row>
    <row r="51" spans="2:20" ht="15.75" x14ac:dyDescent="0.3">
      <c r="B51" s="250"/>
      <c r="C51" s="151" t="s">
        <v>80</v>
      </c>
      <c r="D51" s="141" t="s">
        <v>174</v>
      </c>
      <c r="E51" s="141" t="s">
        <v>175</v>
      </c>
      <c r="F51" s="141" t="s">
        <v>176</v>
      </c>
      <c r="G51" s="141" t="s">
        <v>177</v>
      </c>
      <c r="H51" s="141" t="s">
        <v>178</v>
      </c>
      <c r="I51" s="132" t="s">
        <v>81</v>
      </c>
      <c r="J51" s="132" t="s">
        <v>179</v>
      </c>
      <c r="K51" s="132" t="s">
        <v>180</v>
      </c>
      <c r="L51" s="132" t="s">
        <v>86</v>
      </c>
      <c r="M51" s="132" t="s">
        <v>181</v>
      </c>
      <c r="N51" s="132" t="s">
        <v>160</v>
      </c>
      <c r="O51" s="132" t="s">
        <v>182</v>
      </c>
      <c r="P51" s="132" t="s">
        <v>183</v>
      </c>
      <c r="Q51" s="29" t="s">
        <v>20</v>
      </c>
    </row>
    <row r="52" spans="2:20" ht="15.75" x14ac:dyDescent="0.25">
      <c r="B52" s="250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136"/>
    </row>
    <row r="53" spans="2:20" x14ac:dyDescent="0.25">
      <c r="B53" s="153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56"/>
    </row>
    <row r="54" spans="2:20" x14ac:dyDescent="0.25">
      <c r="B54" s="153"/>
      <c r="C54" s="151" t="s">
        <v>78</v>
      </c>
      <c r="D54" s="141" t="s">
        <v>154</v>
      </c>
      <c r="E54" s="141" t="s">
        <v>163</v>
      </c>
      <c r="F54" s="141" t="s">
        <v>164</v>
      </c>
      <c r="G54" s="141" t="s">
        <v>165</v>
      </c>
      <c r="H54" s="141" t="s">
        <v>166</v>
      </c>
      <c r="I54" s="141" t="s">
        <v>167</v>
      </c>
      <c r="J54" s="141" t="s">
        <v>139</v>
      </c>
      <c r="K54" s="141" t="s">
        <v>168</v>
      </c>
      <c r="L54" s="141" t="s">
        <v>169</v>
      </c>
      <c r="M54" s="141" t="s">
        <v>170</v>
      </c>
      <c r="N54" s="141" t="s">
        <v>171</v>
      </c>
      <c r="O54" s="141" t="s">
        <v>172</v>
      </c>
      <c r="P54" s="141" t="s">
        <v>79</v>
      </c>
      <c r="Q54" s="152" t="s">
        <v>173</v>
      </c>
    </row>
    <row r="55" spans="2:20" x14ac:dyDescent="0.25">
      <c r="B55" s="153"/>
      <c r="C55" s="123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</row>
    <row r="56" spans="2:20" ht="15.75" x14ac:dyDescent="0.3">
      <c r="B56" s="153"/>
      <c r="C56" s="151" t="s">
        <v>80</v>
      </c>
      <c r="D56" s="141" t="s">
        <v>174</v>
      </c>
      <c r="E56" s="141" t="s">
        <v>175</v>
      </c>
      <c r="F56" s="141" t="s">
        <v>176</v>
      </c>
      <c r="G56" s="141" t="s">
        <v>177</v>
      </c>
      <c r="H56" s="141" t="s">
        <v>178</v>
      </c>
      <c r="I56" s="132" t="s">
        <v>81</v>
      </c>
      <c r="J56" s="132" t="s">
        <v>179</v>
      </c>
      <c r="K56" s="132" t="s">
        <v>180</v>
      </c>
      <c r="L56" s="132" t="s">
        <v>86</v>
      </c>
      <c r="M56" s="132" t="s">
        <v>181</v>
      </c>
      <c r="N56" s="132" t="s">
        <v>160</v>
      </c>
      <c r="O56" s="132" t="s">
        <v>182</v>
      </c>
      <c r="P56" s="132" t="s">
        <v>183</v>
      </c>
      <c r="Q56" s="29" t="s">
        <v>20</v>
      </c>
    </row>
    <row r="57" spans="2:20" ht="16.5" thickBot="1" x14ac:dyDescent="0.3">
      <c r="B57" s="145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136"/>
    </row>
    <row r="61" spans="2:20" x14ac:dyDescent="0.25">
      <c r="B61" s="237" t="s">
        <v>184</v>
      </c>
      <c r="C61" s="239" t="s">
        <v>133</v>
      </c>
      <c r="D61" s="240"/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/>
      <c r="P61" s="240"/>
      <c r="Q61" s="240"/>
      <c r="R61" s="241"/>
      <c r="S61" s="165"/>
      <c r="T61" s="166"/>
    </row>
    <row r="62" spans="2:20" ht="15.75" x14ac:dyDescent="0.3">
      <c r="B62" s="237"/>
      <c r="C62" s="167" t="s">
        <v>78</v>
      </c>
      <c r="D62" s="167" t="s">
        <v>185</v>
      </c>
      <c r="E62" s="167" t="s">
        <v>186</v>
      </c>
      <c r="F62" s="167" t="s">
        <v>187</v>
      </c>
      <c r="G62" s="167" t="s">
        <v>188</v>
      </c>
      <c r="H62" s="167" t="s">
        <v>189</v>
      </c>
      <c r="I62" s="167" t="s">
        <v>190</v>
      </c>
      <c r="J62" s="167" t="s">
        <v>191</v>
      </c>
      <c r="K62" s="167" t="s">
        <v>192</v>
      </c>
      <c r="L62" s="167" t="s">
        <v>193</v>
      </c>
      <c r="M62" s="167" t="s">
        <v>194</v>
      </c>
      <c r="N62" s="167" t="s">
        <v>195</v>
      </c>
      <c r="O62" s="167" t="s">
        <v>196</v>
      </c>
      <c r="P62" s="167" t="s">
        <v>197</v>
      </c>
      <c r="Q62" s="167" t="s">
        <v>198</v>
      </c>
      <c r="R62" s="167" t="s">
        <v>199</v>
      </c>
      <c r="S62" s="168" t="s">
        <v>200</v>
      </c>
      <c r="T62" s="169" t="s">
        <v>20</v>
      </c>
    </row>
    <row r="63" spans="2:20" ht="15.75" x14ac:dyDescent="0.25">
      <c r="B63" s="251"/>
      <c r="C63" s="123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136"/>
    </row>
    <row r="64" spans="2:20" x14ac:dyDescent="0.25">
      <c r="B64" s="251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1"/>
      <c r="T64" s="171"/>
    </row>
    <row r="65" spans="2:20" ht="15.75" x14ac:dyDescent="0.3">
      <c r="B65" s="238"/>
      <c r="C65" s="172" t="s">
        <v>78</v>
      </c>
      <c r="D65" s="172" t="s">
        <v>185</v>
      </c>
      <c r="E65" s="172" t="s">
        <v>186</v>
      </c>
      <c r="F65" s="172" t="s">
        <v>187</v>
      </c>
      <c r="G65" s="172" t="s">
        <v>188</v>
      </c>
      <c r="H65" s="172" t="s">
        <v>189</v>
      </c>
      <c r="I65" s="172" t="s">
        <v>190</v>
      </c>
      <c r="J65" s="172" t="s">
        <v>191</v>
      </c>
      <c r="K65" s="172" t="s">
        <v>192</v>
      </c>
      <c r="L65" s="172" t="s">
        <v>193</v>
      </c>
      <c r="M65" s="172" t="s">
        <v>194</v>
      </c>
      <c r="N65" s="172" t="s">
        <v>195</v>
      </c>
      <c r="O65" s="172" t="s">
        <v>196</v>
      </c>
      <c r="P65" s="172" t="s">
        <v>197</v>
      </c>
      <c r="Q65" s="172" t="s">
        <v>198</v>
      </c>
      <c r="R65" s="172" t="s">
        <v>199</v>
      </c>
      <c r="S65" s="173" t="s">
        <v>200</v>
      </c>
      <c r="T65" s="174" t="s">
        <v>20</v>
      </c>
    </row>
    <row r="66" spans="2:20" ht="15.75" x14ac:dyDescent="0.25">
      <c r="B66" s="175"/>
      <c r="C66" s="123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136"/>
    </row>
    <row r="69" spans="2:20" x14ac:dyDescent="0.25">
      <c r="B69" s="237" t="s">
        <v>201</v>
      </c>
      <c r="C69" s="239" t="s">
        <v>133</v>
      </c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0"/>
      <c r="O69" s="240"/>
      <c r="P69" s="240"/>
      <c r="Q69" s="240"/>
      <c r="R69" s="241"/>
      <c r="S69" s="165"/>
      <c r="T69" s="166"/>
    </row>
    <row r="70" spans="2:20" ht="15.75" x14ac:dyDescent="0.3">
      <c r="B70" s="237"/>
      <c r="C70" s="172" t="s">
        <v>78</v>
      </c>
      <c r="D70" s="172" t="s">
        <v>185</v>
      </c>
      <c r="E70" s="172" t="s">
        <v>186</v>
      </c>
      <c r="F70" s="172" t="s">
        <v>187</v>
      </c>
      <c r="G70" s="172" t="s">
        <v>188</v>
      </c>
      <c r="H70" s="172" t="s">
        <v>189</v>
      </c>
      <c r="I70" s="172" t="s">
        <v>190</v>
      </c>
      <c r="J70" s="172" t="s">
        <v>191</v>
      </c>
      <c r="K70" s="172" t="s">
        <v>192</v>
      </c>
      <c r="L70" s="172" t="s">
        <v>193</v>
      </c>
      <c r="M70" s="172" t="s">
        <v>194</v>
      </c>
      <c r="N70" s="172" t="s">
        <v>195</v>
      </c>
      <c r="O70" s="172" t="s">
        <v>196</v>
      </c>
      <c r="P70" s="172" t="s">
        <v>197</v>
      </c>
      <c r="Q70" s="172" t="s">
        <v>198</v>
      </c>
      <c r="R70" s="172" t="s">
        <v>199</v>
      </c>
      <c r="S70" s="173" t="s">
        <v>200</v>
      </c>
      <c r="T70" s="174" t="s">
        <v>20</v>
      </c>
    </row>
    <row r="71" spans="2:20" ht="15.75" x14ac:dyDescent="0.25">
      <c r="B71" s="237"/>
      <c r="C71" s="123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136"/>
    </row>
    <row r="72" spans="2:20" x14ac:dyDescent="0.25">
      <c r="B72" s="251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  <c r="R72" s="170"/>
      <c r="S72" s="171"/>
      <c r="T72" s="171"/>
    </row>
    <row r="73" spans="2:20" ht="15.75" x14ac:dyDescent="0.3">
      <c r="B73" s="238"/>
      <c r="C73" s="172" t="s">
        <v>78</v>
      </c>
      <c r="D73" s="172" t="s">
        <v>185</v>
      </c>
      <c r="E73" s="172" t="s">
        <v>186</v>
      </c>
      <c r="F73" s="172" t="s">
        <v>187</v>
      </c>
      <c r="G73" s="172" t="s">
        <v>188</v>
      </c>
      <c r="H73" s="172" t="s">
        <v>189</v>
      </c>
      <c r="I73" s="172" t="s">
        <v>190</v>
      </c>
      <c r="J73" s="172" t="s">
        <v>191</v>
      </c>
      <c r="K73" s="172" t="s">
        <v>192</v>
      </c>
      <c r="L73" s="172" t="s">
        <v>193</v>
      </c>
      <c r="M73" s="172" t="s">
        <v>194</v>
      </c>
      <c r="N73" s="172" t="s">
        <v>195</v>
      </c>
      <c r="O73" s="172" t="s">
        <v>196</v>
      </c>
      <c r="P73" s="172" t="s">
        <v>197</v>
      </c>
      <c r="Q73" s="172" t="s">
        <v>198</v>
      </c>
      <c r="R73" s="172" t="s">
        <v>199</v>
      </c>
      <c r="S73" s="173" t="s">
        <v>200</v>
      </c>
      <c r="T73" s="174" t="s">
        <v>20</v>
      </c>
    </row>
    <row r="74" spans="2:20" ht="15.75" x14ac:dyDescent="0.25">
      <c r="B74" s="175"/>
      <c r="C74" s="123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136"/>
    </row>
    <row r="77" spans="2:20" x14ac:dyDescent="0.25">
      <c r="B77" s="242" t="s">
        <v>24</v>
      </c>
      <c r="C77" s="241" t="s">
        <v>133</v>
      </c>
      <c r="D77" s="244"/>
      <c r="E77" s="244"/>
      <c r="F77" s="244"/>
      <c r="G77" s="244"/>
      <c r="H77" s="244"/>
      <c r="I77" s="244"/>
      <c r="J77" s="244"/>
      <c r="K77" s="244"/>
      <c r="L77" s="244"/>
      <c r="M77" s="244"/>
      <c r="N77" s="244"/>
      <c r="O77" s="244"/>
      <c r="P77" s="244"/>
      <c r="Q77" s="244"/>
      <c r="R77" s="176"/>
      <c r="S77" s="176"/>
      <c r="T77" s="177"/>
    </row>
    <row r="78" spans="2:20" x14ac:dyDescent="0.25">
      <c r="B78" s="243"/>
      <c r="C78" s="178" t="s">
        <v>78</v>
      </c>
      <c r="D78" s="178" t="s">
        <v>202</v>
      </c>
      <c r="E78" s="178" t="s">
        <v>203</v>
      </c>
      <c r="F78" s="178" t="s">
        <v>109</v>
      </c>
      <c r="G78" s="178" t="s">
        <v>110</v>
      </c>
      <c r="H78" s="179" t="s">
        <v>111</v>
      </c>
      <c r="I78" s="179" t="s">
        <v>112</v>
      </c>
      <c r="J78" s="179" t="s">
        <v>113</v>
      </c>
      <c r="K78" s="179" t="s">
        <v>114</v>
      </c>
      <c r="L78" s="179" t="s">
        <v>87</v>
      </c>
      <c r="M78" s="178" t="s">
        <v>115</v>
      </c>
      <c r="N78" s="179" t="s">
        <v>204</v>
      </c>
      <c r="O78" s="179" t="s">
        <v>203</v>
      </c>
      <c r="P78" s="179" t="s">
        <v>116</v>
      </c>
      <c r="Q78" s="179" t="s">
        <v>205</v>
      </c>
      <c r="R78" s="179" t="s">
        <v>203</v>
      </c>
      <c r="S78" s="179" t="s">
        <v>206</v>
      </c>
      <c r="T78" s="172" t="s">
        <v>203</v>
      </c>
    </row>
    <row r="79" spans="2:20" x14ac:dyDescent="0.25">
      <c r="B79" s="243"/>
      <c r="C79" s="123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</row>
    <row r="80" spans="2:20" ht="15.75" x14ac:dyDescent="0.3">
      <c r="B80" s="243"/>
      <c r="C80" s="172" t="s">
        <v>117</v>
      </c>
      <c r="D80" s="172" t="s">
        <v>118</v>
      </c>
      <c r="E80" s="172" t="s">
        <v>207</v>
      </c>
      <c r="F80" s="172" t="s">
        <v>203</v>
      </c>
      <c r="G80" s="172" t="s">
        <v>116</v>
      </c>
      <c r="H80" s="172" t="s">
        <v>208</v>
      </c>
      <c r="I80" s="172" t="s">
        <v>203</v>
      </c>
      <c r="J80" s="172" t="s">
        <v>119</v>
      </c>
      <c r="K80" s="172" t="s">
        <v>120</v>
      </c>
      <c r="L80" s="172" t="s">
        <v>209</v>
      </c>
      <c r="M80" s="172" t="s">
        <v>203</v>
      </c>
      <c r="N80" s="172" t="s">
        <v>210</v>
      </c>
      <c r="O80" s="173" t="s">
        <v>203</v>
      </c>
      <c r="P80" s="173" t="s">
        <v>211</v>
      </c>
      <c r="Q80" s="173" t="s">
        <v>203</v>
      </c>
      <c r="R80" s="173" t="s">
        <v>212</v>
      </c>
      <c r="S80" s="173" t="s">
        <v>203</v>
      </c>
      <c r="T80" s="174" t="s">
        <v>20</v>
      </c>
    </row>
    <row r="81" spans="2:20" ht="15.75" x14ac:dyDescent="0.25">
      <c r="B81" s="243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136" t="s">
        <v>162</v>
      </c>
    </row>
    <row r="82" spans="2:20" x14ac:dyDescent="0.25">
      <c r="B82" s="243"/>
      <c r="C82" s="180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0"/>
      <c r="Q82" s="170"/>
      <c r="R82" s="181"/>
      <c r="S82" s="171"/>
      <c r="T82" s="182"/>
    </row>
    <row r="83" spans="2:20" x14ac:dyDescent="0.25">
      <c r="B83" s="243"/>
      <c r="C83" s="183" t="s">
        <v>78</v>
      </c>
      <c r="D83" s="183" t="s">
        <v>202</v>
      </c>
      <c r="E83" s="183" t="s">
        <v>203</v>
      </c>
      <c r="F83" s="183" t="s">
        <v>109</v>
      </c>
      <c r="G83" s="183" t="s">
        <v>110</v>
      </c>
      <c r="H83" s="172" t="s">
        <v>111</v>
      </c>
      <c r="I83" s="172" t="s">
        <v>112</v>
      </c>
      <c r="J83" s="172" t="s">
        <v>113</v>
      </c>
      <c r="K83" s="172" t="s">
        <v>114</v>
      </c>
      <c r="L83" s="172" t="s">
        <v>87</v>
      </c>
      <c r="M83" s="183" t="s">
        <v>115</v>
      </c>
      <c r="N83" s="172" t="s">
        <v>204</v>
      </c>
      <c r="O83" s="172" t="s">
        <v>203</v>
      </c>
      <c r="P83" s="172" t="s">
        <v>116</v>
      </c>
      <c r="Q83" s="172" t="s">
        <v>205</v>
      </c>
      <c r="R83" s="172" t="s">
        <v>203</v>
      </c>
      <c r="S83" s="172" t="s">
        <v>206</v>
      </c>
      <c r="T83" s="172" t="s">
        <v>203</v>
      </c>
    </row>
    <row r="84" spans="2:20" x14ac:dyDescent="0.25">
      <c r="B84" s="184"/>
      <c r="C84" s="123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</row>
    <row r="85" spans="2:20" ht="15.75" x14ac:dyDescent="0.3">
      <c r="B85" s="184"/>
      <c r="C85" s="172" t="s">
        <v>117</v>
      </c>
      <c r="D85" s="172" t="s">
        <v>118</v>
      </c>
      <c r="E85" s="172" t="s">
        <v>207</v>
      </c>
      <c r="F85" s="172" t="s">
        <v>203</v>
      </c>
      <c r="G85" s="172" t="s">
        <v>116</v>
      </c>
      <c r="H85" s="172" t="s">
        <v>208</v>
      </c>
      <c r="I85" s="172" t="s">
        <v>203</v>
      </c>
      <c r="J85" s="172" t="s">
        <v>119</v>
      </c>
      <c r="K85" s="172" t="s">
        <v>120</v>
      </c>
      <c r="L85" s="172" t="s">
        <v>209</v>
      </c>
      <c r="M85" s="172" t="s">
        <v>203</v>
      </c>
      <c r="N85" s="172" t="s">
        <v>210</v>
      </c>
      <c r="O85" s="173" t="s">
        <v>203</v>
      </c>
      <c r="P85" s="173" t="s">
        <v>211</v>
      </c>
      <c r="Q85" s="173" t="s">
        <v>203</v>
      </c>
      <c r="R85" s="173" t="s">
        <v>212</v>
      </c>
      <c r="S85" s="173" t="s">
        <v>203</v>
      </c>
      <c r="T85" s="169" t="s">
        <v>20</v>
      </c>
    </row>
    <row r="86" spans="2:20" ht="15.75" x14ac:dyDescent="0.25">
      <c r="B86" s="185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136"/>
    </row>
  </sheetData>
  <mergeCells count="15"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  <mergeCell ref="B2:E3"/>
    <mergeCell ref="F2:H3"/>
    <mergeCell ref="B12:B18"/>
    <mergeCell ref="C12:Q12"/>
    <mergeCell ref="B25:B29"/>
    <mergeCell ref="C25:R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2024-08-30T15:31:12Z</dcterms:modified>
</cp:coreProperties>
</file>