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1890" yWindow="300" windowWidth="20730" windowHeight="11760" tabRatio="814" firstSheet="2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1" sheetId="39" r:id="rId33"/>
    <sheet name="CALIBRATION REPORT" sheetId="6" r:id="rId34"/>
    <sheet name="POWER OFF" sheetId="5" r:id="rId35"/>
    <sheet name="MUX SIGNALS" sheetId="43" r:id="rId36"/>
  </sheets>
  <definedNames/>
  <calcPr calcId="144525"/>
</workbook>
</file>

<file path=xl/calcChain.xml><?xml version="1.0" encoding="utf-8"?>
<calcChain xmlns="http://schemas.openxmlformats.org/spreadsheetml/2006/main">
  <c r="B2" i="22" l="1"/>
</calcChain>
</file>

<file path=xl/sharedStrings.xml><?xml version="1.0" encoding="utf-8"?>
<sst xmlns="http://schemas.openxmlformats.org/spreadsheetml/2006/main" count="7228" uniqueCount="3131">
  <si>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</si>
  <si>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</si>
  <si>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</si>
  <si>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</si>
  <si>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</si>
  <si>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</si>
  <si>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</si>
  <si>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</si>
  <si>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</si>
  <si>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</si>
  <si>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</si>
  <si>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</si>
  <si>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</si>
  <si>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</si>
  <si>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</si>
  <si>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</si>
  <si>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</si>
  <si>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</si>
  <si>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</si>
  <si>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</si>
  <si>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</si>
  <si>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</si>
  <si>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</si>
  <si>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</si>
  <si>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</si>
  <si>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</si>
  <si>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</si>
  <si>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</si>
  <si>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</si>
  <si>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</si>
  <si>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</si>
  <si>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</si>
  <si>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</si>
  <si>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</si>
  <si>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</si>
  <si>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</si>
  <si>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</si>
  <si>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</si>
  <si>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</si>
  <si>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</si>
  <si>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</si>
  <si>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</si>
  <si>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</si>
  <si>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</si>
  <si>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</si>
  <si>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</si>
  <si>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</si>
  <si>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</si>
  <si>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</si>
  <si>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</si>
  <si>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</si>
  <si>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</si>
  <si>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</si>
  <si>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</si>
  <si>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</si>
  <si>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</si>
  <si>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</si>
  <si>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</si>
  <si>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</si>
  <si>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</si>
  <si>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</si>
  <si>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</si>
  <si>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</si>
  <si>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</si>
  <si>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</si>
  <si>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</si>
  <si>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</si>
  <si>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</si>
  <si>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</si>
  <si>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</si>
  <si>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</si>
  <si>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</si>
  <si>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</si>
  <si>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</si>
  <si>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</si>
  <si>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</si>
  <si>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</si>
  <si>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</si>
  <si>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</si>
  <si>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</si>
  <si>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</si>
  <si>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</si>
  <si>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</si>
  <si>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</si>
  <si>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</si>
  <si>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</si>
  <si>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</si>
  <si>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</si>
  <si>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</si>
  <si>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</si>
  <si>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</si>
  <si>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</si>
  <si>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</si>
  <si>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</si>
  <si>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</si>
  <si>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</si>
  <si>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</si>
  <si>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</si>
  <si>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</si>
  <si>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</si>
  <si>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</si>
  <si>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</si>
  <si>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</si>
  <si>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</si>
  <si>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</si>
  <si>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</si>
  <si>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</si>
  <si>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</si>
  <si>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</si>
  <si>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</si>
  <si>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</si>
  <si>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</si>
  <si>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</si>
  <si>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</si>
  <si>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</si>
  <si>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</si>
  <si>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</si>
  <si>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</si>
  <si>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</si>
  <si>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</si>
  <si>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</si>
  <si>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</si>
  <si>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</si>
  <si>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</si>
  <si>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</si>
  <si>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</si>
  <si>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</si>
  <si>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</si>
  <si>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</si>
  <si>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</si>
  <si>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</si>
  <si>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</si>
  <si>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</si>
  <si>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</si>
  <si>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</si>
  <si>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</si>
  <si>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</si>
  <si>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</si>
  <si>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</si>
  <si>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</si>
  <si>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</si>
  <si>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</si>
  <si>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</si>
  <si>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</si>
  <si>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</si>
  <si>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</si>
  <si>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</si>
  <si>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</si>
  <si>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</si>
  <si>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</si>
  <si>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</si>
  <si>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</si>
  <si>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</si>
  <si>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</si>
  <si>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</si>
  <si>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</si>
  <si>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</si>
  <si>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</si>
  <si>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</si>
  <si>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</si>
  <si>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</si>
  <si>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</si>
  <si>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</si>
  <si>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</si>
  <si>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</si>
  <si>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</si>
  <si>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</si>
  <si>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</si>
  <si>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</si>
  <si>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</si>
  <si>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</si>
  <si>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</si>
  <si>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</si>
  <si>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</si>
  <si>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</si>
  <si>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</si>
  <si>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</si>
  <si>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</si>
  <si>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</si>
  <si>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</si>
  <si>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</si>
  <si>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</si>
  <si>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</si>
  <si>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</si>
  <si>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</si>
  <si>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</si>
  <si>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</si>
  <si>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</si>
  <si>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</si>
  <si>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</si>
  <si>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</si>
  <si>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</si>
  <si>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</si>
  <si>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</si>
  <si>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</si>
  <si>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</si>
  <si>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</si>
  <si>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</si>
  <si>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</si>
  <si>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</si>
  <si>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</si>
  <si>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</si>
  <si>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</si>
  <si>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</si>
  <si>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</si>
  <si>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</si>
  <si>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</si>
  <si>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</si>
  <si>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</si>
  <si>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</si>
  <si>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</si>
  <si>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</si>
  <si>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</si>
  <si>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</si>
  <si>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</si>
  <si>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</si>
  <si>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snehashis</t>
  </si>
  <si>
    <t>01/06/2022 00:15 - 30/06/2022 00:00</t>
  </si>
  <si>
    <t>SR</t>
  </si>
  <si>
    <t>RK</t>
  </si>
  <si>
    <t>807 ug/cm2</t>
  </si>
  <si>
    <t>801 ug/cm2</t>
  </si>
  <si>
    <t>4mv</t>
  </si>
  <si>
    <t>ON</t>
  </si>
  <si>
    <t>OFF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</si>
  <si>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</si>
  <si>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</si>
  <si>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</si>
  <si>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</si>
  <si>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</si>
  <si>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</si>
  <si>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</si>
  <si>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</si>
  <si>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</si>
  <si>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</si>
  <si>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</si>
  <si>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</si>
  <si>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</si>
  <si>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</si>
  <si>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</si>
  <si>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</si>
  <si>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</si>
  <si>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SUROJIT</t>
  </si>
  <si>
    <t>BHATAGAON RAIPPUR</t>
  </si>
  <si>
    <t>01-06-2022 00:15</t>
  </si>
  <si>
    <t>01-06-2022 00:30</t>
  </si>
  <si>
    <t>01-06-2022 00:45</t>
  </si>
  <si>
    <t>01-06-2022 01:00</t>
  </si>
  <si>
    <t>01-06-2022 01:15</t>
  </si>
  <si>
    <t>01-06-2022 01:30</t>
  </si>
  <si>
    <t>01-06-2022 01:45</t>
  </si>
  <si>
    <t>01-06-2022 02:00</t>
  </si>
  <si>
    <t>01-06-2022 02:15</t>
  </si>
  <si>
    <t>01-06-2022 02:30</t>
  </si>
  <si>
    <t>01-06-2022 02:45</t>
  </si>
  <si>
    <t>01-06-2022 03:00</t>
  </si>
  <si>
    <t>01-06-2022 03:15</t>
  </si>
  <si>
    <t>01-06-2022 03:30</t>
  </si>
  <si>
    <t>01-06-2022 03:45</t>
  </si>
  <si>
    <t>01-06-2022 04:00</t>
  </si>
  <si>
    <t>01-06-2022 04:15</t>
  </si>
  <si>
    <t>01-06-2022 04:30</t>
  </si>
  <si>
    <t>01-06-2022 04:45</t>
  </si>
  <si>
    <t>01-06-2022 05:00</t>
  </si>
  <si>
    <t>01-06-2022 05:15</t>
  </si>
  <si>
    <t>01-06-2022 05:30</t>
  </si>
  <si>
    <t>01-06-2022 05:45</t>
  </si>
  <si>
    <t>01-06-2022 06:00</t>
  </si>
  <si>
    <t>01-06-2022 06:15</t>
  </si>
  <si>
    <t>01-06-2022 06:30</t>
  </si>
  <si>
    <t>01-06-2022 06:45</t>
  </si>
  <si>
    <t>01-06-2022 07:00</t>
  </si>
  <si>
    <t>01-06-2022 07:15</t>
  </si>
  <si>
    <t>01-06-2022 07:30</t>
  </si>
  <si>
    <t>01-06-2022 07:45</t>
  </si>
  <si>
    <t>01-06-2022 08:00</t>
  </si>
  <si>
    <t>01-06-2022 08:15</t>
  </si>
  <si>
    <t>01-06-2022 08:30</t>
  </si>
  <si>
    <t>01-06-2022 08:45</t>
  </si>
  <si>
    <t>01-06-2022 09:00</t>
  </si>
  <si>
    <t>01-06-2022 09:15</t>
  </si>
  <si>
    <t>01-06-2022 09:30</t>
  </si>
  <si>
    <t>01-06-2022 09:45</t>
  </si>
  <si>
    <t>01-06-2022 10:00</t>
  </si>
  <si>
    <t>01-06-2022 10:15</t>
  </si>
  <si>
    <t>01-06-2022 10:30</t>
  </si>
  <si>
    <t>01-06-2022 10:45</t>
  </si>
  <si>
    <t>01-06-2022 11:00</t>
  </si>
  <si>
    <t>01-06-2022 11:15</t>
  </si>
  <si>
    <t>01-06-2022 11:30</t>
  </si>
  <si>
    <t>01-06-2022 11:45</t>
  </si>
  <si>
    <t>01-06-2022 12:00</t>
  </si>
  <si>
    <t>01-06-2022 12:15</t>
  </si>
  <si>
    <t>01-06-2022 12:30</t>
  </si>
  <si>
    <t>01-06-2022 12:45</t>
  </si>
  <si>
    <t>01-06-2022 13:00</t>
  </si>
  <si>
    <t>01-06-2022 13:15</t>
  </si>
  <si>
    <t>01-06-2022 13:30</t>
  </si>
  <si>
    <t>01-06-2022 13:45</t>
  </si>
  <si>
    <t>01-06-2022 14:00</t>
  </si>
  <si>
    <t>01-06-2022 14:15</t>
  </si>
  <si>
    <t>01-06-2022 14:30</t>
  </si>
  <si>
    <t>01-06-2022 14:45</t>
  </si>
  <si>
    <t>01-06-2022 15:00</t>
  </si>
  <si>
    <t>01-06-2022 15:15</t>
  </si>
  <si>
    <t>01-06-2022 15:30</t>
  </si>
  <si>
    <t>01-06-2022 15:45</t>
  </si>
  <si>
    <t>01-06-2022 16:00</t>
  </si>
  <si>
    <t>01-06-2022 16:15</t>
  </si>
  <si>
    <t>01-06-2022 16:30</t>
  </si>
  <si>
    <t>01-06-2022 16:45</t>
  </si>
  <si>
    <t>01-06-2022 17:00</t>
  </si>
  <si>
    <t>01-06-2022 17:15</t>
  </si>
  <si>
    <t>01-06-2022 17:30</t>
  </si>
  <si>
    <t>01-06-2022 17:45</t>
  </si>
  <si>
    <t>01-06-2022 18:00</t>
  </si>
  <si>
    <t>01-06-2022 18:15</t>
  </si>
  <si>
    <t>01-06-2022 18:30</t>
  </si>
  <si>
    <t>01-06-2022 18:45</t>
  </si>
  <si>
    <t>01-06-2022 19:00</t>
  </si>
  <si>
    <t>01-06-2022 19:15</t>
  </si>
  <si>
    <t>01-06-2022 19:30</t>
  </si>
  <si>
    <t>01-06-2022 19:45</t>
  </si>
  <si>
    <t>01-06-2022 20:00</t>
  </si>
  <si>
    <t>01-06-2022 20:15</t>
  </si>
  <si>
    <t>01-06-2022 20:30</t>
  </si>
  <si>
    <t>01-06-2022 20:45</t>
  </si>
  <si>
    <t>01-06-2022 21:00</t>
  </si>
  <si>
    <t>01-06-2022 21:15</t>
  </si>
  <si>
    <t>01-06-2022 21:30</t>
  </si>
  <si>
    <t>01-06-2022 21:45</t>
  </si>
  <si>
    <t>01-06-2022 22:00</t>
  </si>
  <si>
    <t>01-06-2022 22:15</t>
  </si>
  <si>
    <t>01-06-2022 22:30</t>
  </si>
  <si>
    <t>01-06-2022 22:45</t>
  </si>
  <si>
    <t>01-06-2022 23:00</t>
  </si>
  <si>
    <t>01-06-2022 23:15</t>
  </si>
  <si>
    <t>01-06-2022 23:30</t>
  </si>
  <si>
    <t>01-06-2022 23:45</t>
  </si>
  <si>
    <t>01-06-2022 24:00</t>
  </si>
  <si>
    <t>PM2.5__BHATAGAON</t>
  </si>
  <si>
    <t>02-06-2022 00:15</t>
  </si>
  <si>
    <t>02-06-2022 00:30</t>
  </si>
  <si>
    <t>02-06-2022 00:45</t>
  </si>
  <si>
    <t>02-06-2022 01:00</t>
  </si>
  <si>
    <t>02-06-2022 01:15</t>
  </si>
  <si>
    <t>02-06-2022 01:30</t>
  </si>
  <si>
    <t>02-06-2022 01:45</t>
  </si>
  <si>
    <t>02-06-2022 02:00</t>
  </si>
  <si>
    <t>02-06-2022 02:15</t>
  </si>
  <si>
    <t>02-06-2022 02:30</t>
  </si>
  <si>
    <t>02-06-2022 02:45</t>
  </si>
  <si>
    <t>02-06-2022 03:00</t>
  </si>
  <si>
    <t>02-06-2022 03:15</t>
  </si>
  <si>
    <t>02-06-2022 03:30</t>
  </si>
  <si>
    <t>02-06-2022 03:45</t>
  </si>
  <si>
    <t>02-06-2022 04:00</t>
  </si>
  <si>
    <t>02-06-2022 04:15</t>
  </si>
  <si>
    <t>02-06-2022 04:30</t>
  </si>
  <si>
    <t>02-06-2022 04:45</t>
  </si>
  <si>
    <t>02-06-2022 05:00</t>
  </si>
  <si>
    <t>02-06-2022 05:15</t>
  </si>
  <si>
    <t>02-06-2022 05:30</t>
  </si>
  <si>
    <t>02-06-2022 05:45</t>
  </si>
  <si>
    <t>02-06-2022 06:00</t>
  </si>
  <si>
    <t>02-06-2022 06:15</t>
  </si>
  <si>
    <t>02-06-2022 06:30</t>
  </si>
  <si>
    <t>02-06-2022 06:45</t>
  </si>
  <si>
    <t>02-06-2022 07:00</t>
  </si>
  <si>
    <t>02-06-2022 07:15</t>
  </si>
  <si>
    <t>02-06-2022 07:30</t>
  </si>
  <si>
    <t>02-06-2022 07:45</t>
  </si>
  <si>
    <t>02-06-2022 08:00</t>
  </si>
  <si>
    <t>02-06-2022 08:15</t>
  </si>
  <si>
    <t>02-06-2022 08:30</t>
  </si>
  <si>
    <t>02-06-2022 08:45</t>
  </si>
  <si>
    <t>02-06-2022 09:00</t>
  </si>
  <si>
    <t>02-06-2022 09:15</t>
  </si>
  <si>
    <t>02-06-2022 09:30</t>
  </si>
  <si>
    <t>02-06-2022 09:45</t>
  </si>
  <si>
    <t>02-06-2022 10:00</t>
  </si>
  <si>
    <t>02-06-2022 10:15</t>
  </si>
  <si>
    <t>02-06-2022 10:30</t>
  </si>
  <si>
    <t>02-06-2022 10:45</t>
  </si>
  <si>
    <t>02-06-2022 11:00</t>
  </si>
  <si>
    <t>02-06-2022 11:15</t>
  </si>
  <si>
    <t>02-06-2022 11:30</t>
  </si>
  <si>
    <t>02-06-2022 11:45</t>
  </si>
  <si>
    <t>02-06-2022 12:00</t>
  </si>
  <si>
    <t>02-06-2022 12:15</t>
  </si>
  <si>
    <t>02-06-2022 12:30</t>
  </si>
  <si>
    <t>02-06-2022 12:45</t>
  </si>
  <si>
    <t>02-06-2022 13:00</t>
  </si>
  <si>
    <t>02-06-2022 13:15</t>
  </si>
  <si>
    <t>02-06-2022 13:30</t>
  </si>
  <si>
    <t>02-06-2022 13:45</t>
  </si>
  <si>
    <t>02-06-2022 14:00</t>
  </si>
  <si>
    <t>02-06-2022 14:15</t>
  </si>
  <si>
    <t>02-06-2022 14:30</t>
  </si>
  <si>
    <t>02-06-2022 14:45</t>
  </si>
  <si>
    <t>02-06-2022 15:00</t>
  </si>
  <si>
    <t>02-06-2022 15:15</t>
  </si>
  <si>
    <t>02-06-2022 15:30</t>
  </si>
  <si>
    <t>02-06-2022 15:45</t>
  </si>
  <si>
    <t>02-06-2022 16:00</t>
  </si>
  <si>
    <t>02-06-2022 16:15</t>
  </si>
  <si>
    <t>02-06-2022 16:30</t>
  </si>
  <si>
    <t>02-06-2022 16:45</t>
  </si>
  <si>
    <t>02-06-2022 17:00</t>
  </si>
  <si>
    <t>02-06-2022 17:15</t>
  </si>
  <si>
    <t>02-06-2022 17:30</t>
  </si>
  <si>
    <t>02-06-2022 17:45</t>
  </si>
  <si>
    <t>02-06-2022 18:00</t>
  </si>
  <si>
    <t>02-06-2022 18:15</t>
  </si>
  <si>
    <t>02-06-2022 18:30</t>
  </si>
  <si>
    <t>02-06-2022 18:45</t>
  </si>
  <si>
    <t>02-06-2022 19:00</t>
  </si>
  <si>
    <t>02-06-2022 19:15</t>
  </si>
  <si>
    <t>02-06-2022 19:30</t>
  </si>
  <si>
    <t>02-06-2022 19:45</t>
  </si>
  <si>
    <t>02-06-2022 20:00</t>
  </si>
  <si>
    <t>02-06-2022 20:15</t>
  </si>
  <si>
    <t>02-06-2022 20:30</t>
  </si>
  <si>
    <t>02-06-2022 20:45</t>
  </si>
  <si>
    <t>02-06-2022 21:00</t>
  </si>
  <si>
    <t>02-06-2022 21:15</t>
  </si>
  <si>
    <t>02-06-2022 21:30</t>
  </si>
  <si>
    <t>02-06-2022 21:45</t>
  </si>
  <si>
    <t>02-06-2022 22:00</t>
  </si>
  <si>
    <t>02-06-2022 22:15</t>
  </si>
  <si>
    <t>02-06-2022 22:30</t>
  </si>
  <si>
    <t>02-06-2022 22:45</t>
  </si>
  <si>
    <t>02-06-2022 23:00</t>
  </si>
  <si>
    <t>02-06-2022 23:15</t>
  </si>
  <si>
    <t>02-06-2022 23:30</t>
  </si>
  <si>
    <t>02-06-2022 23:45</t>
  </si>
  <si>
    <t>02-06-2022 24:00</t>
  </si>
  <si>
    <t>03-06-2022 00:15</t>
  </si>
  <si>
    <t>03-06-2022 00:30</t>
  </si>
  <si>
    <t>03-06-2022 00:45</t>
  </si>
  <si>
    <t>03-06-2022 01:00</t>
  </si>
  <si>
    <t>03-06-2022 01:15</t>
  </si>
  <si>
    <t>03-06-2022 01:30</t>
  </si>
  <si>
    <t>03-06-2022 01:45</t>
  </si>
  <si>
    <t>03-06-2022 02:00</t>
  </si>
  <si>
    <t>03-06-2022 02:15</t>
  </si>
  <si>
    <t>03-06-2022 02:30</t>
  </si>
  <si>
    <t>03-06-2022 02:45</t>
  </si>
  <si>
    <t>03-06-2022 03:00</t>
  </si>
  <si>
    <t>03-06-2022 03:15</t>
  </si>
  <si>
    <t>03-06-2022 03:30</t>
  </si>
  <si>
    <t>03-06-2022 03:45</t>
  </si>
  <si>
    <t>03-06-2022 04:00</t>
  </si>
  <si>
    <t>03-06-2022 04:15</t>
  </si>
  <si>
    <t>03-06-2022 04:30</t>
  </si>
  <si>
    <t>03-06-2022 04:45</t>
  </si>
  <si>
    <t>03-06-2022 05:00</t>
  </si>
  <si>
    <t>03-06-2022 05:15</t>
  </si>
  <si>
    <t>03-06-2022 05:30</t>
  </si>
  <si>
    <t>03-06-2022 05:45</t>
  </si>
  <si>
    <t>03-06-2022 06:00</t>
  </si>
  <si>
    <t>03-06-2022 06:15</t>
  </si>
  <si>
    <t>03-06-2022 06:30</t>
  </si>
  <si>
    <t>03-06-2022 06:45</t>
  </si>
  <si>
    <t>03-06-2022 07:00</t>
  </si>
  <si>
    <t>03-06-2022 07:15</t>
  </si>
  <si>
    <t>03-06-2022 07:30</t>
  </si>
  <si>
    <t>03-06-2022 07:45</t>
  </si>
  <si>
    <t>03-06-2022 08:00</t>
  </si>
  <si>
    <t>03-06-2022 08:15</t>
  </si>
  <si>
    <t>03-06-2022 08:30</t>
  </si>
  <si>
    <t>03-06-2022 08:45</t>
  </si>
  <si>
    <t>03-06-2022 09:00</t>
  </si>
  <si>
    <t>03-06-2022 09:15</t>
  </si>
  <si>
    <t>03-06-2022 09:30</t>
  </si>
  <si>
    <t>03-06-2022 09:45</t>
  </si>
  <si>
    <t>03-06-2022 10:00</t>
  </si>
  <si>
    <t>03-06-2022 10:15</t>
  </si>
  <si>
    <t>03-06-2022 10:30</t>
  </si>
  <si>
    <t>03-06-2022 10:45</t>
  </si>
  <si>
    <t>03-06-2022 11:00</t>
  </si>
  <si>
    <t>03-06-2022 11:15</t>
  </si>
  <si>
    <t>03-06-2022 11:30</t>
  </si>
  <si>
    <t>03-06-2022 11:45</t>
  </si>
  <si>
    <t>03-06-2022 12:00</t>
  </si>
  <si>
    <t>03-06-2022 12:15</t>
  </si>
  <si>
    <t>03-06-2022 12:30</t>
  </si>
  <si>
    <t>03-06-2022 12:45</t>
  </si>
  <si>
    <t>03-06-2022 13:00</t>
  </si>
  <si>
    <t>03-06-2022 13:15</t>
  </si>
  <si>
    <t>03-06-2022 13:30</t>
  </si>
  <si>
    <t>03-06-2022 13:45</t>
  </si>
  <si>
    <t>03-06-2022 14:00</t>
  </si>
  <si>
    <t>03-06-2022 14:15</t>
  </si>
  <si>
    <t>03-06-2022 14:30</t>
  </si>
  <si>
    <t>03-06-2022 14:45</t>
  </si>
  <si>
    <t>03-06-2022 15:00</t>
  </si>
  <si>
    <t>03-06-2022 15:15</t>
  </si>
  <si>
    <t>03-06-2022 15:30</t>
  </si>
  <si>
    <t>03-06-2022 15:45</t>
  </si>
  <si>
    <t>03-06-2022 16:00</t>
  </si>
  <si>
    <t>03-06-2022 16:15</t>
  </si>
  <si>
    <t>03-06-2022 16:30</t>
  </si>
  <si>
    <t>03-06-2022 16:45</t>
  </si>
  <si>
    <t>03-06-2022 17:00</t>
  </si>
  <si>
    <t>03-06-2022 17:15</t>
  </si>
  <si>
    <t>03-06-2022 17:30</t>
  </si>
  <si>
    <t>03-06-2022 17:45</t>
  </si>
  <si>
    <t>03-06-2022 18:00</t>
  </si>
  <si>
    <t>03-06-2022 18:15</t>
  </si>
  <si>
    <t>03-06-2022 18:30</t>
  </si>
  <si>
    <t>03-06-2022 18:45</t>
  </si>
  <si>
    <t>03-06-2022 19:00</t>
  </si>
  <si>
    <t>03-06-2022 19:15</t>
  </si>
  <si>
    <t>03-06-2022 19:30</t>
  </si>
  <si>
    <t>03-06-2022 19:45</t>
  </si>
  <si>
    <t>03-06-2022 20:00</t>
  </si>
  <si>
    <t>03-06-2022 20:15</t>
  </si>
  <si>
    <t>03-06-2022 20:30</t>
  </si>
  <si>
    <t>03-06-2022 20:45</t>
  </si>
  <si>
    <t>03-06-2022 21:00</t>
  </si>
  <si>
    <t>03-06-2022 21:15</t>
  </si>
  <si>
    <t>03-06-2022 21:30</t>
  </si>
  <si>
    <t>03-06-2022 21:45</t>
  </si>
  <si>
    <t>03-06-2022 22:00</t>
  </si>
  <si>
    <t>03-06-2022 22:15</t>
  </si>
  <si>
    <t>03-06-2022 22:30</t>
  </si>
  <si>
    <t>03-06-2022 22:45</t>
  </si>
  <si>
    <t>03-06-2022 23:00</t>
  </si>
  <si>
    <t>03-06-2022 23:15</t>
  </si>
  <si>
    <t>03-06-2022 23:30</t>
  </si>
  <si>
    <t>03-06-2022 23:45</t>
  </si>
  <si>
    <t>03-06-2022 24:00</t>
  </si>
  <si>
    <t>04-06-2022 00:15</t>
  </si>
  <si>
    <t>04-06-2022 00:30</t>
  </si>
  <si>
    <t>04-06-2022 00:45</t>
  </si>
  <si>
    <t>04-06-2022 01:00</t>
  </si>
  <si>
    <t>04-06-2022 01:15</t>
  </si>
  <si>
    <t>04-06-2022 01:30</t>
  </si>
  <si>
    <t>04-06-2022 01:45</t>
  </si>
  <si>
    <t>04-06-2022 02:00</t>
  </si>
  <si>
    <t>04-06-2022 02:15</t>
  </si>
  <si>
    <t>04-06-2022 02:30</t>
  </si>
  <si>
    <t>04-06-2022 02:45</t>
  </si>
  <si>
    <t>04-06-2022 03:00</t>
  </si>
  <si>
    <t>04-06-2022 03:15</t>
  </si>
  <si>
    <t>04-06-2022 03:30</t>
  </si>
  <si>
    <t>04-06-2022 03:45</t>
  </si>
  <si>
    <t>04-06-2022 04:00</t>
  </si>
  <si>
    <t>04-06-2022 04:15</t>
  </si>
  <si>
    <t>04-06-2022 04:30</t>
  </si>
  <si>
    <t>04-06-2022 04:45</t>
  </si>
  <si>
    <t>04-06-2022 05:00</t>
  </si>
  <si>
    <t>04-06-2022 05:15</t>
  </si>
  <si>
    <t>04-06-2022 05:30</t>
  </si>
  <si>
    <t>04-06-2022 05:45</t>
  </si>
  <si>
    <t>04-06-2022 06:00</t>
  </si>
  <si>
    <t>04-06-2022 06:15</t>
  </si>
  <si>
    <t>04-06-2022 06:30</t>
  </si>
  <si>
    <t>04-06-2022 06:45</t>
  </si>
  <si>
    <t>04-06-2022 07:00</t>
  </si>
  <si>
    <t>04-06-2022 07:15</t>
  </si>
  <si>
    <t>04-06-2022 07:30</t>
  </si>
  <si>
    <t>04-06-2022 07:45</t>
  </si>
  <si>
    <t>04-06-2022 08:00</t>
  </si>
  <si>
    <t>04-06-2022 08:15</t>
  </si>
  <si>
    <t>04-06-2022 08:30</t>
  </si>
  <si>
    <t>04-06-2022 08:45</t>
  </si>
  <si>
    <t>04-06-2022 09:00</t>
  </si>
  <si>
    <t>04-06-2022 09:15</t>
  </si>
  <si>
    <t>04-06-2022 09:30</t>
  </si>
  <si>
    <t>04-06-2022 09:45</t>
  </si>
  <si>
    <t>04-06-2022 10:00</t>
  </si>
  <si>
    <t>04-06-2022 10:15</t>
  </si>
  <si>
    <t>04-06-2022 10:30</t>
  </si>
  <si>
    <t>04-06-2022 10:45</t>
  </si>
  <si>
    <t>04-06-2022 11:00</t>
  </si>
  <si>
    <t>04-06-2022 11:15</t>
  </si>
  <si>
    <t>04-06-2022 11:30</t>
  </si>
  <si>
    <t>04-06-2022 11:45</t>
  </si>
  <si>
    <t>04-06-2022 12:00</t>
  </si>
  <si>
    <t>04-06-2022 12:15</t>
  </si>
  <si>
    <t>04-06-2022 12:30</t>
  </si>
  <si>
    <t>04-06-2022 12:45</t>
  </si>
  <si>
    <t>04-06-2022 13:00</t>
  </si>
  <si>
    <t>04-06-2022 13:15</t>
  </si>
  <si>
    <t>04-06-2022 13:30</t>
  </si>
  <si>
    <t>04-06-2022 13:45</t>
  </si>
  <si>
    <t>04-06-2022 14:00</t>
  </si>
  <si>
    <t>04-06-2022 14:15</t>
  </si>
  <si>
    <t>04-06-2022 14:30</t>
  </si>
  <si>
    <t>04-06-2022 14:45</t>
  </si>
  <si>
    <t>04-06-2022 15:00</t>
  </si>
  <si>
    <t>04-06-2022 15:15</t>
  </si>
  <si>
    <t>04-06-2022 15:30</t>
  </si>
  <si>
    <t>04-06-2022 15:45</t>
  </si>
  <si>
    <t>04-06-2022 16:00</t>
  </si>
  <si>
    <t>04-06-2022 16:15</t>
  </si>
  <si>
    <t>04-06-2022 16:30</t>
  </si>
  <si>
    <t>04-06-2022 16:45</t>
  </si>
  <si>
    <t>04-06-2022 17:00</t>
  </si>
  <si>
    <t>04-06-2022 17:15</t>
  </si>
  <si>
    <t>04-06-2022 17:30</t>
  </si>
  <si>
    <t>04-06-2022 17:45</t>
  </si>
  <si>
    <t>04-06-2022 18:00</t>
  </si>
  <si>
    <t>04-06-2022 18:15</t>
  </si>
  <si>
    <t>04-06-2022 18:30</t>
  </si>
  <si>
    <t>04-06-2022 18:45</t>
  </si>
  <si>
    <t>04-06-2022 19:00</t>
  </si>
  <si>
    <t>04-06-2022 19:15</t>
  </si>
  <si>
    <t>04-06-2022 19:30</t>
  </si>
  <si>
    <t>04-06-2022 19:45</t>
  </si>
  <si>
    <t>04-06-2022 20:00</t>
  </si>
  <si>
    <t>04-06-2022 20:15</t>
  </si>
  <si>
    <t>04-06-2022 20:30</t>
  </si>
  <si>
    <t>04-06-2022 20:45</t>
  </si>
  <si>
    <t>04-06-2022 21:00</t>
  </si>
  <si>
    <t>04-06-2022 21:15</t>
  </si>
  <si>
    <t>04-06-2022 21:30</t>
  </si>
  <si>
    <t>04-06-2022 21:45</t>
  </si>
  <si>
    <t>04-06-2022 22:00</t>
  </si>
  <si>
    <t>04-06-2022 22:15</t>
  </si>
  <si>
    <t>04-06-2022 22:30</t>
  </si>
  <si>
    <t>04-06-2022 22:45</t>
  </si>
  <si>
    <t>04-06-2022 23:00</t>
  </si>
  <si>
    <t>04-06-2022 23:15</t>
  </si>
  <si>
    <t>04-06-2022 23:30</t>
  </si>
  <si>
    <t>04-06-2022 23:45</t>
  </si>
  <si>
    <t>04-06-2022 24:00</t>
  </si>
  <si>
    <t>04-06-2022 00:60</t>
  </si>
  <si>
    <t>05-06-2022 00:30</t>
  </si>
  <si>
    <t>05-06-2022 00:45</t>
  </si>
  <si>
    <t>05-06-2022 01:00</t>
  </si>
  <si>
    <t>05-06-2022 01:15</t>
  </si>
  <si>
    <t>05-06-2022 01:30</t>
  </si>
  <si>
    <t>05-06-2022 01:45</t>
  </si>
  <si>
    <t>05-06-2022 02:00</t>
  </si>
  <si>
    <t>05-06-2022 02:15</t>
  </si>
  <si>
    <t>05-06-2022 02:30</t>
  </si>
  <si>
    <t>05-06-2022 02:45</t>
  </si>
  <si>
    <t>05-06-2022 03:00</t>
  </si>
  <si>
    <t>05-06-2022 03:15</t>
  </si>
  <si>
    <t>05-06-2022 03:30</t>
  </si>
  <si>
    <t>05-06-2022 03:45</t>
  </si>
  <si>
    <t>05-06-2022 04:00</t>
  </si>
  <si>
    <t>05-06-2022 04:15</t>
  </si>
  <si>
    <t>05-06-2022 04:30</t>
  </si>
  <si>
    <t>05-06-2022 04:45</t>
  </si>
  <si>
    <t>05-06-2022 05:00</t>
  </si>
  <si>
    <t>05-06-2022 05:15</t>
  </si>
  <si>
    <t>05-06-2022 05:30</t>
  </si>
  <si>
    <t>05-06-2022 05:45</t>
  </si>
  <si>
    <t>05-06-2022 06:00</t>
  </si>
  <si>
    <t>05-06-2022 06:15</t>
  </si>
  <si>
    <t>05-06-2022 06:30</t>
  </si>
  <si>
    <t>05-06-2022 06:45</t>
  </si>
  <si>
    <t>05-06-2022 07:00</t>
  </si>
  <si>
    <t>05-06-2022 07:15</t>
  </si>
  <si>
    <t>05-06-2022 07:30</t>
  </si>
  <si>
    <t>05-06-2022 07:45</t>
  </si>
  <si>
    <t>05-06-2022 08:00</t>
  </si>
  <si>
    <t>05-06-2022 08:15</t>
  </si>
  <si>
    <t>05-06-2022 08:30</t>
  </si>
  <si>
    <t>05-06-2022 08:45</t>
  </si>
  <si>
    <t>05-06-2022 09:00</t>
  </si>
  <si>
    <t>05-06-2022 09:15</t>
  </si>
  <si>
    <t>05-06-2022 09:30</t>
  </si>
  <si>
    <t>05-06-2022 09:45</t>
  </si>
  <si>
    <t>05-06-2022 10:00</t>
  </si>
  <si>
    <t>05-06-2022 10:15</t>
  </si>
  <si>
    <t>05-06-2022 10:30</t>
  </si>
  <si>
    <t>05-06-2022 10:45</t>
  </si>
  <si>
    <t>05-06-2022 11:00</t>
  </si>
  <si>
    <t>05-06-2022 11:15</t>
  </si>
  <si>
    <t>05-06-2022 11:30</t>
  </si>
  <si>
    <t>05-06-2022 11:45</t>
  </si>
  <si>
    <t>05-06-2022 12:00</t>
  </si>
  <si>
    <t>05-06-2022 12:15</t>
  </si>
  <si>
    <t>05-06-2022 12:30</t>
  </si>
  <si>
    <t>05-06-2022 12:45</t>
  </si>
  <si>
    <t>05-06-2022 13:00</t>
  </si>
  <si>
    <t>05-06-2022 13:15</t>
  </si>
  <si>
    <t>05-06-2022 13:30</t>
  </si>
  <si>
    <t>05-06-2022 13:45</t>
  </si>
  <si>
    <t>05-06-2022 14:00</t>
  </si>
  <si>
    <t>05-06-2022 14:15</t>
  </si>
  <si>
    <t>05-06-2022 14:30</t>
  </si>
  <si>
    <t>05-06-2022 14:45</t>
  </si>
  <si>
    <t>05-06-2022 15:00</t>
  </si>
  <si>
    <t>05-06-2022 15:15</t>
  </si>
  <si>
    <t>05-06-2022 15:30</t>
  </si>
  <si>
    <t>05-06-2022 15:45</t>
  </si>
  <si>
    <t>05-06-2022 16:00</t>
  </si>
  <si>
    <t>05-06-2022 16:15</t>
  </si>
  <si>
    <t>05-06-2022 16:30</t>
  </si>
  <si>
    <t>05-06-2022 16:45</t>
  </si>
  <si>
    <t>05-06-2022 17:00</t>
  </si>
  <si>
    <t>05-06-2022 17:15</t>
  </si>
  <si>
    <t>05-06-2022 17:30</t>
  </si>
  <si>
    <t>05-06-2022 17:45</t>
  </si>
  <si>
    <t>05-06-2022 18:00</t>
  </si>
  <si>
    <t>05-06-2022 18:15</t>
  </si>
  <si>
    <t>05-06-2022 18:30</t>
  </si>
  <si>
    <t>05-06-2022 18:45</t>
  </si>
  <si>
    <t>05-06-2022 19:00</t>
  </si>
  <si>
    <t>05-06-2022 19:15</t>
  </si>
  <si>
    <t>05-06-2022 19:30</t>
  </si>
  <si>
    <t>05-06-2022 19:45</t>
  </si>
  <si>
    <t>05-06-2022 20:00</t>
  </si>
  <si>
    <t>05-06-2022 20:15</t>
  </si>
  <si>
    <t>05-06-2022 20:30</t>
  </si>
  <si>
    <t>05-06-2022 20:45</t>
  </si>
  <si>
    <t>05-06-2022 21:00</t>
  </si>
  <si>
    <t>05-06-2022 21:15</t>
  </si>
  <si>
    <t>05-06-2022 21:30</t>
  </si>
  <si>
    <t>05-06-2022 21:45</t>
  </si>
  <si>
    <t>05-06-2022 22:00</t>
  </si>
  <si>
    <t>05-06-2022 22:15</t>
  </si>
  <si>
    <t>05-06-2022 22:30</t>
  </si>
  <si>
    <t>05-06-2022 22:45</t>
  </si>
  <si>
    <t>05-06-2022 23:00</t>
  </si>
  <si>
    <t>05-06-2022 23:15</t>
  </si>
  <si>
    <t>05-06-2022 23:30</t>
  </si>
  <si>
    <t>05-06-2022 23:45</t>
  </si>
  <si>
    <t>05-06-2022 24:00</t>
  </si>
  <si>
    <t>06-06-2022 00:15</t>
  </si>
  <si>
    <t>06-06-2022 00:30</t>
  </si>
  <si>
    <t>06-06-2022 00:45</t>
  </si>
  <si>
    <t>06-06-2022 01:00</t>
  </si>
  <si>
    <t>06-06-2022 01:15</t>
  </si>
  <si>
    <t>06-06-2022 01:30</t>
  </si>
  <si>
    <t>06-06-2022 01:45</t>
  </si>
  <si>
    <t>06-06-2022 02:00</t>
  </si>
  <si>
    <t>06-06-2022 02:15</t>
  </si>
  <si>
    <t>06-06-2022 02:30</t>
  </si>
  <si>
    <t>06-06-2022 02:45</t>
  </si>
  <si>
    <t>06-06-2022 03:00</t>
  </si>
  <si>
    <t>06-06-2022 03:15</t>
  </si>
  <si>
    <t>06-06-2022 03:30</t>
  </si>
  <si>
    <t>06-06-2022 03:45</t>
  </si>
  <si>
    <t>06-06-2022 04:00</t>
  </si>
  <si>
    <t>06-06-2022 04:15</t>
  </si>
  <si>
    <t>06-06-2022 04:30</t>
  </si>
  <si>
    <t>06-06-2022 04:45</t>
  </si>
  <si>
    <t>06-06-2022 05:00</t>
  </si>
  <si>
    <t>06-06-2022 05:15</t>
  </si>
  <si>
    <t>06-06-2022 05:30</t>
  </si>
  <si>
    <t>06-06-2022 05:45</t>
  </si>
  <si>
    <t>06-06-2022 06:00</t>
  </si>
  <si>
    <t>06-06-2022 06:15</t>
  </si>
  <si>
    <t>06-06-2022 06:30</t>
  </si>
  <si>
    <t>06-06-2022 06:45</t>
  </si>
  <si>
    <t>06-06-2022 07:00</t>
  </si>
  <si>
    <t>06-06-2022 07:15</t>
  </si>
  <si>
    <t>06-06-2022 07:30</t>
  </si>
  <si>
    <t>06-06-2022 07:45</t>
  </si>
  <si>
    <t>06-06-2022 08:00</t>
  </si>
  <si>
    <t>06-06-2022 08:15</t>
  </si>
  <si>
    <t>06-06-2022 08:30</t>
  </si>
  <si>
    <t>06-06-2022 08:45</t>
  </si>
  <si>
    <t>06-06-2022 09:00</t>
  </si>
  <si>
    <t>06-06-2022 09:15</t>
  </si>
  <si>
    <t>06-06-2022 09:30</t>
  </si>
  <si>
    <t>06-06-2022 09:45</t>
  </si>
  <si>
    <t>06-06-2022 10:00</t>
  </si>
  <si>
    <t>06-06-2022 10:15</t>
  </si>
  <si>
    <t>06-06-2022 10:30</t>
  </si>
  <si>
    <t>06-06-2022 10:45</t>
  </si>
  <si>
    <t>06-06-2022 11:00</t>
  </si>
  <si>
    <t>06-06-2022 11:15</t>
  </si>
  <si>
    <t>06-06-2022 11:30</t>
  </si>
  <si>
    <t>06-06-2022 11:45</t>
  </si>
  <si>
    <t>06-06-2022 12:00</t>
  </si>
  <si>
    <t>06-06-2022 12:15</t>
  </si>
  <si>
    <t>06-06-2022 12:30</t>
  </si>
  <si>
    <t>06-06-2022 12:45</t>
  </si>
  <si>
    <t>06-06-2022 13:00</t>
  </si>
  <si>
    <t>06-06-2022 13:15</t>
  </si>
  <si>
    <t>06-06-2022 13:30</t>
  </si>
  <si>
    <t>06-06-2022 13:45</t>
  </si>
  <si>
    <t>06-06-2022 14:00</t>
  </si>
  <si>
    <t>06-06-2022 14:15</t>
  </si>
  <si>
    <t>06-06-2022 14:30</t>
  </si>
  <si>
    <t>06-06-2022 14:45</t>
  </si>
  <si>
    <t>06-06-2022 15:00</t>
  </si>
  <si>
    <t>06-06-2022 15:15</t>
  </si>
  <si>
    <t>06-06-2022 15:30</t>
  </si>
  <si>
    <t>06-06-2022 15:45</t>
  </si>
  <si>
    <t>06-06-2022 16:00</t>
  </si>
  <si>
    <t>06-06-2022 16:15</t>
  </si>
  <si>
    <t>06-06-2022 16:30</t>
  </si>
  <si>
    <t>06-06-2022 16:45</t>
  </si>
  <si>
    <t>06-06-2022 17:00</t>
  </si>
  <si>
    <t>06-06-2022 17:15</t>
  </si>
  <si>
    <t>06-06-2022 17:30</t>
  </si>
  <si>
    <t>06-06-2022 17:45</t>
  </si>
  <si>
    <t>06-06-2022 18:00</t>
  </si>
  <si>
    <t>06-06-2022 18:15</t>
  </si>
  <si>
    <t>06-06-2022 18:30</t>
  </si>
  <si>
    <t>06-06-2022 18:45</t>
  </si>
  <si>
    <t>06-06-2022 19:00</t>
  </si>
  <si>
    <t>06-06-2022 19:15</t>
  </si>
  <si>
    <t>06-06-2022 19:30</t>
  </si>
  <si>
    <t>06-06-2022 19:45</t>
  </si>
  <si>
    <t>06-06-2022 20:00</t>
  </si>
  <si>
    <t>06-06-2022 20:15</t>
  </si>
  <si>
    <t>06-06-2022 20:30</t>
  </si>
  <si>
    <t>06-06-2022 20:45</t>
  </si>
  <si>
    <t>06-06-2022 21:00</t>
  </si>
  <si>
    <t>06-06-2022 21:15</t>
  </si>
  <si>
    <t>06-06-2022 21:30</t>
  </si>
  <si>
    <t>06-06-2022 21:45</t>
  </si>
  <si>
    <t>06-06-2022 22:00</t>
  </si>
  <si>
    <t>06-06-2022 22:15</t>
  </si>
  <si>
    <t>06-06-2022 22:30</t>
  </si>
  <si>
    <t>06-06-2022 22:45</t>
  </si>
  <si>
    <t>06-06-2022 23:00</t>
  </si>
  <si>
    <t>06-06-2022 23:15</t>
  </si>
  <si>
    <t>06-06-2022 23:30</t>
  </si>
  <si>
    <t>06-06-2022 23:45</t>
  </si>
  <si>
    <t>06-06-2022 24:00</t>
  </si>
  <si>
    <t>07-06-2022 00:15</t>
  </si>
  <si>
    <t>07-06-2022 00:30</t>
  </si>
  <si>
    <t>07-06-2022 00:45</t>
  </si>
  <si>
    <t>07-06-2022 01:00</t>
  </si>
  <si>
    <t>07-06-2022 01:15</t>
  </si>
  <si>
    <t>07-06-2022 01:30</t>
  </si>
  <si>
    <t>07-06-2022 01:45</t>
  </si>
  <si>
    <t>07-06-2022 02:00</t>
  </si>
  <si>
    <t>07-06-2022 02:15</t>
  </si>
  <si>
    <t>07-06-2022 02:30</t>
  </si>
  <si>
    <t>07-06-2022 02:45</t>
  </si>
  <si>
    <t>07-06-2022 03:00</t>
  </si>
  <si>
    <t>07-06-2022 03:15</t>
  </si>
  <si>
    <t>07-06-2022 03:30</t>
  </si>
  <si>
    <t>07-06-2022 03:45</t>
  </si>
  <si>
    <t>07-06-2022 04:00</t>
  </si>
  <si>
    <t>07-06-2022 04:15</t>
  </si>
  <si>
    <t>07-06-2022 04:30</t>
  </si>
  <si>
    <t>07-06-2022 04:45</t>
  </si>
  <si>
    <t>07-06-2022 05:00</t>
  </si>
  <si>
    <t>07-06-2022 05:15</t>
  </si>
  <si>
    <t>07-06-2022 05:30</t>
  </si>
  <si>
    <t>07-06-2022 05:45</t>
  </si>
  <si>
    <t>07-06-2022 06:00</t>
  </si>
  <si>
    <t>07-06-2022 06:15</t>
  </si>
  <si>
    <t>07-06-2022 06:30</t>
  </si>
  <si>
    <t>07-06-2022 06:45</t>
  </si>
  <si>
    <t>07-06-2022 07:00</t>
  </si>
  <si>
    <t>07-06-2022 07:15</t>
  </si>
  <si>
    <t>07-06-2022 07:30</t>
  </si>
  <si>
    <t>07-06-2022 07:45</t>
  </si>
  <si>
    <t>07-06-2022 08:00</t>
  </si>
  <si>
    <t>07-06-2022 08:15</t>
  </si>
  <si>
    <t>07-06-2022 08:30</t>
  </si>
  <si>
    <t>07-06-2022 08:45</t>
  </si>
  <si>
    <t>07-06-2022 09:00</t>
  </si>
  <si>
    <t>07-06-2022 09:15</t>
  </si>
  <si>
    <t>07-06-2022 09:30</t>
  </si>
  <si>
    <t>07-06-2022 09:45</t>
  </si>
  <si>
    <t>07-06-2022 10:00</t>
  </si>
  <si>
    <t>07-06-2022 10:15</t>
  </si>
  <si>
    <t>07-06-2022 10:30</t>
  </si>
  <si>
    <t>07-06-2022 10:45</t>
  </si>
  <si>
    <t>07-06-2022 11:00</t>
  </si>
  <si>
    <t>07-06-2022 11:15</t>
  </si>
  <si>
    <t>07-06-2022 11:30</t>
  </si>
  <si>
    <t>07-06-2022 11:45</t>
  </si>
  <si>
    <t>07-06-2022 12:00</t>
  </si>
  <si>
    <t>07-06-2022 12:15</t>
  </si>
  <si>
    <t>07-06-2022 12:30</t>
  </si>
  <si>
    <t>07-06-2022 12:45</t>
  </si>
  <si>
    <t>07-06-2022 13:00</t>
  </si>
  <si>
    <t>07-06-2022 13:15</t>
  </si>
  <si>
    <t>07-06-2022 13:30</t>
  </si>
  <si>
    <t>07-06-2022 13:45</t>
  </si>
  <si>
    <t>07-06-2022 14:00</t>
  </si>
  <si>
    <t>07-06-2022 14:15</t>
  </si>
  <si>
    <t>07-06-2022 14:30</t>
  </si>
  <si>
    <t>07-06-2022 14:45</t>
  </si>
  <si>
    <t>07-06-2022 15:00</t>
  </si>
  <si>
    <t>07-06-2022 15:15</t>
  </si>
  <si>
    <t>07-06-2022 15:30</t>
  </si>
  <si>
    <t>07-06-2022 15:45</t>
  </si>
  <si>
    <t>07-06-2022 16:00</t>
  </si>
  <si>
    <t>07-06-2022 16:15</t>
  </si>
  <si>
    <t>07-06-2022 16:30</t>
  </si>
  <si>
    <t>07-06-2022 16:45</t>
  </si>
  <si>
    <t>07-06-2022 17:00</t>
  </si>
  <si>
    <t>07-06-2022 17:15</t>
  </si>
  <si>
    <t>07-06-2022 17:30</t>
  </si>
  <si>
    <t>07-06-2022 17:45</t>
  </si>
  <si>
    <t>07-06-2022 18:00</t>
  </si>
  <si>
    <t>07-06-2022 18:15</t>
  </si>
  <si>
    <t>07-06-2022 18:30</t>
  </si>
  <si>
    <t>07-06-2022 18:45</t>
  </si>
  <si>
    <t>07-06-2022 19:00</t>
  </si>
  <si>
    <t>07-06-2022 19:15</t>
  </si>
  <si>
    <t>07-06-2022 19:30</t>
  </si>
  <si>
    <t>07-06-2022 19:45</t>
  </si>
  <si>
    <t>07-06-2022 20:00</t>
  </si>
  <si>
    <t>07-06-2022 20:15</t>
  </si>
  <si>
    <t>07-06-2022 20:30</t>
  </si>
  <si>
    <t>07-06-2022 20:45</t>
  </si>
  <si>
    <t>07-06-2022 21:00</t>
  </si>
  <si>
    <t>07-06-2022 21:15</t>
  </si>
  <si>
    <t>07-06-2022 21:30</t>
  </si>
  <si>
    <t>07-06-2022 21:45</t>
  </si>
  <si>
    <t>07-06-2022 22:00</t>
  </si>
  <si>
    <t>07-06-2022 22:15</t>
  </si>
  <si>
    <t>07-06-2022 22:30</t>
  </si>
  <si>
    <t>07-06-2022 22:45</t>
  </si>
  <si>
    <t>07-06-2022 23:00</t>
  </si>
  <si>
    <t>07-06-2022 23:15</t>
  </si>
  <si>
    <t>07-06-2022 23:30</t>
  </si>
  <si>
    <t>07-06-2022 23:45</t>
  </si>
  <si>
    <t>07-06-2022 24:00</t>
  </si>
  <si>
    <t>08-06-2022 00:15</t>
  </si>
  <si>
    <t>08-06-2022 00:30</t>
  </si>
  <si>
    <t>08-06-2022 00:45</t>
  </si>
  <si>
    <t>08-06-2022 01:00</t>
  </si>
  <si>
    <t>08-06-2022 01:15</t>
  </si>
  <si>
    <t>08-06-2022 01:30</t>
  </si>
  <si>
    <t>08-06-2022 01:45</t>
  </si>
  <si>
    <t>08-06-2022 02:00</t>
  </si>
  <si>
    <t>08-06-2022 02:15</t>
  </si>
  <si>
    <t>08-06-2022 02:30</t>
  </si>
  <si>
    <t>08-06-2022 02:45</t>
  </si>
  <si>
    <t>08-06-2022 03:00</t>
  </si>
  <si>
    <t>08-06-2022 03:15</t>
  </si>
  <si>
    <t>08-06-2022 03:30</t>
  </si>
  <si>
    <t>08-06-2022 03:45</t>
  </si>
  <si>
    <t>08-06-2022 04:00</t>
  </si>
  <si>
    <t>08-06-2022 04:15</t>
  </si>
  <si>
    <t>08-06-2022 04:30</t>
  </si>
  <si>
    <t>08-06-2022 04:45</t>
  </si>
  <si>
    <t>08-06-2022 05:00</t>
  </si>
  <si>
    <t>08-06-2022 05:15</t>
  </si>
  <si>
    <t>08-06-2022 05:30</t>
  </si>
  <si>
    <t>08-06-2022 05:45</t>
  </si>
  <si>
    <t>08-06-2022 06:00</t>
  </si>
  <si>
    <t>08-06-2022 06:15</t>
  </si>
  <si>
    <t>08-06-2022 06:30</t>
  </si>
  <si>
    <t>08-06-2022 06:45</t>
  </si>
  <si>
    <t>08-06-2022 07:00</t>
  </si>
  <si>
    <t>08-06-2022 07:15</t>
  </si>
  <si>
    <t>08-06-2022 07:30</t>
  </si>
  <si>
    <t>08-06-2022 07:45</t>
  </si>
  <si>
    <t>08-06-2022 08:00</t>
  </si>
  <si>
    <t>08-06-2022 08:15</t>
  </si>
  <si>
    <t>08-06-2022 08:30</t>
  </si>
  <si>
    <t>08-06-2022 08:45</t>
  </si>
  <si>
    <t>08-06-2022 09:00</t>
  </si>
  <si>
    <t>08-06-2022 09:15</t>
  </si>
  <si>
    <t>08-06-2022 09:30</t>
  </si>
  <si>
    <t>08-06-2022 09:45</t>
  </si>
  <si>
    <t>08-06-2022 10:00</t>
  </si>
  <si>
    <t>08-06-2022 10:15</t>
  </si>
  <si>
    <t>08-06-2022 10:30</t>
  </si>
  <si>
    <t>08-06-2022 10:45</t>
  </si>
  <si>
    <t>08-06-2022 11:00</t>
  </si>
  <si>
    <t>08-06-2022 11:15</t>
  </si>
  <si>
    <t>08-06-2022 11:30</t>
  </si>
  <si>
    <t>08-06-2022 11:45</t>
  </si>
  <si>
    <t>08-06-2022 12:00</t>
  </si>
  <si>
    <t>08-06-2022 12:15</t>
  </si>
  <si>
    <t>08-06-2022 12:30</t>
  </si>
  <si>
    <t>08-06-2022 12:45</t>
  </si>
  <si>
    <t>08-06-2022 13:00</t>
  </si>
  <si>
    <t>08-06-2022 13:15</t>
  </si>
  <si>
    <t>08-06-2022 13:30</t>
  </si>
  <si>
    <t>08-06-2022 13:45</t>
  </si>
  <si>
    <t>08-06-2022 14:00</t>
  </si>
  <si>
    <t>08-06-2022 14:15</t>
  </si>
  <si>
    <t>08-06-2022 14:30</t>
  </si>
  <si>
    <t>08-06-2022 14:45</t>
  </si>
  <si>
    <t>08-06-2022 15:00</t>
  </si>
  <si>
    <t>08-06-2022 15:15</t>
  </si>
  <si>
    <t>08-06-2022 15:30</t>
  </si>
  <si>
    <t>08-06-2022 15:45</t>
  </si>
  <si>
    <t>08-06-2022 16:00</t>
  </si>
  <si>
    <t>08-06-2022 16:15</t>
  </si>
  <si>
    <t>08-06-2022 16:30</t>
  </si>
  <si>
    <t>08-06-2022 16:45</t>
  </si>
  <si>
    <t>08-06-2022 17:00</t>
  </si>
  <si>
    <t>08-06-2022 17:15</t>
  </si>
  <si>
    <t>08-06-2022 17:30</t>
  </si>
  <si>
    <t>08-06-2022 17:45</t>
  </si>
  <si>
    <t>08-06-2022 18:00</t>
  </si>
  <si>
    <t>08-06-2022 18:15</t>
  </si>
  <si>
    <t>08-06-2022 18:30</t>
  </si>
  <si>
    <t>08-06-2022 18:45</t>
  </si>
  <si>
    <t>08-06-2022 19:00</t>
  </si>
  <si>
    <t>08-06-2022 19:15</t>
  </si>
  <si>
    <t>08-06-2022 19:30</t>
  </si>
  <si>
    <t>08-06-2022 19:45</t>
  </si>
  <si>
    <t>08-06-2022 20:00</t>
  </si>
  <si>
    <t>08-06-2022 20:15</t>
  </si>
  <si>
    <t>08-06-2022 20:30</t>
  </si>
  <si>
    <t>08-06-2022 20:45</t>
  </si>
  <si>
    <t>08-06-2022 21:00</t>
  </si>
  <si>
    <t>08-06-2022 21:15</t>
  </si>
  <si>
    <t>08-06-2022 21:30</t>
  </si>
  <si>
    <t>08-06-2022 21:45</t>
  </si>
  <si>
    <t>08-06-2022 22:00</t>
  </si>
  <si>
    <t>08-06-2022 22:15</t>
  </si>
  <si>
    <t>08-06-2022 22:30</t>
  </si>
  <si>
    <t>08-06-2022 22:45</t>
  </si>
  <si>
    <t>08-06-2022 23:00</t>
  </si>
  <si>
    <t>08-06-2022 23:15</t>
  </si>
  <si>
    <t>08-06-2022 23:30</t>
  </si>
  <si>
    <t>08-06-2022 23:45</t>
  </si>
  <si>
    <t>08-06-2022 24:00</t>
  </si>
  <si>
    <t>09-06-2022 00:15</t>
  </si>
  <si>
    <t>09-06-2022 00:30</t>
  </si>
  <si>
    <t>09-06-2022 00:45</t>
  </si>
  <si>
    <t>09-06-2022 01:00</t>
  </si>
  <si>
    <t>09-06-2022 01:15</t>
  </si>
  <si>
    <t>09-06-2022 01:30</t>
  </si>
  <si>
    <t>09-06-2022 01:45</t>
  </si>
  <si>
    <t>09-06-2022 02:00</t>
  </si>
  <si>
    <t>09-06-2022 02:15</t>
  </si>
  <si>
    <t>09-06-2022 02:30</t>
  </si>
  <si>
    <t>09-06-2022 02:45</t>
  </si>
  <si>
    <t>09-06-2022 03:00</t>
  </si>
  <si>
    <t>09-06-2022 03:15</t>
  </si>
  <si>
    <t>09-06-2022 03:30</t>
  </si>
  <si>
    <t>09-06-2022 03:45</t>
  </si>
  <si>
    <t>09-06-2022 04:00</t>
  </si>
  <si>
    <t>09-06-2022 04:15</t>
  </si>
  <si>
    <t>09-06-2022 04:30</t>
  </si>
  <si>
    <t>09-06-2022 04:45</t>
  </si>
  <si>
    <t>09-06-2022 05:00</t>
  </si>
  <si>
    <t>09-06-2022 05:15</t>
  </si>
  <si>
    <t>09-06-2022 05:30</t>
  </si>
  <si>
    <t>09-06-2022 05:45</t>
  </si>
  <si>
    <t>09-06-2022 06:00</t>
  </si>
  <si>
    <t>09-06-2022 06:15</t>
  </si>
  <si>
    <t>09-06-2022 06:30</t>
  </si>
  <si>
    <t>09-06-2022 06:45</t>
  </si>
  <si>
    <t>09-06-2022 07:00</t>
  </si>
  <si>
    <t>09-06-2022 07:15</t>
  </si>
  <si>
    <t>09-06-2022 07:30</t>
  </si>
  <si>
    <t>09-06-2022 07:45</t>
  </si>
  <si>
    <t>09-06-2022 08:00</t>
  </si>
  <si>
    <t>09-06-2022 08:15</t>
  </si>
  <si>
    <t>09-06-2022 08:30</t>
  </si>
  <si>
    <t>09-06-2022 08:45</t>
  </si>
  <si>
    <t>09-06-2022 09:00</t>
  </si>
  <si>
    <t>09-06-2022 09:15</t>
  </si>
  <si>
    <t>09-06-2022 09:30</t>
  </si>
  <si>
    <t>09-06-2022 09:45</t>
  </si>
  <si>
    <t>09-06-2022 10:00</t>
  </si>
  <si>
    <t>09-06-2022 10:15</t>
  </si>
  <si>
    <t>09-06-2022 10:30</t>
  </si>
  <si>
    <t>09-06-2022 10:45</t>
  </si>
  <si>
    <t>09-06-2022 11:00</t>
  </si>
  <si>
    <t>09-06-2022 11:15</t>
  </si>
  <si>
    <t>09-06-2022 11:30</t>
  </si>
  <si>
    <t>09-06-2022 11:45</t>
  </si>
  <si>
    <t>09-06-2022 12:00</t>
  </si>
  <si>
    <t>09-06-2022 12:15</t>
  </si>
  <si>
    <t>09-06-2022 12:30</t>
  </si>
  <si>
    <t>09-06-2022 12:45</t>
  </si>
  <si>
    <t>09-06-2022 13:00</t>
  </si>
  <si>
    <t>09-06-2022 13:15</t>
  </si>
  <si>
    <t>09-06-2022 13:30</t>
  </si>
  <si>
    <t>09-06-2022 13:45</t>
  </si>
  <si>
    <t>09-06-2022 14:00</t>
  </si>
  <si>
    <t>09-06-2022 14:15</t>
  </si>
  <si>
    <t>09-06-2022 14:30</t>
  </si>
  <si>
    <t>09-06-2022 14:45</t>
  </si>
  <si>
    <t>09-06-2022 15:00</t>
  </si>
  <si>
    <t>09-06-2022 15:15</t>
  </si>
  <si>
    <t>09-06-2022 15:30</t>
  </si>
  <si>
    <t>09-06-2022 15:45</t>
  </si>
  <si>
    <t>09-06-2022 16:00</t>
  </si>
  <si>
    <t>09-06-2022 16:15</t>
  </si>
  <si>
    <t>09-06-2022 16:30</t>
  </si>
  <si>
    <t>09-06-2022 16:45</t>
  </si>
  <si>
    <t>09-06-2022 17:00</t>
  </si>
  <si>
    <t>09-06-2022 17:15</t>
  </si>
  <si>
    <t>09-06-2022 17:30</t>
  </si>
  <si>
    <t>09-06-2022 17:45</t>
  </si>
  <si>
    <t>09-06-2022 18:00</t>
  </si>
  <si>
    <t>09-06-2022 18:15</t>
  </si>
  <si>
    <t>09-06-2022 18:30</t>
  </si>
  <si>
    <t>09-06-2022 18:45</t>
  </si>
  <si>
    <t>09-06-2022 19:00</t>
  </si>
  <si>
    <t>09-06-2022 19:15</t>
  </si>
  <si>
    <t>09-06-2022 19:30</t>
  </si>
  <si>
    <t>09-06-2022 19:45</t>
  </si>
  <si>
    <t>09-06-2022 20:00</t>
  </si>
  <si>
    <t>09-06-2022 20:15</t>
  </si>
  <si>
    <t>09-06-2022 20:30</t>
  </si>
  <si>
    <t>09-06-2022 20:45</t>
  </si>
  <si>
    <t>09-06-2022 21:00</t>
  </si>
  <si>
    <t>09-06-2022 21:15</t>
  </si>
  <si>
    <t>09-06-2022 21:30</t>
  </si>
  <si>
    <t>09-06-2022 21:45</t>
  </si>
  <si>
    <t>09-06-2022 22:00</t>
  </si>
  <si>
    <t>09-06-2022 22:15</t>
  </si>
  <si>
    <t>09-06-2022 22:30</t>
  </si>
  <si>
    <t>09-06-2022 22:45</t>
  </si>
  <si>
    <t>09-06-2022 23:00</t>
  </si>
  <si>
    <t>09-06-2022 23:15</t>
  </si>
  <si>
    <t>09-06-2022 23:30</t>
  </si>
  <si>
    <t>09-06-2022 23:45</t>
  </si>
  <si>
    <t>09-06-2022 24:00</t>
  </si>
  <si>
    <t>Rahul</t>
  </si>
  <si>
    <t>10-06-2022 00:15</t>
  </si>
  <si>
    <t>10-06-2022 00:30</t>
  </si>
  <si>
    <t>10-06-2022 00:45</t>
  </si>
  <si>
    <t>10-06-2022 01:00</t>
  </si>
  <si>
    <t>10-06-2022 01:15</t>
  </si>
  <si>
    <t>10-06-2022 01:30</t>
  </si>
  <si>
    <t>10-06-2022 01:45</t>
  </si>
  <si>
    <t>10-06-2022 02:00</t>
  </si>
  <si>
    <t>10-06-2022 02:15</t>
  </si>
  <si>
    <t>10-06-2022 02:30</t>
  </si>
  <si>
    <t>10-06-2022 02:45</t>
  </si>
  <si>
    <t>10-06-2022 03:00</t>
  </si>
  <si>
    <t>10-06-2022 03:15</t>
  </si>
  <si>
    <t>10-06-2022 03:30</t>
  </si>
  <si>
    <t>10-06-2022 03:45</t>
  </si>
  <si>
    <t>10-06-2022 04:00</t>
  </si>
  <si>
    <t>10-06-2022 04:15</t>
  </si>
  <si>
    <t>10-06-2022 04:30</t>
  </si>
  <si>
    <t>10-06-2022 04:45</t>
  </si>
  <si>
    <t>10-06-2022 05:00</t>
  </si>
  <si>
    <t>10-06-2022 05:15</t>
  </si>
  <si>
    <t>10-06-2022 05:30</t>
  </si>
  <si>
    <t>10-06-2022 05:45</t>
  </si>
  <si>
    <t>10-06-2022 06:00</t>
  </si>
  <si>
    <t>10-06-2022 06:15</t>
  </si>
  <si>
    <t>10-06-2022 06:30</t>
  </si>
  <si>
    <t>10-06-2022 06:45</t>
  </si>
  <si>
    <t>10-06-2022 07:00</t>
  </si>
  <si>
    <t>10-06-2022 07:15</t>
  </si>
  <si>
    <t>10-06-2022 07:30</t>
  </si>
  <si>
    <t>10-06-2022 07:45</t>
  </si>
  <si>
    <t>10-06-2022 08:00</t>
  </si>
  <si>
    <t>10-06-2022 08:15</t>
  </si>
  <si>
    <t>10-06-2022 08:30</t>
  </si>
  <si>
    <t>10-06-2022 08:45</t>
  </si>
  <si>
    <t>10-06-2022 09:00</t>
  </si>
  <si>
    <t>10-06-2022 09:15</t>
  </si>
  <si>
    <t>10-06-2022 09:30</t>
  </si>
  <si>
    <t>10-06-2022 09:45</t>
  </si>
  <si>
    <t>10-06-2022 10:00</t>
  </si>
  <si>
    <t>10-06-2022 10:15</t>
  </si>
  <si>
    <t>10-06-2022 10:30</t>
  </si>
  <si>
    <t>10-06-2022 10:45</t>
  </si>
  <si>
    <t>10-06-2022 11:00</t>
  </si>
  <si>
    <t>10-06-2022 11:15</t>
  </si>
  <si>
    <t>10-06-2022 11:30</t>
  </si>
  <si>
    <t>10-06-2022 11:45</t>
  </si>
  <si>
    <t>10-06-2022 12:00</t>
  </si>
  <si>
    <t>10-06-2022 12:15</t>
  </si>
  <si>
    <t>10-06-2022 12:30</t>
  </si>
  <si>
    <t>10-06-2022 12:45</t>
  </si>
  <si>
    <t>10-06-2022 13:00</t>
  </si>
  <si>
    <t>10-06-2022 13:15</t>
  </si>
  <si>
    <t>10-06-2022 13:30</t>
  </si>
  <si>
    <t>10-06-2022 13:45</t>
  </si>
  <si>
    <t>10-06-2022 14:00</t>
  </si>
  <si>
    <t>10-06-2022 14:15</t>
  </si>
  <si>
    <t>10-06-2022 14:30</t>
  </si>
  <si>
    <t>10-06-2022 14:45</t>
  </si>
  <si>
    <t>10-06-2022 15:00</t>
  </si>
  <si>
    <t>10-06-2022 15:15</t>
  </si>
  <si>
    <t>10-06-2022 15:30</t>
  </si>
  <si>
    <t>10-06-2022 15:45</t>
  </si>
  <si>
    <t>10-06-2022 16:00</t>
  </si>
  <si>
    <t>10-06-2022 16:15</t>
  </si>
  <si>
    <t>10-06-2022 16:30</t>
  </si>
  <si>
    <t>10-06-2022 16:45</t>
  </si>
  <si>
    <t>10-06-2022 17:00</t>
  </si>
  <si>
    <t>10-06-2022 17:15</t>
  </si>
  <si>
    <t>10-06-2022 17:30</t>
  </si>
  <si>
    <t>10-06-2022 17:45</t>
  </si>
  <si>
    <t>10-06-2022 18:00</t>
  </si>
  <si>
    <t>10-06-2022 18:15</t>
  </si>
  <si>
    <t>10-06-2022 18:30</t>
  </si>
  <si>
    <t>10-06-2022 18:45</t>
  </si>
  <si>
    <t>10-06-2022 19:00</t>
  </si>
  <si>
    <t>10-06-2022 19:15</t>
  </si>
  <si>
    <t>10-06-2022 19:30</t>
  </si>
  <si>
    <t>10-06-2022 19:45</t>
  </si>
  <si>
    <t>10-06-2022 20:00</t>
  </si>
  <si>
    <t>10-06-2022 20:15</t>
  </si>
  <si>
    <t>10-06-2022 20:30</t>
  </si>
  <si>
    <t>10-06-2022 20:45</t>
  </si>
  <si>
    <t>10-06-2022 21:00</t>
  </si>
  <si>
    <t>10-06-2022 21:15</t>
  </si>
  <si>
    <t>10-06-2022 21:30</t>
  </si>
  <si>
    <t>10-06-2022 21:45</t>
  </si>
  <si>
    <t>10-06-2022 22:00</t>
  </si>
  <si>
    <t>10-06-2022 22:15</t>
  </si>
  <si>
    <t>10-06-2022 22:30</t>
  </si>
  <si>
    <t>10-06-2022 22:45</t>
  </si>
  <si>
    <t>10-06-2022 23:00</t>
  </si>
  <si>
    <t>10-06-2022 23:15</t>
  </si>
  <si>
    <t>10-06-2022 23:30</t>
  </si>
  <si>
    <t>10-06-2022 23:45</t>
  </si>
  <si>
    <t>10-06-2022 24:00</t>
  </si>
  <si>
    <t>11-06-2022 00:15</t>
  </si>
  <si>
    <t>11-06-2022 00:30</t>
  </si>
  <si>
    <t>11-06-2022 00:45</t>
  </si>
  <si>
    <t>11-06-2022 01:00</t>
  </si>
  <si>
    <t>11-06-2022 01:15</t>
  </si>
  <si>
    <t>11-06-2022 01:30</t>
  </si>
  <si>
    <t>11-06-2022 01:45</t>
  </si>
  <si>
    <t>11-06-2022 02:00</t>
  </si>
  <si>
    <t>11-06-2022 02:15</t>
  </si>
  <si>
    <t>11-06-2022 02:30</t>
  </si>
  <si>
    <t>11-06-2022 02:45</t>
  </si>
  <si>
    <t>11-06-2022 03:00</t>
  </si>
  <si>
    <t>11-06-2022 03:15</t>
  </si>
  <si>
    <t>11-06-2022 03:30</t>
  </si>
  <si>
    <t>11-06-2022 03:45</t>
  </si>
  <si>
    <t>11-06-2022 04:00</t>
  </si>
  <si>
    <t>11-06-2022 04:15</t>
  </si>
  <si>
    <t>11-06-2022 04:30</t>
  </si>
  <si>
    <t>11-06-2022 04:45</t>
  </si>
  <si>
    <t>11-06-2022 05:00</t>
  </si>
  <si>
    <t>11-06-2022 05:15</t>
  </si>
  <si>
    <t>11-06-2022 05:30</t>
  </si>
  <si>
    <t>11-06-2022 05:45</t>
  </si>
  <si>
    <t>11-06-2022 06:00</t>
  </si>
  <si>
    <t>11-06-2022 06:15</t>
  </si>
  <si>
    <t>11-06-2022 06:30</t>
  </si>
  <si>
    <t>11-06-2022 06:45</t>
  </si>
  <si>
    <t>11-06-2022 07:00</t>
  </si>
  <si>
    <t>11-06-2022 07:15</t>
  </si>
  <si>
    <t>11-06-2022 07:30</t>
  </si>
  <si>
    <t>11-06-2022 07:45</t>
  </si>
  <si>
    <t>11-06-2022 08:00</t>
  </si>
  <si>
    <t>11-06-2022 08:15</t>
  </si>
  <si>
    <t>11-06-2022 08:30</t>
  </si>
  <si>
    <t>11-06-2022 08:45</t>
  </si>
  <si>
    <t>11-06-2022 09:00</t>
  </si>
  <si>
    <t>11-06-2022 09:15</t>
  </si>
  <si>
    <t>11-06-2022 09:30</t>
  </si>
  <si>
    <t>11-06-2022 09:45</t>
  </si>
  <si>
    <t>11-06-2022 10:00</t>
  </si>
  <si>
    <t>11-06-2022 10:15</t>
  </si>
  <si>
    <t>11-06-2022 10:30</t>
  </si>
  <si>
    <t>11-06-2022 10:45</t>
  </si>
  <si>
    <t>11-06-2022 11:00</t>
  </si>
  <si>
    <t>11-06-2022 11:15</t>
  </si>
  <si>
    <t>11-06-2022 11:30</t>
  </si>
  <si>
    <t>11-06-2022 11:45</t>
  </si>
  <si>
    <t>11-06-2022 12:00</t>
  </si>
  <si>
    <t>11-06-2022 12:15</t>
  </si>
  <si>
    <t>11-06-2022 12:30</t>
  </si>
  <si>
    <t>11-06-2022 12:45</t>
  </si>
  <si>
    <t>11-06-2022 13:00</t>
  </si>
  <si>
    <t>11-06-2022 13:15</t>
  </si>
  <si>
    <t>11-06-2022 13:30</t>
  </si>
  <si>
    <t>11-06-2022 13:45</t>
  </si>
  <si>
    <t>11-06-2022 14:00</t>
  </si>
  <si>
    <t>11-06-2022 14:15</t>
  </si>
  <si>
    <t>11-06-2022 14:30</t>
  </si>
  <si>
    <t>11-06-2022 14:45</t>
  </si>
  <si>
    <t>11-06-2022 15:00</t>
  </si>
  <si>
    <t>11-06-2022 15:15</t>
  </si>
  <si>
    <t>11-06-2022 15:30</t>
  </si>
  <si>
    <t>11-06-2022 15:45</t>
  </si>
  <si>
    <t>11-06-2022 16:00</t>
  </si>
  <si>
    <t>11-06-2022 16:15</t>
  </si>
  <si>
    <t>11-06-2022 16:30</t>
  </si>
  <si>
    <t>11-06-2022 16:45</t>
  </si>
  <si>
    <t>11-06-2022 17:00</t>
  </si>
  <si>
    <t>11-06-2022 17:15</t>
  </si>
  <si>
    <t>11-06-2022 17:30</t>
  </si>
  <si>
    <t>11-06-2022 17:45</t>
  </si>
  <si>
    <t>11-06-2022 18:00</t>
  </si>
  <si>
    <t>11-06-2022 18:15</t>
  </si>
  <si>
    <t>11-06-2022 18:30</t>
  </si>
  <si>
    <t>11-06-2022 18:45</t>
  </si>
  <si>
    <t>11-06-2022 19:00</t>
  </si>
  <si>
    <t>11-06-2022 19:15</t>
  </si>
  <si>
    <t>11-06-2022 19:30</t>
  </si>
  <si>
    <t>11-06-2022 19:45</t>
  </si>
  <si>
    <t>11-06-2022 20:00</t>
  </si>
  <si>
    <t>11-06-2022 20:15</t>
  </si>
  <si>
    <t>11-06-2022 20:30</t>
  </si>
  <si>
    <t>11-06-2022 20:45</t>
  </si>
  <si>
    <t>11-06-2022 21:00</t>
  </si>
  <si>
    <t>11-06-2022 21:15</t>
  </si>
  <si>
    <t>11-06-2022 21:30</t>
  </si>
  <si>
    <t>11-06-2022 21:45</t>
  </si>
  <si>
    <t>11-06-2022 22:00</t>
  </si>
  <si>
    <t>11-06-2022 22:15</t>
  </si>
  <si>
    <t>11-06-2022 22:30</t>
  </si>
  <si>
    <t>11-06-2022 22:45</t>
  </si>
  <si>
    <t>11-06-2022 23:00</t>
  </si>
  <si>
    <t>11-06-2022 23:15</t>
  </si>
  <si>
    <t>11-06-2022 23:30</t>
  </si>
  <si>
    <t>11-06-2022 23:45</t>
  </si>
  <si>
    <t>11-06-2022 24:00</t>
  </si>
  <si>
    <t>12-06-2022 00:15</t>
  </si>
  <si>
    <t>12-06-2022 00:30</t>
  </si>
  <si>
    <t>12-06-2022 00:45</t>
  </si>
  <si>
    <t>12-06-2022 01:00</t>
  </si>
  <si>
    <t>12-06-2022 01:15</t>
  </si>
  <si>
    <t>12-06-2022 01:30</t>
  </si>
  <si>
    <t>12-06-2022 01:45</t>
  </si>
  <si>
    <t>12-06-2022 02:00</t>
  </si>
  <si>
    <t>12-06-2022 02:15</t>
  </si>
  <si>
    <t>12-06-2022 02:30</t>
  </si>
  <si>
    <t>12-06-2022 02:45</t>
  </si>
  <si>
    <t>12-06-2022 03:00</t>
  </si>
  <si>
    <t>12-06-2022 03:15</t>
  </si>
  <si>
    <t>12-06-2022 03:30</t>
  </si>
  <si>
    <t>12-06-2022 03:45</t>
  </si>
  <si>
    <t>12-06-2022 04:00</t>
  </si>
  <si>
    <t>12-06-2022 04:15</t>
  </si>
  <si>
    <t>12-06-2022 04:30</t>
  </si>
  <si>
    <t>12-06-2022 04:45</t>
  </si>
  <si>
    <t>12-06-2022 05:00</t>
  </si>
  <si>
    <t>12-06-2022 05:15</t>
  </si>
  <si>
    <t>12-06-2022 05:30</t>
  </si>
  <si>
    <t>12-06-2022 05:45</t>
  </si>
  <si>
    <t>12-06-2022 06:00</t>
  </si>
  <si>
    <t>12-06-2022 06:15</t>
  </si>
  <si>
    <t>12-06-2022 06:30</t>
  </si>
  <si>
    <t>12-06-2022 06:45</t>
  </si>
  <si>
    <t>12-06-2022 07:00</t>
  </si>
  <si>
    <t>12-06-2022 07:15</t>
  </si>
  <si>
    <t>12-06-2022 07:30</t>
  </si>
  <si>
    <t>12-06-2022 07:45</t>
  </si>
  <si>
    <t>12-06-2022 08:00</t>
  </si>
  <si>
    <t>12-06-2022 08:15</t>
  </si>
  <si>
    <t>12-06-2022 08:30</t>
  </si>
  <si>
    <t>12-06-2022 08:45</t>
  </si>
  <si>
    <t>12-06-2022 09:00</t>
  </si>
  <si>
    <t>12-06-2022 09:15</t>
  </si>
  <si>
    <t>12-06-2022 09:30</t>
  </si>
  <si>
    <t>12-06-2022 09:45</t>
  </si>
  <si>
    <t>12-06-2022 10:00</t>
  </si>
  <si>
    <t>12-06-2022 10:15</t>
  </si>
  <si>
    <t>12-06-2022 10:30</t>
  </si>
  <si>
    <t>12-06-2022 10:45</t>
  </si>
  <si>
    <t>12-06-2022 11:00</t>
  </si>
  <si>
    <t>12-06-2022 11:15</t>
  </si>
  <si>
    <t>12-06-2022 11:30</t>
  </si>
  <si>
    <t>12-06-2022 11:45</t>
  </si>
  <si>
    <t>12-06-2022 12:00</t>
  </si>
  <si>
    <t>12-06-2022 12:15</t>
  </si>
  <si>
    <t>12-06-2022 12:30</t>
  </si>
  <si>
    <t>12-06-2022 12:45</t>
  </si>
  <si>
    <t>12-06-2022 13:00</t>
  </si>
  <si>
    <t>12-06-2022 13:15</t>
  </si>
  <si>
    <t>12-06-2022 13:30</t>
  </si>
  <si>
    <t>12-06-2022 13:45</t>
  </si>
  <si>
    <t>12-06-2022 14:00</t>
  </si>
  <si>
    <t>12-06-2022 14:15</t>
  </si>
  <si>
    <t>12-06-2022 14:30</t>
  </si>
  <si>
    <t>12-06-2022 14:45</t>
  </si>
  <si>
    <t>12-06-2022 15:00</t>
  </si>
  <si>
    <t>12-06-2022 15:15</t>
  </si>
  <si>
    <t>12-06-2022 15:30</t>
  </si>
  <si>
    <t>12-06-2022 15:45</t>
  </si>
  <si>
    <t>12-06-2022 16:00</t>
  </si>
  <si>
    <t>12-06-2022 16:15</t>
  </si>
  <si>
    <t>12-06-2022 16:30</t>
  </si>
  <si>
    <t>12-06-2022 16:45</t>
  </si>
  <si>
    <t>12-06-2022 17:00</t>
  </si>
  <si>
    <t>12-06-2022 17:15</t>
  </si>
  <si>
    <t>12-06-2022 17:30</t>
  </si>
  <si>
    <t>12-06-2022 17:45</t>
  </si>
  <si>
    <t>12-06-2022 18:00</t>
  </si>
  <si>
    <t>12-06-2022 18:15</t>
  </si>
  <si>
    <t>12-06-2022 18:30</t>
  </si>
  <si>
    <t>12-06-2022 18:45</t>
  </si>
  <si>
    <t>12-06-2022 19:00</t>
  </si>
  <si>
    <t>12-06-2022 19:15</t>
  </si>
  <si>
    <t>12-06-2022 19:30</t>
  </si>
  <si>
    <t>12-06-2022 19:45</t>
  </si>
  <si>
    <t>12-06-2022 20:00</t>
  </si>
  <si>
    <t>12-06-2022 20:15</t>
  </si>
  <si>
    <t>12-06-2022 20:30</t>
  </si>
  <si>
    <t>12-06-2022 20:45</t>
  </si>
  <si>
    <t>12-06-2022 21:00</t>
  </si>
  <si>
    <t>12-06-2022 21:15</t>
  </si>
  <si>
    <t>12-06-2022 21:30</t>
  </si>
  <si>
    <t>12-06-2022 21:45</t>
  </si>
  <si>
    <t>12-06-2022 22:00</t>
  </si>
  <si>
    <t>12-06-2022 22:15</t>
  </si>
  <si>
    <t>12-06-2022 22:30</t>
  </si>
  <si>
    <t>12-06-2022 22:45</t>
  </si>
  <si>
    <t>12-06-2022 23:00</t>
  </si>
  <si>
    <t>12-06-2022 23:15</t>
  </si>
  <si>
    <t>12-06-2022 23:30</t>
  </si>
  <si>
    <t>12-06-2022 23:45</t>
  </si>
  <si>
    <t>12-06-2022 24:00</t>
  </si>
  <si>
    <t>13-06-2022 00:15</t>
  </si>
  <si>
    <t>13-06-2022 00:30</t>
  </si>
  <si>
    <t>13-06-2022 00:45</t>
  </si>
  <si>
    <t>13-06-2022 01:00</t>
  </si>
  <si>
    <t>13-06-2022 01:15</t>
  </si>
  <si>
    <t>13-06-2022 01:30</t>
  </si>
  <si>
    <t>13-06-2022 01:45</t>
  </si>
  <si>
    <t>13-06-2022 02:00</t>
  </si>
  <si>
    <t>13-06-2022 02:15</t>
  </si>
  <si>
    <t>13-06-2022 02:30</t>
  </si>
  <si>
    <t>13-06-2022 02:45</t>
  </si>
  <si>
    <t>13-06-2022 03:00</t>
  </si>
  <si>
    <t>13-06-2022 03:15</t>
  </si>
  <si>
    <t>13-06-2022 03:30</t>
  </si>
  <si>
    <t>13-06-2022 03:45</t>
  </si>
  <si>
    <t>13-06-2022 04:00</t>
  </si>
  <si>
    <t>13-06-2022 04:15</t>
  </si>
  <si>
    <t>13-06-2022 04:30</t>
  </si>
  <si>
    <t>13-06-2022 04:45</t>
  </si>
  <si>
    <t>13-06-2022 05:00</t>
  </si>
  <si>
    <t>13-06-2022 05:15</t>
  </si>
  <si>
    <t>13-06-2022 05:30</t>
  </si>
  <si>
    <t>13-06-2022 05:45</t>
  </si>
  <si>
    <t>13-06-2022 06:00</t>
  </si>
  <si>
    <t>13-06-2022 06:15</t>
  </si>
  <si>
    <t>13-06-2022 06:30</t>
  </si>
  <si>
    <t>13-06-2022 06:45</t>
  </si>
  <si>
    <t>13-06-2022 07:00</t>
  </si>
  <si>
    <t>13-06-2022 07:15</t>
  </si>
  <si>
    <t>13-06-2022 07:30</t>
  </si>
  <si>
    <t>13-06-2022 07:45</t>
  </si>
  <si>
    <t>13-06-2022 08:00</t>
  </si>
  <si>
    <t>13-06-2022 08:15</t>
  </si>
  <si>
    <t>13-06-2022 08:30</t>
  </si>
  <si>
    <t>13-06-2022 08:45</t>
  </si>
  <si>
    <t>13-06-2022 09:00</t>
  </si>
  <si>
    <t>13-06-2022 09:15</t>
  </si>
  <si>
    <t>13-06-2022 09:30</t>
  </si>
  <si>
    <t>13-06-2022 09:45</t>
  </si>
  <si>
    <t>13-06-2022 10:00</t>
  </si>
  <si>
    <t>13-06-2022 10:15</t>
  </si>
  <si>
    <t>13-06-2022 10:30</t>
  </si>
  <si>
    <t>13-06-2022 10:45</t>
  </si>
  <si>
    <t>13-06-2022 11:00</t>
  </si>
  <si>
    <t>13-06-2022 11:15</t>
  </si>
  <si>
    <t>13-06-2022 11:30</t>
  </si>
  <si>
    <t>13-06-2022 11:45</t>
  </si>
  <si>
    <t>13-06-2022 12:00</t>
  </si>
  <si>
    <t>13-06-2022 12:15</t>
  </si>
  <si>
    <t>13-06-2022 12:30</t>
  </si>
  <si>
    <t>13-06-2022 12:45</t>
  </si>
  <si>
    <t>13-06-2022 13:00</t>
  </si>
  <si>
    <t>13-06-2022 13:15</t>
  </si>
  <si>
    <t>13-06-2022 13:30</t>
  </si>
  <si>
    <t>13-06-2022 13:45</t>
  </si>
  <si>
    <t>13-06-2022 14:00</t>
  </si>
  <si>
    <t>13-06-2022 14:15</t>
  </si>
  <si>
    <t>13-06-2022 14:30</t>
  </si>
  <si>
    <t>13-06-2022 14:45</t>
  </si>
  <si>
    <t>13-06-2022 15:00</t>
  </si>
  <si>
    <t>13-06-2022 15:15</t>
  </si>
  <si>
    <t>13-06-2022 15:30</t>
  </si>
  <si>
    <t>13-06-2022 15:45</t>
  </si>
  <si>
    <t>13-06-2022 16:00</t>
  </si>
  <si>
    <t>13-06-2022 16:15</t>
  </si>
  <si>
    <t>13-06-2022 16:30</t>
  </si>
  <si>
    <t>13-06-2022 16:45</t>
  </si>
  <si>
    <t>13-06-2022 17:00</t>
  </si>
  <si>
    <t>13-06-2022 17:15</t>
  </si>
  <si>
    <t>13-06-2022 17:30</t>
  </si>
  <si>
    <t>13-06-2022 17:45</t>
  </si>
  <si>
    <t>13-06-2022 18:00</t>
  </si>
  <si>
    <t>13-06-2022 18:15</t>
  </si>
  <si>
    <t>13-06-2022 18:30</t>
  </si>
  <si>
    <t>13-06-2022 18:45</t>
  </si>
  <si>
    <t>13-06-2022 19:00</t>
  </si>
  <si>
    <t>13-06-2022 19:15</t>
  </si>
  <si>
    <t>13-06-2022 19:30</t>
  </si>
  <si>
    <t>13-06-2022 19:45</t>
  </si>
  <si>
    <t>13-06-2022 20:00</t>
  </si>
  <si>
    <t>13-06-2022 20:15</t>
  </si>
  <si>
    <t>13-06-2022 20:30</t>
  </si>
  <si>
    <t>13-06-2022 20:45</t>
  </si>
  <si>
    <t>13-06-2022 21:00</t>
  </si>
  <si>
    <t>13-06-2022 21:15</t>
  </si>
  <si>
    <t>13-06-2022 21:30</t>
  </si>
  <si>
    <t>13-06-2022 21:45</t>
  </si>
  <si>
    <t>13-06-2022 22:00</t>
  </si>
  <si>
    <t>13-06-2022 22:15</t>
  </si>
  <si>
    <t>13-06-2022 22:30</t>
  </si>
  <si>
    <t>13-06-2022 22:45</t>
  </si>
  <si>
    <t>13-06-2022 23:00</t>
  </si>
  <si>
    <t>13-06-2022 23:15</t>
  </si>
  <si>
    <t>13-06-2022 23:30</t>
  </si>
  <si>
    <t>13-06-2022 23:45</t>
  </si>
  <si>
    <t>13-06-2022 24:00</t>
  </si>
  <si>
    <t>14-06-2022 00:15</t>
  </si>
  <si>
    <t>14-06-2022 00:30</t>
  </si>
  <si>
    <t>14-06-2022 00:45</t>
  </si>
  <si>
    <t>14-06-2022 01:00</t>
  </si>
  <si>
    <t>14-06-2022 01:15</t>
  </si>
  <si>
    <t>14-06-2022 01:30</t>
  </si>
  <si>
    <t>14-06-2022 01:45</t>
  </si>
  <si>
    <t>14-06-2022 02:00</t>
  </si>
  <si>
    <t>14-06-2022 02:15</t>
  </si>
  <si>
    <t>14-06-2022 02:30</t>
  </si>
  <si>
    <t>14-06-2022 02:45</t>
  </si>
  <si>
    <t>14-06-2022 03:00</t>
  </si>
  <si>
    <t>14-06-2022 03:15</t>
  </si>
  <si>
    <t>14-06-2022 03:30</t>
  </si>
  <si>
    <t>14-06-2022 03:45</t>
  </si>
  <si>
    <t>14-06-2022 04:00</t>
  </si>
  <si>
    <t>14-06-2022 04:15</t>
  </si>
  <si>
    <t>14-06-2022 04:30</t>
  </si>
  <si>
    <t>14-06-2022 04:45</t>
  </si>
  <si>
    <t>14-06-2022 05:00</t>
  </si>
  <si>
    <t>14-06-2022 05:15</t>
  </si>
  <si>
    <t>14-06-2022 05:30</t>
  </si>
  <si>
    <t>14-06-2022 05:45</t>
  </si>
  <si>
    <t>14-06-2022 06:00</t>
  </si>
  <si>
    <t>14-06-2022 06:15</t>
  </si>
  <si>
    <t>14-06-2022 06:30</t>
  </si>
  <si>
    <t>14-06-2022 06:45</t>
  </si>
  <si>
    <t>14-06-2022 07:00</t>
  </si>
  <si>
    <t>14-06-2022 07:15</t>
  </si>
  <si>
    <t>14-06-2022 07:30</t>
  </si>
  <si>
    <t>14-06-2022 07:45</t>
  </si>
  <si>
    <t>14-06-2022 08:00</t>
  </si>
  <si>
    <t>14-06-2022 08:15</t>
  </si>
  <si>
    <t>14-06-2022 08:30</t>
  </si>
  <si>
    <t>14-06-2022 08:45</t>
  </si>
  <si>
    <t>14-06-2022 09:00</t>
  </si>
  <si>
    <t>14-06-2022 09:15</t>
  </si>
  <si>
    <t>14-06-2022 09:30</t>
  </si>
  <si>
    <t>14-06-2022 09:45</t>
  </si>
  <si>
    <t>14-06-2022 10:00</t>
  </si>
  <si>
    <t>14-06-2022 10:15</t>
  </si>
  <si>
    <t>14-06-2022 10:30</t>
  </si>
  <si>
    <t>14-06-2022 10:45</t>
  </si>
  <si>
    <t>14-06-2022 11:00</t>
  </si>
  <si>
    <t>14-06-2022 11:15</t>
  </si>
  <si>
    <t>14-06-2022 11:30</t>
  </si>
  <si>
    <t>14-06-2022 11:45</t>
  </si>
  <si>
    <t>14-06-2022 12:00</t>
  </si>
  <si>
    <t>14-06-2022 12:15</t>
  </si>
  <si>
    <t>14-06-2022 12:30</t>
  </si>
  <si>
    <t>14-06-2022 12:45</t>
  </si>
  <si>
    <t>14-06-2022 13:00</t>
  </si>
  <si>
    <t>14-06-2022 13:15</t>
  </si>
  <si>
    <t>14-06-2022 13:30</t>
  </si>
  <si>
    <t>14-06-2022 13:45</t>
  </si>
  <si>
    <t>14-06-2022 14:00</t>
  </si>
  <si>
    <t>14-06-2022 14:15</t>
  </si>
  <si>
    <t>14-06-2022 14:30</t>
  </si>
  <si>
    <t>14-06-2022 14:45</t>
  </si>
  <si>
    <t>14-06-2022 15:00</t>
  </si>
  <si>
    <t>14-06-2022 15:15</t>
  </si>
  <si>
    <t>14-06-2022 15:30</t>
  </si>
  <si>
    <t>14-06-2022 15:45</t>
  </si>
  <si>
    <t>14-06-2022 16:00</t>
  </si>
  <si>
    <t>14-06-2022 16:15</t>
  </si>
  <si>
    <t>14-06-2022 16:30</t>
  </si>
  <si>
    <t>14-06-2022 16:45</t>
  </si>
  <si>
    <t>14-06-2022 17:00</t>
  </si>
  <si>
    <t>14-06-2022 17:15</t>
  </si>
  <si>
    <t>14-06-2022 17:30</t>
  </si>
  <si>
    <t>14-06-2022 17:45</t>
  </si>
  <si>
    <t>14-06-2022 18:00</t>
  </si>
  <si>
    <t>14-06-2022 18:15</t>
  </si>
  <si>
    <t>14-06-2022 18:30</t>
  </si>
  <si>
    <t>14-06-2022 18:45</t>
  </si>
  <si>
    <t>14-06-2022 19:00</t>
  </si>
  <si>
    <t>14-06-2022 19:15</t>
  </si>
  <si>
    <t>14-06-2022 19:30</t>
  </si>
  <si>
    <t>14-06-2022 19:45</t>
  </si>
  <si>
    <t>14-06-2022 20:00</t>
  </si>
  <si>
    <t>14-06-2022 20:15</t>
  </si>
  <si>
    <t>14-06-2022 20:30</t>
  </si>
  <si>
    <t>14-06-2022 20:45</t>
  </si>
  <si>
    <t>14-06-2022 21:00</t>
  </si>
  <si>
    <t>14-06-2022 21:15</t>
  </si>
  <si>
    <t>14-06-2022 21:30</t>
  </si>
  <si>
    <t>14-06-2022 21:45</t>
  </si>
  <si>
    <t>14-06-2022 22:00</t>
  </si>
  <si>
    <t>14-06-2022 22:15</t>
  </si>
  <si>
    <t>14-06-2022 22:30</t>
  </si>
  <si>
    <t>14-06-2022 22:45</t>
  </si>
  <si>
    <t>14-06-2022 23:00</t>
  </si>
  <si>
    <t>14-06-2022 23:15</t>
  </si>
  <si>
    <t>14-06-2022 23:30</t>
  </si>
  <si>
    <t>14-06-2022 23:45</t>
  </si>
  <si>
    <t>14-06-2022 24:00</t>
  </si>
  <si>
    <t>15-06-2022 00:15</t>
  </si>
  <si>
    <t>15-06-2022 00:30</t>
  </si>
  <si>
    <t>15-06-2022 00:45</t>
  </si>
  <si>
    <t>15-06-2022 01:00</t>
  </si>
  <si>
    <t>15-06-2022 01:15</t>
  </si>
  <si>
    <t>15-06-2022 01:30</t>
  </si>
  <si>
    <t>15-06-2022 01:45</t>
  </si>
  <si>
    <t>15-06-2022 02:00</t>
  </si>
  <si>
    <t>15-06-2022 02:15</t>
  </si>
  <si>
    <t>15-06-2022 02:30</t>
  </si>
  <si>
    <t>15-06-2022 02:45</t>
  </si>
  <si>
    <t>15-06-2022 03:00</t>
  </si>
  <si>
    <t>15-06-2022 03:15</t>
  </si>
  <si>
    <t>15-06-2022 03:30</t>
  </si>
  <si>
    <t>15-06-2022 03:45</t>
  </si>
  <si>
    <t>15-06-2022 04:00</t>
  </si>
  <si>
    <t>15-06-2022 04:15</t>
  </si>
  <si>
    <t>15-06-2022 04:30</t>
  </si>
  <si>
    <t>15-06-2022 04:45</t>
  </si>
  <si>
    <t>15-06-2022 05:00</t>
  </si>
  <si>
    <t>15-06-2022 05:15</t>
  </si>
  <si>
    <t>15-06-2022 05:30</t>
  </si>
  <si>
    <t>15-06-2022 05:45</t>
  </si>
  <si>
    <t>15-06-2022 06:00</t>
  </si>
  <si>
    <t>15-06-2022 06:15</t>
  </si>
  <si>
    <t>15-06-2022 06:30</t>
  </si>
  <si>
    <t>15-06-2022 06:45</t>
  </si>
  <si>
    <t>15-06-2022 07:00</t>
  </si>
  <si>
    <t>15-06-2022 07:15</t>
  </si>
  <si>
    <t>15-06-2022 07:30</t>
  </si>
  <si>
    <t>15-06-2022 07:45</t>
  </si>
  <si>
    <t>15-06-2022 08:00</t>
  </si>
  <si>
    <t>15-06-2022 08:15</t>
  </si>
  <si>
    <t>15-06-2022 08:30</t>
  </si>
  <si>
    <t>15-06-2022 08:45</t>
  </si>
  <si>
    <t>15-06-2022 09:00</t>
  </si>
  <si>
    <t>15-06-2022 09:15</t>
  </si>
  <si>
    <t>15-06-2022 09:30</t>
  </si>
  <si>
    <t>15-06-2022 09:45</t>
  </si>
  <si>
    <t>15-06-2022 10:00</t>
  </si>
  <si>
    <t>15-06-2022 10:15</t>
  </si>
  <si>
    <t>15-06-2022 10:30</t>
  </si>
  <si>
    <t>15-06-2022 10:45</t>
  </si>
  <si>
    <t>15-06-2022 11:00</t>
  </si>
  <si>
    <t>15-06-2022 11:15</t>
  </si>
  <si>
    <t>15-06-2022 11:30</t>
  </si>
  <si>
    <t>15-06-2022 11:45</t>
  </si>
  <si>
    <t>15-06-2022 12:00</t>
  </si>
  <si>
    <t>15-06-2022 12:15</t>
  </si>
  <si>
    <t>15-06-2022 12:30</t>
  </si>
  <si>
    <t>15-06-2022 12:45</t>
  </si>
  <si>
    <t>15-06-2022 13:00</t>
  </si>
  <si>
    <t>15-06-2022 13:15</t>
  </si>
  <si>
    <t>15-06-2022 13:30</t>
  </si>
  <si>
    <t>15-06-2022 13:45</t>
  </si>
  <si>
    <t>15-06-2022 14:00</t>
  </si>
  <si>
    <t>15-06-2022 14:15</t>
  </si>
  <si>
    <t>15-06-2022 14:30</t>
  </si>
  <si>
    <t>15-06-2022 14:45</t>
  </si>
  <si>
    <t>15-06-2022 15:00</t>
  </si>
  <si>
    <t>15-06-2022 15:15</t>
  </si>
  <si>
    <t>15-06-2022 15:30</t>
  </si>
  <si>
    <t>15-06-2022 15:45</t>
  </si>
  <si>
    <t>15-06-2022 16:00</t>
  </si>
  <si>
    <t>15-06-2022 16:15</t>
  </si>
  <si>
    <t>15-06-2022 16:30</t>
  </si>
  <si>
    <t>15-06-2022 16:45</t>
  </si>
  <si>
    <t>15-06-2022 17:00</t>
  </si>
  <si>
    <t>15-06-2022 17:15</t>
  </si>
  <si>
    <t>15-06-2022 17:30</t>
  </si>
  <si>
    <t>15-06-2022 17:45</t>
  </si>
  <si>
    <t>15-06-2022 18:00</t>
  </si>
  <si>
    <t>15-06-2022 18:15</t>
  </si>
  <si>
    <t>15-06-2022 18:30</t>
  </si>
  <si>
    <t>15-06-2022 18:45</t>
  </si>
  <si>
    <t>15-06-2022 19:00</t>
  </si>
  <si>
    <t>15-06-2022 19:15</t>
  </si>
  <si>
    <t>15-06-2022 19:30</t>
  </si>
  <si>
    <t>15-06-2022 19:45</t>
  </si>
  <si>
    <t>15-06-2022 20:00</t>
  </si>
  <si>
    <t>15-06-2022 20:15</t>
  </si>
  <si>
    <t>15-06-2022 20:30</t>
  </si>
  <si>
    <t>15-06-2022 20:45</t>
  </si>
  <si>
    <t>15-06-2022 21:00</t>
  </si>
  <si>
    <t>15-06-2022 21:15</t>
  </si>
  <si>
    <t>15-06-2022 21:30</t>
  </si>
  <si>
    <t>15-06-2022 21:45</t>
  </si>
  <si>
    <t>15-06-2022 22:00</t>
  </si>
  <si>
    <t>15-06-2022 22:15</t>
  </si>
  <si>
    <t>15-06-2022 22:30</t>
  </si>
  <si>
    <t>15-06-2022 22:45</t>
  </si>
  <si>
    <t>15-06-2022 23:00</t>
  </si>
  <si>
    <t>15-06-2022 23:15</t>
  </si>
  <si>
    <t>15-06-2022 23:30</t>
  </si>
  <si>
    <t>15-06-2022 23:45</t>
  </si>
  <si>
    <t>15-06-2022 24:00</t>
  </si>
  <si>
    <t>16-06-2022 00:15</t>
  </si>
  <si>
    <t>16-06-2022 00:30</t>
  </si>
  <si>
    <t>16-06-2022 00:45</t>
  </si>
  <si>
    <t>16-06-2022 01:00</t>
  </si>
  <si>
    <t>16-06-2022 01:15</t>
  </si>
  <si>
    <t>16-06-2022 01:30</t>
  </si>
  <si>
    <t>16-06-2022 01:45</t>
  </si>
  <si>
    <t>16-06-2022 02:00</t>
  </si>
  <si>
    <t>16-06-2022 02:15</t>
  </si>
  <si>
    <t>16-06-2022 02:30</t>
  </si>
  <si>
    <t>16-06-2022 02:45</t>
  </si>
  <si>
    <t>16-06-2022 03:00</t>
  </si>
  <si>
    <t>16-06-2022 03:15</t>
  </si>
  <si>
    <t>16-06-2022 03:30</t>
  </si>
  <si>
    <t>16-06-2022 03:45</t>
  </si>
  <si>
    <t>16-06-2022 04:00</t>
  </si>
  <si>
    <t>16-06-2022 04:15</t>
  </si>
  <si>
    <t>16-06-2022 04:30</t>
  </si>
  <si>
    <t>16-06-2022 04:45</t>
  </si>
  <si>
    <t>16-06-2022 05:00</t>
  </si>
  <si>
    <t>16-06-2022 05:15</t>
  </si>
  <si>
    <t>16-06-2022 05:30</t>
  </si>
  <si>
    <t>16-06-2022 05:45</t>
  </si>
  <si>
    <t>16-06-2022 06:00</t>
  </si>
  <si>
    <t>16-06-2022 06:15</t>
  </si>
  <si>
    <t>16-06-2022 06:30</t>
  </si>
  <si>
    <t>16-06-2022 06:45</t>
  </si>
  <si>
    <t>16-06-2022 07:00</t>
  </si>
  <si>
    <t>16-06-2022 07:15</t>
  </si>
  <si>
    <t>16-06-2022 07:30</t>
  </si>
  <si>
    <t>16-06-2022 07:45</t>
  </si>
  <si>
    <t>16-06-2022 08:00</t>
  </si>
  <si>
    <t>16-06-2022 08:15</t>
  </si>
  <si>
    <t>16-06-2022 08:30</t>
  </si>
  <si>
    <t>16-06-2022 08:45</t>
  </si>
  <si>
    <t>16-06-2022 09:00</t>
  </si>
  <si>
    <t>16-06-2022 09:15</t>
  </si>
  <si>
    <t>16-06-2022 09:30</t>
  </si>
  <si>
    <t>16-06-2022 09:45</t>
  </si>
  <si>
    <t>16-06-2022 10:00</t>
  </si>
  <si>
    <t>16-06-2022 10:15</t>
  </si>
  <si>
    <t>16-06-2022 10:30</t>
  </si>
  <si>
    <t>16-06-2022 10:45</t>
  </si>
  <si>
    <t>16-06-2022 11:00</t>
  </si>
  <si>
    <t>16-06-2022 11:15</t>
  </si>
  <si>
    <t>16-06-2022 11:30</t>
  </si>
  <si>
    <t>16-06-2022 11:45</t>
  </si>
  <si>
    <t>16-06-2022 12:00</t>
  </si>
  <si>
    <t>16-06-2022 12:15</t>
  </si>
  <si>
    <t>16-06-2022 12:30</t>
  </si>
  <si>
    <t>16-06-2022 12:45</t>
  </si>
  <si>
    <t>16-06-2022 13:00</t>
  </si>
  <si>
    <t>16-06-2022 13:15</t>
  </si>
  <si>
    <t>16-06-2022 13:30</t>
  </si>
  <si>
    <t>16-06-2022 13:45</t>
  </si>
  <si>
    <t>16-06-2022 14:00</t>
  </si>
  <si>
    <t>16-06-2022 14:15</t>
  </si>
  <si>
    <t>16-06-2022 14:30</t>
  </si>
  <si>
    <t>16-06-2022 14:45</t>
  </si>
  <si>
    <t>16-06-2022 15:00</t>
  </si>
  <si>
    <t>16-06-2022 15:15</t>
  </si>
  <si>
    <t>16-06-2022 15:30</t>
  </si>
  <si>
    <t>16-06-2022 15:45</t>
  </si>
  <si>
    <t>16-06-2022 16:00</t>
  </si>
  <si>
    <t>16-06-2022 16:15</t>
  </si>
  <si>
    <t>16-06-2022 16:30</t>
  </si>
  <si>
    <t>16-06-2022 16:45</t>
  </si>
  <si>
    <t>16-06-2022 17:00</t>
  </si>
  <si>
    <t>16-06-2022 17:15</t>
  </si>
  <si>
    <t>16-06-2022 17:30</t>
  </si>
  <si>
    <t>16-06-2022 17:45</t>
  </si>
  <si>
    <t>16-06-2022 18:00</t>
  </si>
  <si>
    <t>16-06-2022 18:15</t>
  </si>
  <si>
    <t>16-06-2022 18:30</t>
  </si>
  <si>
    <t>16-06-2022 18:45</t>
  </si>
  <si>
    <t>16-06-2022 19:00</t>
  </si>
  <si>
    <t>16-06-2022 19:15</t>
  </si>
  <si>
    <t>16-06-2022 19:30</t>
  </si>
  <si>
    <t>16-06-2022 19:45</t>
  </si>
  <si>
    <t>16-06-2022 20:00</t>
  </si>
  <si>
    <t>16-06-2022 20:15</t>
  </si>
  <si>
    <t>16-06-2022 20:30</t>
  </si>
  <si>
    <t>16-06-2022 20:45</t>
  </si>
  <si>
    <t>16-06-2022 21:00</t>
  </si>
  <si>
    <t>16-06-2022 21:15</t>
  </si>
  <si>
    <t>16-06-2022 21:30</t>
  </si>
  <si>
    <t>16-06-2022 21:45</t>
  </si>
  <si>
    <t>16-06-2022 22:00</t>
  </si>
  <si>
    <t>16-06-2022 22:15</t>
  </si>
  <si>
    <t>16-06-2022 22:30</t>
  </si>
  <si>
    <t>16-06-2022 22:45</t>
  </si>
  <si>
    <t>16-06-2022 23:00</t>
  </si>
  <si>
    <t>16-06-2022 23:15</t>
  </si>
  <si>
    <t>16-06-2022 23:30</t>
  </si>
  <si>
    <t>16-06-2022 23:45</t>
  </si>
  <si>
    <t>16-06-2022 24:00</t>
  </si>
  <si>
    <t>17-06-2022 00:15</t>
  </si>
  <si>
    <t>17-06-2022 00:30</t>
  </si>
  <si>
    <t>17-06-2022 00:45</t>
  </si>
  <si>
    <t>17-06-2022 01:00</t>
  </si>
  <si>
    <t>17-06-2022 01:15</t>
  </si>
  <si>
    <t>17-06-2022 01:30</t>
  </si>
  <si>
    <t>17-06-2022 01:45</t>
  </si>
  <si>
    <t>17-06-2022 02:00</t>
  </si>
  <si>
    <t>17-06-2022 02:15</t>
  </si>
  <si>
    <t>17-06-2022 02:30</t>
  </si>
  <si>
    <t>17-06-2022 02:45</t>
  </si>
  <si>
    <t>17-06-2022 03:00</t>
  </si>
  <si>
    <t>17-06-2022 03:15</t>
  </si>
  <si>
    <t>17-06-2022 03:30</t>
  </si>
  <si>
    <t>17-06-2022 03:45</t>
  </si>
  <si>
    <t>17-06-2022 04:00</t>
  </si>
  <si>
    <t>17-06-2022 04:15</t>
  </si>
  <si>
    <t>17-06-2022 04:30</t>
  </si>
  <si>
    <t>17-06-2022 04:45</t>
  </si>
  <si>
    <t>17-06-2022 05:00</t>
  </si>
  <si>
    <t>17-06-2022 05:15</t>
  </si>
  <si>
    <t>17-06-2022 05:30</t>
  </si>
  <si>
    <t>17-06-2022 05:45</t>
  </si>
  <si>
    <t>17-06-2022 06:00</t>
  </si>
  <si>
    <t>17-06-2022 06:15</t>
  </si>
  <si>
    <t>17-06-2022 06:30</t>
  </si>
  <si>
    <t>17-06-2022 06:45</t>
  </si>
  <si>
    <t>17-06-2022 07:00</t>
  </si>
  <si>
    <t>17-06-2022 07:15</t>
  </si>
  <si>
    <t>17-06-2022 07:30</t>
  </si>
  <si>
    <t>17-06-2022 07:45</t>
  </si>
  <si>
    <t>17-06-2022 08:00</t>
  </si>
  <si>
    <t>17-06-2022 08:15</t>
  </si>
  <si>
    <t>17-06-2022 08:30</t>
  </si>
  <si>
    <t>17-06-2022 08:45</t>
  </si>
  <si>
    <t>17-06-2022 09:00</t>
  </si>
  <si>
    <t>17-06-2022 09:15</t>
  </si>
  <si>
    <t>17-06-2022 09:30</t>
  </si>
  <si>
    <t>17-06-2022 09:45</t>
  </si>
  <si>
    <t>17-06-2022 10:00</t>
  </si>
  <si>
    <t>17-06-2022 10:15</t>
  </si>
  <si>
    <t>17-06-2022 10:30</t>
  </si>
  <si>
    <t>17-06-2022 10:45</t>
  </si>
  <si>
    <t>17-06-2022 11:00</t>
  </si>
  <si>
    <t>17-06-2022 11:15</t>
  </si>
  <si>
    <t>17-06-2022 11:30</t>
  </si>
  <si>
    <t>17-06-2022 11:45</t>
  </si>
  <si>
    <t>17-06-2022 12:00</t>
  </si>
  <si>
    <t>17-06-2022 12:15</t>
  </si>
  <si>
    <t>17-06-2022 12:30</t>
  </si>
  <si>
    <t>17-06-2022 12:45</t>
  </si>
  <si>
    <t>17-06-2022 13:00</t>
  </si>
  <si>
    <t>17-06-2022 13:15</t>
  </si>
  <si>
    <t>17-06-2022 13:30</t>
  </si>
  <si>
    <t>17-06-2022 13:45</t>
  </si>
  <si>
    <t>17-06-2022 14:00</t>
  </si>
  <si>
    <t>17-06-2022 14:15</t>
  </si>
  <si>
    <t>17-06-2022 14:30</t>
  </si>
  <si>
    <t>17-06-2022 14:45</t>
  </si>
  <si>
    <t>17-06-2022 15:00</t>
  </si>
  <si>
    <t>17-06-2022 15:15</t>
  </si>
  <si>
    <t>17-06-2022 15:30</t>
  </si>
  <si>
    <t>17-06-2022 15:45</t>
  </si>
  <si>
    <t>17-06-2022 16:00</t>
  </si>
  <si>
    <t>17-06-2022 16:15</t>
  </si>
  <si>
    <t>17-06-2022 16:30</t>
  </si>
  <si>
    <t>17-06-2022 16:45</t>
  </si>
  <si>
    <t>17-06-2022 17:00</t>
  </si>
  <si>
    <t>17-06-2022 17:15</t>
  </si>
  <si>
    <t>17-06-2022 17:30</t>
  </si>
  <si>
    <t>17-06-2022 17:45</t>
  </si>
  <si>
    <t>17-06-2022 18:00</t>
  </si>
  <si>
    <t>17-06-2022 18:15</t>
  </si>
  <si>
    <t>17-06-2022 18:30</t>
  </si>
  <si>
    <t>17-06-2022 18:45</t>
  </si>
  <si>
    <t>17-06-2022 19:00</t>
  </si>
  <si>
    <t>17-06-2022 19:15</t>
  </si>
  <si>
    <t>17-06-2022 19:30</t>
  </si>
  <si>
    <t>17-06-2022 19:45</t>
  </si>
  <si>
    <t>17-06-2022 20:00</t>
  </si>
  <si>
    <t>17-06-2022 20:15</t>
  </si>
  <si>
    <t>17-06-2022 20:30</t>
  </si>
  <si>
    <t>17-06-2022 20:45</t>
  </si>
  <si>
    <t>17-06-2022 21:00</t>
  </si>
  <si>
    <t>17-06-2022 21:15</t>
  </si>
  <si>
    <t>17-06-2022 21:30</t>
  </si>
  <si>
    <t>17-06-2022 21:45</t>
  </si>
  <si>
    <t>17-06-2022 22:00</t>
  </si>
  <si>
    <t>17-06-2022 22:15</t>
  </si>
  <si>
    <t>17-06-2022 22:30</t>
  </si>
  <si>
    <t>17-06-2022 22:45</t>
  </si>
  <si>
    <t>17-06-2022 23:00</t>
  </si>
  <si>
    <t>17-06-2022 23:15</t>
  </si>
  <si>
    <t>17-06-2022 23:30</t>
  </si>
  <si>
    <t>17-06-2022 23:45</t>
  </si>
  <si>
    <t>17-06-2022 24:00</t>
  </si>
  <si>
    <t>18-06-2022 00:15</t>
  </si>
  <si>
    <t>18-06-2022 00:30</t>
  </si>
  <si>
    <t>18-06-2022 00:45</t>
  </si>
  <si>
    <t>18-06-2022 01:00</t>
  </si>
  <si>
    <t>18-06-2022 01:15</t>
  </si>
  <si>
    <t>18-06-2022 01:30</t>
  </si>
  <si>
    <t>18-06-2022 01:45</t>
  </si>
  <si>
    <t>18-06-2022 02:00</t>
  </si>
  <si>
    <t>18-06-2022 02:15</t>
  </si>
  <si>
    <t>18-06-2022 02:30</t>
  </si>
  <si>
    <t>18-06-2022 02:45</t>
  </si>
  <si>
    <t>18-06-2022 03:00</t>
  </si>
  <si>
    <t>18-06-2022 03:15</t>
  </si>
  <si>
    <t>18-06-2022 03:30</t>
  </si>
  <si>
    <t>18-06-2022 03:45</t>
  </si>
  <si>
    <t>18-06-2022 04:00</t>
  </si>
  <si>
    <t>18-06-2022 04:15</t>
  </si>
  <si>
    <t>18-06-2022 04:30</t>
  </si>
  <si>
    <t>18-06-2022 04:45</t>
  </si>
  <si>
    <t>18-06-2022 05:00</t>
  </si>
  <si>
    <t>18-06-2022 05:15</t>
  </si>
  <si>
    <t>18-06-2022 05:30</t>
  </si>
  <si>
    <t>18-06-2022 05:45</t>
  </si>
  <si>
    <t>18-06-2022 06:00</t>
  </si>
  <si>
    <t>18-06-2022 06:15</t>
  </si>
  <si>
    <t>18-06-2022 06:30</t>
  </si>
  <si>
    <t>18-06-2022 06:45</t>
  </si>
  <si>
    <t>18-06-2022 07:00</t>
  </si>
  <si>
    <t>18-06-2022 07:15</t>
  </si>
  <si>
    <t>18-06-2022 07:30</t>
  </si>
  <si>
    <t>18-06-2022 07:45</t>
  </si>
  <si>
    <t>18-06-2022 08:00</t>
  </si>
  <si>
    <t>18-06-2022 08:15</t>
  </si>
  <si>
    <t>18-06-2022 08:30</t>
  </si>
  <si>
    <t>18-06-2022 08:45</t>
  </si>
  <si>
    <t>18-06-2022 09:00</t>
  </si>
  <si>
    <t>18-06-2022 09:15</t>
  </si>
  <si>
    <t>18-06-2022 09:30</t>
  </si>
  <si>
    <t>18-06-2022 09:45</t>
  </si>
  <si>
    <t>18-06-2022 10:00</t>
  </si>
  <si>
    <t>18-06-2022 10:15</t>
  </si>
  <si>
    <t>18-06-2022 10:30</t>
  </si>
  <si>
    <t>18-06-2022 10:45</t>
  </si>
  <si>
    <t>18-06-2022 11:00</t>
  </si>
  <si>
    <t>18-06-2022 11:15</t>
  </si>
  <si>
    <t>18-06-2022 11:30</t>
  </si>
  <si>
    <t>18-06-2022 11:45</t>
  </si>
  <si>
    <t>18-06-2022 12:00</t>
  </si>
  <si>
    <t>18-06-2022 12:15</t>
  </si>
  <si>
    <t>18-06-2022 12:30</t>
  </si>
  <si>
    <t>18-06-2022 12:45</t>
  </si>
  <si>
    <t>18-06-2022 13:00</t>
  </si>
  <si>
    <t>18-06-2022 13:15</t>
  </si>
  <si>
    <t>18-06-2022 13:30</t>
  </si>
  <si>
    <t>18-06-2022 13:45</t>
  </si>
  <si>
    <t>18-06-2022 14:00</t>
  </si>
  <si>
    <t>18-06-2022 14:15</t>
  </si>
  <si>
    <t>18-06-2022 14:30</t>
  </si>
  <si>
    <t>18-06-2022 14:45</t>
  </si>
  <si>
    <t>18-06-2022 15:00</t>
  </si>
  <si>
    <t>18-06-2022 15:15</t>
  </si>
  <si>
    <t>18-06-2022 15:30</t>
  </si>
  <si>
    <t>18-06-2022 15:45</t>
  </si>
  <si>
    <t>18-06-2022 16:00</t>
  </si>
  <si>
    <t>18-06-2022 16:15</t>
  </si>
  <si>
    <t>18-06-2022 16:30</t>
  </si>
  <si>
    <t>18-06-2022 16:45</t>
  </si>
  <si>
    <t>18-06-2022 17:00</t>
  </si>
  <si>
    <t>18-06-2022 17:15</t>
  </si>
  <si>
    <t>18-06-2022 17:30</t>
  </si>
  <si>
    <t>18-06-2022 17:45</t>
  </si>
  <si>
    <t>18-06-2022 18:00</t>
  </si>
  <si>
    <t>18-06-2022 18:15</t>
  </si>
  <si>
    <t>18-06-2022 18:30</t>
  </si>
  <si>
    <t>18-06-2022 18:45</t>
  </si>
  <si>
    <t>18-06-2022 19:00</t>
  </si>
  <si>
    <t>18-06-2022 19:15</t>
  </si>
  <si>
    <t>18-06-2022 19:30</t>
  </si>
  <si>
    <t>18-06-2022 19:45</t>
  </si>
  <si>
    <t>18-06-2022 20:00</t>
  </si>
  <si>
    <t>18-06-2022 20:15</t>
  </si>
  <si>
    <t>18-06-2022 20:30</t>
  </si>
  <si>
    <t>18-06-2022 20:45</t>
  </si>
  <si>
    <t>18-06-2022 21:00</t>
  </si>
  <si>
    <t>18-06-2022 21:15</t>
  </si>
  <si>
    <t>18-06-2022 21:30</t>
  </si>
  <si>
    <t>18-06-2022 21:45</t>
  </si>
  <si>
    <t>18-06-2022 22:00</t>
  </si>
  <si>
    <t>18-06-2022 22:15</t>
  </si>
  <si>
    <t>18-06-2022 22:30</t>
  </si>
  <si>
    <t>18-06-2022 22:45</t>
  </si>
  <si>
    <t>18-06-2022 23:00</t>
  </si>
  <si>
    <t>18-06-2022 23:15</t>
  </si>
  <si>
    <t>18-06-2022 23:30</t>
  </si>
  <si>
    <t>18-06-2022 23:45</t>
  </si>
  <si>
    <t>18-06-2022 24:00</t>
  </si>
  <si>
    <t>surojit</t>
  </si>
  <si>
    <t>19-06-2022 00:15</t>
  </si>
  <si>
    <t>19-06-2022 00:30</t>
  </si>
  <si>
    <t>19-06-2022 00:45</t>
  </si>
  <si>
    <t>19-06-2022 01:00</t>
  </si>
  <si>
    <t>19-06-2022 01:15</t>
  </si>
  <si>
    <t>19-06-2022 01:30</t>
  </si>
  <si>
    <t>19-06-2022 01:45</t>
  </si>
  <si>
    <t>19-06-2022 02:00</t>
  </si>
  <si>
    <t>19-06-2022 02:15</t>
  </si>
  <si>
    <t>19-06-2022 02:30</t>
  </si>
  <si>
    <t>19-06-2022 02:45</t>
  </si>
  <si>
    <t>19-06-2022 03:00</t>
  </si>
  <si>
    <t>19-06-2022 03:15</t>
  </si>
  <si>
    <t>19-06-2022 03:30</t>
  </si>
  <si>
    <t>19-06-2022 03:45</t>
  </si>
  <si>
    <t>19-06-2022 04:00</t>
  </si>
  <si>
    <t>19-06-2022 04:15</t>
  </si>
  <si>
    <t>19-06-2022 04:30</t>
  </si>
  <si>
    <t>19-06-2022 04:45</t>
  </si>
  <si>
    <t>19-06-2022 05:00</t>
  </si>
  <si>
    <t>19-06-2022 05:15</t>
  </si>
  <si>
    <t>19-06-2022 05:30</t>
  </si>
  <si>
    <t>19-06-2022 05:45</t>
  </si>
  <si>
    <t>19-06-2022 06:00</t>
  </si>
  <si>
    <t>19-06-2022 06:15</t>
  </si>
  <si>
    <t>19-06-2022 06:30</t>
  </si>
  <si>
    <t>19-06-2022 06:45</t>
  </si>
  <si>
    <t>19-06-2022 07:00</t>
  </si>
  <si>
    <t>19-06-2022 07:15</t>
  </si>
  <si>
    <t>19-06-2022 07:30</t>
  </si>
  <si>
    <t>19-06-2022 07:45</t>
  </si>
  <si>
    <t>19-06-2022 08:00</t>
  </si>
  <si>
    <t>19-06-2022 08:15</t>
  </si>
  <si>
    <t>19-06-2022 08:30</t>
  </si>
  <si>
    <t>19-06-2022 08:45</t>
  </si>
  <si>
    <t>19-06-2022 09:00</t>
  </si>
  <si>
    <t>19-06-2022 09:15</t>
  </si>
  <si>
    <t>19-06-2022 09:30</t>
  </si>
  <si>
    <t>19-06-2022 09:45</t>
  </si>
  <si>
    <t>19-06-2022 10:00</t>
  </si>
  <si>
    <t>19-06-2022 10:15</t>
  </si>
  <si>
    <t>19-06-2022 10:30</t>
  </si>
  <si>
    <t>19-06-2022 10:45</t>
  </si>
  <si>
    <t>19-06-2022 11:00</t>
  </si>
  <si>
    <t>19-06-2022 11:15</t>
  </si>
  <si>
    <t>19-06-2022 11:30</t>
  </si>
  <si>
    <t>19-06-2022 11:45</t>
  </si>
  <si>
    <t>19-06-2022 12:00</t>
  </si>
  <si>
    <t>19-06-2022 12:15</t>
  </si>
  <si>
    <t>19-06-2022 12:30</t>
  </si>
  <si>
    <t>19-06-2022 12:45</t>
  </si>
  <si>
    <t>19-06-2022 13:00</t>
  </si>
  <si>
    <t>19-06-2022 13:15</t>
  </si>
  <si>
    <t>19-06-2022 13:30</t>
  </si>
  <si>
    <t>19-06-2022 13:45</t>
  </si>
  <si>
    <t>19-06-2022 14:00</t>
  </si>
  <si>
    <t>19-06-2022 14:15</t>
  </si>
  <si>
    <t>19-06-2022 14:30</t>
  </si>
  <si>
    <t>19-06-2022 14:45</t>
  </si>
  <si>
    <t>19-06-2022 15:00</t>
  </si>
  <si>
    <t>19-06-2022 15:15</t>
  </si>
  <si>
    <t>19-06-2022 15:30</t>
  </si>
  <si>
    <t>19-06-2022 15:45</t>
  </si>
  <si>
    <t>19-06-2022 16:00</t>
  </si>
  <si>
    <t>19-06-2022 16:15</t>
  </si>
  <si>
    <t>19-06-2022 16:30</t>
  </si>
  <si>
    <t>19-06-2022 16:45</t>
  </si>
  <si>
    <t>19-06-2022 17:00</t>
  </si>
  <si>
    <t>19-06-2022 17:15</t>
  </si>
  <si>
    <t>19-06-2022 17:30</t>
  </si>
  <si>
    <t>19-06-2022 17:45</t>
  </si>
  <si>
    <t>19-06-2022 18:00</t>
  </si>
  <si>
    <t>19-06-2022 18:15</t>
  </si>
  <si>
    <t>19-06-2022 18:30</t>
  </si>
  <si>
    <t>19-06-2022 18:45</t>
  </si>
  <si>
    <t>19-06-2022 19:00</t>
  </si>
  <si>
    <t>19-06-2022 19:15</t>
  </si>
  <si>
    <t>19-06-2022 19:30</t>
  </si>
  <si>
    <t>19-06-2022 19:45</t>
  </si>
  <si>
    <t>19-06-2022 20:00</t>
  </si>
  <si>
    <t>19-06-2022 20:15</t>
  </si>
  <si>
    <t>19-06-2022 20:30</t>
  </si>
  <si>
    <t>19-06-2022 20:45</t>
  </si>
  <si>
    <t>19-06-2022 21:00</t>
  </si>
  <si>
    <t>19-06-2022 21:15</t>
  </si>
  <si>
    <t>19-06-2022 21:30</t>
  </si>
  <si>
    <t>19-06-2022 21:45</t>
  </si>
  <si>
    <t>19-06-2022 22:00</t>
  </si>
  <si>
    <t>19-06-2022 22:15</t>
  </si>
  <si>
    <t>19-06-2022 22:30</t>
  </si>
  <si>
    <t>19-06-2022 22:45</t>
  </si>
  <si>
    <t>19-06-2022 23:00</t>
  </si>
  <si>
    <t>19-06-2022 23:15</t>
  </si>
  <si>
    <t>19-06-2022 23:30</t>
  </si>
  <si>
    <t>19-06-2022 23:45</t>
  </si>
  <si>
    <t>19-06-2022 24:00</t>
  </si>
  <si>
    <t>20-06-2022 00:15</t>
  </si>
  <si>
    <t>20-06-2022 00:30</t>
  </si>
  <si>
    <t>20-06-2022 00:45</t>
  </si>
  <si>
    <t>20-06-2022 01:00</t>
  </si>
  <si>
    <t>20-06-2022 01:15</t>
  </si>
  <si>
    <t>20-06-2022 01:30</t>
  </si>
  <si>
    <t>20-06-2022 01:45</t>
  </si>
  <si>
    <t>20-06-2022 02:00</t>
  </si>
  <si>
    <t>20-06-2022 02:15</t>
  </si>
  <si>
    <t>20-06-2022 02:30</t>
  </si>
  <si>
    <t>20-06-2022 02:45</t>
  </si>
  <si>
    <t>20-06-2022 03:00</t>
  </si>
  <si>
    <t>20-06-2022 03:15</t>
  </si>
  <si>
    <t>20-06-2022 03:30</t>
  </si>
  <si>
    <t>20-06-2022 03:45</t>
  </si>
  <si>
    <t>20-06-2022 04:00</t>
  </si>
  <si>
    <t>20-06-2022 04:15</t>
  </si>
  <si>
    <t>20-06-2022 04:30</t>
  </si>
  <si>
    <t>20-06-2022 04:45</t>
  </si>
  <si>
    <t>20-06-2022 05:00</t>
  </si>
  <si>
    <t>20-06-2022 05:15</t>
  </si>
  <si>
    <t>20-06-2022 05:30</t>
  </si>
  <si>
    <t>20-06-2022 05:45</t>
  </si>
  <si>
    <t>20-06-2022 06:00</t>
  </si>
  <si>
    <t>20-06-2022 06:15</t>
  </si>
  <si>
    <t>20-06-2022 06:30</t>
  </si>
  <si>
    <t>20-06-2022 06:45</t>
  </si>
  <si>
    <t>20-06-2022 07:00</t>
  </si>
  <si>
    <t>20-06-2022 07:15</t>
  </si>
  <si>
    <t>20-06-2022 07:30</t>
  </si>
  <si>
    <t>20-06-2022 07:45</t>
  </si>
  <si>
    <t>20-06-2022 08:00</t>
  </si>
  <si>
    <t>20-06-2022 08:15</t>
  </si>
  <si>
    <t>20-06-2022 08:30</t>
  </si>
  <si>
    <t>20-06-2022 08:45</t>
  </si>
  <si>
    <t>20-06-2022 09:00</t>
  </si>
  <si>
    <t>20-06-2022 09:15</t>
  </si>
  <si>
    <t>20-06-2022 09:30</t>
  </si>
  <si>
    <t>20-06-2022 09:45</t>
  </si>
  <si>
    <t>20-06-2022 10:00</t>
  </si>
  <si>
    <t>20-06-2022 10:15</t>
  </si>
  <si>
    <t>20-06-2022 10:30</t>
  </si>
  <si>
    <t>20-06-2022 10:45</t>
  </si>
  <si>
    <t>20-06-2022 11:00</t>
  </si>
  <si>
    <t>20-06-2022 11:15</t>
  </si>
  <si>
    <t>20-06-2022 11:30</t>
  </si>
  <si>
    <t>20-06-2022 11:45</t>
  </si>
  <si>
    <t>20-06-2022 12:00</t>
  </si>
  <si>
    <t>20-06-2022 12:15</t>
  </si>
  <si>
    <t>20-06-2022 12:30</t>
  </si>
  <si>
    <t>20-06-2022 12:45</t>
  </si>
  <si>
    <t>20-06-2022 13:00</t>
  </si>
  <si>
    <t>20-06-2022 13:15</t>
  </si>
  <si>
    <t>20-06-2022 13:30</t>
  </si>
  <si>
    <t>20-06-2022 13:45</t>
  </si>
  <si>
    <t>20-06-2022 14:00</t>
  </si>
  <si>
    <t>20-06-2022 14:15</t>
  </si>
  <si>
    <t>20-06-2022 14:30</t>
  </si>
  <si>
    <t>20-06-2022 14:45</t>
  </si>
  <si>
    <t>20-06-2022 15:00</t>
  </si>
  <si>
    <t>20-06-2022 15:15</t>
  </si>
  <si>
    <t>20-06-2022 15:30</t>
  </si>
  <si>
    <t>20-06-2022 15:45</t>
  </si>
  <si>
    <t>20-06-2022 16:00</t>
  </si>
  <si>
    <t>20-06-2022 16:15</t>
  </si>
  <si>
    <t>20-06-2022 16:30</t>
  </si>
  <si>
    <t>20-06-2022 16:45</t>
  </si>
  <si>
    <t>20-06-2022 17:00</t>
  </si>
  <si>
    <t>20-06-2022 17:15</t>
  </si>
  <si>
    <t>20-06-2022 17:30</t>
  </si>
  <si>
    <t>20-06-2022 17:45</t>
  </si>
  <si>
    <t>20-06-2022 18:00</t>
  </si>
  <si>
    <t>20-06-2022 18:15</t>
  </si>
  <si>
    <t>20-06-2022 18:30</t>
  </si>
  <si>
    <t>20-06-2022 18:45</t>
  </si>
  <si>
    <t>20-06-2022 19:00</t>
  </si>
  <si>
    <t>20-06-2022 19:15</t>
  </si>
  <si>
    <t>20-06-2022 19:30</t>
  </si>
  <si>
    <t>20-06-2022 19:45</t>
  </si>
  <si>
    <t>20-06-2022 20:00</t>
  </si>
  <si>
    <t>20-06-2022 20:15</t>
  </si>
  <si>
    <t>20-06-2022 20:30</t>
  </si>
  <si>
    <t>20-06-2022 20:45</t>
  </si>
  <si>
    <t>20-06-2022 21:00</t>
  </si>
  <si>
    <t>20-06-2022 21:15</t>
  </si>
  <si>
    <t>20-06-2022 21:30</t>
  </si>
  <si>
    <t>20-06-2022 21:45</t>
  </si>
  <si>
    <t>20-06-2022 22:00</t>
  </si>
  <si>
    <t>20-06-2022 22:15</t>
  </si>
  <si>
    <t>20-06-2022 22:30</t>
  </si>
  <si>
    <t>20-06-2022 22:45</t>
  </si>
  <si>
    <t>20-06-2022 23:00</t>
  </si>
  <si>
    <t>20-06-2022 23:15</t>
  </si>
  <si>
    <t>20-06-2022 23:30</t>
  </si>
  <si>
    <t>20-06-2022 23:45</t>
  </si>
  <si>
    <t>20-06-2022 24:00</t>
  </si>
  <si>
    <t>21-06-2022 00:15</t>
  </si>
  <si>
    <t>21-06-2022 00:30</t>
  </si>
  <si>
    <t>21-06-2022 00:45</t>
  </si>
  <si>
    <t>21-06-2022 01:00</t>
  </si>
  <si>
    <t>21-06-2022 01:15</t>
  </si>
  <si>
    <t>21-06-2022 01:30</t>
  </si>
  <si>
    <t>21-06-2022 01:45</t>
  </si>
  <si>
    <t>21-06-2022 02:00</t>
  </si>
  <si>
    <t>21-06-2022 02:15</t>
  </si>
  <si>
    <t>21-06-2022 02:30</t>
  </si>
  <si>
    <t>21-06-2022 02:45</t>
  </si>
  <si>
    <t>21-06-2022 03:00</t>
  </si>
  <si>
    <t>21-06-2022 03:15</t>
  </si>
  <si>
    <t>21-06-2022 03:30</t>
  </si>
  <si>
    <t>21-06-2022 03:45</t>
  </si>
  <si>
    <t>21-06-2022 04:00</t>
  </si>
  <si>
    <t>21-06-2022 04:15</t>
  </si>
  <si>
    <t>21-06-2022 04:30</t>
  </si>
  <si>
    <t>21-06-2022 04:45</t>
  </si>
  <si>
    <t>21-06-2022 05:00</t>
  </si>
  <si>
    <t>21-06-2022 05:15</t>
  </si>
  <si>
    <t>21-06-2022 05:30</t>
  </si>
  <si>
    <t>21-06-2022 05:45</t>
  </si>
  <si>
    <t>21-06-2022 06:00</t>
  </si>
  <si>
    <t>21-06-2022 06:15</t>
  </si>
  <si>
    <t>21-06-2022 06:30</t>
  </si>
  <si>
    <t>21-06-2022 06:45</t>
  </si>
  <si>
    <t>21-06-2022 07:00</t>
  </si>
  <si>
    <t>21-06-2022 07:15</t>
  </si>
  <si>
    <t>21-06-2022 07:30</t>
  </si>
  <si>
    <t>21-06-2022 07:45</t>
  </si>
  <si>
    <t>21-06-2022 08:00</t>
  </si>
  <si>
    <t>21-06-2022 08:15</t>
  </si>
  <si>
    <t>21-06-2022 08:30</t>
  </si>
  <si>
    <t>21-06-2022 08:45</t>
  </si>
  <si>
    <t>21-06-2022 09:00</t>
  </si>
  <si>
    <t>21-06-2022 09:15</t>
  </si>
  <si>
    <t>21-06-2022 09:30</t>
  </si>
  <si>
    <t>21-06-2022 09:45</t>
  </si>
  <si>
    <t>21-06-2022 10:00</t>
  </si>
  <si>
    <t>21-06-2022 10:15</t>
  </si>
  <si>
    <t>21-06-2022 10:30</t>
  </si>
  <si>
    <t>21-06-2022 10:45</t>
  </si>
  <si>
    <t>21-06-2022 11:00</t>
  </si>
  <si>
    <t>21-06-2022 11:15</t>
  </si>
  <si>
    <t>21-06-2022 11:30</t>
  </si>
  <si>
    <t>21-06-2022 11:45</t>
  </si>
  <si>
    <t>21-06-2022 12:00</t>
  </si>
  <si>
    <t>21-06-2022 12:15</t>
  </si>
  <si>
    <t>21-06-2022 12:30</t>
  </si>
  <si>
    <t>21-06-2022 12:45</t>
  </si>
  <si>
    <t>21-06-2022 13:00</t>
  </si>
  <si>
    <t>21-06-2022 13:15</t>
  </si>
  <si>
    <t>21-06-2022 13:30</t>
  </si>
  <si>
    <t>21-06-2022 13:45</t>
  </si>
  <si>
    <t>21-06-2022 14:00</t>
  </si>
  <si>
    <t>21-06-2022 14:15</t>
  </si>
  <si>
    <t>21-06-2022 14:30</t>
  </si>
  <si>
    <t>21-06-2022 14:45</t>
  </si>
  <si>
    <t>21-06-2022 15:00</t>
  </si>
  <si>
    <t>21-06-2022 15:15</t>
  </si>
  <si>
    <t>21-06-2022 15:30</t>
  </si>
  <si>
    <t>21-06-2022 15:45</t>
  </si>
  <si>
    <t>21-06-2022 16:00</t>
  </si>
  <si>
    <t>21-06-2022 16:15</t>
  </si>
  <si>
    <t>21-06-2022 16:30</t>
  </si>
  <si>
    <t>21-06-2022 16:45</t>
  </si>
  <si>
    <t>21-06-2022 17:00</t>
  </si>
  <si>
    <t>21-06-2022 17:15</t>
  </si>
  <si>
    <t>21-06-2022 17:30</t>
  </si>
  <si>
    <t>21-06-2022 17:45</t>
  </si>
  <si>
    <t>21-06-2022 18:00</t>
  </si>
  <si>
    <t>21-06-2022 18:15</t>
  </si>
  <si>
    <t>21-06-2022 18:30</t>
  </si>
  <si>
    <t>21-06-2022 18:45</t>
  </si>
  <si>
    <t>21-06-2022 19:00</t>
  </si>
  <si>
    <t>21-06-2022 19:15</t>
  </si>
  <si>
    <t>21-06-2022 19:30</t>
  </si>
  <si>
    <t>21-06-2022 19:45</t>
  </si>
  <si>
    <t>21-06-2022 20:00</t>
  </si>
  <si>
    <t>21-06-2022 20:15</t>
  </si>
  <si>
    <t>21-06-2022 20:30</t>
  </si>
  <si>
    <t>21-06-2022 20:45</t>
  </si>
  <si>
    <t>21-06-2022 21:00</t>
  </si>
  <si>
    <t>21-06-2022 21:15</t>
  </si>
  <si>
    <t>21-06-2022 21:30</t>
  </si>
  <si>
    <t>21-06-2022 21:45</t>
  </si>
  <si>
    <t>21-06-2022 22:00</t>
  </si>
  <si>
    <t>21-06-2022 22:15</t>
  </si>
  <si>
    <t>21-06-2022 22:30</t>
  </si>
  <si>
    <t>21-06-2022 22:45</t>
  </si>
  <si>
    <t>21-06-2022 23:00</t>
  </si>
  <si>
    <t>21-06-2022 23:15</t>
  </si>
  <si>
    <t>21-06-2022 23:30</t>
  </si>
  <si>
    <t>21-06-2022 23:45</t>
  </si>
  <si>
    <t>21-06-2022 24:00</t>
  </si>
  <si>
    <t>22-06-2022 00:15</t>
  </si>
  <si>
    <t>22-06-2022 00:30</t>
  </si>
  <si>
    <t>22-06-2022 00:45</t>
  </si>
  <si>
    <t>22-06-2022 01:00</t>
  </si>
  <si>
    <t>22-06-2022 01:15</t>
  </si>
  <si>
    <t>22-06-2022 01:30</t>
  </si>
  <si>
    <t>22-06-2022 01:45</t>
  </si>
  <si>
    <t>22-06-2022 02:00</t>
  </si>
  <si>
    <t>22-06-2022 02:15</t>
  </si>
  <si>
    <t>22-06-2022 02:30</t>
  </si>
  <si>
    <t>22-06-2022 02:45</t>
  </si>
  <si>
    <t>22-06-2022 03:00</t>
  </si>
  <si>
    <t>22-06-2022 03:15</t>
  </si>
  <si>
    <t>22-06-2022 03:30</t>
  </si>
  <si>
    <t>22-06-2022 03:45</t>
  </si>
  <si>
    <t>22-06-2022 04:00</t>
  </si>
  <si>
    <t>22-06-2022 04:15</t>
  </si>
  <si>
    <t>22-06-2022 04:30</t>
  </si>
  <si>
    <t>22-06-2022 04:45</t>
  </si>
  <si>
    <t>22-06-2022 05:00</t>
  </si>
  <si>
    <t>22-06-2022 05:15</t>
  </si>
  <si>
    <t>22-06-2022 05:30</t>
  </si>
  <si>
    <t>22-06-2022 05:45</t>
  </si>
  <si>
    <t>22-06-2022 06:00</t>
  </si>
  <si>
    <t>22-06-2022 06:15</t>
  </si>
  <si>
    <t>22-06-2022 06:30</t>
  </si>
  <si>
    <t>22-06-2022 06:45</t>
  </si>
  <si>
    <t>22-06-2022 07:00</t>
  </si>
  <si>
    <t>22-06-2022 07:15</t>
  </si>
  <si>
    <t>22-06-2022 07:30</t>
  </si>
  <si>
    <t>22-06-2022 07:45</t>
  </si>
  <si>
    <t>22-06-2022 08:00</t>
  </si>
  <si>
    <t>22-06-2022 08:15</t>
  </si>
  <si>
    <t>22-06-2022 08:30</t>
  </si>
  <si>
    <t>22-06-2022 08:45</t>
  </si>
  <si>
    <t>22-06-2022 09:00</t>
  </si>
  <si>
    <t>22-06-2022 09:15</t>
  </si>
  <si>
    <t>22-06-2022 09:30</t>
  </si>
  <si>
    <t>22-06-2022 09:45</t>
  </si>
  <si>
    <t>22-06-2022 10:00</t>
  </si>
  <si>
    <t>22-06-2022 10:15</t>
  </si>
  <si>
    <t>22-06-2022 10:30</t>
  </si>
  <si>
    <t>22-06-2022 10:45</t>
  </si>
  <si>
    <t>22-06-2022 11:00</t>
  </si>
  <si>
    <t>22-06-2022 11:15</t>
  </si>
  <si>
    <t>22-06-2022 11:30</t>
  </si>
  <si>
    <t>22-06-2022 11:45</t>
  </si>
  <si>
    <t>22-06-2022 12:00</t>
  </si>
  <si>
    <t>22-06-2022 12:15</t>
  </si>
  <si>
    <t>22-06-2022 12:30</t>
  </si>
  <si>
    <t>22-06-2022 12:45</t>
  </si>
  <si>
    <t>22-06-2022 13:00</t>
  </si>
  <si>
    <t>22-06-2022 13:15</t>
  </si>
  <si>
    <t>22-06-2022 13:30</t>
  </si>
  <si>
    <t>22-06-2022 13:45</t>
  </si>
  <si>
    <t>22-06-2022 14:00</t>
  </si>
  <si>
    <t>22-06-2022 14:15</t>
  </si>
  <si>
    <t>22-06-2022 14:30</t>
  </si>
  <si>
    <t>22-06-2022 14:45</t>
  </si>
  <si>
    <t>22-06-2022 15:00</t>
  </si>
  <si>
    <t>22-06-2022 15:15</t>
  </si>
  <si>
    <t>22-06-2022 15:30</t>
  </si>
  <si>
    <t>22-06-2022 15:45</t>
  </si>
  <si>
    <t>22-06-2022 16:00</t>
  </si>
  <si>
    <t>22-06-2022 16:15</t>
  </si>
  <si>
    <t>22-06-2022 16:30</t>
  </si>
  <si>
    <t>22-06-2022 16:45</t>
  </si>
  <si>
    <t>22-06-2022 17:00</t>
  </si>
  <si>
    <t>22-06-2022 17:15</t>
  </si>
  <si>
    <t>22-06-2022 17:30</t>
  </si>
  <si>
    <t>22-06-2022 17:45</t>
  </si>
  <si>
    <t>22-06-2022 18:00</t>
  </si>
  <si>
    <t>22-06-2022 18:15</t>
  </si>
  <si>
    <t>22-06-2022 18:30</t>
  </si>
  <si>
    <t>22-06-2022 18:45</t>
  </si>
  <si>
    <t>22-06-2022 19:00</t>
  </si>
  <si>
    <t>22-06-2022 19:15</t>
  </si>
  <si>
    <t>22-06-2022 19:30</t>
  </si>
  <si>
    <t>22-06-2022 19:45</t>
  </si>
  <si>
    <t>22-06-2022 20:00</t>
  </si>
  <si>
    <t>22-06-2022 20:15</t>
  </si>
  <si>
    <t>22-06-2022 20:30</t>
  </si>
  <si>
    <t>22-06-2022 20:45</t>
  </si>
  <si>
    <t>22-06-2022 21:00</t>
  </si>
  <si>
    <t>22-06-2022 21:15</t>
  </si>
  <si>
    <t>22-06-2022 21:30</t>
  </si>
  <si>
    <t>22-06-2022 21:45</t>
  </si>
  <si>
    <t>22-06-2022 22:00</t>
  </si>
  <si>
    <t>22-06-2022 22:15</t>
  </si>
  <si>
    <t>22-06-2022 22:30</t>
  </si>
  <si>
    <t>22-06-2022 22:45</t>
  </si>
  <si>
    <t>22-06-2022 23:00</t>
  </si>
  <si>
    <t>22-06-2022 23:15</t>
  </si>
  <si>
    <t>22-06-2022 23:30</t>
  </si>
  <si>
    <t>22-06-2022 23:45</t>
  </si>
  <si>
    <t>22-06-2022 24:00</t>
  </si>
  <si>
    <t>23-06-2022 00:15</t>
  </si>
  <si>
    <t>23-06-2022 00:30</t>
  </si>
  <si>
    <t>23-06-2022 00:45</t>
  </si>
  <si>
    <t>23-06-2022 01:00</t>
  </si>
  <si>
    <t>23-06-2022 01:15</t>
  </si>
  <si>
    <t>23-06-2022 01:30</t>
  </si>
  <si>
    <t>23-06-2022 01:45</t>
  </si>
  <si>
    <t>23-06-2022 02:00</t>
  </si>
  <si>
    <t>23-06-2022 02:15</t>
  </si>
  <si>
    <t>23-06-2022 02:30</t>
  </si>
  <si>
    <t>23-06-2022 02:45</t>
  </si>
  <si>
    <t>23-06-2022 03:00</t>
  </si>
  <si>
    <t>23-06-2022 03:15</t>
  </si>
  <si>
    <t>23-06-2022 03:30</t>
  </si>
  <si>
    <t>23-06-2022 03:45</t>
  </si>
  <si>
    <t>23-06-2022 04:00</t>
  </si>
  <si>
    <t>23-06-2022 04:15</t>
  </si>
  <si>
    <t>23-06-2022 04:30</t>
  </si>
  <si>
    <t>23-06-2022 04:45</t>
  </si>
  <si>
    <t>23-06-2022 05:00</t>
  </si>
  <si>
    <t>23-06-2022 05:15</t>
  </si>
  <si>
    <t>23-06-2022 05:30</t>
  </si>
  <si>
    <t>23-06-2022 05:45</t>
  </si>
  <si>
    <t>23-06-2022 06:00</t>
  </si>
  <si>
    <t>23-06-2022 06:15</t>
  </si>
  <si>
    <t>23-06-2022 06:30</t>
  </si>
  <si>
    <t>23-06-2022 06:45</t>
  </si>
  <si>
    <t>23-06-2022 07:00</t>
  </si>
  <si>
    <t>23-06-2022 07:15</t>
  </si>
  <si>
    <t>23-06-2022 07:30</t>
  </si>
  <si>
    <t>23-06-2022 07:45</t>
  </si>
  <si>
    <t>23-06-2022 08:00</t>
  </si>
  <si>
    <t>23-06-2022 08:15</t>
  </si>
  <si>
    <t>23-06-2022 08:30</t>
  </si>
  <si>
    <t>23-06-2022 08:45</t>
  </si>
  <si>
    <t>23-06-2022 09:00</t>
  </si>
  <si>
    <t>23-06-2022 09:15</t>
  </si>
  <si>
    <t>23-06-2022 09:30</t>
  </si>
  <si>
    <t>23-06-2022 09:45</t>
  </si>
  <si>
    <t>23-06-2022 10:00</t>
  </si>
  <si>
    <t>23-06-2022 10:15</t>
  </si>
  <si>
    <t>23-06-2022 10:30</t>
  </si>
  <si>
    <t>23-06-2022 10:45</t>
  </si>
  <si>
    <t>23-06-2022 11:00</t>
  </si>
  <si>
    <t>23-06-2022 11:15</t>
  </si>
  <si>
    <t>23-06-2022 11:30</t>
  </si>
  <si>
    <t>23-06-2022 11:45</t>
  </si>
  <si>
    <t>23-06-2022 12:00</t>
  </si>
  <si>
    <t>23-06-2022 12:15</t>
  </si>
  <si>
    <t>23-06-2022 12:30</t>
  </si>
  <si>
    <t>23-06-2022 12:45</t>
  </si>
  <si>
    <t>23-06-2022 13:00</t>
  </si>
  <si>
    <t>23-06-2022 13:15</t>
  </si>
  <si>
    <t>23-06-2022 13:30</t>
  </si>
  <si>
    <t>23-06-2022 13:45</t>
  </si>
  <si>
    <t>23-06-2022 14:00</t>
  </si>
  <si>
    <t>23-06-2022 14:15</t>
  </si>
  <si>
    <t>23-06-2022 14:30</t>
  </si>
  <si>
    <t>23-06-2022 14:45</t>
  </si>
  <si>
    <t>23-06-2022 15:00</t>
  </si>
  <si>
    <t>23-06-2022 15:15</t>
  </si>
  <si>
    <t>23-06-2022 15:30</t>
  </si>
  <si>
    <t>23-06-2022 15:45</t>
  </si>
  <si>
    <t>23-06-2022 16:00</t>
  </si>
  <si>
    <t>23-06-2022 16:15</t>
  </si>
  <si>
    <t>23-06-2022 16:30</t>
  </si>
  <si>
    <t>23-06-2022 16:45</t>
  </si>
  <si>
    <t>23-06-2022 17:00</t>
  </si>
  <si>
    <t>23-06-2022 17:15</t>
  </si>
  <si>
    <t>23-06-2022 17:30</t>
  </si>
  <si>
    <t>23-06-2022 17:45</t>
  </si>
  <si>
    <t>23-06-2022 18:00</t>
  </si>
  <si>
    <t>23-06-2022 18:15</t>
  </si>
  <si>
    <t>23-06-2022 18:30</t>
  </si>
  <si>
    <t>23-06-2022 18:45</t>
  </si>
  <si>
    <t>23-06-2022 19:00</t>
  </si>
  <si>
    <t>23-06-2022 19:15</t>
  </si>
  <si>
    <t>23-06-2022 19:30</t>
  </si>
  <si>
    <t>23-06-2022 19:45</t>
  </si>
  <si>
    <t>23-06-2022 20:00</t>
  </si>
  <si>
    <t>23-06-2022 20:15</t>
  </si>
  <si>
    <t>23-06-2022 20:30</t>
  </si>
  <si>
    <t>23-06-2022 20:45</t>
  </si>
  <si>
    <t>23-06-2022 21:00</t>
  </si>
  <si>
    <t>23-06-2022 21:15</t>
  </si>
  <si>
    <t>23-06-2022 21:30</t>
  </si>
  <si>
    <t>23-06-2022 21:45</t>
  </si>
  <si>
    <t>23-06-2022 22:00</t>
  </si>
  <si>
    <t>23-06-2022 22:15</t>
  </si>
  <si>
    <t>23-06-2022 22:30</t>
  </si>
  <si>
    <t>23-06-2022 22:45</t>
  </si>
  <si>
    <t>23-06-2022 23:00</t>
  </si>
  <si>
    <t>23-06-2022 23:15</t>
  </si>
  <si>
    <t>23-06-2022 23:30</t>
  </si>
  <si>
    <t>23-06-2022 23:45</t>
  </si>
  <si>
    <t>23-06-2022 24:00</t>
  </si>
  <si>
    <t>24-06-2022 00:15</t>
  </si>
  <si>
    <t>24-06-2022 00:30</t>
  </si>
  <si>
    <t>24-06-2022 00:45</t>
  </si>
  <si>
    <t>24-06-2022 01:00</t>
  </si>
  <si>
    <t>24-06-2022 01:15</t>
  </si>
  <si>
    <t>24-06-2022 01:30</t>
  </si>
  <si>
    <t>24-06-2022 01:45</t>
  </si>
  <si>
    <t>24-06-2022 02:00</t>
  </si>
  <si>
    <t>24-06-2022 02:15</t>
  </si>
  <si>
    <t>24-06-2022 02:30</t>
  </si>
  <si>
    <t>24-06-2022 02:45</t>
  </si>
  <si>
    <t>24-06-2022 03:00</t>
  </si>
  <si>
    <t>24-06-2022 03:15</t>
  </si>
  <si>
    <t>24-06-2022 03:30</t>
  </si>
  <si>
    <t>24-06-2022 03:45</t>
  </si>
  <si>
    <t>24-06-2022 04:00</t>
  </si>
  <si>
    <t>24-06-2022 04:15</t>
  </si>
  <si>
    <t>24-06-2022 04:30</t>
  </si>
  <si>
    <t>24-06-2022 04:45</t>
  </si>
  <si>
    <t>24-06-2022 05:00</t>
  </si>
  <si>
    <t>24-06-2022 05:15</t>
  </si>
  <si>
    <t>24-06-2022 05:30</t>
  </si>
  <si>
    <t>24-06-2022 05:45</t>
  </si>
  <si>
    <t>24-06-2022 06:00</t>
  </si>
  <si>
    <t>24-06-2022 06:15</t>
  </si>
  <si>
    <t>24-06-2022 06:30</t>
  </si>
  <si>
    <t>24-06-2022 06:45</t>
  </si>
  <si>
    <t>24-06-2022 07:00</t>
  </si>
  <si>
    <t>24-06-2022 07:15</t>
  </si>
  <si>
    <t>24-06-2022 07:30</t>
  </si>
  <si>
    <t>24-06-2022 07:45</t>
  </si>
  <si>
    <t>24-06-2022 08:00</t>
  </si>
  <si>
    <t>24-06-2022 08:15</t>
  </si>
  <si>
    <t>24-06-2022 08:30</t>
  </si>
  <si>
    <t>24-06-2022 08:45</t>
  </si>
  <si>
    <t>24-06-2022 09:00</t>
  </si>
  <si>
    <t>24-06-2022 09:15</t>
  </si>
  <si>
    <t>24-06-2022 09:30</t>
  </si>
  <si>
    <t>24-06-2022 09:45</t>
  </si>
  <si>
    <t>24-06-2022 10:00</t>
  </si>
  <si>
    <t>24-06-2022 10:15</t>
  </si>
  <si>
    <t>24-06-2022 10:30</t>
  </si>
  <si>
    <t>24-06-2022 10:45</t>
  </si>
  <si>
    <t>24-06-2022 11:00</t>
  </si>
  <si>
    <t>24-06-2022 11:15</t>
  </si>
  <si>
    <t>24-06-2022 11:30</t>
  </si>
  <si>
    <t>24-06-2022 11:45</t>
  </si>
  <si>
    <t>24-06-2022 12:00</t>
  </si>
  <si>
    <t>24-06-2022 12:15</t>
  </si>
  <si>
    <t>24-06-2022 12:30</t>
  </si>
  <si>
    <t>24-06-2022 12:45</t>
  </si>
  <si>
    <t>24-06-2022 13:00</t>
  </si>
  <si>
    <t>24-06-2022 13:15</t>
  </si>
  <si>
    <t>24-06-2022 13:30</t>
  </si>
  <si>
    <t>24-06-2022 13:45</t>
  </si>
  <si>
    <t>24-06-2022 14:00</t>
  </si>
  <si>
    <t>24-06-2022 14:15</t>
  </si>
  <si>
    <t>24-06-2022 14:30</t>
  </si>
  <si>
    <t>24-06-2022 14:45</t>
  </si>
  <si>
    <t>24-06-2022 15:00</t>
  </si>
  <si>
    <t>24-06-2022 15:15</t>
  </si>
  <si>
    <t>24-06-2022 15:30</t>
  </si>
  <si>
    <t>24-06-2022 15:45</t>
  </si>
  <si>
    <t>24-06-2022 16:00</t>
  </si>
  <si>
    <t>24-06-2022 16:15</t>
  </si>
  <si>
    <t>24-06-2022 16:30</t>
  </si>
  <si>
    <t>24-06-2022 16:45</t>
  </si>
  <si>
    <t>24-06-2022 17:00</t>
  </si>
  <si>
    <t>24-06-2022 17:15</t>
  </si>
  <si>
    <t>24-06-2022 17:30</t>
  </si>
  <si>
    <t>24-06-2022 17:45</t>
  </si>
  <si>
    <t>24-06-2022 18:00</t>
  </si>
  <si>
    <t>24-06-2022 18:15</t>
  </si>
  <si>
    <t>24-06-2022 18:30</t>
  </si>
  <si>
    <t>24-06-2022 18:45</t>
  </si>
  <si>
    <t>24-06-2022 19:00</t>
  </si>
  <si>
    <t>24-06-2022 19:15</t>
  </si>
  <si>
    <t>24-06-2022 19:30</t>
  </si>
  <si>
    <t>24-06-2022 19:45</t>
  </si>
  <si>
    <t>24-06-2022 20:00</t>
  </si>
  <si>
    <t>24-06-2022 20:15</t>
  </si>
  <si>
    <t>24-06-2022 20:30</t>
  </si>
  <si>
    <t>24-06-2022 20:45</t>
  </si>
  <si>
    <t>24-06-2022 21:00</t>
  </si>
  <si>
    <t>24-06-2022 21:15</t>
  </si>
  <si>
    <t>24-06-2022 21:30</t>
  </si>
  <si>
    <t>24-06-2022 21:45</t>
  </si>
  <si>
    <t>24-06-2022 22:00</t>
  </si>
  <si>
    <t>24-06-2022 22:15</t>
  </si>
  <si>
    <t>24-06-2022 22:30</t>
  </si>
  <si>
    <t>24-06-2022 22:45</t>
  </si>
  <si>
    <t>24-06-2022 23:00</t>
  </si>
  <si>
    <t>24-06-2022 23:15</t>
  </si>
  <si>
    <t>24-06-2022 23:30</t>
  </si>
  <si>
    <t>24-06-2022 23:45</t>
  </si>
  <si>
    <t>24-06-2022 24:00</t>
  </si>
  <si>
    <t>25-06-2022 00:15</t>
  </si>
  <si>
    <t>25-06-2022 00:30</t>
  </si>
  <si>
    <t>25-06-2022 00:45</t>
  </si>
  <si>
    <t>25-06-2022 01:00</t>
  </si>
  <si>
    <t>25-06-2022 01:15</t>
  </si>
  <si>
    <t>25-06-2022 01:30</t>
  </si>
  <si>
    <t>25-06-2022 01:45</t>
  </si>
  <si>
    <t>25-06-2022 02:00</t>
  </si>
  <si>
    <t>25-06-2022 02:15</t>
  </si>
  <si>
    <t>25-06-2022 02:30</t>
  </si>
  <si>
    <t>25-06-2022 02:45</t>
  </si>
  <si>
    <t>25-06-2022 03:00</t>
  </si>
  <si>
    <t>25-06-2022 03:15</t>
  </si>
  <si>
    <t>25-06-2022 03:30</t>
  </si>
  <si>
    <t>25-06-2022 03:45</t>
  </si>
  <si>
    <t>25-06-2022 04:00</t>
  </si>
  <si>
    <t>25-06-2022 04:15</t>
  </si>
  <si>
    <t>25-06-2022 04:30</t>
  </si>
  <si>
    <t>25-06-2022 04:45</t>
  </si>
  <si>
    <t>25-06-2022 05:00</t>
  </si>
  <si>
    <t>25-06-2022 05:15</t>
  </si>
  <si>
    <t>25-06-2022 05:30</t>
  </si>
  <si>
    <t>25-06-2022 05:45</t>
  </si>
  <si>
    <t>25-06-2022 06:00</t>
  </si>
  <si>
    <t>25-06-2022 06:15</t>
  </si>
  <si>
    <t>25-06-2022 06:30</t>
  </si>
  <si>
    <t>25-06-2022 06:45</t>
  </si>
  <si>
    <t>25-06-2022 07:00</t>
  </si>
  <si>
    <t>25-06-2022 07:15</t>
  </si>
  <si>
    <t>25-06-2022 07:30</t>
  </si>
  <si>
    <t>25-06-2022 07:45</t>
  </si>
  <si>
    <t>25-06-2022 08:00</t>
  </si>
  <si>
    <t>25-06-2022 08:15</t>
  </si>
  <si>
    <t>25-06-2022 08:30</t>
  </si>
  <si>
    <t>25-06-2022 08:45</t>
  </si>
  <si>
    <t>25-06-2022 09:00</t>
  </si>
  <si>
    <t>25-06-2022 09:15</t>
  </si>
  <si>
    <t>25-06-2022 09:30</t>
  </si>
  <si>
    <t>25-06-2022 09:45</t>
  </si>
  <si>
    <t>25-06-2022 10:00</t>
  </si>
  <si>
    <t>25-06-2022 10:15</t>
  </si>
  <si>
    <t>25-06-2022 10:30</t>
  </si>
  <si>
    <t>25-06-2022 10:45</t>
  </si>
  <si>
    <t>25-06-2022 11:00</t>
  </si>
  <si>
    <t>25-06-2022 11:15</t>
  </si>
  <si>
    <t>25-06-2022 11:30</t>
  </si>
  <si>
    <t>25-06-2022 11:45</t>
  </si>
  <si>
    <t>25-06-2022 12:00</t>
  </si>
  <si>
    <t>25-06-2022 12:15</t>
  </si>
  <si>
    <t>25-06-2022 12:30</t>
  </si>
  <si>
    <t>25-06-2022 12:45</t>
  </si>
  <si>
    <t>25-06-2022 13:00</t>
  </si>
  <si>
    <t>25-06-2022 13:15</t>
  </si>
  <si>
    <t>25-06-2022 13:30</t>
  </si>
  <si>
    <t>25-06-2022 13:45</t>
  </si>
  <si>
    <t>25-06-2022 14:00</t>
  </si>
  <si>
    <t>25-06-2022 14:15</t>
  </si>
  <si>
    <t>25-06-2022 14:30</t>
  </si>
  <si>
    <t>25-06-2022 14:45</t>
  </si>
  <si>
    <t>25-06-2022 15:00</t>
  </si>
  <si>
    <t>25-06-2022 15:15</t>
  </si>
  <si>
    <t>25-06-2022 15:30</t>
  </si>
  <si>
    <t>25-06-2022 15:45</t>
  </si>
  <si>
    <t>25-06-2022 16:00</t>
  </si>
  <si>
    <t>25-06-2022 16:15</t>
  </si>
  <si>
    <t>25-06-2022 16:30</t>
  </si>
  <si>
    <t>25-06-2022 16:45</t>
  </si>
  <si>
    <t>25-06-2022 17:00</t>
  </si>
  <si>
    <t>25-06-2022 17:15</t>
  </si>
  <si>
    <t>25-06-2022 17:30</t>
  </si>
  <si>
    <t>25-06-2022 17:45</t>
  </si>
  <si>
    <t>25-06-2022 18:00</t>
  </si>
  <si>
    <t>25-06-2022 18:15</t>
  </si>
  <si>
    <t>25-06-2022 18:30</t>
  </si>
  <si>
    <t>25-06-2022 18:45</t>
  </si>
  <si>
    <t>25-06-2022 19:00</t>
  </si>
  <si>
    <t>25-06-2022 19:15</t>
  </si>
  <si>
    <t>25-06-2022 19:30</t>
  </si>
  <si>
    <t>25-06-2022 19:45</t>
  </si>
  <si>
    <t>25-06-2022 20:00</t>
  </si>
  <si>
    <t>25-06-2022 20:15</t>
  </si>
  <si>
    <t>25-06-2022 20:30</t>
  </si>
  <si>
    <t>25-06-2022 20:45</t>
  </si>
  <si>
    <t>25-06-2022 21:00</t>
  </si>
  <si>
    <t>25-06-2022 21:15</t>
  </si>
  <si>
    <t>25-06-2022 21:30</t>
  </si>
  <si>
    <t>25-06-2022 21:45</t>
  </si>
  <si>
    <t>25-06-2022 22:00</t>
  </si>
  <si>
    <t>25-06-2022 22:15</t>
  </si>
  <si>
    <t>25-06-2022 22:30</t>
  </si>
  <si>
    <t>25-06-2022 22:45</t>
  </si>
  <si>
    <t>25-06-2022 23:00</t>
  </si>
  <si>
    <t>25-06-2022 23:15</t>
  </si>
  <si>
    <t>25-06-2022 23:30</t>
  </si>
  <si>
    <t>25-06-2022 23:45</t>
  </si>
  <si>
    <t>25-06-2022 24:00</t>
  </si>
  <si>
    <t>POWER OFF REPORT OF BHATAGAON, RAIPUR</t>
  </si>
  <si>
    <t>MUX signal Report REPORT OF BHATAGAON, RAIPUR MONTH OF</t>
  </si>
  <si>
    <t>Calibration report Of BHATAGAON, RAIPUR</t>
  </si>
  <si>
    <t>26-06-2022 00:15</t>
  </si>
  <si>
    <t>26-06-2022 00:30</t>
  </si>
  <si>
    <t>26-06-2022 00:45</t>
  </si>
  <si>
    <t>26-06-2022 01:00</t>
  </si>
  <si>
    <t>26-06-2022 01:15</t>
  </si>
  <si>
    <t>26-06-2022 01:30</t>
  </si>
  <si>
    <t>26-06-2022 01:45</t>
  </si>
  <si>
    <t>26-06-2022 02:00</t>
  </si>
  <si>
    <t>26-06-2022 02:15</t>
  </si>
  <si>
    <t>26-06-2022 02:30</t>
  </si>
  <si>
    <t>26-06-2022 02:45</t>
  </si>
  <si>
    <t>26-06-2022 03:00</t>
  </si>
  <si>
    <t>26-06-2022 03:15</t>
  </si>
  <si>
    <t>26-06-2022 03:30</t>
  </si>
  <si>
    <t>26-06-2022 03:45</t>
  </si>
  <si>
    <t>26-06-2022 04:00</t>
  </si>
  <si>
    <t>26-06-2022 04:15</t>
  </si>
  <si>
    <t>26-06-2022 04:30</t>
  </si>
  <si>
    <t>26-06-2022 04:45</t>
  </si>
  <si>
    <t>26-06-2022 05:00</t>
  </si>
  <si>
    <t>26-06-2022 05:15</t>
  </si>
  <si>
    <t>26-06-2022 05:30</t>
  </si>
  <si>
    <t>26-06-2022 05:45</t>
  </si>
  <si>
    <t>26-06-2022 06:00</t>
  </si>
  <si>
    <t>26-06-2022 06:15</t>
  </si>
  <si>
    <t>26-06-2022 06:30</t>
  </si>
  <si>
    <t>26-06-2022 06:45</t>
  </si>
  <si>
    <t>26-06-2022 07:00</t>
  </si>
  <si>
    <t>26-06-2022 07:15</t>
  </si>
  <si>
    <t>26-06-2022 07:30</t>
  </si>
  <si>
    <t>26-06-2022 07:45</t>
  </si>
  <si>
    <t>26-06-2022 08:00</t>
  </si>
  <si>
    <t>26-06-2022 08:15</t>
  </si>
  <si>
    <t>26-06-2022 08:30</t>
  </si>
  <si>
    <t>26-06-2022 08:45</t>
  </si>
  <si>
    <t>26-06-2022 09:00</t>
  </si>
  <si>
    <t>26-06-2022 09:15</t>
  </si>
  <si>
    <t>26-06-2022 09:30</t>
  </si>
  <si>
    <t>26-06-2022 09:45</t>
  </si>
  <si>
    <t>26-06-2022 10:00</t>
  </si>
  <si>
    <t>26-06-2022 10:15</t>
  </si>
  <si>
    <t>26-06-2022 10:30</t>
  </si>
  <si>
    <t>26-06-2022 10:45</t>
  </si>
  <si>
    <t>26-06-2022 11:00</t>
  </si>
  <si>
    <t>26-06-2022 11:15</t>
  </si>
  <si>
    <t>26-06-2022 11:30</t>
  </si>
  <si>
    <t>26-06-2022 11:45</t>
  </si>
  <si>
    <t>26-06-2022 12:00</t>
  </si>
  <si>
    <t>26-06-2022 12:15</t>
  </si>
  <si>
    <t>26-06-2022 12:30</t>
  </si>
  <si>
    <t>26-06-2022 12:45</t>
  </si>
  <si>
    <t>26-06-2022 13:00</t>
  </si>
  <si>
    <t>26-06-2022 13:15</t>
  </si>
  <si>
    <t>26-06-2022 13:30</t>
  </si>
  <si>
    <t>26-06-2022 13:45</t>
  </si>
  <si>
    <t>26-06-2022 14:00</t>
  </si>
  <si>
    <t>26-06-2022 14:15</t>
  </si>
  <si>
    <t>26-06-2022 14:30</t>
  </si>
  <si>
    <t>26-06-2022 14:45</t>
  </si>
  <si>
    <t>26-06-2022 15:00</t>
  </si>
  <si>
    <t>26-06-2022 15:15</t>
  </si>
  <si>
    <t>26-06-2022 15:30</t>
  </si>
  <si>
    <t>26-06-2022 15:45</t>
  </si>
  <si>
    <t>26-06-2022 16:00</t>
  </si>
  <si>
    <t>26-06-2022 16:15</t>
  </si>
  <si>
    <t>26-06-2022 16:30</t>
  </si>
  <si>
    <t>26-06-2022 16:45</t>
  </si>
  <si>
    <t>26-06-2022 17:00</t>
  </si>
  <si>
    <t>26-06-2022 17:15</t>
  </si>
  <si>
    <t>26-06-2022 17:30</t>
  </si>
  <si>
    <t>26-06-2022 17:45</t>
  </si>
  <si>
    <t>26-06-2022 18:00</t>
  </si>
  <si>
    <t>26-06-2022 18:15</t>
  </si>
  <si>
    <t>26-06-2022 18:30</t>
  </si>
  <si>
    <t>26-06-2022 18:45</t>
  </si>
  <si>
    <t>26-06-2022 19:00</t>
  </si>
  <si>
    <t>26-06-2022 19:15</t>
  </si>
  <si>
    <t>26-06-2022 19:30</t>
  </si>
  <si>
    <t>26-06-2022 19:45</t>
  </si>
  <si>
    <t>26-06-2022 20:00</t>
  </si>
  <si>
    <t>26-06-2022 20:15</t>
  </si>
  <si>
    <t>26-06-2022 20:30</t>
  </si>
  <si>
    <t>26-06-2022 20:45</t>
  </si>
  <si>
    <t>26-06-2022 21:00</t>
  </si>
  <si>
    <t>26-06-2022 21:15</t>
  </si>
  <si>
    <t>26-06-2022 21:30</t>
  </si>
  <si>
    <t>26-06-2022 21:45</t>
  </si>
  <si>
    <t>26-06-2022 22:00</t>
  </si>
  <si>
    <t>26-06-2022 22:15</t>
  </si>
  <si>
    <t>26-06-2022 22:30</t>
  </si>
  <si>
    <t>26-06-2022 22:45</t>
  </si>
  <si>
    <t>26-06-2022 23:00</t>
  </si>
  <si>
    <t>26-06-2022 23:15</t>
  </si>
  <si>
    <t>26-06-2022 23:30</t>
  </si>
  <si>
    <t>26-06-2022 23:45</t>
  </si>
  <si>
    <t>26-06-2022 24:00</t>
  </si>
  <si>
    <t>27-06-2022 00:15</t>
  </si>
  <si>
    <t>27-06-2022 00:30</t>
  </si>
  <si>
    <t>27-06-2022 00:45</t>
  </si>
  <si>
    <t>27-06-2022 01:00</t>
  </si>
  <si>
    <t>27-06-2022 01:15</t>
  </si>
  <si>
    <t>27-06-2022 01:30</t>
  </si>
  <si>
    <t>27-06-2022 01:45</t>
  </si>
  <si>
    <t>27-06-2022 02:00</t>
  </si>
  <si>
    <t>27-06-2022 02:15</t>
  </si>
  <si>
    <t>27-06-2022 02:30</t>
  </si>
  <si>
    <t>27-06-2022 02:45</t>
  </si>
  <si>
    <t>27-06-2022 03:00</t>
  </si>
  <si>
    <t>27-06-2022 03:15</t>
  </si>
  <si>
    <t>27-06-2022 03:30</t>
  </si>
  <si>
    <t>27-06-2022 03:45</t>
  </si>
  <si>
    <t>27-06-2022 04:00</t>
  </si>
  <si>
    <t>27-06-2022 04:15</t>
  </si>
  <si>
    <t>27-06-2022 04:30</t>
  </si>
  <si>
    <t>27-06-2022 04:45</t>
  </si>
  <si>
    <t>27-06-2022 05:00</t>
  </si>
  <si>
    <t>27-06-2022 05:15</t>
  </si>
  <si>
    <t>27-06-2022 05:30</t>
  </si>
  <si>
    <t>27-06-2022 05:45</t>
  </si>
  <si>
    <t>27-06-2022 06:00</t>
  </si>
  <si>
    <t>27-06-2022 06:15</t>
  </si>
  <si>
    <t>27-06-2022 06:30</t>
  </si>
  <si>
    <t>27-06-2022 06:45</t>
  </si>
  <si>
    <t>27-06-2022 07:00</t>
  </si>
  <si>
    <t>27-06-2022 07:15</t>
  </si>
  <si>
    <t>27-06-2022 07:30</t>
  </si>
  <si>
    <t>27-06-2022 07:45</t>
  </si>
  <si>
    <t>27-06-2022 08:00</t>
  </si>
  <si>
    <t>27-06-2022 08:15</t>
  </si>
  <si>
    <t>27-06-2022 08:30</t>
  </si>
  <si>
    <t>27-06-2022 08:45</t>
  </si>
  <si>
    <t>27-06-2022 09:00</t>
  </si>
  <si>
    <t>27-06-2022 09:15</t>
  </si>
  <si>
    <t>27-06-2022 09:30</t>
  </si>
  <si>
    <t>27-06-2022 09:45</t>
  </si>
  <si>
    <t>27-06-2022 10:00</t>
  </si>
  <si>
    <t>27-06-2022 10:15</t>
  </si>
  <si>
    <t>27-06-2022 10:30</t>
  </si>
  <si>
    <t>27-06-2022 10:45</t>
  </si>
  <si>
    <t>27-06-2022 11:00</t>
  </si>
  <si>
    <t>27-06-2022 11:15</t>
  </si>
  <si>
    <t>27-06-2022 11:30</t>
  </si>
  <si>
    <t>27-06-2022 11:45</t>
  </si>
  <si>
    <t>27-06-2022 12:00</t>
  </si>
  <si>
    <t>27-06-2022 12:15</t>
  </si>
  <si>
    <t>27-06-2022 12:30</t>
  </si>
  <si>
    <t>27-06-2022 12:45</t>
  </si>
  <si>
    <t>27-06-2022 13:00</t>
  </si>
  <si>
    <t>27-06-2022 13:15</t>
  </si>
  <si>
    <t>27-06-2022 13:30</t>
  </si>
  <si>
    <t>27-06-2022 13:45</t>
  </si>
  <si>
    <t>27-06-2022 14:00</t>
  </si>
  <si>
    <t>27-06-2022 14:15</t>
  </si>
  <si>
    <t>27-06-2022 14:30</t>
  </si>
  <si>
    <t>27-06-2022 14:45</t>
  </si>
  <si>
    <t>27-06-2022 15:00</t>
  </si>
  <si>
    <t>27-06-2022 15:15</t>
  </si>
  <si>
    <t>27-06-2022 15:30</t>
  </si>
  <si>
    <t>27-06-2022 15:45</t>
  </si>
  <si>
    <t>27-06-2022 16:00</t>
  </si>
  <si>
    <t>27-06-2022 16:15</t>
  </si>
  <si>
    <t>27-06-2022 16:30</t>
  </si>
  <si>
    <t>27-06-2022 16:45</t>
  </si>
  <si>
    <t>27-06-2022 17:00</t>
  </si>
  <si>
    <t>27-06-2022 17:15</t>
  </si>
  <si>
    <t>27-06-2022 17:30</t>
  </si>
  <si>
    <t>27-06-2022 17:45</t>
  </si>
  <si>
    <t>27-06-2022 18:00</t>
  </si>
  <si>
    <t>27-06-2022 18:15</t>
  </si>
  <si>
    <t>27-06-2022 18:30</t>
  </si>
  <si>
    <t>27-06-2022 18:45</t>
  </si>
  <si>
    <t>27-06-2022 19:00</t>
  </si>
  <si>
    <t>27-06-2022 19:15</t>
  </si>
  <si>
    <t>27-06-2022 19:30</t>
  </si>
  <si>
    <t>27-06-2022 19:45</t>
  </si>
  <si>
    <t>27-06-2022 20:00</t>
  </si>
  <si>
    <t>27-06-2022 20:15</t>
  </si>
  <si>
    <t>27-06-2022 20:30</t>
  </si>
  <si>
    <t>27-06-2022 20:45</t>
  </si>
  <si>
    <t>27-06-2022 21:00</t>
  </si>
  <si>
    <t>27-06-2022 21:15</t>
  </si>
  <si>
    <t>27-06-2022 21:30</t>
  </si>
  <si>
    <t>27-06-2022 21:45</t>
  </si>
  <si>
    <t>27-06-2022 22:00</t>
  </si>
  <si>
    <t>27-06-2022 22:15</t>
  </si>
  <si>
    <t>27-06-2022 22:30</t>
  </si>
  <si>
    <t>27-06-2022 22:45</t>
  </si>
  <si>
    <t>27-06-2022 23:00</t>
  </si>
  <si>
    <t>27-06-2022 23:15</t>
  </si>
  <si>
    <t>27-06-2022 23:30</t>
  </si>
  <si>
    <t>27-06-2022 23:45</t>
  </si>
  <si>
    <t>27-06-2022 24:00</t>
  </si>
  <si>
    <t>28-06-2022 00:15</t>
  </si>
  <si>
    <t>28-06-2022 00:30</t>
  </si>
  <si>
    <t>28-06-2022 00:45</t>
  </si>
  <si>
    <t>28-06-2022 01:00</t>
  </si>
  <si>
    <t>28-06-2022 01:15</t>
  </si>
  <si>
    <t>28-06-2022 01:30</t>
  </si>
  <si>
    <t>28-06-2022 01:45</t>
  </si>
  <si>
    <t>28-06-2022 02:00</t>
  </si>
  <si>
    <t>28-06-2022 02:15</t>
  </si>
  <si>
    <t>28-06-2022 02:30</t>
  </si>
  <si>
    <t>28-06-2022 02:45</t>
  </si>
  <si>
    <t>28-06-2022 03:00</t>
  </si>
  <si>
    <t>28-06-2022 03:15</t>
  </si>
  <si>
    <t>28-06-2022 03:30</t>
  </si>
  <si>
    <t>28-06-2022 03:45</t>
  </si>
  <si>
    <t>28-06-2022 04:00</t>
  </si>
  <si>
    <t>28-06-2022 04:15</t>
  </si>
  <si>
    <t>28-06-2022 04:30</t>
  </si>
  <si>
    <t>28-06-2022 04:45</t>
  </si>
  <si>
    <t>28-06-2022 05:00</t>
  </si>
  <si>
    <t>28-06-2022 05:15</t>
  </si>
  <si>
    <t>28-06-2022 05:30</t>
  </si>
  <si>
    <t>28-06-2022 05:45</t>
  </si>
  <si>
    <t>28-06-2022 06:00</t>
  </si>
  <si>
    <t>28-06-2022 06:15</t>
  </si>
  <si>
    <t>28-06-2022 06:30</t>
  </si>
  <si>
    <t>28-06-2022 06:45</t>
  </si>
  <si>
    <t>28-06-2022 07:00</t>
  </si>
  <si>
    <t>28-06-2022 07:15</t>
  </si>
  <si>
    <t>28-06-2022 07:30</t>
  </si>
  <si>
    <t>28-06-2022 07:45</t>
  </si>
  <si>
    <t>28-06-2022 08:00</t>
  </si>
  <si>
    <t>28-06-2022 08:15</t>
  </si>
  <si>
    <t>28-06-2022 08:30</t>
  </si>
  <si>
    <t>28-06-2022 08:45</t>
  </si>
  <si>
    <t>28-06-2022 09:00</t>
  </si>
  <si>
    <t>28-06-2022 09:15</t>
  </si>
  <si>
    <t>28-06-2022 09:30</t>
  </si>
  <si>
    <t>28-06-2022 09:45</t>
  </si>
  <si>
    <t>28-06-2022 10:00</t>
  </si>
  <si>
    <t>28-06-2022 10:15</t>
  </si>
  <si>
    <t>28-06-2022 10:30</t>
  </si>
  <si>
    <t>28-06-2022 10:45</t>
  </si>
  <si>
    <t>28-06-2022 11:00</t>
  </si>
  <si>
    <t>28-06-2022 11:15</t>
  </si>
  <si>
    <t>28-06-2022 11:30</t>
  </si>
  <si>
    <t>28-06-2022 11:45</t>
  </si>
  <si>
    <t>28-06-2022 12:00</t>
  </si>
  <si>
    <t>28-06-2022 12:15</t>
  </si>
  <si>
    <t>28-06-2022 12:30</t>
  </si>
  <si>
    <t>28-06-2022 12:45</t>
  </si>
  <si>
    <t>28-06-2022 13:00</t>
  </si>
  <si>
    <t>28-06-2022 13:15</t>
  </si>
  <si>
    <t>28-06-2022 13:30</t>
  </si>
  <si>
    <t>28-06-2022 13:45</t>
  </si>
  <si>
    <t>28-06-2022 14:00</t>
  </si>
  <si>
    <t>28-06-2022 14:15</t>
  </si>
  <si>
    <t>28-06-2022 14:30</t>
  </si>
  <si>
    <t>28-06-2022 14:45</t>
  </si>
  <si>
    <t>28-06-2022 15:00</t>
  </si>
  <si>
    <t>28-06-2022 15:15</t>
  </si>
  <si>
    <t>28-06-2022 15:30</t>
  </si>
  <si>
    <t>28-06-2022 15:45</t>
  </si>
  <si>
    <t>28-06-2022 16:00</t>
  </si>
  <si>
    <t>28-06-2022 16:15</t>
  </si>
  <si>
    <t>28-06-2022 16:30</t>
  </si>
  <si>
    <t>28-06-2022 16:45</t>
  </si>
  <si>
    <t>28-06-2022 17:00</t>
  </si>
  <si>
    <t>28-06-2022 17:15</t>
  </si>
  <si>
    <t>28-06-2022 17:30</t>
  </si>
  <si>
    <t>28-06-2022 17:45</t>
  </si>
  <si>
    <t>28-06-2022 18:00</t>
  </si>
  <si>
    <t>28-06-2022 18:15</t>
  </si>
  <si>
    <t>28-06-2022 18:30</t>
  </si>
  <si>
    <t>28-06-2022 18:45</t>
  </si>
  <si>
    <t>28-06-2022 19:00</t>
  </si>
  <si>
    <t>28-06-2022 19:15</t>
  </si>
  <si>
    <t>28-06-2022 19:30</t>
  </si>
  <si>
    <t>28-06-2022 19:45</t>
  </si>
  <si>
    <t>28-06-2022 20:00</t>
  </si>
  <si>
    <t>28-06-2022 20:15</t>
  </si>
  <si>
    <t>28-06-2022 20:30</t>
  </si>
  <si>
    <t>28-06-2022 20:45</t>
  </si>
  <si>
    <t>28-06-2022 21:00</t>
  </si>
  <si>
    <t>28-06-2022 21:15</t>
  </si>
  <si>
    <t>28-06-2022 21:30</t>
  </si>
  <si>
    <t>28-06-2022 21:45</t>
  </si>
  <si>
    <t>28-06-2022 22:00</t>
  </si>
  <si>
    <t>28-06-2022 22:15</t>
  </si>
  <si>
    <t>28-06-2022 22:30</t>
  </si>
  <si>
    <t>28-06-2022 22:45</t>
  </si>
  <si>
    <t>28-06-2022 23:00</t>
  </si>
  <si>
    <t>28-06-2022 23:15</t>
  </si>
  <si>
    <t>28-06-2022 23:30</t>
  </si>
  <si>
    <t>28-06-2022 23:45</t>
  </si>
  <si>
    <t>28-06-2022 24:00</t>
  </si>
  <si>
    <t>29-06-2022 00:15</t>
  </si>
  <si>
    <t>29-06-2022 00:30</t>
  </si>
  <si>
    <t>29-06-2022 00:45</t>
  </si>
  <si>
    <t>29-06-2022 01:00</t>
  </si>
  <si>
    <t>29-06-2022 01:15</t>
  </si>
  <si>
    <t>29-06-2022 01:30</t>
  </si>
  <si>
    <t>29-06-2022 01:45</t>
  </si>
  <si>
    <t>29-06-2022 02:00</t>
  </si>
  <si>
    <t>29-06-2022 02:15</t>
  </si>
  <si>
    <t>29-06-2022 02:30</t>
  </si>
  <si>
    <t>29-06-2022 02:45</t>
  </si>
  <si>
    <t>29-06-2022 03:00</t>
  </si>
  <si>
    <t>29-06-2022 03:15</t>
  </si>
  <si>
    <t>29-06-2022 03:30</t>
  </si>
  <si>
    <t>29-06-2022 03:45</t>
  </si>
  <si>
    <t>29-06-2022 04:00</t>
  </si>
  <si>
    <t>29-06-2022 04:15</t>
  </si>
  <si>
    <t>29-06-2022 04:30</t>
  </si>
  <si>
    <t>29-06-2022 04:45</t>
  </si>
  <si>
    <t>29-06-2022 05:00</t>
  </si>
  <si>
    <t>29-06-2022 05:15</t>
  </si>
  <si>
    <t>29-06-2022 05:30</t>
  </si>
  <si>
    <t>29-06-2022 05:45</t>
  </si>
  <si>
    <t>29-06-2022 06:00</t>
  </si>
  <si>
    <t>29-06-2022 06:15</t>
  </si>
  <si>
    <t>29-06-2022 06:30</t>
  </si>
  <si>
    <t>29-06-2022 06:45</t>
  </si>
  <si>
    <t>29-06-2022 07:00</t>
  </si>
  <si>
    <t>29-06-2022 07:15</t>
  </si>
  <si>
    <t>29-06-2022 07:30</t>
  </si>
  <si>
    <t>29-06-2022 07:45</t>
  </si>
  <si>
    <t>29-06-2022 08:00</t>
  </si>
  <si>
    <t>29-06-2022 08:15</t>
  </si>
  <si>
    <t>29-06-2022 08:30</t>
  </si>
  <si>
    <t>29-06-2022 08:45</t>
  </si>
  <si>
    <t>29-06-2022 09:00</t>
  </si>
  <si>
    <t>29-06-2022 09:15</t>
  </si>
  <si>
    <t>29-06-2022 09:30</t>
  </si>
  <si>
    <t>29-06-2022 09:45</t>
  </si>
  <si>
    <t>29-06-2022 10:00</t>
  </si>
  <si>
    <t>29-06-2022 10:15</t>
  </si>
  <si>
    <t>29-06-2022 10:30</t>
  </si>
  <si>
    <t>29-06-2022 10:45</t>
  </si>
  <si>
    <t>29-06-2022 11:00</t>
  </si>
  <si>
    <t>29-06-2022 11:15</t>
  </si>
  <si>
    <t>29-06-2022 11:30</t>
  </si>
  <si>
    <t>29-06-2022 11:45</t>
  </si>
  <si>
    <t>29-06-2022 12:00</t>
  </si>
  <si>
    <t>29-06-2022 12:15</t>
  </si>
  <si>
    <t>29-06-2022 12:30</t>
  </si>
  <si>
    <t>29-06-2022 12:45</t>
  </si>
  <si>
    <t>29-06-2022 13:00</t>
  </si>
  <si>
    <t>29-06-2022 13:15</t>
  </si>
  <si>
    <t>29-06-2022 13:30</t>
  </si>
  <si>
    <t>29-06-2022 13:45</t>
  </si>
  <si>
    <t>29-06-2022 14:00</t>
  </si>
  <si>
    <t>29-06-2022 14:15</t>
  </si>
  <si>
    <t>29-06-2022 14:30</t>
  </si>
  <si>
    <t>29-06-2022 14:45</t>
  </si>
  <si>
    <t>29-06-2022 15:00</t>
  </si>
  <si>
    <t>29-06-2022 15:15</t>
  </si>
  <si>
    <t>29-06-2022 15:30</t>
  </si>
  <si>
    <t>29-06-2022 15:45</t>
  </si>
  <si>
    <t>29-06-2022 16:00</t>
  </si>
  <si>
    <t>29-06-2022 16:15</t>
  </si>
  <si>
    <t>29-06-2022 16:30</t>
  </si>
  <si>
    <t>29-06-2022 16:45</t>
  </si>
  <si>
    <t>29-06-2022 17:00</t>
  </si>
  <si>
    <t>29-06-2022 17:15</t>
  </si>
  <si>
    <t>29-06-2022 17:30</t>
  </si>
  <si>
    <t>29-06-2022 17:45</t>
  </si>
  <si>
    <t>29-06-2022 18:00</t>
  </si>
  <si>
    <t>29-06-2022 18:15</t>
  </si>
  <si>
    <t>29-06-2022 18:30</t>
  </si>
  <si>
    <t>29-06-2022 18:45</t>
  </si>
  <si>
    <t>29-06-2022 19:00</t>
  </si>
  <si>
    <t>29-06-2022 19:15</t>
  </si>
  <si>
    <t>29-06-2022 19:30</t>
  </si>
  <si>
    <t>29-06-2022 19:45</t>
  </si>
  <si>
    <t>29-06-2022 20:00</t>
  </si>
  <si>
    <t>29-06-2022 20:15</t>
  </si>
  <si>
    <t>29-06-2022 20:30</t>
  </si>
  <si>
    <t>29-06-2022 20:45</t>
  </si>
  <si>
    <t>29-06-2022 21:00</t>
  </si>
  <si>
    <t>29-06-2022 21:15</t>
  </si>
  <si>
    <t>29-06-2022 21:30</t>
  </si>
  <si>
    <t>29-06-2022 21:45</t>
  </si>
  <si>
    <t>29-06-2022 22:00</t>
  </si>
  <si>
    <t>29-06-2022 22:15</t>
  </si>
  <si>
    <t>29-06-2022 22:30</t>
  </si>
  <si>
    <t>29-06-2022 22:45</t>
  </si>
  <si>
    <t>29-06-2022 23:00</t>
  </si>
  <si>
    <t>29-06-2022 23:15</t>
  </si>
  <si>
    <t>29-06-2022 23:30</t>
  </si>
  <si>
    <t>29-06-2022 23:45</t>
  </si>
  <si>
    <t>29-06-2022 24:00</t>
  </si>
  <si>
    <t>30-06-2022 00:15</t>
  </si>
  <si>
    <t>30-06-2022 00:30</t>
  </si>
  <si>
    <t>30-06-2022 00:45</t>
  </si>
  <si>
    <t>30-06-2022 01:00</t>
  </si>
  <si>
    <t>30-06-2022 01:15</t>
  </si>
  <si>
    <t>30-06-2022 01:30</t>
  </si>
  <si>
    <t>30-06-2022 01:45</t>
  </si>
  <si>
    <t>30-06-2022 02:00</t>
  </si>
  <si>
    <t>30-06-2022 02:15</t>
  </si>
  <si>
    <t>30-06-2022 02:30</t>
  </si>
  <si>
    <t>30-06-2022 02:45</t>
  </si>
  <si>
    <t>30-06-2022 03:00</t>
  </si>
  <si>
    <t>30-06-2022 03:15</t>
  </si>
  <si>
    <t>30-06-2022 03:30</t>
  </si>
  <si>
    <t>30-06-2022 03:45</t>
  </si>
  <si>
    <t>30-06-2022 04:00</t>
  </si>
  <si>
    <t>30-06-2022 04:15</t>
  </si>
  <si>
    <t>30-06-2022 04:30</t>
  </si>
  <si>
    <t>30-06-2022 04:45</t>
  </si>
  <si>
    <t>30-06-2022 05:00</t>
  </si>
  <si>
    <t>30-06-2022 05:15</t>
  </si>
  <si>
    <t>30-06-2022 05:30</t>
  </si>
  <si>
    <t>30-06-2022 05:45</t>
  </si>
  <si>
    <t>30-06-2022 06:00</t>
  </si>
  <si>
    <t>30-06-2022 06:15</t>
  </si>
  <si>
    <t>30-06-2022 06:30</t>
  </si>
  <si>
    <t>30-06-2022 06:45</t>
  </si>
  <si>
    <t>30-06-2022 07:00</t>
  </si>
  <si>
    <t>30-06-2022 07:15</t>
  </si>
  <si>
    <t>30-06-2022 07:30</t>
  </si>
  <si>
    <t>30-06-2022 07:45</t>
  </si>
  <si>
    <t>30-06-2022 08:00</t>
  </si>
  <si>
    <t>30-06-2022 08:15</t>
  </si>
  <si>
    <t>30-06-2022 08:30</t>
  </si>
  <si>
    <t>30-06-2022 08:45</t>
  </si>
  <si>
    <t>30-06-2022 09:00</t>
  </si>
  <si>
    <t>30-06-2022 09:15</t>
  </si>
  <si>
    <t>30-06-2022 09:30</t>
  </si>
  <si>
    <t>30-06-2022 09:45</t>
  </si>
  <si>
    <t>30-06-2022 10:00</t>
  </si>
  <si>
    <t>30-06-2022 10:15</t>
  </si>
  <si>
    <t>30-06-2022 10:30</t>
  </si>
  <si>
    <t>30-06-2022 10:45</t>
  </si>
  <si>
    <t>30-06-2022 11:00</t>
  </si>
  <si>
    <t>30-06-2022 11:15</t>
  </si>
  <si>
    <t>30-06-2022 11:30</t>
  </si>
  <si>
    <t>30-06-2022 11:45</t>
  </si>
  <si>
    <t>30-06-2022 12:00</t>
  </si>
  <si>
    <t>30-06-2022 12:15</t>
  </si>
  <si>
    <t>30-06-2022 12:30</t>
  </si>
  <si>
    <t>30-06-2022 12:45</t>
  </si>
  <si>
    <t>30-06-2022 13:00</t>
  </si>
  <si>
    <t>30-06-2022 13:15</t>
  </si>
  <si>
    <t>30-06-2022 13:30</t>
  </si>
  <si>
    <t>30-06-2022 13:45</t>
  </si>
  <si>
    <t>30-06-2022 14:00</t>
  </si>
  <si>
    <t>30-06-2022 14:15</t>
  </si>
  <si>
    <t>30-06-2022 14:30</t>
  </si>
  <si>
    <t>30-06-2022 14:45</t>
  </si>
  <si>
    <t>30-06-2022 15:00</t>
  </si>
  <si>
    <t>30-06-2022 15:15</t>
  </si>
  <si>
    <t>30-06-2022 15:30</t>
  </si>
  <si>
    <t>30-06-2022 15:45</t>
  </si>
  <si>
    <t>30-06-2022 16:00</t>
  </si>
  <si>
    <t>30-06-2022 16:15</t>
  </si>
  <si>
    <t>30-06-2022 16:30</t>
  </si>
  <si>
    <t>30-06-2022 16:45</t>
  </si>
  <si>
    <t>30-06-2022 17:00</t>
  </si>
  <si>
    <t>30-06-2022 17:15</t>
  </si>
  <si>
    <t>30-06-2022 17:30</t>
  </si>
  <si>
    <t>30-06-2022 17:45</t>
  </si>
  <si>
    <t>30-06-2022 18:00</t>
  </si>
  <si>
    <t>30-06-2022 18:15</t>
  </si>
  <si>
    <t>30-06-2022 18:30</t>
  </si>
  <si>
    <t>30-06-2022 18:45</t>
  </si>
  <si>
    <t>30-06-2022 19:00</t>
  </si>
  <si>
    <t>30-06-2022 19:15</t>
  </si>
  <si>
    <t>30-06-2022 19:30</t>
  </si>
  <si>
    <t>30-06-2022 19:45</t>
  </si>
  <si>
    <t>30-06-2022 20:00</t>
  </si>
  <si>
    <t>30-06-2022 20:15</t>
  </si>
  <si>
    <t>30-06-2022 20:30</t>
  </si>
  <si>
    <t>30-06-2022 20:45</t>
  </si>
  <si>
    <t>30-06-2022 21:00</t>
  </si>
  <si>
    <t>30-06-2022 21:15</t>
  </si>
  <si>
    <t>30-06-2022 21:30</t>
  </si>
  <si>
    <t>30-06-2022 21:45</t>
  </si>
  <si>
    <t>30-06-2022 22:00</t>
  </si>
  <si>
    <t>30-06-2022 22:15</t>
  </si>
  <si>
    <t>30-06-2022 22:30</t>
  </si>
  <si>
    <t>30-06-2022 22:45</t>
  </si>
  <si>
    <t>30-06-2022 23:00</t>
  </si>
  <si>
    <t>30-06-2022 23:15</t>
  </si>
  <si>
    <t>30-06-2022 23:30</t>
  </si>
  <si>
    <t>30-06-2022 23:45</t>
  </si>
  <si>
    <t>30-06-2022 24:00</t>
  </si>
  <si>
    <t>RAHUL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</si>
</sst>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mmmm\-yyyy"/>
    <numFmt numFmtId="166" formatCode="0.000"/>
  </numFmts>
  <fonts count="4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b/>
      <sz val="10"/>
      <color theme="2" tint="-0.899980008602142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80008602142"/>
      <name val="Arial"/>
      <family val="2"/>
    </font>
    <font>
      <b/>
      <sz val="11"/>
      <color rgb="FFFF0000"/>
      <name val="Arial"/>
      <family val="2"/>
    </font>
    <font>
      <sz val="11"/>
      <color theme="3" tint="0.39998000860214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80008602142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8000860214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3" tint="-0.249970003962517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3" tint="0.3999800086021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medium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1">
    <xf numFmtId="0" fontId="0" fillId="0" borderId="0" xfId="0"/>
    <xf numFmtId="22" fontId="0" fillId="0" borderId="0" xfId="0" applyNumberForma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2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6" fontId="7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3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3" fillId="0" borderId="5" xfId="0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14" fontId="3" fillId="0" borderId="0" xfId="0" applyNumberFormat="1" applyFont="1" applyFill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3" fillId="0" borderId="0" xfId="0" applyFont="1" applyAlignment="1">
      <alignment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0" fontId="3" fillId="0" borderId="0" xfId="0" applyFont="1" applyAlignment="1">
      <alignment vertical="center"/>
    </xf>
    <xf numFmtId="0" fontId="15" fillId="3" borderId="0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7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40" fillId="12" borderId="38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39" fillId="12" borderId="38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41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7" fillId="12" borderId="42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2" Type="http://schemas.openxmlformats.org/officeDocument/2006/relationships/worksheet" Target="worksheets/sheet20.xml" /><Relationship Id="rId29" Type="http://schemas.openxmlformats.org/officeDocument/2006/relationships/worksheet" Target="worksheets/sheet27.xml" /><Relationship Id="rId4" Type="http://schemas.openxmlformats.org/officeDocument/2006/relationships/worksheet" Target="worksheets/sheet2.xml" /><Relationship Id="rId17" Type="http://schemas.openxmlformats.org/officeDocument/2006/relationships/worksheet" Target="worksheets/sheet15.xml" /><Relationship Id="rId37" Type="http://schemas.openxmlformats.org/officeDocument/2006/relationships/sharedStrings" Target="sharedStrings.xml" /><Relationship Id="rId26" Type="http://schemas.openxmlformats.org/officeDocument/2006/relationships/worksheet" Target="worksheets/sheet24.xml" /><Relationship Id="rId15" Type="http://schemas.openxmlformats.org/officeDocument/2006/relationships/worksheet" Target="worksheets/sheet13.xml" /><Relationship Id="rId19" Type="http://schemas.openxmlformats.org/officeDocument/2006/relationships/worksheet" Target="worksheets/sheet17.xml" /><Relationship Id="rId23" Type="http://schemas.openxmlformats.org/officeDocument/2006/relationships/worksheet" Target="worksheets/sheet21.xml" /><Relationship Id="rId32" Type="http://schemas.openxmlformats.org/officeDocument/2006/relationships/worksheet" Target="worksheets/sheet30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21" Type="http://schemas.openxmlformats.org/officeDocument/2006/relationships/worksheet" Target="worksheets/sheet19.xml" /><Relationship Id="rId30" Type="http://schemas.openxmlformats.org/officeDocument/2006/relationships/worksheet" Target="worksheets/sheet28.xml" /><Relationship Id="rId6" Type="http://schemas.openxmlformats.org/officeDocument/2006/relationships/worksheet" Target="worksheets/sheet4.xml" /><Relationship Id="rId27" Type="http://schemas.openxmlformats.org/officeDocument/2006/relationships/worksheet" Target="worksheets/sheet25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9" Type="http://schemas.openxmlformats.org/officeDocument/2006/relationships/worksheet" Target="worksheets/sheet7.xml" /><Relationship Id="rId13" Type="http://schemas.openxmlformats.org/officeDocument/2006/relationships/worksheet" Target="worksheets/sheet11.xml" /><Relationship Id="rId25" Type="http://schemas.openxmlformats.org/officeDocument/2006/relationships/worksheet" Target="worksheets/sheet23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16" Type="http://schemas.openxmlformats.org/officeDocument/2006/relationships/worksheet" Target="worksheets/sheet14.xml" /><Relationship Id="rId36" Type="http://schemas.openxmlformats.org/officeDocument/2006/relationships/worksheet" Target="worksheets/sheet34.xml" /><Relationship Id="rId7" Type="http://schemas.openxmlformats.org/officeDocument/2006/relationships/worksheet" Target="worksheets/sheet5.xml" /><Relationship Id="rId38" Type="http://schemas.openxmlformats.org/officeDocument/2006/relationships/calcChain" Target="calcChain.xml" /><Relationship Id="rId12" Type="http://schemas.openxmlformats.org/officeDocument/2006/relationships/worksheet" Target="worksheets/sheet10.xml" /><Relationship Id="rId31" Type="http://schemas.openxmlformats.org/officeDocument/2006/relationships/worksheet" Target="worksheets/sheet29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8" Type="http://schemas.openxmlformats.org/officeDocument/2006/relationships/worksheet" Target="worksheets/sheet26.xml" /><Relationship Id="rId10" Type="http://schemas.openxmlformats.org/officeDocument/2006/relationships/worksheet" Target="worksheets/sheet8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999c79-064a-4f75-87c8-4e64ffe65d40}">
  <sheetPr codeName=""/>
  <dimension ref="A1:AG117"/>
  <sheetViews>
    <sheetView workbookViewId="0" topLeftCell="A1">
      <pane xSplit="1" ySplit="8" topLeftCell="B93" activePane="bottomRight" state="frozen"/>
      <selection pane="topLeft" activeCell="A9" sqref="A9:U104"/>
      <selection pane="topRight" activeCell="A9" sqref="A9:U104"/>
      <selection pane="bottomLeft" activeCell="A9" sqref="A9:U104"/>
      <selection pane="bottomRight" activeCell="K7" sqref="K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6.4285714285714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7.1428571428571" style="54" customWidth="1"/>
    <col min="15" max="15" width="9.85714285714286" style="54" customWidth="1"/>
    <col min="16" max="16" width="14.7142857142857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01-06-2022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340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244</v>
      </c>
      <c r="B9" s="60">
        <v>29.72</v>
      </c>
      <c r="C9" s="60">
        <v>30.78</v>
      </c>
      <c r="D9" s="60">
        <v>60.5</v>
      </c>
      <c r="E9" s="60">
        <v>7.38</v>
      </c>
      <c r="F9" s="60">
        <v>7.57</v>
      </c>
      <c r="G9" s="60">
        <v>159.06</v>
      </c>
      <c r="H9" s="10" t="s">
        <v>43</v>
      </c>
      <c r="I9" s="60">
        <v>3.57</v>
      </c>
      <c r="J9" s="60">
        <v>1.85</v>
      </c>
      <c r="K9" s="60">
        <v>184.43</v>
      </c>
      <c r="L9" s="60">
        <v>39.25</v>
      </c>
      <c r="M9" s="60">
        <v>47.41</v>
      </c>
      <c r="N9" s="60">
        <v>392.40</v>
      </c>
      <c r="O9" s="60">
        <v>0</v>
      </c>
      <c r="P9" s="60">
        <v>1.08</v>
      </c>
      <c r="Q9" s="60">
        <v>60.94</v>
      </c>
      <c r="R9" s="211"/>
      <c r="S9" s="212"/>
      <c r="T9" s="210"/>
      <c r="U9" s="60"/>
    </row>
    <row r="10" spans="1:21" s="12" customFormat="1" ht="15">
      <c r="A10" s="201" t="s">
        <v>245</v>
      </c>
      <c r="B10" s="60">
        <v>26.71</v>
      </c>
      <c r="C10" s="60">
        <v>30.57</v>
      </c>
      <c r="D10" s="60">
        <v>57.28</v>
      </c>
      <c r="E10" s="60">
        <v>7.65</v>
      </c>
      <c r="F10" s="60">
        <v>10.23</v>
      </c>
      <c r="G10" s="60">
        <v>145.66999999999999</v>
      </c>
      <c r="H10" s="10" t="s">
        <v>43</v>
      </c>
      <c r="I10" s="60">
        <v>3.02</v>
      </c>
      <c r="J10" s="60">
        <v>1.59</v>
      </c>
      <c r="K10" s="60">
        <v>209.51</v>
      </c>
      <c r="L10" s="60">
        <v>38.67</v>
      </c>
      <c r="M10" s="60">
        <v>48.05</v>
      </c>
      <c r="N10" s="60">
        <v>252.20</v>
      </c>
      <c r="O10" s="60">
        <v>0</v>
      </c>
      <c r="P10" s="60">
        <v>1.03</v>
      </c>
      <c r="Q10" s="60">
        <v>61.14</v>
      </c>
      <c r="R10" s="139"/>
      <c r="S10" s="213"/>
      <c r="T10" s="210"/>
      <c r="U10" s="60"/>
    </row>
    <row r="11" spans="1:21" s="12" customFormat="1" ht="15">
      <c r="A11" s="201" t="s">
        <v>246</v>
      </c>
      <c r="B11" s="60">
        <v>23.57</v>
      </c>
      <c r="C11" s="60">
        <v>32.26</v>
      </c>
      <c r="D11" s="60">
        <v>55.83</v>
      </c>
      <c r="E11" s="60">
        <v>7.53</v>
      </c>
      <c r="F11" s="60">
        <v>3.59</v>
      </c>
      <c r="G11" s="60">
        <v>140.26</v>
      </c>
      <c r="H11" s="10" t="s">
        <v>43</v>
      </c>
      <c r="I11" s="60">
        <v>2.54</v>
      </c>
      <c r="J11" s="60">
        <v>0.77</v>
      </c>
      <c r="K11" s="60">
        <v>253.23</v>
      </c>
      <c r="L11" s="60">
        <v>38.19</v>
      </c>
      <c r="M11" s="60">
        <v>45.96</v>
      </c>
      <c r="N11" s="60">
        <v>378.70</v>
      </c>
      <c r="O11" s="60">
        <v>0</v>
      </c>
      <c r="P11" s="60">
        <v>1.54</v>
      </c>
      <c r="Q11" s="60">
        <v>68.92</v>
      </c>
      <c r="R11" s="139"/>
      <c r="S11" s="213"/>
      <c r="T11" s="210"/>
      <c r="U11" s="60"/>
    </row>
    <row r="12" spans="1:21" s="12" customFormat="1" ht="15">
      <c r="A12" s="201" t="s">
        <v>247</v>
      </c>
      <c r="B12" s="60">
        <v>19.18</v>
      </c>
      <c r="C12" s="60">
        <v>33.56</v>
      </c>
      <c r="D12" s="60">
        <v>52.74</v>
      </c>
      <c r="E12" s="60">
        <v>7.64</v>
      </c>
      <c r="F12" s="60">
        <v>1.27</v>
      </c>
      <c r="G12" s="60">
        <v>140.26</v>
      </c>
      <c r="H12" s="10" t="s">
        <v>43</v>
      </c>
      <c r="I12" s="60">
        <v>2.89</v>
      </c>
      <c r="J12" s="60">
        <v>1.37</v>
      </c>
      <c r="K12" s="60">
        <v>246.29</v>
      </c>
      <c r="L12" s="60">
        <v>38.22</v>
      </c>
      <c r="M12" s="60">
        <v>46.08</v>
      </c>
      <c r="N12" s="60">
        <v>381.30</v>
      </c>
      <c r="O12" s="60">
        <v>0</v>
      </c>
      <c r="P12" s="60">
        <v>1.45</v>
      </c>
      <c r="Q12" s="60">
        <v>81.349999999999994</v>
      </c>
      <c r="R12" s="139"/>
      <c r="S12" s="213"/>
      <c r="T12" s="210"/>
      <c r="U12" s="60"/>
    </row>
    <row r="13" spans="1:21" s="12" customFormat="1" ht="15">
      <c r="A13" s="201" t="s">
        <v>248</v>
      </c>
      <c r="B13" s="60">
        <v>14.63</v>
      </c>
      <c r="C13" s="60">
        <v>33.79</v>
      </c>
      <c r="D13" s="60">
        <v>48.43</v>
      </c>
      <c r="E13" s="60">
        <v>7.65</v>
      </c>
      <c r="F13" s="60">
        <v>1.1599999999999999</v>
      </c>
      <c r="G13" s="60">
        <v>108.04</v>
      </c>
      <c r="H13" s="10" t="s">
        <v>43</v>
      </c>
      <c r="I13" s="60">
        <v>0.04</v>
      </c>
      <c r="J13" s="60">
        <v>0.79</v>
      </c>
      <c r="K13" s="60">
        <v>262.48</v>
      </c>
      <c r="L13" s="60">
        <v>38.090000000000003</v>
      </c>
      <c r="M13" s="60">
        <v>47.34</v>
      </c>
      <c r="N13" s="60">
        <v>386.20</v>
      </c>
      <c r="O13" s="60">
        <v>0</v>
      </c>
      <c r="P13" s="60">
        <v>1.46</v>
      </c>
      <c r="Q13" s="60">
        <v>83.44</v>
      </c>
      <c r="R13" s="139"/>
      <c r="S13" s="213"/>
      <c r="T13" s="210"/>
      <c r="U13" s="60"/>
    </row>
    <row r="14" spans="1:21" s="12" customFormat="1" ht="15">
      <c r="A14" s="201" t="s">
        <v>249</v>
      </c>
      <c r="B14" s="60">
        <v>10.76</v>
      </c>
      <c r="C14" s="60">
        <v>33.630000000000003</v>
      </c>
      <c r="D14" s="60">
        <v>44.39</v>
      </c>
      <c r="E14" s="60">
        <v>7.24</v>
      </c>
      <c r="F14" s="60">
        <v>1.29</v>
      </c>
      <c r="G14" s="60">
        <v>109.14</v>
      </c>
      <c r="H14" s="10" t="s">
        <v>43</v>
      </c>
      <c r="I14" s="60">
        <v>1.83</v>
      </c>
      <c r="J14" s="60">
        <v>0.76</v>
      </c>
      <c r="K14" s="60">
        <v>306.48</v>
      </c>
      <c r="L14" s="60">
        <v>38.14</v>
      </c>
      <c r="M14" s="60">
        <v>47.94</v>
      </c>
      <c r="N14" s="60">
        <v>404.20</v>
      </c>
      <c r="O14" s="60">
        <v>0</v>
      </c>
      <c r="P14" s="60">
        <v>1.36</v>
      </c>
      <c r="Q14" s="60">
        <v>81.39</v>
      </c>
      <c r="R14" s="139"/>
      <c r="S14" s="213"/>
      <c r="T14" s="210"/>
      <c r="U14" s="60"/>
    </row>
    <row r="15" spans="1:21" s="12" customFormat="1" ht="15">
      <c r="A15" s="201" t="s">
        <v>250</v>
      </c>
      <c r="B15" s="60">
        <v>7.81</v>
      </c>
      <c r="C15" s="60">
        <v>32.799999999999997</v>
      </c>
      <c r="D15" s="60">
        <v>40.61</v>
      </c>
      <c r="E15" s="60">
        <v>7.10</v>
      </c>
      <c r="F15" s="60">
        <v>1.21</v>
      </c>
      <c r="G15" s="60">
        <v>113.60</v>
      </c>
      <c r="H15" s="10" t="s">
        <v>43</v>
      </c>
      <c r="I15" s="60">
        <v>4.45</v>
      </c>
      <c r="J15" s="60">
        <v>1.26</v>
      </c>
      <c r="K15" s="60">
        <v>246.09</v>
      </c>
      <c r="L15" s="60">
        <v>38.119999999999997</v>
      </c>
      <c r="M15" s="60">
        <v>47.55</v>
      </c>
      <c r="N15" s="60">
        <v>343.90</v>
      </c>
      <c r="O15" s="60">
        <v>0</v>
      </c>
      <c r="P15" s="60">
        <v>1.40</v>
      </c>
      <c r="Q15" s="60">
        <v>78.83</v>
      </c>
      <c r="R15" s="139"/>
      <c r="S15" s="213"/>
      <c r="T15" s="210"/>
      <c r="U15" s="60"/>
    </row>
    <row r="16" spans="1:21" s="12" customFormat="1" ht="15">
      <c r="A16" s="201" t="s">
        <v>251</v>
      </c>
      <c r="B16" s="60">
        <v>5.52</v>
      </c>
      <c r="C16" s="60">
        <v>31.56</v>
      </c>
      <c r="D16" s="60">
        <v>37.08</v>
      </c>
      <c r="E16" s="60">
        <v>7.41</v>
      </c>
      <c r="F16" s="60">
        <v>1.27</v>
      </c>
      <c r="G16" s="60">
        <v>113.60</v>
      </c>
      <c r="H16" s="10" t="s">
        <v>43</v>
      </c>
      <c r="I16" s="60">
        <v>3.73</v>
      </c>
      <c r="J16" s="60">
        <v>1.58</v>
      </c>
      <c r="K16" s="60">
        <v>259.86</v>
      </c>
      <c r="L16" s="60">
        <v>37.770000000000003</v>
      </c>
      <c r="M16" s="60">
        <v>48.39</v>
      </c>
      <c r="N16" s="60">
        <v>360.90</v>
      </c>
      <c r="O16" s="60">
        <v>0</v>
      </c>
      <c r="P16" s="60">
        <v>1.30</v>
      </c>
      <c r="Q16" s="60">
        <v>76.66</v>
      </c>
      <c r="R16" s="139"/>
      <c r="S16" s="213"/>
      <c r="T16" s="210"/>
      <c r="U16" s="60"/>
    </row>
    <row r="17" spans="1:21" s="12" customFormat="1" ht="15">
      <c r="A17" s="201" t="s">
        <v>252</v>
      </c>
      <c r="B17" s="60">
        <v>3.94</v>
      </c>
      <c r="C17" s="60">
        <v>30.37</v>
      </c>
      <c r="D17" s="60">
        <v>34.299999999999997</v>
      </c>
      <c r="E17" s="60">
        <v>7.45</v>
      </c>
      <c r="F17" s="60">
        <v>1.46</v>
      </c>
      <c r="G17" s="60">
        <v>113.60</v>
      </c>
      <c r="H17" s="10" t="s">
        <v>43</v>
      </c>
      <c r="I17" s="60">
        <v>4.45</v>
      </c>
      <c r="J17" s="60">
        <v>1.54</v>
      </c>
      <c r="K17" s="60">
        <v>263.64</v>
      </c>
      <c r="L17" s="60">
        <v>37.07</v>
      </c>
      <c r="M17" s="60">
        <v>51.06</v>
      </c>
      <c r="N17" s="60">
        <v>429.5</v>
      </c>
      <c r="O17" s="60">
        <v>0</v>
      </c>
      <c r="P17" s="60">
        <v>1.29</v>
      </c>
      <c r="Q17" s="60">
        <v>73.88</v>
      </c>
      <c r="R17" s="139"/>
      <c r="S17" s="213"/>
      <c r="T17" s="210"/>
      <c r="U17" s="60"/>
    </row>
    <row r="18" spans="1:21" s="12" customFormat="1" ht="15">
      <c r="A18" s="201" t="s">
        <v>253</v>
      </c>
      <c r="B18" s="60">
        <v>3.01</v>
      </c>
      <c r="C18" s="60">
        <v>29.04</v>
      </c>
      <c r="D18" s="60">
        <v>32.049999999999997</v>
      </c>
      <c r="E18" s="60">
        <v>7.15</v>
      </c>
      <c r="F18" s="60">
        <v>1.47</v>
      </c>
      <c r="G18" s="60">
        <v>106.85</v>
      </c>
      <c r="H18" s="10" t="s">
        <v>43</v>
      </c>
      <c r="I18" s="60">
        <v>3.93</v>
      </c>
      <c r="J18" s="60">
        <v>1.71</v>
      </c>
      <c r="K18" s="60">
        <v>200.34</v>
      </c>
      <c r="L18" s="60">
        <v>36.44</v>
      </c>
      <c r="M18" s="60">
        <v>53.31</v>
      </c>
      <c r="N18" s="60">
        <v>472.30</v>
      </c>
      <c r="O18" s="60">
        <v>0</v>
      </c>
      <c r="P18" s="60">
        <v>1.25</v>
      </c>
      <c r="Q18" s="60">
        <v>72.06</v>
      </c>
      <c r="R18" s="139"/>
      <c r="S18" s="213"/>
      <c r="T18" s="210"/>
      <c r="U18" s="60"/>
    </row>
    <row r="19" spans="1:21" s="12" customFormat="1" ht="15">
      <c r="A19" s="201" t="s">
        <v>254</v>
      </c>
      <c r="B19" s="60">
        <v>2.5099999999999998</v>
      </c>
      <c r="C19" s="60">
        <v>28.29</v>
      </c>
      <c r="D19" s="60">
        <v>30.79</v>
      </c>
      <c r="E19" s="60">
        <v>7.42</v>
      </c>
      <c r="F19" s="60">
        <v>1.0900000000000001</v>
      </c>
      <c r="G19" s="60">
        <v>100.69</v>
      </c>
      <c r="H19" s="10" t="s">
        <v>43</v>
      </c>
      <c r="I19" s="60">
        <v>3.96</v>
      </c>
      <c r="J19" s="60">
        <v>1.85</v>
      </c>
      <c r="K19" s="60">
        <v>199.65</v>
      </c>
      <c r="L19" s="60">
        <v>36.700000000000003</v>
      </c>
      <c r="M19" s="60">
        <v>52.45</v>
      </c>
      <c r="N19" s="60">
        <v>548.29999999999995</v>
      </c>
      <c r="O19" s="60">
        <v>0</v>
      </c>
      <c r="P19" s="60">
        <v>1.24</v>
      </c>
      <c r="Q19" s="60">
        <v>69.010000000000005</v>
      </c>
      <c r="R19" s="139"/>
      <c r="S19" s="213"/>
      <c r="T19" s="210"/>
      <c r="U19" s="60"/>
    </row>
    <row r="20" spans="1:21" s="12" customFormat="1" ht="15">
      <c r="A20" s="201" t="s">
        <v>255</v>
      </c>
      <c r="B20" s="60">
        <v>2.1800000000000002</v>
      </c>
      <c r="C20" s="60">
        <v>27.63</v>
      </c>
      <c r="D20" s="60">
        <v>29.81</v>
      </c>
      <c r="E20" s="60">
        <v>3.38</v>
      </c>
      <c r="F20" s="60">
        <v>1.44</v>
      </c>
      <c r="G20" s="60">
        <v>100.69</v>
      </c>
      <c r="H20" s="10" t="s">
        <v>43</v>
      </c>
      <c r="I20" s="60">
        <v>3.60</v>
      </c>
      <c r="J20" s="60">
        <v>1.77</v>
      </c>
      <c r="K20" s="60">
        <v>245.59</v>
      </c>
      <c r="L20" s="60">
        <v>37.340000000000003</v>
      </c>
      <c r="M20" s="60">
        <v>53.36</v>
      </c>
      <c r="N20" s="60">
        <v>430.70</v>
      </c>
      <c r="O20" s="60">
        <v>0</v>
      </c>
      <c r="P20" s="60">
        <v>1.23</v>
      </c>
      <c r="Q20" s="60">
        <v>69.98</v>
      </c>
      <c r="R20" s="139"/>
      <c r="S20" s="213"/>
      <c r="T20" s="210"/>
      <c r="U20" s="60"/>
    </row>
    <row r="21" spans="1:21" s="12" customFormat="1" ht="15">
      <c r="A21" s="201" t="s">
        <v>256</v>
      </c>
      <c r="B21" s="60">
        <v>2.0099999999999998</v>
      </c>
      <c r="C21" s="60">
        <v>29.03</v>
      </c>
      <c r="D21" s="60">
        <v>31.03</v>
      </c>
      <c r="E21" s="60">
        <v>6.16</v>
      </c>
      <c r="F21" s="60">
        <v>6.39</v>
      </c>
      <c r="G21" s="60">
        <v>100.69</v>
      </c>
      <c r="H21" s="10" t="s">
        <v>43</v>
      </c>
      <c r="I21" s="60">
        <v>3.5</v>
      </c>
      <c r="J21" s="60">
        <v>1.88</v>
      </c>
      <c r="K21" s="60">
        <v>214.74</v>
      </c>
      <c r="L21" s="60">
        <v>37.299999999999997</v>
      </c>
      <c r="M21" s="60">
        <v>52.79</v>
      </c>
      <c r="N21" s="60">
        <v>547.70000000000005</v>
      </c>
      <c r="O21" s="60">
        <v>0</v>
      </c>
      <c r="P21" s="60">
        <v>1.01</v>
      </c>
      <c r="Q21" s="60">
        <v>74.44</v>
      </c>
      <c r="R21" s="139"/>
      <c r="S21" s="213"/>
      <c r="T21" s="210"/>
      <c r="U21" s="60"/>
    </row>
    <row r="22" spans="1:21" s="12" customFormat="1" ht="15">
      <c r="A22" s="201" t="s">
        <v>257</v>
      </c>
      <c r="B22" s="60">
        <v>1.96</v>
      </c>
      <c r="C22" s="60">
        <v>22.33</v>
      </c>
      <c r="D22" s="60">
        <v>24.29</v>
      </c>
      <c r="E22" s="60">
        <v>6.63</v>
      </c>
      <c r="F22" s="60">
        <v>10.47</v>
      </c>
      <c r="G22" s="60">
        <v>95.02</v>
      </c>
      <c r="H22" s="10" t="s">
        <v>43</v>
      </c>
      <c r="I22" s="60">
        <v>3.58</v>
      </c>
      <c r="J22" s="60">
        <v>1.5</v>
      </c>
      <c r="K22" s="60">
        <v>215.86</v>
      </c>
      <c r="L22" s="60">
        <v>36.93</v>
      </c>
      <c r="M22" s="60">
        <v>52.23</v>
      </c>
      <c r="N22" s="60">
        <v>480.90</v>
      </c>
      <c r="O22" s="60">
        <v>0</v>
      </c>
      <c r="P22" s="60">
        <v>0.92</v>
      </c>
      <c r="Q22" s="60">
        <v>51.19</v>
      </c>
      <c r="R22" s="139"/>
      <c r="S22" s="213"/>
      <c r="T22" s="210"/>
      <c r="U22" s="60"/>
    </row>
    <row r="23" spans="1:21" s="12" customFormat="1" ht="15">
      <c r="A23" s="201" t="s">
        <v>258</v>
      </c>
      <c r="B23" s="60">
        <v>2</v>
      </c>
      <c r="C23" s="60">
        <v>20.84</v>
      </c>
      <c r="D23" s="60">
        <v>22.84</v>
      </c>
      <c r="E23" s="60">
        <v>6.91</v>
      </c>
      <c r="F23" s="60">
        <v>11.47</v>
      </c>
      <c r="G23" s="60">
        <v>89.68</v>
      </c>
      <c r="H23" s="10" t="s">
        <v>43</v>
      </c>
      <c r="I23" s="60">
        <v>2.70</v>
      </c>
      <c r="J23" s="60">
        <v>1.1599999999999999</v>
      </c>
      <c r="K23" s="60">
        <v>310.08</v>
      </c>
      <c r="L23" s="60">
        <v>37.979999999999997</v>
      </c>
      <c r="M23" s="60">
        <v>51.65</v>
      </c>
      <c r="N23" s="60">
        <v>515</v>
      </c>
      <c r="O23" s="60">
        <v>0</v>
      </c>
      <c r="P23" s="60">
        <v>0.96</v>
      </c>
      <c r="Q23" s="60">
        <v>41.49</v>
      </c>
      <c r="R23" s="139"/>
      <c r="S23" s="213"/>
      <c r="T23" s="210"/>
      <c r="U23" s="60"/>
    </row>
    <row r="24" spans="1:21" s="12" customFormat="1" ht="15">
      <c r="A24" s="201" t="s">
        <v>259</v>
      </c>
      <c r="B24" s="60">
        <v>2.04</v>
      </c>
      <c r="C24" s="60">
        <v>20.82</v>
      </c>
      <c r="D24" s="60">
        <v>22.86</v>
      </c>
      <c r="E24" s="60">
        <v>7.17</v>
      </c>
      <c r="F24" s="60">
        <v>10.16</v>
      </c>
      <c r="G24" s="60">
        <v>89.68</v>
      </c>
      <c r="H24" s="10" t="s">
        <v>43</v>
      </c>
      <c r="I24" s="60">
        <v>1.98</v>
      </c>
      <c r="J24" s="60">
        <v>1.58</v>
      </c>
      <c r="K24" s="60">
        <v>239.08</v>
      </c>
      <c r="L24" s="60">
        <v>35.65</v>
      </c>
      <c r="M24" s="60">
        <v>53.26</v>
      </c>
      <c r="N24" s="60">
        <v>474.80</v>
      </c>
      <c r="O24" s="60">
        <v>0</v>
      </c>
      <c r="P24" s="60">
        <v>1.04</v>
      </c>
      <c r="Q24" s="60">
        <v>40.47</v>
      </c>
      <c r="R24" s="139"/>
      <c r="S24" s="213"/>
      <c r="T24" s="210"/>
      <c r="U24" s="60"/>
    </row>
    <row r="25" spans="1:21" s="12" customFormat="1" ht="15">
      <c r="A25" s="201" t="s">
        <v>260</v>
      </c>
      <c r="B25" s="60">
        <v>2.21</v>
      </c>
      <c r="C25" s="60">
        <v>21.04</v>
      </c>
      <c r="D25" s="60">
        <v>23.24</v>
      </c>
      <c r="E25" s="60">
        <v>7.54</v>
      </c>
      <c r="F25" s="60">
        <v>6.63</v>
      </c>
      <c r="G25" s="60">
        <v>89.68</v>
      </c>
      <c r="H25" s="10" t="s">
        <v>43</v>
      </c>
      <c r="I25" s="60">
        <v>2.1800000000000002</v>
      </c>
      <c r="J25" s="60">
        <v>2.79</v>
      </c>
      <c r="K25" s="60">
        <v>186.91</v>
      </c>
      <c r="L25" s="60">
        <v>37.46</v>
      </c>
      <c r="M25" s="60">
        <v>54.58</v>
      </c>
      <c r="N25" s="60">
        <v>638.79999999999995</v>
      </c>
      <c r="O25" s="60">
        <v>0</v>
      </c>
      <c r="P25" s="60">
        <v>1.01</v>
      </c>
      <c r="Q25" s="60">
        <v>44.85</v>
      </c>
      <c r="R25" s="139"/>
      <c r="S25" s="213"/>
      <c r="T25" s="210"/>
      <c r="U25" s="60"/>
    </row>
    <row r="26" spans="1:21" s="12" customFormat="1" ht="15">
      <c r="A26" s="201" t="s">
        <v>261</v>
      </c>
      <c r="B26" s="60">
        <v>2.44</v>
      </c>
      <c r="C26" s="60">
        <v>21.71</v>
      </c>
      <c r="D26" s="60">
        <v>24.15</v>
      </c>
      <c r="E26" s="60">
        <v>7.41</v>
      </c>
      <c r="F26" s="60">
        <v>7.93</v>
      </c>
      <c r="G26" s="60">
        <v>90.41</v>
      </c>
      <c r="H26" s="10" t="s">
        <v>43</v>
      </c>
      <c r="I26" s="60">
        <v>2.61</v>
      </c>
      <c r="J26" s="60">
        <v>12.70</v>
      </c>
      <c r="K26" s="60">
        <v>192.29</v>
      </c>
      <c r="L26" s="60">
        <v>37.67</v>
      </c>
      <c r="M26" s="60">
        <v>54.80</v>
      </c>
      <c r="N26" s="60">
        <v>567.40</v>
      </c>
      <c r="O26" s="60">
        <v>0</v>
      </c>
      <c r="P26" s="60">
        <v>0.99</v>
      </c>
      <c r="Q26" s="60">
        <v>47.23</v>
      </c>
      <c r="R26" s="139"/>
      <c r="S26" s="213"/>
      <c r="T26" s="210"/>
      <c r="U26" s="60"/>
    </row>
    <row r="27" spans="1:21" s="12" customFormat="1" ht="15">
      <c r="A27" s="201" t="s">
        <v>262</v>
      </c>
      <c r="B27" s="60">
        <v>2.64</v>
      </c>
      <c r="C27" s="60">
        <v>22.26</v>
      </c>
      <c r="D27" s="60">
        <v>24.90</v>
      </c>
      <c r="E27" s="60">
        <v>7.45</v>
      </c>
      <c r="F27" s="60">
        <v>8.66</v>
      </c>
      <c r="G27" s="60">
        <v>92.54</v>
      </c>
      <c r="H27" s="10" t="s">
        <v>43</v>
      </c>
      <c r="I27" s="60">
        <v>2.84</v>
      </c>
      <c r="J27" s="60">
        <v>14.97</v>
      </c>
      <c r="K27" s="60">
        <v>191.48</v>
      </c>
      <c r="L27" s="60">
        <v>36.340000000000003</v>
      </c>
      <c r="M27" s="60">
        <v>55.89</v>
      </c>
      <c r="N27" s="60">
        <v>553.10</v>
      </c>
      <c r="O27" s="60">
        <v>0</v>
      </c>
      <c r="P27" s="60">
        <v>0.98</v>
      </c>
      <c r="Q27" s="60">
        <v>53.08</v>
      </c>
      <c r="R27" s="139"/>
      <c r="S27" s="213"/>
      <c r="T27" s="210"/>
      <c r="U27" s="60"/>
    </row>
    <row r="28" spans="1:21" s="12" customFormat="1" ht="15">
      <c r="A28" s="201" t="s">
        <v>263</v>
      </c>
      <c r="B28" s="60">
        <v>2.81</v>
      </c>
      <c r="C28" s="60">
        <v>21.67</v>
      </c>
      <c r="D28" s="60">
        <v>24.48</v>
      </c>
      <c r="E28" s="60">
        <v>7.90</v>
      </c>
      <c r="F28" s="60">
        <v>8.5</v>
      </c>
      <c r="G28" s="60">
        <v>92.54</v>
      </c>
      <c r="H28" s="10" t="s">
        <v>43</v>
      </c>
      <c r="I28" s="60">
        <v>2.3199999999999998</v>
      </c>
      <c r="J28" s="60">
        <v>15.35</v>
      </c>
      <c r="K28" s="60">
        <v>181.77</v>
      </c>
      <c r="L28" s="60">
        <v>35.81</v>
      </c>
      <c r="M28" s="60">
        <v>56.19</v>
      </c>
      <c r="N28" s="60">
        <v>622.40</v>
      </c>
      <c r="O28" s="60">
        <v>0</v>
      </c>
      <c r="P28" s="60">
        <v>0.98</v>
      </c>
      <c r="Q28" s="60">
        <v>52.24</v>
      </c>
      <c r="R28" s="139"/>
      <c r="S28" s="213"/>
      <c r="T28" s="210"/>
      <c r="U28" s="60"/>
    </row>
    <row r="29" spans="1:21" s="12" customFormat="1" ht="15">
      <c r="A29" s="201" t="s">
        <v>264</v>
      </c>
      <c r="B29" s="60">
        <v>3.03</v>
      </c>
      <c r="C29" s="60">
        <v>24.07</v>
      </c>
      <c r="D29" s="60">
        <v>27.10</v>
      </c>
      <c r="E29" s="60">
        <v>8.06</v>
      </c>
      <c r="F29" s="60">
        <v>0.84</v>
      </c>
      <c r="G29" s="60">
        <v>92.54</v>
      </c>
      <c r="H29" s="10" t="s">
        <v>43</v>
      </c>
      <c r="I29" s="60">
        <v>2.39</v>
      </c>
      <c r="J29" s="60">
        <v>10.97</v>
      </c>
      <c r="K29" s="60">
        <v>206.07</v>
      </c>
      <c r="L29" s="60">
        <v>36.29</v>
      </c>
      <c r="M29" s="60">
        <v>57.65</v>
      </c>
      <c r="N29" s="60">
        <v>342.5</v>
      </c>
      <c r="O29" s="60">
        <v>0</v>
      </c>
      <c r="P29" s="60">
        <v>1.1599999999999999</v>
      </c>
      <c r="Q29" s="60">
        <v>55.54</v>
      </c>
      <c r="R29" s="139"/>
      <c r="S29" s="213"/>
      <c r="T29" s="210"/>
      <c r="U29" s="60"/>
    </row>
    <row r="30" spans="1:21" s="12" customFormat="1" ht="15">
      <c r="A30" s="201" t="s">
        <v>265</v>
      </c>
      <c r="B30" s="60">
        <v>3.06</v>
      </c>
      <c r="C30" s="60">
        <v>25.45</v>
      </c>
      <c r="D30" s="60">
        <v>28.52</v>
      </c>
      <c r="E30" s="60">
        <v>7.78</v>
      </c>
      <c r="F30" s="60">
        <v>0.75</v>
      </c>
      <c r="G30" s="60">
        <v>93.29</v>
      </c>
      <c r="H30" s="10" t="s">
        <v>43</v>
      </c>
      <c r="I30" s="60">
        <v>2.5499999999999998</v>
      </c>
      <c r="J30" s="60">
        <v>6.69</v>
      </c>
      <c r="K30" s="60">
        <v>227.06</v>
      </c>
      <c r="L30" s="60">
        <v>36.700000000000003</v>
      </c>
      <c r="M30" s="60">
        <v>57.67</v>
      </c>
      <c r="N30" s="60">
        <v>407.80</v>
      </c>
      <c r="O30" s="60">
        <v>0</v>
      </c>
      <c r="P30" s="60">
        <v>1.1299999999999999</v>
      </c>
      <c r="Q30" s="60">
        <v>72.650000000000006</v>
      </c>
      <c r="R30" s="139"/>
      <c r="S30" s="213"/>
      <c r="T30" s="210"/>
      <c r="U30" s="60"/>
    </row>
    <row r="31" spans="1:21" s="12" customFormat="1" ht="15">
      <c r="A31" s="201" t="s">
        <v>266</v>
      </c>
      <c r="B31" s="60">
        <v>3</v>
      </c>
      <c r="C31" s="60">
        <v>26.15</v>
      </c>
      <c r="D31" s="60">
        <v>29.15</v>
      </c>
      <c r="E31" s="60">
        <v>7.71</v>
      </c>
      <c r="F31" s="60">
        <v>0.54</v>
      </c>
      <c r="G31" s="60">
        <v>93.99</v>
      </c>
      <c r="H31" s="10" t="s">
        <v>43</v>
      </c>
      <c r="I31" s="60">
        <v>4.5199999999999996</v>
      </c>
      <c r="J31" s="60">
        <v>1.67</v>
      </c>
      <c r="K31" s="60">
        <v>215.88</v>
      </c>
      <c r="L31" s="60">
        <v>36.21</v>
      </c>
      <c r="M31" s="60">
        <v>57.16</v>
      </c>
      <c r="N31" s="60">
        <v>274.30</v>
      </c>
      <c r="O31" s="60">
        <v>0</v>
      </c>
      <c r="P31" s="60">
        <v>1.17</v>
      </c>
      <c r="Q31" s="60">
        <v>73.08</v>
      </c>
      <c r="R31" s="139"/>
      <c r="S31" s="213"/>
      <c r="T31" s="210"/>
      <c r="U31" s="60"/>
    </row>
    <row r="32" spans="1:21" s="12" customFormat="1" ht="15">
      <c r="A32" s="201" t="s">
        <v>267</v>
      </c>
      <c r="B32" s="60">
        <v>3.46</v>
      </c>
      <c r="C32" s="60">
        <v>26.97</v>
      </c>
      <c r="D32" s="60">
        <v>30.43</v>
      </c>
      <c r="E32" s="60">
        <v>7.52</v>
      </c>
      <c r="F32" s="60">
        <v>0.44</v>
      </c>
      <c r="G32" s="60">
        <v>93.99</v>
      </c>
      <c r="H32" s="10" t="s">
        <v>43</v>
      </c>
      <c r="I32" s="60">
        <v>4.2300000000000004</v>
      </c>
      <c r="J32" s="60">
        <v>1.43</v>
      </c>
      <c r="K32" s="60">
        <v>233.79</v>
      </c>
      <c r="L32" s="60">
        <v>36.82</v>
      </c>
      <c r="M32" s="60">
        <v>54.66</v>
      </c>
      <c r="N32" s="60">
        <v>307.89999999999998</v>
      </c>
      <c r="O32" s="60">
        <v>0</v>
      </c>
      <c r="P32" s="60">
        <v>1.19</v>
      </c>
      <c r="Q32" s="60">
        <v>71.650000000000006</v>
      </c>
      <c r="R32" s="139"/>
      <c r="S32" s="213"/>
      <c r="T32" s="210"/>
      <c r="U32" s="60"/>
    </row>
    <row r="33" spans="1:21" s="12" customFormat="1" ht="15">
      <c r="A33" s="201" t="s">
        <v>268</v>
      </c>
      <c r="B33" s="60">
        <v>3.94</v>
      </c>
      <c r="C33" s="60">
        <v>27.68</v>
      </c>
      <c r="D33" s="60">
        <v>31.62</v>
      </c>
      <c r="E33" s="60">
        <v>7.66</v>
      </c>
      <c r="F33" s="60">
        <v>0.89</v>
      </c>
      <c r="G33" s="60">
        <v>93.99</v>
      </c>
      <c r="H33" s="10" t="s">
        <v>43</v>
      </c>
      <c r="I33" s="60">
        <v>5.03</v>
      </c>
      <c r="J33" s="60">
        <v>0.76</v>
      </c>
      <c r="K33" s="60">
        <v>260.70999999999998</v>
      </c>
      <c r="L33" s="60">
        <v>37.85</v>
      </c>
      <c r="M33" s="60">
        <v>52</v>
      </c>
      <c r="N33" s="60">
        <v>329.90</v>
      </c>
      <c r="O33" s="60">
        <v>0</v>
      </c>
      <c r="P33" s="60">
        <v>1.19</v>
      </c>
      <c r="Q33" s="60">
        <v>70.290000000000006</v>
      </c>
      <c r="R33" s="139"/>
      <c r="S33" s="213"/>
      <c r="T33" s="210"/>
      <c r="U33" s="60"/>
    </row>
    <row r="34" spans="1:21" s="12" customFormat="1" ht="15">
      <c r="A34" s="201" t="s">
        <v>269</v>
      </c>
      <c r="B34" s="60">
        <v>4.21</v>
      </c>
      <c r="C34" s="60">
        <v>28.39</v>
      </c>
      <c r="D34" s="60">
        <v>32.60</v>
      </c>
      <c r="E34" s="60">
        <v>7.41</v>
      </c>
      <c r="F34" s="60">
        <v>0.72</v>
      </c>
      <c r="G34" s="60">
        <v>95.91</v>
      </c>
      <c r="H34" s="10" t="s">
        <v>43</v>
      </c>
      <c r="I34" s="60">
        <v>5.13</v>
      </c>
      <c r="J34" s="60">
        <v>1.64</v>
      </c>
      <c r="K34" s="60">
        <v>281.30</v>
      </c>
      <c r="L34" s="60">
        <v>39.58</v>
      </c>
      <c r="M34" s="60">
        <v>50.77</v>
      </c>
      <c r="N34" s="60">
        <v>375.70</v>
      </c>
      <c r="O34" s="60">
        <v>0</v>
      </c>
      <c r="P34" s="60">
        <v>1.23</v>
      </c>
      <c r="Q34" s="60">
        <v>68.959999999999994</v>
      </c>
      <c r="R34" s="139"/>
      <c r="S34" s="213"/>
      <c r="T34" s="210"/>
      <c r="U34" s="60"/>
    </row>
    <row r="35" spans="1:21" s="12" customFormat="1" ht="15">
      <c r="A35" s="201" t="s">
        <v>270</v>
      </c>
      <c r="B35" s="60">
        <v>4.55</v>
      </c>
      <c r="C35" s="60">
        <v>29.22</v>
      </c>
      <c r="D35" s="60">
        <v>33.78</v>
      </c>
      <c r="E35" s="60">
        <v>7.23</v>
      </c>
      <c r="F35" s="60">
        <v>1</v>
      </c>
      <c r="G35" s="60">
        <v>97.71</v>
      </c>
      <c r="H35" s="10" t="s">
        <v>43</v>
      </c>
      <c r="I35" s="60">
        <v>5.69</v>
      </c>
      <c r="J35" s="60">
        <v>1.43</v>
      </c>
      <c r="K35" s="60">
        <v>320.83</v>
      </c>
      <c r="L35" s="60">
        <v>38.340000000000003</v>
      </c>
      <c r="M35" s="60">
        <v>50.39</v>
      </c>
      <c r="N35" s="60">
        <v>412.20</v>
      </c>
      <c r="O35" s="60">
        <v>0</v>
      </c>
      <c r="P35" s="60">
        <v>1.23</v>
      </c>
      <c r="Q35" s="60">
        <v>67.64</v>
      </c>
      <c r="R35" s="139"/>
      <c r="S35" s="213"/>
      <c r="T35" s="210"/>
      <c r="U35" s="60"/>
    </row>
    <row r="36" spans="1:21" s="12" customFormat="1" ht="15">
      <c r="A36" s="201" t="s">
        <v>271</v>
      </c>
      <c r="B36" s="60">
        <v>5.91</v>
      </c>
      <c r="C36" s="60">
        <v>30.45</v>
      </c>
      <c r="D36" s="60">
        <v>36.369999999999997</v>
      </c>
      <c r="E36" s="60">
        <v>3.47</v>
      </c>
      <c r="F36" s="60">
        <v>0.62</v>
      </c>
      <c r="G36" s="60">
        <v>97.71</v>
      </c>
      <c r="H36" s="10" t="s">
        <v>43</v>
      </c>
      <c r="I36" s="60">
        <v>6.01</v>
      </c>
      <c r="J36" s="60">
        <v>2.09</v>
      </c>
      <c r="K36" s="60">
        <v>28.57</v>
      </c>
      <c r="L36" s="60">
        <v>38.24</v>
      </c>
      <c r="M36" s="60">
        <v>48.80</v>
      </c>
      <c r="N36" s="60">
        <v>403</v>
      </c>
      <c r="O36" s="60">
        <v>0</v>
      </c>
      <c r="P36" s="60">
        <v>1.27</v>
      </c>
      <c r="Q36" s="60">
        <v>68.42</v>
      </c>
      <c r="R36" s="139"/>
      <c r="S36" s="213"/>
      <c r="T36" s="210"/>
      <c r="U36" s="60"/>
    </row>
    <row r="37" spans="1:21" s="12" customFormat="1" ht="15">
      <c r="A37" s="201" t="s">
        <v>272</v>
      </c>
      <c r="B37" s="60">
        <v>5.94</v>
      </c>
      <c r="C37" s="60">
        <v>31.62</v>
      </c>
      <c r="D37" s="60">
        <v>37.549999999999997</v>
      </c>
      <c r="E37" s="60">
        <v>6.39</v>
      </c>
      <c r="F37" s="60">
        <v>0.82</v>
      </c>
      <c r="G37" s="60">
        <v>97.71</v>
      </c>
      <c r="H37" s="10" t="s">
        <v>43</v>
      </c>
      <c r="I37" s="60">
        <v>6.18</v>
      </c>
      <c r="J37" s="60">
        <v>0.60</v>
      </c>
      <c r="K37" s="60">
        <v>353.31</v>
      </c>
      <c r="L37" s="60">
        <v>39.17</v>
      </c>
      <c r="M37" s="60">
        <v>46.33</v>
      </c>
      <c r="N37" s="60">
        <v>480</v>
      </c>
      <c r="O37" s="60">
        <v>0</v>
      </c>
      <c r="P37" s="60">
        <v>1.28</v>
      </c>
      <c r="Q37" s="60">
        <v>68.16</v>
      </c>
      <c r="R37" s="139"/>
      <c r="S37" s="213"/>
      <c r="T37" s="210"/>
      <c r="U37" s="60"/>
    </row>
    <row r="38" spans="1:21" s="12" customFormat="1" ht="15">
      <c r="A38" s="201" t="s">
        <v>273</v>
      </c>
      <c r="B38" s="60">
        <v>5.35</v>
      </c>
      <c r="C38" s="60">
        <v>32.01</v>
      </c>
      <c r="D38" s="60">
        <v>37.36</v>
      </c>
      <c r="E38" s="60">
        <v>6.57</v>
      </c>
      <c r="F38" s="60">
        <v>1.05</v>
      </c>
      <c r="G38" s="60">
        <v>102.33</v>
      </c>
      <c r="H38" s="10" t="s">
        <v>43</v>
      </c>
      <c r="I38" s="60">
        <v>6.42</v>
      </c>
      <c r="J38" s="60">
        <v>0.42</v>
      </c>
      <c r="K38" s="60">
        <v>296.23</v>
      </c>
      <c r="L38" s="60">
        <v>41.16</v>
      </c>
      <c r="M38" s="60">
        <v>44.63</v>
      </c>
      <c r="N38" s="60">
        <v>572.60</v>
      </c>
      <c r="O38" s="60">
        <v>0</v>
      </c>
      <c r="P38" s="60">
        <v>1.29</v>
      </c>
      <c r="Q38" s="60">
        <v>67.53</v>
      </c>
      <c r="R38" s="139"/>
      <c r="S38" s="213"/>
      <c r="T38" s="210"/>
      <c r="U38" s="60"/>
    </row>
    <row r="39" spans="1:21" s="12" customFormat="1" ht="15">
      <c r="A39" s="201" t="s">
        <v>274</v>
      </c>
      <c r="B39" s="60">
        <v>4.25</v>
      </c>
      <c r="C39" s="60">
        <v>32.96</v>
      </c>
      <c r="D39" s="60">
        <v>37.22</v>
      </c>
      <c r="E39" s="60">
        <v>6.66</v>
      </c>
      <c r="F39" s="60">
        <v>3.17</v>
      </c>
      <c r="G39" s="60">
        <v>107.48</v>
      </c>
      <c r="H39" s="10" t="s">
        <v>43</v>
      </c>
      <c r="I39" s="60">
        <v>6.45</v>
      </c>
      <c r="J39" s="60">
        <v>0.53</v>
      </c>
      <c r="K39" s="60">
        <v>286.36</v>
      </c>
      <c r="L39" s="60">
        <v>41.62</v>
      </c>
      <c r="M39" s="60">
        <v>43.39</v>
      </c>
      <c r="N39" s="60">
        <v>638.5</v>
      </c>
      <c r="O39" s="60">
        <v>0</v>
      </c>
      <c r="P39" s="60">
        <v>1.28</v>
      </c>
      <c r="Q39" s="60">
        <v>72.989999999999995</v>
      </c>
      <c r="R39" s="139"/>
      <c r="S39" s="213"/>
      <c r="T39" s="210"/>
      <c r="U39" s="60"/>
    </row>
    <row r="40" spans="1:21" s="12" customFormat="1" ht="15">
      <c r="A40" s="201" t="s">
        <v>275</v>
      </c>
      <c r="B40" s="60">
        <v>3.42</v>
      </c>
      <c r="C40" s="60">
        <v>27.41</v>
      </c>
      <c r="D40" s="60">
        <v>30.84</v>
      </c>
      <c r="E40" s="60">
        <v>5.78</v>
      </c>
      <c r="F40" s="60">
        <v>3.36</v>
      </c>
      <c r="G40" s="60">
        <v>107.48</v>
      </c>
      <c r="H40" s="10" t="s">
        <v>43</v>
      </c>
      <c r="I40" s="60">
        <v>6.45</v>
      </c>
      <c r="J40" s="60">
        <v>0.65</v>
      </c>
      <c r="K40" s="60">
        <v>286.82</v>
      </c>
      <c r="L40" s="60">
        <v>42.88</v>
      </c>
      <c r="M40" s="60">
        <v>41.10</v>
      </c>
      <c r="N40" s="60">
        <v>635.70000000000005</v>
      </c>
      <c r="O40" s="60">
        <v>0</v>
      </c>
      <c r="P40" s="60">
        <v>1.30</v>
      </c>
      <c r="Q40" s="60">
        <v>47.83</v>
      </c>
      <c r="R40" s="139"/>
      <c r="S40" s="213"/>
      <c r="T40" s="210"/>
      <c r="U40" s="60"/>
    </row>
    <row r="41" spans="1:21" s="12" customFormat="1" ht="15">
      <c r="A41" s="201" t="s">
        <v>276</v>
      </c>
      <c r="B41" s="60">
        <v>2.85</v>
      </c>
      <c r="C41" s="60">
        <v>26.46</v>
      </c>
      <c r="D41" s="60">
        <v>29.32</v>
      </c>
      <c r="E41" s="60">
        <v>5.38</v>
      </c>
      <c r="F41" s="60">
        <v>2.90</v>
      </c>
      <c r="G41" s="60">
        <v>107.48</v>
      </c>
      <c r="H41" s="10" t="s">
        <v>43</v>
      </c>
      <c r="I41" s="60">
        <v>6.16</v>
      </c>
      <c r="J41" s="60">
        <v>0.90</v>
      </c>
      <c r="K41" s="60">
        <v>13.01</v>
      </c>
      <c r="L41" s="60">
        <v>44.64</v>
      </c>
      <c r="M41" s="60">
        <v>39.549999999999997</v>
      </c>
      <c r="N41" s="60">
        <v>722.40</v>
      </c>
      <c r="O41" s="60">
        <v>0</v>
      </c>
      <c r="P41" s="60">
        <v>1.32</v>
      </c>
      <c r="Q41" s="60">
        <v>37.01</v>
      </c>
      <c r="R41" s="139"/>
      <c r="S41" s="213"/>
      <c r="T41" s="210"/>
      <c r="U41" s="60"/>
    </row>
    <row r="42" spans="1:21" s="12" customFormat="1" ht="15">
      <c r="A42" s="201" t="s">
        <v>277</v>
      </c>
      <c r="B42" s="60">
        <v>2.29</v>
      </c>
      <c r="C42" s="60">
        <v>29.92</v>
      </c>
      <c r="D42" s="60">
        <v>32.21</v>
      </c>
      <c r="E42" s="60">
        <v>5.71</v>
      </c>
      <c r="F42" s="60">
        <v>3.39</v>
      </c>
      <c r="G42" s="60">
        <v>112.04</v>
      </c>
      <c r="H42" s="10" t="s">
        <v>43</v>
      </c>
      <c r="I42" s="60">
        <v>6.03</v>
      </c>
      <c r="J42" s="60">
        <v>0.95</v>
      </c>
      <c r="K42" s="60">
        <v>27.64</v>
      </c>
      <c r="L42" s="60">
        <v>44</v>
      </c>
      <c r="M42" s="60">
        <v>37.67</v>
      </c>
      <c r="N42" s="60">
        <v>779.90</v>
      </c>
      <c r="O42" s="60">
        <v>0</v>
      </c>
      <c r="P42" s="60">
        <v>1.40</v>
      </c>
      <c r="Q42" s="60">
        <v>34.60</v>
      </c>
      <c r="R42" s="139"/>
      <c r="S42" s="213"/>
      <c r="T42" s="210"/>
      <c r="U42" s="60"/>
    </row>
    <row r="43" spans="1:21" s="12" customFormat="1" ht="15">
      <c r="A43" s="201" t="s">
        <v>278</v>
      </c>
      <c r="B43" s="60">
        <v>1.97</v>
      </c>
      <c r="C43" s="60">
        <v>29.88</v>
      </c>
      <c r="D43" s="60">
        <v>31.85</v>
      </c>
      <c r="E43" s="60">
        <v>5.66</v>
      </c>
      <c r="F43" s="60">
        <v>3.88</v>
      </c>
      <c r="G43" s="60">
        <v>116.59</v>
      </c>
      <c r="H43" s="10" t="s">
        <v>43</v>
      </c>
      <c r="I43" s="60">
        <v>6.09</v>
      </c>
      <c r="J43" s="60">
        <v>0.87</v>
      </c>
      <c r="K43" s="60">
        <v>15.76</v>
      </c>
      <c r="L43" s="60">
        <v>45.97</v>
      </c>
      <c r="M43" s="60">
        <v>36.51</v>
      </c>
      <c r="N43" s="60">
        <v>817.30</v>
      </c>
      <c r="O43" s="60">
        <v>0</v>
      </c>
      <c r="P43" s="60">
        <v>1.49</v>
      </c>
      <c r="Q43" s="60">
        <v>40.68</v>
      </c>
      <c r="R43" s="139"/>
      <c r="S43" s="213"/>
      <c r="T43" s="210"/>
      <c r="U43" s="60"/>
    </row>
    <row r="44" spans="1:21" s="12" customFormat="1" ht="15">
      <c r="A44" s="201" t="s">
        <v>279</v>
      </c>
      <c r="B44" s="60">
        <v>1.79</v>
      </c>
      <c r="C44" s="60">
        <v>30.08</v>
      </c>
      <c r="D44" s="60">
        <v>31.87</v>
      </c>
      <c r="E44" s="60">
        <v>5.26</v>
      </c>
      <c r="F44" s="60">
        <v>4.0999999999999996</v>
      </c>
      <c r="G44" s="60">
        <v>116.59</v>
      </c>
      <c r="H44" s="10" t="s">
        <v>43</v>
      </c>
      <c r="I44" s="60">
        <v>6.24</v>
      </c>
      <c r="J44" s="60">
        <v>0.48</v>
      </c>
      <c r="K44" s="60">
        <v>293.56</v>
      </c>
      <c r="L44" s="60">
        <v>46.61</v>
      </c>
      <c r="M44" s="60">
        <v>34.72</v>
      </c>
      <c r="N44" s="60">
        <v>890.40</v>
      </c>
      <c r="O44" s="60">
        <v>0</v>
      </c>
      <c r="P44" s="60">
        <v>1.54</v>
      </c>
      <c r="Q44" s="60">
        <v>37.90</v>
      </c>
      <c r="R44" s="139"/>
      <c r="S44" s="213"/>
      <c r="T44" s="210"/>
      <c r="U44" s="60"/>
    </row>
    <row r="45" spans="1:21" s="12" customFormat="1" ht="15">
      <c r="A45" s="201" t="s">
        <v>280</v>
      </c>
      <c r="B45" s="60">
        <v>1.63</v>
      </c>
      <c r="C45" s="60">
        <v>34.49</v>
      </c>
      <c r="D45" s="60">
        <v>36.11</v>
      </c>
      <c r="E45" s="60">
        <v>5.14</v>
      </c>
      <c r="F45" s="60">
        <v>3.76</v>
      </c>
      <c r="G45" s="60">
        <v>116.59</v>
      </c>
      <c r="H45" s="10" t="s">
        <v>43</v>
      </c>
      <c r="I45" s="60">
        <v>6.51</v>
      </c>
      <c r="J45" s="60">
        <v>1.79</v>
      </c>
      <c r="K45" s="60">
        <v>320.55</v>
      </c>
      <c r="L45" s="60">
        <v>46.27</v>
      </c>
      <c r="M45" s="60">
        <v>34.200000000000003</v>
      </c>
      <c r="N45" s="60">
        <v>895.5</v>
      </c>
      <c r="O45" s="60">
        <v>0</v>
      </c>
      <c r="P45" s="60">
        <v>1.57</v>
      </c>
      <c r="Q45" s="60">
        <v>39.31</v>
      </c>
      <c r="R45" s="139"/>
      <c r="S45" s="213"/>
      <c r="T45" s="210"/>
      <c r="U45" s="60"/>
    </row>
    <row r="46" spans="1:21" s="12" customFormat="1" ht="15">
      <c r="A46" s="201" t="s">
        <v>281</v>
      </c>
      <c r="B46" s="60">
        <v>1.53</v>
      </c>
      <c r="C46" s="60">
        <v>33.270000000000003</v>
      </c>
      <c r="D46" s="60">
        <v>34.799999999999997</v>
      </c>
      <c r="E46" s="60">
        <v>4.95</v>
      </c>
      <c r="F46" s="60">
        <v>6.92</v>
      </c>
      <c r="G46" s="60">
        <v>119.72</v>
      </c>
      <c r="H46" s="10" t="s">
        <v>43</v>
      </c>
      <c r="I46" s="60">
        <v>6.89</v>
      </c>
      <c r="J46" s="60">
        <v>1.92</v>
      </c>
      <c r="K46" s="60">
        <v>235.59</v>
      </c>
      <c r="L46" s="60">
        <v>46.81</v>
      </c>
      <c r="M46" s="60">
        <v>32.44</v>
      </c>
      <c r="N46" s="10" t="s">
        <v>43</v>
      </c>
      <c r="O46" s="60">
        <v>0</v>
      </c>
      <c r="P46" s="60">
        <v>1.60</v>
      </c>
      <c r="Q46" s="60">
        <v>43.55</v>
      </c>
      <c r="R46" s="139"/>
      <c r="S46" s="213"/>
      <c r="T46" s="210"/>
      <c r="U46" s="60"/>
    </row>
    <row r="47" spans="1:21" s="12" customFormat="1" ht="15">
      <c r="A47" s="201" t="s">
        <v>282</v>
      </c>
      <c r="B47" s="60">
        <v>1.1399999999999999</v>
      </c>
      <c r="C47" s="60">
        <v>34.369999999999997</v>
      </c>
      <c r="D47" s="60">
        <v>35.520000000000003</v>
      </c>
      <c r="E47" s="60">
        <v>5.01</v>
      </c>
      <c r="F47" s="60">
        <v>4.38</v>
      </c>
      <c r="G47" s="60">
        <v>122.58</v>
      </c>
      <c r="H47" s="10" t="s">
        <v>43</v>
      </c>
      <c r="I47" s="60">
        <v>7.21</v>
      </c>
      <c r="J47" s="60">
        <v>0.25</v>
      </c>
      <c r="K47" s="60">
        <v>343.58</v>
      </c>
      <c r="L47" s="60">
        <v>47.35</v>
      </c>
      <c r="M47" s="60">
        <v>32.42</v>
      </c>
      <c r="N47" s="10" t="s">
        <v>43</v>
      </c>
      <c r="O47" s="60">
        <v>0</v>
      </c>
      <c r="P47" s="60">
        <v>1.63</v>
      </c>
      <c r="Q47" s="60">
        <v>45.47</v>
      </c>
      <c r="R47" s="139"/>
      <c r="S47" s="213"/>
      <c r="T47" s="210"/>
      <c r="U47" s="60"/>
    </row>
    <row r="48" spans="1:21" s="12" customFormat="1" ht="15">
      <c r="A48" s="201" t="s">
        <v>283</v>
      </c>
      <c r="B48" s="60">
        <v>1.0900000000000001</v>
      </c>
      <c r="C48" s="60">
        <v>35.99</v>
      </c>
      <c r="D48" s="60">
        <v>37.090000000000003</v>
      </c>
      <c r="E48" s="60">
        <v>4.9800000000000004</v>
      </c>
      <c r="F48" s="60">
        <v>4.1399999999999997</v>
      </c>
      <c r="G48" s="60">
        <v>122.58</v>
      </c>
      <c r="H48" s="10" t="s">
        <v>43</v>
      </c>
      <c r="I48" s="60">
        <v>7.96</v>
      </c>
      <c r="J48" s="60">
        <v>2.23</v>
      </c>
      <c r="K48" s="60">
        <v>316.58999999999997</v>
      </c>
      <c r="L48" s="60">
        <v>50.75</v>
      </c>
      <c r="M48" s="60">
        <v>31.23</v>
      </c>
      <c r="N48" s="10" t="s">
        <v>43</v>
      </c>
      <c r="O48" s="60">
        <v>0</v>
      </c>
      <c r="P48" s="60">
        <v>1.72</v>
      </c>
      <c r="Q48" s="60">
        <v>57.60</v>
      </c>
      <c r="R48" s="139"/>
      <c r="S48" s="213"/>
      <c r="T48" s="210"/>
      <c r="U48" s="60"/>
    </row>
    <row r="49" spans="1:21" s="12" customFormat="1" ht="15">
      <c r="A49" s="201" t="s">
        <v>284</v>
      </c>
      <c r="B49" s="60">
        <v>1.17</v>
      </c>
      <c r="C49" s="60">
        <v>37.35</v>
      </c>
      <c r="D49" s="60">
        <v>38.520000000000003</v>
      </c>
      <c r="E49" s="60">
        <v>5.33</v>
      </c>
      <c r="F49" s="60">
        <v>4.49</v>
      </c>
      <c r="G49" s="60">
        <v>122.58</v>
      </c>
      <c r="H49" s="10" t="s">
        <v>43</v>
      </c>
      <c r="I49" s="60">
        <v>8.43</v>
      </c>
      <c r="J49" s="60">
        <v>2.39</v>
      </c>
      <c r="K49" s="60">
        <v>309.63</v>
      </c>
      <c r="L49" s="60">
        <v>50.26</v>
      </c>
      <c r="M49" s="60">
        <v>29.22</v>
      </c>
      <c r="N49" s="10" t="s">
        <v>43</v>
      </c>
      <c r="O49" s="60">
        <v>0</v>
      </c>
      <c r="P49" s="60">
        <v>1.82</v>
      </c>
      <c r="Q49" s="60">
        <v>61.89</v>
      </c>
      <c r="R49" s="139"/>
      <c r="S49" s="213"/>
      <c r="T49" s="210"/>
      <c r="U49" s="60"/>
    </row>
    <row r="50" spans="1:21" s="12" customFormat="1" ht="15">
      <c r="A50" s="201" t="s">
        <v>285</v>
      </c>
      <c r="B50" s="60">
        <v>1.20</v>
      </c>
      <c r="C50" s="60">
        <v>37.92</v>
      </c>
      <c r="D50" s="60">
        <v>39.119999999999997</v>
      </c>
      <c r="E50" s="60">
        <v>5.37</v>
      </c>
      <c r="F50" s="60">
        <v>3.89</v>
      </c>
      <c r="G50" s="60">
        <v>124.66</v>
      </c>
      <c r="H50" s="10" t="s">
        <v>43</v>
      </c>
      <c r="I50" s="60">
        <v>9.36</v>
      </c>
      <c r="J50" s="60">
        <v>2.60</v>
      </c>
      <c r="K50" s="60">
        <v>315.19</v>
      </c>
      <c r="L50" s="60">
        <v>52.13</v>
      </c>
      <c r="M50" s="60">
        <v>26.08</v>
      </c>
      <c r="N50" s="10" t="s">
        <v>43</v>
      </c>
      <c r="O50" s="60">
        <v>0</v>
      </c>
      <c r="P50" s="60">
        <v>1.78</v>
      </c>
      <c r="Q50" s="60">
        <v>59.84</v>
      </c>
      <c r="R50" s="139"/>
      <c r="S50" s="213"/>
      <c r="T50" s="210"/>
      <c r="U50" s="60"/>
    </row>
    <row r="51" spans="1:21" s="12" customFormat="1" ht="15">
      <c r="A51" s="201" t="s">
        <v>286</v>
      </c>
      <c r="B51" s="60">
        <v>1.1100000000000001</v>
      </c>
      <c r="C51" s="60">
        <v>38.520000000000003</v>
      </c>
      <c r="D51" s="60">
        <v>39.630000000000003</v>
      </c>
      <c r="E51" s="60">
        <v>5.05</v>
      </c>
      <c r="F51" s="60">
        <v>4.8499999999999996</v>
      </c>
      <c r="G51" s="60">
        <v>128.59</v>
      </c>
      <c r="H51" s="10" t="s">
        <v>43</v>
      </c>
      <c r="I51" s="60">
        <v>11.69</v>
      </c>
      <c r="J51" s="60">
        <v>2.84</v>
      </c>
      <c r="K51" s="60">
        <v>310.89999999999998</v>
      </c>
      <c r="L51" s="60">
        <v>51</v>
      </c>
      <c r="M51" s="60">
        <v>27.02</v>
      </c>
      <c r="N51" s="60">
        <v>1067</v>
      </c>
      <c r="O51" s="60">
        <v>0</v>
      </c>
      <c r="P51" s="60">
        <v>1.72</v>
      </c>
      <c r="Q51" s="60">
        <v>56.36</v>
      </c>
      <c r="R51" s="139"/>
      <c r="S51" s="213"/>
      <c r="T51" s="210"/>
      <c r="U51" s="60"/>
    </row>
    <row r="52" spans="1:21" s="12" customFormat="1" ht="15">
      <c r="A52" s="201" t="s">
        <v>287</v>
      </c>
      <c r="B52" s="60">
        <v>1.02</v>
      </c>
      <c r="C52" s="60">
        <v>38.33</v>
      </c>
      <c r="D52" s="60">
        <v>39.36</v>
      </c>
      <c r="E52" s="60">
        <v>3.11</v>
      </c>
      <c r="F52" s="60">
        <v>5.22</v>
      </c>
      <c r="G52" s="60">
        <v>128.59</v>
      </c>
      <c r="H52" s="10" t="s">
        <v>43</v>
      </c>
      <c r="I52" s="60">
        <v>9.4700000000000006</v>
      </c>
      <c r="J52" s="60">
        <v>3.5</v>
      </c>
      <c r="K52" s="60">
        <v>334.10</v>
      </c>
      <c r="L52" s="60">
        <v>52.48</v>
      </c>
      <c r="M52" s="60">
        <v>24.82</v>
      </c>
      <c r="N52" s="10" t="s">
        <v>43</v>
      </c>
      <c r="O52" s="60">
        <v>0</v>
      </c>
      <c r="P52" s="60">
        <v>1.71</v>
      </c>
      <c r="Q52" s="60">
        <v>56.68</v>
      </c>
      <c r="R52" s="139"/>
      <c r="S52" s="213"/>
      <c r="T52" s="210"/>
      <c r="U52" s="60"/>
    </row>
    <row r="53" spans="1:21" s="12" customFormat="1" ht="15">
      <c r="A53" s="201" t="s">
        <v>288</v>
      </c>
      <c r="B53" s="60">
        <v>1.68</v>
      </c>
      <c r="C53" s="60">
        <v>40.85</v>
      </c>
      <c r="D53" s="60">
        <v>42.53</v>
      </c>
      <c r="E53" s="60">
        <v>5.88</v>
      </c>
      <c r="F53" s="60">
        <v>7.06</v>
      </c>
      <c r="G53" s="60">
        <v>128.59</v>
      </c>
      <c r="H53" s="10" t="s">
        <v>43</v>
      </c>
      <c r="I53" s="60">
        <v>8.82</v>
      </c>
      <c r="J53" s="60">
        <v>3.71</v>
      </c>
      <c r="K53" s="60">
        <v>345.68</v>
      </c>
      <c r="L53" s="60">
        <v>53.33</v>
      </c>
      <c r="M53" s="60">
        <v>22.70</v>
      </c>
      <c r="N53" s="10" t="s">
        <v>43</v>
      </c>
      <c r="O53" s="60">
        <v>0</v>
      </c>
      <c r="P53" s="60">
        <v>1.65</v>
      </c>
      <c r="Q53" s="60">
        <v>56.29</v>
      </c>
      <c r="R53" s="139"/>
      <c r="S53" s="213"/>
      <c r="T53" s="210"/>
      <c r="U53" s="60"/>
    </row>
    <row r="54" spans="1:21" s="12" customFormat="1" ht="15">
      <c r="A54" s="201" t="s">
        <v>289</v>
      </c>
      <c r="B54" s="60">
        <v>1.58</v>
      </c>
      <c r="C54" s="60">
        <v>44.13</v>
      </c>
      <c r="D54" s="60">
        <v>45.71</v>
      </c>
      <c r="E54" s="60">
        <v>6.07</v>
      </c>
      <c r="F54" s="60">
        <v>4.84</v>
      </c>
      <c r="G54" s="60">
        <v>126.16</v>
      </c>
      <c r="H54" s="10" t="s">
        <v>43</v>
      </c>
      <c r="I54" s="60">
        <v>6.80</v>
      </c>
      <c r="J54" s="60">
        <v>2.57</v>
      </c>
      <c r="K54" s="60">
        <v>35.799999999999997</v>
      </c>
      <c r="L54" s="60">
        <v>50.84</v>
      </c>
      <c r="M54" s="60">
        <v>21.16</v>
      </c>
      <c r="N54" s="10" t="s">
        <v>43</v>
      </c>
      <c r="O54" s="60">
        <v>0</v>
      </c>
      <c r="P54" s="60">
        <v>1.51</v>
      </c>
      <c r="Q54" s="60">
        <v>59.91</v>
      </c>
      <c r="R54" s="139"/>
      <c r="S54" s="213"/>
      <c r="T54" s="210"/>
      <c r="U54" s="60"/>
    </row>
    <row r="55" spans="1:21" s="12" customFormat="1" ht="15">
      <c r="A55" s="201" t="s">
        <v>290</v>
      </c>
      <c r="B55" s="60">
        <v>0.95</v>
      </c>
      <c r="C55" s="60">
        <v>43.34</v>
      </c>
      <c r="D55" s="60">
        <v>44.28</v>
      </c>
      <c r="E55" s="60">
        <v>6.06</v>
      </c>
      <c r="F55" s="60">
        <v>8.77</v>
      </c>
      <c r="G55" s="60">
        <v>123.88</v>
      </c>
      <c r="H55" s="10" t="s">
        <v>43</v>
      </c>
      <c r="I55" s="60">
        <v>6.42</v>
      </c>
      <c r="J55" s="60">
        <v>2.87</v>
      </c>
      <c r="K55" s="60">
        <v>25.53</v>
      </c>
      <c r="L55" s="60">
        <v>51.38</v>
      </c>
      <c r="M55" s="60">
        <v>21.38</v>
      </c>
      <c r="N55" s="10" t="s">
        <v>43</v>
      </c>
      <c r="O55" s="60">
        <v>0</v>
      </c>
      <c r="P55" s="60">
        <v>1.49</v>
      </c>
      <c r="Q55" s="60">
        <v>61.52</v>
      </c>
      <c r="R55" s="139"/>
      <c r="S55" s="213"/>
      <c r="T55" s="210"/>
      <c r="U55" s="60"/>
    </row>
    <row r="56" spans="1:21" s="12" customFormat="1" ht="15">
      <c r="A56" s="201" t="s">
        <v>291</v>
      </c>
      <c r="B56" s="60">
        <v>0.82</v>
      </c>
      <c r="C56" s="60">
        <v>45.44</v>
      </c>
      <c r="D56" s="60">
        <v>46.26</v>
      </c>
      <c r="E56" s="60">
        <v>5.52</v>
      </c>
      <c r="F56" s="60">
        <v>11.75</v>
      </c>
      <c r="G56" s="60">
        <v>123.88</v>
      </c>
      <c r="H56" s="5" t="s">
        <v>47</v>
      </c>
      <c r="I56" s="60">
        <v>4.51</v>
      </c>
      <c r="J56" s="60">
        <v>4.6100000000000003</v>
      </c>
      <c r="K56" s="60">
        <v>4.4800000000000004</v>
      </c>
      <c r="L56" s="60">
        <v>53.48</v>
      </c>
      <c r="M56" s="60">
        <v>19.059999999999999</v>
      </c>
      <c r="N56" s="10" t="s">
        <v>43</v>
      </c>
      <c r="O56" s="60">
        <v>0</v>
      </c>
      <c r="P56" s="60">
        <v>1.5</v>
      </c>
      <c r="Q56" s="60">
        <v>64.72</v>
      </c>
      <c r="R56" s="139"/>
      <c r="S56" s="213"/>
      <c r="T56" s="210"/>
      <c r="U56" s="60"/>
    </row>
    <row r="57" spans="1:21" s="12" customFormat="1" ht="15">
      <c r="A57" s="201" t="s">
        <v>292</v>
      </c>
      <c r="B57" s="60">
        <v>1.07</v>
      </c>
      <c r="C57" s="60">
        <v>54.19</v>
      </c>
      <c r="D57" s="60">
        <v>55.27</v>
      </c>
      <c r="E57" s="60">
        <v>4.82</v>
      </c>
      <c r="F57" s="60">
        <v>9.3800000000000008</v>
      </c>
      <c r="G57" s="60">
        <v>123.88</v>
      </c>
      <c r="H57" s="5" t="s">
        <v>47</v>
      </c>
      <c r="I57" s="60">
        <v>3.57</v>
      </c>
      <c r="J57" s="60">
        <v>3.55</v>
      </c>
      <c r="K57" s="60">
        <v>19.20</v>
      </c>
      <c r="L57" s="60">
        <v>54.90</v>
      </c>
      <c r="M57" s="60">
        <v>18.64</v>
      </c>
      <c r="N57" s="60">
        <v>808</v>
      </c>
      <c r="O57" s="60">
        <v>0</v>
      </c>
      <c r="P57" s="60">
        <v>1.57</v>
      </c>
      <c r="Q57" s="60">
        <v>72.11</v>
      </c>
      <c r="R57" s="139"/>
      <c r="S57" s="213"/>
      <c r="T57" s="210"/>
      <c r="U57" s="60"/>
    </row>
    <row r="58" spans="1:21" s="12" customFormat="1" ht="15">
      <c r="A58" s="201" t="s">
        <v>293</v>
      </c>
      <c r="B58" s="60">
        <v>1.1000000000000001</v>
      </c>
      <c r="C58" s="60">
        <v>52.78</v>
      </c>
      <c r="D58" s="60">
        <v>53.88</v>
      </c>
      <c r="E58" s="60">
        <v>4.63</v>
      </c>
      <c r="F58" s="60">
        <v>14.02</v>
      </c>
      <c r="G58" s="5" t="s">
        <v>47</v>
      </c>
      <c r="H58" s="5" t="s">
        <v>47</v>
      </c>
      <c r="I58" s="60">
        <v>3.86</v>
      </c>
      <c r="J58" s="60">
        <v>2.60</v>
      </c>
      <c r="K58" s="60">
        <v>8.66</v>
      </c>
      <c r="L58" s="60">
        <v>55.66</v>
      </c>
      <c r="M58" s="60">
        <v>18.45</v>
      </c>
      <c r="N58" s="60">
        <v>653.5</v>
      </c>
      <c r="O58" s="60">
        <v>0</v>
      </c>
      <c r="P58" s="60">
        <v>1.48</v>
      </c>
      <c r="Q58" s="60">
        <v>62.64</v>
      </c>
      <c r="R58" s="139"/>
      <c r="S58" s="213"/>
      <c r="T58" s="210"/>
      <c r="U58" s="60"/>
    </row>
    <row r="59" spans="1:21" s="12" customFormat="1" ht="15">
      <c r="A59" s="201" t="s">
        <v>294</v>
      </c>
      <c r="B59" s="60">
        <v>0.97</v>
      </c>
      <c r="C59" s="60">
        <v>58.31</v>
      </c>
      <c r="D59" s="60">
        <v>59.28</v>
      </c>
      <c r="E59" s="60">
        <v>4.9000000000000004</v>
      </c>
      <c r="F59" s="60">
        <v>13.24</v>
      </c>
      <c r="G59" s="5" t="s">
        <v>47</v>
      </c>
      <c r="H59" s="5" t="s">
        <v>47</v>
      </c>
      <c r="I59" s="60">
        <v>4.4000000000000004</v>
      </c>
      <c r="J59" s="60">
        <v>2.0299999999999998</v>
      </c>
      <c r="K59" s="60">
        <v>37.60</v>
      </c>
      <c r="L59" s="60">
        <v>51.34</v>
      </c>
      <c r="M59" s="60">
        <v>17.71</v>
      </c>
      <c r="N59" s="60">
        <v>699.30</v>
      </c>
      <c r="O59" s="60">
        <v>0</v>
      </c>
      <c r="P59" s="60">
        <v>1.43</v>
      </c>
      <c r="Q59" s="60">
        <v>101.85</v>
      </c>
      <c r="R59" s="139"/>
      <c r="S59" s="213"/>
      <c r="T59" s="210"/>
      <c r="U59" s="60"/>
    </row>
    <row r="60" spans="1:21" s="12" customFormat="1" ht="15">
      <c r="A60" s="201" t="s">
        <v>295</v>
      </c>
      <c r="B60" s="60">
        <v>0.70</v>
      </c>
      <c r="C60" s="60">
        <v>57.81</v>
      </c>
      <c r="D60" s="60">
        <v>58.52</v>
      </c>
      <c r="E60" s="60">
        <v>4.6900000000000004</v>
      </c>
      <c r="F60" s="60">
        <v>16.53</v>
      </c>
      <c r="G60" s="5" t="s">
        <v>47</v>
      </c>
      <c r="H60" s="5" t="s">
        <v>47</v>
      </c>
      <c r="I60" s="60">
        <v>3.83</v>
      </c>
      <c r="J60" s="60">
        <v>1.1299999999999999</v>
      </c>
      <c r="K60" s="60">
        <v>89.57</v>
      </c>
      <c r="L60" s="60">
        <v>50.15</v>
      </c>
      <c r="M60" s="60">
        <v>17.07</v>
      </c>
      <c r="N60" s="60">
        <v>827.5</v>
      </c>
      <c r="O60" s="60">
        <v>0</v>
      </c>
      <c r="P60" s="60">
        <v>1.28</v>
      </c>
      <c r="Q60" s="60">
        <v>109.72</v>
      </c>
      <c r="R60" s="139"/>
      <c r="S60" s="213"/>
      <c r="T60" s="210"/>
      <c r="U60" s="60"/>
    </row>
    <row r="61" spans="1:21" s="12" customFormat="1" ht="15">
      <c r="A61" s="201" t="s">
        <v>296</v>
      </c>
      <c r="B61" s="60">
        <v>0.49</v>
      </c>
      <c r="C61" s="60">
        <v>56.30</v>
      </c>
      <c r="D61" s="60">
        <v>56.79</v>
      </c>
      <c r="E61" s="60">
        <v>4.5999999999999996</v>
      </c>
      <c r="F61" s="60">
        <v>16.600000000000001</v>
      </c>
      <c r="G61" s="10" t="s">
        <v>43</v>
      </c>
      <c r="H61" s="10" t="s">
        <v>43</v>
      </c>
      <c r="I61" s="60">
        <v>3.42</v>
      </c>
      <c r="J61" s="60">
        <v>0.79</v>
      </c>
      <c r="K61" s="60">
        <v>50.64</v>
      </c>
      <c r="L61" s="60">
        <v>54.61</v>
      </c>
      <c r="M61" s="60">
        <v>16.03</v>
      </c>
      <c r="N61" s="60">
        <v>584.79999999999995</v>
      </c>
      <c r="O61" s="60">
        <v>0</v>
      </c>
      <c r="P61" s="60">
        <v>1.22</v>
      </c>
      <c r="Q61" s="60">
        <v>106.54</v>
      </c>
      <c r="R61" s="139"/>
      <c r="S61" s="213"/>
      <c r="T61" s="210"/>
      <c r="U61" s="60"/>
    </row>
    <row r="62" spans="1:21" s="12" customFormat="1" ht="15">
      <c r="A62" s="201" t="s">
        <v>297</v>
      </c>
      <c r="B62" s="60">
        <v>0.25</v>
      </c>
      <c r="C62" s="60">
        <v>52.49</v>
      </c>
      <c r="D62" s="60">
        <v>52.74</v>
      </c>
      <c r="E62" s="60">
        <v>4.0999999999999996</v>
      </c>
      <c r="F62" s="60">
        <v>21.29</v>
      </c>
      <c r="G62" s="60">
        <v>44.11</v>
      </c>
      <c r="H62" s="60">
        <v>39.119999999999997</v>
      </c>
      <c r="I62" s="60">
        <v>2.67</v>
      </c>
      <c r="J62" s="60">
        <v>1.81</v>
      </c>
      <c r="K62" s="60">
        <v>38.950000000000003</v>
      </c>
      <c r="L62" s="60">
        <v>52.15</v>
      </c>
      <c r="M62" s="60">
        <v>16.41</v>
      </c>
      <c r="N62" s="60">
        <v>895.40</v>
      </c>
      <c r="O62" s="60">
        <v>0</v>
      </c>
      <c r="P62" s="60">
        <v>1.18</v>
      </c>
      <c r="Q62" s="60">
        <v>107.87</v>
      </c>
      <c r="R62" s="139"/>
      <c r="S62" s="213"/>
      <c r="T62" s="210"/>
      <c r="U62" s="60"/>
    </row>
    <row r="63" spans="1:21" s="12" customFormat="1" ht="15">
      <c r="A63" s="201" t="s">
        <v>298</v>
      </c>
      <c r="B63" s="60">
        <v>0.09</v>
      </c>
      <c r="C63" s="60">
        <v>50.28</v>
      </c>
      <c r="D63" s="60">
        <v>50.37</v>
      </c>
      <c r="E63" s="60">
        <v>3.60</v>
      </c>
      <c r="F63" s="60">
        <v>15.86</v>
      </c>
      <c r="G63" s="26" t="s">
        <v>40</v>
      </c>
      <c r="H63" s="26" t="s">
        <v>40</v>
      </c>
      <c r="I63" s="60">
        <v>2.56</v>
      </c>
      <c r="J63" s="60">
        <v>2.57</v>
      </c>
      <c r="K63" s="60">
        <v>5.17</v>
      </c>
      <c r="L63" s="60">
        <v>53.96</v>
      </c>
      <c r="M63" s="60">
        <v>14.23</v>
      </c>
      <c r="N63" s="60">
        <v>521.60</v>
      </c>
      <c r="O63" s="60">
        <v>0</v>
      </c>
      <c r="P63" s="60">
        <v>1.26</v>
      </c>
      <c r="Q63" s="60">
        <v>115.61</v>
      </c>
      <c r="R63" s="139"/>
      <c r="S63" s="213"/>
      <c r="T63" s="210"/>
      <c r="U63" s="60"/>
    </row>
    <row r="64" spans="1:21" s="12" customFormat="1" ht="15">
      <c r="A64" s="201" t="s">
        <v>299</v>
      </c>
      <c r="B64" s="60">
        <v>0.41</v>
      </c>
      <c r="C64" s="60">
        <v>50.67</v>
      </c>
      <c r="D64" s="60">
        <v>51.07</v>
      </c>
      <c r="E64" s="60">
        <v>3.93</v>
      </c>
      <c r="F64" s="60">
        <v>7.70</v>
      </c>
      <c r="G64" s="26" t="s">
        <v>40</v>
      </c>
      <c r="H64" s="26" t="s">
        <v>40</v>
      </c>
      <c r="I64" s="60">
        <v>2.65</v>
      </c>
      <c r="J64" s="60">
        <v>2.16</v>
      </c>
      <c r="K64" s="60">
        <v>1.91</v>
      </c>
      <c r="L64" s="60">
        <v>56.23</v>
      </c>
      <c r="M64" s="60">
        <v>15.03</v>
      </c>
      <c r="N64" s="60">
        <v>719</v>
      </c>
      <c r="O64" s="60">
        <v>0</v>
      </c>
      <c r="P64" s="60">
        <v>1.23</v>
      </c>
      <c r="Q64" s="60">
        <v>126.38</v>
      </c>
      <c r="R64" s="139"/>
      <c r="S64" s="213"/>
      <c r="T64" s="210"/>
      <c r="U64" s="60"/>
    </row>
    <row r="65" spans="1:21" s="12" customFormat="1" ht="15">
      <c r="A65" s="201" t="s">
        <v>300</v>
      </c>
      <c r="B65" s="60">
        <v>1.19</v>
      </c>
      <c r="C65" s="60">
        <v>48.94</v>
      </c>
      <c r="D65" s="60">
        <v>50.12</v>
      </c>
      <c r="E65" s="60">
        <v>4.8600000000000003</v>
      </c>
      <c r="F65" s="60">
        <v>5.19</v>
      </c>
      <c r="G65" s="26" t="s">
        <v>40</v>
      </c>
      <c r="H65" s="26" t="s">
        <v>40</v>
      </c>
      <c r="I65" s="60">
        <v>3.05</v>
      </c>
      <c r="J65" s="60">
        <v>3.13</v>
      </c>
      <c r="K65" s="60">
        <v>349.63</v>
      </c>
      <c r="L65" s="60">
        <v>56.05</v>
      </c>
      <c r="M65" s="60">
        <v>14.23</v>
      </c>
      <c r="N65" s="60">
        <v>587.29999999999995</v>
      </c>
      <c r="O65" s="60">
        <v>0</v>
      </c>
      <c r="P65" s="60">
        <v>1.33</v>
      </c>
      <c r="Q65" s="60">
        <v>120.11</v>
      </c>
      <c r="R65" s="139"/>
      <c r="S65" s="213"/>
      <c r="T65" s="210"/>
      <c r="U65" s="60"/>
    </row>
    <row r="66" spans="1:21" s="12" customFormat="1" ht="15">
      <c r="A66" s="201" t="s">
        <v>301</v>
      </c>
      <c r="B66" s="60">
        <v>1.67</v>
      </c>
      <c r="C66" s="60">
        <v>47.80</v>
      </c>
      <c r="D66" s="60">
        <v>49.47</v>
      </c>
      <c r="E66" s="60">
        <v>4.88</v>
      </c>
      <c r="F66" s="60">
        <v>4.63</v>
      </c>
      <c r="G66" s="60">
        <v>205.11</v>
      </c>
      <c r="H66" s="60">
        <v>45.63</v>
      </c>
      <c r="I66" s="60">
        <v>3.27</v>
      </c>
      <c r="J66" s="60">
        <v>2.60</v>
      </c>
      <c r="K66" s="60">
        <v>345.80</v>
      </c>
      <c r="L66" s="60">
        <v>52.73</v>
      </c>
      <c r="M66" s="60">
        <v>13.81</v>
      </c>
      <c r="N66" s="60">
        <v>552.40</v>
      </c>
      <c r="O66" s="60">
        <v>0</v>
      </c>
      <c r="P66" s="60">
        <v>1.37</v>
      </c>
      <c r="Q66" s="60">
        <v>110.86</v>
      </c>
      <c r="R66" s="139"/>
      <c r="S66" s="213"/>
      <c r="T66" s="210"/>
      <c r="U66" s="60"/>
    </row>
    <row r="67" spans="1:21" s="12" customFormat="1" ht="15">
      <c r="A67" s="201" t="s">
        <v>302</v>
      </c>
      <c r="B67" s="60">
        <v>2.87</v>
      </c>
      <c r="C67" s="60">
        <v>47.90</v>
      </c>
      <c r="D67" s="60">
        <v>50.77</v>
      </c>
      <c r="E67" s="60">
        <v>4.5199999999999996</v>
      </c>
      <c r="F67" s="60">
        <v>4</v>
      </c>
      <c r="G67" s="60">
        <v>205.11</v>
      </c>
      <c r="H67" s="60">
        <v>59.52</v>
      </c>
      <c r="I67" s="60">
        <v>4.42</v>
      </c>
      <c r="J67" s="60">
        <v>2.66</v>
      </c>
      <c r="K67" s="60">
        <v>356.74</v>
      </c>
      <c r="L67" s="60">
        <v>52.20</v>
      </c>
      <c r="M67" s="60">
        <v>12.85</v>
      </c>
      <c r="N67" s="60">
        <v>560</v>
      </c>
      <c r="O67" s="60">
        <v>0</v>
      </c>
      <c r="P67" s="60">
        <v>1.38</v>
      </c>
      <c r="Q67" s="60">
        <v>106.56</v>
      </c>
      <c r="R67" s="139"/>
      <c r="S67" s="213"/>
      <c r="T67" s="210"/>
      <c r="U67" s="60"/>
    </row>
    <row r="68" spans="1:21" s="12" customFormat="1" ht="15">
      <c r="A68" s="201" t="s">
        <v>303</v>
      </c>
      <c r="B68" s="60">
        <v>3.35</v>
      </c>
      <c r="C68" s="60">
        <v>47.90</v>
      </c>
      <c r="D68" s="60">
        <v>51.25</v>
      </c>
      <c r="E68" s="60">
        <v>2.81</v>
      </c>
      <c r="F68" s="60">
        <v>3.46</v>
      </c>
      <c r="G68" s="60">
        <v>205.11</v>
      </c>
      <c r="H68" s="60">
        <v>59.52</v>
      </c>
      <c r="I68" s="60">
        <v>2.5299999999999998</v>
      </c>
      <c r="J68" s="60">
        <v>3.32</v>
      </c>
      <c r="K68" s="60">
        <v>337.04</v>
      </c>
      <c r="L68" s="60">
        <v>53.5</v>
      </c>
      <c r="M68" s="60">
        <v>13.11</v>
      </c>
      <c r="N68" s="60">
        <v>691.5</v>
      </c>
      <c r="O68" s="60">
        <v>0</v>
      </c>
      <c r="P68" s="60">
        <v>1.38</v>
      </c>
      <c r="Q68" s="60">
        <v>104.21</v>
      </c>
      <c r="R68" s="139"/>
      <c r="S68" s="213"/>
      <c r="T68" s="210"/>
      <c r="U68" s="60"/>
    </row>
    <row r="69" spans="1:21" s="12" customFormat="1" ht="15">
      <c r="A69" s="201" t="s">
        <v>304</v>
      </c>
      <c r="B69" s="60">
        <v>2.80</v>
      </c>
      <c r="C69" s="60">
        <v>46.97</v>
      </c>
      <c r="D69" s="60">
        <v>49.77</v>
      </c>
      <c r="E69" s="60">
        <v>5.27</v>
      </c>
      <c r="F69" s="60">
        <v>6.20</v>
      </c>
      <c r="G69" s="60">
        <v>205.11</v>
      </c>
      <c r="H69" s="60">
        <v>59.52</v>
      </c>
      <c r="I69" s="60">
        <v>3.55</v>
      </c>
      <c r="J69" s="60">
        <v>4.0599999999999996</v>
      </c>
      <c r="K69" s="60">
        <v>341.17</v>
      </c>
      <c r="L69" s="60">
        <v>55.31</v>
      </c>
      <c r="M69" s="60">
        <v>11.93</v>
      </c>
      <c r="N69" s="60">
        <v>680.20</v>
      </c>
      <c r="O69" s="60">
        <v>0</v>
      </c>
      <c r="P69" s="60">
        <v>1.38</v>
      </c>
      <c r="Q69" s="60">
        <v>103.03</v>
      </c>
      <c r="R69" s="139"/>
      <c r="S69" s="213"/>
      <c r="T69" s="210"/>
      <c r="U69" s="60"/>
    </row>
    <row r="70" spans="1:21" s="12" customFormat="1" ht="15">
      <c r="A70" s="201" t="s">
        <v>305</v>
      </c>
      <c r="B70" s="60">
        <v>2.2400000000000002</v>
      </c>
      <c r="C70" s="60">
        <v>45.47</v>
      </c>
      <c r="D70" s="60">
        <v>47.71</v>
      </c>
      <c r="E70" s="60">
        <v>5.14</v>
      </c>
      <c r="F70" s="60">
        <v>4.8600000000000003</v>
      </c>
      <c r="G70" s="60">
        <v>185.05</v>
      </c>
      <c r="H70" s="60">
        <v>58.08</v>
      </c>
      <c r="I70" s="60">
        <v>4.41</v>
      </c>
      <c r="J70" s="60">
        <v>4.07</v>
      </c>
      <c r="K70" s="60">
        <v>342.38</v>
      </c>
      <c r="L70" s="60">
        <v>53.01</v>
      </c>
      <c r="M70" s="60">
        <v>11.07</v>
      </c>
      <c r="N70" s="60">
        <v>716.80</v>
      </c>
      <c r="O70" s="60">
        <v>0</v>
      </c>
      <c r="P70" s="60">
        <v>1.34</v>
      </c>
      <c r="Q70" s="60">
        <v>98.84</v>
      </c>
      <c r="R70" s="139"/>
      <c r="S70" s="213"/>
      <c r="T70" s="210"/>
      <c r="U70" s="60"/>
    </row>
    <row r="71" spans="1:21" s="12" customFormat="1" ht="15">
      <c r="A71" s="201" t="s">
        <v>306</v>
      </c>
      <c r="B71" s="60">
        <v>1.72</v>
      </c>
      <c r="C71" s="60">
        <v>43.24</v>
      </c>
      <c r="D71" s="60">
        <v>44.96</v>
      </c>
      <c r="E71" s="60">
        <v>5.47</v>
      </c>
      <c r="F71" s="60">
        <v>5.26</v>
      </c>
      <c r="G71" s="60">
        <v>185.05</v>
      </c>
      <c r="H71" s="60">
        <v>57.64</v>
      </c>
      <c r="I71" s="60">
        <v>4.93</v>
      </c>
      <c r="J71" s="60">
        <v>3.78</v>
      </c>
      <c r="K71" s="60">
        <v>317.82</v>
      </c>
      <c r="L71" s="60">
        <v>53.40</v>
      </c>
      <c r="M71" s="60">
        <v>12.04</v>
      </c>
      <c r="N71" s="60">
        <v>648.20000000000005</v>
      </c>
      <c r="O71" s="60">
        <v>0</v>
      </c>
      <c r="P71" s="60">
        <v>1.32</v>
      </c>
      <c r="Q71" s="60">
        <v>96.21</v>
      </c>
      <c r="R71" s="139"/>
      <c r="S71" s="213"/>
      <c r="T71" s="210"/>
      <c r="U71" s="60"/>
    </row>
    <row r="72" spans="1:21" s="12" customFormat="1" ht="15">
      <c r="A72" s="201" t="s">
        <v>307</v>
      </c>
      <c r="B72" s="60">
        <v>1.34</v>
      </c>
      <c r="C72" s="60">
        <v>40.74</v>
      </c>
      <c r="D72" s="60">
        <v>42.07</v>
      </c>
      <c r="E72" s="60">
        <v>5.74</v>
      </c>
      <c r="F72" s="60">
        <v>5.39</v>
      </c>
      <c r="G72" s="60">
        <v>185.05</v>
      </c>
      <c r="H72" s="60">
        <v>57.64</v>
      </c>
      <c r="I72" s="60">
        <v>4.5599999999999996</v>
      </c>
      <c r="J72" s="60">
        <v>4.20</v>
      </c>
      <c r="K72" s="60">
        <v>327.55</v>
      </c>
      <c r="L72" s="60">
        <v>52.42</v>
      </c>
      <c r="M72" s="60">
        <v>12.44</v>
      </c>
      <c r="N72" s="60">
        <v>594.79999999999995</v>
      </c>
      <c r="O72" s="60">
        <v>0</v>
      </c>
      <c r="P72" s="60">
        <v>1.32</v>
      </c>
      <c r="Q72" s="60">
        <v>91.94</v>
      </c>
      <c r="R72" s="139"/>
      <c r="S72" s="213"/>
      <c r="T72" s="210"/>
      <c r="U72" s="60"/>
    </row>
    <row r="73" spans="1:21" s="12" customFormat="1" ht="15">
      <c r="A73" s="201" t="s">
        <v>308</v>
      </c>
      <c r="B73" s="60">
        <v>1.1100000000000001</v>
      </c>
      <c r="C73" s="60">
        <v>38.81</v>
      </c>
      <c r="D73" s="60">
        <v>39.93</v>
      </c>
      <c r="E73" s="60">
        <v>5.45</v>
      </c>
      <c r="F73" s="60">
        <v>5.49</v>
      </c>
      <c r="G73" s="60">
        <v>185.05</v>
      </c>
      <c r="H73" s="60">
        <v>57.64</v>
      </c>
      <c r="I73" s="60">
        <v>4.5999999999999996</v>
      </c>
      <c r="J73" s="60">
        <v>3.5</v>
      </c>
      <c r="K73" s="60">
        <v>337.64</v>
      </c>
      <c r="L73" s="60">
        <v>54.13</v>
      </c>
      <c r="M73" s="60">
        <v>12.20</v>
      </c>
      <c r="N73" s="60">
        <v>537.40</v>
      </c>
      <c r="O73" s="60">
        <v>0</v>
      </c>
      <c r="P73" s="60">
        <v>1.29</v>
      </c>
      <c r="Q73" s="60">
        <v>87.99</v>
      </c>
      <c r="R73" s="139"/>
      <c r="S73" s="213"/>
      <c r="T73" s="210"/>
      <c r="U73" s="60"/>
    </row>
    <row r="74" spans="1:21" s="12" customFormat="1" ht="15">
      <c r="A74" s="201" t="s">
        <v>309</v>
      </c>
      <c r="B74" s="60">
        <v>1.30</v>
      </c>
      <c r="C74" s="60">
        <v>38.78</v>
      </c>
      <c r="D74" s="60">
        <v>40.08</v>
      </c>
      <c r="E74" s="60">
        <v>5.47</v>
      </c>
      <c r="F74" s="60">
        <v>6.28</v>
      </c>
      <c r="G74" s="60">
        <v>164.44</v>
      </c>
      <c r="H74" s="60">
        <v>47.71</v>
      </c>
      <c r="I74" s="60">
        <v>4.5</v>
      </c>
      <c r="J74" s="60">
        <v>4.1500000000000004</v>
      </c>
      <c r="K74" s="60">
        <v>329.83</v>
      </c>
      <c r="L74" s="60">
        <v>53.37</v>
      </c>
      <c r="M74" s="60">
        <v>12.76</v>
      </c>
      <c r="N74" s="60">
        <v>449</v>
      </c>
      <c r="O74" s="60">
        <v>0</v>
      </c>
      <c r="P74" s="60">
        <v>1.28</v>
      </c>
      <c r="Q74" s="60">
        <v>93.29</v>
      </c>
      <c r="R74" s="139"/>
      <c r="S74" s="213"/>
      <c r="T74" s="210"/>
      <c r="U74" s="60"/>
    </row>
    <row r="75" spans="1:21" s="12" customFormat="1" ht="15">
      <c r="A75" s="201" t="s">
        <v>310</v>
      </c>
      <c r="B75" s="60">
        <v>1.38</v>
      </c>
      <c r="C75" s="60">
        <v>41.05</v>
      </c>
      <c r="D75" s="60">
        <v>42.43</v>
      </c>
      <c r="E75" s="60">
        <v>5.40</v>
      </c>
      <c r="F75" s="60">
        <v>6.5</v>
      </c>
      <c r="G75" s="60">
        <v>164.44</v>
      </c>
      <c r="H75" s="60">
        <v>44.69</v>
      </c>
      <c r="I75" s="60">
        <v>3.83</v>
      </c>
      <c r="J75" s="60">
        <v>3.85</v>
      </c>
      <c r="K75" s="60">
        <v>322.92</v>
      </c>
      <c r="L75" s="60">
        <v>48.30</v>
      </c>
      <c r="M75" s="60">
        <v>13.08</v>
      </c>
      <c r="N75" s="60">
        <v>324.70</v>
      </c>
      <c r="O75" s="60">
        <v>0</v>
      </c>
      <c r="P75" s="60">
        <v>1.26</v>
      </c>
      <c r="Q75" s="60">
        <v>102.12</v>
      </c>
      <c r="R75" s="139"/>
      <c r="S75" s="213"/>
      <c r="T75" s="210"/>
      <c r="U75" s="60"/>
    </row>
    <row r="76" spans="1:21" s="12" customFormat="1" ht="15">
      <c r="A76" s="201" t="s">
        <v>311</v>
      </c>
      <c r="B76" s="60">
        <v>1.56</v>
      </c>
      <c r="C76" s="60">
        <v>42.71</v>
      </c>
      <c r="D76" s="60">
        <v>44.27</v>
      </c>
      <c r="E76" s="60">
        <v>5.64</v>
      </c>
      <c r="F76" s="60">
        <v>7.23</v>
      </c>
      <c r="G76" s="60">
        <v>164.44</v>
      </c>
      <c r="H76" s="60">
        <v>44.69</v>
      </c>
      <c r="I76" s="60">
        <v>3.97</v>
      </c>
      <c r="J76" s="60">
        <v>3.10</v>
      </c>
      <c r="K76" s="60">
        <v>326.5</v>
      </c>
      <c r="L76" s="60">
        <v>50.39</v>
      </c>
      <c r="M76" s="60">
        <v>13.94</v>
      </c>
      <c r="N76" s="60">
        <v>322</v>
      </c>
      <c r="O76" s="60">
        <v>0</v>
      </c>
      <c r="P76" s="60">
        <v>1.39</v>
      </c>
      <c r="Q76" s="60">
        <v>101.13</v>
      </c>
      <c r="R76" s="139"/>
      <c r="S76" s="213"/>
      <c r="T76" s="210"/>
      <c r="U76" s="60"/>
    </row>
    <row r="77" spans="1:21" s="12" customFormat="1" ht="15">
      <c r="A77" s="201" t="s">
        <v>312</v>
      </c>
      <c r="B77" s="60">
        <v>1.94</v>
      </c>
      <c r="C77" s="60">
        <v>44.30</v>
      </c>
      <c r="D77" s="60">
        <v>46.24</v>
      </c>
      <c r="E77" s="60">
        <v>5.85</v>
      </c>
      <c r="F77" s="60">
        <v>6.71</v>
      </c>
      <c r="G77" s="60">
        <v>164.44</v>
      </c>
      <c r="H77" s="60">
        <v>44.69</v>
      </c>
      <c r="I77" s="60">
        <v>3.92</v>
      </c>
      <c r="J77" s="60">
        <v>3.66</v>
      </c>
      <c r="K77" s="60">
        <v>0.54</v>
      </c>
      <c r="L77" s="60">
        <v>48.76</v>
      </c>
      <c r="M77" s="60">
        <v>10.80</v>
      </c>
      <c r="N77" s="60">
        <v>254.60</v>
      </c>
      <c r="O77" s="60">
        <v>0</v>
      </c>
      <c r="P77" s="60">
        <v>1.38</v>
      </c>
      <c r="Q77" s="60">
        <v>105.34</v>
      </c>
      <c r="R77" s="139"/>
      <c r="S77" s="213"/>
      <c r="T77" s="210"/>
      <c r="U77" s="60"/>
    </row>
    <row r="78" spans="1:21" s="12" customFormat="1" ht="15">
      <c r="A78" s="201" t="s">
        <v>313</v>
      </c>
      <c r="B78" s="60">
        <v>2.52</v>
      </c>
      <c r="C78" s="60">
        <v>45.83</v>
      </c>
      <c r="D78" s="60">
        <v>48.35</v>
      </c>
      <c r="E78" s="60">
        <v>6.22</v>
      </c>
      <c r="F78" s="60">
        <v>5.98</v>
      </c>
      <c r="G78" s="60">
        <v>165.47</v>
      </c>
      <c r="H78" s="60">
        <v>44.45</v>
      </c>
      <c r="I78" s="60">
        <v>3.55</v>
      </c>
      <c r="J78" s="60">
        <v>3.68</v>
      </c>
      <c r="K78" s="60">
        <v>358.68</v>
      </c>
      <c r="L78" s="60">
        <v>49.07</v>
      </c>
      <c r="M78" s="60">
        <v>10.199999999999999</v>
      </c>
      <c r="N78" s="60">
        <v>227.80</v>
      </c>
      <c r="O78" s="60">
        <v>0</v>
      </c>
      <c r="P78" s="60">
        <v>1.40</v>
      </c>
      <c r="Q78" s="60">
        <v>113.89</v>
      </c>
      <c r="R78" s="139"/>
      <c r="S78" s="213"/>
      <c r="T78" s="210"/>
      <c r="U78" s="60"/>
    </row>
    <row r="79" spans="1:21" s="12" customFormat="1" ht="15">
      <c r="A79" s="201" t="s">
        <v>314</v>
      </c>
      <c r="B79" s="60">
        <v>3.41</v>
      </c>
      <c r="C79" s="60">
        <v>46.36</v>
      </c>
      <c r="D79" s="60">
        <v>49.77</v>
      </c>
      <c r="E79" s="60">
        <v>6.46</v>
      </c>
      <c r="F79" s="60">
        <v>5.65</v>
      </c>
      <c r="G79" s="60">
        <v>165.65</v>
      </c>
      <c r="H79" s="60">
        <v>44.37</v>
      </c>
      <c r="I79" s="60">
        <v>3.85</v>
      </c>
      <c r="J79" s="60">
        <v>3.37</v>
      </c>
      <c r="K79" s="60">
        <v>353.67</v>
      </c>
      <c r="L79" s="60">
        <v>48</v>
      </c>
      <c r="M79" s="60">
        <v>11.10</v>
      </c>
      <c r="N79" s="60">
        <v>202.60</v>
      </c>
      <c r="O79" s="60">
        <v>0</v>
      </c>
      <c r="P79" s="60">
        <v>1.53</v>
      </c>
      <c r="Q79" s="60">
        <v>110.61</v>
      </c>
      <c r="R79" s="139"/>
      <c r="S79" s="213"/>
      <c r="T79" s="210"/>
      <c r="U79" s="60"/>
    </row>
    <row r="80" spans="1:21" s="12" customFormat="1" ht="15">
      <c r="A80" s="201" t="s">
        <v>315</v>
      </c>
      <c r="B80" s="60">
        <v>3.90</v>
      </c>
      <c r="C80" s="60">
        <v>46.43</v>
      </c>
      <c r="D80" s="60">
        <v>50.33</v>
      </c>
      <c r="E80" s="60">
        <v>6.90</v>
      </c>
      <c r="F80" s="60">
        <v>5.27</v>
      </c>
      <c r="G80" s="60">
        <v>165.65</v>
      </c>
      <c r="H80" s="60">
        <v>44.37</v>
      </c>
      <c r="I80" s="60">
        <v>3.76</v>
      </c>
      <c r="J80" s="60">
        <v>3.08</v>
      </c>
      <c r="K80" s="60">
        <v>353.08</v>
      </c>
      <c r="L80" s="60">
        <v>48.45</v>
      </c>
      <c r="M80" s="60">
        <v>11.70</v>
      </c>
      <c r="N80" s="60">
        <v>177.10</v>
      </c>
      <c r="O80" s="60">
        <v>0</v>
      </c>
      <c r="P80" s="60">
        <v>1.78</v>
      </c>
      <c r="Q80" s="60">
        <v>111.45</v>
      </c>
      <c r="R80" s="139"/>
      <c r="S80" s="213"/>
      <c r="T80" s="210"/>
      <c r="U80" s="60"/>
    </row>
    <row r="81" spans="1:21" s="12" customFormat="1" ht="15">
      <c r="A81" s="201" t="s">
        <v>316</v>
      </c>
      <c r="B81" s="60">
        <v>5.43</v>
      </c>
      <c r="C81" s="60">
        <v>48.12</v>
      </c>
      <c r="D81" s="60">
        <v>53.55</v>
      </c>
      <c r="E81" s="60">
        <v>6.87</v>
      </c>
      <c r="F81" s="60">
        <v>5.03</v>
      </c>
      <c r="G81" s="60">
        <v>165.65</v>
      </c>
      <c r="H81" s="60">
        <v>44.37</v>
      </c>
      <c r="I81" s="60">
        <v>4.5599999999999996</v>
      </c>
      <c r="J81" s="60">
        <v>2.44</v>
      </c>
      <c r="K81" s="60">
        <v>1.81</v>
      </c>
      <c r="L81" s="60">
        <v>48.31</v>
      </c>
      <c r="M81" s="60">
        <v>11.90</v>
      </c>
      <c r="N81" s="60">
        <v>157.10</v>
      </c>
      <c r="O81" s="60">
        <v>0</v>
      </c>
      <c r="P81" s="60">
        <v>2.27</v>
      </c>
      <c r="Q81" s="60">
        <v>108.46</v>
      </c>
      <c r="R81" s="139"/>
      <c r="S81" s="213"/>
      <c r="T81" s="210"/>
      <c r="U81" s="60"/>
    </row>
    <row r="82" spans="1:21" s="12" customFormat="1" ht="15">
      <c r="A82" s="201" t="s">
        <v>317</v>
      </c>
      <c r="B82" s="60">
        <v>9.98</v>
      </c>
      <c r="C82" s="60">
        <v>51.49</v>
      </c>
      <c r="D82" s="60">
        <v>61.47</v>
      </c>
      <c r="E82" s="60">
        <v>7.20</v>
      </c>
      <c r="F82" s="60">
        <v>3.04</v>
      </c>
      <c r="G82" s="60">
        <v>163.52000000000001</v>
      </c>
      <c r="H82" s="60">
        <v>41.86</v>
      </c>
      <c r="I82" s="60">
        <v>5.35</v>
      </c>
      <c r="J82" s="60">
        <v>1.40</v>
      </c>
      <c r="K82" s="60">
        <v>41.57</v>
      </c>
      <c r="L82" s="60">
        <v>48.42</v>
      </c>
      <c r="M82" s="60">
        <v>12.45</v>
      </c>
      <c r="N82" s="60">
        <v>131</v>
      </c>
      <c r="O82" s="60">
        <v>0</v>
      </c>
      <c r="P82" s="60">
        <v>2.71</v>
      </c>
      <c r="Q82" s="60">
        <v>108</v>
      </c>
      <c r="R82" s="139"/>
      <c r="S82" s="213"/>
      <c r="T82" s="210"/>
      <c r="U82" s="60"/>
    </row>
    <row r="83" spans="1:21" s="12" customFormat="1" ht="15">
      <c r="A83" s="201" t="s">
        <v>318</v>
      </c>
      <c r="B83" s="60">
        <v>21.05</v>
      </c>
      <c r="C83" s="60">
        <v>56.85</v>
      </c>
      <c r="D83" s="60">
        <v>77.900000000000006</v>
      </c>
      <c r="E83" s="60">
        <v>7.28</v>
      </c>
      <c r="F83" s="60">
        <v>2.2400000000000002</v>
      </c>
      <c r="G83" s="60">
        <v>162.96</v>
      </c>
      <c r="H83" s="60">
        <v>41.10</v>
      </c>
      <c r="I83" s="60">
        <v>7.48</v>
      </c>
      <c r="J83" s="60">
        <v>1.1599999999999999</v>
      </c>
      <c r="K83" s="60">
        <v>29.45</v>
      </c>
      <c r="L83" s="60">
        <v>48.59</v>
      </c>
      <c r="M83" s="60">
        <v>16.899999999999999</v>
      </c>
      <c r="N83" s="60">
        <v>111.30</v>
      </c>
      <c r="O83" s="60">
        <v>0</v>
      </c>
      <c r="P83" s="60">
        <v>2.5099999999999998</v>
      </c>
      <c r="Q83" s="60">
        <v>109.38</v>
      </c>
      <c r="R83" s="139"/>
      <c r="S83" s="213"/>
      <c r="T83" s="210"/>
      <c r="U83" s="60"/>
    </row>
    <row r="84" spans="1:21" s="12" customFormat="1" ht="15">
      <c r="A84" s="201" t="s">
        <v>319</v>
      </c>
      <c r="B84" s="60">
        <v>28.76</v>
      </c>
      <c r="C84" s="60">
        <v>60.55</v>
      </c>
      <c r="D84" s="60">
        <v>89.31</v>
      </c>
      <c r="E84" s="60">
        <v>3.56</v>
      </c>
      <c r="F84" s="60">
        <v>1.82</v>
      </c>
      <c r="G84" s="60">
        <v>162.96</v>
      </c>
      <c r="H84" s="60">
        <v>41.10</v>
      </c>
      <c r="I84" s="60">
        <v>11.52</v>
      </c>
      <c r="J84" s="60">
        <v>2.16</v>
      </c>
      <c r="K84" s="60">
        <v>60.49</v>
      </c>
      <c r="L84" s="60">
        <v>46.48</v>
      </c>
      <c r="M84" s="60">
        <v>19.329999999999998</v>
      </c>
      <c r="N84" s="60">
        <v>106.10</v>
      </c>
      <c r="O84" s="60">
        <v>0</v>
      </c>
      <c r="P84" s="60">
        <v>3.5</v>
      </c>
      <c r="Q84" s="60">
        <v>112.07</v>
      </c>
      <c r="R84" s="139"/>
      <c r="S84" s="213"/>
      <c r="T84" s="210"/>
      <c r="U84" s="60"/>
    </row>
    <row r="85" spans="1:21" s="12" customFormat="1" ht="15">
      <c r="A85" s="201" t="s">
        <v>320</v>
      </c>
      <c r="B85" s="60">
        <v>37.97</v>
      </c>
      <c r="C85" s="60">
        <v>64.36</v>
      </c>
      <c r="D85" s="60">
        <v>102.33</v>
      </c>
      <c r="E85" s="60">
        <v>6.48</v>
      </c>
      <c r="F85" s="60">
        <v>1.45</v>
      </c>
      <c r="G85" s="60">
        <v>162.96</v>
      </c>
      <c r="H85" s="60">
        <v>41.10</v>
      </c>
      <c r="I85" s="60">
        <v>10.66</v>
      </c>
      <c r="J85" s="60">
        <v>1.89</v>
      </c>
      <c r="K85" s="60">
        <v>21.78</v>
      </c>
      <c r="L85" s="60">
        <v>46.73</v>
      </c>
      <c r="M85" s="60">
        <v>17.440000000000001</v>
      </c>
      <c r="N85" s="60">
        <v>103.90</v>
      </c>
      <c r="O85" s="60">
        <v>0</v>
      </c>
      <c r="P85" s="60">
        <v>3.39</v>
      </c>
      <c r="Q85" s="60">
        <v>114.93</v>
      </c>
      <c r="R85" s="139"/>
      <c r="S85" s="213"/>
      <c r="T85" s="210"/>
      <c r="U85" s="60"/>
    </row>
    <row r="86" spans="1:21" s="12" customFormat="1" ht="15">
      <c r="A86" s="201" t="s">
        <v>321</v>
      </c>
      <c r="B86" s="60">
        <v>46.35</v>
      </c>
      <c r="C86" s="60">
        <v>67.959999999999994</v>
      </c>
      <c r="D86" s="60">
        <v>114.31</v>
      </c>
      <c r="E86" s="60">
        <v>7.24</v>
      </c>
      <c r="F86" s="60">
        <v>1.83</v>
      </c>
      <c r="G86" s="60">
        <v>191.28</v>
      </c>
      <c r="H86" s="60">
        <v>46.01</v>
      </c>
      <c r="I86" s="60">
        <v>20.99</v>
      </c>
      <c r="J86" s="60">
        <v>1.96</v>
      </c>
      <c r="K86" s="60">
        <v>22.91</v>
      </c>
      <c r="L86" s="60">
        <v>47.57</v>
      </c>
      <c r="M86" s="60">
        <v>16.809999999999999</v>
      </c>
      <c r="N86" s="60">
        <v>104.70</v>
      </c>
      <c r="O86" s="60">
        <v>0</v>
      </c>
      <c r="P86" s="60">
        <v>3.81</v>
      </c>
      <c r="Q86" s="60">
        <v>117.09</v>
      </c>
      <c r="R86" s="139"/>
      <c r="S86" s="213"/>
      <c r="T86" s="210"/>
      <c r="U86" s="60"/>
    </row>
    <row r="87" spans="1:21" s="12" customFormat="1" ht="15">
      <c r="A87" s="201" t="s">
        <v>322</v>
      </c>
      <c r="B87" s="60">
        <v>53.57</v>
      </c>
      <c r="C87" s="60">
        <v>70.36</v>
      </c>
      <c r="D87" s="60">
        <v>123.93</v>
      </c>
      <c r="E87" s="60">
        <v>7.39</v>
      </c>
      <c r="F87" s="60">
        <v>1.71</v>
      </c>
      <c r="G87" s="60">
        <v>191.28</v>
      </c>
      <c r="H87" s="60">
        <v>47.51</v>
      </c>
      <c r="I87" s="60">
        <v>19.16</v>
      </c>
      <c r="J87" s="60">
        <v>1.97</v>
      </c>
      <c r="K87" s="60">
        <v>43.03</v>
      </c>
      <c r="L87" s="60">
        <v>46.73</v>
      </c>
      <c r="M87" s="60">
        <v>15.76</v>
      </c>
      <c r="N87" s="60">
        <v>105.30</v>
      </c>
      <c r="O87" s="60">
        <v>0</v>
      </c>
      <c r="P87" s="60">
        <v>4.0599999999999996</v>
      </c>
      <c r="Q87" s="60">
        <v>119.33</v>
      </c>
      <c r="R87" s="139"/>
      <c r="S87" s="213"/>
      <c r="T87" s="210"/>
      <c r="U87" s="60"/>
    </row>
    <row r="88" spans="1:21" s="12" customFormat="1" ht="15">
      <c r="A88" s="201" t="s">
        <v>323</v>
      </c>
      <c r="B88" s="60">
        <v>59.53</v>
      </c>
      <c r="C88" s="60">
        <v>72.95</v>
      </c>
      <c r="D88" s="60">
        <v>132.47</v>
      </c>
      <c r="E88" s="60">
        <v>7.86</v>
      </c>
      <c r="F88" s="60">
        <v>1.62</v>
      </c>
      <c r="G88" s="60">
        <v>191.28</v>
      </c>
      <c r="H88" s="60">
        <v>47.51</v>
      </c>
      <c r="I88" s="60">
        <v>18.989999999999998</v>
      </c>
      <c r="J88" s="60">
        <v>2.2400000000000002</v>
      </c>
      <c r="K88" s="60">
        <v>50.74</v>
      </c>
      <c r="L88" s="60">
        <v>47.33</v>
      </c>
      <c r="M88" s="60">
        <v>15.29</v>
      </c>
      <c r="N88" s="60">
        <v>105.10</v>
      </c>
      <c r="O88" s="60">
        <v>0</v>
      </c>
      <c r="P88" s="60">
        <v>3.97</v>
      </c>
      <c r="Q88" s="60">
        <v>121.57</v>
      </c>
      <c r="R88" s="139"/>
      <c r="S88" s="213"/>
      <c r="T88" s="210"/>
      <c r="U88" s="60"/>
    </row>
    <row r="89" spans="1:21" s="12" customFormat="1" ht="15">
      <c r="A89" s="201" t="s">
        <v>324</v>
      </c>
      <c r="B89" s="60">
        <v>67.569999999999993</v>
      </c>
      <c r="C89" s="60">
        <v>75.78</v>
      </c>
      <c r="D89" s="60">
        <v>143.35</v>
      </c>
      <c r="E89" s="60">
        <v>7.77</v>
      </c>
      <c r="F89" s="60">
        <v>1.65</v>
      </c>
      <c r="G89" s="60">
        <v>191.28</v>
      </c>
      <c r="H89" s="60">
        <v>47.51</v>
      </c>
      <c r="I89" s="60">
        <v>21.97</v>
      </c>
      <c r="J89" s="60">
        <v>2.12</v>
      </c>
      <c r="K89" s="60">
        <v>48.71</v>
      </c>
      <c r="L89" s="60">
        <v>47.18</v>
      </c>
      <c r="M89" s="60">
        <v>17.899999999999999</v>
      </c>
      <c r="N89" s="60">
        <v>105.60</v>
      </c>
      <c r="O89" s="60">
        <v>0</v>
      </c>
      <c r="P89" s="60">
        <v>5.05</v>
      </c>
      <c r="Q89" s="60">
        <v>123.04</v>
      </c>
      <c r="R89" s="139"/>
      <c r="S89" s="213"/>
      <c r="T89" s="210"/>
      <c r="U89" s="60"/>
    </row>
    <row r="90" spans="1:21" s="12" customFormat="1" ht="15">
      <c r="A90" s="201" t="s">
        <v>325</v>
      </c>
      <c r="B90" s="60">
        <v>81.25</v>
      </c>
      <c r="C90" s="60">
        <v>77.86</v>
      </c>
      <c r="D90" s="60">
        <v>159.10</v>
      </c>
      <c r="E90" s="60">
        <v>7.94</v>
      </c>
      <c r="F90" s="60">
        <v>1.42</v>
      </c>
      <c r="G90" s="60">
        <v>213.10</v>
      </c>
      <c r="H90" s="60">
        <v>49.96</v>
      </c>
      <c r="I90" s="60">
        <v>19.87</v>
      </c>
      <c r="J90" s="60">
        <v>2.04</v>
      </c>
      <c r="K90" s="60">
        <v>12.31</v>
      </c>
      <c r="L90" s="60">
        <v>45.07</v>
      </c>
      <c r="M90" s="60">
        <v>23.13</v>
      </c>
      <c r="N90" s="60">
        <v>106.40</v>
      </c>
      <c r="O90" s="60">
        <v>0</v>
      </c>
      <c r="P90" s="60">
        <v>5.32</v>
      </c>
      <c r="Q90" s="60">
        <v>128.44999999999999</v>
      </c>
      <c r="R90" s="139"/>
      <c r="S90" s="213"/>
      <c r="T90" s="210"/>
      <c r="U90" s="60"/>
    </row>
    <row r="91" spans="1:21" s="12" customFormat="1" ht="15">
      <c r="A91" s="201" t="s">
        <v>326</v>
      </c>
      <c r="B91" s="60">
        <v>102.43</v>
      </c>
      <c r="C91" s="60">
        <v>79.55</v>
      </c>
      <c r="D91" s="60">
        <v>181.97</v>
      </c>
      <c r="E91" s="60">
        <v>8.23</v>
      </c>
      <c r="F91" s="60">
        <v>1.18</v>
      </c>
      <c r="G91" s="60">
        <v>219.75</v>
      </c>
      <c r="H91" s="60">
        <v>50.71</v>
      </c>
      <c r="I91" s="60">
        <v>28.62</v>
      </c>
      <c r="J91" s="60">
        <v>1.20</v>
      </c>
      <c r="K91" s="60">
        <v>249.58</v>
      </c>
      <c r="L91" s="60">
        <v>42.83</v>
      </c>
      <c r="M91" s="60">
        <v>25.21</v>
      </c>
      <c r="N91" s="60">
        <v>106.90</v>
      </c>
      <c r="O91" s="60">
        <v>0</v>
      </c>
      <c r="P91" s="60">
        <v>5.61</v>
      </c>
      <c r="Q91" s="60">
        <v>136.86000000000001</v>
      </c>
      <c r="R91" s="139"/>
      <c r="S91" s="213"/>
      <c r="T91" s="210"/>
      <c r="U91" s="60"/>
    </row>
    <row r="92" spans="1:21" s="12" customFormat="1" ht="15">
      <c r="A92" s="201" t="s">
        <v>327</v>
      </c>
      <c r="B92" s="60">
        <v>115.40</v>
      </c>
      <c r="C92" s="60">
        <v>80.61</v>
      </c>
      <c r="D92" s="60">
        <v>196</v>
      </c>
      <c r="E92" s="60">
        <v>8.4499999999999993</v>
      </c>
      <c r="F92" s="60">
        <v>1.28</v>
      </c>
      <c r="G92" s="60">
        <v>219.75</v>
      </c>
      <c r="H92" s="60">
        <v>50.71</v>
      </c>
      <c r="I92" s="60">
        <v>27.5</v>
      </c>
      <c r="J92" s="60">
        <v>1.60</v>
      </c>
      <c r="K92" s="60">
        <v>105.74</v>
      </c>
      <c r="L92" s="60">
        <v>44.07</v>
      </c>
      <c r="M92" s="60">
        <v>27.14</v>
      </c>
      <c r="N92" s="60">
        <v>107.40</v>
      </c>
      <c r="O92" s="60">
        <v>0</v>
      </c>
      <c r="P92" s="60">
        <v>5.04</v>
      </c>
      <c r="Q92" s="60">
        <v>143.47999999999999</v>
      </c>
      <c r="R92" s="139"/>
      <c r="S92" s="213"/>
      <c r="T92" s="210"/>
      <c r="U92" s="60"/>
    </row>
    <row r="93" spans="1:21" s="12" customFormat="1" ht="15">
      <c r="A93" s="201" t="s">
        <v>328</v>
      </c>
      <c r="B93" s="60">
        <v>122.89</v>
      </c>
      <c r="C93" s="60">
        <v>80.95</v>
      </c>
      <c r="D93" s="60">
        <v>203.84</v>
      </c>
      <c r="E93" s="60">
        <v>8.0500000000000007</v>
      </c>
      <c r="F93" s="60">
        <v>1.65</v>
      </c>
      <c r="G93" s="60">
        <v>219.75</v>
      </c>
      <c r="H93" s="60">
        <v>50.71</v>
      </c>
      <c r="I93" s="60">
        <v>30.13</v>
      </c>
      <c r="J93" s="60">
        <v>1.89</v>
      </c>
      <c r="K93" s="60">
        <v>96.65</v>
      </c>
      <c r="L93" s="60">
        <v>42.31</v>
      </c>
      <c r="M93" s="60">
        <v>28.43</v>
      </c>
      <c r="N93" s="60">
        <v>108.90</v>
      </c>
      <c r="O93" s="60">
        <v>0</v>
      </c>
      <c r="P93" s="60">
        <v>4.9000000000000004</v>
      </c>
      <c r="Q93" s="60">
        <v>138.88</v>
      </c>
      <c r="R93" s="139"/>
      <c r="S93" s="213"/>
      <c r="T93" s="210"/>
      <c r="U93" s="60"/>
    </row>
    <row r="94" spans="1:21" s="12" customFormat="1" ht="15">
      <c r="A94" s="201" t="s">
        <v>329</v>
      </c>
      <c r="B94" s="60">
        <v>130.52000000000001</v>
      </c>
      <c r="C94" s="60">
        <v>81.23</v>
      </c>
      <c r="D94" s="60">
        <v>211.75</v>
      </c>
      <c r="E94" s="60">
        <v>8.0500000000000007</v>
      </c>
      <c r="F94" s="60">
        <v>1.51</v>
      </c>
      <c r="G94" s="60">
        <v>271.77</v>
      </c>
      <c r="H94" s="60">
        <v>58.96</v>
      </c>
      <c r="I94" s="60">
        <v>25.42</v>
      </c>
      <c r="J94" s="60">
        <v>1.1599999999999999</v>
      </c>
      <c r="K94" s="60">
        <v>56.45</v>
      </c>
      <c r="L94" s="60">
        <v>42.02</v>
      </c>
      <c r="M94" s="60">
        <v>33.01</v>
      </c>
      <c r="N94" s="60">
        <v>110.20</v>
      </c>
      <c r="O94" s="60">
        <v>0</v>
      </c>
      <c r="P94" s="60">
        <v>7.19</v>
      </c>
      <c r="Q94" s="60">
        <v>149.11000000000001</v>
      </c>
      <c r="R94" s="139"/>
      <c r="S94" s="213"/>
      <c r="T94" s="210"/>
      <c r="U94" s="60"/>
    </row>
    <row r="95" spans="1:21" s="12" customFormat="1" ht="15">
      <c r="A95" s="201" t="s">
        <v>330</v>
      </c>
      <c r="B95" s="60">
        <v>144.16999999999999</v>
      </c>
      <c r="C95" s="60">
        <v>80.94</v>
      </c>
      <c r="D95" s="60">
        <v>225.11</v>
      </c>
      <c r="E95" s="60">
        <v>8.41</v>
      </c>
      <c r="F95" s="60">
        <v>1.18</v>
      </c>
      <c r="G95" s="60">
        <v>280.81</v>
      </c>
      <c r="H95" s="60">
        <v>61.47</v>
      </c>
      <c r="I95" s="60">
        <v>24.48</v>
      </c>
      <c r="J95" s="60">
        <v>1.19</v>
      </c>
      <c r="K95" s="60">
        <v>82.64</v>
      </c>
      <c r="L95" s="60">
        <v>42.16</v>
      </c>
      <c r="M95" s="60">
        <v>37.15</v>
      </c>
      <c r="N95" s="60">
        <v>110.10</v>
      </c>
      <c r="O95" s="60">
        <v>0</v>
      </c>
      <c r="P95" s="60">
        <v>8.16</v>
      </c>
      <c r="Q95" s="60">
        <v>154.13</v>
      </c>
      <c r="R95" s="139"/>
      <c r="S95" s="213"/>
      <c r="T95" s="210"/>
      <c r="U95" s="60"/>
    </row>
    <row r="96" spans="1:26" s="12" customFormat="1" ht="15">
      <c r="A96" s="201" t="s">
        <v>331</v>
      </c>
      <c r="B96" s="60">
        <v>166.32</v>
      </c>
      <c r="C96" s="60">
        <v>81.70</v>
      </c>
      <c r="D96" s="60">
        <v>248.02</v>
      </c>
      <c r="E96" s="60">
        <v>8.59</v>
      </c>
      <c r="F96" s="60">
        <v>1.27</v>
      </c>
      <c r="G96" s="60">
        <v>280.81</v>
      </c>
      <c r="H96" s="60">
        <v>61.47</v>
      </c>
      <c r="I96" s="60">
        <v>32.58</v>
      </c>
      <c r="J96" s="60">
        <v>0.69</v>
      </c>
      <c r="K96" s="60">
        <v>150.01</v>
      </c>
      <c r="L96" s="60">
        <v>43.92</v>
      </c>
      <c r="M96" s="60">
        <v>36.96</v>
      </c>
      <c r="N96" s="60">
        <v>110.10</v>
      </c>
      <c r="O96" s="60">
        <v>0</v>
      </c>
      <c r="P96" s="60">
        <v>6.86</v>
      </c>
      <c r="Q96" s="60">
        <v>165.49</v>
      </c>
      <c r="R96" s="139"/>
      <c r="S96" s="213"/>
      <c r="T96" s="210"/>
      <c r="U96" s="60"/>
      <c r="Z96" s="109"/>
    </row>
    <row r="97" spans="1:21" s="12" customFormat="1" ht="15">
      <c r="A97" s="201" t="s">
        <v>332</v>
      </c>
      <c r="B97" s="60">
        <v>178.66</v>
      </c>
      <c r="C97" s="60">
        <v>81.900000000000006</v>
      </c>
      <c r="D97" s="60">
        <v>260.56</v>
      </c>
      <c r="E97" s="60">
        <v>8.91</v>
      </c>
      <c r="F97" s="60">
        <v>1.20</v>
      </c>
      <c r="G97" s="60">
        <v>280.81</v>
      </c>
      <c r="H97" s="60">
        <v>61.47</v>
      </c>
      <c r="I97" s="60">
        <v>37.119999999999997</v>
      </c>
      <c r="J97" s="60">
        <v>1.44</v>
      </c>
      <c r="K97" s="60">
        <v>230.56</v>
      </c>
      <c r="L97" s="60">
        <v>42.27</v>
      </c>
      <c r="M97" s="60">
        <v>32.32</v>
      </c>
      <c r="N97" s="60">
        <v>109.60</v>
      </c>
      <c r="O97" s="60">
        <v>0</v>
      </c>
      <c r="P97" s="60">
        <v>4.5599999999999996</v>
      </c>
      <c r="Q97" s="60">
        <v>173.84</v>
      </c>
      <c r="R97" s="139"/>
      <c r="S97" s="213"/>
      <c r="T97" s="210"/>
      <c r="U97" s="60"/>
    </row>
    <row r="98" spans="1:21" s="12" customFormat="1" ht="15">
      <c r="A98" s="201" t="s">
        <v>333</v>
      </c>
      <c r="B98" s="60">
        <v>177.33</v>
      </c>
      <c r="C98" s="60">
        <v>78.28</v>
      </c>
      <c r="D98" s="60">
        <v>255.61</v>
      </c>
      <c r="E98" s="60">
        <v>9.36</v>
      </c>
      <c r="F98" s="60">
        <v>1.46</v>
      </c>
      <c r="G98" s="60">
        <v>329.64</v>
      </c>
      <c r="H98" s="60">
        <v>67.03</v>
      </c>
      <c r="I98" s="60">
        <v>35.18</v>
      </c>
      <c r="J98" s="60">
        <v>1.62</v>
      </c>
      <c r="K98" s="60">
        <v>312.60000000000002</v>
      </c>
      <c r="L98" s="60">
        <v>40.229999999999997</v>
      </c>
      <c r="M98" s="60">
        <v>33.25</v>
      </c>
      <c r="N98" s="60">
        <v>111.30</v>
      </c>
      <c r="O98" s="60">
        <v>0</v>
      </c>
      <c r="P98" s="60">
        <v>4.7699999999999996</v>
      </c>
      <c r="Q98" s="60">
        <v>171.34</v>
      </c>
      <c r="R98" s="139"/>
      <c r="S98" s="213"/>
      <c r="T98" s="210"/>
      <c r="U98" s="60"/>
    </row>
    <row r="99" spans="1:21" s="12" customFormat="1" ht="15">
      <c r="A99" s="201" t="s">
        <v>334</v>
      </c>
      <c r="B99" s="60">
        <v>175.18</v>
      </c>
      <c r="C99" s="60">
        <v>74.70</v>
      </c>
      <c r="D99" s="60">
        <v>249.87</v>
      </c>
      <c r="E99" s="60">
        <v>9.7100000000000009</v>
      </c>
      <c r="F99" s="60">
        <v>0.83</v>
      </c>
      <c r="G99" s="60">
        <v>333.23</v>
      </c>
      <c r="H99" s="60">
        <v>68.73</v>
      </c>
      <c r="I99" s="60">
        <v>22.30</v>
      </c>
      <c r="J99" s="60">
        <v>1.1000000000000001</v>
      </c>
      <c r="K99" s="60">
        <v>61.68</v>
      </c>
      <c r="L99" s="60">
        <v>41.01</v>
      </c>
      <c r="M99" s="60">
        <v>37.24</v>
      </c>
      <c r="N99" s="60">
        <v>112</v>
      </c>
      <c r="O99" s="60">
        <v>0</v>
      </c>
      <c r="P99" s="60">
        <v>4.3499999999999996</v>
      </c>
      <c r="Q99" s="60">
        <v>170.30</v>
      </c>
      <c r="R99" s="139"/>
      <c r="S99" s="213"/>
      <c r="T99" s="210"/>
      <c r="U99" s="60"/>
    </row>
    <row r="100" spans="1:33" s="12" customFormat="1" ht="15">
      <c r="A100" s="201" t="s">
        <v>335</v>
      </c>
      <c r="B100" s="60">
        <v>173.67</v>
      </c>
      <c r="C100" s="60">
        <v>70.83</v>
      </c>
      <c r="D100" s="60">
        <v>244.5</v>
      </c>
      <c r="E100" s="60">
        <v>5.07</v>
      </c>
      <c r="F100" s="60">
        <v>0.53</v>
      </c>
      <c r="G100" s="60">
        <v>333.23</v>
      </c>
      <c r="H100" s="60">
        <v>68.73</v>
      </c>
      <c r="I100" s="60">
        <v>21.25</v>
      </c>
      <c r="J100" s="60">
        <v>1.63</v>
      </c>
      <c r="K100" s="60">
        <v>62.99</v>
      </c>
      <c r="L100" s="60">
        <v>40.729999999999997</v>
      </c>
      <c r="M100" s="60">
        <v>38.94</v>
      </c>
      <c r="N100" s="60">
        <v>111.80</v>
      </c>
      <c r="O100" s="60">
        <v>0</v>
      </c>
      <c r="P100" s="60">
        <v>4.79</v>
      </c>
      <c r="Q100" s="60">
        <v>172.17</v>
      </c>
      <c r="R100" s="139"/>
      <c r="S100" s="213"/>
      <c r="T100" s="210"/>
      <c r="U100" s="60"/>
      <c r="AB100" s="110"/>
      <c r="AG100" s="109"/>
    </row>
    <row r="101" spans="1:21" s="12" customFormat="1" ht="15">
      <c r="A101" s="201" t="s">
        <v>336</v>
      </c>
      <c r="B101" s="60">
        <v>174.66</v>
      </c>
      <c r="C101" s="60">
        <v>68.17</v>
      </c>
      <c r="D101" s="60">
        <v>242.83</v>
      </c>
      <c r="E101" s="60">
        <v>8.5500000000000007</v>
      </c>
      <c r="F101" s="60">
        <v>0.23</v>
      </c>
      <c r="G101" s="60">
        <v>333.23</v>
      </c>
      <c r="H101" s="60">
        <v>68.73</v>
      </c>
      <c r="I101" s="60">
        <v>19.760000000000002</v>
      </c>
      <c r="J101" s="60">
        <v>1.57</v>
      </c>
      <c r="K101" s="60">
        <v>26.10</v>
      </c>
      <c r="L101" s="60">
        <v>40.33</v>
      </c>
      <c r="M101" s="60">
        <v>40.409999999999997</v>
      </c>
      <c r="N101" s="60">
        <v>112.10</v>
      </c>
      <c r="O101" s="60">
        <v>0</v>
      </c>
      <c r="P101" s="60">
        <v>4.66</v>
      </c>
      <c r="Q101" s="60">
        <v>174.30</v>
      </c>
      <c r="R101" s="139"/>
      <c r="S101" s="213"/>
      <c r="T101" s="210"/>
      <c r="U101" s="60"/>
    </row>
    <row r="102" spans="1:21" s="12" customFormat="1" ht="15">
      <c r="A102" s="201" t="s">
        <v>337</v>
      </c>
      <c r="B102" s="60">
        <v>183.41</v>
      </c>
      <c r="C102" s="60">
        <v>66.55</v>
      </c>
      <c r="D102" s="60">
        <v>249.96</v>
      </c>
      <c r="E102" s="60">
        <v>9.33</v>
      </c>
      <c r="F102" s="60">
        <v>0.18</v>
      </c>
      <c r="G102" s="60">
        <v>334.35</v>
      </c>
      <c r="H102" s="60">
        <v>71.73</v>
      </c>
      <c r="I102" s="60">
        <v>20.71</v>
      </c>
      <c r="J102" s="60">
        <v>1.56</v>
      </c>
      <c r="K102" s="60">
        <v>22.13</v>
      </c>
      <c r="L102" s="60">
        <v>38.79</v>
      </c>
      <c r="M102" s="60">
        <v>47</v>
      </c>
      <c r="N102" s="60">
        <v>112.60</v>
      </c>
      <c r="O102" s="60">
        <v>0</v>
      </c>
      <c r="P102" s="60">
        <v>4.57</v>
      </c>
      <c r="Q102" s="60">
        <v>175.68</v>
      </c>
      <c r="R102" s="139"/>
      <c r="S102" s="213"/>
      <c r="T102" s="210"/>
      <c r="U102" s="60"/>
    </row>
    <row r="103" spans="1:21" s="12" customFormat="1" ht="15">
      <c r="A103" s="201" t="s">
        <v>338</v>
      </c>
      <c r="B103" s="60">
        <v>186.62</v>
      </c>
      <c r="C103" s="60">
        <v>64.36</v>
      </c>
      <c r="D103" s="60">
        <v>250.97</v>
      </c>
      <c r="E103" s="60">
        <v>8.6999999999999993</v>
      </c>
      <c r="F103" s="5" t="s">
        <v>47</v>
      </c>
      <c r="G103" s="60">
        <v>334.35</v>
      </c>
      <c r="H103" s="60">
        <v>72.650000000000006</v>
      </c>
      <c r="I103" s="60">
        <v>19.940000000000001</v>
      </c>
      <c r="J103" s="60">
        <v>0.70</v>
      </c>
      <c r="K103" s="60">
        <v>44.54</v>
      </c>
      <c r="L103" s="60">
        <v>39.78</v>
      </c>
      <c r="M103" s="60">
        <v>47.41</v>
      </c>
      <c r="N103" s="60">
        <v>112.40</v>
      </c>
      <c r="O103" s="60">
        <v>0</v>
      </c>
      <c r="P103" s="60">
        <v>4.3600000000000003</v>
      </c>
      <c r="Q103" s="60">
        <v>177.52</v>
      </c>
      <c r="R103" s="139"/>
      <c r="S103" s="213"/>
      <c r="T103" s="210"/>
      <c r="U103" s="60"/>
    </row>
    <row r="104" spans="1:21" s="12" customFormat="1" ht="15">
      <c r="A104" s="201" t="s">
        <v>339</v>
      </c>
      <c r="B104" s="60">
        <v>187.88</v>
      </c>
      <c r="C104" s="60">
        <v>62.87</v>
      </c>
      <c r="D104" s="60">
        <v>250.75</v>
      </c>
      <c r="E104" s="60">
        <v>8.7799999999999994</v>
      </c>
      <c r="F104" s="5" t="s">
        <v>47</v>
      </c>
      <c r="G104" s="60">
        <v>334.35</v>
      </c>
      <c r="H104" s="60">
        <v>72.650000000000006</v>
      </c>
      <c r="I104" s="60">
        <v>19.149999999999999</v>
      </c>
      <c r="J104" s="60">
        <v>1.60</v>
      </c>
      <c r="K104" s="60">
        <v>1.45</v>
      </c>
      <c r="L104" s="60">
        <v>39.840000000000003</v>
      </c>
      <c r="M104" s="60">
        <v>47.57</v>
      </c>
      <c r="N104" s="60">
        <v>112.60</v>
      </c>
      <c r="O104" s="60">
        <v>0</v>
      </c>
      <c r="P104" s="60">
        <v>4.38</v>
      </c>
      <c r="Q104" s="60">
        <v>178.14</v>
      </c>
      <c r="R104" s="214"/>
      <c r="S104" s="215"/>
      <c r="T104" s="210"/>
      <c r="U104" s="60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0.089999999999999997</v>
      </c>
      <c r="C106" s="67">
        <f>MIN(C9:C104)</f>
        <v>20.82</v>
      </c>
      <c r="D106" s="67">
        <f t="shared" si="0" ref="D106:Q106">MIN(D9:D104)</f>
        <v>22.84</v>
      </c>
      <c r="E106" s="67">
        <f t="shared" si="0"/>
        <v>2.8100000000000001</v>
      </c>
      <c r="F106" s="67">
        <f t="shared" si="0"/>
        <v>0.17999999999999999</v>
      </c>
      <c r="G106" s="67">
        <f t="shared" si="0"/>
        <v>44.109999999999999</v>
      </c>
      <c r="H106" s="67">
        <f t="shared" si="0"/>
        <v>39.119999999999997</v>
      </c>
      <c r="I106" s="67">
        <f t="shared" si="0"/>
        <v>0.040000000000000001</v>
      </c>
      <c r="J106" s="67">
        <f t="shared" si="0"/>
        <v>0.25</v>
      </c>
      <c r="K106" s="67">
        <f t="shared" si="0"/>
        <v>0.54000000000000004</v>
      </c>
      <c r="L106" s="67">
        <f t="shared" si="0"/>
        <v>35.649999999999999</v>
      </c>
      <c r="M106" s="67">
        <f t="shared" si="0"/>
        <v>10.199999999999999</v>
      </c>
      <c r="N106" s="67">
        <f t="shared" si="0"/>
        <v>103.90000000000001</v>
      </c>
      <c r="O106" s="67">
        <f t="shared" si="0"/>
        <v>0</v>
      </c>
      <c r="P106" s="67">
        <f t="shared" si="0"/>
        <v>0.92000000000000004</v>
      </c>
      <c r="Q106" s="67">
        <f t="shared" si="0"/>
        <v>34.600000000000001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187.88</v>
      </c>
      <c r="C107" s="66">
        <f t="shared" si="1" ref="C107:Q107">MAX(C9:C104)</f>
        <v>81.900000000000006</v>
      </c>
      <c r="D107" s="66">
        <f t="shared" si="1"/>
        <v>260.56</v>
      </c>
      <c r="E107" s="66">
        <f t="shared" si="1"/>
        <v>9.7100000000000009</v>
      </c>
      <c r="F107" s="66">
        <f t="shared" si="1"/>
        <v>21.289999999999999</v>
      </c>
      <c r="G107" s="66">
        <f t="shared" si="1"/>
        <v>334.35000000000002</v>
      </c>
      <c r="H107" s="66">
        <f t="shared" si="1"/>
        <v>72.650000000000006</v>
      </c>
      <c r="I107" s="66">
        <f t="shared" si="1"/>
        <v>37.119999999999997</v>
      </c>
      <c r="J107" s="66">
        <f t="shared" si="1"/>
        <v>15.35</v>
      </c>
      <c r="K107" s="66">
        <f t="shared" si="1"/>
        <v>358.68000000000001</v>
      </c>
      <c r="L107" s="66">
        <f t="shared" si="1"/>
        <v>56.229999999999997</v>
      </c>
      <c r="M107" s="66">
        <f t="shared" si="1"/>
        <v>57.670000000000002</v>
      </c>
      <c r="N107" s="66">
        <f t="shared" si="1"/>
        <v>1067</v>
      </c>
      <c r="O107" s="66">
        <f t="shared" si="1"/>
        <v>0</v>
      </c>
      <c r="P107" s="66">
        <f t="shared" si="1"/>
        <v>8.1600000000000001</v>
      </c>
      <c r="Q107" s="66">
        <f t="shared" si="1"/>
        <v>178.13999999999999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30.328854166666662</v>
      </c>
      <c r="C108" s="67">
        <f t="shared" si="2" ref="C108:Q108">AVERAGE(C9:C104)</f>
        <v>45.017499999999991</v>
      </c>
      <c r="D108" s="67">
        <f t="shared" si="2"/>
        <v>75.34604166666665</v>
      </c>
      <c r="E108" s="67">
        <f t="shared" si="2"/>
        <v>6.4377083333333331</v>
      </c>
      <c r="F108" s="67">
        <f t="shared" si="2"/>
        <v>4.668404255319146</v>
      </c>
      <c r="G108" s="67">
        <f t="shared" si="2"/>
        <v>158.33921348314604</v>
      </c>
      <c r="H108" s="67">
        <f t="shared" si="2"/>
        <v>53.576500000000024</v>
      </c>
      <c r="I108" s="67">
        <f t="shared" si="2"/>
        <v>8.6844791666666676</v>
      </c>
      <c r="J108" s="67">
        <f t="shared" si="2"/>
        <v>2.534479166666666</v>
      </c>
      <c r="K108" s="67">
        <f t="shared" si="2"/>
        <v>187.94718750000007</v>
      </c>
      <c r="L108" s="67">
        <f t="shared" si="2"/>
        <v>44.917604166666678</v>
      </c>
      <c r="M108" s="67">
        <f t="shared" si="2"/>
        <v>32.341666666666676</v>
      </c>
      <c r="N108" s="67">
        <f t="shared" si="2"/>
        <v>412.24767441860462</v>
      </c>
      <c r="O108" s="67">
        <f t="shared" si="2"/>
        <v>0</v>
      </c>
      <c r="P108" s="67">
        <f t="shared" si="2"/>
        <v>2.158958333333334</v>
      </c>
      <c r="Q108" s="67">
        <f t="shared" si="2"/>
        <v>91.71374999999999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56.24344033554943</v>
      </c>
      <c r="C109" s="67">
        <f t="shared" si="3" ref="C109:Q109">STDEV(C9:C104)</f>
        <v>17.940918828785048</v>
      </c>
      <c r="D109" s="67">
        <f t="shared" si="3"/>
        <v>70.742592418297804</v>
      </c>
      <c r="E109" s="67">
        <f t="shared" si="3"/>
        <v>1.551193414365833</v>
      </c>
      <c r="F109" s="67">
        <f t="shared" si="3"/>
        <v>4.2495963889796693</v>
      </c>
      <c r="G109" s="67">
        <f t="shared" si="3"/>
        <v>70.660291105734146</v>
      </c>
      <c r="H109" s="67">
        <f t="shared" si="3"/>
        <v>10.139305228309246</v>
      </c>
      <c r="I109" s="67">
        <f t="shared" si="3"/>
        <v>8.5221416717422382</v>
      </c>
      <c r="J109" s="67">
        <f t="shared" si="3"/>
        <v>2.5811147611231329</v>
      </c>
      <c r="K109" s="67">
        <f t="shared" si="3"/>
        <v>127.88788409510228</v>
      </c>
      <c r="L109" s="67">
        <f t="shared" si="3"/>
        <v>6.3728022002703844</v>
      </c>
      <c r="M109" s="67">
        <f t="shared" si="3"/>
        <v>15.9280978258823</v>
      </c>
      <c r="N109" s="67">
        <f t="shared" si="3"/>
        <v>249.67095085414039</v>
      </c>
      <c r="O109" s="67">
        <f t="shared" si="3"/>
        <v>0</v>
      </c>
      <c r="P109" s="67">
        <f t="shared" si="3"/>
        <v>1.591062855066363</v>
      </c>
      <c r="Q109" s="67">
        <f t="shared" si="3"/>
        <v>38.822258191051091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COUNT(G9:G104)+6</f>
        <v>95</v>
      </c>
      <c r="H110" s="66">
        <f>COUNT(H9:H104)+8</f>
        <v>48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86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3130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dd66a2-f71a-4602-a85d-5d241a91a1b3}">
  <sheetPr codeName=""/>
  <dimension ref="A1:AG117"/>
  <sheetViews>
    <sheetView workbookViewId="0" topLeftCell="A1">
      <pane xSplit="1" ySplit="8" topLeftCell="B9" activePane="bottomRight" state="frozen"/>
      <selection pane="topLeft" activeCell="A9" sqref="A9:U104"/>
      <selection pane="topRight" activeCell="A9" sqref="A9:U104"/>
      <selection pane="bottomLeft" activeCell="A9" sqref="A9:U104"/>
      <selection pane="bottomRight" activeCell="F7" sqref="F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02-06-2022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341</v>
      </c>
      <c r="B9" s="60">
        <v>185.95</v>
      </c>
      <c r="C9" s="60">
        <v>61.34</v>
      </c>
      <c r="D9" s="60">
        <v>247.29</v>
      </c>
      <c r="E9" s="60">
        <v>8.85</v>
      </c>
      <c r="F9" s="5" t="s">
        <v>47</v>
      </c>
      <c r="G9" s="60">
        <v>334.35</v>
      </c>
      <c r="H9" s="60">
        <v>72.650000000000006</v>
      </c>
      <c r="I9" s="60">
        <v>18.34</v>
      </c>
      <c r="J9" s="60">
        <v>1.07</v>
      </c>
      <c r="K9" s="60">
        <v>71.48</v>
      </c>
      <c r="L9" s="60">
        <v>40.17</v>
      </c>
      <c r="M9" s="60">
        <v>46.70</v>
      </c>
      <c r="N9" s="60">
        <v>112.5</v>
      </c>
      <c r="O9" s="60">
        <v>0</v>
      </c>
      <c r="P9" s="60">
        <v>4.13</v>
      </c>
      <c r="Q9" s="60">
        <v>177.61</v>
      </c>
      <c r="R9" s="198"/>
      <c r="S9" s="198"/>
      <c r="T9" s="198"/>
      <c r="U9" s="198"/>
    </row>
    <row r="10" spans="1:21" s="12" customFormat="1" ht="15">
      <c r="A10" s="201" t="s">
        <v>342</v>
      </c>
      <c r="B10" s="60">
        <v>182.24</v>
      </c>
      <c r="C10" s="60">
        <v>59.79</v>
      </c>
      <c r="D10" s="60">
        <v>242.03</v>
      </c>
      <c r="E10" s="60">
        <v>8.60</v>
      </c>
      <c r="F10" s="5" t="s">
        <v>47</v>
      </c>
      <c r="G10" s="60">
        <v>323.12</v>
      </c>
      <c r="H10" s="60">
        <v>68.33</v>
      </c>
      <c r="I10" s="60">
        <v>17.920000000000002</v>
      </c>
      <c r="J10" s="60">
        <v>1.47</v>
      </c>
      <c r="K10" s="60">
        <v>15.22</v>
      </c>
      <c r="L10" s="60">
        <v>42.16</v>
      </c>
      <c r="M10" s="60">
        <v>46.60</v>
      </c>
      <c r="N10" s="60">
        <v>112.90</v>
      </c>
      <c r="O10" s="60">
        <v>0</v>
      </c>
      <c r="P10" s="60">
        <v>3.82</v>
      </c>
      <c r="Q10" s="60">
        <v>174.40</v>
      </c>
      <c r="R10" s="198"/>
      <c r="S10" s="198"/>
      <c r="T10" s="198"/>
      <c r="U10" s="198"/>
    </row>
    <row r="11" spans="1:21" s="12" customFormat="1" ht="15">
      <c r="A11" s="201" t="s">
        <v>343</v>
      </c>
      <c r="B11" s="60">
        <v>176.77</v>
      </c>
      <c r="C11" s="60">
        <v>58.06</v>
      </c>
      <c r="D11" s="60">
        <v>234.83</v>
      </c>
      <c r="E11" s="60">
        <v>8.44</v>
      </c>
      <c r="F11" s="5" t="s">
        <v>47</v>
      </c>
      <c r="G11" s="60">
        <v>323.12</v>
      </c>
      <c r="H11" s="60">
        <v>67.099999999999994</v>
      </c>
      <c r="I11" s="60">
        <v>17.100000000000001</v>
      </c>
      <c r="J11" s="60">
        <v>0.89</v>
      </c>
      <c r="K11" s="60">
        <v>346.86</v>
      </c>
      <c r="L11" s="60">
        <v>41.52</v>
      </c>
      <c r="M11" s="60">
        <v>54.71</v>
      </c>
      <c r="N11" s="60">
        <v>113.70</v>
      </c>
      <c r="O11" s="60">
        <v>0</v>
      </c>
      <c r="P11" s="60">
        <v>3.88</v>
      </c>
      <c r="Q11" s="60">
        <v>172.91</v>
      </c>
      <c r="R11" s="198"/>
      <c r="S11" s="198"/>
      <c r="T11" s="198"/>
      <c r="U11" s="198"/>
    </row>
    <row r="12" spans="1:21" s="12" customFormat="1" ht="15">
      <c r="A12" s="201" t="s">
        <v>344</v>
      </c>
      <c r="B12" s="60">
        <v>172.14</v>
      </c>
      <c r="C12" s="60">
        <v>55.85</v>
      </c>
      <c r="D12" s="60">
        <v>227.99</v>
      </c>
      <c r="E12" s="60">
        <v>8.5299999999999994</v>
      </c>
      <c r="F12" s="5" t="s">
        <v>47</v>
      </c>
      <c r="G12" s="60">
        <v>323.12</v>
      </c>
      <c r="H12" s="60">
        <v>67.099999999999994</v>
      </c>
      <c r="I12" s="60">
        <v>14.56</v>
      </c>
      <c r="J12" s="60">
        <v>0.83</v>
      </c>
      <c r="K12" s="60">
        <v>72.790000000000006</v>
      </c>
      <c r="L12" s="60">
        <v>40.340000000000003</v>
      </c>
      <c r="M12" s="60">
        <v>49.95</v>
      </c>
      <c r="N12" s="60">
        <v>113.70</v>
      </c>
      <c r="O12" s="60">
        <v>0</v>
      </c>
      <c r="P12" s="60">
        <v>3.55</v>
      </c>
      <c r="Q12" s="60">
        <v>170.82</v>
      </c>
      <c r="R12" s="198"/>
      <c r="S12" s="198"/>
      <c r="T12" s="198"/>
      <c r="U12" s="198"/>
    </row>
    <row r="13" spans="1:21" s="12" customFormat="1" ht="15">
      <c r="A13" s="201" t="s">
        <v>345</v>
      </c>
      <c r="B13" s="60">
        <v>166.72</v>
      </c>
      <c r="C13" s="60">
        <v>53.93</v>
      </c>
      <c r="D13" s="60">
        <v>220.65</v>
      </c>
      <c r="E13" s="60">
        <v>8.44</v>
      </c>
      <c r="F13" s="60">
        <v>0.08</v>
      </c>
      <c r="G13" s="60">
        <v>323.12</v>
      </c>
      <c r="H13" s="60">
        <v>67.099999999999994</v>
      </c>
      <c r="I13" s="60">
        <v>16.260000000000002</v>
      </c>
      <c r="J13" s="60">
        <v>0.55000000000000004</v>
      </c>
      <c r="K13" s="60">
        <v>232.77</v>
      </c>
      <c r="L13" s="60">
        <v>40.369999999999997</v>
      </c>
      <c r="M13" s="60">
        <v>42.69</v>
      </c>
      <c r="N13" s="60">
        <v>113.10</v>
      </c>
      <c r="O13" s="60">
        <v>0</v>
      </c>
      <c r="P13" s="60">
        <v>3.44</v>
      </c>
      <c r="Q13" s="60">
        <v>166.73</v>
      </c>
      <c r="R13" s="198"/>
      <c r="S13" s="198"/>
      <c r="T13" s="198"/>
      <c r="U13" s="198"/>
    </row>
    <row r="14" spans="1:21" s="12" customFormat="1" ht="15">
      <c r="A14" s="201" t="s">
        <v>346</v>
      </c>
      <c r="B14" s="60">
        <v>158.83000000000001</v>
      </c>
      <c r="C14" s="60">
        <v>51.25</v>
      </c>
      <c r="D14" s="60">
        <v>210.07</v>
      </c>
      <c r="E14" s="60">
        <v>8.34</v>
      </c>
      <c r="F14" s="60">
        <v>0.01</v>
      </c>
      <c r="G14" s="60">
        <v>297.56</v>
      </c>
      <c r="H14" s="60">
        <v>65.709999999999994</v>
      </c>
      <c r="I14" s="60">
        <v>14.43</v>
      </c>
      <c r="J14" s="60">
        <v>0.32</v>
      </c>
      <c r="K14" s="60">
        <v>168.26</v>
      </c>
      <c r="L14" s="60">
        <v>42.13</v>
      </c>
      <c r="M14" s="60">
        <v>41.97</v>
      </c>
      <c r="N14" s="60">
        <v>114.10</v>
      </c>
      <c r="O14" s="60">
        <v>0</v>
      </c>
      <c r="P14" s="60">
        <v>2.41</v>
      </c>
      <c r="Q14" s="60">
        <v>158.75</v>
      </c>
      <c r="R14" s="198"/>
      <c r="S14" s="198"/>
      <c r="T14" s="198"/>
      <c r="U14" s="198"/>
    </row>
    <row r="15" spans="1:21" s="12" customFormat="1" ht="15">
      <c r="A15" s="201" t="s">
        <v>347</v>
      </c>
      <c r="B15" s="60">
        <v>152.38</v>
      </c>
      <c r="C15" s="60">
        <v>49.85</v>
      </c>
      <c r="D15" s="60">
        <v>202.24</v>
      </c>
      <c r="E15" s="60">
        <v>8.61</v>
      </c>
      <c r="F15" s="5" t="s">
        <v>47</v>
      </c>
      <c r="G15" s="60">
        <v>293.99</v>
      </c>
      <c r="H15" s="60">
        <v>65.23</v>
      </c>
      <c r="I15" s="60">
        <v>15.72</v>
      </c>
      <c r="J15" s="60">
        <v>0.62</v>
      </c>
      <c r="K15" s="60">
        <v>150.87</v>
      </c>
      <c r="L15" s="60">
        <v>40.340000000000003</v>
      </c>
      <c r="M15" s="60">
        <v>46.51</v>
      </c>
      <c r="N15" s="60">
        <v>113</v>
      </c>
      <c r="O15" s="60">
        <v>0</v>
      </c>
      <c r="P15" s="60">
        <v>2.33</v>
      </c>
      <c r="Q15" s="60">
        <v>143.38999999999999</v>
      </c>
      <c r="R15" s="198"/>
      <c r="S15" s="198"/>
      <c r="T15" s="198"/>
      <c r="U15" s="198"/>
    </row>
    <row r="16" spans="1:21" s="12" customFormat="1" ht="15">
      <c r="A16" s="201" t="s">
        <v>348</v>
      </c>
      <c r="B16" s="60">
        <v>146.25</v>
      </c>
      <c r="C16" s="60">
        <v>49.38</v>
      </c>
      <c r="D16" s="60">
        <v>195.63</v>
      </c>
      <c r="E16" s="60">
        <v>8.44</v>
      </c>
      <c r="F16" s="60">
        <v>0.01</v>
      </c>
      <c r="G16" s="60">
        <v>293.99</v>
      </c>
      <c r="H16" s="60">
        <v>65.23</v>
      </c>
      <c r="I16" s="60">
        <v>12.5</v>
      </c>
      <c r="J16" s="60">
        <v>0.43</v>
      </c>
      <c r="K16" s="60">
        <v>133.58000000000001</v>
      </c>
      <c r="L16" s="60">
        <v>37.82</v>
      </c>
      <c r="M16" s="60">
        <v>41.63</v>
      </c>
      <c r="N16" s="60">
        <v>115.70</v>
      </c>
      <c r="O16" s="60">
        <v>0</v>
      </c>
      <c r="P16" s="60">
        <v>1.98</v>
      </c>
      <c r="Q16" s="60">
        <v>143.97</v>
      </c>
      <c r="R16" s="198"/>
      <c r="S16" s="198"/>
      <c r="T16" s="198"/>
      <c r="U16" s="198"/>
    </row>
    <row r="17" spans="1:21" s="12" customFormat="1" ht="15">
      <c r="A17" s="201" t="s">
        <v>349</v>
      </c>
      <c r="B17" s="60">
        <v>138.88999999999999</v>
      </c>
      <c r="C17" s="60">
        <v>48.41</v>
      </c>
      <c r="D17" s="60">
        <v>187.30</v>
      </c>
      <c r="E17" s="60">
        <v>8.77</v>
      </c>
      <c r="F17" s="5" t="s">
        <v>47</v>
      </c>
      <c r="G17" s="60">
        <v>293.99</v>
      </c>
      <c r="H17" s="60">
        <v>65.23</v>
      </c>
      <c r="I17" s="60">
        <v>12.80</v>
      </c>
      <c r="J17" s="60">
        <v>1.40</v>
      </c>
      <c r="K17" s="60">
        <v>262.33</v>
      </c>
      <c r="L17" s="60">
        <v>38.47</v>
      </c>
      <c r="M17" s="60">
        <v>43.55</v>
      </c>
      <c r="N17" s="60">
        <v>118.20</v>
      </c>
      <c r="O17" s="60">
        <v>0</v>
      </c>
      <c r="P17" s="60">
        <v>1.92</v>
      </c>
      <c r="Q17" s="60">
        <v>143.57</v>
      </c>
      <c r="R17" s="198"/>
      <c r="S17" s="198"/>
      <c r="T17" s="198"/>
      <c r="U17" s="198"/>
    </row>
    <row r="18" spans="1:21" s="12" customFormat="1" ht="15">
      <c r="A18" s="201" t="s">
        <v>350</v>
      </c>
      <c r="B18" s="60">
        <v>132.11000000000001</v>
      </c>
      <c r="C18" s="60">
        <v>47.43</v>
      </c>
      <c r="D18" s="60">
        <v>179.54</v>
      </c>
      <c r="E18" s="60">
        <v>9.11</v>
      </c>
      <c r="F18" s="60">
        <v>0.11</v>
      </c>
      <c r="G18" s="60">
        <v>249.65</v>
      </c>
      <c r="H18" s="60">
        <v>63.68</v>
      </c>
      <c r="I18" s="60">
        <v>11.89</v>
      </c>
      <c r="J18" s="60">
        <v>2.04</v>
      </c>
      <c r="K18" s="60">
        <v>180.19</v>
      </c>
      <c r="L18" s="60">
        <v>40.42</v>
      </c>
      <c r="M18" s="60">
        <v>40.24</v>
      </c>
      <c r="N18" s="60">
        <v>116.40</v>
      </c>
      <c r="O18" s="60">
        <v>0</v>
      </c>
      <c r="P18" s="60">
        <v>2.15</v>
      </c>
      <c r="Q18" s="60">
        <v>143.78</v>
      </c>
      <c r="R18" s="198"/>
      <c r="S18" s="198"/>
      <c r="T18" s="198"/>
      <c r="U18" s="198"/>
    </row>
    <row r="19" spans="1:21" s="12" customFormat="1" ht="15">
      <c r="A19" s="201" t="s">
        <v>351</v>
      </c>
      <c r="B19" s="60">
        <v>123.07</v>
      </c>
      <c r="C19" s="60">
        <v>45.71</v>
      </c>
      <c r="D19" s="60">
        <v>168.78</v>
      </c>
      <c r="E19" s="60">
        <v>8.7799999999999994</v>
      </c>
      <c r="F19" s="60">
        <v>0.56999999999999995</v>
      </c>
      <c r="G19" s="60">
        <v>248.96</v>
      </c>
      <c r="H19" s="60">
        <v>63.11</v>
      </c>
      <c r="I19" s="60">
        <v>11.94</v>
      </c>
      <c r="J19" s="60">
        <v>1.1000000000000001</v>
      </c>
      <c r="K19" s="60">
        <v>181.86</v>
      </c>
      <c r="L19" s="60">
        <v>41.90</v>
      </c>
      <c r="M19" s="60">
        <v>41.15</v>
      </c>
      <c r="N19" s="60">
        <v>118.70</v>
      </c>
      <c r="O19" s="60">
        <v>0</v>
      </c>
      <c r="P19" s="60">
        <v>2.04</v>
      </c>
      <c r="Q19" s="60">
        <v>138.81</v>
      </c>
      <c r="R19" s="198"/>
      <c r="S19" s="198"/>
      <c r="T19" s="198"/>
      <c r="U19" s="198"/>
    </row>
    <row r="20" spans="1:21" s="12" customFormat="1" ht="15">
      <c r="A20" s="201" t="s">
        <v>352</v>
      </c>
      <c r="B20" s="60">
        <v>113.49</v>
      </c>
      <c r="C20" s="60">
        <v>44.30</v>
      </c>
      <c r="D20" s="60">
        <v>157.79</v>
      </c>
      <c r="E20" s="60">
        <v>4.7300000000000004</v>
      </c>
      <c r="F20" s="60">
        <v>0.20</v>
      </c>
      <c r="G20" s="60">
        <v>248.96</v>
      </c>
      <c r="H20" s="60">
        <v>63.11</v>
      </c>
      <c r="I20" s="60">
        <v>11.66</v>
      </c>
      <c r="J20" s="60">
        <v>1.20</v>
      </c>
      <c r="K20" s="60">
        <v>179.57</v>
      </c>
      <c r="L20" s="60">
        <v>40.229999999999997</v>
      </c>
      <c r="M20" s="60">
        <v>44.67</v>
      </c>
      <c r="N20" s="60">
        <v>119.30</v>
      </c>
      <c r="O20" s="60">
        <v>0</v>
      </c>
      <c r="P20" s="60">
        <v>1.76</v>
      </c>
      <c r="Q20" s="60">
        <v>134.99</v>
      </c>
      <c r="R20" s="198"/>
      <c r="S20" s="198"/>
      <c r="T20" s="198"/>
      <c r="U20" s="198"/>
    </row>
    <row r="21" spans="1:21" s="12" customFormat="1" ht="15">
      <c r="A21" s="201" t="s">
        <v>353</v>
      </c>
      <c r="B21" s="60">
        <v>104.36</v>
      </c>
      <c r="C21" s="60">
        <v>43.20</v>
      </c>
      <c r="D21" s="60">
        <v>147.56</v>
      </c>
      <c r="E21" s="60">
        <v>8.4700000000000006</v>
      </c>
      <c r="F21" s="60">
        <v>0.54</v>
      </c>
      <c r="G21" s="60">
        <v>248.96</v>
      </c>
      <c r="H21" s="60">
        <v>63.11</v>
      </c>
      <c r="I21" s="60">
        <v>10.039999999999999</v>
      </c>
      <c r="J21" s="60">
        <v>1.01</v>
      </c>
      <c r="K21" s="60">
        <v>58.09</v>
      </c>
      <c r="L21" s="60">
        <v>40.33</v>
      </c>
      <c r="M21" s="60">
        <v>45.96</v>
      </c>
      <c r="N21" s="60">
        <v>119.40</v>
      </c>
      <c r="O21" s="60">
        <v>0</v>
      </c>
      <c r="P21" s="60">
        <v>2.33</v>
      </c>
      <c r="Q21" s="60">
        <v>131.63</v>
      </c>
      <c r="R21" s="198"/>
      <c r="S21" s="198"/>
      <c r="T21" s="198"/>
      <c r="U21" s="198"/>
    </row>
    <row r="22" spans="1:21" s="12" customFormat="1" ht="15">
      <c r="A22" s="201" t="s">
        <v>354</v>
      </c>
      <c r="B22" s="60">
        <v>93.99</v>
      </c>
      <c r="C22" s="60">
        <v>41.48</v>
      </c>
      <c r="D22" s="60">
        <v>135.47</v>
      </c>
      <c r="E22" s="60">
        <v>8.51</v>
      </c>
      <c r="F22" s="60">
        <v>0.15</v>
      </c>
      <c r="G22" s="60">
        <v>203.51</v>
      </c>
      <c r="H22" s="60">
        <v>58.67</v>
      </c>
      <c r="I22" s="60">
        <v>7.09</v>
      </c>
      <c r="J22" s="60">
        <v>0.28999999999999998</v>
      </c>
      <c r="K22" s="60">
        <v>313.42</v>
      </c>
      <c r="L22" s="60">
        <v>39.590000000000003</v>
      </c>
      <c r="M22" s="60">
        <v>46.35</v>
      </c>
      <c r="N22" s="60">
        <v>119.70</v>
      </c>
      <c r="O22" s="60">
        <v>0</v>
      </c>
      <c r="P22" s="60">
        <v>2.34</v>
      </c>
      <c r="Q22" s="60">
        <v>131.46</v>
      </c>
      <c r="R22" s="198"/>
      <c r="S22" s="198"/>
      <c r="T22" s="198"/>
      <c r="U22" s="198"/>
    </row>
    <row r="23" spans="1:21" s="12" customFormat="1" ht="15">
      <c r="A23" s="201" t="s">
        <v>355</v>
      </c>
      <c r="B23" s="60">
        <v>82.23</v>
      </c>
      <c r="C23" s="60">
        <v>40.51</v>
      </c>
      <c r="D23" s="60">
        <v>122.74</v>
      </c>
      <c r="E23" s="60">
        <v>8.1300000000000008</v>
      </c>
      <c r="F23" s="5" t="s">
        <v>47</v>
      </c>
      <c r="G23" s="60">
        <v>202.81</v>
      </c>
      <c r="H23" s="60">
        <v>57.14</v>
      </c>
      <c r="I23" s="60">
        <v>10.75</v>
      </c>
      <c r="J23" s="60">
        <v>1.33</v>
      </c>
      <c r="K23" s="60">
        <v>331.03</v>
      </c>
      <c r="L23" s="60">
        <v>37.69</v>
      </c>
      <c r="M23" s="60">
        <v>51.98</v>
      </c>
      <c r="N23" s="60">
        <v>120.70</v>
      </c>
      <c r="O23" s="60">
        <v>0</v>
      </c>
      <c r="P23" s="60">
        <v>2.33</v>
      </c>
      <c r="Q23" s="60">
        <v>127.20</v>
      </c>
      <c r="R23" s="198"/>
      <c r="S23" s="198"/>
      <c r="T23" s="198"/>
      <c r="U23" s="198"/>
    </row>
    <row r="24" spans="1:21" s="12" customFormat="1" ht="15">
      <c r="A24" s="201" t="s">
        <v>356</v>
      </c>
      <c r="B24" s="60">
        <v>72.13</v>
      </c>
      <c r="C24" s="60">
        <v>39.43</v>
      </c>
      <c r="D24" s="60">
        <v>111.55</v>
      </c>
      <c r="E24" s="60">
        <v>7.67</v>
      </c>
      <c r="F24" s="5" t="s">
        <v>47</v>
      </c>
      <c r="G24" s="60">
        <v>202.81</v>
      </c>
      <c r="H24" s="60">
        <v>57.14</v>
      </c>
      <c r="I24" s="60">
        <v>9.0299999999999994</v>
      </c>
      <c r="J24" s="60">
        <v>1.65</v>
      </c>
      <c r="K24" s="60">
        <v>321.27</v>
      </c>
      <c r="L24" s="60">
        <v>37.18</v>
      </c>
      <c r="M24" s="60">
        <v>54.83</v>
      </c>
      <c r="N24" s="60">
        <v>120.5</v>
      </c>
      <c r="O24" s="60">
        <v>0</v>
      </c>
      <c r="P24" s="60">
        <v>2.27</v>
      </c>
      <c r="Q24" s="60">
        <v>122.49</v>
      </c>
      <c r="R24" s="198"/>
      <c r="S24" s="198"/>
      <c r="T24" s="198"/>
      <c r="U24" s="198"/>
    </row>
    <row r="25" spans="1:21" s="12" customFormat="1" ht="15">
      <c r="A25" s="201" t="s">
        <v>357</v>
      </c>
      <c r="B25" s="60">
        <v>63.94</v>
      </c>
      <c r="C25" s="60">
        <v>38.28</v>
      </c>
      <c r="D25" s="60">
        <v>102.21</v>
      </c>
      <c r="E25" s="60">
        <v>7.79</v>
      </c>
      <c r="F25" s="5" t="s">
        <v>47</v>
      </c>
      <c r="G25" s="60">
        <v>202.81</v>
      </c>
      <c r="H25" s="60">
        <v>57.14</v>
      </c>
      <c r="I25" s="60">
        <v>9.3699999999999992</v>
      </c>
      <c r="J25" s="60">
        <v>0.70</v>
      </c>
      <c r="K25" s="60">
        <v>22.08</v>
      </c>
      <c r="L25" s="60">
        <v>38.15</v>
      </c>
      <c r="M25" s="60">
        <v>53.43</v>
      </c>
      <c r="N25" s="60">
        <v>122</v>
      </c>
      <c r="O25" s="60">
        <v>0</v>
      </c>
      <c r="P25" s="60">
        <v>2.19</v>
      </c>
      <c r="Q25" s="60">
        <v>117.94</v>
      </c>
      <c r="R25" s="198"/>
      <c r="S25" s="198"/>
      <c r="T25" s="198"/>
      <c r="U25" s="198"/>
    </row>
    <row r="26" spans="1:21" s="12" customFormat="1" ht="15">
      <c r="A26" s="201" t="s">
        <v>358</v>
      </c>
      <c r="B26" s="60">
        <v>58.91</v>
      </c>
      <c r="C26" s="60">
        <v>38.22</v>
      </c>
      <c r="D26" s="60">
        <v>97.13</v>
      </c>
      <c r="E26" s="60">
        <v>7.67</v>
      </c>
      <c r="F26" s="5" t="s">
        <v>47</v>
      </c>
      <c r="G26" s="60">
        <v>164.24</v>
      </c>
      <c r="H26" s="60">
        <v>49.09</v>
      </c>
      <c r="I26" s="60">
        <v>9.48</v>
      </c>
      <c r="J26" s="60">
        <v>0.46</v>
      </c>
      <c r="K26" s="60">
        <v>233.25</v>
      </c>
      <c r="L26" s="60">
        <v>39.119999999999997</v>
      </c>
      <c r="M26" s="60">
        <v>50.48</v>
      </c>
      <c r="N26" s="60">
        <v>122.5</v>
      </c>
      <c r="O26" s="60">
        <v>0</v>
      </c>
      <c r="P26" s="60">
        <v>2.13</v>
      </c>
      <c r="Q26" s="60">
        <v>112.89</v>
      </c>
      <c r="R26" s="198"/>
      <c r="S26" s="198"/>
      <c r="T26" s="198"/>
      <c r="U26" s="198"/>
    </row>
    <row r="27" spans="1:21" s="12" customFormat="1" ht="15">
      <c r="A27" s="201" t="s">
        <v>359</v>
      </c>
      <c r="B27" s="60">
        <v>57.45</v>
      </c>
      <c r="C27" s="60">
        <v>39.56</v>
      </c>
      <c r="D27" s="60">
        <v>97.01</v>
      </c>
      <c r="E27" s="60">
        <v>7.39</v>
      </c>
      <c r="F27" s="5" t="s">
        <v>47</v>
      </c>
      <c r="G27" s="60">
        <v>163.65</v>
      </c>
      <c r="H27" s="60">
        <v>46.16</v>
      </c>
      <c r="I27" s="60">
        <v>8.76</v>
      </c>
      <c r="J27" s="60">
        <v>1.41</v>
      </c>
      <c r="K27" s="60">
        <v>13.28</v>
      </c>
      <c r="L27" s="60">
        <v>39.26</v>
      </c>
      <c r="M27" s="60">
        <v>52.88</v>
      </c>
      <c r="N27" s="60">
        <v>122.60</v>
      </c>
      <c r="O27" s="60">
        <v>0</v>
      </c>
      <c r="P27" s="60">
        <v>2.10</v>
      </c>
      <c r="Q27" s="60">
        <v>112.87</v>
      </c>
      <c r="R27" s="198"/>
      <c r="S27" s="198"/>
      <c r="T27" s="198"/>
      <c r="U27" s="198"/>
    </row>
    <row r="28" spans="1:21" s="12" customFormat="1" ht="15">
      <c r="A28" s="201" t="s">
        <v>360</v>
      </c>
      <c r="B28" s="60">
        <v>55</v>
      </c>
      <c r="C28" s="60">
        <v>39.75</v>
      </c>
      <c r="D28" s="60">
        <v>94.75</v>
      </c>
      <c r="E28" s="60">
        <v>7.18</v>
      </c>
      <c r="F28" s="60">
        <v>0.06</v>
      </c>
      <c r="G28" s="60">
        <v>163.65</v>
      </c>
      <c r="H28" s="60">
        <v>46.16</v>
      </c>
      <c r="I28" s="60">
        <v>8.35</v>
      </c>
      <c r="J28" s="60">
        <v>0.87</v>
      </c>
      <c r="K28" s="60">
        <v>297.81</v>
      </c>
      <c r="L28" s="60">
        <v>38.78</v>
      </c>
      <c r="M28" s="60">
        <v>52</v>
      </c>
      <c r="N28" s="60">
        <v>122.80</v>
      </c>
      <c r="O28" s="60">
        <v>0</v>
      </c>
      <c r="P28" s="60">
        <v>2.02</v>
      </c>
      <c r="Q28" s="60">
        <v>112.37</v>
      </c>
      <c r="R28" s="198"/>
      <c r="S28" s="198"/>
      <c r="T28" s="198"/>
      <c r="U28" s="198"/>
    </row>
    <row r="29" spans="1:21" s="12" customFormat="1" ht="15">
      <c r="A29" s="201" t="s">
        <v>361</v>
      </c>
      <c r="B29" s="60">
        <v>49.64</v>
      </c>
      <c r="C29" s="60">
        <v>39.909999999999997</v>
      </c>
      <c r="D29" s="60">
        <v>89.54</v>
      </c>
      <c r="E29" s="60">
        <v>7.24</v>
      </c>
      <c r="F29" s="9" t="s">
        <v>36</v>
      </c>
      <c r="G29" s="60">
        <v>163.65</v>
      </c>
      <c r="H29" s="60">
        <v>46.16</v>
      </c>
      <c r="I29" s="60">
        <v>8.6199999999999992</v>
      </c>
      <c r="J29" s="60">
        <v>1.34</v>
      </c>
      <c r="K29" s="60">
        <v>283.07</v>
      </c>
      <c r="L29" s="60">
        <v>38.840000000000003</v>
      </c>
      <c r="M29" s="60">
        <v>51.82</v>
      </c>
      <c r="N29" s="60">
        <v>124.5</v>
      </c>
      <c r="O29" s="60">
        <v>0</v>
      </c>
      <c r="P29" s="60">
        <v>1.87</v>
      </c>
      <c r="Q29" s="60">
        <v>109.98</v>
      </c>
      <c r="R29" s="198"/>
      <c r="S29" s="198"/>
      <c r="T29" s="198"/>
      <c r="U29" s="198"/>
    </row>
    <row r="30" spans="1:21" s="12" customFormat="1" ht="15">
      <c r="A30" s="201" t="s">
        <v>362</v>
      </c>
      <c r="B30" s="60">
        <v>45.15</v>
      </c>
      <c r="C30" s="60">
        <v>39.409999999999997</v>
      </c>
      <c r="D30" s="60">
        <v>84.56</v>
      </c>
      <c r="E30" s="60">
        <v>7</v>
      </c>
      <c r="F30" s="9" t="s">
        <v>36</v>
      </c>
      <c r="G30" s="60">
        <v>164.32</v>
      </c>
      <c r="H30" s="60">
        <v>47.13</v>
      </c>
      <c r="I30" s="60">
        <v>8.27</v>
      </c>
      <c r="J30" s="60">
        <v>0.68</v>
      </c>
      <c r="K30" s="60">
        <v>277.52999999999997</v>
      </c>
      <c r="L30" s="60">
        <v>38.979999999999997</v>
      </c>
      <c r="M30" s="60">
        <v>53.07</v>
      </c>
      <c r="N30" s="60">
        <v>130.40</v>
      </c>
      <c r="O30" s="60">
        <v>0</v>
      </c>
      <c r="P30" s="60">
        <v>1.89</v>
      </c>
      <c r="Q30" s="60">
        <v>102.45</v>
      </c>
      <c r="R30" s="198"/>
      <c r="S30" s="198"/>
      <c r="T30" s="198"/>
      <c r="U30" s="198"/>
    </row>
    <row r="31" spans="1:21" s="12" customFormat="1" ht="15">
      <c r="A31" s="201" t="s">
        <v>363</v>
      </c>
      <c r="B31" s="60">
        <v>43.35</v>
      </c>
      <c r="C31" s="60">
        <v>40.880000000000003</v>
      </c>
      <c r="D31" s="60">
        <v>84.23</v>
      </c>
      <c r="E31" s="60">
        <v>7</v>
      </c>
      <c r="F31" s="9" t="s">
        <v>36</v>
      </c>
      <c r="G31" s="60">
        <v>164.33</v>
      </c>
      <c r="H31" s="60">
        <v>47.49</v>
      </c>
      <c r="I31" s="60">
        <v>7.04</v>
      </c>
      <c r="J31" s="60">
        <v>0.62</v>
      </c>
      <c r="K31" s="60">
        <v>265.23</v>
      </c>
      <c r="L31" s="60">
        <v>38.78</v>
      </c>
      <c r="M31" s="60">
        <v>54.77</v>
      </c>
      <c r="N31" s="60">
        <v>148.90</v>
      </c>
      <c r="O31" s="60">
        <v>0</v>
      </c>
      <c r="P31" s="60">
        <v>1.89</v>
      </c>
      <c r="Q31" s="60">
        <v>102.37</v>
      </c>
      <c r="R31" s="198"/>
      <c r="S31" s="198"/>
      <c r="T31" s="198"/>
      <c r="U31" s="198"/>
    </row>
    <row r="32" spans="1:21" s="12" customFormat="1" ht="15">
      <c r="A32" s="201" t="s">
        <v>364</v>
      </c>
      <c r="B32" s="60">
        <v>40.54</v>
      </c>
      <c r="C32" s="60">
        <v>39.72</v>
      </c>
      <c r="D32" s="60">
        <v>80.260000000000005</v>
      </c>
      <c r="E32" s="60">
        <v>7.10</v>
      </c>
      <c r="F32" s="60">
        <v>0.12</v>
      </c>
      <c r="G32" s="60">
        <v>164.33</v>
      </c>
      <c r="H32" s="60">
        <v>47.49</v>
      </c>
      <c r="I32" s="60">
        <v>7.23</v>
      </c>
      <c r="J32" s="60">
        <v>1.54</v>
      </c>
      <c r="K32" s="60">
        <v>282.91000000000003</v>
      </c>
      <c r="L32" s="60">
        <v>38.21</v>
      </c>
      <c r="M32" s="60">
        <v>53.06</v>
      </c>
      <c r="N32" s="60">
        <v>186.40</v>
      </c>
      <c r="O32" s="60">
        <v>0</v>
      </c>
      <c r="P32" s="60">
        <v>1.74</v>
      </c>
      <c r="Q32" s="60">
        <v>98.68</v>
      </c>
      <c r="R32" s="198"/>
      <c r="S32" s="198"/>
      <c r="T32" s="198"/>
      <c r="U32" s="198"/>
    </row>
    <row r="33" spans="1:21" s="12" customFormat="1" ht="15">
      <c r="A33" s="201" t="s">
        <v>365</v>
      </c>
      <c r="B33" s="60">
        <v>38.39</v>
      </c>
      <c r="C33" s="60">
        <v>39.10</v>
      </c>
      <c r="D33" s="60">
        <v>77.48</v>
      </c>
      <c r="E33" s="60">
        <v>7.15</v>
      </c>
      <c r="F33" s="60">
        <v>0.15</v>
      </c>
      <c r="G33" s="60">
        <v>164.33</v>
      </c>
      <c r="H33" s="60">
        <v>47.49</v>
      </c>
      <c r="I33" s="60">
        <v>7.54</v>
      </c>
      <c r="J33" s="60">
        <v>0.96</v>
      </c>
      <c r="K33" s="60">
        <v>297.52999999999997</v>
      </c>
      <c r="L33" s="60">
        <v>40.83</v>
      </c>
      <c r="M33" s="60">
        <v>52.44</v>
      </c>
      <c r="N33" s="60">
        <v>216.30</v>
      </c>
      <c r="O33" s="60">
        <v>0</v>
      </c>
      <c r="P33" s="60">
        <v>1.72</v>
      </c>
      <c r="Q33" s="60">
        <v>88.32</v>
      </c>
      <c r="R33" s="198"/>
      <c r="S33" s="198"/>
      <c r="T33" s="198"/>
      <c r="U33" s="198"/>
    </row>
    <row r="34" spans="1:21" s="12" customFormat="1" ht="15">
      <c r="A34" s="201" t="s">
        <v>366</v>
      </c>
      <c r="B34" s="60">
        <v>36.630000000000003</v>
      </c>
      <c r="C34" s="60">
        <v>40.90</v>
      </c>
      <c r="D34" s="60">
        <v>77.540000000000006</v>
      </c>
      <c r="E34" s="60">
        <v>7.38</v>
      </c>
      <c r="F34" s="60">
        <v>0.01</v>
      </c>
      <c r="G34" s="60">
        <v>162.54</v>
      </c>
      <c r="H34" s="60">
        <v>48.79</v>
      </c>
      <c r="I34" s="60">
        <v>7.23</v>
      </c>
      <c r="J34" s="60">
        <v>0.91</v>
      </c>
      <c r="K34" s="60">
        <v>346.15</v>
      </c>
      <c r="L34" s="60">
        <v>41.84</v>
      </c>
      <c r="M34" s="60">
        <v>51.01</v>
      </c>
      <c r="N34" s="60">
        <v>260.10000000000002</v>
      </c>
      <c r="O34" s="60">
        <v>0</v>
      </c>
      <c r="P34" s="60">
        <v>1.82</v>
      </c>
      <c r="Q34" s="60">
        <v>94.64</v>
      </c>
      <c r="R34" s="198"/>
      <c r="S34" s="198"/>
      <c r="T34" s="198"/>
      <c r="U34" s="198"/>
    </row>
    <row r="35" spans="1:21" s="12" customFormat="1" ht="15">
      <c r="A35" s="201" t="s">
        <v>367</v>
      </c>
      <c r="B35" s="60">
        <v>35.26</v>
      </c>
      <c r="C35" s="60">
        <v>41.08</v>
      </c>
      <c r="D35" s="60">
        <v>76.349999999999994</v>
      </c>
      <c r="E35" s="60">
        <v>7.97</v>
      </c>
      <c r="F35" s="60">
        <v>0.04</v>
      </c>
      <c r="G35" s="60">
        <v>162.51</v>
      </c>
      <c r="H35" s="60">
        <v>49.26</v>
      </c>
      <c r="I35" s="60">
        <v>7.73</v>
      </c>
      <c r="J35" s="60">
        <v>0.87</v>
      </c>
      <c r="K35" s="60">
        <v>353.19</v>
      </c>
      <c r="L35" s="60">
        <v>42.52</v>
      </c>
      <c r="M35" s="60">
        <v>49.60</v>
      </c>
      <c r="N35" s="60">
        <v>307.60000000000002</v>
      </c>
      <c r="O35" s="60">
        <v>0</v>
      </c>
      <c r="P35" s="60">
        <v>1.81</v>
      </c>
      <c r="Q35" s="60">
        <v>95.52</v>
      </c>
      <c r="R35" s="198"/>
      <c r="S35" s="198"/>
      <c r="T35" s="198"/>
      <c r="U35" s="198"/>
    </row>
    <row r="36" spans="1:21" s="12" customFormat="1" ht="15">
      <c r="A36" s="201" t="s">
        <v>368</v>
      </c>
      <c r="B36" s="60">
        <v>33.29</v>
      </c>
      <c r="C36" s="60">
        <v>41.90</v>
      </c>
      <c r="D36" s="60">
        <v>75.19</v>
      </c>
      <c r="E36" s="60">
        <v>4.0999999999999996</v>
      </c>
      <c r="F36" s="60">
        <v>0.05</v>
      </c>
      <c r="G36" s="60">
        <v>162.51</v>
      </c>
      <c r="H36" s="60">
        <v>49.26</v>
      </c>
      <c r="I36" s="60">
        <v>8.35</v>
      </c>
      <c r="J36" s="60">
        <v>0.94</v>
      </c>
      <c r="K36" s="60">
        <v>329.68</v>
      </c>
      <c r="L36" s="60">
        <v>41.42</v>
      </c>
      <c r="M36" s="60">
        <v>48.55</v>
      </c>
      <c r="N36" s="60">
        <v>367.20</v>
      </c>
      <c r="O36" s="60">
        <v>0</v>
      </c>
      <c r="P36" s="60">
        <v>1.89</v>
      </c>
      <c r="Q36" s="60">
        <v>94.96</v>
      </c>
      <c r="R36" s="198"/>
      <c r="S36" s="198"/>
      <c r="T36" s="198"/>
      <c r="U36" s="198"/>
    </row>
    <row r="37" spans="1:21" s="12" customFormat="1" ht="15">
      <c r="A37" s="201" t="s">
        <v>369</v>
      </c>
      <c r="B37" s="60">
        <v>30.41</v>
      </c>
      <c r="C37" s="60">
        <v>41.46</v>
      </c>
      <c r="D37" s="60">
        <v>71.87</v>
      </c>
      <c r="E37" s="60">
        <v>7.84</v>
      </c>
      <c r="F37" s="60">
        <v>0.30</v>
      </c>
      <c r="G37" s="60">
        <v>162.51</v>
      </c>
      <c r="H37" s="60">
        <v>49.26</v>
      </c>
      <c r="I37" s="60">
        <v>8.75</v>
      </c>
      <c r="J37" s="60">
        <v>1.0900000000000001</v>
      </c>
      <c r="K37" s="60">
        <v>350.46</v>
      </c>
      <c r="L37" s="60">
        <v>42.37</v>
      </c>
      <c r="M37" s="60">
        <v>47.26</v>
      </c>
      <c r="N37" s="60">
        <v>424.90</v>
      </c>
      <c r="O37" s="60">
        <v>0</v>
      </c>
      <c r="P37" s="60">
        <v>1.92</v>
      </c>
      <c r="Q37" s="60">
        <v>92.55</v>
      </c>
      <c r="R37" s="198"/>
      <c r="S37" s="198"/>
      <c r="T37" s="198"/>
      <c r="U37" s="198"/>
    </row>
    <row r="38" spans="1:21" s="12" customFormat="1" ht="15">
      <c r="A38" s="201" t="s">
        <v>370</v>
      </c>
      <c r="B38" s="60">
        <v>27.22</v>
      </c>
      <c r="C38" s="60">
        <v>43.92</v>
      </c>
      <c r="D38" s="60">
        <v>71.14</v>
      </c>
      <c r="E38" s="60">
        <v>7.73</v>
      </c>
      <c r="F38" s="60">
        <v>0.14000000000000001</v>
      </c>
      <c r="G38" s="60">
        <v>145.10</v>
      </c>
      <c r="H38" s="60">
        <v>45.76</v>
      </c>
      <c r="I38" s="60">
        <v>9.31</v>
      </c>
      <c r="J38" s="60">
        <v>1.17</v>
      </c>
      <c r="K38" s="60">
        <v>317.85000000000002</v>
      </c>
      <c r="L38" s="60">
        <v>42.88</v>
      </c>
      <c r="M38" s="60">
        <v>45.47</v>
      </c>
      <c r="N38" s="60">
        <v>470.70</v>
      </c>
      <c r="O38" s="60">
        <v>0</v>
      </c>
      <c r="P38" s="60">
        <v>1.86</v>
      </c>
      <c r="Q38" s="60">
        <v>94.73</v>
      </c>
      <c r="R38" s="198"/>
      <c r="S38" s="198"/>
      <c r="T38" s="198"/>
      <c r="U38" s="198"/>
    </row>
    <row r="39" spans="1:21" s="12" customFormat="1" ht="15">
      <c r="A39" s="201" t="s">
        <v>371</v>
      </c>
      <c r="B39" s="60">
        <v>23.69</v>
      </c>
      <c r="C39" s="60">
        <v>42.27</v>
      </c>
      <c r="D39" s="60">
        <v>65.959999999999994</v>
      </c>
      <c r="E39" s="60">
        <v>7.85</v>
      </c>
      <c r="F39" s="60">
        <v>0.38</v>
      </c>
      <c r="G39" s="60">
        <v>144.69</v>
      </c>
      <c r="H39" s="60">
        <v>44.55</v>
      </c>
      <c r="I39" s="60">
        <v>9.19</v>
      </c>
      <c r="J39" s="60">
        <v>0.95</v>
      </c>
      <c r="K39" s="60">
        <v>21.61</v>
      </c>
      <c r="L39" s="60">
        <v>43.05</v>
      </c>
      <c r="M39" s="60">
        <v>44.01</v>
      </c>
      <c r="N39" s="60">
        <v>525.29999999999995</v>
      </c>
      <c r="O39" s="60">
        <v>0</v>
      </c>
      <c r="P39" s="60">
        <v>1.90</v>
      </c>
      <c r="Q39" s="60">
        <v>94.14</v>
      </c>
      <c r="R39" s="198"/>
      <c r="S39" s="198"/>
      <c r="T39" s="198"/>
      <c r="U39" s="198"/>
    </row>
    <row r="40" spans="1:21" s="12" customFormat="1" ht="15">
      <c r="A40" s="201" t="s">
        <v>372</v>
      </c>
      <c r="B40" s="60">
        <v>19.54</v>
      </c>
      <c r="C40" s="60">
        <v>42.07</v>
      </c>
      <c r="D40" s="60">
        <v>61.62</v>
      </c>
      <c r="E40" s="60">
        <v>7.83</v>
      </c>
      <c r="F40" s="60">
        <v>0.25</v>
      </c>
      <c r="G40" s="60">
        <v>144.69</v>
      </c>
      <c r="H40" s="60">
        <v>44.55</v>
      </c>
      <c r="I40" s="60">
        <v>9.18</v>
      </c>
      <c r="J40" s="60">
        <v>0.66</v>
      </c>
      <c r="K40" s="60">
        <v>8.5399999999999991</v>
      </c>
      <c r="L40" s="60">
        <v>44.97</v>
      </c>
      <c r="M40" s="60">
        <v>41.73</v>
      </c>
      <c r="N40" s="60">
        <v>588.20000000000005</v>
      </c>
      <c r="O40" s="60">
        <v>0</v>
      </c>
      <c r="P40" s="60">
        <v>1.93</v>
      </c>
      <c r="Q40" s="60">
        <v>88.76</v>
      </c>
      <c r="R40" s="198"/>
      <c r="S40" s="198"/>
      <c r="T40" s="198"/>
      <c r="U40" s="198"/>
    </row>
    <row r="41" spans="1:21" s="12" customFormat="1" ht="15">
      <c r="A41" s="201" t="s">
        <v>373</v>
      </c>
      <c r="B41" s="60">
        <v>15.37</v>
      </c>
      <c r="C41" s="60">
        <v>45.66</v>
      </c>
      <c r="D41" s="60">
        <v>61.04</v>
      </c>
      <c r="E41" s="60">
        <v>7.64</v>
      </c>
      <c r="F41" s="60">
        <v>0.13</v>
      </c>
      <c r="G41" s="60">
        <v>144.69</v>
      </c>
      <c r="H41" s="60">
        <v>44.55</v>
      </c>
      <c r="I41" s="60">
        <v>9.7200000000000006</v>
      </c>
      <c r="J41" s="60">
        <v>1.08</v>
      </c>
      <c r="K41" s="60">
        <v>302.14</v>
      </c>
      <c r="L41" s="60">
        <v>47.39</v>
      </c>
      <c r="M41" s="60">
        <v>39.72</v>
      </c>
      <c r="N41" s="60">
        <v>666.70</v>
      </c>
      <c r="O41" s="60">
        <v>0</v>
      </c>
      <c r="P41" s="60">
        <v>1.97</v>
      </c>
      <c r="Q41" s="60">
        <v>90.23</v>
      </c>
      <c r="R41" s="198"/>
      <c r="S41" s="198"/>
      <c r="T41" s="198"/>
      <c r="U41" s="198"/>
    </row>
    <row r="42" spans="1:21" s="12" customFormat="1" ht="15">
      <c r="A42" s="201" t="s">
        <v>374</v>
      </c>
      <c r="B42" s="60">
        <v>11.88</v>
      </c>
      <c r="C42" s="60">
        <v>47.21</v>
      </c>
      <c r="D42" s="60">
        <v>59.09</v>
      </c>
      <c r="E42" s="60">
        <v>7.27</v>
      </c>
      <c r="F42" s="60">
        <v>0.22</v>
      </c>
      <c r="G42" s="60">
        <v>143.87</v>
      </c>
      <c r="H42" s="60">
        <v>45.73</v>
      </c>
      <c r="I42" s="60">
        <v>10.039999999999999</v>
      </c>
      <c r="J42" s="60">
        <v>2.21</v>
      </c>
      <c r="K42" s="60">
        <v>314.99</v>
      </c>
      <c r="L42" s="60">
        <v>48.98</v>
      </c>
      <c r="M42" s="60">
        <v>36.630000000000003</v>
      </c>
      <c r="N42" s="60">
        <v>727.30</v>
      </c>
      <c r="O42" s="60">
        <v>0</v>
      </c>
      <c r="P42" s="60">
        <v>2.0699999999999998</v>
      </c>
      <c r="Q42" s="60">
        <v>89.07</v>
      </c>
      <c r="R42" s="198"/>
      <c r="S42" s="198"/>
      <c r="T42" s="198"/>
      <c r="U42" s="198"/>
    </row>
    <row r="43" spans="1:21" s="12" customFormat="1" ht="15">
      <c r="A43" s="201" t="s">
        <v>375</v>
      </c>
      <c r="B43" s="60">
        <v>11.88</v>
      </c>
      <c r="C43" s="60">
        <v>47.21</v>
      </c>
      <c r="D43" s="60">
        <v>59.09</v>
      </c>
      <c r="E43" s="60">
        <v>7.27</v>
      </c>
      <c r="F43" s="60">
        <v>0.22</v>
      </c>
      <c r="G43" s="60">
        <v>143.87</v>
      </c>
      <c r="H43" s="60">
        <v>45.73</v>
      </c>
      <c r="I43" s="60">
        <v>10.039999999999999</v>
      </c>
      <c r="J43" s="60">
        <v>2.21</v>
      </c>
      <c r="K43" s="60">
        <v>314.99</v>
      </c>
      <c r="L43" s="60">
        <v>48.98</v>
      </c>
      <c r="M43" s="60">
        <v>36.630000000000003</v>
      </c>
      <c r="N43" s="60">
        <v>727.30</v>
      </c>
      <c r="O43" s="60">
        <v>0</v>
      </c>
      <c r="P43" s="60">
        <v>2.0699999999999998</v>
      </c>
      <c r="Q43" s="60">
        <v>89.07</v>
      </c>
      <c r="R43" s="198"/>
      <c r="S43" s="198"/>
      <c r="T43" s="198"/>
      <c r="U43" s="198"/>
    </row>
    <row r="44" spans="1:21" s="12" customFormat="1" ht="15">
      <c r="A44" s="201" t="s">
        <v>376</v>
      </c>
      <c r="B44" s="60">
        <v>8.01</v>
      </c>
      <c r="C44" s="60">
        <v>50.43</v>
      </c>
      <c r="D44" s="60">
        <v>58.44</v>
      </c>
      <c r="E44" s="60">
        <v>7.08</v>
      </c>
      <c r="F44" s="60">
        <v>0.67</v>
      </c>
      <c r="G44" s="60">
        <v>143.86000000000001</v>
      </c>
      <c r="H44" s="60">
        <v>46.17</v>
      </c>
      <c r="I44" s="60">
        <v>13.61</v>
      </c>
      <c r="J44" s="60">
        <v>1.89</v>
      </c>
      <c r="K44" s="60">
        <v>334.43</v>
      </c>
      <c r="L44" s="60">
        <v>49.77</v>
      </c>
      <c r="M44" s="60">
        <v>33.130000000000003</v>
      </c>
      <c r="N44" s="60">
        <v>776.90</v>
      </c>
      <c r="O44" s="60">
        <v>0</v>
      </c>
      <c r="P44" s="60">
        <v>2.2000000000000002</v>
      </c>
      <c r="Q44" s="60">
        <v>86.56</v>
      </c>
      <c r="R44" s="198"/>
      <c r="S44" s="198"/>
      <c r="T44" s="198"/>
      <c r="U44" s="198"/>
    </row>
    <row r="45" spans="1:21" s="12" customFormat="1" ht="15">
      <c r="A45" s="201" t="s">
        <v>377</v>
      </c>
      <c r="B45" s="60">
        <v>5.28</v>
      </c>
      <c r="C45" s="60">
        <v>50.78</v>
      </c>
      <c r="D45" s="60">
        <v>56.06</v>
      </c>
      <c r="E45" s="60">
        <v>7</v>
      </c>
      <c r="F45" s="60">
        <v>1.01</v>
      </c>
      <c r="G45" s="60">
        <v>143.86000000000001</v>
      </c>
      <c r="H45" s="60">
        <v>46.17</v>
      </c>
      <c r="I45" s="60">
        <v>16.03</v>
      </c>
      <c r="J45" s="60">
        <v>1.68</v>
      </c>
      <c r="K45" s="60">
        <v>328.88</v>
      </c>
      <c r="L45" s="60">
        <v>50</v>
      </c>
      <c r="M45" s="60">
        <v>30.68</v>
      </c>
      <c r="N45" s="60">
        <v>835</v>
      </c>
      <c r="O45" s="60">
        <v>0</v>
      </c>
      <c r="P45" s="60">
        <v>2.16</v>
      </c>
      <c r="Q45" s="60">
        <v>83.19</v>
      </c>
      <c r="R45" s="198"/>
      <c r="S45" s="198"/>
      <c r="T45" s="198"/>
      <c r="U45" s="198"/>
    </row>
    <row r="46" spans="1:21" s="12" customFormat="1" ht="15">
      <c r="A46" s="201" t="s">
        <v>378</v>
      </c>
      <c r="B46" s="60">
        <v>3.98</v>
      </c>
      <c r="C46" s="60">
        <v>51.08</v>
      </c>
      <c r="D46" s="60">
        <v>55.06</v>
      </c>
      <c r="E46" s="60">
        <v>6.99</v>
      </c>
      <c r="F46" s="60">
        <v>1.29</v>
      </c>
      <c r="G46" s="60">
        <v>148.38</v>
      </c>
      <c r="H46" s="60">
        <v>44.45</v>
      </c>
      <c r="I46" s="60">
        <v>16.30</v>
      </c>
      <c r="J46" s="60">
        <v>2.58</v>
      </c>
      <c r="K46" s="60">
        <v>327.94</v>
      </c>
      <c r="L46" s="60">
        <v>52.03</v>
      </c>
      <c r="M46" s="60">
        <v>28.43</v>
      </c>
      <c r="N46" s="60">
        <v>850.90</v>
      </c>
      <c r="O46" s="60">
        <v>0</v>
      </c>
      <c r="P46" s="60">
        <v>2.11</v>
      </c>
      <c r="Q46" s="60">
        <v>80.680000000000007</v>
      </c>
      <c r="R46" s="198"/>
      <c r="S46" s="198"/>
      <c r="T46" s="198"/>
      <c r="U46" s="198"/>
    </row>
    <row r="47" spans="1:21" s="12" customFormat="1" ht="15">
      <c r="A47" s="201" t="s">
        <v>379</v>
      </c>
      <c r="B47" s="60">
        <v>2.67</v>
      </c>
      <c r="C47" s="60">
        <v>51.27</v>
      </c>
      <c r="D47" s="60">
        <v>53.94</v>
      </c>
      <c r="E47" s="60">
        <v>6.81</v>
      </c>
      <c r="F47" s="60">
        <v>1.82</v>
      </c>
      <c r="G47" s="60">
        <v>148.44</v>
      </c>
      <c r="H47" s="60">
        <v>43.86</v>
      </c>
      <c r="I47" s="60">
        <v>14.82</v>
      </c>
      <c r="J47" s="60">
        <v>2.76</v>
      </c>
      <c r="K47" s="60">
        <v>330.85</v>
      </c>
      <c r="L47" s="60">
        <v>51.53</v>
      </c>
      <c r="M47" s="60">
        <v>26.85</v>
      </c>
      <c r="N47" s="60">
        <v>939.80</v>
      </c>
      <c r="O47" s="60">
        <v>0</v>
      </c>
      <c r="P47" s="60">
        <v>2.09</v>
      </c>
      <c r="Q47" s="60">
        <v>81.37</v>
      </c>
      <c r="R47" s="198"/>
      <c r="S47" s="198"/>
      <c r="T47" s="198"/>
      <c r="U47" s="198"/>
    </row>
    <row r="48" spans="1:21" s="12" customFormat="1" ht="15">
      <c r="A48" s="201" t="s">
        <v>380</v>
      </c>
      <c r="B48" s="60">
        <v>1.95</v>
      </c>
      <c r="C48" s="60">
        <v>50.79</v>
      </c>
      <c r="D48" s="60">
        <v>52.74</v>
      </c>
      <c r="E48" s="60">
        <v>7.01</v>
      </c>
      <c r="F48" s="60">
        <v>3.13</v>
      </c>
      <c r="G48" s="60">
        <v>148.44</v>
      </c>
      <c r="H48" s="60">
        <v>43.86</v>
      </c>
      <c r="I48" s="60">
        <v>13.54</v>
      </c>
      <c r="J48" s="60">
        <v>2.42</v>
      </c>
      <c r="K48" s="60">
        <v>330.58</v>
      </c>
      <c r="L48" s="60">
        <v>53.49</v>
      </c>
      <c r="M48" s="60">
        <v>25.07</v>
      </c>
      <c r="N48" s="60">
        <v>948.5</v>
      </c>
      <c r="O48" s="60">
        <v>0</v>
      </c>
      <c r="P48" s="60">
        <v>2.02</v>
      </c>
      <c r="Q48" s="60">
        <v>83.57</v>
      </c>
      <c r="R48" s="198"/>
      <c r="S48" s="198"/>
      <c r="T48" s="198"/>
      <c r="U48" s="198"/>
    </row>
    <row r="49" spans="1:21" s="12" customFormat="1" ht="15">
      <c r="A49" s="201" t="s">
        <v>381</v>
      </c>
      <c r="B49" s="60">
        <v>1.76</v>
      </c>
      <c r="C49" s="60">
        <v>50.66</v>
      </c>
      <c r="D49" s="60">
        <v>52.41</v>
      </c>
      <c r="E49" s="60">
        <v>7.29</v>
      </c>
      <c r="F49" s="60">
        <v>3.40</v>
      </c>
      <c r="G49" s="60">
        <v>148.44</v>
      </c>
      <c r="H49" s="60">
        <v>43.86</v>
      </c>
      <c r="I49" s="60">
        <v>13.26</v>
      </c>
      <c r="J49" s="60">
        <v>2.35</v>
      </c>
      <c r="K49" s="60">
        <v>330.42</v>
      </c>
      <c r="L49" s="60">
        <v>53.98</v>
      </c>
      <c r="M49" s="60">
        <v>23.18</v>
      </c>
      <c r="N49" s="60">
        <v>962.60</v>
      </c>
      <c r="O49" s="60">
        <v>0</v>
      </c>
      <c r="P49" s="60">
        <v>2.08</v>
      </c>
      <c r="Q49" s="60">
        <v>84.60</v>
      </c>
      <c r="R49" s="198"/>
      <c r="S49" s="198"/>
      <c r="T49" s="198"/>
      <c r="U49" s="198"/>
    </row>
    <row r="50" spans="1:21" s="12" customFormat="1" ht="15">
      <c r="A50" s="201" t="s">
        <v>382</v>
      </c>
      <c r="B50" s="60">
        <v>1.47</v>
      </c>
      <c r="C50" s="60">
        <v>46.14</v>
      </c>
      <c r="D50" s="60">
        <v>47.61</v>
      </c>
      <c r="E50" s="60">
        <v>7.27</v>
      </c>
      <c r="F50" s="60">
        <v>4.09</v>
      </c>
      <c r="G50" s="60">
        <v>158.93</v>
      </c>
      <c r="H50" s="60">
        <v>43.68</v>
      </c>
      <c r="I50" s="60">
        <v>10.91</v>
      </c>
      <c r="J50" s="60">
        <v>2.70</v>
      </c>
      <c r="K50" s="60">
        <v>317.13</v>
      </c>
      <c r="L50" s="60">
        <v>54.44</v>
      </c>
      <c r="M50" s="60">
        <v>21.85</v>
      </c>
      <c r="N50" s="60">
        <v>1014.10</v>
      </c>
      <c r="O50" s="60">
        <v>0</v>
      </c>
      <c r="P50" s="60">
        <v>1.94</v>
      </c>
      <c r="Q50" s="60">
        <v>76.150000000000006</v>
      </c>
      <c r="R50" s="198"/>
      <c r="S50" s="198"/>
      <c r="T50" s="198"/>
      <c r="U50" s="198"/>
    </row>
    <row r="51" spans="1:21" s="12" customFormat="1" ht="15">
      <c r="A51" s="201" t="s">
        <v>383</v>
      </c>
      <c r="B51" s="60">
        <v>1.47</v>
      </c>
      <c r="C51" s="60">
        <v>46.14</v>
      </c>
      <c r="D51" s="60">
        <v>47.61</v>
      </c>
      <c r="E51" s="60">
        <v>7.27</v>
      </c>
      <c r="F51" s="60">
        <v>4.09</v>
      </c>
      <c r="G51" s="60">
        <v>158.93</v>
      </c>
      <c r="H51" s="60">
        <v>43.68</v>
      </c>
      <c r="I51" s="60">
        <v>10.91</v>
      </c>
      <c r="J51" s="60">
        <v>2.70</v>
      </c>
      <c r="K51" s="60">
        <v>317.13</v>
      </c>
      <c r="L51" s="60">
        <v>54.44</v>
      </c>
      <c r="M51" s="60">
        <v>21.85</v>
      </c>
      <c r="N51" s="60">
        <v>1014.10</v>
      </c>
      <c r="O51" s="60">
        <v>0</v>
      </c>
      <c r="P51" s="60">
        <v>1.94</v>
      </c>
      <c r="Q51" s="60">
        <v>76.150000000000006</v>
      </c>
      <c r="R51" s="198"/>
      <c r="S51" s="198"/>
      <c r="T51" s="198"/>
      <c r="U51" s="198"/>
    </row>
    <row r="52" spans="1:21" s="12" customFormat="1" ht="15">
      <c r="A52" s="201" t="s">
        <v>384</v>
      </c>
      <c r="B52" s="60">
        <v>1.1599999999999999</v>
      </c>
      <c r="C52" s="60">
        <v>50.23</v>
      </c>
      <c r="D52" s="60">
        <v>51.39</v>
      </c>
      <c r="E52" s="60">
        <v>4.92</v>
      </c>
      <c r="F52" s="60">
        <v>6.60</v>
      </c>
      <c r="G52" s="60">
        <v>160.74</v>
      </c>
      <c r="H52" s="60">
        <v>43.61</v>
      </c>
      <c r="I52" s="60">
        <v>10.42</v>
      </c>
      <c r="J52" s="60">
        <v>1.66</v>
      </c>
      <c r="K52" s="60">
        <v>321.37</v>
      </c>
      <c r="L52" s="60">
        <v>54.17</v>
      </c>
      <c r="M52" s="60">
        <v>19.48</v>
      </c>
      <c r="N52" s="60">
        <v>1045.30</v>
      </c>
      <c r="O52" s="60">
        <v>0</v>
      </c>
      <c r="P52" s="60">
        <v>1.92</v>
      </c>
      <c r="Q52" s="60">
        <v>74.28</v>
      </c>
      <c r="R52" s="198"/>
      <c r="S52" s="198"/>
      <c r="T52" s="198"/>
      <c r="U52" s="198"/>
    </row>
    <row r="53" spans="1:21" s="12" customFormat="1" ht="15">
      <c r="A53" s="201" t="s">
        <v>385</v>
      </c>
      <c r="B53" s="60">
        <v>0.81</v>
      </c>
      <c r="C53" s="60">
        <v>49.07</v>
      </c>
      <c r="D53" s="60">
        <v>49.88</v>
      </c>
      <c r="E53" s="60">
        <v>6.16</v>
      </c>
      <c r="F53" s="60">
        <v>8.35</v>
      </c>
      <c r="G53" s="60">
        <v>160.74</v>
      </c>
      <c r="H53" s="60">
        <v>43.61</v>
      </c>
      <c r="I53" s="60">
        <v>10.32</v>
      </c>
      <c r="J53" s="60">
        <v>1.77</v>
      </c>
      <c r="K53" s="60">
        <v>333.59</v>
      </c>
      <c r="L53" s="60">
        <v>54.08</v>
      </c>
      <c r="M53" s="60">
        <v>18.25</v>
      </c>
      <c r="N53" s="60">
        <v>1069.4000000000001</v>
      </c>
      <c r="O53" s="60">
        <v>0</v>
      </c>
      <c r="P53" s="60">
        <v>1.68</v>
      </c>
      <c r="Q53" s="60">
        <v>78.22</v>
      </c>
      <c r="R53" s="198"/>
      <c r="S53" s="198"/>
      <c r="T53" s="198"/>
      <c r="U53" s="198"/>
    </row>
    <row r="54" spans="1:21" s="12" customFormat="1" ht="15">
      <c r="A54" s="201" t="s">
        <v>386</v>
      </c>
      <c r="B54" s="60">
        <v>1.34</v>
      </c>
      <c r="C54" s="60">
        <v>48.52</v>
      </c>
      <c r="D54" s="60">
        <v>49.86</v>
      </c>
      <c r="E54" s="60">
        <v>7.01</v>
      </c>
      <c r="F54" s="60">
        <v>7.03</v>
      </c>
      <c r="G54" s="60">
        <v>157.40</v>
      </c>
      <c r="H54" s="60">
        <v>42.03</v>
      </c>
      <c r="I54" s="60">
        <v>8.7200000000000006</v>
      </c>
      <c r="J54" s="60">
        <v>2.36</v>
      </c>
      <c r="K54" s="60">
        <v>322.30</v>
      </c>
      <c r="L54" s="60">
        <v>54.71</v>
      </c>
      <c r="M54" s="60">
        <v>17.45</v>
      </c>
      <c r="N54" s="60">
        <v>1041.30</v>
      </c>
      <c r="O54" s="60">
        <v>0</v>
      </c>
      <c r="P54" s="60">
        <v>1.84</v>
      </c>
      <c r="Q54" s="60">
        <v>83.60</v>
      </c>
      <c r="R54" s="198"/>
      <c r="S54" s="198"/>
      <c r="T54" s="198"/>
      <c r="U54" s="198"/>
    </row>
    <row r="55" spans="1:21" s="12" customFormat="1" ht="15">
      <c r="A55" s="201" t="s">
        <v>387</v>
      </c>
      <c r="B55" s="60">
        <v>1.5</v>
      </c>
      <c r="C55" s="60">
        <v>49.09</v>
      </c>
      <c r="D55" s="60">
        <v>50.59</v>
      </c>
      <c r="E55" s="60">
        <v>6.66</v>
      </c>
      <c r="F55" s="60">
        <v>8.60</v>
      </c>
      <c r="G55" s="60">
        <v>157.34</v>
      </c>
      <c r="H55" s="60">
        <v>41.49</v>
      </c>
      <c r="I55" s="60">
        <v>7.20</v>
      </c>
      <c r="J55" s="60">
        <v>0.26</v>
      </c>
      <c r="K55" s="60">
        <v>356.62</v>
      </c>
      <c r="L55" s="60">
        <v>53.27</v>
      </c>
      <c r="M55" s="60">
        <v>15.47</v>
      </c>
      <c r="N55" s="60">
        <v>1015.80</v>
      </c>
      <c r="O55" s="60">
        <v>0</v>
      </c>
      <c r="P55" s="60">
        <v>1.60</v>
      </c>
      <c r="Q55" s="60">
        <v>83.51</v>
      </c>
      <c r="R55" s="198"/>
      <c r="S55" s="198"/>
      <c r="T55" s="198"/>
      <c r="U55" s="198"/>
    </row>
    <row r="56" spans="1:21" s="12" customFormat="1" ht="15">
      <c r="A56" s="201" t="s">
        <v>388</v>
      </c>
      <c r="B56" s="60">
        <v>0.98</v>
      </c>
      <c r="C56" s="60">
        <v>47.42</v>
      </c>
      <c r="D56" s="60">
        <v>48.40</v>
      </c>
      <c r="E56" s="60">
        <v>6.93</v>
      </c>
      <c r="F56" s="60">
        <v>7.79</v>
      </c>
      <c r="G56" s="60">
        <v>157.34</v>
      </c>
      <c r="H56" s="60">
        <v>41.49</v>
      </c>
      <c r="I56" s="60">
        <v>7.51</v>
      </c>
      <c r="J56" s="60">
        <v>1.37</v>
      </c>
      <c r="K56" s="60">
        <v>194.01</v>
      </c>
      <c r="L56" s="60">
        <v>50.94</v>
      </c>
      <c r="M56" s="60">
        <v>15.17</v>
      </c>
      <c r="N56" s="60">
        <v>1050.5999999999999</v>
      </c>
      <c r="O56" s="60">
        <v>0</v>
      </c>
      <c r="P56" s="60">
        <v>1.45</v>
      </c>
      <c r="Q56" s="60">
        <v>80.95</v>
      </c>
      <c r="R56" s="198"/>
      <c r="S56" s="198"/>
      <c r="T56" s="198"/>
      <c r="U56" s="198"/>
    </row>
    <row r="57" spans="1:21" s="12" customFormat="1" ht="15">
      <c r="A57" s="201" t="s">
        <v>389</v>
      </c>
      <c r="B57" s="60">
        <v>0.61</v>
      </c>
      <c r="C57" s="60">
        <v>43.76</v>
      </c>
      <c r="D57" s="60">
        <v>44.36</v>
      </c>
      <c r="E57" s="60">
        <v>6.67</v>
      </c>
      <c r="F57" s="60">
        <v>6.69</v>
      </c>
      <c r="G57" s="60">
        <v>157.34</v>
      </c>
      <c r="H57" s="60">
        <v>41.49</v>
      </c>
      <c r="I57" s="60">
        <v>6.04</v>
      </c>
      <c r="J57" s="60">
        <v>0.63</v>
      </c>
      <c r="K57" s="60">
        <v>130.61000000000001</v>
      </c>
      <c r="L57" s="60">
        <v>53.30</v>
      </c>
      <c r="M57" s="60">
        <v>15.98</v>
      </c>
      <c r="N57" s="60">
        <v>1052.70</v>
      </c>
      <c r="O57" s="60">
        <v>0</v>
      </c>
      <c r="P57" s="60">
        <v>1.53</v>
      </c>
      <c r="Q57" s="60">
        <v>79.239999999999995</v>
      </c>
      <c r="R57" s="198"/>
      <c r="S57" s="198"/>
      <c r="T57" s="198"/>
      <c r="U57" s="198"/>
    </row>
    <row r="58" spans="1:21" s="12" customFormat="1" ht="15">
      <c r="A58" s="201" t="s">
        <v>390</v>
      </c>
      <c r="B58" s="60">
        <v>0.45</v>
      </c>
      <c r="C58" s="60">
        <v>39.950000000000003</v>
      </c>
      <c r="D58" s="60">
        <v>40.409999999999997</v>
      </c>
      <c r="E58" s="60">
        <v>6.99</v>
      </c>
      <c r="F58" s="60">
        <v>7.04</v>
      </c>
      <c r="G58" s="60">
        <v>145.52000000000001</v>
      </c>
      <c r="H58" s="60">
        <v>39.64</v>
      </c>
      <c r="I58" s="60">
        <v>5.49</v>
      </c>
      <c r="J58" s="60">
        <v>0.24</v>
      </c>
      <c r="K58" s="60">
        <v>167.35</v>
      </c>
      <c r="L58" s="60">
        <v>55.11</v>
      </c>
      <c r="M58" s="60">
        <v>15.97</v>
      </c>
      <c r="N58" s="60">
        <v>1071.30</v>
      </c>
      <c r="O58" s="60">
        <v>0</v>
      </c>
      <c r="P58" s="60">
        <v>1.41</v>
      </c>
      <c r="Q58" s="60">
        <v>0</v>
      </c>
      <c r="R58" s="198"/>
      <c r="S58" s="198"/>
      <c r="T58" s="198"/>
      <c r="U58" s="198"/>
    </row>
    <row r="59" spans="1:21" s="12" customFormat="1" ht="15">
      <c r="A59" s="201" t="s">
        <v>391</v>
      </c>
      <c r="B59" s="60">
        <v>0.56000000000000005</v>
      </c>
      <c r="C59" s="60">
        <v>37.11</v>
      </c>
      <c r="D59" s="60">
        <v>37.68</v>
      </c>
      <c r="E59" s="60">
        <v>7.02</v>
      </c>
      <c r="F59" s="60">
        <v>7.36</v>
      </c>
      <c r="G59" s="60">
        <v>145.24</v>
      </c>
      <c r="H59" s="60">
        <v>38.67</v>
      </c>
      <c r="I59" s="60">
        <v>5.58</v>
      </c>
      <c r="J59" s="60">
        <v>1.66</v>
      </c>
      <c r="K59" s="60">
        <v>207.54</v>
      </c>
      <c r="L59" s="60">
        <v>52.65</v>
      </c>
      <c r="M59" s="60">
        <v>13.78</v>
      </c>
      <c r="N59" s="60">
        <v>1055.30</v>
      </c>
      <c r="O59" s="60">
        <v>0</v>
      </c>
      <c r="P59" s="60">
        <v>1.52</v>
      </c>
      <c r="Q59" s="60">
        <v>74.53</v>
      </c>
      <c r="R59" s="198"/>
      <c r="S59" s="198"/>
      <c r="T59" s="198"/>
      <c r="U59" s="198"/>
    </row>
    <row r="60" spans="1:21" s="12" customFormat="1" ht="15">
      <c r="A60" s="201" t="s">
        <v>392</v>
      </c>
      <c r="B60" s="60">
        <v>0.39</v>
      </c>
      <c r="C60" s="60">
        <v>34.74</v>
      </c>
      <c r="D60" s="60">
        <v>35.14</v>
      </c>
      <c r="E60" s="60">
        <v>6.64</v>
      </c>
      <c r="F60" s="60">
        <v>7.48</v>
      </c>
      <c r="G60" s="60">
        <v>145.24</v>
      </c>
      <c r="H60" s="60">
        <v>38.67</v>
      </c>
      <c r="I60" s="60">
        <v>3.99</v>
      </c>
      <c r="J60" s="60">
        <v>1.31</v>
      </c>
      <c r="K60" s="60">
        <v>68.48</v>
      </c>
      <c r="L60" s="60">
        <v>53.42</v>
      </c>
      <c r="M60" s="60">
        <v>14.40</v>
      </c>
      <c r="N60" s="60">
        <v>1025.5999999999999</v>
      </c>
      <c r="O60" s="60">
        <v>0</v>
      </c>
      <c r="P60" s="60">
        <v>1.47</v>
      </c>
      <c r="Q60" s="60">
        <v>0</v>
      </c>
      <c r="R60" s="198"/>
      <c r="S60" s="198"/>
      <c r="T60" s="198"/>
      <c r="U60" s="198"/>
    </row>
    <row r="61" spans="1:21" s="12" customFormat="1" ht="15">
      <c r="A61" s="201" t="s">
        <v>393</v>
      </c>
      <c r="B61" s="60">
        <v>0.44</v>
      </c>
      <c r="C61" s="60">
        <v>34.03</v>
      </c>
      <c r="D61" s="60">
        <v>34.47</v>
      </c>
      <c r="E61" s="60">
        <v>6.40</v>
      </c>
      <c r="F61" s="60">
        <v>7.03</v>
      </c>
      <c r="G61" s="60">
        <v>145.24</v>
      </c>
      <c r="H61" s="60">
        <v>38.67</v>
      </c>
      <c r="I61" s="60">
        <v>5.66</v>
      </c>
      <c r="J61" s="60">
        <v>2.0099999999999998</v>
      </c>
      <c r="K61" s="60">
        <v>150.02000000000001</v>
      </c>
      <c r="L61" s="60">
        <v>51.32</v>
      </c>
      <c r="M61" s="60">
        <v>13.83</v>
      </c>
      <c r="N61" s="60">
        <v>976.70</v>
      </c>
      <c r="O61" s="60">
        <v>0</v>
      </c>
      <c r="P61" s="60">
        <v>1.45</v>
      </c>
      <c r="Q61" s="60">
        <v>72.20</v>
      </c>
      <c r="R61" s="198"/>
      <c r="S61" s="198"/>
      <c r="T61" s="198"/>
      <c r="U61" s="198"/>
    </row>
    <row r="62" spans="1:21" s="12" customFormat="1" ht="15">
      <c r="A62" s="201" t="s">
        <v>394</v>
      </c>
      <c r="B62" s="60">
        <v>0.16</v>
      </c>
      <c r="C62" s="60">
        <v>33.04</v>
      </c>
      <c r="D62" s="60">
        <v>33.200000000000003</v>
      </c>
      <c r="E62" s="60">
        <v>6.68</v>
      </c>
      <c r="F62" s="60">
        <v>8.11</v>
      </c>
      <c r="G62" s="60">
        <v>136.27000000000001</v>
      </c>
      <c r="H62" s="60">
        <v>37.979999999999997</v>
      </c>
      <c r="I62" s="60">
        <v>4.95</v>
      </c>
      <c r="J62" s="60">
        <v>0.51</v>
      </c>
      <c r="K62" s="60">
        <v>283.05</v>
      </c>
      <c r="L62" s="60">
        <v>53.42</v>
      </c>
      <c r="M62" s="60">
        <v>14.39</v>
      </c>
      <c r="N62" s="60">
        <v>958.5</v>
      </c>
      <c r="O62" s="60">
        <v>0</v>
      </c>
      <c r="P62" s="60">
        <v>1.47</v>
      </c>
      <c r="Q62" s="60">
        <v>70.319999999999993</v>
      </c>
      <c r="R62" s="198"/>
      <c r="S62" s="198"/>
      <c r="T62" s="198"/>
      <c r="U62" s="198"/>
    </row>
    <row r="63" spans="1:21" s="12" customFormat="1" ht="15">
      <c r="A63" s="201" t="s">
        <v>395</v>
      </c>
      <c r="B63" s="60">
        <v>0.17</v>
      </c>
      <c r="C63" s="60">
        <v>32.90</v>
      </c>
      <c r="D63" s="60">
        <v>33.07</v>
      </c>
      <c r="E63" s="60">
        <v>7.14</v>
      </c>
      <c r="F63" s="60">
        <v>8.94</v>
      </c>
      <c r="G63" s="60">
        <v>136.05000000000001</v>
      </c>
      <c r="H63" s="60">
        <v>37.74</v>
      </c>
      <c r="I63" s="60">
        <v>5.65</v>
      </c>
      <c r="J63" s="60">
        <v>1.04</v>
      </c>
      <c r="K63" s="60">
        <v>307.12</v>
      </c>
      <c r="L63" s="60">
        <v>54.39</v>
      </c>
      <c r="M63" s="60">
        <v>13.81</v>
      </c>
      <c r="N63" s="60">
        <v>919.40</v>
      </c>
      <c r="O63" s="60">
        <v>0</v>
      </c>
      <c r="P63" s="60">
        <v>1.49</v>
      </c>
      <c r="Q63" s="60">
        <v>67.989999999999995</v>
      </c>
      <c r="R63" s="198"/>
      <c r="S63" s="198"/>
      <c r="T63" s="198"/>
      <c r="U63" s="198"/>
    </row>
    <row r="64" spans="1:21" s="12" customFormat="1" ht="15">
      <c r="A64" s="201" t="s">
        <v>396</v>
      </c>
      <c r="B64" s="60">
        <v>0.10</v>
      </c>
      <c r="C64" s="60">
        <v>32.90</v>
      </c>
      <c r="D64" s="60">
        <v>33</v>
      </c>
      <c r="E64" s="60">
        <v>6.88</v>
      </c>
      <c r="F64" s="60">
        <v>9.59</v>
      </c>
      <c r="G64" s="60">
        <v>136.05000000000001</v>
      </c>
      <c r="H64" s="60">
        <v>37.74</v>
      </c>
      <c r="I64" s="60">
        <v>7.16</v>
      </c>
      <c r="J64" s="60">
        <v>2.2200000000000002</v>
      </c>
      <c r="K64" s="60">
        <v>161.93</v>
      </c>
      <c r="L64" s="60">
        <v>52.04</v>
      </c>
      <c r="M64" s="60">
        <v>12.82</v>
      </c>
      <c r="N64" s="60">
        <v>877.30</v>
      </c>
      <c r="O64" s="60">
        <v>0</v>
      </c>
      <c r="P64" s="60">
        <v>1.46</v>
      </c>
      <c r="Q64" s="60">
        <v>66.02</v>
      </c>
      <c r="R64" s="198"/>
      <c r="S64" s="198"/>
      <c r="T64" s="198"/>
      <c r="U64" s="198"/>
    </row>
    <row r="65" spans="1:21" s="12" customFormat="1" ht="15">
      <c r="A65" s="201" t="s">
        <v>397</v>
      </c>
      <c r="B65" s="60">
        <v>0.13</v>
      </c>
      <c r="C65" s="60">
        <v>33.11</v>
      </c>
      <c r="D65" s="60">
        <v>33.25</v>
      </c>
      <c r="E65" s="60">
        <v>7.06</v>
      </c>
      <c r="F65" s="60">
        <v>9.3800000000000008</v>
      </c>
      <c r="G65" s="60">
        <v>136.05000000000001</v>
      </c>
      <c r="H65" s="60">
        <v>37.74</v>
      </c>
      <c r="I65" s="60">
        <v>7.66</v>
      </c>
      <c r="J65" s="60">
        <v>1.44</v>
      </c>
      <c r="K65" s="60">
        <v>319.20999999999998</v>
      </c>
      <c r="L65" s="60">
        <v>56.03</v>
      </c>
      <c r="M65" s="60">
        <v>14.30</v>
      </c>
      <c r="N65" s="60">
        <v>846</v>
      </c>
      <c r="O65" s="60">
        <v>0</v>
      </c>
      <c r="P65" s="60">
        <v>1.46</v>
      </c>
      <c r="Q65" s="60">
        <v>64.63</v>
      </c>
      <c r="R65" s="198"/>
      <c r="S65" s="198"/>
      <c r="T65" s="198"/>
      <c r="U65" s="198"/>
    </row>
    <row r="66" spans="1:21" s="12" customFormat="1" ht="15">
      <c r="A66" s="201" t="s">
        <v>398</v>
      </c>
      <c r="B66" s="60">
        <v>0.16</v>
      </c>
      <c r="C66" s="60">
        <v>33.40</v>
      </c>
      <c r="D66" s="60">
        <v>33.56</v>
      </c>
      <c r="E66" s="60">
        <v>6.51</v>
      </c>
      <c r="F66" s="60">
        <v>9.51</v>
      </c>
      <c r="G66" s="60">
        <v>142.60</v>
      </c>
      <c r="H66" s="60">
        <v>37</v>
      </c>
      <c r="I66" s="60">
        <v>7.51</v>
      </c>
      <c r="J66" s="60">
        <v>1.1200000000000001</v>
      </c>
      <c r="K66" s="60">
        <v>296.91000000000003</v>
      </c>
      <c r="L66" s="60">
        <v>55.05</v>
      </c>
      <c r="M66" s="60">
        <v>12.97</v>
      </c>
      <c r="N66" s="60">
        <v>812.5</v>
      </c>
      <c r="O66" s="60">
        <v>0</v>
      </c>
      <c r="P66" s="60">
        <v>1.43</v>
      </c>
      <c r="Q66" s="60">
        <v>62.90</v>
      </c>
      <c r="R66" s="198"/>
      <c r="S66" s="198"/>
      <c r="T66" s="198"/>
      <c r="U66" s="198"/>
    </row>
    <row r="67" spans="1:21" s="12" customFormat="1" ht="15">
      <c r="A67" s="201" t="s">
        <v>399</v>
      </c>
      <c r="B67" s="60">
        <v>0.18</v>
      </c>
      <c r="C67" s="60">
        <v>33.74</v>
      </c>
      <c r="D67" s="60">
        <v>33.92</v>
      </c>
      <c r="E67" s="60">
        <v>6.53</v>
      </c>
      <c r="F67" s="60">
        <v>9.9600000000000009</v>
      </c>
      <c r="G67" s="60">
        <v>143.41</v>
      </c>
      <c r="H67" s="60">
        <v>36.74</v>
      </c>
      <c r="I67" s="60">
        <v>7.81</v>
      </c>
      <c r="J67" s="60">
        <v>2.2000000000000002</v>
      </c>
      <c r="K67" s="60">
        <v>330.15</v>
      </c>
      <c r="L67" s="60">
        <v>54.62</v>
      </c>
      <c r="M67" s="60">
        <v>13.42</v>
      </c>
      <c r="N67" s="60">
        <v>792.80</v>
      </c>
      <c r="O67" s="60">
        <v>0</v>
      </c>
      <c r="P67" s="60">
        <v>1.36</v>
      </c>
      <c r="Q67" s="60">
        <v>62.56</v>
      </c>
      <c r="R67" s="198"/>
      <c r="S67" s="198"/>
      <c r="T67" s="198"/>
      <c r="U67" s="198"/>
    </row>
    <row r="68" spans="1:21" s="12" customFormat="1" ht="15">
      <c r="A68" s="201" t="s">
        <v>400</v>
      </c>
      <c r="B68" s="60">
        <v>0.31</v>
      </c>
      <c r="C68" s="60">
        <v>34.08</v>
      </c>
      <c r="D68" s="60">
        <v>34.39</v>
      </c>
      <c r="E68" s="60">
        <v>3.51</v>
      </c>
      <c r="F68" s="60">
        <v>8.41</v>
      </c>
      <c r="G68" s="60">
        <v>143.41</v>
      </c>
      <c r="H68" s="60">
        <v>36.74</v>
      </c>
      <c r="I68" s="60">
        <v>6.01</v>
      </c>
      <c r="J68" s="60">
        <v>0.63</v>
      </c>
      <c r="K68" s="60">
        <v>287.49</v>
      </c>
      <c r="L68" s="60">
        <v>54.74</v>
      </c>
      <c r="M68" s="60">
        <v>12.40</v>
      </c>
      <c r="N68" s="60">
        <v>754</v>
      </c>
      <c r="O68" s="60">
        <v>0</v>
      </c>
      <c r="P68" s="60">
        <v>1.25</v>
      </c>
      <c r="Q68" s="60">
        <v>58.46</v>
      </c>
      <c r="R68" s="198"/>
      <c r="S68" s="198"/>
      <c r="T68" s="198"/>
      <c r="U68" s="198"/>
    </row>
    <row r="69" spans="1:21" s="12" customFormat="1" ht="15">
      <c r="A69" s="201" t="s">
        <v>401</v>
      </c>
      <c r="B69" s="60">
        <v>0.32</v>
      </c>
      <c r="C69" s="60">
        <v>33.69</v>
      </c>
      <c r="D69" s="60">
        <v>34.020000000000003</v>
      </c>
      <c r="E69" s="60">
        <v>5.90</v>
      </c>
      <c r="F69" s="60">
        <v>8.64</v>
      </c>
      <c r="G69" s="60">
        <v>143.41</v>
      </c>
      <c r="H69" s="60">
        <v>36.74</v>
      </c>
      <c r="I69" s="60">
        <v>5.27</v>
      </c>
      <c r="J69" s="60">
        <v>1.43</v>
      </c>
      <c r="K69" s="60">
        <v>308.38</v>
      </c>
      <c r="L69" s="60">
        <v>55.07</v>
      </c>
      <c r="M69" s="60">
        <v>12.92</v>
      </c>
      <c r="N69" s="60">
        <v>712.90</v>
      </c>
      <c r="O69" s="60">
        <v>0</v>
      </c>
      <c r="P69" s="60">
        <v>1.32</v>
      </c>
      <c r="Q69" s="60">
        <v>56.74</v>
      </c>
      <c r="R69" s="198"/>
      <c r="S69" s="198"/>
      <c r="T69" s="198"/>
      <c r="U69" s="198"/>
    </row>
    <row r="70" spans="1:21" s="12" customFormat="1" ht="15">
      <c r="A70" s="201" t="s">
        <v>402</v>
      </c>
      <c r="B70" s="60">
        <v>0.32</v>
      </c>
      <c r="C70" s="60">
        <v>33.479999999999997</v>
      </c>
      <c r="D70" s="60">
        <v>33.799999999999997</v>
      </c>
      <c r="E70" s="60">
        <v>6.22</v>
      </c>
      <c r="F70" s="60">
        <v>8.5399999999999991</v>
      </c>
      <c r="G70" s="60">
        <v>143.44999999999999</v>
      </c>
      <c r="H70" s="60">
        <v>36.57</v>
      </c>
      <c r="I70" s="60">
        <v>3.59</v>
      </c>
      <c r="J70" s="60">
        <v>1.29</v>
      </c>
      <c r="K70" s="60">
        <v>3.92</v>
      </c>
      <c r="L70" s="60">
        <v>55.07</v>
      </c>
      <c r="M70" s="60">
        <v>13.18</v>
      </c>
      <c r="N70" s="60">
        <v>646.79999999999995</v>
      </c>
      <c r="O70" s="60">
        <v>0</v>
      </c>
      <c r="P70" s="60">
        <v>1.39</v>
      </c>
      <c r="Q70" s="60">
        <v>57.30</v>
      </c>
      <c r="R70" s="198"/>
      <c r="S70" s="198"/>
      <c r="T70" s="198"/>
      <c r="U70" s="198"/>
    </row>
    <row r="71" spans="1:21" s="12" customFormat="1" ht="15">
      <c r="A71" s="201" t="s">
        <v>403</v>
      </c>
      <c r="B71" s="60">
        <v>0.28000000000000003</v>
      </c>
      <c r="C71" s="60">
        <v>33.86</v>
      </c>
      <c r="D71" s="60">
        <v>34.14</v>
      </c>
      <c r="E71" s="60">
        <v>6.07</v>
      </c>
      <c r="F71" s="60">
        <v>8.77</v>
      </c>
      <c r="G71" s="60">
        <v>143.44999999999999</v>
      </c>
      <c r="H71" s="60">
        <v>36.51</v>
      </c>
      <c r="I71" s="60">
        <v>5.34</v>
      </c>
      <c r="J71" s="60">
        <v>1.5</v>
      </c>
      <c r="K71" s="60">
        <v>325.45999999999998</v>
      </c>
      <c r="L71" s="60">
        <v>55.01</v>
      </c>
      <c r="M71" s="60">
        <v>13.18</v>
      </c>
      <c r="N71" s="60">
        <v>584.5</v>
      </c>
      <c r="O71" s="60">
        <v>0</v>
      </c>
      <c r="P71" s="60">
        <v>1.32</v>
      </c>
      <c r="Q71" s="60">
        <v>57.89</v>
      </c>
      <c r="R71" s="198"/>
      <c r="S71" s="198"/>
      <c r="T71" s="198"/>
      <c r="U71" s="198"/>
    </row>
    <row r="72" spans="1:21" s="12" customFormat="1" ht="15">
      <c r="A72" s="201" t="s">
        <v>404</v>
      </c>
      <c r="B72" s="60">
        <v>0.25</v>
      </c>
      <c r="C72" s="60">
        <v>33.71</v>
      </c>
      <c r="D72" s="60">
        <v>33.96</v>
      </c>
      <c r="E72" s="60">
        <v>6.14</v>
      </c>
      <c r="F72" s="60">
        <v>9.18</v>
      </c>
      <c r="G72" s="60">
        <v>143.44999999999999</v>
      </c>
      <c r="H72" s="60">
        <v>36.51</v>
      </c>
      <c r="I72" s="60">
        <v>6.33</v>
      </c>
      <c r="J72" s="60">
        <v>1.31</v>
      </c>
      <c r="K72" s="60">
        <v>326.98</v>
      </c>
      <c r="L72" s="60">
        <v>55.53</v>
      </c>
      <c r="M72" s="60">
        <v>12.99</v>
      </c>
      <c r="N72" s="60">
        <v>532.5</v>
      </c>
      <c r="O72" s="60">
        <v>0</v>
      </c>
      <c r="P72" s="60">
        <v>1.34</v>
      </c>
      <c r="Q72" s="60">
        <v>57.73</v>
      </c>
      <c r="R72" s="198"/>
      <c r="S72" s="198"/>
      <c r="T72" s="198"/>
      <c r="U72" s="198"/>
    </row>
    <row r="73" spans="1:21" s="12" customFormat="1" ht="15">
      <c r="A73" s="201" t="s">
        <v>405</v>
      </c>
      <c r="B73" s="60">
        <v>0.37</v>
      </c>
      <c r="C73" s="60">
        <v>34.130000000000003</v>
      </c>
      <c r="D73" s="60">
        <v>34.5</v>
      </c>
      <c r="E73" s="60">
        <v>5.73</v>
      </c>
      <c r="F73" s="60">
        <v>7.89</v>
      </c>
      <c r="G73" s="60">
        <v>143.44999999999999</v>
      </c>
      <c r="H73" s="60">
        <v>36.51</v>
      </c>
      <c r="I73" s="60">
        <v>5.47</v>
      </c>
      <c r="J73" s="60">
        <v>1.51</v>
      </c>
      <c r="K73" s="60">
        <v>330.26</v>
      </c>
      <c r="L73" s="60">
        <v>54.94</v>
      </c>
      <c r="M73" s="60">
        <v>13.37</v>
      </c>
      <c r="N73" s="60">
        <v>473.80</v>
      </c>
      <c r="O73" s="60">
        <v>0</v>
      </c>
      <c r="P73" s="60">
        <v>1.33</v>
      </c>
      <c r="Q73" s="60">
        <v>57.56</v>
      </c>
      <c r="R73" s="198"/>
      <c r="S73" s="198"/>
      <c r="T73" s="198"/>
      <c r="U73" s="198"/>
    </row>
    <row r="74" spans="1:21" s="12" customFormat="1" ht="15">
      <c r="A74" s="201" t="s">
        <v>406</v>
      </c>
      <c r="B74" s="60">
        <v>0.48</v>
      </c>
      <c r="C74" s="60">
        <v>35.07</v>
      </c>
      <c r="D74" s="60">
        <v>35.549999999999997</v>
      </c>
      <c r="E74" s="60">
        <v>5.61</v>
      </c>
      <c r="F74" s="60">
        <v>7.88</v>
      </c>
      <c r="G74" s="60">
        <v>141.96</v>
      </c>
      <c r="H74" s="60">
        <v>33</v>
      </c>
      <c r="I74" s="60">
        <v>5.35</v>
      </c>
      <c r="J74" s="60">
        <v>2.25</v>
      </c>
      <c r="K74" s="60">
        <v>313.83</v>
      </c>
      <c r="L74" s="60">
        <v>54.67</v>
      </c>
      <c r="M74" s="60">
        <v>13.55</v>
      </c>
      <c r="N74" s="60">
        <v>407.60</v>
      </c>
      <c r="O74" s="60">
        <v>0</v>
      </c>
      <c r="P74" s="60">
        <v>1.35</v>
      </c>
      <c r="Q74" s="60">
        <v>57.26</v>
      </c>
      <c r="R74" s="198"/>
      <c r="S74" s="198"/>
      <c r="T74" s="198"/>
      <c r="U74" s="198"/>
    </row>
    <row r="75" spans="1:21" s="12" customFormat="1" ht="15">
      <c r="A75" s="201" t="s">
        <v>407</v>
      </c>
      <c r="B75" s="60">
        <v>0.76</v>
      </c>
      <c r="C75" s="60">
        <v>36.049999999999997</v>
      </c>
      <c r="D75" s="60">
        <v>36.82</v>
      </c>
      <c r="E75" s="60">
        <v>5.86</v>
      </c>
      <c r="F75" s="60">
        <v>6.36</v>
      </c>
      <c r="G75" s="60">
        <v>141.90</v>
      </c>
      <c r="H75" s="60">
        <v>31.79</v>
      </c>
      <c r="I75" s="60">
        <v>5.5</v>
      </c>
      <c r="J75" s="60">
        <v>0.97</v>
      </c>
      <c r="K75" s="60">
        <v>283.87</v>
      </c>
      <c r="L75" s="60">
        <v>55.87</v>
      </c>
      <c r="M75" s="60">
        <v>13.51</v>
      </c>
      <c r="N75" s="60">
        <v>268.10000000000002</v>
      </c>
      <c r="O75" s="60">
        <v>0</v>
      </c>
      <c r="P75" s="60">
        <v>1.37</v>
      </c>
      <c r="Q75" s="60">
        <v>59.08</v>
      </c>
      <c r="R75" s="198"/>
      <c r="S75" s="198"/>
      <c r="T75" s="198"/>
      <c r="U75" s="198"/>
    </row>
    <row r="76" spans="1:21" s="12" customFormat="1" ht="15">
      <c r="A76" s="201" t="s">
        <v>408</v>
      </c>
      <c r="B76" s="60">
        <v>0.73</v>
      </c>
      <c r="C76" s="60">
        <v>36.479999999999997</v>
      </c>
      <c r="D76" s="60">
        <v>37.21</v>
      </c>
      <c r="E76" s="60">
        <v>5.90</v>
      </c>
      <c r="F76" s="60">
        <v>6.10</v>
      </c>
      <c r="G76" s="60">
        <v>141.90</v>
      </c>
      <c r="H76" s="60">
        <v>31.79</v>
      </c>
      <c r="I76" s="60">
        <v>5.04</v>
      </c>
      <c r="J76" s="60">
        <v>0.20</v>
      </c>
      <c r="K76" s="60">
        <v>279.75</v>
      </c>
      <c r="L76" s="60">
        <v>53.58</v>
      </c>
      <c r="M76" s="60">
        <v>14.04</v>
      </c>
      <c r="N76" s="60">
        <v>267.39999999999998</v>
      </c>
      <c r="O76" s="60">
        <v>0</v>
      </c>
      <c r="P76" s="60">
        <v>1.47</v>
      </c>
      <c r="Q76" s="60">
        <v>58.98</v>
      </c>
      <c r="R76" s="198"/>
      <c r="S76" s="198"/>
      <c r="T76" s="198"/>
      <c r="U76" s="198"/>
    </row>
    <row r="77" spans="1:21" s="12" customFormat="1" ht="15">
      <c r="A77" s="201" t="s">
        <v>409</v>
      </c>
      <c r="B77" s="60">
        <v>1.1200000000000001</v>
      </c>
      <c r="C77" s="60">
        <v>38.43</v>
      </c>
      <c r="D77" s="60">
        <v>39.549999999999997</v>
      </c>
      <c r="E77" s="60">
        <v>5.88</v>
      </c>
      <c r="F77" s="60">
        <v>5.33</v>
      </c>
      <c r="G77" s="60">
        <v>141.90</v>
      </c>
      <c r="H77" s="60">
        <v>31.79</v>
      </c>
      <c r="I77" s="60">
        <v>3.47</v>
      </c>
      <c r="J77" s="60">
        <v>0.83</v>
      </c>
      <c r="K77" s="60">
        <v>205.84</v>
      </c>
      <c r="L77" s="60">
        <v>54.06</v>
      </c>
      <c r="M77" s="60">
        <v>12.77</v>
      </c>
      <c r="N77" s="60">
        <v>217.10</v>
      </c>
      <c r="O77" s="60">
        <v>0</v>
      </c>
      <c r="P77" s="60">
        <v>1.36</v>
      </c>
      <c r="Q77" s="60">
        <v>58.72</v>
      </c>
      <c r="R77" s="198"/>
      <c r="S77" s="198"/>
      <c r="T77" s="198"/>
      <c r="U77" s="198"/>
    </row>
    <row r="78" spans="1:21" s="12" customFormat="1" ht="15">
      <c r="A78" s="201" t="s">
        <v>410</v>
      </c>
      <c r="B78" s="60">
        <v>1.1200000000000001</v>
      </c>
      <c r="C78" s="60">
        <v>38.43</v>
      </c>
      <c r="D78" s="60">
        <v>39.549999999999997</v>
      </c>
      <c r="E78" s="60">
        <v>5.88</v>
      </c>
      <c r="F78" s="60">
        <v>5.33</v>
      </c>
      <c r="G78" s="60">
        <v>141.90</v>
      </c>
      <c r="H78" s="60">
        <v>31.79</v>
      </c>
      <c r="I78" s="60">
        <v>3.47</v>
      </c>
      <c r="J78" s="60">
        <v>0.83</v>
      </c>
      <c r="K78" s="60">
        <v>205.84</v>
      </c>
      <c r="L78" s="60">
        <v>54.06</v>
      </c>
      <c r="M78" s="60">
        <v>12.77</v>
      </c>
      <c r="N78" s="60">
        <v>217.10</v>
      </c>
      <c r="O78" s="60">
        <v>0</v>
      </c>
      <c r="P78" s="60">
        <v>1.36</v>
      </c>
      <c r="Q78" s="60">
        <v>58.72</v>
      </c>
      <c r="R78" s="198"/>
      <c r="S78" s="198"/>
      <c r="T78" s="198"/>
      <c r="U78" s="198"/>
    </row>
    <row r="79" spans="1:21" s="12" customFormat="1" ht="15">
      <c r="A79" s="201" t="s">
        <v>411</v>
      </c>
      <c r="B79" s="60">
        <v>1.1200000000000001</v>
      </c>
      <c r="C79" s="60">
        <v>38.43</v>
      </c>
      <c r="D79" s="60">
        <v>39.549999999999997</v>
      </c>
      <c r="E79" s="60">
        <v>5.88</v>
      </c>
      <c r="F79" s="60">
        <v>5.33</v>
      </c>
      <c r="G79" s="60">
        <v>141.90</v>
      </c>
      <c r="H79" s="60">
        <v>31.79</v>
      </c>
      <c r="I79" s="60">
        <v>3.47</v>
      </c>
      <c r="J79" s="60">
        <v>0.83</v>
      </c>
      <c r="K79" s="60">
        <v>205.84</v>
      </c>
      <c r="L79" s="60">
        <v>54.06</v>
      </c>
      <c r="M79" s="60">
        <v>12.77</v>
      </c>
      <c r="N79" s="60">
        <v>217.10</v>
      </c>
      <c r="O79" s="60">
        <v>0</v>
      </c>
      <c r="P79" s="60">
        <v>1.36</v>
      </c>
      <c r="Q79" s="60">
        <v>58.72</v>
      </c>
      <c r="R79" s="198"/>
      <c r="S79" s="198"/>
      <c r="T79" s="198"/>
      <c r="U79" s="198"/>
    </row>
    <row r="80" spans="1:21" s="12" customFormat="1" ht="15">
      <c r="A80" s="201" t="s">
        <v>412</v>
      </c>
      <c r="B80" s="60">
        <v>0.51</v>
      </c>
      <c r="C80" s="60">
        <v>38.06</v>
      </c>
      <c r="D80" s="60">
        <v>38.56</v>
      </c>
      <c r="E80" s="60">
        <v>5.65</v>
      </c>
      <c r="F80" s="60">
        <v>5.42</v>
      </c>
      <c r="G80" s="60">
        <v>142.72</v>
      </c>
      <c r="H80" s="60">
        <v>34.19</v>
      </c>
      <c r="I80" s="60">
        <v>3.95</v>
      </c>
      <c r="J80" s="60">
        <v>1.02</v>
      </c>
      <c r="K80" s="60">
        <v>241.26</v>
      </c>
      <c r="L80" s="60">
        <v>52.08</v>
      </c>
      <c r="M80" s="60">
        <v>14.74</v>
      </c>
      <c r="N80" s="60">
        <v>139.80000000000001</v>
      </c>
      <c r="O80" s="60">
        <v>0</v>
      </c>
      <c r="P80" s="60">
        <v>1.42</v>
      </c>
      <c r="Q80" s="60">
        <v>57.73</v>
      </c>
      <c r="R80" s="198"/>
      <c r="S80" s="198"/>
      <c r="T80" s="198"/>
      <c r="U80" s="198"/>
    </row>
    <row r="81" spans="1:21" s="12" customFormat="1" ht="15">
      <c r="A81" s="201" t="s">
        <v>413</v>
      </c>
      <c r="B81" s="60">
        <v>0.96</v>
      </c>
      <c r="C81" s="60">
        <v>40.880000000000003</v>
      </c>
      <c r="D81" s="60">
        <v>41.84</v>
      </c>
      <c r="E81" s="60">
        <v>5.65</v>
      </c>
      <c r="F81" s="60">
        <v>4</v>
      </c>
      <c r="G81" s="60">
        <v>142.72999999999999</v>
      </c>
      <c r="H81" s="60">
        <v>34.46</v>
      </c>
      <c r="I81" s="60">
        <v>6.08</v>
      </c>
      <c r="J81" s="60">
        <v>1.61</v>
      </c>
      <c r="K81" s="60">
        <v>51.40</v>
      </c>
      <c r="L81" s="60">
        <v>50.63</v>
      </c>
      <c r="M81" s="60">
        <v>24.44</v>
      </c>
      <c r="N81" s="60">
        <v>99.90</v>
      </c>
      <c r="O81" s="60">
        <v>0</v>
      </c>
      <c r="P81" s="60">
        <v>1.97</v>
      </c>
      <c r="Q81" s="60">
        <v>58.38</v>
      </c>
      <c r="R81" s="198"/>
      <c r="S81" s="198"/>
      <c r="T81" s="198"/>
      <c r="U81" s="198"/>
    </row>
    <row r="82" spans="1:21" s="12" customFormat="1" ht="15">
      <c r="A82" s="201" t="s">
        <v>414</v>
      </c>
      <c r="B82" s="60">
        <v>5.31</v>
      </c>
      <c r="C82" s="60">
        <v>50.34</v>
      </c>
      <c r="D82" s="60">
        <v>55.64</v>
      </c>
      <c r="E82" s="60">
        <v>5.46</v>
      </c>
      <c r="F82" s="60">
        <v>1.99</v>
      </c>
      <c r="G82" s="60">
        <v>152.58000000000001</v>
      </c>
      <c r="H82" s="60">
        <v>36.369999999999997</v>
      </c>
      <c r="I82" s="60">
        <v>6.35</v>
      </c>
      <c r="J82" s="60">
        <v>1.77</v>
      </c>
      <c r="K82" s="60">
        <v>77.44</v>
      </c>
      <c r="L82" s="60">
        <v>48.49</v>
      </c>
      <c r="M82" s="60">
        <v>25.97</v>
      </c>
      <c r="N82" s="60">
        <v>83.60</v>
      </c>
      <c r="O82" s="60">
        <v>0</v>
      </c>
      <c r="P82" s="60">
        <v>2.91</v>
      </c>
      <c r="Q82" s="60">
        <v>62.80</v>
      </c>
      <c r="R82" s="198"/>
      <c r="S82" s="198"/>
      <c r="T82" s="198"/>
      <c r="U82" s="198"/>
    </row>
    <row r="83" spans="1:21" s="12" customFormat="1" ht="15">
      <c r="A83" s="201" t="s">
        <v>415</v>
      </c>
      <c r="B83" s="60">
        <v>19.25</v>
      </c>
      <c r="C83" s="60">
        <v>62.22</v>
      </c>
      <c r="D83" s="60">
        <v>81.47</v>
      </c>
      <c r="E83" s="60">
        <v>5.86</v>
      </c>
      <c r="F83" s="60">
        <v>1.55</v>
      </c>
      <c r="G83" s="60">
        <v>152.88999999999999</v>
      </c>
      <c r="H83" s="60">
        <v>37.03</v>
      </c>
      <c r="I83" s="60">
        <v>12.30</v>
      </c>
      <c r="J83" s="60">
        <v>1.49</v>
      </c>
      <c r="K83" s="60">
        <v>208.66</v>
      </c>
      <c r="L83" s="60">
        <v>49.06</v>
      </c>
      <c r="M83" s="60">
        <v>25.52</v>
      </c>
      <c r="N83" s="60">
        <v>78.30</v>
      </c>
      <c r="O83" s="60">
        <v>0</v>
      </c>
      <c r="P83" s="60">
        <v>2.4700000000000002</v>
      </c>
      <c r="Q83" s="60">
        <v>70.98</v>
      </c>
      <c r="R83" s="198"/>
      <c r="S83" s="198"/>
      <c r="T83" s="198"/>
      <c r="U83" s="198"/>
    </row>
    <row r="84" spans="1:21" s="12" customFormat="1" ht="15">
      <c r="A84" s="201" t="s">
        <v>416</v>
      </c>
      <c r="B84" s="60">
        <v>42.17</v>
      </c>
      <c r="C84" s="60">
        <v>71.150000000000006</v>
      </c>
      <c r="D84" s="60">
        <v>113.32</v>
      </c>
      <c r="E84" s="60">
        <v>3.35</v>
      </c>
      <c r="F84" s="60">
        <v>0.99</v>
      </c>
      <c r="G84" s="60">
        <v>152.88999999999999</v>
      </c>
      <c r="H84" s="60">
        <v>37.03</v>
      </c>
      <c r="I84" s="60">
        <v>18.559999999999999</v>
      </c>
      <c r="J84" s="60">
        <v>1.51</v>
      </c>
      <c r="K84" s="60">
        <v>331.58</v>
      </c>
      <c r="L84" s="60">
        <v>51.20</v>
      </c>
      <c r="M84" s="60">
        <v>30.90</v>
      </c>
      <c r="N84" s="60">
        <v>77.099999999999994</v>
      </c>
      <c r="O84" s="60">
        <v>0</v>
      </c>
      <c r="P84" s="60">
        <v>3.56</v>
      </c>
      <c r="Q84" s="60">
        <v>86.30</v>
      </c>
      <c r="R84" s="198"/>
      <c r="S84" s="198"/>
      <c r="T84" s="198"/>
      <c r="U84" s="198"/>
    </row>
    <row r="85" spans="1:21" s="12" customFormat="1" ht="15">
      <c r="A85" s="201" t="s">
        <v>417</v>
      </c>
      <c r="B85" s="60">
        <v>55.26</v>
      </c>
      <c r="C85" s="60">
        <v>75.12</v>
      </c>
      <c r="D85" s="60">
        <v>130.38</v>
      </c>
      <c r="E85" s="60">
        <v>6.23</v>
      </c>
      <c r="F85" s="60">
        <v>0.57999999999999996</v>
      </c>
      <c r="G85" s="60">
        <v>152.88999999999999</v>
      </c>
      <c r="H85" s="60">
        <v>37.03</v>
      </c>
      <c r="I85" s="60">
        <v>19.309999999999999</v>
      </c>
      <c r="J85" s="60">
        <v>0.41</v>
      </c>
      <c r="K85" s="60">
        <v>339.80</v>
      </c>
      <c r="L85" s="60">
        <v>46.68</v>
      </c>
      <c r="M85" s="60">
        <v>31.83</v>
      </c>
      <c r="N85" s="60">
        <v>77</v>
      </c>
      <c r="O85" s="60">
        <v>0</v>
      </c>
      <c r="P85" s="60">
        <v>5.42</v>
      </c>
      <c r="Q85" s="60">
        <v>92.21</v>
      </c>
      <c r="R85" s="198"/>
      <c r="S85" s="198"/>
      <c r="T85" s="198"/>
      <c r="U85" s="198"/>
    </row>
    <row r="86" spans="1:21" s="12" customFormat="1" ht="15">
      <c r="A86" s="201" t="s">
        <v>418</v>
      </c>
      <c r="B86" s="60">
        <v>65.849999999999994</v>
      </c>
      <c r="C86" s="60">
        <v>78.55</v>
      </c>
      <c r="D86" s="60">
        <v>144.40</v>
      </c>
      <c r="E86" s="60">
        <v>6.54</v>
      </c>
      <c r="F86" s="60">
        <v>0.53</v>
      </c>
      <c r="G86" s="60">
        <v>372.81</v>
      </c>
      <c r="H86" s="60">
        <v>46.16</v>
      </c>
      <c r="I86" s="60">
        <v>22.66</v>
      </c>
      <c r="J86" s="60">
        <v>2.08</v>
      </c>
      <c r="K86" s="60">
        <v>194.71</v>
      </c>
      <c r="L86" s="60">
        <v>48.24</v>
      </c>
      <c r="M86" s="60">
        <v>24.35</v>
      </c>
      <c r="N86" s="60">
        <v>74.400000000000006</v>
      </c>
      <c r="O86" s="60">
        <v>0</v>
      </c>
      <c r="P86" s="60">
        <v>4.04</v>
      </c>
      <c r="Q86" s="60">
        <v>91.81</v>
      </c>
      <c r="R86" s="198"/>
      <c r="S86" s="198"/>
      <c r="T86" s="198"/>
      <c r="U86" s="198"/>
    </row>
    <row r="87" spans="1:21" s="12" customFormat="1" ht="15">
      <c r="A87" s="201" t="s">
        <v>419</v>
      </c>
      <c r="B87" s="60">
        <v>73.16</v>
      </c>
      <c r="C87" s="60">
        <v>80.37</v>
      </c>
      <c r="D87" s="60">
        <v>153.54</v>
      </c>
      <c r="E87" s="60">
        <v>6.66</v>
      </c>
      <c r="F87" s="60">
        <v>0.74</v>
      </c>
      <c r="G87" s="60">
        <v>378.04</v>
      </c>
      <c r="H87" s="60">
        <v>49.29</v>
      </c>
      <c r="I87" s="60">
        <v>23.28</v>
      </c>
      <c r="J87" s="60">
        <v>1.31</v>
      </c>
      <c r="K87" s="60">
        <v>212.12</v>
      </c>
      <c r="L87" s="60">
        <v>49.22</v>
      </c>
      <c r="M87" s="60">
        <v>22.88</v>
      </c>
      <c r="N87" s="60">
        <v>75.80</v>
      </c>
      <c r="O87" s="60">
        <v>0</v>
      </c>
      <c r="P87" s="60">
        <v>3.53</v>
      </c>
      <c r="Q87" s="60">
        <v>95.52</v>
      </c>
      <c r="R87" s="198"/>
      <c r="S87" s="198"/>
      <c r="T87" s="198"/>
      <c r="U87" s="198"/>
    </row>
    <row r="88" spans="1:21" s="12" customFormat="1" ht="15">
      <c r="A88" s="201" t="s">
        <v>420</v>
      </c>
      <c r="B88" s="60">
        <v>81.55</v>
      </c>
      <c r="C88" s="60">
        <v>81.88</v>
      </c>
      <c r="D88" s="60">
        <v>163.43</v>
      </c>
      <c r="E88" s="60">
        <v>7.21</v>
      </c>
      <c r="F88" s="60">
        <v>1.02</v>
      </c>
      <c r="G88" s="60">
        <v>378.04</v>
      </c>
      <c r="H88" s="60">
        <v>49.29</v>
      </c>
      <c r="I88" s="60">
        <v>20.190000000000001</v>
      </c>
      <c r="J88" s="60">
        <v>0.52</v>
      </c>
      <c r="K88" s="60">
        <v>103.89</v>
      </c>
      <c r="L88" s="60">
        <v>47.54</v>
      </c>
      <c r="M88" s="60">
        <v>33.36</v>
      </c>
      <c r="N88" s="60">
        <v>77.80</v>
      </c>
      <c r="O88" s="60">
        <v>0</v>
      </c>
      <c r="P88" s="60">
        <v>6.23</v>
      </c>
      <c r="Q88" s="60">
        <v>103.08</v>
      </c>
      <c r="R88" s="198"/>
      <c r="S88" s="198"/>
      <c r="T88" s="198"/>
      <c r="U88" s="198"/>
    </row>
    <row r="89" spans="1:21" s="12" customFormat="1" ht="15">
      <c r="A89" s="201" t="s">
        <v>421</v>
      </c>
      <c r="B89" s="60">
        <v>94.24</v>
      </c>
      <c r="C89" s="60">
        <v>82.76</v>
      </c>
      <c r="D89" s="60">
        <v>177</v>
      </c>
      <c r="E89" s="60">
        <v>7.51</v>
      </c>
      <c r="F89" s="60">
        <v>0.67</v>
      </c>
      <c r="G89" s="60">
        <v>378.04</v>
      </c>
      <c r="H89" s="60">
        <v>49.29</v>
      </c>
      <c r="I89" s="60">
        <v>18.079999999999998</v>
      </c>
      <c r="J89" s="60">
        <v>0.97</v>
      </c>
      <c r="K89" s="60">
        <v>332.36</v>
      </c>
      <c r="L89" s="60">
        <v>46.89</v>
      </c>
      <c r="M89" s="60">
        <v>33.520000000000003</v>
      </c>
      <c r="N89" s="60">
        <v>78.5</v>
      </c>
      <c r="O89" s="60">
        <v>0</v>
      </c>
      <c r="P89" s="60">
        <v>5.73</v>
      </c>
      <c r="Q89" s="60">
        <v>112.22</v>
      </c>
      <c r="R89" s="198"/>
      <c r="S89" s="198"/>
      <c r="T89" s="198"/>
      <c r="U89" s="198"/>
    </row>
    <row r="90" spans="1:21" s="12" customFormat="1" ht="15">
      <c r="A90" s="201" t="s">
        <v>422</v>
      </c>
      <c r="B90" s="60">
        <v>104.38</v>
      </c>
      <c r="C90" s="60">
        <v>82.82</v>
      </c>
      <c r="D90" s="60">
        <v>187.20</v>
      </c>
      <c r="E90" s="60">
        <v>7.34</v>
      </c>
      <c r="F90" s="60">
        <v>0.39</v>
      </c>
      <c r="G90" s="60">
        <v>366.53</v>
      </c>
      <c r="H90" s="60">
        <v>55.88</v>
      </c>
      <c r="I90" s="60">
        <v>30.13</v>
      </c>
      <c r="J90" s="60">
        <v>1.03</v>
      </c>
      <c r="K90" s="60">
        <v>210.17</v>
      </c>
      <c r="L90" s="60">
        <v>46.99</v>
      </c>
      <c r="M90" s="60">
        <v>32.21</v>
      </c>
      <c r="N90" s="60">
        <v>78.80</v>
      </c>
      <c r="O90" s="60">
        <v>0</v>
      </c>
      <c r="P90" s="60">
        <v>6.25</v>
      </c>
      <c r="Q90" s="60">
        <v>118.24</v>
      </c>
      <c r="R90" s="198"/>
      <c r="S90" s="198"/>
      <c r="T90" s="198"/>
      <c r="U90" s="198"/>
    </row>
    <row r="91" spans="1:21" s="12" customFormat="1" ht="15">
      <c r="A91" s="201" t="s">
        <v>423</v>
      </c>
      <c r="B91" s="60">
        <v>112.79</v>
      </c>
      <c r="C91" s="60">
        <v>83</v>
      </c>
      <c r="D91" s="60">
        <v>195.79</v>
      </c>
      <c r="E91" s="60">
        <v>7.49</v>
      </c>
      <c r="F91" s="60">
        <v>0.32</v>
      </c>
      <c r="G91" s="60">
        <v>365.28</v>
      </c>
      <c r="H91" s="60">
        <v>58.15</v>
      </c>
      <c r="I91" s="60">
        <v>27.07</v>
      </c>
      <c r="J91" s="60">
        <v>1.66</v>
      </c>
      <c r="K91" s="60">
        <v>241.70</v>
      </c>
      <c r="L91" s="60">
        <v>47.41</v>
      </c>
      <c r="M91" s="60">
        <v>28.15</v>
      </c>
      <c r="N91" s="60">
        <v>78.70</v>
      </c>
      <c r="O91" s="60">
        <v>0</v>
      </c>
      <c r="P91" s="60">
        <v>4.99</v>
      </c>
      <c r="Q91" s="60">
        <v>122.19</v>
      </c>
      <c r="R91" s="198"/>
      <c r="S91" s="198"/>
      <c r="T91" s="198"/>
      <c r="U91" s="198"/>
    </row>
    <row r="92" spans="1:21" s="12" customFormat="1" ht="15">
      <c r="A92" s="201" t="s">
        <v>424</v>
      </c>
      <c r="B92" s="60">
        <v>119.45</v>
      </c>
      <c r="C92" s="60">
        <v>82.93</v>
      </c>
      <c r="D92" s="60">
        <v>202.38</v>
      </c>
      <c r="E92" s="60">
        <v>7.80</v>
      </c>
      <c r="F92" s="60">
        <v>0.16</v>
      </c>
      <c r="G92" s="60">
        <v>365.28</v>
      </c>
      <c r="H92" s="60">
        <v>58.15</v>
      </c>
      <c r="I92" s="60">
        <v>29.93</v>
      </c>
      <c r="J92" s="60">
        <v>1.19</v>
      </c>
      <c r="K92" s="60">
        <v>326.20</v>
      </c>
      <c r="L92" s="60">
        <v>47.58</v>
      </c>
      <c r="M92" s="60">
        <v>29.54</v>
      </c>
      <c r="N92" s="60">
        <v>79.30</v>
      </c>
      <c r="O92" s="60">
        <v>0</v>
      </c>
      <c r="P92" s="60">
        <v>5.64</v>
      </c>
      <c r="Q92" s="60">
        <v>124.53</v>
      </c>
      <c r="R92" s="198"/>
      <c r="S92" s="198"/>
      <c r="T92" s="198"/>
      <c r="U92" s="198"/>
    </row>
    <row r="93" spans="1:21" s="12" customFormat="1" ht="15">
      <c r="A93" s="201" t="s">
        <v>425</v>
      </c>
      <c r="B93" s="60">
        <v>128.97</v>
      </c>
      <c r="C93" s="60">
        <v>81.75</v>
      </c>
      <c r="D93" s="60">
        <v>210.72</v>
      </c>
      <c r="E93" s="60">
        <v>8.01</v>
      </c>
      <c r="F93" s="60">
        <v>0.12</v>
      </c>
      <c r="G93" s="60">
        <v>365.28</v>
      </c>
      <c r="H93" s="60">
        <v>58.15</v>
      </c>
      <c r="I93" s="60">
        <v>27.5</v>
      </c>
      <c r="J93" s="60">
        <v>1.02</v>
      </c>
      <c r="K93" s="60">
        <v>359.25</v>
      </c>
      <c r="L93" s="60">
        <v>48.27</v>
      </c>
      <c r="M93" s="60">
        <v>31.41</v>
      </c>
      <c r="N93" s="60">
        <v>80.099999999999994</v>
      </c>
      <c r="O93" s="60">
        <v>0</v>
      </c>
      <c r="P93" s="60">
        <v>5.69</v>
      </c>
      <c r="Q93" s="60">
        <v>134.02000000000001</v>
      </c>
      <c r="R93" s="198"/>
      <c r="S93" s="198"/>
      <c r="T93" s="198"/>
      <c r="U93" s="198"/>
    </row>
    <row r="94" spans="1:21" s="12" customFormat="1" ht="15">
      <c r="A94" s="201" t="s">
        <v>426</v>
      </c>
      <c r="B94" s="60">
        <v>139.04</v>
      </c>
      <c r="C94" s="60">
        <v>82.14</v>
      </c>
      <c r="D94" s="60">
        <v>221.19</v>
      </c>
      <c r="E94" s="60">
        <v>8.35</v>
      </c>
      <c r="F94" s="60">
        <v>0.15</v>
      </c>
      <c r="G94" s="60">
        <v>385</v>
      </c>
      <c r="H94" s="60">
        <v>66.23</v>
      </c>
      <c r="I94" s="60">
        <v>28.65</v>
      </c>
      <c r="J94" s="60">
        <v>1.42</v>
      </c>
      <c r="K94" s="60">
        <v>329.09</v>
      </c>
      <c r="L94" s="60">
        <v>46.42</v>
      </c>
      <c r="M94" s="60">
        <v>33.10</v>
      </c>
      <c r="N94" s="60">
        <v>80.20</v>
      </c>
      <c r="O94" s="60">
        <v>0</v>
      </c>
      <c r="P94" s="60">
        <v>5.72</v>
      </c>
      <c r="Q94" s="60">
        <v>139.44</v>
      </c>
      <c r="R94" s="198"/>
      <c r="S94" s="198"/>
      <c r="T94" s="198"/>
      <c r="U94" s="198"/>
    </row>
    <row r="95" spans="1:21" s="12" customFormat="1" ht="15">
      <c r="A95" s="201" t="s">
        <v>427</v>
      </c>
      <c r="B95" s="60">
        <v>143</v>
      </c>
      <c r="C95" s="60">
        <v>82.10</v>
      </c>
      <c r="D95" s="60">
        <v>225.10</v>
      </c>
      <c r="E95" s="60">
        <v>8.52</v>
      </c>
      <c r="F95" s="60">
        <v>0.01</v>
      </c>
      <c r="G95" s="60">
        <v>385.59</v>
      </c>
      <c r="H95" s="60">
        <v>69.010000000000005</v>
      </c>
      <c r="I95" s="60">
        <v>28.98</v>
      </c>
      <c r="J95" s="60">
        <v>0.93</v>
      </c>
      <c r="K95" s="60">
        <v>169.37</v>
      </c>
      <c r="L95" s="60">
        <v>46.49</v>
      </c>
      <c r="M95" s="60">
        <v>28.62</v>
      </c>
      <c r="N95" s="60">
        <v>79.80</v>
      </c>
      <c r="O95" s="60">
        <v>0</v>
      </c>
      <c r="P95" s="60">
        <v>4.59</v>
      </c>
      <c r="Q95" s="60">
        <v>141.18</v>
      </c>
      <c r="R95" s="198"/>
      <c r="S95" s="198"/>
      <c r="T95" s="198"/>
      <c r="U95" s="198"/>
    </row>
    <row r="96" spans="1:26" s="12" customFormat="1" ht="15">
      <c r="A96" s="201" t="s">
        <v>428</v>
      </c>
      <c r="B96" s="60">
        <v>138.78</v>
      </c>
      <c r="C96" s="60">
        <v>80.900000000000006</v>
      </c>
      <c r="D96" s="60">
        <v>219.69</v>
      </c>
      <c r="E96" s="60">
        <v>8.24</v>
      </c>
      <c r="F96" s="9" t="s">
        <v>36</v>
      </c>
      <c r="G96" s="60">
        <v>385.59</v>
      </c>
      <c r="H96" s="60">
        <v>69.010000000000005</v>
      </c>
      <c r="I96" s="60">
        <v>28.36</v>
      </c>
      <c r="J96" s="60">
        <v>1.43</v>
      </c>
      <c r="K96" s="60">
        <v>6.16</v>
      </c>
      <c r="L96" s="60">
        <v>49.24</v>
      </c>
      <c r="M96" s="60">
        <v>33.14</v>
      </c>
      <c r="N96" s="60">
        <v>80.5</v>
      </c>
      <c r="O96" s="60">
        <v>0</v>
      </c>
      <c r="P96" s="60">
        <v>5.39</v>
      </c>
      <c r="Q96" s="60">
        <v>138.46</v>
      </c>
      <c r="R96" s="198"/>
      <c r="S96" s="198"/>
      <c r="T96" s="198"/>
      <c r="U96" s="198"/>
      <c r="Z96" s="109"/>
    </row>
    <row r="97" spans="1:21" s="12" customFormat="1" ht="15">
      <c r="A97" s="201" t="s">
        <v>429</v>
      </c>
      <c r="B97" s="60">
        <v>140.16999999999999</v>
      </c>
      <c r="C97" s="60">
        <v>79.650000000000006</v>
      </c>
      <c r="D97" s="60">
        <v>219.83</v>
      </c>
      <c r="E97" s="60">
        <v>8.32</v>
      </c>
      <c r="F97" s="9" t="s">
        <v>36</v>
      </c>
      <c r="G97" s="60">
        <v>385.59</v>
      </c>
      <c r="H97" s="60">
        <v>69.010000000000005</v>
      </c>
      <c r="I97" s="60">
        <v>19.88</v>
      </c>
      <c r="J97" s="60">
        <v>1.49</v>
      </c>
      <c r="K97" s="60">
        <v>22.40</v>
      </c>
      <c r="L97" s="60">
        <v>46.02</v>
      </c>
      <c r="M97" s="60">
        <v>34.33</v>
      </c>
      <c r="N97" s="60">
        <v>80.5</v>
      </c>
      <c r="O97" s="60">
        <v>0</v>
      </c>
      <c r="P97" s="60">
        <v>5.21</v>
      </c>
      <c r="Q97" s="60">
        <v>138.16</v>
      </c>
      <c r="R97" s="198"/>
      <c r="S97" s="198"/>
      <c r="T97" s="198"/>
      <c r="U97" s="198"/>
    </row>
    <row r="98" spans="1:21" s="12" customFormat="1" ht="15">
      <c r="A98" s="201" t="s">
        <v>430</v>
      </c>
      <c r="B98" s="60">
        <v>139.41</v>
      </c>
      <c r="C98" s="60">
        <v>77.83</v>
      </c>
      <c r="D98" s="60">
        <v>217.24</v>
      </c>
      <c r="E98" s="60">
        <v>8.41</v>
      </c>
      <c r="F98" s="9" t="s">
        <v>36</v>
      </c>
      <c r="G98" s="60">
        <v>301.32</v>
      </c>
      <c r="H98" s="60">
        <v>67.44</v>
      </c>
      <c r="I98" s="60">
        <v>24.05</v>
      </c>
      <c r="J98" s="60">
        <v>0.55000000000000004</v>
      </c>
      <c r="K98" s="60">
        <v>168.67</v>
      </c>
      <c r="L98" s="60">
        <v>45.10</v>
      </c>
      <c r="M98" s="60">
        <v>32.24</v>
      </c>
      <c r="N98" s="60">
        <v>80.400000000000006</v>
      </c>
      <c r="O98" s="60">
        <v>0</v>
      </c>
      <c r="P98" s="60">
        <v>4.6900000000000004</v>
      </c>
      <c r="Q98" s="60">
        <v>138.27000000000001</v>
      </c>
      <c r="R98" s="198"/>
      <c r="S98" s="198"/>
      <c r="T98" s="198"/>
      <c r="U98" s="198"/>
    </row>
    <row r="99" spans="1:21" s="12" customFormat="1" ht="15">
      <c r="A99" s="201" t="s">
        <v>431</v>
      </c>
      <c r="B99" s="60">
        <v>135.51</v>
      </c>
      <c r="C99" s="60">
        <v>76.63</v>
      </c>
      <c r="D99" s="60">
        <v>212.14</v>
      </c>
      <c r="E99" s="60">
        <v>8.1999999999999993</v>
      </c>
      <c r="F99" s="9" t="s">
        <v>36</v>
      </c>
      <c r="G99" s="60">
        <v>300.02</v>
      </c>
      <c r="H99" s="60">
        <v>66.91</v>
      </c>
      <c r="I99" s="60">
        <v>22.29</v>
      </c>
      <c r="J99" s="60">
        <v>1.61</v>
      </c>
      <c r="K99" s="60">
        <v>342.85</v>
      </c>
      <c r="L99" s="60">
        <v>42.91</v>
      </c>
      <c r="M99" s="60">
        <v>34.979999999999997</v>
      </c>
      <c r="N99" s="60">
        <v>80.400000000000006</v>
      </c>
      <c r="O99" s="60">
        <v>0</v>
      </c>
      <c r="P99" s="60">
        <v>4.6900000000000004</v>
      </c>
      <c r="Q99" s="60">
        <v>136.94999999999999</v>
      </c>
      <c r="R99" s="198"/>
      <c r="S99" s="198"/>
      <c r="T99" s="198"/>
      <c r="U99" s="198"/>
    </row>
    <row r="100" spans="1:33" s="12" customFormat="1" ht="15">
      <c r="A100" s="201" t="s">
        <v>432</v>
      </c>
      <c r="B100" s="60">
        <v>135.56</v>
      </c>
      <c r="C100" s="60">
        <v>75.150000000000006</v>
      </c>
      <c r="D100" s="60">
        <v>210.71</v>
      </c>
      <c r="E100" s="60">
        <v>3.41</v>
      </c>
      <c r="F100" s="9" t="s">
        <v>36</v>
      </c>
      <c r="G100" s="60">
        <v>300.02</v>
      </c>
      <c r="H100" s="60">
        <v>66.91</v>
      </c>
      <c r="I100" s="60">
        <v>17.95</v>
      </c>
      <c r="J100" s="60">
        <v>2.0299999999999998</v>
      </c>
      <c r="K100" s="60">
        <v>66.20</v>
      </c>
      <c r="L100" s="60">
        <v>46.55</v>
      </c>
      <c r="M100" s="60">
        <v>39.19</v>
      </c>
      <c r="N100" s="60">
        <v>80.400000000000006</v>
      </c>
      <c r="O100" s="60">
        <v>0</v>
      </c>
      <c r="P100" s="60">
        <v>4.49</v>
      </c>
      <c r="Q100" s="60">
        <v>135.86000000000001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433</v>
      </c>
      <c r="B101" s="60">
        <v>138.51</v>
      </c>
      <c r="C101" s="60">
        <v>73.540000000000006</v>
      </c>
      <c r="D101" s="60">
        <v>212.05</v>
      </c>
      <c r="E101" s="60">
        <v>6.78</v>
      </c>
      <c r="F101" s="9" t="s">
        <v>36</v>
      </c>
      <c r="G101" s="60">
        <v>300.02</v>
      </c>
      <c r="H101" s="60">
        <v>66.91</v>
      </c>
      <c r="I101" s="60">
        <v>18.420000000000002</v>
      </c>
      <c r="J101" s="60">
        <v>1.07</v>
      </c>
      <c r="K101" s="60">
        <v>41.71</v>
      </c>
      <c r="L101" s="60">
        <v>48.01</v>
      </c>
      <c r="M101" s="60">
        <v>44.26</v>
      </c>
      <c r="N101" s="60">
        <v>80.5</v>
      </c>
      <c r="O101" s="60">
        <v>0</v>
      </c>
      <c r="P101" s="60">
        <v>4.01</v>
      </c>
      <c r="Q101" s="60">
        <v>135.99</v>
      </c>
      <c r="R101" s="198"/>
      <c r="S101" s="198"/>
      <c r="T101" s="198"/>
      <c r="U101" s="198"/>
    </row>
    <row r="102" spans="1:21" s="12" customFormat="1" ht="15">
      <c r="A102" s="201" t="s">
        <v>434</v>
      </c>
      <c r="B102" s="60">
        <v>139.06</v>
      </c>
      <c r="C102" s="60">
        <v>70.819999999999993</v>
      </c>
      <c r="D102" s="60">
        <v>209.88</v>
      </c>
      <c r="E102" s="60">
        <v>6.83</v>
      </c>
      <c r="F102" s="9" t="s">
        <v>36</v>
      </c>
      <c r="G102" s="60">
        <v>304.10000000000002</v>
      </c>
      <c r="H102" s="60">
        <v>69.16</v>
      </c>
      <c r="I102" s="60">
        <v>18.39</v>
      </c>
      <c r="J102" s="60">
        <v>0.52</v>
      </c>
      <c r="K102" s="60">
        <v>284.06</v>
      </c>
      <c r="L102" s="60">
        <v>47.05</v>
      </c>
      <c r="M102" s="60">
        <v>36.5</v>
      </c>
      <c r="N102" s="60">
        <v>80.20</v>
      </c>
      <c r="O102" s="60">
        <v>0</v>
      </c>
      <c r="P102" s="60">
        <v>3.43</v>
      </c>
      <c r="Q102" s="60">
        <v>135.41</v>
      </c>
      <c r="R102" s="198"/>
      <c r="S102" s="198"/>
      <c r="T102" s="198"/>
      <c r="U102" s="198"/>
    </row>
    <row r="103" spans="1:21" s="12" customFormat="1" ht="15">
      <c r="A103" s="201" t="s">
        <v>435</v>
      </c>
      <c r="B103" s="60">
        <v>140.24</v>
      </c>
      <c r="C103" s="60">
        <v>67.260000000000005</v>
      </c>
      <c r="D103" s="60">
        <v>207.51</v>
      </c>
      <c r="E103" s="60">
        <v>7.22</v>
      </c>
      <c r="F103" s="9" t="s">
        <v>36</v>
      </c>
      <c r="G103" s="60">
        <v>304.17</v>
      </c>
      <c r="H103" s="60">
        <v>69.930000000000007</v>
      </c>
      <c r="I103" s="60">
        <v>15.82</v>
      </c>
      <c r="J103" s="60">
        <v>0.89</v>
      </c>
      <c r="K103" s="60">
        <v>260.06</v>
      </c>
      <c r="L103" s="60">
        <v>49.04</v>
      </c>
      <c r="M103" s="60">
        <v>38.229999999999997</v>
      </c>
      <c r="N103" s="60">
        <v>81.20</v>
      </c>
      <c r="O103" s="60">
        <v>0</v>
      </c>
      <c r="P103" s="60">
        <v>2.91</v>
      </c>
      <c r="Q103" s="60">
        <v>130.94999999999999</v>
      </c>
      <c r="R103" s="198"/>
      <c r="S103" s="198"/>
      <c r="T103" s="198"/>
      <c r="U103" s="198"/>
    </row>
    <row r="104" spans="1:21" s="12" customFormat="1" ht="15">
      <c r="A104" s="201" t="s">
        <v>436</v>
      </c>
      <c r="B104" s="60">
        <v>134.83000000000001</v>
      </c>
      <c r="C104" s="60">
        <v>66.099999999999994</v>
      </c>
      <c r="D104" s="60">
        <v>200.93</v>
      </c>
      <c r="E104" s="60">
        <v>7.23</v>
      </c>
      <c r="F104" s="9" t="s">
        <v>36</v>
      </c>
      <c r="G104" s="60">
        <v>304.17</v>
      </c>
      <c r="H104" s="60">
        <v>69.930000000000007</v>
      </c>
      <c r="I104" s="60">
        <v>13.69</v>
      </c>
      <c r="J104" s="60">
        <v>2.13</v>
      </c>
      <c r="K104" s="60">
        <v>174.83</v>
      </c>
      <c r="L104" s="60">
        <v>45.13</v>
      </c>
      <c r="M104" s="60">
        <v>31.02</v>
      </c>
      <c r="N104" s="60">
        <v>79.900000000000006</v>
      </c>
      <c r="O104" s="60">
        <v>0</v>
      </c>
      <c r="P104" s="60">
        <v>2.11</v>
      </c>
      <c r="Q104" s="60">
        <v>120.06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0.10000000000000001</v>
      </c>
      <c r="C106" s="67">
        <f>MIN(C9:C104)</f>
        <v>32.899999999999999</v>
      </c>
      <c r="D106" s="67">
        <f t="shared" si="0" ref="D106:Q106">MIN(D9:D104)</f>
        <v>33</v>
      </c>
      <c r="E106" s="67">
        <f t="shared" si="0"/>
        <v>3.3500000000000001</v>
      </c>
      <c r="F106" s="67">
        <f t="shared" si="0"/>
        <v>0.01</v>
      </c>
      <c r="G106" s="67">
        <f t="shared" si="0"/>
        <v>136.05000000000001</v>
      </c>
      <c r="H106" s="67">
        <f t="shared" si="0"/>
        <v>31.789999999999999</v>
      </c>
      <c r="I106" s="67">
        <f t="shared" si="0"/>
        <v>3.4700000000000002</v>
      </c>
      <c r="J106" s="67">
        <f t="shared" si="0"/>
        <v>0.20000000000000001</v>
      </c>
      <c r="K106" s="67">
        <f t="shared" si="0"/>
        <v>3.9199999999999999</v>
      </c>
      <c r="L106" s="67">
        <f t="shared" si="0"/>
        <v>37.18</v>
      </c>
      <c r="M106" s="67">
        <f t="shared" si="0"/>
        <v>12.4</v>
      </c>
      <c r="N106" s="67">
        <f t="shared" si="0"/>
        <v>74.400000000000006</v>
      </c>
      <c r="O106" s="67">
        <f t="shared" si="0"/>
        <v>0</v>
      </c>
      <c r="P106" s="67">
        <f t="shared" si="0"/>
        <v>1.25</v>
      </c>
      <c r="Q106" s="67">
        <f t="shared" si="0"/>
        <v>0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185.94999999999999</v>
      </c>
      <c r="C107" s="66">
        <f t="shared" si="1" ref="C107:Q107">MAX(C9:C104)</f>
        <v>83</v>
      </c>
      <c r="D107" s="66">
        <f t="shared" si="1"/>
        <v>247.28999999999999</v>
      </c>
      <c r="E107" s="66">
        <f t="shared" si="1"/>
        <v>9.1099999999999994</v>
      </c>
      <c r="F107" s="66">
        <f t="shared" si="1"/>
        <v>9.9600000000000009</v>
      </c>
      <c r="G107" s="66">
        <f t="shared" si="1"/>
        <v>385.58999999999997</v>
      </c>
      <c r="H107" s="66">
        <f t="shared" si="1"/>
        <v>72.650000000000006</v>
      </c>
      <c r="I107" s="66">
        <f t="shared" si="1"/>
        <v>30.129999999999999</v>
      </c>
      <c r="J107" s="66">
        <f t="shared" si="1"/>
        <v>2.7599999999999998</v>
      </c>
      <c r="K107" s="66">
        <f t="shared" si="1"/>
        <v>359.25</v>
      </c>
      <c r="L107" s="66">
        <f t="shared" si="1"/>
        <v>56.030000000000001</v>
      </c>
      <c r="M107" s="66">
        <f t="shared" si="1"/>
        <v>54.829999999999998</v>
      </c>
      <c r="N107" s="66">
        <f t="shared" si="1"/>
        <v>1071.3</v>
      </c>
      <c r="O107" s="66">
        <f t="shared" si="1"/>
        <v>0</v>
      </c>
      <c r="P107" s="66">
        <f t="shared" si="1"/>
        <v>6.25</v>
      </c>
      <c r="Q107" s="66">
        <f t="shared" si="1"/>
        <v>177.61000000000001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55.937083333333334</v>
      </c>
      <c r="C108" s="67">
        <f t="shared" si="2" ref="C108:Q108">AVERAGE(C9:C104)</f>
        <v>50.609583333333347</v>
      </c>
      <c r="D108" s="67">
        <f t="shared" si="2"/>
        <v>106.54739583333334</v>
      </c>
      <c r="E108" s="67">
        <f t="shared" si="2"/>
        <v>7.026979166666667</v>
      </c>
      <c r="F108" s="67">
        <f t="shared" si="2"/>
        <v>3.5493150684931511</v>
      </c>
      <c r="G108" s="67">
        <f t="shared" si="2"/>
        <v>210.83156249999993</v>
      </c>
      <c r="H108" s="67">
        <f t="shared" si="2"/>
        <v>49.207083333333337</v>
      </c>
      <c r="I108" s="67">
        <f t="shared" si="2"/>
        <v>12.056875000000005</v>
      </c>
      <c r="J108" s="67">
        <f t="shared" si="2"/>
        <v>1.2811458333333332</v>
      </c>
      <c r="K108" s="67">
        <f t="shared" si="2"/>
        <v>233.25937499999998</v>
      </c>
      <c r="L108" s="67">
        <f t="shared" si="2"/>
        <v>47.532395833333339</v>
      </c>
      <c r="M108" s="67">
        <f t="shared" si="2"/>
        <v>31.650625000000002</v>
      </c>
      <c r="N108" s="67">
        <f t="shared" si="2"/>
        <v>401.4343750000001</v>
      </c>
      <c r="O108" s="67">
        <f t="shared" si="2"/>
        <v>0</v>
      </c>
      <c r="P108" s="67">
        <f t="shared" si="2"/>
        <v>2.5402083333333327</v>
      </c>
      <c r="Q108" s="67">
        <f t="shared" si="2"/>
        <v>98.491354166666667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60.604520222533779</v>
      </c>
      <c r="C109" s="67">
        <f t="shared" si="3" ref="C109:Q109">STDEV(C9:C104)</f>
        <v>16.025890888556816</v>
      </c>
      <c r="D109" s="67">
        <f t="shared" si="3"/>
        <v>71.893613657444391</v>
      </c>
      <c r="E109" s="67">
        <f t="shared" si="3"/>
        <v>1.1912656867397267</v>
      </c>
      <c r="F109" s="67">
        <f t="shared" si="3"/>
        <v>3.5972934767247513</v>
      </c>
      <c r="G109" s="67">
        <f t="shared" si="3"/>
        <v>86.631176268958882</v>
      </c>
      <c r="H109" s="67">
        <f t="shared" si="3"/>
        <v>12.111127803250412</v>
      </c>
      <c r="I109" s="67">
        <f t="shared" si="3"/>
        <v>6.894630300000431</v>
      </c>
      <c r="J109" s="67">
        <f t="shared" si="3"/>
        <v>0.62411009452477184</v>
      </c>
      <c r="K109" s="67">
        <f t="shared" si="3"/>
        <v>107.82390482744005</v>
      </c>
      <c r="L109" s="67">
        <f t="shared" si="3"/>
        <v>5.9300350127290677</v>
      </c>
      <c r="M109" s="67">
        <f t="shared" si="3"/>
        <v>14.241431463570599</v>
      </c>
      <c r="N109" s="67">
        <f t="shared" si="3"/>
        <v>368.44864466203353</v>
      </c>
      <c r="O109" s="67">
        <f t="shared" si="3"/>
        <v>0</v>
      </c>
      <c r="P109" s="67">
        <f t="shared" si="3"/>
        <v>1.3597344780791554</v>
      </c>
      <c r="Q109" s="67">
        <f t="shared" si="3"/>
        <v>35.9538682676855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56c99d-f999-406d-bd66-0e5c3b40f08b}">
  <sheetPr codeName=""/>
  <dimension ref="A1:AG117"/>
  <sheetViews>
    <sheetView workbookViewId="0" topLeftCell="A1">
      <pane xSplit="1" ySplit="8" topLeftCell="B6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O7" sqref="O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03-06-2022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437</v>
      </c>
      <c r="B9" s="60">
        <v>125.05</v>
      </c>
      <c r="C9" s="60">
        <v>63.30</v>
      </c>
      <c r="D9" s="60">
        <v>188.35</v>
      </c>
      <c r="E9" s="60">
        <v>7</v>
      </c>
      <c r="F9" s="5" t="s">
        <v>47</v>
      </c>
      <c r="G9" s="60">
        <v>304.17</v>
      </c>
      <c r="H9" s="60">
        <v>69.930000000000007</v>
      </c>
      <c r="I9" s="60">
        <v>13.47</v>
      </c>
      <c r="J9" s="60">
        <v>1.26</v>
      </c>
      <c r="K9" s="60">
        <v>50.14</v>
      </c>
      <c r="L9" s="60">
        <v>44.52</v>
      </c>
      <c r="M9" s="60">
        <v>33.86</v>
      </c>
      <c r="N9" s="60">
        <v>81.599999999999994</v>
      </c>
      <c r="O9" s="60">
        <v>0</v>
      </c>
      <c r="P9" s="60">
        <v>2.25</v>
      </c>
      <c r="Q9" s="60">
        <v>117.32</v>
      </c>
      <c r="R9" s="198"/>
      <c r="S9" s="198"/>
      <c r="T9" s="198"/>
      <c r="U9" s="198"/>
    </row>
    <row r="10" spans="1:21" s="12" customFormat="1" ht="15">
      <c r="A10" s="201" t="s">
        <v>438</v>
      </c>
      <c r="B10" s="60">
        <v>116.04</v>
      </c>
      <c r="C10" s="60">
        <v>60.22</v>
      </c>
      <c r="D10" s="60">
        <v>176.26</v>
      </c>
      <c r="E10" s="60">
        <v>7.41</v>
      </c>
      <c r="F10" s="60">
        <v>0.01</v>
      </c>
      <c r="G10" s="60">
        <v>242.98</v>
      </c>
      <c r="H10" s="60">
        <v>62.25</v>
      </c>
      <c r="I10" s="60">
        <v>9.5500000000000007</v>
      </c>
      <c r="J10" s="60">
        <v>0.74</v>
      </c>
      <c r="K10" s="60">
        <v>339.39</v>
      </c>
      <c r="L10" s="60">
        <v>44.72</v>
      </c>
      <c r="M10" s="60">
        <v>34.24</v>
      </c>
      <c r="N10" s="60">
        <v>81.900000000000006</v>
      </c>
      <c r="O10" s="60">
        <v>0</v>
      </c>
      <c r="P10" s="60">
        <v>2.14</v>
      </c>
      <c r="Q10" s="60">
        <v>118.21</v>
      </c>
      <c r="R10" s="198"/>
      <c r="S10" s="198"/>
      <c r="T10" s="198"/>
      <c r="U10" s="198"/>
    </row>
    <row r="11" spans="1:21" s="12" customFormat="1" ht="15">
      <c r="A11" s="201" t="s">
        <v>439</v>
      </c>
      <c r="B11" s="60">
        <v>107.40</v>
      </c>
      <c r="C11" s="60">
        <v>57.59</v>
      </c>
      <c r="D11" s="60">
        <v>164.98</v>
      </c>
      <c r="E11" s="60">
        <v>7.12</v>
      </c>
      <c r="F11" s="60">
        <v>0.03</v>
      </c>
      <c r="G11" s="60">
        <v>236.49</v>
      </c>
      <c r="H11" s="60">
        <v>59.62</v>
      </c>
      <c r="I11" s="60">
        <v>10.039999999999999</v>
      </c>
      <c r="J11" s="60">
        <v>1.51</v>
      </c>
      <c r="K11" s="60">
        <v>236.85</v>
      </c>
      <c r="L11" s="60">
        <v>48.83</v>
      </c>
      <c r="M11" s="60">
        <v>34.770000000000003</v>
      </c>
      <c r="N11" s="60">
        <v>82</v>
      </c>
      <c r="O11" s="60">
        <v>0</v>
      </c>
      <c r="P11" s="60">
        <v>2.16</v>
      </c>
      <c r="Q11" s="60">
        <v>114.62</v>
      </c>
      <c r="R11" s="198"/>
      <c r="S11" s="198"/>
      <c r="T11" s="198"/>
      <c r="U11" s="198"/>
    </row>
    <row r="12" spans="1:21" s="12" customFormat="1" ht="15">
      <c r="A12" s="201" t="s">
        <v>440</v>
      </c>
      <c r="B12" s="60">
        <v>98.85</v>
      </c>
      <c r="C12" s="60">
        <v>55.05</v>
      </c>
      <c r="D12" s="60">
        <v>153.90</v>
      </c>
      <c r="E12" s="60">
        <v>7.45</v>
      </c>
      <c r="F12" s="60">
        <v>0.52</v>
      </c>
      <c r="G12" s="60">
        <v>236.49</v>
      </c>
      <c r="H12" s="60">
        <v>59.62</v>
      </c>
      <c r="I12" s="60">
        <v>9.76</v>
      </c>
      <c r="J12" s="60">
        <v>1.51</v>
      </c>
      <c r="K12" s="60">
        <v>239.36</v>
      </c>
      <c r="L12" s="60">
        <v>46.78</v>
      </c>
      <c r="M12" s="60">
        <v>30.77</v>
      </c>
      <c r="N12" s="60">
        <v>82.5</v>
      </c>
      <c r="O12" s="60">
        <v>0</v>
      </c>
      <c r="P12" s="60">
        <v>1.86</v>
      </c>
      <c r="Q12" s="60">
        <v>110.82</v>
      </c>
      <c r="R12" s="198"/>
      <c r="S12" s="198"/>
      <c r="T12" s="198"/>
      <c r="U12" s="198"/>
    </row>
    <row r="13" spans="1:21" s="12" customFormat="1" ht="15">
      <c r="A13" s="201" t="s">
        <v>441</v>
      </c>
      <c r="B13" s="60">
        <v>90.09</v>
      </c>
      <c r="C13" s="60">
        <v>52.11</v>
      </c>
      <c r="D13" s="60">
        <v>142.19999999999999</v>
      </c>
      <c r="E13" s="60">
        <v>7.38</v>
      </c>
      <c r="F13" s="60">
        <v>0.66</v>
      </c>
      <c r="G13" s="60">
        <v>236.49</v>
      </c>
      <c r="H13" s="60">
        <v>59.62</v>
      </c>
      <c r="I13" s="60">
        <v>9.75</v>
      </c>
      <c r="J13" s="60">
        <v>0.65</v>
      </c>
      <c r="K13" s="60">
        <v>42</v>
      </c>
      <c r="L13" s="60">
        <v>43.42</v>
      </c>
      <c r="M13" s="60">
        <v>33.90</v>
      </c>
      <c r="N13" s="60">
        <v>83.90</v>
      </c>
      <c r="O13" s="60">
        <v>0</v>
      </c>
      <c r="P13" s="60">
        <v>1.94</v>
      </c>
      <c r="Q13" s="60">
        <v>107.51</v>
      </c>
      <c r="R13" s="198"/>
      <c r="S13" s="198"/>
      <c r="T13" s="198"/>
      <c r="U13" s="198"/>
    </row>
    <row r="14" spans="1:21" s="12" customFormat="1" ht="15">
      <c r="A14" s="201" t="s">
        <v>442</v>
      </c>
      <c r="B14" s="60">
        <v>82.94</v>
      </c>
      <c r="C14" s="60">
        <v>50.08</v>
      </c>
      <c r="D14" s="60">
        <v>133.01</v>
      </c>
      <c r="E14" s="60">
        <v>7.58</v>
      </c>
      <c r="F14" s="60">
        <v>0.09</v>
      </c>
      <c r="G14" s="60">
        <v>189.85</v>
      </c>
      <c r="H14" s="60">
        <v>56.65</v>
      </c>
      <c r="I14" s="60">
        <v>8.35</v>
      </c>
      <c r="J14" s="60">
        <v>1.40</v>
      </c>
      <c r="K14" s="60">
        <v>274.73</v>
      </c>
      <c r="L14" s="60">
        <v>41.57</v>
      </c>
      <c r="M14" s="60">
        <v>37.97</v>
      </c>
      <c r="N14" s="60">
        <v>84</v>
      </c>
      <c r="O14" s="60">
        <v>0</v>
      </c>
      <c r="P14" s="60">
        <v>2.37</v>
      </c>
      <c r="Q14" s="60">
        <v>107.04</v>
      </c>
      <c r="R14" s="198"/>
      <c r="S14" s="198"/>
      <c r="T14" s="198"/>
      <c r="U14" s="198"/>
    </row>
    <row r="15" spans="1:21" s="12" customFormat="1" ht="15">
      <c r="A15" s="201" t="s">
        <v>443</v>
      </c>
      <c r="B15" s="60">
        <v>74.959999999999994</v>
      </c>
      <c r="C15" s="60">
        <v>47.10</v>
      </c>
      <c r="D15" s="60">
        <v>122.06</v>
      </c>
      <c r="E15" s="60">
        <v>7.36</v>
      </c>
      <c r="F15" s="60">
        <v>0.02</v>
      </c>
      <c r="G15" s="60">
        <v>188.71</v>
      </c>
      <c r="H15" s="60">
        <v>55.64</v>
      </c>
      <c r="I15" s="60">
        <v>8.6999999999999993</v>
      </c>
      <c r="J15" s="60">
        <v>0.61</v>
      </c>
      <c r="K15" s="60">
        <v>347.58</v>
      </c>
      <c r="L15" s="60">
        <v>43.30</v>
      </c>
      <c r="M15" s="60">
        <v>40.60</v>
      </c>
      <c r="N15" s="60">
        <v>92.5</v>
      </c>
      <c r="O15" s="60">
        <v>0</v>
      </c>
      <c r="P15" s="60">
        <v>2.67</v>
      </c>
      <c r="Q15" s="60">
        <v>110.29</v>
      </c>
      <c r="R15" s="198"/>
      <c r="S15" s="198"/>
      <c r="T15" s="198"/>
      <c r="U15" s="198"/>
    </row>
    <row r="16" spans="1:21" s="12" customFormat="1" ht="15">
      <c r="A16" s="201" t="s">
        <v>444</v>
      </c>
      <c r="B16" s="60">
        <v>65.819999999999993</v>
      </c>
      <c r="C16" s="60">
        <v>44.71</v>
      </c>
      <c r="D16" s="60">
        <v>110.53</v>
      </c>
      <c r="E16" s="60">
        <v>7.06</v>
      </c>
      <c r="F16" s="5" t="s">
        <v>47</v>
      </c>
      <c r="G16" s="60">
        <v>188.71</v>
      </c>
      <c r="H16" s="60">
        <v>55.64</v>
      </c>
      <c r="I16" s="60">
        <v>9.3800000000000008</v>
      </c>
      <c r="J16" s="60">
        <v>0.38</v>
      </c>
      <c r="K16" s="60">
        <v>291.25</v>
      </c>
      <c r="L16" s="60">
        <v>43.35</v>
      </c>
      <c r="M16" s="60">
        <v>42.75</v>
      </c>
      <c r="N16" s="60">
        <v>100.10</v>
      </c>
      <c r="O16" s="60">
        <v>0</v>
      </c>
      <c r="P16" s="60">
        <v>2.59</v>
      </c>
      <c r="Q16" s="60">
        <v>105.97</v>
      </c>
      <c r="R16" s="198"/>
      <c r="S16" s="198"/>
      <c r="T16" s="198"/>
      <c r="U16" s="198"/>
    </row>
    <row r="17" spans="1:21" s="12" customFormat="1" ht="15">
      <c r="A17" s="201" t="s">
        <v>445</v>
      </c>
      <c r="B17" s="60">
        <v>57.65</v>
      </c>
      <c r="C17" s="60">
        <v>42.61</v>
      </c>
      <c r="D17" s="60">
        <v>100.27</v>
      </c>
      <c r="E17" s="60">
        <v>7.11</v>
      </c>
      <c r="F17" s="5" t="s">
        <v>47</v>
      </c>
      <c r="G17" s="60">
        <v>188.71</v>
      </c>
      <c r="H17" s="60">
        <v>55.64</v>
      </c>
      <c r="I17" s="60">
        <v>10.57</v>
      </c>
      <c r="J17" s="60">
        <v>0.94</v>
      </c>
      <c r="K17" s="60">
        <v>160.97999999999999</v>
      </c>
      <c r="L17" s="60">
        <v>42.99</v>
      </c>
      <c r="M17" s="60">
        <v>41.29</v>
      </c>
      <c r="N17" s="60">
        <v>95.90</v>
      </c>
      <c r="O17" s="60">
        <v>0</v>
      </c>
      <c r="P17" s="60">
        <v>2.4500000000000002</v>
      </c>
      <c r="Q17" s="60">
        <v>101.20</v>
      </c>
      <c r="R17" s="198"/>
      <c r="S17" s="198"/>
      <c r="T17" s="198"/>
      <c r="U17" s="198"/>
    </row>
    <row r="18" spans="1:21" s="12" customFormat="1" ht="15">
      <c r="A18" s="201" t="s">
        <v>446</v>
      </c>
      <c r="B18" s="60">
        <v>50.72</v>
      </c>
      <c r="C18" s="60">
        <v>40.94</v>
      </c>
      <c r="D18" s="60">
        <v>91.67</v>
      </c>
      <c r="E18" s="60">
        <v>6.80</v>
      </c>
      <c r="F18" s="5" t="s">
        <v>47</v>
      </c>
      <c r="G18" s="60">
        <v>184.73</v>
      </c>
      <c r="H18" s="60">
        <v>55.59</v>
      </c>
      <c r="I18" s="60">
        <v>10.99</v>
      </c>
      <c r="J18" s="60">
        <v>1.42</v>
      </c>
      <c r="K18" s="60">
        <v>203.39</v>
      </c>
      <c r="L18" s="60">
        <v>40.18</v>
      </c>
      <c r="M18" s="60">
        <v>38.76</v>
      </c>
      <c r="N18" s="60">
        <v>97.20</v>
      </c>
      <c r="O18" s="60">
        <v>0</v>
      </c>
      <c r="P18" s="60">
        <v>2.40</v>
      </c>
      <c r="Q18" s="60">
        <v>96.66</v>
      </c>
      <c r="R18" s="198"/>
      <c r="S18" s="198"/>
      <c r="T18" s="198"/>
      <c r="U18" s="198"/>
    </row>
    <row r="19" spans="1:21" s="12" customFormat="1" ht="15">
      <c r="A19" s="201" t="s">
        <v>447</v>
      </c>
      <c r="B19" s="60">
        <v>45.20</v>
      </c>
      <c r="C19" s="60">
        <v>40.46</v>
      </c>
      <c r="D19" s="60">
        <v>85.66</v>
      </c>
      <c r="E19" s="60">
        <v>6.76</v>
      </c>
      <c r="F19" s="5" t="s">
        <v>47</v>
      </c>
      <c r="G19" s="60">
        <v>184.67</v>
      </c>
      <c r="H19" s="60">
        <v>55.58</v>
      </c>
      <c r="I19" s="60">
        <v>10.78</v>
      </c>
      <c r="J19" s="60">
        <v>1.73</v>
      </c>
      <c r="K19" s="60">
        <v>295.94</v>
      </c>
      <c r="L19" s="60">
        <v>38.869999999999997</v>
      </c>
      <c r="M19" s="60">
        <v>44.25</v>
      </c>
      <c r="N19" s="60">
        <v>102.70</v>
      </c>
      <c r="O19" s="60">
        <v>0</v>
      </c>
      <c r="P19" s="60">
        <v>2.36</v>
      </c>
      <c r="Q19" s="60">
        <v>92.36</v>
      </c>
      <c r="R19" s="198"/>
      <c r="S19" s="198"/>
      <c r="T19" s="198"/>
      <c r="U19" s="198"/>
    </row>
    <row r="20" spans="1:21" s="12" customFormat="1" ht="15">
      <c r="A20" s="201" t="s">
        <v>448</v>
      </c>
      <c r="B20" s="60">
        <v>40.54</v>
      </c>
      <c r="C20" s="60">
        <v>39.47</v>
      </c>
      <c r="D20" s="60">
        <v>80.010000000000005</v>
      </c>
      <c r="E20" s="60">
        <v>2.58</v>
      </c>
      <c r="F20" s="5" t="s">
        <v>47</v>
      </c>
      <c r="G20" s="60">
        <v>184.67</v>
      </c>
      <c r="H20" s="60">
        <v>55.58</v>
      </c>
      <c r="I20" s="60">
        <v>11.28</v>
      </c>
      <c r="J20" s="60">
        <v>1.23</v>
      </c>
      <c r="K20" s="60">
        <v>258.51</v>
      </c>
      <c r="L20" s="60">
        <v>37.880000000000003</v>
      </c>
      <c r="M20" s="60">
        <v>45.31</v>
      </c>
      <c r="N20" s="60">
        <v>111.90</v>
      </c>
      <c r="O20" s="60">
        <v>0</v>
      </c>
      <c r="P20" s="60">
        <v>2.37</v>
      </c>
      <c r="Q20" s="60">
        <v>91.10</v>
      </c>
      <c r="R20" s="198"/>
      <c r="S20" s="198"/>
      <c r="T20" s="198"/>
      <c r="U20" s="198"/>
    </row>
    <row r="21" spans="1:21" s="12" customFormat="1" ht="15">
      <c r="A21" s="201" t="s">
        <v>449</v>
      </c>
      <c r="B21" s="60">
        <v>36.53</v>
      </c>
      <c r="C21" s="60">
        <v>38.51</v>
      </c>
      <c r="D21" s="60">
        <v>75.03</v>
      </c>
      <c r="E21" s="60">
        <v>6.01</v>
      </c>
      <c r="F21" s="5" t="s">
        <v>47</v>
      </c>
      <c r="G21" s="60">
        <v>184.67</v>
      </c>
      <c r="H21" s="60">
        <v>55.58</v>
      </c>
      <c r="I21" s="60">
        <v>11.34</v>
      </c>
      <c r="J21" s="60">
        <v>0.86</v>
      </c>
      <c r="K21" s="60">
        <v>6.56</v>
      </c>
      <c r="L21" s="60">
        <v>37.56</v>
      </c>
      <c r="M21" s="60">
        <v>44.52</v>
      </c>
      <c r="N21" s="60">
        <v>112</v>
      </c>
      <c r="O21" s="60">
        <v>0</v>
      </c>
      <c r="P21" s="60">
        <v>2.34</v>
      </c>
      <c r="Q21" s="60">
        <v>88.51</v>
      </c>
      <c r="R21" s="198"/>
      <c r="S21" s="198"/>
      <c r="T21" s="198"/>
      <c r="U21" s="198"/>
    </row>
    <row r="22" spans="1:21" s="12" customFormat="1" ht="15">
      <c r="A22" s="201" t="s">
        <v>450</v>
      </c>
      <c r="B22" s="60">
        <v>32.96</v>
      </c>
      <c r="C22" s="60">
        <v>37.5</v>
      </c>
      <c r="D22" s="60">
        <v>70.459999999999994</v>
      </c>
      <c r="E22" s="60">
        <v>6.01</v>
      </c>
      <c r="F22" s="5" t="s">
        <v>47</v>
      </c>
      <c r="G22" s="60">
        <v>176.89</v>
      </c>
      <c r="H22" s="60">
        <v>55.71</v>
      </c>
      <c r="I22" s="60">
        <v>12.05</v>
      </c>
      <c r="J22" s="60">
        <v>1.58</v>
      </c>
      <c r="K22" s="60">
        <v>66.61</v>
      </c>
      <c r="L22" s="60">
        <v>38.68</v>
      </c>
      <c r="M22" s="60">
        <v>39.78</v>
      </c>
      <c r="N22" s="60">
        <v>108.60</v>
      </c>
      <c r="O22" s="60">
        <v>0</v>
      </c>
      <c r="P22" s="60">
        <v>2.2400000000000002</v>
      </c>
      <c r="Q22" s="60">
        <v>86.42</v>
      </c>
      <c r="R22" s="198"/>
      <c r="S22" s="198"/>
      <c r="T22" s="198"/>
      <c r="U22" s="198"/>
    </row>
    <row r="23" spans="1:21" s="12" customFormat="1" ht="15">
      <c r="A23" s="201" t="s">
        <v>451</v>
      </c>
      <c r="B23" s="60">
        <v>29.57</v>
      </c>
      <c r="C23" s="60">
        <v>37.29</v>
      </c>
      <c r="D23" s="60">
        <v>66.86</v>
      </c>
      <c r="E23" s="60">
        <v>5.82</v>
      </c>
      <c r="F23" s="5" t="s">
        <v>47</v>
      </c>
      <c r="G23" s="60">
        <v>176.65</v>
      </c>
      <c r="H23" s="60">
        <v>55.75</v>
      </c>
      <c r="I23" s="60">
        <v>12.37</v>
      </c>
      <c r="J23" s="60">
        <v>1.1299999999999999</v>
      </c>
      <c r="K23" s="60">
        <v>109.49</v>
      </c>
      <c r="L23" s="60">
        <v>38.86</v>
      </c>
      <c r="M23" s="60">
        <v>39.479999999999997</v>
      </c>
      <c r="N23" s="60">
        <v>108</v>
      </c>
      <c r="O23" s="60">
        <v>0</v>
      </c>
      <c r="P23" s="60">
        <v>2.23</v>
      </c>
      <c r="Q23" s="60">
        <v>84.73</v>
      </c>
      <c r="R23" s="198"/>
      <c r="S23" s="198"/>
      <c r="T23" s="198"/>
      <c r="U23" s="198"/>
    </row>
    <row r="24" spans="1:21" s="12" customFormat="1" ht="15">
      <c r="A24" s="201" t="s">
        <v>452</v>
      </c>
      <c r="B24" s="60">
        <v>27.71</v>
      </c>
      <c r="C24" s="60">
        <v>36.57</v>
      </c>
      <c r="D24" s="60">
        <v>64.28</v>
      </c>
      <c r="E24" s="60">
        <v>6</v>
      </c>
      <c r="F24" s="5" t="s">
        <v>47</v>
      </c>
      <c r="G24" s="60">
        <v>176.65</v>
      </c>
      <c r="H24" s="60">
        <v>55.75</v>
      </c>
      <c r="I24" s="60">
        <v>13.12</v>
      </c>
      <c r="J24" s="60">
        <v>1.87</v>
      </c>
      <c r="K24" s="60">
        <v>204.70</v>
      </c>
      <c r="L24" s="60">
        <v>38.57</v>
      </c>
      <c r="M24" s="60">
        <v>43.97</v>
      </c>
      <c r="N24" s="60">
        <v>107.40</v>
      </c>
      <c r="O24" s="60">
        <v>0</v>
      </c>
      <c r="P24" s="60">
        <v>2.19</v>
      </c>
      <c r="Q24" s="60">
        <v>83.91</v>
      </c>
      <c r="R24" s="198"/>
      <c r="S24" s="198"/>
      <c r="T24" s="198"/>
      <c r="U24" s="198"/>
    </row>
    <row r="25" spans="1:21" s="12" customFormat="1" ht="15">
      <c r="A25" s="201" t="s">
        <v>453</v>
      </c>
      <c r="B25" s="60">
        <v>27.89</v>
      </c>
      <c r="C25" s="60">
        <v>33.799999999999997</v>
      </c>
      <c r="D25" s="60">
        <v>61.69</v>
      </c>
      <c r="E25" s="60">
        <v>6.03</v>
      </c>
      <c r="F25" s="5" t="s">
        <v>47</v>
      </c>
      <c r="G25" s="60">
        <v>176.65</v>
      </c>
      <c r="H25" s="60">
        <v>55.75</v>
      </c>
      <c r="I25" s="60">
        <v>12.68</v>
      </c>
      <c r="J25" s="60">
        <v>1.42</v>
      </c>
      <c r="K25" s="60">
        <v>301.43</v>
      </c>
      <c r="L25" s="60">
        <v>38.770000000000003</v>
      </c>
      <c r="M25" s="60">
        <v>47.60</v>
      </c>
      <c r="N25" s="60">
        <v>110.70</v>
      </c>
      <c r="O25" s="60">
        <v>0</v>
      </c>
      <c r="P25" s="60">
        <v>2.1800000000000002</v>
      </c>
      <c r="Q25" s="60">
        <v>72.55</v>
      </c>
      <c r="R25" s="198"/>
      <c r="S25" s="198"/>
      <c r="T25" s="198"/>
      <c r="U25" s="198"/>
    </row>
    <row r="26" spans="1:21" s="12" customFormat="1" ht="15">
      <c r="A26" s="201" t="s">
        <v>454</v>
      </c>
      <c r="B26" s="60">
        <v>29.30</v>
      </c>
      <c r="C26" s="60">
        <v>35.200000000000003</v>
      </c>
      <c r="D26" s="60">
        <v>64.5</v>
      </c>
      <c r="E26" s="60">
        <v>6.21</v>
      </c>
      <c r="F26" s="5" t="s">
        <v>47</v>
      </c>
      <c r="G26" s="60">
        <v>220.30</v>
      </c>
      <c r="H26" s="60">
        <v>53.35</v>
      </c>
      <c r="I26" s="60">
        <v>13</v>
      </c>
      <c r="J26" s="60">
        <v>0.64</v>
      </c>
      <c r="K26" s="60">
        <v>259.17</v>
      </c>
      <c r="L26" s="60">
        <v>37.729999999999997</v>
      </c>
      <c r="M26" s="60">
        <v>50.65</v>
      </c>
      <c r="N26" s="60">
        <v>104.5</v>
      </c>
      <c r="O26" s="60">
        <v>0</v>
      </c>
      <c r="P26" s="60">
        <v>2.34</v>
      </c>
      <c r="Q26" s="60">
        <v>65.45</v>
      </c>
      <c r="R26" s="198"/>
      <c r="S26" s="198"/>
      <c r="T26" s="198"/>
      <c r="U26" s="198"/>
    </row>
    <row r="27" spans="1:21" s="12" customFormat="1" ht="15">
      <c r="A27" s="201" t="s">
        <v>455</v>
      </c>
      <c r="B27" s="60">
        <v>31.68</v>
      </c>
      <c r="C27" s="60">
        <v>35.96</v>
      </c>
      <c r="D27" s="60">
        <v>67.64</v>
      </c>
      <c r="E27" s="60">
        <v>6.54</v>
      </c>
      <c r="F27" s="60">
        <v>0.14000000000000001</v>
      </c>
      <c r="G27" s="60">
        <v>223.60</v>
      </c>
      <c r="H27" s="60">
        <v>52.53</v>
      </c>
      <c r="I27" s="60">
        <v>12.70</v>
      </c>
      <c r="J27" s="60">
        <v>1.63</v>
      </c>
      <c r="K27" s="60">
        <v>280.08</v>
      </c>
      <c r="L27" s="60">
        <v>37.85</v>
      </c>
      <c r="M27" s="60">
        <v>50.89</v>
      </c>
      <c r="N27" s="60">
        <v>92</v>
      </c>
      <c r="O27" s="60">
        <v>0</v>
      </c>
      <c r="P27" s="60">
        <v>2.23</v>
      </c>
      <c r="Q27" s="60">
        <v>70.16</v>
      </c>
      <c r="R27" s="198"/>
      <c r="S27" s="198"/>
      <c r="T27" s="198"/>
      <c r="U27" s="198"/>
    </row>
    <row r="28" spans="1:21" s="12" customFormat="1" ht="15">
      <c r="A28" s="201" t="s">
        <v>456</v>
      </c>
      <c r="B28" s="60">
        <v>33.64</v>
      </c>
      <c r="C28" s="60">
        <v>36.590000000000003</v>
      </c>
      <c r="D28" s="60">
        <v>70.23</v>
      </c>
      <c r="E28" s="60">
        <v>6.75</v>
      </c>
      <c r="F28" s="5" t="s">
        <v>47</v>
      </c>
      <c r="G28" s="60">
        <v>223.60</v>
      </c>
      <c r="H28" s="60">
        <v>52.53</v>
      </c>
      <c r="I28" s="60">
        <v>13.09</v>
      </c>
      <c r="J28" s="60">
        <v>1.78</v>
      </c>
      <c r="K28" s="60">
        <v>337.71</v>
      </c>
      <c r="L28" s="60">
        <v>37.53</v>
      </c>
      <c r="M28" s="60">
        <v>52</v>
      </c>
      <c r="N28" s="60">
        <v>88.10</v>
      </c>
      <c r="O28" s="60">
        <v>0</v>
      </c>
      <c r="P28" s="60">
        <v>2.2400000000000002</v>
      </c>
      <c r="Q28" s="60">
        <v>73.52</v>
      </c>
      <c r="R28" s="198"/>
      <c r="S28" s="198"/>
      <c r="T28" s="198"/>
      <c r="U28" s="198"/>
    </row>
    <row r="29" spans="1:21" s="12" customFormat="1" ht="15">
      <c r="A29" s="201" t="s">
        <v>457</v>
      </c>
      <c r="B29" s="60">
        <v>34.49</v>
      </c>
      <c r="C29" s="60">
        <v>36.72</v>
      </c>
      <c r="D29" s="60">
        <v>71.209999999999994</v>
      </c>
      <c r="E29" s="60">
        <v>7.02</v>
      </c>
      <c r="F29" s="5" t="s">
        <v>47</v>
      </c>
      <c r="G29" s="60">
        <v>223.60</v>
      </c>
      <c r="H29" s="60">
        <v>52.53</v>
      </c>
      <c r="I29" s="60">
        <v>12.91</v>
      </c>
      <c r="J29" s="60">
        <v>1.1100000000000001</v>
      </c>
      <c r="K29" s="60">
        <v>58.42</v>
      </c>
      <c r="L29" s="60">
        <v>38.83</v>
      </c>
      <c r="M29" s="60">
        <v>41.58</v>
      </c>
      <c r="N29" s="60">
        <v>89.70</v>
      </c>
      <c r="O29" s="60">
        <v>0</v>
      </c>
      <c r="P29" s="60">
        <v>2.48</v>
      </c>
      <c r="Q29" s="60">
        <v>75.959999999999994</v>
      </c>
      <c r="R29" s="198"/>
      <c r="S29" s="198"/>
      <c r="T29" s="198"/>
      <c r="U29" s="198"/>
    </row>
    <row r="30" spans="1:21" s="12" customFormat="1" ht="15">
      <c r="A30" s="201" t="s">
        <v>458</v>
      </c>
      <c r="B30" s="60">
        <v>34.60</v>
      </c>
      <c r="C30" s="60">
        <v>36.90</v>
      </c>
      <c r="D30" s="60">
        <v>71.5</v>
      </c>
      <c r="E30" s="60">
        <v>7.27</v>
      </c>
      <c r="F30" s="5" t="s">
        <v>47</v>
      </c>
      <c r="G30" s="60">
        <v>266.80</v>
      </c>
      <c r="H30" s="60">
        <v>56.45</v>
      </c>
      <c r="I30" s="60">
        <v>12.30</v>
      </c>
      <c r="J30" s="60">
        <v>0.44</v>
      </c>
      <c r="K30" s="60">
        <v>11.90</v>
      </c>
      <c r="L30" s="60">
        <v>38.29</v>
      </c>
      <c r="M30" s="60">
        <v>45.43</v>
      </c>
      <c r="N30" s="60">
        <v>96.80</v>
      </c>
      <c r="O30" s="60">
        <v>0</v>
      </c>
      <c r="P30" s="60">
        <v>2.76</v>
      </c>
      <c r="Q30" s="60">
        <v>78.02</v>
      </c>
      <c r="R30" s="198"/>
      <c r="S30" s="198"/>
      <c r="T30" s="198"/>
      <c r="U30" s="198"/>
    </row>
    <row r="31" spans="1:21" s="12" customFormat="1" ht="15">
      <c r="A31" s="201" t="s">
        <v>459</v>
      </c>
      <c r="B31" s="60">
        <v>35.24</v>
      </c>
      <c r="C31" s="60">
        <v>36.46</v>
      </c>
      <c r="D31" s="60">
        <v>71.70</v>
      </c>
      <c r="E31" s="60">
        <v>7.70</v>
      </c>
      <c r="F31" s="60">
        <v>0.12</v>
      </c>
      <c r="G31" s="60">
        <v>272.12</v>
      </c>
      <c r="H31" s="60">
        <v>57.87</v>
      </c>
      <c r="I31" s="60">
        <v>11.16</v>
      </c>
      <c r="J31" s="60">
        <v>0.85</v>
      </c>
      <c r="K31" s="60">
        <v>24.77</v>
      </c>
      <c r="L31" s="60">
        <v>41.23</v>
      </c>
      <c r="M31" s="60">
        <v>41.82</v>
      </c>
      <c r="N31" s="60">
        <v>109.5</v>
      </c>
      <c r="O31" s="60">
        <v>0</v>
      </c>
      <c r="P31" s="60">
        <v>3.01</v>
      </c>
      <c r="Q31" s="60">
        <v>78.86</v>
      </c>
      <c r="R31" s="198"/>
      <c r="S31" s="198"/>
      <c r="T31" s="198"/>
      <c r="U31" s="198"/>
    </row>
    <row r="32" spans="1:21" s="12" customFormat="1" ht="15">
      <c r="A32" s="201" t="s">
        <v>460</v>
      </c>
      <c r="B32" s="60">
        <v>36.47</v>
      </c>
      <c r="C32" s="60">
        <v>35.43</v>
      </c>
      <c r="D32" s="60">
        <v>71.900000000000006</v>
      </c>
      <c r="E32" s="60">
        <v>7.91</v>
      </c>
      <c r="F32" s="60">
        <v>0.21</v>
      </c>
      <c r="G32" s="60">
        <v>272.12</v>
      </c>
      <c r="H32" s="60">
        <v>57.87</v>
      </c>
      <c r="I32" s="60">
        <v>11.48</v>
      </c>
      <c r="J32" s="60">
        <v>1.74</v>
      </c>
      <c r="K32" s="60">
        <v>2.0299999999999998</v>
      </c>
      <c r="L32" s="60">
        <v>40.299999999999997</v>
      </c>
      <c r="M32" s="60">
        <v>42.65</v>
      </c>
      <c r="N32" s="60">
        <v>127.10</v>
      </c>
      <c r="O32" s="60">
        <v>0</v>
      </c>
      <c r="P32" s="60">
        <v>2.65</v>
      </c>
      <c r="Q32" s="60">
        <v>81.36</v>
      </c>
      <c r="R32" s="198"/>
      <c r="S32" s="198"/>
      <c r="T32" s="198"/>
      <c r="U32" s="198"/>
    </row>
    <row r="33" spans="1:21" s="12" customFormat="1" ht="15">
      <c r="A33" s="201" t="s">
        <v>461</v>
      </c>
      <c r="B33" s="60">
        <v>36.89</v>
      </c>
      <c r="C33" s="60">
        <v>35.75</v>
      </c>
      <c r="D33" s="60">
        <v>72.64</v>
      </c>
      <c r="E33" s="60">
        <v>7.84</v>
      </c>
      <c r="F33" s="60">
        <v>0.04</v>
      </c>
      <c r="G33" s="60">
        <v>272.12</v>
      </c>
      <c r="H33" s="60">
        <v>57.87</v>
      </c>
      <c r="I33" s="60">
        <v>13.57</v>
      </c>
      <c r="J33" s="60">
        <v>1.35</v>
      </c>
      <c r="K33" s="60">
        <v>344.92</v>
      </c>
      <c r="L33" s="60">
        <v>41.30</v>
      </c>
      <c r="M33" s="60">
        <v>40.89</v>
      </c>
      <c r="N33" s="60">
        <v>156.5</v>
      </c>
      <c r="O33" s="60">
        <v>0</v>
      </c>
      <c r="P33" s="60">
        <v>2.64</v>
      </c>
      <c r="Q33" s="60">
        <v>86.38</v>
      </c>
      <c r="R33" s="198"/>
      <c r="S33" s="198"/>
      <c r="T33" s="198"/>
      <c r="U33" s="198"/>
    </row>
    <row r="34" spans="1:21" s="12" customFormat="1" ht="15">
      <c r="A34" s="201" t="s">
        <v>462</v>
      </c>
      <c r="B34" s="60">
        <v>37.590000000000003</v>
      </c>
      <c r="C34" s="60">
        <v>38.11</v>
      </c>
      <c r="D34" s="60">
        <v>75.70</v>
      </c>
      <c r="E34" s="60">
        <v>7.64</v>
      </c>
      <c r="F34" s="60">
        <v>0.31</v>
      </c>
      <c r="G34" s="60">
        <v>418.77</v>
      </c>
      <c r="H34" s="60">
        <v>74.83</v>
      </c>
      <c r="I34" s="60">
        <v>13.97</v>
      </c>
      <c r="J34" s="60">
        <v>1.48</v>
      </c>
      <c r="K34" s="60">
        <v>21.34</v>
      </c>
      <c r="L34" s="60">
        <v>42.32</v>
      </c>
      <c r="M34" s="60">
        <v>39.19</v>
      </c>
      <c r="N34" s="60">
        <v>192.10</v>
      </c>
      <c r="O34" s="60">
        <v>0</v>
      </c>
      <c r="P34" s="60">
        <v>2.89</v>
      </c>
      <c r="Q34" s="60">
        <v>87.98</v>
      </c>
      <c r="R34" s="198"/>
      <c r="S34" s="198"/>
      <c r="T34" s="198"/>
      <c r="U34" s="198"/>
    </row>
    <row r="35" spans="1:21" s="12" customFormat="1" ht="15">
      <c r="A35" s="201" t="s">
        <v>463</v>
      </c>
      <c r="B35" s="60">
        <v>40.11</v>
      </c>
      <c r="C35" s="60">
        <v>40.97</v>
      </c>
      <c r="D35" s="60">
        <v>81.08</v>
      </c>
      <c r="E35" s="60">
        <v>7.70</v>
      </c>
      <c r="F35" s="60">
        <v>0.28000000000000003</v>
      </c>
      <c r="G35" s="60">
        <v>421.02</v>
      </c>
      <c r="H35" s="60">
        <v>80.989999999999995</v>
      </c>
      <c r="I35" s="60">
        <v>14.17</v>
      </c>
      <c r="J35" s="60">
        <v>1.72</v>
      </c>
      <c r="K35" s="60">
        <v>137.24</v>
      </c>
      <c r="L35" s="60">
        <v>43.62</v>
      </c>
      <c r="M35" s="60">
        <v>36.90</v>
      </c>
      <c r="N35" s="60">
        <v>233.70</v>
      </c>
      <c r="O35" s="60">
        <v>0</v>
      </c>
      <c r="P35" s="60">
        <v>2.84</v>
      </c>
      <c r="Q35" s="60">
        <v>89.11</v>
      </c>
      <c r="R35" s="198"/>
      <c r="S35" s="198"/>
      <c r="T35" s="198"/>
      <c r="U35" s="198"/>
    </row>
    <row r="36" spans="1:21" s="12" customFormat="1" ht="15">
      <c r="A36" s="201" t="s">
        <v>464</v>
      </c>
      <c r="B36" s="60">
        <v>39.200000000000003</v>
      </c>
      <c r="C36" s="60">
        <v>43.67</v>
      </c>
      <c r="D36" s="60">
        <v>82.87</v>
      </c>
      <c r="E36" s="60">
        <v>3.60</v>
      </c>
      <c r="F36" s="60">
        <v>0.31</v>
      </c>
      <c r="G36" s="60">
        <v>421.02</v>
      </c>
      <c r="H36" s="60">
        <v>80.989999999999995</v>
      </c>
      <c r="I36" s="60">
        <v>14.71</v>
      </c>
      <c r="J36" s="60">
        <v>0.96</v>
      </c>
      <c r="K36" s="60">
        <v>171.37</v>
      </c>
      <c r="L36" s="60">
        <v>45.53</v>
      </c>
      <c r="M36" s="60">
        <v>34.96</v>
      </c>
      <c r="N36" s="60">
        <v>290.89999999999998</v>
      </c>
      <c r="O36" s="60">
        <v>0</v>
      </c>
      <c r="P36" s="60">
        <v>2.80</v>
      </c>
      <c r="Q36" s="60">
        <v>89.69</v>
      </c>
      <c r="R36" s="198"/>
      <c r="S36" s="198"/>
      <c r="T36" s="198"/>
      <c r="U36" s="198"/>
    </row>
    <row r="37" spans="1:21" s="12" customFormat="1" ht="15">
      <c r="A37" s="201" t="s">
        <v>465</v>
      </c>
      <c r="B37" s="60">
        <v>36.83</v>
      </c>
      <c r="C37" s="60">
        <v>47.04</v>
      </c>
      <c r="D37" s="60">
        <v>83.87</v>
      </c>
      <c r="E37" s="60">
        <v>7.22</v>
      </c>
      <c r="F37" s="60">
        <v>0.43</v>
      </c>
      <c r="G37" s="60">
        <v>421.02</v>
      </c>
      <c r="H37" s="60">
        <v>80.989999999999995</v>
      </c>
      <c r="I37" s="60">
        <v>14.36</v>
      </c>
      <c r="J37" s="60">
        <v>2.04</v>
      </c>
      <c r="K37" s="60">
        <v>72.27</v>
      </c>
      <c r="L37" s="60">
        <v>48.36</v>
      </c>
      <c r="M37" s="60">
        <v>33.58</v>
      </c>
      <c r="N37" s="60">
        <v>346.30</v>
      </c>
      <c r="O37" s="60">
        <v>0</v>
      </c>
      <c r="P37" s="60">
        <v>2.74</v>
      </c>
      <c r="Q37" s="60">
        <v>88.16</v>
      </c>
      <c r="R37" s="198"/>
      <c r="S37" s="198"/>
      <c r="T37" s="198"/>
      <c r="U37" s="198"/>
    </row>
    <row r="38" spans="1:21" s="12" customFormat="1" ht="15">
      <c r="A38" s="201" t="s">
        <v>466</v>
      </c>
      <c r="B38" s="60">
        <v>33.10</v>
      </c>
      <c r="C38" s="60">
        <v>49.64</v>
      </c>
      <c r="D38" s="60">
        <v>82.74</v>
      </c>
      <c r="E38" s="60">
        <v>7.03</v>
      </c>
      <c r="F38" s="60">
        <v>0.48</v>
      </c>
      <c r="G38" s="60">
        <v>371.49</v>
      </c>
      <c r="H38" s="60">
        <v>86.47</v>
      </c>
      <c r="I38" s="60">
        <v>14.57</v>
      </c>
      <c r="J38" s="60">
        <v>1.67</v>
      </c>
      <c r="K38" s="60">
        <v>173.27</v>
      </c>
      <c r="L38" s="60">
        <v>48.40</v>
      </c>
      <c r="M38" s="60">
        <v>32.380000000000003</v>
      </c>
      <c r="N38" s="60">
        <v>406.70</v>
      </c>
      <c r="O38" s="60">
        <v>0</v>
      </c>
      <c r="P38" s="60">
        <v>2.59</v>
      </c>
      <c r="Q38" s="60">
        <v>86.23</v>
      </c>
      <c r="R38" s="198"/>
      <c r="S38" s="198"/>
      <c r="T38" s="198"/>
      <c r="U38" s="198"/>
    </row>
    <row r="39" spans="1:21" s="12" customFormat="1" ht="15">
      <c r="A39" s="201" t="s">
        <v>467</v>
      </c>
      <c r="B39" s="60">
        <v>27.40</v>
      </c>
      <c r="C39" s="60">
        <v>52.83</v>
      </c>
      <c r="D39" s="60">
        <v>80.23</v>
      </c>
      <c r="E39" s="60">
        <v>7.02</v>
      </c>
      <c r="F39" s="60">
        <v>0.56999999999999995</v>
      </c>
      <c r="G39" s="60">
        <v>370.31</v>
      </c>
      <c r="H39" s="60">
        <v>88.35</v>
      </c>
      <c r="I39" s="60">
        <v>14.41</v>
      </c>
      <c r="J39" s="60">
        <v>0.15</v>
      </c>
      <c r="K39" s="60">
        <v>267.66000000000003</v>
      </c>
      <c r="L39" s="60">
        <v>50.42</v>
      </c>
      <c r="M39" s="60">
        <v>33.880000000000003</v>
      </c>
      <c r="N39" s="60">
        <v>448.20</v>
      </c>
      <c r="O39" s="60">
        <v>0</v>
      </c>
      <c r="P39" s="60">
        <v>2.61</v>
      </c>
      <c r="Q39" s="60">
        <v>81.66</v>
      </c>
      <c r="R39" s="198"/>
      <c r="S39" s="198"/>
      <c r="T39" s="198"/>
      <c r="U39" s="198"/>
    </row>
    <row r="40" spans="1:21" s="12" customFormat="1" ht="15">
      <c r="A40" s="201" t="s">
        <v>468</v>
      </c>
      <c r="B40" s="60">
        <v>21.32</v>
      </c>
      <c r="C40" s="60">
        <v>57.13</v>
      </c>
      <c r="D40" s="60">
        <v>78.45</v>
      </c>
      <c r="E40" s="60">
        <v>7.16</v>
      </c>
      <c r="F40" s="60">
        <v>0.80</v>
      </c>
      <c r="G40" s="60">
        <v>370.31</v>
      </c>
      <c r="H40" s="60">
        <v>88.35</v>
      </c>
      <c r="I40" s="60">
        <v>13.63</v>
      </c>
      <c r="J40" s="60">
        <v>2.5299999999999998</v>
      </c>
      <c r="K40" s="60">
        <v>334.53</v>
      </c>
      <c r="L40" s="60">
        <v>47.66</v>
      </c>
      <c r="M40" s="60">
        <v>33.17</v>
      </c>
      <c r="N40" s="60">
        <v>511.20</v>
      </c>
      <c r="O40" s="60">
        <v>0</v>
      </c>
      <c r="P40" s="60">
        <v>2.73</v>
      </c>
      <c r="Q40" s="60">
        <v>84.12</v>
      </c>
      <c r="R40" s="198"/>
      <c r="S40" s="198"/>
      <c r="T40" s="198"/>
      <c r="U40" s="198"/>
    </row>
    <row r="41" spans="1:21" s="12" customFormat="1" ht="15">
      <c r="A41" s="201" t="s">
        <v>469</v>
      </c>
      <c r="B41" s="60">
        <v>16.190000000000001</v>
      </c>
      <c r="C41" s="60">
        <v>61.49</v>
      </c>
      <c r="D41" s="60">
        <v>77.680000000000007</v>
      </c>
      <c r="E41" s="60">
        <v>6.98</v>
      </c>
      <c r="F41" s="60">
        <v>0.89</v>
      </c>
      <c r="G41" s="60">
        <v>370.31</v>
      </c>
      <c r="H41" s="60">
        <v>88.35</v>
      </c>
      <c r="I41" s="60">
        <v>14.12</v>
      </c>
      <c r="J41" s="60">
        <v>3.28</v>
      </c>
      <c r="K41" s="60">
        <v>333.99</v>
      </c>
      <c r="L41" s="60">
        <v>48</v>
      </c>
      <c r="M41" s="60">
        <v>31.62</v>
      </c>
      <c r="N41" s="60">
        <v>558.79999999999995</v>
      </c>
      <c r="O41" s="60">
        <v>0</v>
      </c>
      <c r="P41" s="60">
        <v>2.75</v>
      </c>
      <c r="Q41" s="60">
        <v>82.77</v>
      </c>
      <c r="R41" s="198"/>
      <c r="S41" s="198"/>
      <c r="T41" s="198"/>
      <c r="U41" s="198"/>
    </row>
    <row r="42" spans="1:21" s="12" customFormat="1" ht="15">
      <c r="A42" s="201" t="s">
        <v>470</v>
      </c>
      <c r="B42" s="60">
        <v>11.84</v>
      </c>
      <c r="C42" s="60">
        <v>64.180000000000007</v>
      </c>
      <c r="D42" s="60">
        <v>76.02</v>
      </c>
      <c r="E42" s="60">
        <v>7.64</v>
      </c>
      <c r="F42" s="60">
        <v>1.42</v>
      </c>
      <c r="G42" s="60">
        <v>340.47</v>
      </c>
      <c r="H42" s="60">
        <v>91</v>
      </c>
      <c r="I42" s="60">
        <v>14.80</v>
      </c>
      <c r="J42" s="60">
        <v>2.85</v>
      </c>
      <c r="K42" s="60">
        <v>330.59</v>
      </c>
      <c r="L42" s="60">
        <v>50.21</v>
      </c>
      <c r="M42" s="60">
        <v>29.12</v>
      </c>
      <c r="N42" s="60">
        <v>604.10</v>
      </c>
      <c r="O42" s="60">
        <v>0</v>
      </c>
      <c r="P42" s="60">
        <v>2.89</v>
      </c>
      <c r="Q42" s="60">
        <v>81.77</v>
      </c>
      <c r="R42" s="198"/>
      <c r="S42" s="198"/>
      <c r="T42" s="198"/>
      <c r="U42" s="198"/>
    </row>
    <row r="43" spans="1:21" s="12" customFormat="1" ht="15">
      <c r="A43" s="201" t="s">
        <v>471</v>
      </c>
      <c r="B43" s="60">
        <v>9.8000000000000007</v>
      </c>
      <c r="C43" s="60">
        <v>63.55</v>
      </c>
      <c r="D43" s="60">
        <v>73.36</v>
      </c>
      <c r="E43" s="60">
        <v>7.04</v>
      </c>
      <c r="F43" s="60">
        <v>2.46</v>
      </c>
      <c r="G43" s="60">
        <v>340.01</v>
      </c>
      <c r="H43" s="60">
        <v>91.91</v>
      </c>
      <c r="I43" s="60">
        <v>14.64</v>
      </c>
      <c r="J43" s="60">
        <v>3.07</v>
      </c>
      <c r="K43" s="60">
        <v>350.16</v>
      </c>
      <c r="L43" s="60">
        <v>50.42</v>
      </c>
      <c r="M43" s="60">
        <v>26.73</v>
      </c>
      <c r="N43" s="60">
        <v>631.79999999999995</v>
      </c>
      <c r="O43" s="60">
        <v>0</v>
      </c>
      <c r="P43" s="60">
        <v>2.97</v>
      </c>
      <c r="Q43" s="60">
        <v>70.849999999999994</v>
      </c>
      <c r="R43" s="198"/>
      <c r="S43" s="198"/>
      <c r="T43" s="198"/>
      <c r="U43" s="198"/>
    </row>
    <row r="44" spans="1:21" s="12" customFormat="1" ht="15">
      <c r="A44" s="201" t="s">
        <v>472</v>
      </c>
      <c r="B44" s="60">
        <v>8.94</v>
      </c>
      <c r="C44" s="60">
        <v>66.98</v>
      </c>
      <c r="D44" s="60">
        <v>75.92</v>
      </c>
      <c r="E44" s="60">
        <v>7.37</v>
      </c>
      <c r="F44" s="60">
        <v>3.54</v>
      </c>
      <c r="G44" s="60">
        <v>340.01</v>
      </c>
      <c r="H44" s="60">
        <v>91.91</v>
      </c>
      <c r="I44" s="60">
        <v>14.03</v>
      </c>
      <c r="J44" s="60">
        <v>2.92</v>
      </c>
      <c r="K44" s="60">
        <v>346.57</v>
      </c>
      <c r="L44" s="60">
        <v>50.5</v>
      </c>
      <c r="M44" s="60">
        <v>25.71</v>
      </c>
      <c r="N44" s="60">
        <v>696</v>
      </c>
      <c r="O44" s="60">
        <v>0</v>
      </c>
      <c r="P44" s="60">
        <v>3.02</v>
      </c>
      <c r="Q44" s="60">
        <v>70.819999999999993</v>
      </c>
      <c r="R44" s="198"/>
      <c r="S44" s="198"/>
      <c r="T44" s="198"/>
      <c r="U44" s="198"/>
    </row>
    <row r="45" spans="1:21" s="12" customFormat="1" ht="15">
      <c r="A45" s="201" t="s">
        <v>473</v>
      </c>
      <c r="B45" s="60">
        <v>8.24</v>
      </c>
      <c r="C45" s="60">
        <v>67.11</v>
      </c>
      <c r="D45" s="60">
        <v>75.349999999999994</v>
      </c>
      <c r="E45" s="60">
        <v>7.97</v>
      </c>
      <c r="F45" s="60">
        <v>6.96</v>
      </c>
      <c r="G45" s="60">
        <v>340.01</v>
      </c>
      <c r="H45" s="60">
        <v>91.91</v>
      </c>
      <c r="I45" s="60">
        <v>13.85</v>
      </c>
      <c r="J45" s="60">
        <v>2.5</v>
      </c>
      <c r="K45" s="60">
        <v>344.36</v>
      </c>
      <c r="L45" s="60">
        <v>49.71</v>
      </c>
      <c r="M45" s="60">
        <v>24.34</v>
      </c>
      <c r="N45" s="60">
        <v>730.80</v>
      </c>
      <c r="O45" s="60">
        <v>0</v>
      </c>
      <c r="P45" s="60">
        <v>3.12</v>
      </c>
      <c r="Q45" s="60">
        <v>74.78</v>
      </c>
      <c r="R45" s="198"/>
      <c r="S45" s="198"/>
      <c r="T45" s="198"/>
      <c r="U45" s="198"/>
    </row>
    <row r="46" spans="1:21" s="12" customFormat="1" ht="15">
      <c r="A46" s="201" t="s">
        <v>474</v>
      </c>
      <c r="B46" s="60">
        <v>7.36</v>
      </c>
      <c r="C46" s="60">
        <v>68.81</v>
      </c>
      <c r="D46" s="60">
        <v>76.180000000000007</v>
      </c>
      <c r="E46" s="60">
        <v>7.93</v>
      </c>
      <c r="F46" s="60">
        <v>5</v>
      </c>
      <c r="G46" s="60">
        <v>436.63</v>
      </c>
      <c r="H46" s="60">
        <v>96.59</v>
      </c>
      <c r="I46" s="60">
        <v>13.49</v>
      </c>
      <c r="J46" s="60">
        <v>2.65</v>
      </c>
      <c r="K46" s="60">
        <v>329.18</v>
      </c>
      <c r="L46" s="60">
        <v>50.16</v>
      </c>
      <c r="M46" s="60">
        <v>23.80</v>
      </c>
      <c r="N46" s="60">
        <v>771.20</v>
      </c>
      <c r="O46" s="60">
        <v>0</v>
      </c>
      <c r="P46" s="60">
        <v>2.94</v>
      </c>
      <c r="Q46" s="60">
        <v>77.62</v>
      </c>
      <c r="R46" s="198"/>
      <c r="S46" s="198"/>
      <c r="T46" s="198"/>
      <c r="U46" s="198"/>
    </row>
    <row r="47" spans="1:21" s="12" customFormat="1" ht="15">
      <c r="A47" s="201" t="s">
        <v>475</v>
      </c>
      <c r="B47" s="60">
        <v>5.94</v>
      </c>
      <c r="C47" s="60">
        <v>69.86</v>
      </c>
      <c r="D47" s="60">
        <v>75.80</v>
      </c>
      <c r="E47" s="60">
        <v>7.91</v>
      </c>
      <c r="F47" s="60">
        <v>5.55</v>
      </c>
      <c r="G47" s="60">
        <v>438.11</v>
      </c>
      <c r="H47" s="60">
        <v>98.30</v>
      </c>
      <c r="I47" s="60">
        <v>12.86</v>
      </c>
      <c r="J47" s="60">
        <v>2.3199999999999998</v>
      </c>
      <c r="K47" s="60">
        <v>326.73</v>
      </c>
      <c r="L47" s="60">
        <v>51.87</v>
      </c>
      <c r="M47" s="60">
        <v>22.28</v>
      </c>
      <c r="N47" s="60">
        <v>781.90</v>
      </c>
      <c r="O47" s="60">
        <v>0</v>
      </c>
      <c r="P47" s="60">
        <v>3.04</v>
      </c>
      <c r="Q47" s="60">
        <v>78.59</v>
      </c>
      <c r="R47" s="198"/>
      <c r="S47" s="198"/>
      <c r="T47" s="198"/>
      <c r="U47" s="198"/>
    </row>
    <row r="48" spans="1:21" s="12" customFormat="1" ht="15">
      <c r="A48" s="201" t="s">
        <v>476</v>
      </c>
      <c r="B48" s="60">
        <v>4.16</v>
      </c>
      <c r="C48" s="60">
        <v>70.70</v>
      </c>
      <c r="D48" s="60">
        <v>74.86</v>
      </c>
      <c r="E48" s="60">
        <v>7.69</v>
      </c>
      <c r="F48" s="60">
        <v>9.3800000000000008</v>
      </c>
      <c r="G48" s="60">
        <v>438.11</v>
      </c>
      <c r="H48" s="60">
        <v>98.30</v>
      </c>
      <c r="I48" s="60">
        <v>12.70</v>
      </c>
      <c r="J48" s="60">
        <v>0.82</v>
      </c>
      <c r="K48" s="60">
        <v>259.17</v>
      </c>
      <c r="L48" s="60">
        <v>53.03</v>
      </c>
      <c r="M48" s="60">
        <v>20.64</v>
      </c>
      <c r="N48" s="60">
        <v>797.80</v>
      </c>
      <c r="O48" s="60">
        <v>0</v>
      </c>
      <c r="P48" s="60">
        <v>2.66</v>
      </c>
      <c r="Q48" s="60">
        <v>76.48</v>
      </c>
      <c r="R48" s="198"/>
      <c r="S48" s="198"/>
      <c r="T48" s="198"/>
      <c r="U48" s="198"/>
    </row>
    <row r="49" spans="1:21" s="12" customFormat="1" ht="15">
      <c r="A49" s="201" t="s">
        <v>477</v>
      </c>
      <c r="B49" s="60">
        <v>2.2999999999999998</v>
      </c>
      <c r="C49" s="60">
        <v>69.64</v>
      </c>
      <c r="D49" s="60">
        <v>71.95</v>
      </c>
      <c r="E49" s="60">
        <v>7.95</v>
      </c>
      <c r="F49" s="60">
        <v>9.52</v>
      </c>
      <c r="G49" s="60">
        <v>438.11</v>
      </c>
      <c r="H49" s="60">
        <v>98.30</v>
      </c>
      <c r="I49" s="60">
        <v>12.86</v>
      </c>
      <c r="J49" s="60">
        <v>0.71</v>
      </c>
      <c r="K49" s="60">
        <v>55.14</v>
      </c>
      <c r="L49" s="60">
        <v>51.77</v>
      </c>
      <c r="M49" s="60">
        <v>22.68</v>
      </c>
      <c r="N49" s="60">
        <v>748.70</v>
      </c>
      <c r="O49" s="60">
        <v>0</v>
      </c>
      <c r="P49" s="60">
        <v>2.58</v>
      </c>
      <c r="Q49" s="60">
        <v>77.849999999999994</v>
      </c>
      <c r="R49" s="198"/>
      <c r="S49" s="198"/>
      <c r="T49" s="198"/>
      <c r="U49" s="198"/>
    </row>
    <row r="50" spans="1:21" s="12" customFormat="1" ht="15">
      <c r="A50" s="201" t="s">
        <v>478</v>
      </c>
      <c r="B50" s="60">
        <v>1.18</v>
      </c>
      <c r="C50" s="60">
        <v>66.099999999999994</v>
      </c>
      <c r="D50" s="60">
        <v>67.28</v>
      </c>
      <c r="E50" s="60">
        <v>8.41</v>
      </c>
      <c r="F50" s="60">
        <v>6.18</v>
      </c>
      <c r="G50" s="60">
        <v>365.55</v>
      </c>
      <c r="H50" s="60">
        <v>99.65</v>
      </c>
      <c r="I50" s="60">
        <v>11.15</v>
      </c>
      <c r="J50" s="60">
        <v>1.78</v>
      </c>
      <c r="K50" s="60">
        <v>328.64</v>
      </c>
      <c r="L50" s="60">
        <v>53.74</v>
      </c>
      <c r="M50" s="60">
        <v>21.95</v>
      </c>
      <c r="N50" s="60">
        <v>840.5</v>
      </c>
      <c r="O50" s="60">
        <v>0</v>
      </c>
      <c r="P50" s="60">
        <v>2.81</v>
      </c>
      <c r="Q50" s="60">
        <v>78.38</v>
      </c>
      <c r="R50" s="198"/>
      <c r="S50" s="198"/>
      <c r="T50" s="198"/>
      <c r="U50" s="198"/>
    </row>
    <row r="51" spans="1:21" s="12" customFormat="1" ht="15">
      <c r="A51" s="201" t="s">
        <v>479</v>
      </c>
      <c r="B51" s="60">
        <v>0.71</v>
      </c>
      <c r="C51" s="60">
        <v>63.25</v>
      </c>
      <c r="D51" s="60">
        <v>63.96</v>
      </c>
      <c r="E51" s="60">
        <v>8.25</v>
      </c>
      <c r="F51" s="60">
        <v>7.31</v>
      </c>
      <c r="G51" s="60">
        <v>364.44</v>
      </c>
      <c r="H51" s="60">
        <v>100.15</v>
      </c>
      <c r="I51" s="60">
        <v>10.02</v>
      </c>
      <c r="J51" s="60">
        <v>1.04</v>
      </c>
      <c r="K51" s="60">
        <v>324.54000000000002</v>
      </c>
      <c r="L51" s="60">
        <v>53.74</v>
      </c>
      <c r="M51" s="60">
        <v>20.09</v>
      </c>
      <c r="N51" s="60">
        <v>689.30</v>
      </c>
      <c r="O51" s="60">
        <v>0</v>
      </c>
      <c r="P51" s="60">
        <v>2.87</v>
      </c>
      <c r="Q51" s="60">
        <v>77.98</v>
      </c>
      <c r="R51" s="198"/>
      <c r="S51" s="198"/>
      <c r="T51" s="198"/>
      <c r="U51" s="198"/>
    </row>
    <row r="52" spans="1:21" s="12" customFormat="1" ht="15">
      <c r="A52" s="201" t="s">
        <v>480</v>
      </c>
      <c r="B52" s="60">
        <v>0.48</v>
      </c>
      <c r="C52" s="60">
        <v>61.80</v>
      </c>
      <c r="D52" s="60">
        <v>62.28</v>
      </c>
      <c r="E52" s="60">
        <v>3.79</v>
      </c>
      <c r="F52" s="60">
        <v>7.74</v>
      </c>
      <c r="G52" s="60">
        <v>364.44</v>
      </c>
      <c r="H52" s="60">
        <v>100.15</v>
      </c>
      <c r="I52" s="60">
        <v>11.42</v>
      </c>
      <c r="J52" s="60">
        <v>1.66</v>
      </c>
      <c r="K52" s="60">
        <v>330.45</v>
      </c>
      <c r="L52" s="60">
        <v>53.11</v>
      </c>
      <c r="M52" s="60">
        <v>22.63</v>
      </c>
      <c r="N52" s="60">
        <v>794</v>
      </c>
      <c r="O52" s="60">
        <v>0</v>
      </c>
      <c r="P52" s="60">
        <v>2.92</v>
      </c>
      <c r="Q52" s="60">
        <v>74.19</v>
      </c>
      <c r="R52" s="198"/>
      <c r="S52" s="198"/>
      <c r="T52" s="198"/>
      <c r="U52" s="198"/>
    </row>
    <row r="53" spans="1:21" s="12" customFormat="1" ht="15">
      <c r="A53" s="201" t="s">
        <v>481</v>
      </c>
      <c r="B53" s="60">
        <v>0.47</v>
      </c>
      <c r="C53" s="60">
        <v>62.07</v>
      </c>
      <c r="D53" s="60">
        <v>62.53</v>
      </c>
      <c r="E53" s="60">
        <v>8.1300000000000008</v>
      </c>
      <c r="F53" s="60">
        <v>8.07</v>
      </c>
      <c r="G53" s="60">
        <v>364.44</v>
      </c>
      <c r="H53" s="60">
        <v>100.15</v>
      </c>
      <c r="I53" s="60">
        <v>12.25</v>
      </c>
      <c r="J53" s="60">
        <v>0.71</v>
      </c>
      <c r="K53" s="60">
        <v>312.88</v>
      </c>
      <c r="L53" s="60">
        <v>53.20</v>
      </c>
      <c r="M53" s="60">
        <v>20.38</v>
      </c>
      <c r="N53" s="60">
        <v>765.10</v>
      </c>
      <c r="O53" s="60">
        <v>0</v>
      </c>
      <c r="P53" s="60">
        <v>2.88</v>
      </c>
      <c r="Q53" s="60">
        <v>74.42</v>
      </c>
      <c r="R53" s="198"/>
      <c r="S53" s="198"/>
      <c r="T53" s="198"/>
      <c r="U53" s="198"/>
    </row>
    <row r="54" spans="1:21" s="12" customFormat="1" ht="15">
      <c r="A54" s="201" t="s">
        <v>482</v>
      </c>
      <c r="B54" s="60">
        <v>0.36</v>
      </c>
      <c r="C54" s="60">
        <v>62.45</v>
      </c>
      <c r="D54" s="60">
        <v>62.81</v>
      </c>
      <c r="E54" s="60">
        <v>7.89</v>
      </c>
      <c r="F54" s="60">
        <v>8.6300000000000008</v>
      </c>
      <c r="G54" s="60">
        <v>309.97000000000003</v>
      </c>
      <c r="H54" s="60">
        <v>99.30</v>
      </c>
      <c r="I54" s="60">
        <v>11.32</v>
      </c>
      <c r="J54" s="60">
        <v>0.61</v>
      </c>
      <c r="K54" s="60">
        <v>334.82</v>
      </c>
      <c r="L54" s="60">
        <v>53.67</v>
      </c>
      <c r="M54" s="60">
        <v>20.239999999999998</v>
      </c>
      <c r="N54" s="60">
        <v>598.20000000000005</v>
      </c>
      <c r="O54" s="60">
        <v>0</v>
      </c>
      <c r="P54" s="60">
        <v>2.69</v>
      </c>
      <c r="Q54" s="60">
        <v>72.73</v>
      </c>
      <c r="R54" s="198"/>
      <c r="S54" s="198"/>
      <c r="T54" s="198"/>
      <c r="U54" s="198"/>
    </row>
    <row r="55" spans="1:21" s="12" customFormat="1" ht="15">
      <c r="A55" s="201" t="s">
        <v>483</v>
      </c>
      <c r="B55" s="60">
        <v>0.30</v>
      </c>
      <c r="C55" s="60">
        <v>59.33</v>
      </c>
      <c r="D55" s="60">
        <v>59.63</v>
      </c>
      <c r="E55" s="60">
        <v>7.73</v>
      </c>
      <c r="F55" s="60">
        <v>8.4600000000000009</v>
      </c>
      <c r="G55" s="60">
        <v>303.37</v>
      </c>
      <c r="H55" s="60">
        <v>99.01</v>
      </c>
      <c r="I55" s="60">
        <v>11.15</v>
      </c>
      <c r="J55" s="60">
        <v>2.27</v>
      </c>
      <c r="K55" s="60">
        <v>137.38999999999999</v>
      </c>
      <c r="L55" s="60">
        <v>50.64</v>
      </c>
      <c r="M55" s="60">
        <v>19.440000000000001</v>
      </c>
      <c r="N55" s="60">
        <v>622.20000000000005</v>
      </c>
      <c r="O55" s="60">
        <v>0</v>
      </c>
      <c r="P55" s="60">
        <v>2.42</v>
      </c>
      <c r="Q55" s="60">
        <v>71.239999999999995</v>
      </c>
      <c r="R55" s="198"/>
      <c r="S55" s="198"/>
      <c r="T55" s="198"/>
      <c r="U55" s="198"/>
    </row>
    <row r="56" spans="1:21" s="12" customFormat="1" ht="15">
      <c r="A56" s="201" t="s">
        <v>484</v>
      </c>
      <c r="B56" s="60">
        <v>0.21</v>
      </c>
      <c r="C56" s="60">
        <v>52.89</v>
      </c>
      <c r="D56" s="60">
        <v>53.09</v>
      </c>
      <c r="E56" s="60">
        <v>7.32</v>
      </c>
      <c r="F56" s="60">
        <v>8.56</v>
      </c>
      <c r="G56" s="60">
        <v>303.37</v>
      </c>
      <c r="H56" s="60">
        <v>99.01</v>
      </c>
      <c r="I56" s="60">
        <v>8.56</v>
      </c>
      <c r="J56" s="60">
        <v>2.10</v>
      </c>
      <c r="K56" s="60">
        <v>91.77</v>
      </c>
      <c r="L56" s="60">
        <v>50.17</v>
      </c>
      <c r="M56" s="60">
        <v>19.80</v>
      </c>
      <c r="N56" s="60">
        <v>886.10</v>
      </c>
      <c r="O56" s="60">
        <v>0</v>
      </c>
      <c r="P56" s="60">
        <v>2.15</v>
      </c>
      <c r="Q56" s="60">
        <v>69.510000000000005</v>
      </c>
      <c r="R56" s="198"/>
      <c r="S56" s="198"/>
      <c r="T56" s="198"/>
      <c r="U56" s="198"/>
    </row>
    <row r="57" spans="1:21" s="12" customFormat="1" ht="15">
      <c r="A57" s="201" t="s">
        <v>485</v>
      </c>
      <c r="B57" s="60">
        <v>0.17</v>
      </c>
      <c r="C57" s="60">
        <v>46.96</v>
      </c>
      <c r="D57" s="60">
        <v>47.13</v>
      </c>
      <c r="E57" s="60">
        <v>7.33</v>
      </c>
      <c r="F57" s="60">
        <v>8.65</v>
      </c>
      <c r="G57" s="60">
        <v>303.37</v>
      </c>
      <c r="H57" s="60">
        <v>99.01</v>
      </c>
      <c r="I57" s="60">
        <v>7.80</v>
      </c>
      <c r="J57" s="60">
        <v>2.82</v>
      </c>
      <c r="K57" s="60">
        <v>106.33</v>
      </c>
      <c r="L57" s="60">
        <v>49.54</v>
      </c>
      <c r="M57" s="60">
        <v>17.190000000000001</v>
      </c>
      <c r="N57" s="60">
        <v>957.90</v>
      </c>
      <c r="O57" s="60">
        <v>0</v>
      </c>
      <c r="P57" s="60">
        <v>2.16</v>
      </c>
      <c r="Q57" s="60">
        <v>67.58</v>
      </c>
      <c r="R57" s="198"/>
      <c r="S57" s="198"/>
      <c r="T57" s="198"/>
      <c r="U57" s="198"/>
    </row>
    <row r="58" spans="1:21" s="12" customFormat="1" ht="15">
      <c r="A58" s="201" t="s">
        <v>486</v>
      </c>
      <c r="B58" s="60">
        <v>0.11</v>
      </c>
      <c r="C58" s="60">
        <v>41.74</v>
      </c>
      <c r="D58" s="60">
        <v>41.85</v>
      </c>
      <c r="E58" s="60">
        <v>7.42</v>
      </c>
      <c r="F58" s="60">
        <v>8.7200000000000006</v>
      </c>
      <c r="G58" s="60">
        <v>193.43</v>
      </c>
      <c r="H58" s="60">
        <v>83.47</v>
      </c>
      <c r="I58" s="60">
        <v>5.98</v>
      </c>
      <c r="J58" s="60">
        <v>0.53</v>
      </c>
      <c r="K58" s="60">
        <v>89.48</v>
      </c>
      <c r="L58" s="60">
        <v>50.75</v>
      </c>
      <c r="M58" s="60">
        <v>16.489999999999998</v>
      </c>
      <c r="N58" s="60">
        <v>960.80</v>
      </c>
      <c r="O58" s="60">
        <v>0</v>
      </c>
      <c r="P58" s="60">
        <v>1.97</v>
      </c>
      <c r="Q58" s="60">
        <v>66.260000000000005</v>
      </c>
      <c r="R58" s="198"/>
      <c r="S58" s="198"/>
      <c r="T58" s="198"/>
      <c r="U58" s="198"/>
    </row>
    <row r="59" spans="1:21" s="12" customFormat="1" ht="15">
      <c r="A59" s="201" t="s">
        <v>487</v>
      </c>
      <c r="B59" s="60">
        <v>0.18</v>
      </c>
      <c r="C59" s="60">
        <v>38.630000000000003</v>
      </c>
      <c r="D59" s="60">
        <v>38.81</v>
      </c>
      <c r="E59" s="60">
        <v>7.74</v>
      </c>
      <c r="F59" s="60">
        <v>8.65</v>
      </c>
      <c r="G59" s="60">
        <v>191.76</v>
      </c>
      <c r="H59" s="60">
        <v>78.14</v>
      </c>
      <c r="I59" s="60">
        <v>6.76</v>
      </c>
      <c r="J59" s="60">
        <v>2.09</v>
      </c>
      <c r="K59" s="60">
        <v>90.43</v>
      </c>
      <c r="L59" s="60">
        <v>50.67</v>
      </c>
      <c r="M59" s="60">
        <v>15.57</v>
      </c>
      <c r="N59" s="60">
        <v>833.60</v>
      </c>
      <c r="O59" s="60">
        <v>0</v>
      </c>
      <c r="P59" s="60">
        <v>1.84</v>
      </c>
      <c r="Q59" s="60">
        <v>64.260000000000005</v>
      </c>
      <c r="R59" s="198"/>
      <c r="S59" s="198"/>
      <c r="T59" s="198"/>
      <c r="U59" s="198"/>
    </row>
    <row r="60" spans="1:21" s="12" customFormat="1" ht="15">
      <c r="A60" s="201" t="s">
        <v>488</v>
      </c>
      <c r="B60" s="60">
        <v>0.11</v>
      </c>
      <c r="C60" s="60">
        <v>35.67</v>
      </c>
      <c r="D60" s="60">
        <v>35.78</v>
      </c>
      <c r="E60" s="60">
        <v>7.54</v>
      </c>
      <c r="F60" s="60">
        <v>9.5500000000000007</v>
      </c>
      <c r="G60" s="60">
        <v>191.76</v>
      </c>
      <c r="H60" s="60">
        <v>78.14</v>
      </c>
      <c r="I60" s="60">
        <v>4.87</v>
      </c>
      <c r="J60" s="60">
        <v>1.93</v>
      </c>
      <c r="K60" s="60">
        <v>97.87</v>
      </c>
      <c r="L60" s="60">
        <v>51.21</v>
      </c>
      <c r="M60" s="60">
        <v>15.27</v>
      </c>
      <c r="N60" s="60">
        <v>920.20</v>
      </c>
      <c r="O60" s="60">
        <v>0</v>
      </c>
      <c r="P60" s="60">
        <v>1.48</v>
      </c>
      <c r="Q60" s="60">
        <v>62.89</v>
      </c>
      <c r="R60" s="198"/>
      <c r="S60" s="198"/>
      <c r="T60" s="198"/>
      <c r="U60" s="198"/>
    </row>
    <row r="61" spans="1:21" s="12" customFormat="1" ht="15">
      <c r="A61" s="201" t="s">
        <v>489</v>
      </c>
      <c r="B61" s="60">
        <v>0.14000000000000001</v>
      </c>
      <c r="C61" s="60">
        <v>34.65</v>
      </c>
      <c r="D61" s="60">
        <v>34.79</v>
      </c>
      <c r="E61" s="60">
        <v>7.01</v>
      </c>
      <c r="F61" s="60">
        <v>9.2100000000000009</v>
      </c>
      <c r="G61" s="60">
        <v>191.76</v>
      </c>
      <c r="H61" s="60">
        <v>78.14</v>
      </c>
      <c r="I61" s="60">
        <v>4.28</v>
      </c>
      <c r="J61" s="60">
        <v>2.46</v>
      </c>
      <c r="K61" s="60">
        <v>151.72999999999999</v>
      </c>
      <c r="L61" s="60">
        <v>51.16</v>
      </c>
      <c r="M61" s="60">
        <v>14.43</v>
      </c>
      <c r="N61" s="60">
        <v>891.40</v>
      </c>
      <c r="O61" s="60">
        <v>0</v>
      </c>
      <c r="P61" s="60">
        <v>1.49</v>
      </c>
      <c r="Q61" s="60">
        <v>55.32</v>
      </c>
      <c r="R61" s="198"/>
      <c r="S61" s="198"/>
      <c r="T61" s="198"/>
      <c r="U61" s="198"/>
    </row>
    <row r="62" spans="1:21" s="12" customFormat="1" ht="15">
      <c r="A62" s="201" t="s">
        <v>490</v>
      </c>
      <c r="B62" s="60">
        <v>0.14000000000000001</v>
      </c>
      <c r="C62" s="60">
        <v>33.67</v>
      </c>
      <c r="D62" s="60">
        <v>33.81</v>
      </c>
      <c r="E62" s="60">
        <v>7.28</v>
      </c>
      <c r="F62" s="60">
        <v>8.49</v>
      </c>
      <c r="G62" s="60">
        <v>160.25</v>
      </c>
      <c r="H62" s="60">
        <v>67.819999999999993</v>
      </c>
      <c r="I62" s="60">
        <v>3.73</v>
      </c>
      <c r="J62" s="60">
        <v>1.25</v>
      </c>
      <c r="K62" s="60">
        <v>123.72</v>
      </c>
      <c r="L62" s="60">
        <v>52.24</v>
      </c>
      <c r="M62" s="60">
        <v>14.70</v>
      </c>
      <c r="N62" s="60">
        <v>853.80</v>
      </c>
      <c r="O62" s="60">
        <v>0</v>
      </c>
      <c r="P62" s="60">
        <v>1.40</v>
      </c>
      <c r="Q62" s="60">
        <v>54.13</v>
      </c>
      <c r="R62" s="198"/>
      <c r="S62" s="198"/>
      <c r="T62" s="198"/>
      <c r="U62" s="198"/>
    </row>
    <row r="63" spans="1:21" s="12" customFormat="1" ht="15">
      <c r="A63" s="201" t="s">
        <v>491</v>
      </c>
      <c r="B63" s="60">
        <v>0.23</v>
      </c>
      <c r="C63" s="60">
        <v>33.07</v>
      </c>
      <c r="D63" s="60">
        <v>33.31</v>
      </c>
      <c r="E63" s="60">
        <v>6.73</v>
      </c>
      <c r="F63" s="60">
        <v>9.26</v>
      </c>
      <c r="G63" s="60">
        <v>159.69</v>
      </c>
      <c r="H63" s="60">
        <v>64.28</v>
      </c>
      <c r="I63" s="60">
        <v>3.94</v>
      </c>
      <c r="J63" s="60">
        <v>1.23</v>
      </c>
      <c r="K63" s="60">
        <v>178.86</v>
      </c>
      <c r="L63" s="60">
        <v>54.63</v>
      </c>
      <c r="M63" s="60">
        <v>14.36</v>
      </c>
      <c r="N63" s="60">
        <v>817.40</v>
      </c>
      <c r="O63" s="60">
        <v>0</v>
      </c>
      <c r="P63" s="60">
        <v>1.56</v>
      </c>
      <c r="Q63" s="60">
        <v>56.01</v>
      </c>
      <c r="R63" s="198"/>
      <c r="S63" s="198"/>
      <c r="T63" s="198"/>
      <c r="U63" s="198"/>
    </row>
    <row r="64" spans="1:21" s="12" customFormat="1" ht="15">
      <c r="A64" s="201" t="s">
        <v>492</v>
      </c>
      <c r="B64" s="60">
        <v>0.19</v>
      </c>
      <c r="C64" s="60">
        <v>33.020000000000003</v>
      </c>
      <c r="D64" s="60">
        <v>33.21</v>
      </c>
      <c r="E64" s="60">
        <v>7.06</v>
      </c>
      <c r="F64" s="60">
        <v>12.66</v>
      </c>
      <c r="G64" s="60">
        <v>159.69</v>
      </c>
      <c r="H64" s="60">
        <v>64.28</v>
      </c>
      <c r="I64" s="60">
        <v>2.4700000000000002</v>
      </c>
      <c r="J64" s="60">
        <v>1.75</v>
      </c>
      <c r="K64" s="60">
        <v>116.64</v>
      </c>
      <c r="L64" s="60">
        <v>53.74</v>
      </c>
      <c r="M64" s="60">
        <v>14.75</v>
      </c>
      <c r="N64" s="60">
        <v>777.80</v>
      </c>
      <c r="O64" s="60">
        <v>0</v>
      </c>
      <c r="P64" s="60">
        <v>1.31</v>
      </c>
      <c r="Q64" s="60">
        <v>56.81</v>
      </c>
      <c r="R64" s="198"/>
      <c r="S64" s="198"/>
      <c r="T64" s="198"/>
      <c r="U64" s="198"/>
    </row>
    <row r="65" spans="1:21" s="12" customFormat="1" ht="15">
      <c r="A65" s="201" t="s">
        <v>493</v>
      </c>
      <c r="B65" s="60">
        <v>0.18</v>
      </c>
      <c r="C65" s="60">
        <v>31.98</v>
      </c>
      <c r="D65" s="60">
        <v>32.159999999999997</v>
      </c>
      <c r="E65" s="60">
        <v>7.12</v>
      </c>
      <c r="F65" s="60">
        <v>10.89</v>
      </c>
      <c r="G65" s="60">
        <v>159.69</v>
      </c>
      <c r="H65" s="60">
        <v>64.28</v>
      </c>
      <c r="I65" s="60">
        <v>1.70</v>
      </c>
      <c r="J65" s="60">
        <v>3.09</v>
      </c>
      <c r="K65" s="60">
        <v>98.16</v>
      </c>
      <c r="L65" s="60">
        <v>55.46</v>
      </c>
      <c r="M65" s="60">
        <v>14.77</v>
      </c>
      <c r="N65" s="60">
        <v>767.30</v>
      </c>
      <c r="O65" s="60">
        <v>0</v>
      </c>
      <c r="P65" s="60">
        <v>1.34</v>
      </c>
      <c r="Q65" s="60">
        <v>56.53</v>
      </c>
      <c r="R65" s="198"/>
      <c r="S65" s="198"/>
      <c r="T65" s="198"/>
      <c r="U65" s="198"/>
    </row>
    <row r="66" spans="1:21" s="12" customFormat="1" ht="15">
      <c r="A66" s="201" t="s">
        <v>494</v>
      </c>
      <c r="B66" s="60">
        <v>0.20</v>
      </c>
      <c r="C66" s="60">
        <v>31.21</v>
      </c>
      <c r="D66" s="60">
        <v>31.41</v>
      </c>
      <c r="E66" s="60">
        <v>6.93</v>
      </c>
      <c r="F66" s="60">
        <v>9.93</v>
      </c>
      <c r="G66" s="60">
        <v>159.97</v>
      </c>
      <c r="H66" s="60">
        <v>55.06</v>
      </c>
      <c r="I66" s="9" t="s">
        <v>36</v>
      </c>
      <c r="J66" s="60">
        <v>2.02</v>
      </c>
      <c r="K66" s="60">
        <v>89.30</v>
      </c>
      <c r="L66" s="60">
        <v>54.35</v>
      </c>
      <c r="M66" s="60">
        <v>15.10</v>
      </c>
      <c r="N66" s="60">
        <v>720.70</v>
      </c>
      <c r="O66" s="60">
        <v>0</v>
      </c>
      <c r="P66" s="60">
        <v>1.43</v>
      </c>
      <c r="Q66" s="60">
        <v>56.12</v>
      </c>
      <c r="R66" s="198"/>
      <c r="S66" s="198"/>
      <c r="T66" s="198"/>
      <c r="U66" s="198"/>
    </row>
    <row r="67" spans="1:21" s="12" customFormat="1" ht="15">
      <c r="A67" s="201" t="s">
        <v>495</v>
      </c>
      <c r="B67" s="60">
        <v>0.24</v>
      </c>
      <c r="C67" s="60">
        <v>30.88</v>
      </c>
      <c r="D67" s="60">
        <v>31.12</v>
      </c>
      <c r="E67" s="60">
        <v>7.27</v>
      </c>
      <c r="F67" s="60">
        <v>12.42</v>
      </c>
      <c r="G67" s="60">
        <v>159.97999999999999</v>
      </c>
      <c r="H67" s="60">
        <v>51.90</v>
      </c>
      <c r="I67" s="9" t="s">
        <v>36</v>
      </c>
      <c r="J67" s="60">
        <v>2.11</v>
      </c>
      <c r="K67" s="60">
        <v>79.33</v>
      </c>
      <c r="L67" s="60">
        <v>54.92</v>
      </c>
      <c r="M67" s="60">
        <v>14.53</v>
      </c>
      <c r="N67" s="60">
        <v>693.30</v>
      </c>
      <c r="O67" s="60">
        <v>0</v>
      </c>
      <c r="P67" s="60">
        <v>1.44</v>
      </c>
      <c r="Q67" s="60">
        <v>56.24</v>
      </c>
      <c r="R67" s="198"/>
      <c r="S67" s="198"/>
      <c r="T67" s="198"/>
      <c r="U67" s="198"/>
    </row>
    <row r="68" spans="1:21" s="12" customFormat="1" ht="15">
      <c r="A68" s="201" t="s">
        <v>496</v>
      </c>
      <c r="B68" s="60">
        <v>0.26</v>
      </c>
      <c r="C68" s="60">
        <v>30.72</v>
      </c>
      <c r="D68" s="60">
        <v>30.97</v>
      </c>
      <c r="E68" s="60">
        <v>3.86</v>
      </c>
      <c r="F68" s="60">
        <v>8.67</v>
      </c>
      <c r="G68" s="60">
        <v>159.97999999999999</v>
      </c>
      <c r="H68" s="60">
        <v>51.90</v>
      </c>
      <c r="I68" s="9" t="s">
        <v>36</v>
      </c>
      <c r="J68" s="60">
        <v>2.09</v>
      </c>
      <c r="K68" s="60">
        <v>104.58</v>
      </c>
      <c r="L68" s="60">
        <v>56.07</v>
      </c>
      <c r="M68" s="60">
        <v>14.07</v>
      </c>
      <c r="N68" s="60">
        <v>652</v>
      </c>
      <c r="O68" s="60">
        <v>0</v>
      </c>
      <c r="P68" s="60">
        <v>1.48</v>
      </c>
      <c r="Q68" s="60">
        <v>59.08</v>
      </c>
      <c r="R68" s="198"/>
      <c r="S68" s="198"/>
      <c r="T68" s="198"/>
      <c r="U68" s="198"/>
    </row>
    <row r="69" spans="1:21" s="12" customFormat="1" ht="15">
      <c r="A69" s="201" t="s">
        <v>497</v>
      </c>
      <c r="B69" s="60">
        <v>0.18</v>
      </c>
      <c r="C69" s="60">
        <v>30.17</v>
      </c>
      <c r="D69" s="60">
        <v>30.35</v>
      </c>
      <c r="E69" s="60">
        <v>7.16</v>
      </c>
      <c r="F69" s="60">
        <v>9.08</v>
      </c>
      <c r="G69" s="60">
        <v>159.97999999999999</v>
      </c>
      <c r="H69" s="60">
        <v>51.90</v>
      </c>
      <c r="I69" s="9" t="s">
        <v>36</v>
      </c>
      <c r="J69" s="60">
        <v>3.05</v>
      </c>
      <c r="K69" s="60">
        <v>89.29</v>
      </c>
      <c r="L69" s="60">
        <v>55.04</v>
      </c>
      <c r="M69" s="60">
        <v>14.42</v>
      </c>
      <c r="N69" s="60">
        <v>599.79999999999995</v>
      </c>
      <c r="O69" s="60">
        <v>0</v>
      </c>
      <c r="P69" s="60">
        <v>1.47</v>
      </c>
      <c r="Q69" s="60">
        <v>59.15</v>
      </c>
      <c r="R69" s="198"/>
      <c r="S69" s="198"/>
      <c r="T69" s="198"/>
      <c r="U69" s="198"/>
    </row>
    <row r="70" spans="1:21" s="12" customFormat="1" ht="15">
      <c r="A70" s="201" t="s">
        <v>498</v>
      </c>
      <c r="B70" s="60">
        <v>0.21</v>
      </c>
      <c r="C70" s="60">
        <v>30.14</v>
      </c>
      <c r="D70" s="60">
        <v>30.35</v>
      </c>
      <c r="E70" s="60">
        <v>7.5</v>
      </c>
      <c r="F70" s="60">
        <v>9.42</v>
      </c>
      <c r="G70" s="60">
        <v>145.37</v>
      </c>
      <c r="H70" s="60">
        <v>49.23</v>
      </c>
      <c r="I70" s="9" t="s">
        <v>36</v>
      </c>
      <c r="J70" s="60">
        <v>2.2999999999999998</v>
      </c>
      <c r="K70" s="60">
        <v>100.11</v>
      </c>
      <c r="L70" s="60">
        <v>54.55</v>
      </c>
      <c r="M70" s="60">
        <v>14.11</v>
      </c>
      <c r="N70" s="60">
        <v>544</v>
      </c>
      <c r="O70" s="60">
        <v>0</v>
      </c>
      <c r="P70" s="60">
        <v>1.44</v>
      </c>
      <c r="Q70" s="60">
        <v>57.99</v>
      </c>
      <c r="R70" s="198"/>
      <c r="S70" s="198"/>
      <c r="T70" s="198"/>
      <c r="U70" s="198"/>
    </row>
    <row r="71" spans="1:21" s="12" customFormat="1" ht="15">
      <c r="A71" s="201" t="s">
        <v>499</v>
      </c>
      <c r="B71" s="60">
        <v>0.32</v>
      </c>
      <c r="C71" s="60">
        <v>30.44</v>
      </c>
      <c r="D71" s="60">
        <v>30.76</v>
      </c>
      <c r="E71" s="60">
        <v>7.61</v>
      </c>
      <c r="F71" s="60">
        <v>9.8800000000000008</v>
      </c>
      <c r="G71" s="60">
        <v>144.04</v>
      </c>
      <c r="H71" s="60">
        <v>48.31</v>
      </c>
      <c r="I71" s="9" t="s">
        <v>36</v>
      </c>
      <c r="J71" s="60">
        <v>1.06</v>
      </c>
      <c r="K71" s="60">
        <v>346.75</v>
      </c>
      <c r="L71" s="60">
        <v>55.27</v>
      </c>
      <c r="M71" s="60">
        <v>14.09</v>
      </c>
      <c r="N71" s="60">
        <v>489.5</v>
      </c>
      <c r="O71" s="60">
        <v>0</v>
      </c>
      <c r="P71" s="60">
        <v>1.42</v>
      </c>
      <c r="Q71" s="60">
        <v>56.65</v>
      </c>
      <c r="R71" s="198"/>
      <c r="S71" s="198"/>
      <c r="T71" s="198"/>
      <c r="U71" s="198"/>
    </row>
    <row r="72" spans="1:21" s="12" customFormat="1" ht="15">
      <c r="A72" s="201" t="s">
        <v>500</v>
      </c>
      <c r="B72" s="60">
        <v>0.42</v>
      </c>
      <c r="C72" s="60">
        <v>33.04</v>
      </c>
      <c r="D72" s="60">
        <v>33.46</v>
      </c>
      <c r="E72" s="60">
        <v>7.32</v>
      </c>
      <c r="F72" s="60">
        <v>9.51</v>
      </c>
      <c r="G72" s="60">
        <v>144.04</v>
      </c>
      <c r="H72" s="60">
        <v>48.31</v>
      </c>
      <c r="I72" s="9" t="s">
        <v>36</v>
      </c>
      <c r="J72" s="60">
        <v>2.21</v>
      </c>
      <c r="K72" s="60">
        <v>344.89</v>
      </c>
      <c r="L72" s="60">
        <v>52.26</v>
      </c>
      <c r="M72" s="60">
        <v>14.65</v>
      </c>
      <c r="N72" s="60">
        <v>430.80</v>
      </c>
      <c r="O72" s="60">
        <v>0</v>
      </c>
      <c r="P72" s="60">
        <v>1.5</v>
      </c>
      <c r="Q72" s="60">
        <v>56.10</v>
      </c>
      <c r="R72" s="198"/>
      <c r="S72" s="198"/>
      <c r="T72" s="198"/>
      <c r="U72" s="198"/>
    </row>
    <row r="73" spans="1:21" s="12" customFormat="1" ht="15">
      <c r="A73" s="201" t="s">
        <v>501</v>
      </c>
      <c r="B73" s="60">
        <v>0.44</v>
      </c>
      <c r="C73" s="60">
        <v>36.729999999999997</v>
      </c>
      <c r="D73" s="60">
        <v>37.17</v>
      </c>
      <c r="E73" s="60">
        <v>7.32</v>
      </c>
      <c r="F73" s="60">
        <v>9.39</v>
      </c>
      <c r="G73" s="60">
        <v>144.04</v>
      </c>
      <c r="H73" s="60">
        <v>48.31</v>
      </c>
      <c r="I73" s="9" t="s">
        <v>36</v>
      </c>
      <c r="J73" s="60">
        <v>1.1299999999999999</v>
      </c>
      <c r="K73" s="60">
        <v>249.61</v>
      </c>
      <c r="L73" s="60">
        <v>51.88</v>
      </c>
      <c r="M73" s="60">
        <v>14.5</v>
      </c>
      <c r="N73" s="60">
        <v>367.60</v>
      </c>
      <c r="O73" s="60">
        <v>0</v>
      </c>
      <c r="P73" s="60">
        <v>1.52</v>
      </c>
      <c r="Q73" s="60">
        <v>56.41</v>
      </c>
      <c r="R73" s="198"/>
      <c r="S73" s="198"/>
      <c r="T73" s="198"/>
      <c r="U73" s="198"/>
    </row>
    <row r="74" spans="1:21" s="12" customFormat="1" ht="15">
      <c r="A74" s="201" t="s">
        <v>502</v>
      </c>
      <c r="B74" s="60">
        <v>0.34</v>
      </c>
      <c r="C74" s="60">
        <v>37.99</v>
      </c>
      <c r="D74" s="60">
        <v>38.33</v>
      </c>
      <c r="E74" s="60">
        <v>7.22</v>
      </c>
      <c r="F74" s="60">
        <v>9.64</v>
      </c>
      <c r="G74" s="60">
        <v>169.21</v>
      </c>
      <c r="H74" s="60">
        <v>45.43</v>
      </c>
      <c r="I74" s="60">
        <v>0.01</v>
      </c>
      <c r="J74" s="60">
        <v>1.68</v>
      </c>
      <c r="K74" s="60">
        <v>335.25</v>
      </c>
      <c r="L74" s="60">
        <v>51.91</v>
      </c>
      <c r="M74" s="60">
        <v>15.51</v>
      </c>
      <c r="N74" s="60">
        <v>322.39999999999998</v>
      </c>
      <c r="O74" s="60">
        <v>0</v>
      </c>
      <c r="P74" s="60">
        <v>1.59</v>
      </c>
      <c r="Q74" s="60">
        <v>55.64</v>
      </c>
      <c r="R74" s="198"/>
      <c r="S74" s="198"/>
      <c r="T74" s="198"/>
      <c r="U74" s="198"/>
    </row>
    <row r="75" spans="1:21" s="12" customFormat="1" ht="15">
      <c r="A75" s="201" t="s">
        <v>503</v>
      </c>
      <c r="B75" s="60">
        <v>0.61</v>
      </c>
      <c r="C75" s="60">
        <v>42.73</v>
      </c>
      <c r="D75" s="60">
        <v>43.34</v>
      </c>
      <c r="E75" s="60">
        <v>7.28</v>
      </c>
      <c r="F75" s="60">
        <v>8.5</v>
      </c>
      <c r="G75" s="60">
        <v>169.59</v>
      </c>
      <c r="H75" s="60">
        <v>44.44</v>
      </c>
      <c r="I75" s="60">
        <v>0.01</v>
      </c>
      <c r="J75" s="60">
        <v>1.80</v>
      </c>
      <c r="K75" s="60">
        <v>342.31</v>
      </c>
      <c r="L75" s="60">
        <v>52.35</v>
      </c>
      <c r="M75" s="60">
        <v>16.809999999999999</v>
      </c>
      <c r="N75" s="60">
        <v>238.10</v>
      </c>
      <c r="O75" s="60">
        <v>0</v>
      </c>
      <c r="P75" s="60">
        <v>1.75</v>
      </c>
      <c r="Q75" s="60">
        <v>55.95</v>
      </c>
      <c r="R75" s="198"/>
      <c r="S75" s="198"/>
      <c r="T75" s="198"/>
      <c r="U75" s="198"/>
    </row>
    <row r="76" spans="1:21" s="12" customFormat="1" ht="15">
      <c r="A76" s="201" t="s">
        <v>504</v>
      </c>
      <c r="B76" s="60">
        <v>0.64</v>
      </c>
      <c r="C76" s="60">
        <v>46.59</v>
      </c>
      <c r="D76" s="60">
        <v>47.23</v>
      </c>
      <c r="E76" s="60">
        <v>7.14</v>
      </c>
      <c r="F76" s="60">
        <v>8.02</v>
      </c>
      <c r="G76" s="60">
        <v>169.59</v>
      </c>
      <c r="H76" s="60">
        <v>44.44</v>
      </c>
      <c r="I76" s="9" t="s">
        <v>36</v>
      </c>
      <c r="J76" s="60">
        <v>1.65</v>
      </c>
      <c r="K76" s="60">
        <v>61.39</v>
      </c>
      <c r="L76" s="60">
        <v>51.81</v>
      </c>
      <c r="M76" s="60">
        <v>14.98</v>
      </c>
      <c r="N76" s="60">
        <v>192.40</v>
      </c>
      <c r="O76" s="60">
        <v>0</v>
      </c>
      <c r="P76" s="60">
        <v>1.62</v>
      </c>
      <c r="Q76" s="60">
        <v>56.42</v>
      </c>
      <c r="R76" s="198"/>
      <c r="S76" s="198"/>
      <c r="T76" s="198"/>
      <c r="U76" s="198"/>
    </row>
    <row r="77" spans="1:21" s="12" customFormat="1" ht="15">
      <c r="A77" s="201" t="s">
        <v>505</v>
      </c>
      <c r="B77" s="60">
        <v>0.45</v>
      </c>
      <c r="C77" s="60">
        <v>46.09</v>
      </c>
      <c r="D77" s="60">
        <v>46.54</v>
      </c>
      <c r="E77" s="60">
        <v>7.06</v>
      </c>
      <c r="F77" s="60">
        <v>8.42</v>
      </c>
      <c r="G77" s="60">
        <v>169.59</v>
      </c>
      <c r="H77" s="60">
        <v>44.44</v>
      </c>
      <c r="I77" s="9" t="s">
        <v>36</v>
      </c>
      <c r="J77" s="60">
        <v>1.20</v>
      </c>
      <c r="K77" s="60">
        <v>70.790000000000006</v>
      </c>
      <c r="L77" s="60">
        <v>51.16</v>
      </c>
      <c r="M77" s="60">
        <v>16.68</v>
      </c>
      <c r="N77" s="60">
        <v>166.90</v>
      </c>
      <c r="O77" s="60">
        <v>0</v>
      </c>
      <c r="P77" s="60">
        <v>1.53</v>
      </c>
      <c r="Q77" s="60">
        <v>55.67</v>
      </c>
      <c r="R77" s="198"/>
      <c r="S77" s="198"/>
      <c r="T77" s="198"/>
      <c r="U77" s="198"/>
    </row>
    <row r="78" spans="1:21" s="12" customFormat="1" ht="15">
      <c r="A78" s="201" t="s">
        <v>506</v>
      </c>
      <c r="B78" s="60">
        <v>0.47</v>
      </c>
      <c r="C78" s="60">
        <v>49.05</v>
      </c>
      <c r="D78" s="60">
        <v>49.52</v>
      </c>
      <c r="E78" s="60">
        <v>6.94</v>
      </c>
      <c r="F78" s="60">
        <v>6.68</v>
      </c>
      <c r="G78" s="60">
        <v>155.38999999999999</v>
      </c>
      <c r="H78" s="60">
        <v>45.14</v>
      </c>
      <c r="I78" s="9" t="s">
        <v>36</v>
      </c>
      <c r="J78" s="60">
        <v>2.2400000000000002</v>
      </c>
      <c r="K78" s="60">
        <v>76.180000000000007</v>
      </c>
      <c r="L78" s="60">
        <v>46.36</v>
      </c>
      <c r="M78" s="60">
        <v>19.149999999999999</v>
      </c>
      <c r="N78" s="60">
        <v>160.80000000000001</v>
      </c>
      <c r="O78" s="60">
        <v>0</v>
      </c>
      <c r="P78" s="60">
        <v>1.52</v>
      </c>
      <c r="Q78" s="60">
        <v>54.93</v>
      </c>
      <c r="R78" s="198"/>
      <c r="S78" s="198"/>
      <c r="T78" s="198"/>
      <c r="U78" s="198"/>
    </row>
    <row r="79" spans="1:21" s="12" customFormat="1" ht="15">
      <c r="A79" s="201" t="s">
        <v>507</v>
      </c>
      <c r="B79" s="60">
        <v>0.76</v>
      </c>
      <c r="C79" s="60">
        <v>55.46</v>
      </c>
      <c r="D79" s="60">
        <v>56.22</v>
      </c>
      <c r="E79" s="60">
        <v>6.80</v>
      </c>
      <c r="F79" s="60">
        <v>5.03</v>
      </c>
      <c r="G79" s="60">
        <v>155.16999999999999</v>
      </c>
      <c r="H79" s="60">
        <v>45.38</v>
      </c>
      <c r="I79" s="9" t="s">
        <v>36</v>
      </c>
      <c r="J79" s="60">
        <v>1.22</v>
      </c>
      <c r="K79" s="60">
        <v>122.91</v>
      </c>
      <c r="L79" s="60">
        <v>45.60</v>
      </c>
      <c r="M79" s="60">
        <v>20.399999999999999</v>
      </c>
      <c r="N79" s="60">
        <v>143.5</v>
      </c>
      <c r="O79" s="60">
        <v>0</v>
      </c>
      <c r="P79" s="60">
        <v>1.76</v>
      </c>
      <c r="Q79" s="60">
        <v>52.52</v>
      </c>
      <c r="R79" s="198"/>
      <c r="S79" s="198"/>
      <c r="T79" s="198"/>
      <c r="U79" s="198"/>
    </row>
    <row r="80" spans="1:21" s="12" customFormat="1" ht="15">
      <c r="A80" s="201" t="s">
        <v>508</v>
      </c>
      <c r="B80" s="60">
        <v>2.46</v>
      </c>
      <c r="C80" s="60">
        <v>64.72</v>
      </c>
      <c r="D80" s="60">
        <v>67.180000000000007</v>
      </c>
      <c r="E80" s="60">
        <v>6.22</v>
      </c>
      <c r="F80" s="60">
        <v>2.83</v>
      </c>
      <c r="G80" s="60">
        <v>155.16999999999999</v>
      </c>
      <c r="H80" s="60">
        <v>45.38</v>
      </c>
      <c r="I80" s="60">
        <v>0.45</v>
      </c>
      <c r="J80" s="60">
        <v>1.68</v>
      </c>
      <c r="K80" s="60">
        <v>59.01</v>
      </c>
      <c r="L80" s="60">
        <v>44.43</v>
      </c>
      <c r="M80" s="60">
        <v>25.24</v>
      </c>
      <c r="N80" s="60">
        <v>120.70</v>
      </c>
      <c r="O80" s="60">
        <v>0</v>
      </c>
      <c r="P80" s="60">
        <v>2.67</v>
      </c>
      <c r="Q80" s="60">
        <v>56.40</v>
      </c>
      <c r="R80" s="198"/>
      <c r="S80" s="198"/>
      <c r="T80" s="198"/>
      <c r="U80" s="198"/>
    </row>
    <row r="81" spans="1:21" s="12" customFormat="1" ht="15">
      <c r="A81" s="201" t="s">
        <v>509</v>
      </c>
      <c r="B81" s="60">
        <v>4.63</v>
      </c>
      <c r="C81" s="60">
        <v>73.33</v>
      </c>
      <c r="D81" s="60">
        <v>77.97</v>
      </c>
      <c r="E81" s="60">
        <v>6.69</v>
      </c>
      <c r="F81" s="60">
        <v>1.63</v>
      </c>
      <c r="G81" s="60">
        <v>155.16999999999999</v>
      </c>
      <c r="H81" s="60">
        <v>45.38</v>
      </c>
      <c r="I81" s="60">
        <v>6.03</v>
      </c>
      <c r="J81" s="60">
        <v>2.0099999999999998</v>
      </c>
      <c r="K81" s="60">
        <v>75.41</v>
      </c>
      <c r="L81" s="60">
        <v>41.86</v>
      </c>
      <c r="M81" s="60">
        <v>34.25</v>
      </c>
      <c r="N81" s="60">
        <v>97.10</v>
      </c>
      <c r="O81" s="60">
        <v>0</v>
      </c>
      <c r="P81" s="60">
        <v>2.65</v>
      </c>
      <c r="Q81" s="60">
        <v>62.16</v>
      </c>
      <c r="R81" s="198"/>
      <c r="S81" s="198"/>
      <c r="T81" s="198"/>
      <c r="U81" s="198"/>
    </row>
    <row r="82" spans="1:21" s="12" customFormat="1" ht="15">
      <c r="A82" s="201" t="s">
        <v>510</v>
      </c>
      <c r="B82" s="60">
        <v>6.39</v>
      </c>
      <c r="C82" s="60">
        <v>79.83</v>
      </c>
      <c r="D82" s="60">
        <v>86.22</v>
      </c>
      <c r="E82" s="60">
        <v>6.78</v>
      </c>
      <c r="F82" s="60">
        <v>1.20</v>
      </c>
      <c r="G82" s="60">
        <v>251.42</v>
      </c>
      <c r="H82" s="60">
        <v>52.35</v>
      </c>
      <c r="I82" s="60">
        <v>11.73</v>
      </c>
      <c r="J82" s="60">
        <v>2</v>
      </c>
      <c r="K82" s="60">
        <v>79.88</v>
      </c>
      <c r="L82" s="60">
        <v>41.28</v>
      </c>
      <c r="M82" s="60">
        <v>31.65</v>
      </c>
      <c r="N82" s="60">
        <v>81.30</v>
      </c>
      <c r="O82" s="60">
        <v>0</v>
      </c>
      <c r="P82" s="60">
        <v>2.2999999999999998</v>
      </c>
      <c r="Q82" s="60">
        <v>65.569999999999993</v>
      </c>
      <c r="R82" s="198"/>
      <c r="S82" s="198"/>
      <c r="T82" s="198"/>
      <c r="U82" s="198"/>
    </row>
    <row r="83" spans="1:21" s="12" customFormat="1" ht="15">
      <c r="A83" s="201" t="s">
        <v>511</v>
      </c>
      <c r="B83" s="60">
        <v>9.91</v>
      </c>
      <c r="C83" s="60">
        <v>84.99</v>
      </c>
      <c r="D83" s="60">
        <v>94.89</v>
      </c>
      <c r="E83" s="60">
        <v>6.5</v>
      </c>
      <c r="F83" s="60">
        <v>1.01</v>
      </c>
      <c r="G83" s="60">
        <v>255.79</v>
      </c>
      <c r="H83" s="60">
        <v>54.74</v>
      </c>
      <c r="I83" s="60">
        <v>13.49</v>
      </c>
      <c r="J83" s="60">
        <v>1</v>
      </c>
      <c r="K83" s="60">
        <v>36.03</v>
      </c>
      <c r="L83" s="60">
        <v>39.96</v>
      </c>
      <c r="M83" s="60">
        <v>40.18</v>
      </c>
      <c r="N83" s="60">
        <v>74.099999999999994</v>
      </c>
      <c r="O83" s="60">
        <v>0</v>
      </c>
      <c r="P83" s="60">
        <v>4.7300000000000004</v>
      </c>
      <c r="Q83" s="60">
        <v>70.599999999999994</v>
      </c>
      <c r="R83" s="198"/>
      <c r="S83" s="198"/>
      <c r="T83" s="198"/>
      <c r="U83" s="198"/>
    </row>
    <row r="84" spans="1:21" s="12" customFormat="1" ht="15">
      <c r="A84" s="201" t="s">
        <v>512</v>
      </c>
      <c r="B84" s="60">
        <v>17.47</v>
      </c>
      <c r="C84" s="60">
        <v>88.73</v>
      </c>
      <c r="D84" s="60">
        <v>106.20</v>
      </c>
      <c r="E84" s="60">
        <v>3.36</v>
      </c>
      <c r="F84" s="60">
        <v>0.56999999999999995</v>
      </c>
      <c r="G84" s="60">
        <v>255.79</v>
      </c>
      <c r="H84" s="60">
        <v>54.74</v>
      </c>
      <c r="I84" s="60">
        <v>14.25</v>
      </c>
      <c r="J84" s="60">
        <v>1.17</v>
      </c>
      <c r="K84" s="60">
        <v>245.14</v>
      </c>
      <c r="L84" s="60">
        <v>39.75</v>
      </c>
      <c r="M84" s="60">
        <v>37.090000000000003</v>
      </c>
      <c r="N84" s="60">
        <v>73.20</v>
      </c>
      <c r="O84" s="60">
        <v>0</v>
      </c>
      <c r="P84" s="60">
        <v>4.13</v>
      </c>
      <c r="Q84" s="60">
        <v>75.849999999999994</v>
      </c>
      <c r="R84" s="198"/>
      <c r="S84" s="198"/>
      <c r="T84" s="198"/>
      <c r="U84" s="198"/>
    </row>
    <row r="85" spans="1:21" s="12" customFormat="1" ht="15">
      <c r="A85" s="201" t="s">
        <v>513</v>
      </c>
      <c r="B85" s="60">
        <v>29.47</v>
      </c>
      <c r="C85" s="60">
        <v>92.68</v>
      </c>
      <c r="D85" s="60">
        <v>122.15</v>
      </c>
      <c r="E85" s="60">
        <v>6.75</v>
      </c>
      <c r="F85" s="60">
        <v>0.05</v>
      </c>
      <c r="G85" s="60">
        <v>255.79</v>
      </c>
      <c r="H85" s="60">
        <v>54.74</v>
      </c>
      <c r="I85" s="60">
        <v>21.39</v>
      </c>
      <c r="J85" s="60">
        <v>1.53</v>
      </c>
      <c r="K85" s="60">
        <v>43.92</v>
      </c>
      <c r="L85" s="60">
        <v>40.51</v>
      </c>
      <c r="M85" s="60">
        <v>32.369999999999997</v>
      </c>
      <c r="N85" s="60">
        <v>73</v>
      </c>
      <c r="O85" s="60">
        <v>0</v>
      </c>
      <c r="P85" s="60">
        <v>4.70</v>
      </c>
      <c r="Q85" s="60">
        <v>83.06</v>
      </c>
      <c r="R85" s="198"/>
      <c r="S85" s="198"/>
      <c r="T85" s="198"/>
      <c r="U85" s="198"/>
    </row>
    <row r="86" spans="1:21" s="12" customFormat="1" ht="15">
      <c r="A86" s="201" t="s">
        <v>514</v>
      </c>
      <c r="B86" s="60">
        <v>45.97</v>
      </c>
      <c r="C86" s="60">
        <v>95.45</v>
      </c>
      <c r="D86" s="60">
        <v>141.41999999999999</v>
      </c>
      <c r="E86" s="60">
        <v>6.80</v>
      </c>
      <c r="F86" s="6" t="s">
        <v>42</v>
      </c>
      <c r="G86" s="60">
        <v>430.02</v>
      </c>
      <c r="H86" s="60">
        <v>62.18</v>
      </c>
      <c r="I86" s="60">
        <v>20.63</v>
      </c>
      <c r="J86" s="60">
        <v>1.61</v>
      </c>
      <c r="K86" s="60">
        <v>101.5</v>
      </c>
      <c r="L86" s="60">
        <v>40.590000000000003</v>
      </c>
      <c r="M86" s="60">
        <v>34.15</v>
      </c>
      <c r="N86" s="60">
        <v>72.599999999999994</v>
      </c>
      <c r="O86" s="60">
        <v>0</v>
      </c>
      <c r="P86" s="60">
        <v>4.46</v>
      </c>
      <c r="Q86" s="60">
        <v>94.59</v>
      </c>
      <c r="R86" s="198"/>
      <c r="S86" s="198"/>
      <c r="T86" s="198"/>
      <c r="U86" s="198"/>
    </row>
    <row r="87" spans="1:21" s="12" customFormat="1" ht="15">
      <c r="A87" s="201" t="s">
        <v>515</v>
      </c>
      <c r="B87" s="60">
        <v>58.70</v>
      </c>
      <c r="C87" s="60">
        <v>97.45</v>
      </c>
      <c r="D87" s="60">
        <v>156.15</v>
      </c>
      <c r="E87" s="60">
        <v>7.20</v>
      </c>
      <c r="F87" s="6" t="s">
        <v>42</v>
      </c>
      <c r="G87" s="60">
        <v>434.07</v>
      </c>
      <c r="H87" s="60">
        <v>64.73</v>
      </c>
      <c r="I87" s="60">
        <v>27.04</v>
      </c>
      <c r="J87" s="60">
        <v>0.95</v>
      </c>
      <c r="K87" s="60">
        <v>326.99</v>
      </c>
      <c r="L87" s="60">
        <v>40.409999999999997</v>
      </c>
      <c r="M87" s="60">
        <v>35.40</v>
      </c>
      <c r="N87" s="60">
        <v>72.599999999999994</v>
      </c>
      <c r="O87" s="60">
        <v>0</v>
      </c>
      <c r="P87" s="60">
        <v>4.87</v>
      </c>
      <c r="Q87" s="60">
        <v>101.55</v>
      </c>
      <c r="R87" s="198"/>
      <c r="S87" s="198"/>
      <c r="T87" s="198"/>
      <c r="U87" s="198"/>
    </row>
    <row r="88" spans="1:21" s="12" customFormat="1" ht="15">
      <c r="A88" s="201" t="s">
        <v>516</v>
      </c>
      <c r="B88" s="60">
        <v>88.69</v>
      </c>
      <c r="C88" s="60">
        <v>101.80</v>
      </c>
      <c r="D88" s="60">
        <v>190.48</v>
      </c>
      <c r="E88" s="60">
        <v>7.95</v>
      </c>
      <c r="F88" s="6" t="s">
        <v>42</v>
      </c>
      <c r="G88" s="60">
        <v>434.07</v>
      </c>
      <c r="H88" s="60">
        <v>64.73</v>
      </c>
      <c r="I88" s="60">
        <v>25.85</v>
      </c>
      <c r="J88" s="60">
        <v>2.17</v>
      </c>
      <c r="K88" s="60">
        <v>65.31</v>
      </c>
      <c r="L88" s="60">
        <v>40.409999999999997</v>
      </c>
      <c r="M88" s="60">
        <v>34.28</v>
      </c>
      <c r="N88" s="60">
        <v>72.099999999999994</v>
      </c>
      <c r="O88" s="60">
        <v>0</v>
      </c>
      <c r="P88" s="60">
        <v>4.5199999999999996</v>
      </c>
      <c r="Q88" s="60">
        <v>116.88</v>
      </c>
      <c r="R88" s="198"/>
      <c r="S88" s="198"/>
      <c r="T88" s="198"/>
      <c r="U88" s="198"/>
    </row>
    <row r="89" spans="1:21" s="12" customFormat="1" ht="15">
      <c r="A89" s="201" t="s">
        <v>517</v>
      </c>
      <c r="B89" s="60">
        <v>104.38</v>
      </c>
      <c r="C89" s="60">
        <v>103.78</v>
      </c>
      <c r="D89" s="60">
        <v>208.17</v>
      </c>
      <c r="E89" s="60">
        <v>7.84</v>
      </c>
      <c r="F89" s="6" t="s">
        <v>42</v>
      </c>
      <c r="G89" s="60">
        <v>434.07</v>
      </c>
      <c r="H89" s="60">
        <v>64.73</v>
      </c>
      <c r="I89" s="60">
        <v>28.66</v>
      </c>
      <c r="J89" s="60">
        <v>1.81</v>
      </c>
      <c r="K89" s="60">
        <v>12.70</v>
      </c>
      <c r="L89" s="60">
        <v>40.17</v>
      </c>
      <c r="M89" s="60">
        <v>39.58</v>
      </c>
      <c r="N89" s="60">
        <v>72.80</v>
      </c>
      <c r="O89" s="60">
        <v>0</v>
      </c>
      <c r="P89" s="60">
        <v>6.31</v>
      </c>
      <c r="Q89" s="60">
        <v>123.97</v>
      </c>
      <c r="R89" s="198"/>
      <c r="S89" s="198"/>
      <c r="T89" s="198"/>
      <c r="U89" s="198"/>
    </row>
    <row r="90" spans="1:21" s="12" customFormat="1" ht="15">
      <c r="A90" s="201" t="s">
        <v>518</v>
      </c>
      <c r="B90" s="60">
        <v>118.61</v>
      </c>
      <c r="C90" s="60">
        <v>104.77</v>
      </c>
      <c r="D90" s="60">
        <v>223.38</v>
      </c>
      <c r="E90" s="60">
        <v>8.32</v>
      </c>
      <c r="F90" s="6" t="s">
        <v>42</v>
      </c>
      <c r="G90" s="60">
        <v>478.68</v>
      </c>
      <c r="H90" s="60">
        <v>73.39</v>
      </c>
      <c r="I90" s="60">
        <v>25.17</v>
      </c>
      <c r="J90" s="60">
        <v>1.29</v>
      </c>
      <c r="K90" s="60">
        <v>37.659999999999997</v>
      </c>
      <c r="L90" s="60">
        <v>39.85</v>
      </c>
      <c r="M90" s="60">
        <v>39.549999999999997</v>
      </c>
      <c r="N90" s="60">
        <v>72.20</v>
      </c>
      <c r="O90" s="60">
        <v>0</v>
      </c>
      <c r="P90" s="60">
        <v>6.10</v>
      </c>
      <c r="Q90" s="60">
        <v>128.22</v>
      </c>
      <c r="R90" s="198"/>
      <c r="S90" s="198"/>
      <c r="T90" s="198"/>
      <c r="U90" s="198"/>
    </row>
    <row r="91" spans="1:21" s="12" customFormat="1" ht="15">
      <c r="A91" s="201" t="s">
        <v>519</v>
      </c>
      <c r="B91" s="60">
        <v>119.75</v>
      </c>
      <c r="C91" s="60">
        <v>103.40</v>
      </c>
      <c r="D91" s="60">
        <v>223.14</v>
      </c>
      <c r="E91" s="60">
        <v>8.08</v>
      </c>
      <c r="F91" s="6" t="s">
        <v>42</v>
      </c>
      <c r="G91" s="60">
        <v>479.37</v>
      </c>
      <c r="H91" s="60">
        <v>76.37</v>
      </c>
      <c r="I91" s="60">
        <v>35.94</v>
      </c>
      <c r="J91" s="60">
        <v>1.47</v>
      </c>
      <c r="K91" s="60">
        <v>225.64</v>
      </c>
      <c r="L91" s="60">
        <v>40.51</v>
      </c>
      <c r="M91" s="60">
        <v>35.74</v>
      </c>
      <c r="N91" s="60">
        <v>71.5</v>
      </c>
      <c r="O91" s="60">
        <v>0</v>
      </c>
      <c r="P91" s="60">
        <v>6</v>
      </c>
      <c r="Q91" s="60">
        <v>130.26</v>
      </c>
      <c r="R91" s="198"/>
      <c r="S91" s="198"/>
      <c r="T91" s="198"/>
      <c r="U91" s="198"/>
    </row>
    <row r="92" spans="1:21" s="12" customFormat="1" ht="15">
      <c r="A92" s="201" t="s">
        <v>520</v>
      </c>
      <c r="B92" s="60">
        <v>118.78</v>
      </c>
      <c r="C92" s="60">
        <v>103.13</v>
      </c>
      <c r="D92" s="60">
        <v>221.91</v>
      </c>
      <c r="E92" s="60">
        <v>8.06</v>
      </c>
      <c r="F92" s="6" t="s">
        <v>42</v>
      </c>
      <c r="G92" s="60">
        <v>479.37</v>
      </c>
      <c r="H92" s="60">
        <v>76.37</v>
      </c>
      <c r="I92" s="60">
        <v>34.020000000000003</v>
      </c>
      <c r="J92" s="60">
        <v>1.49</v>
      </c>
      <c r="K92" s="60">
        <v>254.45</v>
      </c>
      <c r="L92" s="60">
        <v>40.67</v>
      </c>
      <c r="M92" s="60">
        <v>37.869999999999997</v>
      </c>
      <c r="N92" s="60">
        <v>74.30</v>
      </c>
      <c r="O92" s="60">
        <v>0</v>
      </c>
      <c r="P92" s="60">
        <v>7.03</v>
      </c>
      <c r="Q92" s="60">
        <v>132.28</v>
      </c>
      <c r="R92" s="198"/>
      <c r="S92" s="198"/>
      <c r="T92" s="198"/>
      <c r="U92" s="198"/>
    </row>
    <row r="93" spans="1:21" s="12" customFormat="1" ht="15">
      <c r="A93" s="201" t="s">
        <v>521</v>
      </c>
      <c r="B93" s="60">
        <v>121.08</v>
      </c>
      <c r="C93" s="60">
        <v>102.41</v>
      </c>
      <c r="D93" s="60">
        <v>223.49</v>
      </c>
      <c r="E93" s="60">
        <v>8.2899999999999991</v>
      </c>
      <c r="F93" s="6" t="s">
        <v>42</v>
      </c>
      <c r="G93" s="60">
        <v>479.37</v>
      </c>
      <c r="H93" s="60">
        <v>76.37</v>
      </c>
      <c r="I93" s="60">
        <v>37.69</v>
      </c>
      <c r="J93" s="60">
        <v>0.57999999999999996</v>
      </c>
      <c r="K93" s="60">
        <v>211.52</v>
      </c>
      <c r="L93" s="60">
        <v>40.67</v>
      </c>
      <c r="M93" s="60">
        <v>33.08</v>
      </c>
      <c r="N93" s="60">
        <v>75</v>
      </c>
      <c r="O93" s="60">
        <v>0</v>
      </c>
      <c r="P93" s="60">
        <v>5.54</v>
      </c>
      <c r="Q93" s="60">
        <v>132.44999999999999</v>
      </c>
      <c r="R93" s="198"/>
      <c r="S93" s="198"/>
      <c r="T93" s="198"/>
      <c r="U93" s="198"/>
    </row>
    <row r="94" spans="1:21" s="12" customFormat="1" ht="15">
      <c r="A94" s="201" t="s">
        <v>522</v>
      </c>
      <c r="B94" s="60">
        <v>116.10</v>
      </c>
      <c r="C94" s="60">
        <v>99.32</v>
      </c>
      <c r="D94" s="60">
        <v>215.42</v>
      </c>
      <c r="E94" s="60">
        <v>8.49</v>
      </c>
      <c r="F94" s="6" t="s">
        <v>42</v>
      </c>
      <c r="G94" s="60">
        <v>371.23</v>
      </c>
      <c r="H94" s="60">
        <v>85.04</v>
      </c>
      <c r="I94" s="60">
        <v>42.22</v>
      </c>
      <c r="J94" s="60">
        <v>2.74</v>
      </c>
      <c r="K94" s="60">
        <v>171.04</v>
      </c>
      <c r="L94" s="60">
        <v>42.18</v>
      </c>
      <c r="M94" s="60">
        <v>26.93</v>
      </c>
      <c r="N94" s="60">
        <v>72.900000000000006</v>
      </c>
      <c r="O94" s="60">
        <v>0</v>
      </c>
      <c r="P94" s="60">
        <v>4.8600000000000003</v>
      </c>
      <c r="Q94" s="60">
        <v>129.41999999999999</v>
      </c>
      <c r="R94" s="198"/>
      <c r="S94" s="198"/>
      <c r="T94" s="198"/>
      <c r="U94" s="198"/>
    </row>
    <row r="95" spans="1:21" s="12" customFormat="1" ht="15">
      <c r="A95" s="201" t="s">
        <v>523</v>
      </c>
      <c r="B95" s="60">
        <v>102.5</v>
      </c>
      <c r="C95" s="60">
        <v>94.96</v>
      </c>
      <c r="D95" s="60">
        <v>197.46</v>
      </c>
      <c r="E95" s="60">
        <v>8.02</v>
      </c>
      <c r="F95" s="60">
        <v>0.01</v>
      </c>
      <c r="G95" s="60">
        <v>369.59</v>
      </c>
      <c r="H95" s="60">
        <v>88.20</v>
      </c>
      <c r="I95" s="60">
        <v>27.57</v>
      </c>
      <c r="J95" s="60">
        <v>2.76</v>
      </c>
      <c r="K95" s="60">
        <v>162.97999999999999</v>
      </c>
      <c r="L95" s="60">
        <v>42.18</v>
      </c>
      <c r="M95" s="60">
        <v>24.72</v>
      </c>
      <c r="N95" s="60">
        <v>73.900000000000006</v>
      </c>
      <c r="O95" s="60">
        <v>0</v>
      </c>
      <c r="P95" s="60">
        <v>3.30</v>
      </c>
      <c r="Q95" s="60">
        <v>125.24</v>
      </c>
      <c r="R95" s="198"/>
      <c r="S95" s="198"/>
      <c r="T95" s="198"/>
      <c r="U95" s="198"/>
    </row>
    <row r="96" spans="1:26" s="12" customFormat="1" ht="15">
      <c r="A96" s="201" t="s">
        <v>524</v>
      </c>
      <c r="B96" s="60">
        <v>91.11</v>
      </c>
      <c r="C96" s="60">
        <v>87.16</v>
      </c>
      <c r="D96" s="60">
        <v>178.27</v>
      </c>
      <c r="E96" s="60">
        <v>7.82</v>
      </c>
      <c r="F96" s="60">
        <v>0.63</v>
      </c>
      <c r="G96" s="60">
        <v>369.59</v>
      </c>
      <c r="H96" s="60">
        <v>88.20</v>
      </c>
      <c r="I96" s="60">
        <v>21.56</v>
      </c>
      <c r="J96" s="60">
        <v>0.87</v>
      </c>
      <c r="K96" s="60">
        <v>149.63999999999999</v>
      </c>
      <c r="L96" s="60">
        <v>43.24</v>
      </c>
      <c r="M96" s="60">
        <v>24.58</v>
      </c>
      <c r="N96" s="60">
        <v>73.5</v>
      </c>
      <c r="O96" s="60">
        <v>0</v>
      </c>
      <c r="P96" s="60">
        <v>2.97</v>
      </c>
      <c r="Q96" s="60">
        <v>108.67</v>
      </c>
      <c r="R96" s="198"/>
      <c r="S96" s="198"/>
      <c r="T96" s="198"/>
      <c r="U96" s="198"/>
      <c r="Z96" s="109"/>
    </row>
    <row r="97" spans="1:21" s="12" customFormat="1" ht="15">
      <c r="A97" s="201" t="s">
        <v>525</v>
      </c>
      <c r="B97" s="60">
        <v>84.56</v>
      </c>
      <c r="C97" s="60">
        <v>90.33</v>
      </c>
      <c r="D97" s="60">
        <v>174.89</v>
      </c>
      <c r="E97" s="60">
        <v>7.58</v>
      </c>
      <c r="F97" s="60">
        <v>0.77</v>
      </c>
      <c r="G97" s="60">
        <v>369.59</v>
      </c>
      <c r="H97" s="60">
        <v>88.20</v>
      </c>
      <c r="I97" s="60">
        <v>12.38</v>
      </c>
      <c r="J97" s="60">
        <v>2.08</v>
      </c>
      <c r="K97" s="60">
        <v>61.71</v>
      </c>
      <c r="L97" s="60">
        <v>43.77</v>
      </c>
      <c r="M97" s="60">
        <v>27.74</v>
      </c>
      <c r="N97" s="60">
        <v>75.099999999999994</v>
      </c>
      <c r="O97" s="60">
        <v>0</v>
      </c>
      <c r="P97" s="60">
        <v>2.89</v>
      </c>
      <c r="Q97" s="60">
        <v>98.54</v>
      </c>
      <c r="R97" s="198"/>
      <c r="S97" s="198"/>
      <c r="T97" s="198"/>
      <c r="U97" s="198"/>
    </row>
    <row r="98" spans="1:21" s="12" customFormat="1" ht="15">
      <c r="A98" s="201" t="s">
        <v>526</v>
      </c>
      <c r="B98" s="60">
        <v>78.599999999999994</v>
      </c>
      <c r="C98" s="60">
        <v>89.39</v>
      </c>
      <c r="D98" s="60">
        <v>167.99</v>
      </c>
      <c r="E98" s="60">
        <v>7.53</v>
      </c>
      <c r="F98" s="60">
        <v>0.79</v>
      </c>
      <c r="G98" s="60">
        <v>232.05</v>
      </c>
      <c r="H98" s="60">
        <v>75.650000000000006</v>
      </c>
      <c r="I98" s="60">
        <v>12.44</v>
      </c>
      <c r="J98" s="60">
        <v>0.66</v>
      </c>
      <c r="K98" s="60">
        <v>159.86000000000001</v>
      </c>
      <c r="L98" s="60">
        <v>45.01</v>
      </c>
      <c r="M98" s="60">
        <v>28.76</v>
      </c>
      <c r="N98" s="60">
        <v>79</v>
      </c>
      <c r="O98" s="60">
        <v>0</v>
      </c>
      <c r="P98" s="60">
        <v>2.94</v>
      </c>
      <c r="Q98" s="60">
        <v>100.27</v>
      </c>
      <c r="R98" s="198"/>
      <c r="S98" s="198"/>
      <c r="T98" s="198"/>
      <c r="U98" s="198"/>
    </row>
    <row r="99" spans="1:21" s="12" customFormat="1" ht="15">
      <c r="A99" s="201" t="s">
        <v>527</v>
      </c>
      <c r="B99" s="60">
        <v>73.02</v>
      </c>
      <c r="C99" s="60">
        <v>86.42</v>
      </c>
      <c r="D99" s="60">
        <v>159.44</v>
      </c>
      <c r="E99" s="60">
        <v>7.86</v>
      </c>
      <c r="F99" s="60">
        <v>0.37</v>
      </c>
      <c r="G99" s="60">
        <v>229.94</v>
      </c>
      <c r="H99" s="60">
        <v>71.34</v>
      </c>
      <c r="I99" s="60">
        <v>13.05</v>
      </c>
      <c r="J99" s="60">
        <v>1.04</v>
      </c>
      <c r="K99" s="60">
        <v>11.54</v>
      </c>
      <c r="L99" s="60">
        <v>43.81</v>
      </c>
      <c r="M99" s="60">
        <v>37.75</v>
      </c>
      <c r="N99" s="60">
        <v>80.599999999999994</v>
      </c>
      <c r="O99" s="60">
        <v>0</v>
      </c>
      <c r="P99" s="60">
        <v>3.44</v>
      </c>
      <c r="Q99" s="60">
        <v>100.97</v>
      </c>
      <c r="R99" s="198"/>
      <c r="S99" s="198"/>
      <c r="T99" s="198"/>
      <c r="U99" s="198"/>
    </row>
    <row r="100" spans="1:33" s="12" customFormat="1" ht="15">
      <c r="A100" s="201" t="s">
        <v>528</v>
      </c>
      <c r="B100" s="60">
        <v>68.05</v>
      </c>
      <c r="C100" s="60">
        <v>82.43</v>
      </c>
      <c r="D100" s="60">
        <v>150.47999999999999</v>
      </c>
      <c r="E100" s="60">
        <v>3.31</v>
      </c>
      <c r="F100" s="60">
        <v>0.19</v>
      </c>
      <c r="G100" s="60">
        <v>229.94</v>
      </c>
      <c r="H100" s="60">
        <v>71.34</v>
      </c>
      <c r="I100" s="60">
        <v>13.51</v>
      </c>
      <c r="J100" s="60">
        <v>0.77</v>
      </c>
      <c r="K100" s="60">
        <v>336.55</v>
      </c>
      <c r="L100" s="60">
        <v>43.53</v>
      </c>
      <c r="M100" s="60">
        <v>36.869999999999997</v>
      </c>
      <c r="N100" s="60">
        <v>79.599999999999994</v>
      </c>
      <c r="O100" s="60">
        <v>0</v>
      </c>
      <c r="P100" s="60">
        <v>3.71</v>
      </c>
      <c r="Q100" s="60">
        <v>99.04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529</v>
      </c>
      <c r="B101" s="60">
        <v>67.62</v>
      </c>
      <c r="C101" s="60">
        <v>80.680000000000007</v>
      </c>
      <c r="D101" s="60">
        <v>148.31</v>
      </c>
      <c r="E101" s="60">
        <v>6.55</v>
      </c>
      <c r="F101" s="60">
        <v>0.14000000000000001</v>
      </c>
      <c r="G101" s="60">
        <v>229.94</v>
      </c>
      <c r="H101" s="60">
        <v>71.34</v>
      </c>
      <c r="I101" s="60">
        <v>15.39</v>
      </c>
      <c r="J101" s="60">
        <v>1.0900000000000001</v>
      </c>
      <c r="K101" s="60">
        <v>253.36</v>
      </c>
      <c r="L101" s="60">
        <v>44.13</v>
      </c>
      <c r="M101" s="60">
        <v>36.35</v>
      </c>
      <c r="N101" s="60">
        <v>79.5</v>
      </c>
      <c r="O101" s="60">
        <v>0</v>
      </c>
      <c r="P101" s="60">
        <v>3.40</v>
      </c>
      <c r="Q101" s="60">
        <v>99.59</v>
      </c>
      <c r="R101" s="198"/>
      <c r="S101" s="198"/>
      <c r="T101" s="198"/>
      <c r="U101" s="198"/>
    </row>
    <row r="102" spans="1:21" s="12" customFormat="1" ht="15">
      <c r="A102" s="201" t="s">
        <v>530</v>
      </c>
      <c r="B102" s="60">
        <v>69.510000000000005</v>
      </c>
      <c r="C102" s="60">
        <v>79.34</v>
      </c>
      <c r="D102" s="60">
        <v>148.85</v>
      </c>
      <c r="E102" s="60">
        <v>7.21</v>
      </c>
      <c r="F102" s="60">
        <v>0.01</v>
      </c>
      <c r="G102" s="60">
        <v>271.63</v>
      </c>
      <c r="H102" s="60">
        <v>72.48</v>
      </c>
      <c r="I102" s="60">
        <v>16.91</v>
      </c>
      <c r="J102" s="60">
        <v>1.73</v>
      </c>
      <c r="K102" s="60">
        <v>129.10</v>
      </c>
      <c r="L102" s="60">
        <v>44.90</v>
      </c>
      <c r="M102" s="60">
        <v>37.619999999999997</v>
      </c>
      <c r="N102" s="60">
        <v>79.400000000000006</v>
      </c>
      <c r="O102" s="60">
        <v>0</v>
      </c>
      <c r="P102" s="60">
        <v>3.28</v>
      </c>
      <c r="Q102" s="60">
        <v>101.55</v>
      </c>
      <c r="R102" s="198"/>
      <c r="S102" s="198"/>
      <c r="T102" s="198"/>
      <c r="U102" s="198"/>
    </row>
    <row r="103" spans="1:21" s="12" customFormat="1" ht="15">
      <c r="A103" s="201" t="s">
        <v>531</v>
      </c>
      <c r="B103" s="60">
        <v>72.319999999999993</v>
      </c>
      <c r="C103" s="60">
        <v>77.58</v>
      </c>
      <c r="D103" s="60">
        <v>149.90</v>
      </c>
      <c r="E103" s="60">
        <v>7.37</v>
      </c>
      <c r="F103" s="60">
        <v>0.04</v>
      </c>
      <c r="G103" s="60">
        <v>272.26</v>
      </c>
      <c r="H103" s="60">
        <v>72.87</v>
      </c>
      <c r="I103" s="60">
        <v>15.40</v>
      </c>
      <c r="J103" s="60">
        <v>0.85</v>
      </c>
      <c r="K103" s="60">
        <v>309.79000000000002</v>
      </c>
      <c r="L103" s="60">
        <v>46.51</v>
      </c>
      <c r="M103" s="60">
        <v>35.950000000000003</v>
      </c>
      <c r="N103" s="60">
        <v>78.70</v>
      </c>
      <c r="O103" s="60">
        <v>0</v>
      </c>
      <c r="P103" s="60">
        <v>3.17</v>
      </c>
      <c r="Q103" s="60">
        <v>105.32</v>
      </c>
      <c r="R103" s="198"/>
      <c r="S103" s="198"/>
      <c r="T103" s="198"/>
      <c r="U103" s="198"/>
    </row>
    <row r="104" spans="1:21" s="12" customFormat="1" ht="15">
      <c r="A104" s="201" t="s">
        <v>532</v>
      </c>
      <c r="B104" s="60">
        <v>71.86</v>
      </c>
      <c r="C104" s="60">
        <v>74.569999999999993</v>
      </c>
      <c r="D104" s="60">
        <v>146.43</v>
      </c>
      <c r="E104" s="60">
        <v>7.18</v>
      </c>
      <c r="F104" s="60">
        <v>0.01</v>
      </c>
      <c r="G104" s="60">
        <v>272.26</v>
      </c>
      <c r="H104" s="60">
        <v>72.87</v>
      </c>
      <c r="I104" s="60">
        <v>14.73</v>
      </c>
      <c r="J104" s="60">
        <v>0.79</v>
      </c>
      <c r="K104" s="60">
        <v>354.52</v>
      </c>
      <c r="L104" s="60">
        <v>46.39</v>
      </c>
      <c r="M104" s="60">
        <v>39.31</v>
      </c>
      <c r="N104" s="60">
        <v>77.30</v>
      </c>
      <c r="O104" s="60">
        <v>0</v>
      </c>
      <c r="P104" s="60">
        <v>3.40</v>
      </c>
      <c r="Q104" s="60">
        <v>110.08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0.11</v>
      </c>
      <c r="C106" s="67">
        <f>MIN(C9:C104)</f>
        <v>30.140000000000001</v>
      </c>
      <c r="D106" s="67">
        <f t="shared" si="0" ref="D106:Q106">MIN(D9:D104)</f>
        <v>30.350000000000001</v>
      </c>
      <c r="E106" s="67">
        <f t="shared" si="0"/>
        <v>2.5800000000000001</v>
      </c>
      <c r="F106" s="67">
        <f t="shared" si="0"/>
        <v>0.01</v>
      </c>
      <c r="G106" s="67">
        <f t="shared" si="0"/>
        <v>144.03999999999999</v>
      </c>
      <c r="H106" s="67">
        <f t="shared" si="0"/>
        <v>44.439999999999998</v>
      </c>
      <c r="I106" s="67">
        <f t="shared" si="0"/>
        <v>0.01</v>
      </c>
      <c r="J106" s="67">
        <f t="shared" si="0"/>
        <v>0.14999999999999999</v>
      </c>
      <c r="K106" s="67">
        <f t="shared" si="0"/>
        <v>2.0299999999999998</v>
      </c>
      <c r="L106" s="67">
        <f t="shared" si="0"/>
        <v>37.530000000000001</v>
      </c>
      <c r="M106" s="67">
        <f t="shared" si="0"/>
        <v>14.07</v>
      </c>
      <c r="N106" s="67">
        <f t="shared" si="0"/>
        <v>71.5</v>
      </c>
      <c r="O106" s="67">
        <f t="shared" si="0"/>
        <v>0</v>
      </c>
      <c r="P106" s="67">
        <f t="shared" si="0"/>
        <v>1.3100000000000001</v>
      </c>
      <c r="Q106" s="67">
        <f t="shared" si="0"/>
        <v>52.520000000000003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125.05</v>
      </c>
      <c r="C107" s="66">
        <f t="shared" si="1" ref="C107:Q107">MAX(C9:C104)</f>
        <v>104.77</v>
      </c>
      <c r="D107" s="66">
        <f t="shared" si="1"/>
        <v>223.49000000000001</v>
      </c>
      <c r="E107" s="66">
        <f t="shared" si="1"/>
        <v>8.4900000000000002</v>
      </c>
      <c r="F107" s="66">
        <f t="shared" si="1"/>
        <v>12.66</v>
      </c>
      <c r="G107" s="66">
        <f t="shared" si="1"/>
        <v>479.37</v>
      </c>
      <c r="H107" s="66">
        <f t="shared" si="1"/>
        <v>100.15000000000001</v>
      </c>
      <c r="I107" s="66">
        <f t="shared" si="1"/>
        <v>42.219999999999999</v>
      </c>
      <c r="J107" s="66">
        <f t="shared" si="1"/>
        <v>3.2799999999999998</v>
      </c>
      <c r="K107" s="66">
        <f t="shared" si="1"/>
        <v>354.51999999999998</v>
      </c>
      <c r="L107" s="66">
        <f t="shared" si="1"/>
        <v>56.07</v>
      </c>
      <c r="M107" s="66">
        <f t="shared" si="1"/>
        <v>52</v>
      </c>
      <c r="N107" s="66">
        <f t="shared" si="1"/>
        <v>960.79999999999995</v>
      </c>
      <c r="O107" s="66">
        <f t="shared" si="1"/>
        <v>0</v>
      </c>
      <c r="P107" s="66">
        <f t="shared" si="1"/>
        <v>7.0300000000000002</v>
      </c>
      <c r="Q107" s="66">
        <f t="shared" si="1"/>
        <v>132.44999999999999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35.883229166666688</v>
      </c>
      <c r="C108" s="67">
        <f t="shared" si="2" ref="C108:Q108">AVERAGE(C9:C104)</f>
        <v>57.554166666666667</v>
      </c>
      <c r="D108" s="67">
        <f t="shared" si="2"/>
        <v>93.437395833333355</v>
      </c>
      <c r="E108" s="67">
        <f t="shared" si="2"/>
        <v>7.0467708333333343</v>
      </c>
      <c r="F108" s="67">
        <f t="shared" si="2"/>
        <v>4.5223611111111097</v>
      </c>
      <c r="G108" s="67">
        <f t="shared" si="2"/>
        <v>272.88791666666663</v>
      </c>
      <c r="H108" s="67">
        <f t="shared" si="2"/>
        <v>68.972291666666649</v>
      </c>
      <c r="I108" s="67">
        <f t="shared" si="2"/>
        <v>13.481904761904767</v>
      </c>
      <c r="J108" s="67">
        <f t="shared" si="2"/>
        <v>1.5694791666666668</v>
      </c>
      <c r="K108" s="67">
        <f t="shared" si="2"/>
        <v>185.44927083333332</v>
      </c>
      <c r="L108" s="67">
        <f t="shared" si="2"/>
        <v>46.164687500000007</v>
      </c>
      <c r="M108" s="67">
        <f t="shared" si="2"/>
        <v>29.778958333333325</v>
      </c>
      <c r="N108" s="67">
        <f t="shared" si="2"/>
        <v>332.36145833333325</v>
      </c>
      <c r="O108" s="67">
        <f t="shared" si="2"/>
        <v>0</v>
      </c>
      <c r="P108" s="67">
        <f t="shared" si="2"/>
        <v>2.7332291666666664</v>
      </c>
      <c r="Q108" s="67">
        <f t="shared" si="2"/>
        <v>83.302604166666697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38.753586142915886</v>
      </c>
      <c r="C109" s="67">
        <f t="shared" si="3" ref="C109:Q109">STDEV(C9:C104)</f>
        <v>22.600123412176615</v>
      </c>
      <c r="D109" s="67">
        <f t="shared" si="3"/>
        <v>54.720182945308046</v>
      </c>
      <c r="E109" s="67">
        <f t="shared" si="3"/>
        <v>1.1034753661826369</v>
      </c>
      <c r="F109" s="67">
        <f t="shared" si="3"/>
        <v>4.2286416068985018</v>
      </c>
      <c r="G109" s="67">
        <f t="shared" si="3"/>
        <v>103.30035826010811</v>
      </c>
      <c r="H109" s="67">
        <f t="shared" si="3"/>
        <v>17.558467951340301</v>
      </c>
      <c r="I109" s="67">
        <f t="shared" si="3"/>
        <v>7.7690951662123213</v>
      </c>
      <c r="J109" s="67">
        <f t="shared" si="3"/>
        <v>0.7122305507742136</v>
      </c>
      <c r="K109" s="67">
        <f t="shared" si="3"/>
        <v>116.13343412004731</v>
      </c>
      <c r="L109" s="67">
        <f t="shared" si="3"/>
        <v>5.6217657748816636</v>
      </c>
      <c r="M109" s="67">
        <f t="shared" si="3"/>
        <v>10.78976937260642</v>
      </c>
      <c r="N109" s="67">
        <f t="shared" si="3"/>
        <v>305.02582025989113</v>
      </c>
      <c r="O109" s="67">
        <f t="shared" si="3"/>
        <v>0</v>
      </c>
      <c r="P109" s="67">
        <f t="shared" si="3"/>
        <v>1.1607588214899192</v>
      </c>
      <c r="Q109" s="67">
        <f t="shared" si="3"/>
        <v>22.011129062831124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41431e-7252-43d2-ba61-2d0cabee9da7}">
  <sheetPr codeName=""/>
  <dimension ref="A1:AG117"/>
  <sheetViews>
    <sheetView workbookViewId="0" topLeftCell="A1">
      <pane xSplit="1" ySplit="8" topLeftCell="B105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F16" sqref="F16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04-06-2022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533</v>
      </c>
      <c r="B9" s="60">
        <v>67.099999999999994</v>
      </c>
      <c r="C9" s="60">
        <v>72.87</v>
      </c>
      <c r="D9" s="60">
        <v>139.97</v>
      </c>
      <c r="E9" s="60">
        <v>7.16</v>
      </c>
      <c r="F9" s="6" t="s">
        <v>42</v>
      </c>
      <c r="G9" s="60">
        <v>272.26</v>
      </c>
      <c r="H9" s="60">
        <v>72.87</v>
      </c>
      <c r="I9" s="60">
        <v>12.75</v>
      </c>
      <c r="J9" s="60">
        <v>1.03</v>
      </c>
      <c r="K9" s="60">
        <v>323.82</v>
      </c>
      <c r="L9" s="60">
        <v>46.45</v>
      </c>
      <c r="M9" s="60">
        <v>40.020000000000003</v>
      </c>
      <c r="N9" s="60">
        <v>80.70</v>
      </c>
      <c r="O9" s="60">
        <v>0</v>
      </c>
      <c r="P9" s="60">
        <v>3.24</v>
      </c>
      <c r="Q9" s="60">
        <v>108.20</v>
      </c>
      <c r="R9" s="198"/>
      <c r="S9" s="198"/>
      <c r="T9" s="198"/>
      <c r="U9" s="198"/>
    </row>
    <row r="10" spans="1:21" s="12" customFormat="1" ht="15">
      <c r="A10" s="201" t="s">
        <v>534</v>
      </c>
      <c r="B10" s="60">
        <v>62.03</v>
      </c>
      <c r="C10" s="60">
        <v>70.48</v>
      </c>
      <c r="D10" s="60">
        <v>132.51</v>
      </c>
      <c r="E10" s="60">
        <v>6.83</v>
      </c>
      <c r="F10" s="6" t="s">
        <v>42</v>
      </c>
      <c r="G10" s="60">
        <v>237.33</v>
      </c>
      <c r="H10" s="60">
        <v>68.27</v>
      </c>
      <c r="I10" s="60">
        <v>14.16</v>
      </c>
      <c r="J10" s="60">
        <v>1.92</v>
      </c>
      <c r="K10" s="60">
        <v>342.31</v>
      </c>
      <c r="L10" s="60">
        <v>46.74</v>
      </c>
      <c r="M10" s="60">
        <v>43.07</v>
      </c>
      <c r="N10" s="60">
        <v>100.80</v>
      </c>
      <c r="O10" s="60">
        <v>0</v>
      </c>
      <c r="P10" s="60">
        <v>3.10</v>
      </c>
      <c r="Q10" s="60">
        <v>104.04</v>
      </c>
      <c r="R10" s="198"/>
      <c r="S10" s="198"/>
      <c r="T10" s="198"/>
      <c r="U10" s="198"/>
    </row>
    <row r="11" spans="1:21" s="12" customFormat="1" ht="15">
      <c r="A11" s="201" t="s">
        <v>535</v>
      </c>
      <c r="B11" s="60">
        <v>56.74</v>
      </c>
      <c r="C11" s="60">
        <v>68.28</v>
      </c>
      <c r="D11" s="60">
        <v>125.02</v>
      </c>
      <c r="E11" s="60">
        <v>6.88</v>
      </c>
      <c r="F11" s="6" t="s">
        <v>42</v>
      </c>
      <c r="G11" s="60">
        <v>236.80</v>
      </c>
      <c r="H11" s="60">
        <v>66.69</v>
      </c>
      <c r="I11" s="60">
        <v>12.42</v>
      </c>
      <c r="J11" s="60">
        <v>1.26</v>
      </c>
      <c r="K11" s="60">
        <v>199.68</v>
      </c>
      <c r="L11" s="60">
        <v>46.99</v>
      </c>
      <c r="M11" s="60">
        <v>33.76</v>
      </c>
      <c r="N11" s="60">
        <v>106.30</v>
      </c>
      <c r="O11" s="60">
        <v>0</v>
      </c>
      <c r="P11" s="60">
        <v>2.78</v>
      </c>
      <c r="Q11" s="60">
        <v>100.24</v>
      </c>
      <c r="R11" s="198"/>
      <c r="S11" s="198"/>
      <c r="T11" s="198"/>
      <c r="U11" s="198"/>
    </row>
    <row r="12" spans="1:21" s="12" customFormat="1" ht="15">
      <c r="A12" s="201" t="s">
        <v>536</v>
      </c>
      <c r="B12" s="60">
        <v>48.25</v>
      </c>
      <c r="C12" s="60">
        <v>65.73</v>
      </c>
      <c r="D12" s="60">
        <v>113.98</v>
      </c>
      <c r="E12" s="60">
        <v>6.56</v>
      </c>
      <c r="F12" s="6" t="s">
        <v>42</v>
      </c>
      <c r="G12" s="60">
        <v>236.80</v>
      </c>
      <c r="H12" s="60">
        <v>66.69</v>
      </c>
      <c r="I12" s="60">
        <v>11.35</v>
      </c>
      <c r="J12" s="60">
        <v>1.37</v>
      </c>
      <c r="K12" s="60">
        <v>274.62</v>
      </c>
      <c r="L12" s="60">
        <v>46.77</v>
      </c>
      <c r="M12" s="60">
        <v>28.11</v>
      </c>
      <c r="N12" s="60">
        <v>103.80</v>
      </c>
      <c r="O12" s="60">
        <v>0</v>
      </c>
      <c r="P12" s="60">
        <v>2.46</v>
      </c>
      <c r="Q12" s="60">
        <v>95.67</v>
      </c>
      <c r="R12" s="198"/>
      <c r="S12" s="198"/>
      <c r="T12" s="198"/>
      <c r="U12" s="198"/>
    </row>
    <row r="13" spans="1:21" s="12" customFormat="1" ht="15">
      <c r="A13" s="201" t="s">
        <v>537</v>
      </c>
      <c r="B13" s="60">
        <v>38.26</v>
      </c>
      <c r="C13" s="60">
        <v>63.29</v>
      </c>
      <c r="D13" s="60">
        <v>101.55</v>
      </c>
      <c r="E13" s="60">
        <v>6.46</v>
      </c>
      <c r="F13" s="60">
        <v>0.42</v>
      </c>
      <c r="G13" s="60">
        <v>236.80</v>
      </c>
      <c r="H13" s="60">
        <v>66.69</v>
      </c>
      <c r="I13" s="60">
        <v>8.76</v>
      </c>
      <c r="J13" s="60">
        <v>0.96</v>
      </c>
      <c r="K13" s="60">
        <v>183.80</v>
      </c>
      <c r="L13" s="60">
        <v>45.22</v>
      </c>
      <c r="M13" s="60">
        <v>30.02</v>
      </c>
      <c r="N13" s="60">
        <v>105</v>
      </c>
      <c r="O13" s="60">
        <v>0</v>
      </c>
      <c r="P13" s="60">
        <v>2.42</v>
      </c>
      <c r="Q13" s="60">
        <v>89.32</v>
      </c>
      <c r="R13" s="198"/>
      <c r="S13" s="198"/>
      <c r="T13" s="198"/>
      <c r="U13" s="198"/>
    </row>
    <row r="14" spans="1:21" s="12" customFormat="1" ht="15">
      <c r="A14" s="201" t="s">
        <v>538</v>
      </c>
      <c r="B14" s="60">
        <v>29.63</v>
      </c>
      <c r="C14" s="60">
        <v>60.39</v>
      </c>
      <c r="D14" s="60">
        <v>90.02</v>
      </c>
      <c r="E14" s="60">
        <v>6.17</v>
      </c>
      <c r="F14" s="60">
        <v>0.52</v>
      </c>
      <c r="G14" s="60">
        <v>166.43</v>
      </c>
      <c r="H14" s="60">
        <v>59.12</v>
      </c>
      <c r="I14" s="60">
        <v>6.64</v>
      </c>
      <c r="J14" s="60">
        <v>1.44</v>
      </c>
      <c r="K14" s="60">
        <v>199.09</v>
      </c>
      <c r="L14" s="60">
        <v>44.98</v>
      </c>
      <c r="M14" s="60">
        <v>31.86</v>
      </c>
      <c r="N14" s="60">
        <v>103.30</v>
      </c>
      <c r="O14" s="60">
        <v>0</v>
      </c>
      <c r="P14" s="60">
        <v>2.37</v>
      </c>
      <c r="Q14" s="60">
        <v>85.23</v>
      </c>
      <c r="R14" s="198"/>
      <c r="S14" s="198"/>
      <c r="T14" s="198"/>
      <c r="U14" s="198"/>
    </row>
    <row r="15" spans="1:21" s="12" customFormat="1" ht="15">
      <c r="A15" s="201" t="s">
        <v>539</v>
      </c>
      <c r="B15" s="60">
        <v>23.03</v>
      </c>
      <c r="C15" s="60">
        <v>57.99</v>
      </c>
      <c r="D15" s="60">
        <v>81.02</v>
      </c>
      <c r="E15" s="60">
        <v>5.83</v>
      </c>
      <c r="F15" s="60">
        <v>0.34</v>
      </c>
      <c r="G15" s="60">
        <v>153.02000000000001</v>
      </c>
      <c r="H15" s="60">
        <v>56.37</v>
      </c>
      <c r="I15" s="60">
        <v>6.63</v>
      </c>
      <c r="J15" s="60">
        <v>1.56</v>
      </c>
      <c r="K15" s="60">
        <v>316.45999999999998</v>
      </c>
      <c r="L15" s="60">
        <v>43.65</v>
      </c>
      <c r="M15" s="60">
        <v>35.53</v>
      </c>
      <c r="N15" s="60">
        <v>104.40</v>
      </c>
      <c r="O15" s="60">
        <v>0</v>
      </c>
      <c r="P15" s="60">
        <v>2.29</v>
      </c>
      <c r="Q15" s="60">
        <v>81.44</v>
      </c>
      <c r="R15" s="198"/>
      <c r="S15" s="198"/>
      <c r="T15" s="198"/>
      <c r="U15" s="198"/>
    </row>
    <row r="16" spans="1:21" s="12" customFormat="1" ht="15">
      <c r="A16" s="201" t="s">
        <v>540</v>
      </c>
      <c r="B16" s="60">
        <v>17.89</v>
      </c>
      <c r="C16" s="60">
        <v>55.21</v>
      </c>
      <c r="D16" s="60">
        <v>73.099999999999994</v>
      </c>
      <c r="E16" s="60">
        <v>6.43</v>
      </c>
      <c r="F16" s="60">
        <v>0.39</v>
      </c>
      <c r="G16" s="60">
        <v>153.02000000000001</v>
      </c>
      <c r="H16" s="60">
        <v>56.37</v>
      </c>
      <c r="I16" s="60">
        <v>6.08</v>
      </c>
      <c r="J16" s="60">
        <v>1.35</v>
      </c>
      <c r="K16" s="60">
        <v>309.20999999999998</v>
      </c>
      <c r="L16" s="60">
        <v>42.44</v>
      </c>
      <c r="M16" s="60">
        <v>39.39</v>
      </c>
      <c r="N16" s="60">
        <v>104.30</v>
      </c>
      <c r="O16" s="60">
        <v>0</v>
      </c>
      <c r="P16" s="60">
        <v>2.2799999999999998</v>
      </c>
      <c r="Q16" s="60">
        <v>77.92</v>
      </c>
      <c r="R16" s="198"/>
      <c r="S16" s="198"/>
      <c r="T16" s="198"/>
      <c r="U16" s="198"/>
    </row>
    <row r="17" spans="1:21" s="12" customFormat="1" ht="15">
      <c r="A17" s="201" t="s">
        <v>541</v>
      </c>
      <c r="B17" s="60">
        <v>13.82</v>
      </c>
      <c r="C17" s="60">
        <v>51.49</v>
      </c>
      <c r="D17" s="60">
        <v>65.30</v>
      </c>
      <c r="E17" s="60">
        <v>6</v>
      </c>
      <c r="F17" s="60">
        <v>0.88</v>
      </c>
      <c r="G17" s="60">
        <v>153.02000000000001</v>
      </c>
      <c r="H17" s="60">
        <v>56.37</v>
      </c>
      <c r="I17" s="60">
        <v>6.57</v>
      </c>
      <c r="J17" s="60">
        <v>1.43</v>
      </c>
      <c r="K17" s="60">
        <v>192.42</v>
      </c>
      <c r="L17" s="60">
        <v>42.53</v>
      </c>
      <c r="M17" s="60">
        <v>37.299999999999997</v>
      </c>
      <c r="N17" s="60">
        <v>103.30</v>
      </c>
      <c r="O17" s="60">
        <v>0</v>
      </c>
      <c r="P17" s="60">
        <v>1.92</v>
      </c>
      <c r="Q17" s="60">
        <v>75.20</v>
      </c>
      <c r="R17" s="198"/>
      <c r="S17" s="198"/>
      <c r="T17" s="198"/>
      <c r="U17" s="198"/>
    </row>
    <row r="18" spans="1:21" s="12" customFormat="1" ht="15">
      <c r="A18" s="201" t="s">
        <v>542</v>
      </c>
      <c r="B18" s="60">
        <v>11.61</v>
      </c>
      <c r="C18" s="60">
        <v>48.44</v>
      </c>
      <c r="D18" s="60">
        <v>60.05</v>
      </c>
      <c r="E18" s="60">
        <v>6.22</v>
      </c>
      <c r="F18" s="60">
        <v>0.83</v>
      </c>
      <c r="G18" s="60">
        <v>157.27000000000001</v>
      </c>
      <c r="H18" s="60">
        <v>55.16</v>
      </c>
      <c r="I18" s="60">
        <v>7.05</v>
      </c>
      <c r="J18" s="60">
        <v>0.90</v>
      </c>
      <c r="K18" s="60">
        <v>177.88</v>
      </c>
      <c r="L18" s="60">
        <v>42.28</v>
      </c>
      <c r="M18" s="60">
        <v>42.74</v>
      </c>
      <c r="N18" s="60">
        <v>104.60</v>
      </c>
      <c r="O18" s="60">
        <v>0</v>
      </c>
      <c r="P18" s="60">
        <v>1.89</v>
      </c>
      <c r="Q18" s="60">
        <v>64.80</v>
      </c>
      <c r="R18" s="198"/>
      <c r="S18" s="198"/>
      <c r="T18" s="198"/>
      <c r="U18" s="198"/>
    </row>
    <row r="19" spans="1:21" s="12" customFormat="1" ht="15">
      <c r="A19" s="201" t="s">
        <v>543</v>
      </c>
      <c r="B19" s="60">
        <v>10.92</v>
      </c>
      <c r="C19" s="60">
        <v>47.94</v>
      </c>
      <c r="D19" s="60">
        <v>58.86</v>
      </c>
      <c r="E19" s="60">
        <v>6.14</v>
      </c>
      <c r="F19" s="60">
        <v>1.02</v>
      </c>
      <c r="G19" s="60">
        <v>157.34</v>
      </c>
      <c r="H19" s="60">
        <v>54.72</v>
      </c>
      <c r="I19" s="60">
        <v>5.57</v>
      </c>
      <c r="J19" s="60">
        <v>1.59</v>
      </c>
      <c r="K19" s="60">
        <v>197.06</v>
      </c>
      <c r="L19" s="60">
        <v>42.80</v>
      </c>
      <c r="M19" s="60">
        <v>37.07</v>
      </c>
      <c r="N19" s="60">
        <v>103.60</v>
      </c>
      <c r="O19" s="60">
        <v>0</v>
      </c>
      <c r="P19" s="60">
        <v>1.63</v>
      </c>
      <c r="Q19" s="60">
        <v>58.75</v>
      </c>
      <c r="R19" s="198"/>
      <c r="S19" s="198"/>
      <c r="T19" s="198"/>
      <c r="U19" s="198"/>
    </row>
    <row r="20" spans="1:21" s="12" customFormat="1" ht="15">
      <c r="A20" s="201" t="s">
        <v>544</v>
      </c>
      <c r="B20" s="60">
        <v>10.15</v>
      </c>
      <c r="C20" s="60">
        <v>47.43</v>
      </c>
      <c r="D20" s="60">
        <v>57.58</v>
      </c>
      <c r="E20" s="60">
        <v>2.80</v>
      </c>
      <c r="F20" s="60">
        <v>1.08</v>
      </c>
      <c r="G20" s="60">
        <v>157.34</v>
      </c>
      <c r="H20" s="60">
        <v>54.72</v>
      </c>
      <c r="I20" s="60">
        <v>5.91</v>
      </c>
      <c r="J20" s="60">
        <v>1.36</v>
      </c>
      <c r="K20" s="60">
        <v>233.40</v>
      </c>
      <c r="L20" s="60">
        <v>41.80</v>
      </c>
      <c r="M20" s="60">
        <v>44.43</v>
      </c>
      <c r="N20" s="60">
        <v>105.10</v>
      </c>
      <c r="O20" s="60">
        <v>0</v>
      </c>
      <c r="P20" s="60">
        <v>1.75</v>
      </c>
      <c r="Q20" s="60">
        <v>62.06</v>
      </c>
      <c r="R20" s="198"/>
      <c r="S20" s="198"/>
      <c r="T20" s="198"/>
      <c r="U20" s="198"/>
    </row>
    <row r="21" spans="1:21" s="12" customFormat="1" ht="15">
      <c r="A21" s="201" t="s">
        <v>545</v>
      </c>
      <c r="B21" s="60">
        <v>9.9700000000000006</v>
      </c>
      <c r="C21" s="60">
        <v>46.08</v>
      </c>
      <c r="D21" s="60">
        <v>56.05</v>
      </c>
      <c r="E21" s="60">
        <v>6.39</v>
      </c>
      <c r="F21" s="60">
        <v>0.71</v>
      </c>
      <c r="G21" s="60">
        <v>157.34</v>
      </c>
      <c r="H21" s="60">
        <v>54.72</v>
      </c>
      <c r="I21" s="60">
        <v>5.45</v>
      </c>
      <c r="J21" s="60">
        <v>0.56000000000000005</v>
      </c>
      <c r="K21" s="60">
        <v>269.33</v>
      </c>
      <c r="L21" s="60">
        <v>40.93</v>
      </c>
      <c r="M21" s="60">
        <v>43.84</v>
      </c>
      <c r="N21" s="60">
        <v>102.40</v>
      </c>
      <c r="O21" s="60">
        <v>0</v>
      </c>
      <c r="P21" s="60">
        <v>1.73</v>
      </c>
      <c r="Q21" s="60">
        <v>64.790000000000006</v>
      </c>
      <c r="R21" s="198"/>
      <c r="S21" s="198"/>
      <c r="T21" s="198"/>
      <c r="U21" s="198"/>
    </row>
    <row r="22" spans="1:21" s="12" customFormat="1" ht="15">
      <c r="A22" s="201" t="s">
        <v>546</v>
      </c>
      <c r="B22" s="60">
        <v>10.25</v>
      </c>
      <c r="C22" s="60">
        <v>46.08</v>
      </c>
      <c r="D22" s="60">
        <v>56.33</v>
      </c>
      <c r="E22" s="60">
        <v>6.83</v>
      </c>
      <c r="F22" s="60">
        <v>0.48</v>
      </c>
      <c r="G22" s="60">
        <v>160.83000000000001</v>
      </c>
      <c r="H22" s="60">
        <v>50.97</v>
      </c>
      <c r="I22" s="60">
        <v>5.98</v>
      </c>
      <c r="J22" s="60">
        <v>1.36</v>
      </c>
      <c r="K22" s="60">
        <v>171.69</v>
      </c>
      <c r="L22" s="60">
        <v>41.04</v>
      </c>
      <c r="M22" s="60">
        <v>41.53</v>
      </c>
      <c r="N22" s="60">
        <v>88.30</v>
      </c>
      <c r="O22" s="60">
        <v>0</v>
      </c>
      <c r="P22" s="60">
        <v>1.66</v>
      </c>
      <c r="Q22" s="60">
        <v>66.08</v>
      </c>
      <c r="R22" s="198"/>
      <c r="S22" s="198"/>
      <c r="T22" s="198"/>
      <c r="U22" s="198"/>
    </row>
    <row r="23" spans="1:21" s="12" customFormat="1" ht="15">
      <c r="A23" s="201" t="s">
        <v>547</v>
      </c>
      <c r="B23" s="60">
        <v>10.029999999999999</v>
      </c>
      <c r="C23" s="60">
        <v>45.18</v>
      </c>
      <c r="D23" s="60">
        <v>55.21</v>
      </c>
      <c r="E23" s="60">
        <v>6.79</v>
      </c>
      <c r="F23" s="60">
        <v>1.48</v>
      </c>
      <c r="G23" s="60">
        <v>160.88</v>
      </c>
      <c r="H23" s="60">
        <v>49.60</v>
      </c>
      <c r="I23" s="60">
        <v>6</v>
      </c>
      <c r="J23" s="60">
        <v>1.1599999999999999</v>
      </c>
      <c r="K23" s="60">
        <v>214.21</v>
      </c>
      <c r="L23" s="60">
        <v>42.41</v>
      </c>
      <c r="M23" s="60">
        <v>38.299999999999997</v>
      </c>
      <c r="N23" s="60">
        <v>87</v>
      </c>
      <c r="O23" s="60">
        <v>0</v>
      </c>
      <c r="P23" s="60">
        <v>1.61</v>
      </c>
      <c r="Q23" s="60">
        <v>67.040000000000006</v>
      </c>
      <c r="R23" s="198"/>
      <c r="S23" s="198"/>
      <c r="T23" s="198"/>
      <c r="U23" s="198"/>
    </row>
    <row r="24" spans="1:21" s="12" customFormat="1" ht="15">
      <c r="A24" s="201" t="s">
        <v>548</v>
      </c>
      <c r="B24" s="60">
        <v>9.35</v>
      </c>
      <c r="C24" s="60">
        <v>44.39</v>
      </c>
      <c r="D24" s="60">
        <v>53.74</v>
      </c>
      <c r="E24" s="60">
        <v>7.19</v>
      </c>
      <c r="F24" s="60">
        <v>1.78</v>
      </c>
      <c r="G24" s="60">
        <v>160.88</v>
      </c>
      <c r="H24" s="60">
        <v>49.60</v>
      </c>
      <c r="I24" s="60">
        <v>5.61</v>
      </c>
      <c r="J24" s="60">
        <v>2.2000000000000002</v>
      </c>
      <c r="K24" s="60">
        <v>179.99</v>
      </c>
      <c r="L24" s="60">
        <v>42.79</v>
      </c>
      <c r="M24" s="60">
        <v>37.840000000000003</v>
      </c>
      <c r="N24" s="60">
        <v>88.10</v>
      </c>
      <c r="O24" s="60">
        <v>0</v>
      </c>
      <c r="P24" s="60">
        <v>1.66</v>
      </c>
      <c r="Q24" s="60">
        <v>66.569999999999993</v>
      </c>
      <c r="R24" s="198"/>
      <c r="S24" s="198"/>
      <c r="T24" s="198"/>
      <c r="U24" s="198"/>
    </row>
    <row r="25" spans="1:21" s="12" customFormat="1" ht="15">
      <c r="A25" s="201" t="s">
        <v>549</v>
      </c>
      <c r="B25" s="60">
        <v>8.19</v>
      </c>
      <c r="C25" s="60">
        <v>44.15</v>
      </c>
      <c r="D25" s="60">
        <v>52.34</v>
      </c>
      <c r="E25" s="60">
        <v>7.25</v>
      </c>
      <c r="F25" s="60">
        <v>1.1100000000000001</v>
      </c>
      <c r="G25" s="60">
        <v>160.88</v>
      </c>
      <c r="H25" s="60">
        <v>49.60</v>
      </c>
      <c r="I25" s="60">
        <v>4.8600000000000003</v>
      </c>
      <c r="J25" s="60">
        <v>2.23</v>
      </c>
      <c r="K25" s="60">
        <v>184.78</v>
      </c>
      <c r="L25" s="60">
        <v>43.32</v>
      </c>
      <c r="M25" s="60">
        <v>38.409999999999997</v>
      </c>
      <c r="N25" s="60">
        <v>104.20</v>
      </c>
      <c r="O25" s="60">
        <v>0</v>
      </c>
      <c r="P25" s="60">
        <v>1.97</v>
      </c>
      <c r="Q25" s="60">
        <v>70.180000000000007</v>
      </c>
      <c r="R25" s="198"/>
      <c r="S25" s="198"/>
      <c r="T25" s="198"/>
      <c r="U25" s="198"/>
    </row>
    <row r="26" spans="1:21" s="12" customFormat="1" ht="15">
      <c r="A26" s="201" t="s">
        <v>550</v>
      </c>
      <c r="B26" s="60">
        <v>6.35</v>
      </c>
      <c r="C26" s="60">
        <v>41.93</v>
      </c>
      <c r="D26" s="60">
        <v>48.28</v>
      </c>
      <c r="E26" s="60">
        <v>6.95</v>
      </c>
      <c r="F26" s="60">
        <v>0.55000000000000004</v>
      </c>
      <c r="G26" s="60">
        <v>124.78</v>
      </c>
      <c r="H26" s="60">
        <v>48.96</v>
      </c>
      <c r="I26" s="60">
        <v>5.37</v>
      </c>
      <c r="J26" s="60">
        <v>1.37</v>
      </c>
      <c r="K26" s="60">
        <v>284.70</v>
      </c>
      <c r="L26" s="60">
        <v>42.78</v>
      </c>
      <c r="M26" s="60">
        <v>40.25</v>
      </c>
      <c r="N26" s="60">
        <v>105.30</v>
      </c>
      <c r="O26" s="60">
        <v>0</v>
      </c>
      <c r="P26" s="60">
        <v>1.91</v>
      </c>
      <c r="Q26" s="60">
        <v>74.45</v>
      </c>
      <c r="R26" s="198"/>
      <c r="S26" s="198"/>
      <c r="T26" s="198"/>
      <c r="U26" s="198"/>
    </row>
    <row r="27" spans="1:21" s="12" customFormat="1" ht="15">
      <c r="A27" s="201" t="s">
        <v>551</v>
      </c>
      <c r="B27" s="60">
        <v>5.08</v>
      </c>
      <c r="C27" s="60">
        <v>40.98</v>
      </c>
      <c r="D27" s="60">
        <v>46.05</v>
      </c>
      <c r="E27" s="60">
        <v>6.79</v>
      </c>
      <c r="F27" s="60">
        <v>0.28000000000000003</v>
      </c>
      <c r="G27" s="60">
        <v>124.23</v>
      </c>
      <c r="H27" s="60">
        <v>48.74</v>
      </c>
      <c r="I27" s="60">
        <v>7.32</v>
      </c>
      <c r="J27" s="60">
        <v>1.1399999999999999</v>
      </c>
      <c r="K27" s="60">
        <v>247.53</v>
      </c>
      <c r="L27" s="60">
        <v>42.27</v>
      </c>
      <c r="M27" s="60">
        <v>42.03</v>
      </c>
      <c r="N27" s="60">
        <v>103.5</v>
      </c>
      <c r="O27" s="60">
        <v>0</v>
      </c>
      <c r="P27" s="60">
        <v>1.91</v>
      </c>
      <c r="Q27" s="60">
        <v>73.41</v>
      </c>
      <c r="R27" s="198"/>
      <c r="S27" s="198"/>
      <c r="T27" s="198"/>
      <c r="U27" s="198"/>
    </row>
    <row r="28" spans="1:21" s="12" customFormat="1" ht="15">
      <c r="A28" s="201" t="s">
        <v>552</v>
      </c>
      <c r="B28" s="60">
        <v>4.4400000000000004</v>
      </c>
      <c r="C28" s="60">
        <v>40.119999999999997</v>
      </c>
      <c r="D28" s="60">
        <v>44.56</v>
      </c>
      <c r="E28" s="60">
        <v>6.87</v>
      </c>
      <c r="F28" s="60">
        <v>0.28999999999999998</v>
      </c>
      <c r="G28" s="60">
        <v>124.23</v>
      </c>
      <c r="H28" s="60">
        <v>48.74</v>
      </c>
      <c r="I28" s="60">
        <v>6.30</v>
      </c>
      <c r="J28" s="60">
        <v>1.36</v>
      </c>
      <c r="K28" s="60">
        <v>251.89</v>
      </c>
      <c r="L28" s="60">
        <v>42.31</v>
      </c>
      <c r="M28" s="60">
        <v>42.74</v>
      </c>
      <c r="N28" s="60">
        <v>101.80</v>
      </c>
      <c r="O28" s="60">
        <v>0</v>
      </c>
      <c r="P28" s="60">
        <v>1.88</v>
      </c>
      <c r="Q28" s="60">
        <v>72.790000000000006</v>
      </c>
      <c r="R28" s="198"/>
      <c r="S28" s="198"/>
      <c r="T28" s="198"/>
      <c r="U28" s="198"/>
    </row>
    <row r="29" spans="1:21" s="12" customFormat="1" ht="15">
      <c r="A29" s="201" t="s">
        <v>553</v>
      </c>
      <c r="B29" s="60">
        <v>3.72</v>
      </c>
      <c r="C29" s="60">
        <v>39.18</v>
      </c>
      <c r="D29" s="60">
        <v>42.90</v>
      </c>
      <c r="E29" s="60">
        <v>6.91</v>
      </c>
      <c r="F29" s="60">
        <v>0.47</v>
      </c>
      <c r="G29" s="60">
        <v>124.23</v>
      </c>
      <c r="H29" s="60">
        <v>48.74</v>
      </c>
      <c r="I29" s="60">
        <v>6.5</v>
      </c>
      <c r="J29" s="60">
        <v>0.96</v>
      </c>
      <c r="K29" s="60">
        <v>229.13</v>
      </c>
      <c r="L29" s="60">
        <v>41.35</v>
      </c>
      <c r="M29" s="60">
        <v>45.42</v>
      </c>
      <c r="N29" s="60">
        <v>103.40</v>
      </c>
      <c r="O29" s="60">
        <v>0</v>
      </c>
      <c r="P29" s="60">
        <v>1.86</v>
      </c>
      <c r="Q29" s="60">
        <v>70.92</v>
      </c>
      <c r="R29" s="198"/>
      <c r="S29" s="198"/>
      <c r="T29" s="198"/>
      <c r="U29" s="198"/>
    </row>
    <row r="30" spans="1:21" s="12" customFormat="1" ht="15">
      <c r="A30" s="201" t="s">
        <v>554</v>
      </c>
      <c r="B30" s="60">
        <v>3.53</v>
      </c>
      <c r="C30" s="60">
        <v>39.159999999999997</v>
      </c>
      <c r="D30" s="60">
        <v>42.69</v>
      </c>
      <c r="E30" s="60">
        <v>6.39</v>
      </c>
      <c r="F30" s="60">
        <v>0.66</v>
      </c>
      <c r="G30" s="60">
        <v>137.54</v>
      </c>
      <c r="H30" s="60">
        <v>44.59</v>
      </c>
      <c r="I30" s="60">
        <v>6.02</v>
      </c>
      <c r="J30" s="60">
        <v>1.30</v>
      </c>
      <c r="K30" s="60">
        <v>209.09</v>
      </c>
      <c r="L30" s="60">
        <v>41.32</v>
      </c>
      <c r="M30" s="60">
        <v>44.44</v>
      </c>
      <c r="N30" s="60">
        <v>104.5</v>
      </c>
      <c r="O30" s="60">
        <v>0</v>
      </c>
      <c r="P30" s="60">
        <v>1.84</v>
      </c>
      <c r="Q30" s="60">
        <v>67.959999999999994</v>
      </c>
      <c r="R30" s="198"/>
      <c r="S30" s="198"/>
      <c r="T30" s="198"/>
      <c r="U30" s="198"/>
    </row>
    <row r="31" spans="1:21" s="12" customFormat="1" ht="15">
      <c r="A31" s="201" t="s">
        <v>555</v>
      </c>
      <c r="B31" s="60">
        <v>4.0599999999999996</v>
      </c>
      <c r="C31" s="60">
        <v>40.25</v>
      </c>
      <c r="D31" s="60">
        <v>44.30</v>
      </c>
      <c r="E31" s="60">
        <v>6.60</v>
      </c>
      <c r="F31" s="60">
        <v>0.27</v>
      </c>
      <c r="G31" s="60">
        <v>137.74</v>
      </c>
      <c r="H31" s="60">
        <v>43.09</v>
      </c>
      <c r="I31" s="60">
        <v>6.30</v>
      </c>
      <c r="J31" s="60">
        <v>1.74</v>
      </c>
      <c r="K31" s="60">
        <v>194.18</v>
      </c>
      <c r="L31" s="60">
        <v>41.53</v>
      </c>
      <c r="M31" s="60">
        <v>43.69</v>
      </c>
      <c r="N31" s="60">
        <v>113.30</v>
      </c>
      <c r="O31" s="60">
        <v>0</v>
      </c>
      <c r="P31" s="60">
        <v>1.90</v>
      </c>
      <c r="Q31" s="60">
        <v>67.22</v>
      </c>
      <c r="R31" s="198"/>
      <c r="S31" s="198"/>
      <c r="T31" s="198"/>
      <c r="U31" s="198"/>
    </row>
    <row r="32" spans="1:21" s="12" customFormat="1" ht="15">
      <c r="A32" s="201" t="s">
        <v>556</v>
      </c>
      <c r="B32" s="60">
        <v>4.29</v>
      </c>
      <c r="C32" s="60">
        <v>40.840000000000003</v>
      </c>
      <c r="D32" s="60">
        <v>45.13</v>
      </c>
      <c r="E32" s="60">
        <v>6.39</v>
      </c>
      <c r="F32" s="60">
        <v>0.13</v>
      </c>
      <c r="G32" s="60">
        <v>137.74</v>
      </c>
      <c r="H32" s="60">
        <v>43.09</v>
      </c>
      <c r="I32" s="60">
        <v>6.14</v>
      </c>
      <c r="J32" s="60">
        <v>1.99</v>
      </c>
      <c r="K32" s="60">
        <v>167.73</v>
      </c>
      <c r="L32" s="60">
        <v>41.55</v>
      </c>
      <c r="M32" s="60">
        <v>42.76</v>
      </c>
      <c r="N32" s="60">
        <v>113.70</v>
      </c>
      <c r="O32" s="60">
        <v>0</v>
      </c>
      <c r="P32" s="60">
        <v>1.87</v>
      </c>
      <c r="Q32" s="60">
        <v>68.03</v>
      </c>
      <c r="R32" s="198"/>
      <c r="S32" s="198"/>
      <c r="T32" s="198"/>
      <c r="U32" s="198"/>
    </row>
    <row r="33" spans="1:21" s="12" customFormat="1" ht="15">
      <c r="A33" s="201" t="s">
        <v>557</v>
      </c>
      <c r="B33" s="60">
        <v>4.6399999999999997</v>
      </c>
      <c r="C33" s="60">
        <v>41.66</v>
      </c>
      <c r="D33" s="60">
        <v>46.29</v>
      </c>
      <c r="E33" s="60">
        <v>6.23</v>
      </c>
      <c r="F33" s="60">
        <v>0.17</v>
      </c>
      <c r="G33" s="60">
        <v>137.74</v>
      </c>
      <c r="H33" s="60">
        <v>43.09</v>
      </c>
      <c r="I33" s="60">
        <v>6.63</v>
      </c>
      <c r="J33" s="60">
        <v>1.06</v>
      </c>
      <c r="K33" s="60">
        <v>214.83</v>
      </c>
      <c r="L33" s="60">
        <v>40.74</v>
      </c>
      <c r="M33" s="60">
        <v>42.30</v>
      </c>
      <c r="N33" s="60">
        <v>153.80000000000001</v>
      </c>
      <c r="O33" s="60">
        <v>0</v>
      </c>
      <c r="P33" s="60">
        <v>1.90</v>
      </c>
      <c r="Q33" s="60">
        <v>68.28</v>
      </c>
      <c r="R33" s="198"/>
      <c r="S33" s="198"/>
      <c r="T33" s="198"/>
      <c r="U33" s="198"/>
    </row>
    <row r="34" spans="1:21" s="12" customFormat="1" ht="15">
      <c r="A34" s="201" t="s">
        <v>558</v>
      </c>
      <c r="B34" s="60">
        <v>4.70</v>
      </c>
      <c r="C34" s="60">
        <v>41.82</v>
      </c>
      <c r="D34" s="60">
        <v>46.51</v>
      </c>
      <c r="E34" s="60">
        <v>6.26</v>
      </c>
      <c r="F34" s="60">
        <v>0.44</v>
      </c>
      <c r="G34" s="60">
        <v>154.22999999999999</v>
      </c>
      <c r="H34" s="60">
        <v>45.63</v>
      </c>
      <c r="I34" s="60">
        <v>6.68</v>
      </c>
      <c r="J34" s="60">
        <v>1.63</v>
      </c>
      <c r="K34" s="60">
        <v>213.49</v>
      </c>
      <c r="L34" s="60">
        <v>41.40</v>
      </c>
      <c r="M34" s="60">
        <v>41.42</v>
      </c>
      <c r="N34" s="60">
        <v>202.40</v>
      </c>
      <c r="O34" s="60">
        <v>0</v>
      </c>
      <c r="P34" s="60">
        <v>1.92</v>
      </c>
      <c r="Q34" s="60">
        <v>67.91</v>
      </c>
      <c r="R34" s="198"/>
      <c r="S34" s="198"/>
      <c r="T34" s="198"/>
      <c r="U34" s="198"/>
    </row>
    <row r="35" spans="1:21" s="12" customFormat="1" ht="15">
      <c r="A35" s="201" t="s">
        <v>559</v>
      </c>
      <c r="B35" s="60">
        <v>4.28</v>
      </c>
      <c r="C35" s="60">
        <v>39.97</v>
      </c>
      <c r="D35" s="60">
        <v>44.25</v>
      </c>
      <c r="E35" s="60">
        <v>6.75</v>
      </c>
      <c r="F35" s="60">
        <v>1.18</v>
      </c>
      <c r="G35" s="60">
        <v>154.47999999999999</v>
      </c>
      <c r="H35" s="60">
        <v>46.51</v>
      </c>
      <c r="I35" s="60">
        <v>6.81</v>
      </c>
      <c r="J35" s="60">
        <v>1.24</v>
      </c>
      <c r="K35" s="60">
        <v>228.86</v>
      </c>
      <c r="L35" s="60">
        <v>42.28</v>
      </c>
      <c r="M35" s="60">
        <v>39.229999999999997</v>
      </c>
      <c r="N35" s="60">
        <v>254.5</v>
      </c>
      <c r="O35" s="60">
        <v>0</v>
      </c>
      <c r="P35" s="60">
        <v>1.89</v>
      </c>
      <c r="Q35" s="60">
        <v>66.959999999999994</v>
      </c>
      <c r="R35" s="198"/>
      <c r="S35" s="198"/>
      <c r="T35" s="198"/>
      <c r="U35" s="198"/>
    </row>
    <row r="36" spans="1:21" s="12" customFormat="1" ht="15">
      <c r="A36" s="201" t="s">
        <v>560</v>
      </c>
      <c r="B36" s="60">
        <v>3.92</v>
      </c>
      <c r="C36" s="60">
        <v>37.31</v>
      </c>
      <c r="D36" s="60">
        <v>41.24</v>
      </c>
      <c r="E36" s="60">
        <v>2.77</v>
      </c>
      <c r="F36" s="60">
        <v>1.46</v>
      </c>
      <c r="G36" s="60">
        <v>154.47999999999999</v>
      </c>
      <c r="H36" s="60">
        <v>46.51</v>
      </c>
      <c r="I36" s="60">
        <v>7.04</v>
      </c>
      <c r="J36" s="60">
        <v>2.2599999999999998</v>
      </c>
      <c r="K36" s="60">
        <v>181.48</v>
      </c>
      <c r="L36" s="60">
        <v>42.98</v>
      </c>
      <c r="M36" s="60">
        <v>38.159999999999997</v>
      </c>
      <c r="N36" s="60">
        <v>314.80</v>
      </c>
      <c r="O36" s="60">
        <v>0</v>
      </c>
      <c r="P36" s="60">
        <v>1.85</v>
      </c>
      <c r="Q36" s="60">
        <v>52.43</v>
      </c>
      <c r="R36" s="198"/>
      <c r="S36" s="198"/>
      <c r="T36" s="198"/>
      <c r="U36" s="198"/>
    </row>
    <row r="37" spans="1:21" s="12" customFormat="1" ht="15">
      <c r="A37" s="201" t="s">
        <v>561</v>
      </c>
      <c r="B37" s="60">
        <v>3.48</v>
      </c>
      <c r="C37" s="60">
        <v>39.49</v>
      </c>
      <c r="D37" s="60">
        <v>42.97</v>
      </c>
      <c r="E37" s="60">
        <v>6.25</v>
      </c>
      <c r="F37" s="60">
        <v>1.60</v>
      </c>
      <c r="G37" s="60">
        <v>154.47999999999999</v>
      </c>
      <c r="H37" s="60">
        <v>46.51</v>
      </c>
      <c r="I37" s="60">
        <v>6.87</v>
      </c>
      <c r="J37" s="60">
        <v>0.97</v>
      </c>
      <c r="K37" s="60">
        <v>225.37</v>
      </c>
      <c r="L37" s="60">
        <v>43.88</v>
      </c>
      <c r="M37" s="60">
        <v>37.94</v>
      </c>
      <c r="N37" s="60">
        <v>372.90</v>
      </c>
      <c r="O37" s="60">
        <v>0</v>
      </c>
      <c r="P37" s="60">
        <v>1.86</v>
      </c>
      <c r="Q37" s="60">
        <v>53.08</v>
      </c>
      <c r="R37" s="198"/>
      <c r="S37" s="198"/>
      <c r="T37" s="198"/>
      <c r="U37" s="198"/>
    </row>
    <row r="38" spans="1:21" s="12" customFormat="1" ht="15">
      <c r="A38" s="201" t="s">
        <v>562</v>
      </c>
      <c r="B38" s="60">
        <v>2.84</v>
      </c>
      <c r="C38" s="60">
        <v>40.130000000000003</v>
      </c>
      <c r="D38" s="60">
        <v>42.97</v>
      </c>
      <c r="E38" s="60">
        <v>6.75</v>
      </c>
      <c r="F38" s="60">
        <v>1.76</v>
      </c>
      <c r="G38" s="60">
        <v>168.80</v>
      </c>
      <c r="H38" s="60">
        <v>48.21</v>
      </c>
      <c r="I38" s="60">
        <v>6.61</v>
      </c>
      <c r="J38" s="60">
        <v>1.39</v>
      </c>
      <c r="K38" s="60">
        <v>221.35</v>
      </c>
      <c r="L38" s="60">
        <v>44.62</v>
      </c>
      <c r="M38" s="60">
        <v>38.17</v>
      </c>
      <c r="N38" s="60">
        <v>426.60</v>
      </c>
      <c r="O38" s="60">
        <v>0</v>
      </c>
      <c r="P38" s="60">
        <v>1.83</v>
      </c>
      <c r="Q38" s="60">
        <v>58.12</v>
      </c>
      <c r="R38" s="198"/>
      <c r="S38" s="198"/>
      <c r="T38" s="198"/>
      <c r="U38" s="198"/>
    </row>
    <row r="39" spans="1:21" s="12" customFormat="1" ht="15">
      <c r="A39" s="201" t="s">
        <v>563</v>
      </c>
      <c r="B39" s="60">
        <v>2.42</v>
      </c>
      <c r="C39" s="60">
        <v>39.40</v>
      </c>
      <c r="D39" s="60">
        <v>41.82</v>
      </c>
      <c r="E39" s="60">
        <v>6.70</v>
      </c>
      <c r="F39" s="60">
        <v>2</v>
      </c>
      <c r="G39" s="60">
        <v>169.14</v>
      </c>
      <c r="H39" s="60">
        <v>48.82</v>
      </c>
      <c r="I39" s="60">
        <v>7.16</v>
      </c>
      <c r="J39" s="60">
        <v>0.76</v>
      </c>
      <c r="K39" s="60">
        <v>194.87</v>
      </c>
      <c r="L39" s="60">
        <v>46.29</v>
      </c>
      <c r="M39" s="60">
        <v>36.94</v>
      </c>
      <c r="N39" s="60">
        <v>465.30</v>
      </c>
      <c r="O39" s="60">
        <v>0</v>
      </c>
      <c r="P39" s="60">
        <v>1.88</v>
      </c>
      <c r="Q39" s="60">
        <v>60.94</v>
      </c>
      <c r="R39" s="198"/>
      <c r="S39" s="198"/>
      <c r="T39" s="198"/>
      <c r="U39" s="198"/>
    </row>
    <row r="40" spans="1:21" s="12" customFormat="1" ht="15">
      <c r="A40" s="201" t="s">
        <v>564</v>
      </c>
      <c r="B40" s="60">
        <v>2.36</v>
      </c>
      <c r="C40" s="60">
        <v>39.450000000000003</v>
      </c>
      <c r="D40" s="60">
        <v>41.80</v>
      </c>
      <c r="E40" s="60">
        <v>6.77</v>
      </c>
      <c r="F40" s="60">
        <v>1.73</v>
      </c>
      <c r="G40" s="60">
        <v>169.14</v>
      </c>
      <c r="H40" s="60">
        <v>48.82</v>
      </c>
      <c r="I40" s="60">
        <v>6.93</v>
      </c>
      <c r="J40" s="60">
        <v>1.49</v>
      </c>
      <c r="K40" s="60">
        <v>328.42</v>
      </c>
      <c r="L40" s="60">
        <v>48.08</v>
      </c>
      <c r="M40" s="60">
        <v>35.729999999999997</v>
      </c>
      <c r="N40" s="60">
        <v>492.30</v>
      </c>
      <c r="O40" s="60">
        <v>0</v>
      </c>
      <c r="P40" s="60">
        <v>1.98</v>
      </c>
      <c r="Q40" s="60">
        <v>60.42</v>
      </c>
      <c r="R40" s="198"/>
      <c r="S40" s="198"/>
      <c r="T40" s="198"/>
      <c r="U40" s="198"/>
    </row>
    <row r="41" spans="1:21" s="12" customFormat="1" ht="15">
      <c r="A41" s="201" t="s">
        <v>565</v>
      </c>
      <c r="B41" s="60">
        <v>2.52</v>
      </c>
      <c r="C41" s="60">
        <v>40.520000000000003</v>
      </c>
      <c r="D41" s="60">
        <v>43.03</v>
      </c>
      <c r="E41" s="60">
        <v>7.10</v>
      </c>
      <c r="F41" s="60">
        <v>1.61</v>
      </c>
      <c r="G41" s="60">
        <v>169.14</v>
      </c>
      <c r="H41" s="60">
        <v>48.82</v>
      </c>
      <c r="I41" s="60">
        <v>7.47</v>
      </c>
      <c r="J41" s="60">
        <v>0.20</v>
      </c>
      <c r="K41" s="60">
        <v>327.08999999999997</v>
      </c>
      <c r="L41" s="60">
        <v>48.20</v>
      </c>
      <c r="M41" s="60">
        <v>32.369999999999997</v>
      </c>
      <c r="N41" s="60">
        <v>520.29999999999995</v>
      </c>
      <c r="O41" s="60">
        <v>0</v>
      </c>
      <c r="P41" s="60">
        <v>2.0099999999999998</v>
      </c>
      <c r="Q41" s="60">
        <v>60.41</v>
      </c>
      <c r="R41" s="198"/>
      <c r="S41" s="198"/>
      <c r="T41" s="198"/>
      <c r="U41" s="198"/>
    </row>
    <row r="42" spans="1:21" s="12" customFormat="1" ht="15">
      <c r="A42" s="201" t="s">
        <v>566</v>
      </c>
      <c r="B42" s="60">
        <v>2.31</v>
      </c>
      <c r="C42" s="60">
        <v>42.79</v>
      </c>
      <c r="D42" s="60">
        <v>45.10</v>
      </c>
      <c r="E42" s="60">
        <v>7.06</v>
      </c>
      <c r="F42" s="60">
        <v>1.84</v>
      </c>
      <c r="G42" s="60">
        <v>185.54</v>
      </c>
      <c r="H42" s="60">
        <v>49.78</v>
      </c>
      <c r="I42" s="60">
        <v>8.0299999999999994</v>
      </c>
      <c r="J42" s="60">
        <v>0.48</v>
      </c>
      <c r="K42" s="60">
        <v>306.17</v>
      </c>
      <c r="L42" s="60">
        <v>47.75</v>
      </c>
      <c r="M42" s="60">
        <v>30.40</v>
      </c>
      <c r="N42" s="60">
        <v>574.10</v>
      </c>
      <c r="O42" s="60">
        <v>0</v>
      </c>
      <c r="P42" s="60">
        <v>2.12</v>
      </c>
      <c r="Q42" s="60">
        <v>62.42</v>
      </c>
      <c r="R42" s="198"/>
      <c r="S42" s="198"/>
      <c r="T42" s="198"/>
      <c r="U42" s="198"/>
    </row>
    <row r="43" spans="1:21" s="12" customFormat="1" ht="15">
      <c r="A43" s="201" t="s">
        <v>567</v>
      </c>
      <c r="B43" s="60">
        <v>1.87</v>
      </c>
      <c r="C43" s="60">
        <v>42.29</v>
      </c>
      <c r="D43" s="60">
        <v>44.17</v>
      </c>
      <c r="E43" s="60">
        <v>7.17</v>
      </c>
      <c r="F43" s="60">
        <v>2.70</v>
      </c>
      <c r="G43" s="60">
        <v>185.79</v>
      </c>
      <c r="H43" s="60">
        <v>50.10</v>
      </c>
      <c r="I43" s="60">
        <v>8.6199999999999992</v>
      </c>
      <c r="J43" s="60">
        <v>1.19</v>
      </c>
      <c r="K43" s="60">
        <v>304.89</v>
      </c>
      <c r="L43" s="60">
        <v>47.17</v>
      </c>
      <c r="M43" s="60">
        <v>29.68</v>
      </c>
      <c r="N43" s="60">
        <v>682.5</v>
      </c>
      <c r="O43" s="60">
        <v>0</v>
      </c>
      <c r="P43" s="60">
        <v>2.09</v>
      </c>
      <c r="Q43" s="60">
        <v>69.72</v>
      </c>
      <c r="R43" s="198"/>
      <c r="S43" s="198"/>
      <c r="T43" s="198"/>
      <c r="U43" s="198"/>
    </row>
    <row r="44" spans="1:21" s="12" customFormat="1" ht="15">
      <c r="A44" s="201" t="s">
        <v>568</v>
      </c>
      <c r="B44" s="60">
        <v>1.22</v>
      </c>
      <c r="C44" s="60">
        <v>43.25</v>
      </c>
      <c r="D44" s="60">
        <v>44.46</v>
      </c>
      <c r="E44" s="60">
        <v>6.77</v>
      </c>
      <c r="F44" s="60">
        <v>3.54</v>
      </c>
      <c r="G44" s="60">
        <v>185.79</v>
      </c>
      <c r="H44" s="60">
        <v>50.10</v>
      </c>
      <c r="I44" s="60">
        <v>11.45</v>
      </c>
      <c r="J44" s="60">
        <v>2.2200000000000002</v>
      </c>
      <c r="K44" s="60">
        <v>322.62</v>
      </c>
      <c r="L44" s="60">
        <v>49.82</v>
      </c>
      <c r="M44" s="60">
        <v>28.45</v>
      </c>
      <c r="N44" s="60">
        <v>755.80</v>
      </c>
      <c r="O44" s="60">
        <v>0</v>
      </c>
      <c r="P44" s="60">
        <v>2.1800000000000002</v>
      </c>
      <c r="Q44" s="60">
        <v>70.16</v>
      </c>
      <c r="R44" s="198"/>
      <c r="S44" s="198"/>
      <c r="T44" s="198"/>
      <c r="U44" s="198"/>
    </row>
    <row r="45" spans="1:21" s="12" customFormat="1" ht="15">
      <c r="A45" s="201" t="s">
        <v>569</v>
      </c>
      <c r="B45" s="60">
        <v>1.25</v>
      </c>
      <c r="C45" s="60">
        <v>45.85</v>
      </c>
      <c r="D45" s="60">
        <v>47.10</v>
      </c>
      <c r="E45" s="60">
        <v>6.93</v>
      </c>
      <c r="F45" s="60">
        <v>3.84</v>
      </c>
      <c r="G45" s="60">
        <v>185.79</v>
      </c>
      <c r="H45" s="60">
        <v>50.10</v>
      </c>
      <c r="I45" s="60">
        <v>12.04</v>
      </c>
      <c r="J45" s="60">
        <v>2.2999999999999998</v>
      </c>
      <c r="K45" s="60">
        <v>319.14</v>
      </c>
      <c r="L45" s="60">
        <v>51.76</v>
      </c>
      <c r="M45" s="60">
        <v>24.96</v>
      </c>
      <c r="N45" s="60">
        <v>802.40</v>
      </c>
      <c r="O45" s="60">
        <v>0</v>
      </c>
      <c r="P45" s="60">
        <v>2.2799999999999998</v>
      </c>
      <c r="Q45" s="60">
        <v>69.17</v>
      </c>
      <c r="R45" s="198"/>
      <c r="S45" s="198"/>
      <c r="T45" s="198"/>
      <c r="U45" s="198"/>
    </row>
    <row r="46" spans="1:21" s="12" customFormat="1" ht="15">
      <c r="A46" s="201" t="s">
        <v>570</v>
      </c>
      <c r="B46" s="60">
        <v>1.35</v>
      </c>
      <c r="C46" s="60">
        <v>48.01</v>
      </c>
      <c r="D46" s="60">
        <v>49.36</v>
      </c>
      <c r="E46" s="60">
        <v>6.58</v>
      </c>
      <c r="F46" s="60">
        <v>3.82</v>
      </c>
      <c r="G46" s="60">
        <v>205.05</v>
      </c>
      <c r="H46" s="60">
        <v>54.10</v>
      </c>
      <c r="I46" s="60">
        <v>14.35</v>
      </c>
      <c r="J46" s="60">
        <v>2.80</v>
      </c>
      <c r="K46" s="60">
        <v>317.49</v>
      </c>
      <c r="L46" s="60">
        <v>52.68</v>
      </c>
      <c r="M46" s="60">
        <v>23</v>
      </c>
      <c r="N46" s="60">
        <v>829.30</v>
      </c>
      <c r="O46" s="60">
        <v>0</v>
      </c>
      <c r="P46" s="60">
        <v>2.2400000000000002</v>
      </c>
      <c r="Q46" s="60">
        <v>67.17</v>
      </c>
      <c r="R46" s="198"/>
      <c r="S46" s="198"/>
      <c r="T46" s="198"/>
      <c r="U46" s="198"/>
    </row>
    <row r="47" spans="1:21" s="12" customFormat="1" ht="15">
      <c r="A47" s="201" t="s">
        <v>571</v>
      </c>
      <c r="B47" s="60">
        <v>1.32</v>
      </c>
      <c r="C47" s="60">
        <v>48.47</v>
      </c>
      <c r="D47" s="60">
        <v>49.78</v>
      </c>
      <c r="E47" s="60">
        <v>6.53</v>
      </c>
      <c r="F47" s="60">
        <v>4.0999999999999996</v>
      </c>
      <c r="G47" s="60">
        <v>205.35</v>
      </c>
      <c r="H47" s="60">
        <v>55.48</v>
      </c>
      <c r="I47" s="60">
        <v>16.170000000000002</v>
      </c>
      <c r="J47" s="60">
        <v>2.4900000000000002</v>
      </c>
      <c r="K47" s="60">
        <v>325.05</v>
      </c>
      <c r="L47" s="60">
        <v>54.26</v>
      </c>
      <c r="M47" s="60">
        <v>20.80</v>
      </c>
      <c r="N47" s="60">
        <v>877.5</v>
      </c>
      <c r="O47" s="60">
        <v>0</v>
      </c>
      <c r="P47" s="60">
        <v>2.2000000000000002</v>
      </c>
      <c r="Q47" s="60">
        <v>65.28</v>
      </c>
      <c r="R47" s="198"/>
      <c r="S47" s="198"/>
      <c r="T47" s="198"/>
      <c r="U47" s="198"/>
    </row>
    <row r="48" spans="1:21" s="12" customFormat="1" ht="15">
      <c r="A48" s="201" t="s">
        <v>572</v>
      </c>
      <c r="B48" s="60">
        <v>1.61</v>
      </c>
      <c r="C48" s="60">
        <v>49.25</v>
      </c>
      <c r="D48" s="60">
        <v>50.86</v>
      </c>
      <c r="E48" s="60">
        <v>6.61</v>
      </c>
      <c r="F48" s="60">
        <v>4.04</v>
      </c>
      <c r="G48" s="60">
        <v>205.35</v>
      </c>
      <c r="H48" s="60">
        <v>55.48</v>
      </c>
      <c r="I48" s="60">
        <v>13.99</v>
      </c>
      <c r="J48" s="60">
        <v>2.17</v>
      </c>
      <c r="K48" s="60">
        <v>327.98</v>
      </c>
      <c r="L48" s="60">
        <v>53.90</v>
      </c>
      <c r="M48" s="60">
        <v>19.93</v>
      </c>
      <c r="N48" s="60">
        <v>903.20</v>
      </c>
      <c r="O48" s="60">
        <v>0</v>
      </c>
      <c r="P48" s="60">
        <v>2.2000000000000002</v>
      </c>
      <c r="Q48" s="60">
        <v>64.27</v>
      </c>
      <c r="R48" s="198"/>
      <c r="S48" s="198"/>
      <c r="T48" s="198"/>
      <c r="U48" s="198"/>
    </row>
    <row r="49" spans="1:21" s="12" customFormat="1" ht="15">
      <c r="A49" s="201" t="s">
        <v>573</v>
      </c>
      <c r="B49" s="60">
        <v>1.43</v>
      </c>
      <c r="C49" s="60">
        <v>49.09</v>
      </c>
      <c r="D49" s="60">
        <v>50.52</v>
      </c>
      <c r="E49" s="60">
        <v>6.37</v>
      </c>
      <c r="F49" s="60">
        <v>4.55</v>
      </c>
      <c r="G49" s="60">
        <v>205.35</v>
      </c>
      <c r="H49" s="60">
        <v>55.48</v>
      </c>
      <c r="I49" s="60">
        <v>13.11</v>
      </c>
      <c r="J49" s="60">
        <v>3.02</v>
      </c>
      <c r="K49" s="60">
        <v>319.06</v>
      </c>
      <c r="L49" s="60">
        <v>53.92</v>
      </c>
      <c r="M49" s="60">
        <v>19.39</v>
      </c>
      <c r="N49" s="60">
        <v>780.5</v>
      </c>
      <c r="O49" s="60">
        <v>0</v>
      </c>
      <c r="P49" s="60">
        <v>2.15</v>
      </c>
      <c r="Q49" s="60">
        <v>64.41</v>
      </c>
      <c r="R49" s="198"/>
      <c r="S49" s="198"/>
      <c r="T49" s="198"/>
      <c r="U49" s="198"/>
    </row>
    <row r="50" spans="1:21" s="12" customFormat="1" ht="15">
      <c r="A50" s="201" t="s">
        <v>574</v>
      </c>
      <c r="B50" s="60">
        <v>1.37</v>
      </c>
      <c r="C50" s="60">
        <v>48.14</v>
      </c>
      <c r="D50" s="60">
        <v>49.51</v>
      </c>
      <c r="E50" s="60">
        <v>6.20</v>
      </c>
      <c r="F50" s="60">
        <v>4.53</v>
      </c>
      <c r="G50" s="60">
        <v>152.99</v>
      </c>
      <c r="H50" s="60">
        <v>47.21</v>
      </c>
      <c r="I50" s="60">
        <v>12.78</v>
      </c>
      <c r="J50" s="60">
        <v>2.85</v>
      </c>
      <c r="K50" s="60">
        <v>323.83</v>
      </c>
      <c r="L50" s="60">
        <v>54.62</v>
      </c>
      <c r="M50" s="60">
        <v>19.38</v>
      </c>
      <c r="N50" s="60">
        <v>948.60</v>
      </c>
      <c r="O50" s="60">
        <v>0</v>
      </c>
      <c r="P50" s="60">
        <v>2.0699999999999998</v>
      </c>
      <c r="Q50" s="60">
        <v>62.05</v>
      </c>
      <c r="R50" s="198"/>
      <c r="S50" s="198"/>
      <c r="T50" s="198"/>
      <c r="U50" s="198"/>
    </row>
    <row r="51" spans="1:21" s="12" customFormat="1" ht="15">
      <c r="A51" s="201" t="s">
        <v>575</v>
      </c>
      <c r="B51" s="60">
        <v>1.73</v>
      </c>
      <c r="C51" s="60">
        <v>48.39</v>
      </c>
      <c r="D51" s="60">
        <v>50.12</v>
      </c>
      <c r="E51" s="60">
        <v>5.74</v>
      </c>
      <c r="F51" s="60">
        <v>4.32</v>
      </c>
      <c r="G51" s="60">
        <v>152.18</v>
      </c>
      <c r="H51" s="60">
        <v>44.38</v>
      </c>
      <c r="I51" s="60">
        <v>11.78</v>
      </c>
      <c r="J51" s="60">
        <v>4.16</v>
      </c>
      <c r="K51" s="60">
        <v>326.27</v>
      </c>
      <c r="L51" s="60">
        <v>55.57</v>
      </c>
      <c r="M51" s="60">
        <v>17.09</v>
      </c>
      <c r="N51" s="60">
        <v>1035</v>
      </c>
      <c r="O51" s="60">
        <v>0</v>
      </c>
      <c r="P51" s="60">
        <v>2.0299999999999998</v>
      </c>
      <c r="Q51" s="60">
        <v>62.81</v>
      </c>
      <c r="R51" s="198"/>
      <c r="S51" s="198"/>
      <c r="T51" s="198"/>
      <c r="U51" s="198"/>
    </row>
    <row r="52" spans="1:21" s="12" customFormat="1" ht="15">
      <c r="A52" s="201" t="s">
        <v>576</v>
      </c>
      <c r="B52" s="60">
        <v>1.63</v>
      </c>
      <c r="C52" s="60">
        <v>47.47</v>
      </c>
      <c r="D52" s="60">
        <v>49.09</v>
      </c>
      <c r="E52" s="60">
        <v>3.10</v>
      </c>
      <c r="F52" s="60">
        <v>4.57</v>
      </c>
      <c r="G52" s="60">
        <v>152.18</v>
      </c>
      <c r="H52" s="60">
        <v>44.38</v>
      </c>
      <c r="I52" s="60">
        <v>9.14</v>
      </c>
      <c r="J52" s="60">
        <v>5.61</v>
      </c>
      <c r="K52" s="60">
        <v>334</v>
      </c>
      <c r="L52" s="60">
        <v>55.29</v>
      </c>
      <c r="M52" s="60">
        <v>16.53</v>
      </c>
      <c r="N52" s="60">
        <v>991.30</v>
      </c>
      <c r="O52" s="60">
        <v>0</v>
      </c>
      <c r="P52" s="60">
        <v>2.0299999999999998</v>
      </c>
      <c r="Q52" s="60">
        <v>61.34</v>
      </c>
      <c r="R52" s="198"/>
      <c r="S52" s="198"/>
      <c r="T52" s="198"/>
      <c r="U52" s="198"/>
    </row>
    <row r="53" spans="1:21" s="12" customFormat="1" ht="15">
      <c r="A53" s="201" t="s">
        <v>577</v>
      </c>
      <c r="B53" s="60">
        <v>1.89</v>
      </c>
      <c r="C53" s="60">
        <v>46.73</v>
      </c>
      <c r="D53" s="60">
        <v>48.62</v>
      </c>
      <c r="E53" s="60">
        <v>6.17</v>
      </c>
      <c r="F53" s="60">
        <v>6.99</v>
      </c>
      <c r="G53" s="60">
        <v>152.18</v>
      </c>
      <c r="H53" s="60">
        <v>44.38</v>
      </c>
      <c r="I53" s="60">
        <v>8.9600000000000009</v>
      </c>
      <c r="J53" s="60">
        <v>4.62</v>
      </c>
      <c r="K53" s="60">
        <v>340.48</v>
      </c>
      <c r="L53" s="60">
        <v>55.46</v>
      </c>
      <c r="M53" s="60">
        <v>15.75</v>
      </c>
      <c r="N53" s="60">
        <v>992.60</v>
      </c>
      <c r="O53" s="60">
        <v>0</v>
      </c>
      <c r="P53" s="60">
        <v>1.79</v>
      </c>
      <c r="Q53" s="60">
        <v>59.26</v>
      </c>
      <c r="R53" s="198"/>
      <c r="S53" s="198"/>
      <c r="T53" s="198"/>
      <c r="U53" s="198"/>
    </row>
    <row r="54" spans="1:21" s="12" customFormat="1" ht="15">
      <c r="A54" s="201" t="s">
        <v>578</v>
      </c>
      <c r="B54" s="60">
        <v>2.19</v>
      </c>
      <c r="C54" s="60">
        <v>47.19</v>
      </c>
      <c r="D54" s="60">
        <v>49.37</v>
      </c>
      <c r="E54" s="60">
        <v>6.17</v>
      </c>
      <c r="F54" s="60">
        <v>5.51</v>
      </c>
      <c r="G54" s="60">
        <v>140.57</v>
      </c>
      <c r="H54" s="60">
        <v>39.93</v>
      </c>
      <c r="I54" s="60">
        <v>9.27</v>
      </c>
      <c r="J54" s="60">
        <v>5.22</v>
      </c>
      <c r="K54" s="60">
        <v>317.70999999999998</v>
      </c>
      <c r="L54" s="60">
        <v>55.77</v>
      </c>
      <c r="M54" s="60">
        <v>16.28</v>
      </c>
      <c r="N54" s="60">
        <v>949.90</v>
      </c>
      <c r="O54" s="60">
        <v>0</v>
      </c>
      <c r="P54" s="60">
        <v>1.92</v>
      </c>
      <c r="Q54" s="60">
        <v>53.64</v>
      </c>
      <c r="R54" s="198"/>
      <c r="S54" s="198"/>
      <c r="T54" s="198"/>
      <c r="U54" s="198"/>
    </row>
    <row r="55" spans="1:21" s="12" customFormat="1" ht="15">
      <c r="A55" s="201" t="s">
        <v>579</v>
      </c>
      <c r="B55" s="60">
        <v>1.78</v>
      </c>
      <c r="C55" s="60">
        <v>49.90</v>
      </c>
      <c r="D55" s="60">
        <v>51.68</v>
      </c>
      <c r="E55" s="60">
        <v>5.68</v>
      </c>
      <c r="F55" s="60">
        <v>19.170000000000002</v>
      </c>
      <c r="G55" s="60">
        <v>140.38</v>
      </c>
      <c r="H55" s="60">
        <v>38.33</v>
      </c>
      <c r="I55" s="60">
        <v>5.28</v>
      </c>
      <c r="J55" s="60">
        <v>4.80</v>
      </c>
      <c r="K55" s="60">
        <v>318.77</v>
      </c>
      <c r="L55" s="60">
        <v>56.32</v>
      </c>
      <c r="M55" s="60">
        <v>16.739999999999998</v>
      </c>
      <c r="N55" s="60">
        <v>1046.5999999999999</v>
      </c>
      <c r="O55" s="60">
        <v>0</v>
      </c>
      <c r="P55" s="60">
        <v>1.65</v>
      </c>
      <c r="Q55" s="60">
        <v>55.49</v>
      </c>
      <c r="R55" s="198"/>
      <c r="S55" s="198"/>
      <c r="T55" s="198"/>
      <c r="U55" s="198"/>
    </row>
    <row r="56" spans="1:21" s="12" customFormat="1" ht="15">
      <c r="A56" s="201" t="s">
        <v>580</v>
      </c>
      <c r="B56" s="60">
        <v>1.52</v>
      </c>
      <c r="C56" s="60">
        <v>52.81</v>
      </c>
      <c r="D56" s="60">
        <v>54.33</v>
      </c>
      <c r="E56" s="60">
        <v>3.64</v>
      </c>
      <c r="F56" s="60">
        <v>12.41</v>
      </c>
      <c r="G56" s="60">
        <v>140.38</v>
      </c>
      <c r="H56" s="60">
        <v>38.33</v>
      </c>
      <c r="I56" s="60">
        <v>8.15</v>
      </c>
      <c r="J56" s="60">
        <v>4.2699999999999996</v>
      </c>
      <c r="K56" s="60">
        <v>321.87</v>
      </c>
      <c r="L56" s="60">
        <v>56.75</v>
      </c>
      <c r="M56" s="60">
        <v>15.67</v>
      </c>
      <c r="N56" s="60">
        <v>1048.5999999999999</v>
      </c>
      <c r="O56" s="60">
        <v>0</v>
      </c>
      <c r="P56" s="60">
        <v>1.56</v>
      </c>
      <c r="Q56" s="60">
        <v>74.400000000000006</v>
      </c>
      <c r="R56" s="198"/>
      <c r="S56" s="198"/>
      <c r="T56" s="198"/>
      <c r="U56" s="198"/>
    </row>
    <row r="57" spans="1:21" s="12" customFormat="1" ht="15">
      <c r="A57" s="201" t="s">
        <v>581</v>
      </c>
      <c r="B57" s="60">
        <v>1.63</v>
      </c>
      <c r="C57" s="60">
        <v>52.29</v>
      </c>
      <c r="D57" s="60">
        <v>53.93</v>
      </c>
      <c r="E57" s="60">
        <v>3.19</v>
      </c>
      <c r="F57" s="60">
        <v>8.25</v>
      </c>
      <c r="G57" s="60">
        <v>140.38</v>
      </c>
      <c r="H57" s="60">
        <v>38.33</v>
      </c>
      <c r="I57" s="60">
        <v>4.6500000000000004</v>
      </c>
      <c r="J57" s="60">
        <v>0.90</v>
      </c>
      <c r="K57" s="60">
        <v>348.55</v>
      </c>
      <c r="L57" s="60">
        <v>54.34</v>
      </c>
      <c r="M57" s="60">
        <v>14.81</v>
      </c>
      <c r="N57" s="60">
        <v>1012.80</v>
      </c>
      <c r="O57" s="60">
        <v>0</v>
      </c>
      <c r="P57" s="60">
        <v>1.51</v>
      </c>
      <c r="Q57" s="60">
        <v>101.77</v>
      </c>
      <c r="R57" s="198"/>
      <c r="S57" s="198"/>
      <c r="T57" s="198"/>
      <c r="U57" s="198"/>
    </row>
    <row r="58" spans="1:21" s="12" customFormat="1" ht="15">
      <c r="A58" s="201" t="s">
        <v>582</v>
      </c>
      <c r="B58" s="60">
        <v>4.20</v>
      </c>
      <c r="C58" s="60">
        <v>50.18</v>
      </c>
      <c r="D58" s="60">
        <v>54.39</v>
      </c>
      <c r="E58" s="60">
        <v>3.81</v>
      </c>
      <c r="F58" s="60">
        <v>6.22</v>
      </c>
      <c r="G58" s="26" t="s">
        <v>40</v>
      </c>
      <c r="H58" s="26" t="s">
        <v>40</v>
      </c>
      <c r="I58" s="60">
        <v>3.77</v>
      </c>
      <c r="J58" s="60">
        <v>3.74</v>
      </c>
      <c r="K58" s="60">
        <v>343.08</v>
      </c>
      <c r="L58" s="60">
        <v>51.90</v>
      </c>
      <c r="M58" s="60">
        <v>14.94</v>
      </c>
      <c r="N58" s="60">
        <v>954</v>
      </c>
      <c r="O58" s="60">
        <v>0</v>
      </c>
      <c r="P58" s="60">
        <v>1.53</v>
      </c>
      <c r="Q58" s="60">
        <v>112.56</v>
      </c>
      <c r="R58" s="198"/>
      <c r="S58" s="198"/>
      <c r="T58" s="198"/>
      <c r="U58" s="198"/>
    </row>
    <row r="59" spans="1:21" s="12" customFormat="1" ht="15">
      <c r="A59" s="201" t="s">
        <v>583</v>
      </c>
      <c r="B59" s="60">
        <v>2.95</v>
      </c>
      <c r="C59" s="60">
        <v>52.08</v>
      </c>
      <c r="D59" s="60">
        <v>55.03</v>
      </c>
      <c r="E59" s="60">
        <v>3.44</v>
      </c>
      <c r="F59" s="60">
        <v>6.69</v>
      </c>
      <c r="G59" s="26" t="s">
        <v>40</v>
      </c>
      <c r="H59" s="26" t="s">
        <v>40</v>
      </c>
      <c r="I59" s="60">
        <v>3.15</v>
      </c>
      <c r="J59" s="60">
        <v>2.02</v>
      </c>
      <c r="K59" s="60">
        <v>341</v>
      </c>
      <c r="L59" s="60">
        <v>53.31</v>
      </c>
      <c r="M59" s="60">
        <v>14.35</v>
      </c>
      <c r="N59" s="60">
        <v>935.70</v>
      </c>
      <c r="O59" s="60">
        <v>0</v>
      </c>
      <c r="P59" s="60">
        <v>1.44</v>
      </c>
      <c r="Q59" s="60">
        <v>130.36000000000001</v>
      </c>
      <c r="R59" s="198"/>
      <c r="S59" s="198"/>
      <c r="T59" s="198"/>
      <c r="U59" s="198"/>
    </row>
    <row r="60" spans="1:21" s="12" customFormat="1" ht="15">
      <c r="A60" s="201" t="s">
        <v>584</v>
      </c>
      <c r="B60" s="60">
        <v>2.35</v>
      </c>
      <c r="C60" s="60">
        <v>51.84</v>
      </c>
      <c r="D60" s="60">
        <v>54.19</v>
      </c>
      <c r="E60" s="60">
        <v>3.28</v>
      </c>
      <c r="F60" s="60">
        <v>8.2200000000000006</v>
      </c>
      <c r="G60" s="26" t="s">
        <v>40</v>
      </c>
      <c r="H60" s="26" t="s">
        <v>40</v>
      </c>
      <c r="I60" s="60">
        <v>1.1299999999999999</v>
      </c>
      <c r="J60" s="60">
        <v>4.37</v>
      </c>
      <c r="K60" s="60">
        <v>332.07</v>
      </c>
      <c r="L60" s="60">
        <v>55.20</v>
      </c>
      <c r="M60" s="60">
        <v>14.25</v>
      </c>
      <c r="N60" s="60">
        <v>1109.5999999999999</v>
      </c>
      <c r="O60" s="60">
        <v>0</v>
      </c>
      <c r="P60" s="60">
        <v>1.51</v>
      </c>
      <c r="Q60" s="60">
        <v>175.02</v>
      </c>
      <c r="R60" s="198"/>
      <c r="S60" s="198"/>
      <c r="T60" s="198"/>
      <c r="U60" s="198"/>
    </row>
    <row r="61" spans="1:21" s="12" customFormat="1" ht="15">
      <c r="A61" s="201" t="s">
        <v>585</v>
      </c>
      <c r="B61" s="60">
        <v>2.66</v>
      </c>
      <c r="C61" s="60">
        <v>46.67</v>
      </c>
      <c r="D61" s="60">
        <v>49.33</v>
      </c>
      <c r="E61" s="60">
        <v>3.10</v>
      </c>
      <c r="F61" s="60">
        <v>5.67</v>
      </c>
      <c r="G61" s="26" t="s">
        <v>40</v>
      </c>
      <c r="H61" s="26" t="s">
        <v>40</v>
      </c>
      <c r="I61" s="60">
        <v>0.01</v>
      </c>
      <c r="J61" s="60">
        <v>3.79</v>
      </c>
      <c r="K61" s="60">
        <v>345.02</v>
      </c>
      <c r="L61" s="60">
        <v>50.87</v>
      </c>
      <c r="M61" s="60">
        <v>13.56</v>
      </c>
      <c r="N61" s="60">
        <v>1026.70</v>
      </c>
      <c r="O61" s="60">
        <v>0</v>
      </c>
      <c r="P61" s="60">
        <v>1.54</v>
      </c>
      <c r="Q61" s="60">
        <v>181.56</v>
      </c>
      <c r="R61" s="198"/>
      <c r="S61" s="198"/>
      <c r="T61" s="198"/>
      <c r="U61" s="198"/>
    </row>
    <row r="62" spans="1:21" s="12" customFormat="1" ht="15">
      <c r="A62" s="201" t="s">
        <v>586</v>
      </c>
      <c r="B62" s="60">
        <v>2.72</v>
      </c>
      <c r="C62" s="60">
        <v>50.23</v>
      </c>
      <c r="D62" s="60">
        <v>52.95</v>
      </c>
      <c r="E62" s="60">
        <v>3.40</v>
      </c>
      <c r="F62" s="60">
        <v>8.93</v>
      </c>
      <c r="G62" s="26" t="s">
        <v>40</v>
      </c>
      <c r="H62" s="26" t="s">
        <v>40</v>
      </c>
      <c r="I62" s="9" t="s">
        <v>36</v>
      </c>
      <c r="J62" s="60">
        <v>4.75</v>
      </c>
      <c r="K62" s="60">
        <v>338.90</v>
      </c>
      <c r="L62" s="60">
        <v>52.07</v>
      </c>
      <c r="M62" s="60">
        <v>13.58</v>
      </c>
      <c r="N62" s="60">
        <v>847.70</v>
      </c>
      <c r="O62" s="60">
        <v>0</v>
      </c>
      <c r="P62" s="60">
        <v>1.52</v>
      </c>
      <c r="Q62" s="60">
        <v>188.16</v>
      </c>
      <c r="R62" s="198"/>
      <c r="S62" s="198"/>
      <c r="T62" s="198"/>
      <c r="U62" s="198"/>
    </row>
    <row r="63" spans="1:21" s="12" customFormat="1" ht="15">
      <c r="A63" s="201" t="s">
        <v>587</v>
      </c>
      <c r="B63" s="60">
        <v>2.08</v>
      </c>
      <c r="C63" s="60">
        <v>50.40</v>
      </c>
      <c r="D63" s="60">
        <v>52.47</v>
      </c>
      <c r="E63" s="60">
        <v>4.5199999999999996</v>
      </c>
      <c r="F63" s="60">
        <v>5.73</v>
      </c>
      <c r="G63" s="26" t="s">
        <v>40</v>
      </c>
      <c r="H63" s="26" t="s">
        <v>40</v>
      </c>
      <c r="I63" s="9" t="s">
        <v>36</v>
      </c>
      <c r="J63" s="60">
        <v>4.6900000000000004</v>
      </c>
      <c r="K63" s="60">
        <v>357.39</v>
      </c>
      <c r="L63" s="60">
        <v>51.19</v>
      </c>
      <c r="M63" s="60">
        <v>13.22</v>
      </c>
      <c r="N63" s="60">
        <v>816.90</v>
      </c>
      <c r="O63" s="60">
        <v>0</v>
      </c>
      <c r="P63" s="60">
        <v>1.53</v>
      </c>
      <c r="Q63" s="60">
        <v>168.5</v>
      </c>
      <c r="R63" s="198"/>
      <c r="S63" s="198"/>
      <c r="T63" s="198"/>
      <c r="U63" s="198"/>
    </row>
    <row r="64" spans="1:21" s="12" customFormat="1" ht="15">
      <c r="A64" s="201" t="s">
        <v>588</v>
      </c>
      <c r="B64" s="60">
        <v>2.69</v>
      </c>
      <c r="C64" s="60">
        <v>49.01</v>
      </c>
      <c r="D64" s="60">
        <v>51.70</v>
      </c>
      <c r="E64" s="60">
        <v>3.01</v>
      </c>
      <c r="F64" s="60">
        <v>4.3899999999999997</v>
      </c>
      <c r="G64" s="26" t="s">
        <v>40</v>
      </c>
      <c r="H64" s="26" t="s">
        <v>40</v>
      </c>
      <c r="I64" s="60">
        <v>0.22</v>
      </c>
      <c r="J64" s="60">
        <v>4.25</v>
      </c>
      <c r="K64" s="60">
        <v>353.02</v>
      </c>
      <c r="L64" s="60">
        <v>48.90</v>
      </c>
      <c r="M64" s="60">
        <v>13.74</v>
      </c>
      <c r="N64" s="60">
        <v>857</v>
      </c>
      <c r="O64" s="60">
        <v>0</v>
      </c>
      <c r="P64" s="60">
        <v>1.54</v>
      </c>
      <c r="Q64" s="60">
        <v>156.47</v>
      </c>
      <c r="R64" s="198"/>
      <c r="S64" s="198"/>
      <c r="T64" s="198"/>
      <c r="U64" s="198"/>
    </row>
    <row r="65" spans="1:21" s="12" customFormat="1" ht="15">
      <c r="A65" s="201" t="s">
        <v>589</v>
      </c>
      <c r="B65" s="60">
        <v>3.44</v>
      </c>
      <c r="C65" s="60">
        <v>47.06</v>
      </c>
      <c r="D65" s="60">
        <v>50.49</v>
      </c>
      <c r="E65" s="60">
        <v>3.68</v>
      </c>
      <c r="F65" s="60">
        <v>7.74</v>
      </c>
      <c r="G65" s="60">
        <v>37.840000000000003</v>
      </c>
      <c r="H65" s="60">
        <v>8.68</v>
      </c>
      <c r="I65" s="60">
        <v>0.22</v>
      </c>
      <c r="J65" s="60">
        <v>4.22</v>
      </c>
      <c r="K65" s="60">
        <v>345.84</v>
      </c>
      <c r="L65" s="60">
        <v>51.87</v>
      </c>
      <c r="M65" s="60">
        <v>12.99</v>
      </c>
      <c r="N65" s="60">
        <v>723.70</v>
      </c>
      <c r="O65" s="60">
        <v>0</v>
      </c>
      <c r="P65" s="60">
        <v>1.54</v>
      </c>
      <c r="Q65" s="60">
        <v>182.04</v>
      </c>
      <c r="R65" s="198"/>
      <c r="S65" s="198"/>
      <c r="T65" s="198"/>
      <c r="U65" s="198"/>
    </row>
    <row r="66" spans="1:21" s="12" customFormat="1" ht="15">
      <c r="A66" s="201" t="s">
        <v>590</v>
      </c>
      <c r="B66" s="60">
        <v>1.93</v>
      </c>
      <c r="C66" s="60">
        <v>49.06</v>
      </c>
      <c r="D66" s="60">
        <v>50.99</v>
      </c>
      <c r="E66" s="60">
        <v>3.33</v>
      </c>
      <c r="F66" s="60">
        <v>8.31</v>
      </c>
      <c r="G66" s="60">
        <v>129.75</v>
      </c>
      <c r="H66" s="60">
        <v>33.96</v>
      </c>
      <c r="I66" s="5" t="s">
        <v>47</v>
      </c>
      <c r="J66" s="60">
        <v>3.82</v>
      </c>
      <c r="K66" s="60">
        <v>344.83</v>
      </c>
      <c r="L66" s="60">
        <v>51.69</v>
      </c>
      <c r="M66" s="60">
        <v>13.92</v>
      </c>
      <c r="N66" s="60">
        <v>685.20</v>
      </c>
      <c r="O66" s="60">
        <v>0</v>
      </c>
      <c r="P66" s="60">
        <v>1.49</v>
      </c>
      <c r="Q66" s="60">
        <v>179.10</v>
      </c>
      <c r="R66" s="198"/>
      <c r="S66" s="198"/>
      <c r="T66" s="198"/>
      <c r="U66" s="198"/>
    </row>
    <row r="67" spans="1:21" s="12" customFormat="1" ht="15">
      <c r="A67" s="201" t="s">
        <v>591</v>
      </c>
      <c r="B67" s="60">
        <v>1.65</v>
      </c>
      <c r="C67" s="60">
        <v>48.48</v>
      </c>
      <c r="D67" s="60">
        <v>50.12</v>
      </c>
      <c r="E67" s="60">
        <v>3.46</v>
      </c>
      <c r="F67" s="60">
        <v>4.9000000000000004</v>
      </c>
      <c r="G67" s="60">
        <v>129.75</v>
      </c>
      <c r="H67" s="60">
        <v>33.96</v>
      </c>
      <c r="I67" s="5" t="s">
        <v>47</v>
      </c>
      <c r="J67" s="60">
        <v>3.73</v>
      </c>
      <c r="K67" s="60">
        <v>327.06</v>
      </c>
      <c r="L67" s="60">
        <v>49.30</v>
      </c>
      <c r="M67" s="60">
        <v>14.68</v>
      </c>
      <c r="N67" s="60">
        <v>390.5</v>
      </c>
      <c r="O67" s="60">
        <v>0</v>
      </c>
      <c r="P67" s="60">
        <v>1.5</v>
      </c>
      <c r="Q67" s="60">
        <v>161.93</v>
      </c>
      <c r="R67" s="198"/>
      <c r="S67" s="198"/>
      <c r="T67" s="198"/>
      <c r="U67" s="198"/>
    </row>
    <row r="68" spans="1:21" s="12" customFormat="1" ht="15">
      <c r="A68" s="201" t="s">
        <v>592</v>
      </c>
      <c r="B68" s="60">
        <v>2</v>
      </c>
      <c r="C68" s="60">
        <v>46.59</v>
      </c>
      <c r="D68" s="60">
        <v>48.59</v>
      </c>
      <c r="E68" s="60">
        <v>2.4700000000000002</v>
      </c>
      <c r="F68" s="60">
        <v>4.20</v>
      </c>
      <c r="G68" s="60">
        <v>129.75</v>
      </c>
      <c r="H68" s="60">
        <v>33.96</v>
      </c>
      <c r="I68" s="5" t="s">
        <v>47</v>
      </c>
      <c r="J68" s="60">
        <v>2.83</v>
      </c>
      <c r="K68" s="60">
        <v>317.52</v>
      </c>
      <c r="L68" s="60">
        <v>49.91</v>
      </c>
      <c r="M68" s="60">
        <v>15.64</v>
      </c>
      <c r="N68" s="60">
        <v>396.90</v>
      </c>
      <c r="O68" s="60">
        <v>0</v>
      </c>
      <c r="P68" s="60">
        <v>1.51</v>
      </c>
      <c r="Q68" s="60">
        <v>150.88</v>
      </c>
      <c r="R68" s="198"/>
      <c r="S68" s="198"/>
      <c r="T68" s="198"/>
      <c r="U68" s="198"/>
    </row>
    <row r="69" spans="1:21" s="12" customFormat="1" ht="15">
      <c r="A69" s="201" t="s">
        <v>593</v>
      </c>
      <c r="B69" s="60">
        <v>2.68</v>
      </c>
      <c r="C69" s="60">
        <v>46.12</v>
      </c>
      <c r="D69" s="60">
        <v>48.80</v>
      </c>
      <c r="E69" s="60">
        <v>4.16</v>
      </c>
      <c r="F69" s="60">
        <v>4.1500000000000004</v>
      </c>
      <c r="G69" s="60">
        <v>126.71</v>
      </c>
      <c r="H69" s="60">
        <v>33.74</v>
      </c>
      <c r="I69" s="5" t="s">
        <v>47</v>
      </c>
      <c r="J69" s="60">
        <v>4.08</v>
      </c>
      <c r="K69" s="60">
        <v>332.39</v>
      </c>
      <c r="L69" s="60">
        <v>47.67</v>
      </c>
      <c r="M69" s="60">
        <v>15.97</v>
      </c>
      <c r="N69" s="60">
        <v>737.10</v>
      </c>
      <c r="O69" s="60">
        <v>0</v>
      </c>
      <c r="P69" s="60">
        <v>1.53</v>
      </c>
      <c r="Q69" s="60">
        <v>143.86000000000001</v>
      </c>
      <c r="R69" s="198"/>
      <c r="S69" s="198"/>
      <c r="T69" s="198"/>
      <c r="U69" s="198"/>
    </row>
    <row r="70" spans="1:21" s="12" customFormat="1" ht="15">
      <c r="A70" s="201" t="s">
        <v>594</v>
      </c>
      <c r="B70" s="60">
        <v>2.65</v>
      </c>
      <c r="C70" s="60">
        <v>45.05</v>
      </c>
      <c r="D70" s="60">
        <v>47.71</v>
      </c>
      <c r="E70" s="60">
        <v>4.6399999999999997</v>
      </c>
      <c r="F70" s="60">
        <v>4.4800000000000004</v>
      </c>
      <c r="G70" s="60">
        <v>120.5</v>
      </c>
      <c r="H70" s="60">
        <v>33.06</v>
      </c>
      <c r="I70" s="5" t="s">
        <v>47</v>
      </c>
      <c r="J70" s="60">
        <v>4.33</v>
      </c>
      <c r="K70" s="60">
        <v>338.54</v>
      </c>
      <c r="L70" s="60">
        <v>51.37</v>
      </c>
      <c r="M70" s="60">
        <v>14.77</v>
      </c>
      <c r="N70" s="60">
        <v>847.10</v>
      </c>
      <c r="O70" s="60">
        <v>0</v>
      </c>
      <c r="P70" s="60">
        <v>1.52</v>
      </c>
      <c r="Q70" s="60">
        <v>136.88</v>
      </c>
      <c r="R70" s="198"/>
      <c r="S70" s="198"/>
      <c r="T70" s="198"/>
      <c r="U70" s="198"/>
    </row>
    <row r="71" spans="1:21" s="12" customFormat="1" ht="15">
      <c r="A71" s="201" t="s">
        <v>595</v>
      </c>
      <c r="B71" s="60">
        <v>2.5299999999999998</v>
      </c>
      <c r="C71" s="60">
        <v>43.61</v>
      </c>
      <c r="D71" s="60">
        <v>46.14</v>
      </c>
      <c r="E71" s="60">
        <v>4.72</v>
      </c>
      <c r="F71" s="60">
        <v>4.01</v>
      </c>
      <c r="G71" s="60">
        <v>120.5</v>
      </c>
      <c r="H71" s="60">
        <v>33.06</v>
      </c>
      <c r="I71" s="5" t="s">
        <v>47</v>
      </c>
      <c r="J71" s="60">
        <v>4.20</v>
      </c>
      <c r="K71" s="60">
        <v>334.38</v>
      </c>
      <c r="L71" s="60">
        <v>50.26</v>
      </c>
      <c r="M71" s="60">
        <v>14.22</v>
      </c>
      <c r="N71" s="60">
        <v>702.30</v>
      </c>
      <c r="O71" s="60">
        <v>0</v>
      </c>
      <c r="P71" s="60">
        <v>1.51</v>
      </c>
      <c r="Q71" s="60">
        <v>110.84</v>
      </c>
      <c r="R71" s="198"/>
      <c r="S71" s="198"/>
      <c r="T71" s="198"/>
      <c r="U71" s="198"/>
    </row>
    <row r="72" spans="1:21" s="12" customFormat="1" ht="15">
      <c r="A72" s="201" t="s">
        <v>596</v>
      </c>
      <c r="B72" s="60">
        <v>2.71</v>
      </c>
      <c r="C72" s="60">
        <v>43.13</v>
      </c>
      <c r="D72" s="60">
        <v>45.84</v>
      </c>
      <c r="E72" s="60">
        <v>4.5</v>
      </c>
      <c r="F72" s="60">
        <v>4.05</v>
      </c>
      <c r="G72" s="60">
        <v>120.5</v>
      </c>
      <c r="H72" s="60">
        <v>33.06</v>
      </c>
      <c r="I72" s="5" t="s">
        <v>47</v>
      </c>
      <c r="J72" s="60">
        <v>3.89</v>
      </c>
      <c r="K72" s="60">
        <v>317.26</v>
      </c>
      <c r="L72" s="60">
        <v>49.73</v>
      </c>
      <c r="M72" s="60">
        <v>14.93</v>
      </c>
      <c r="N72" s="60">
        <v>546.29999999999995</v>
      </c>
      <c r="O72" s="60">
        <v>0</v>
      </c>
      <c r="P72" s="60">
        <v>1.51</v>
      </c>
      <c r="Q72" s="60">
        <v>106.56</v>
      </c>
      <c r="R72" s="198"/>
      <c r="S72" s="198"/>
      <c r="T72" s="198"/>
      <c r="U72" s="198"/>
    </row>
    <row r="73" spans="1:21" s="12" customFormat="1" ht="15">
      <c r="A73" s="201" t="s">
        <v>597</v>
      </c>
      <c r="B73" s="60">
        <v>2.63</v>
      </c>
      <c r="C73" s="60">
        <v>42.58</v>
      </c>
      <c r="D73" s="60">
        <v>45.20</v>
      </c>
      <c r="E73" s="60">
        <v>4.80</v>
      </c>
      <c r="F73" s="60">
        <v>3.87</v>
      </c>
      <c r="G73" s="60">
        <v>119.60</v>
      </c>
      <c r="H73" s="60">
        <v>32.369999999999997</v>
      </c>
      <c r="I73" s="5" t="s">
        <v>47</v>
      </c>
      <c r="J73" s="60">
        <v>3.17</v>
      </c>
      <c r="K73" s="60">
        <v>325.74</v>
      </c>
      <c r="L73" s="60">
        <v>49.96</v>
      </c>
      <c r="M73" s="60">
        <v>15.25</v>
      </c>
      <c r="N73" s="60">
        <v>296.89999999999998</v>
      </c>
      <c r="O73" s="60">
        <v>0</v>
      </c>
      <c r="P73" s="60">
        <v>1.51</v>
      </c>
      <c r="Q73" s="60">
        <v>108.07</v>
      </c>
      <c r="R73" s="198"/>
      <c r="S73" s="198"/>
      <c r="T73" s="198"/>
      <c r="U73" s="198"/>
    </row>
    <row r="74" spans="1:21" s="12" customFormat="1" ht="15">
      <c r="A74" s="201" t="s">
        <v>598</v>
      </c>
      <c r="B74" s="60">
        <v>2.71</v>
      </c>
      <c r="C74" s="60">
        <v>42.24</v>
      </c>
      <c r="D74" s="60">
        <v>44.95</v>
      </c>
      <c r="E74" s="60">
        <v>5.36</v>
      </c>
      <c r="F74" s="60">
        <v>3.69</v>
      </c>
      <c r="G74" s="60">
        <v>117.74</v>
      </c>
      <c r="H74" s="60">
        <v>30.37</v>
      </c>
      <c r="I74" s="5" t="s">
        <v>47</v>
      </c>
      <c r="J74" s="60">
        <v>3.99</v>
      </c>
      <c r="K74" s="60">
        <v>348.95</v>
      </c>
      <c r="L74" s="60">
        <v>49.80</v>
      </c>
      <c r="M74" s="60">
        <v>15.48</v>
      </c>
      <c r="N74" s="60">
        <v>262.80</v>
      </c>
      <c r="O74" s="60">
        <v>0</v>
      </c>
      <c r="P74" s="60">
        <v>1.51</v>
      </c>
      <c r="Q74" s="60">
        <v>108.87</v>
      </c>
      <c r="R74" s="198"/>
      <c r="S74" s="198"/>
      <c r="T74" s="198"/>
      <c r="U74" s="198"/>
    </row>
    <row r="75" spans="1:21" s="12" customFormat="1" ht="15">
      <c r="A75" s="201" t="s">
        <v>599</v>
      </c>
      <c r="B75" s="60">
        <v>3</v>
      </c>
      <c r="C75" s="60">
        <v>41.64</v>
      </c>
      <c r="D75" s="60">
        <v>44.64</v>
      </c>
      <c r="E75" s="60">
        <v>5.69</v>
      </c>
      <c r="F75" s="60">
        <v>3.65</v>
      </c>
      <c r="G75" s="60">
        <v>117.74</v>
      </c>
      <c r="H75" s="60">
        <v>30.37</v>
      </c>
      <c r="I75" s="60">
        <v>0.19</v>
      </c>
      <c r="J75" s="60">
        <v>3.47</v>
      </c>
      <c r="K75" s="60">
        <v>325.77999999999997</v>
      </c>
      <c r="L75" s="60">
        <v>47.5</v>
      </c>
      <c r="M75" s="60">
        <v>16.559999999999999</v>
      </c>
      <c r="N75" s="60">
        <v>222.80</v>
      </c>
      <c r="O75" s="60">
        <v>0</v>
      </c>
      <c r="P75" s="60">
        <v>1.53</v>
      </c>
      <c r="Q75" s="60">
        <v>113.98</v>
      </c>
      <c r="R75" s="198"/>
      <c r="S75" s="198"/>
      <c r="T75" s="198"/>
      <c r="U75" s="198"/>
    </row>
    <row r="76" spans="1:21" s="12" customFormat="1" ht="15">
      <c r="A76" s="201" t="s">
        <v>600</v>
      </c>
      <c r="B76" s="60">
        <v>4.1100000000000003</v>
      </c>
      <c r="C76" s="60">
        <v>43.05</v>
      </c>
      <c r="D76" s="60">
        <v>47.15</v>
      </c>
      <c r="E76" s="60">
        <v>5.73</v>
      </c>
      <c r="F76" s="60">
        <v>3.15</v>
      </c>
      <c r="G76" s="60">
        <v>117.74</v>
      </c>
      <c r="H76" s="60">
        <v>30.37</v>
      </c>
      <c r="I76" s="60">
        <v>0.54</v>
      </c>
      <c r="J76" s="60">
        <v>0.96</v>
      </c>
      <c r="K76" s="60">
        <v>344.84</v>
      </c>
      <c r="L76" s="60">
        <v>47.47</v>
      </c>
      <c r="M76" s="60">
        <v>16.739999999999998</v>
      </c>
      <c r="N76" s="60">
        <v>205</v>
      </c>
      <c r="O76" s="60">
        <v>0</v>
      </c>
      <c r="P76" s="60">
        <v>1.67</v>
      </c>
      <c r="Q76" s="60">
        <v>114.19</v>
      </c>
      <c r="R76" s="198"/>
      <c r="S76" s="198"/>
      <c r="T76" s="198"/>
      <c r="U76" s="198"/>
    </row>
    <row r="77" spans="1:21" s="12" customFormat="1" ht="15">
      <c r="A77" s="201" t="s">
        <v>601</v>
      </c>
      <c r="B77" s="60">
        <v>5.35</v>
      </c>
      <c r="C77" s="60">
        <v>46.46</v>
      </c>
      <c r="D77" s="60">
        <v>51.82</v>
      </c>
      <c r="E77" s="60">
        <v>6.13</v>
      </c>
      <c r="F77" s="60">
        <v>2.99</v>
      </c>
      <c r="G77" s="60">
        <v>117.59</v>
      </c>
      <c r="H77" s="60">
        <v>30.43</v>
      </c>
      <c r="I77" s="60">
        <v>0.68</v>
      </c>
      <c r="J77" s="60">
        <v>0.92</v>
      </c>
      <c r="K77" s="60">
        <v>35.39</v>
      </c>
      <c r="L77" s="60">
        <v>47.39</v>
      </c>
      <c r="M77" s="60">
        <v>17.46</v>
      </c>
      <c r="N77" s="60">
        <v>199.70</v>
      </c>
      <c r="O77" s="60">
        <v>0</v>
      </c>
      <c r="P77" s="60">
        <v>1.74</v>
      </c>
      <c r="Q77" s="60">
        <v>111.58</v>
      </c>
      <c r="R77" s="198"/>
      <c r="S77" s="198"/>
      <c r="T77" s="198"/>
      <c r="U77" s="198"/>
    </row>
    <row r="78" spans="1:21" s="12" customFormat="1" ht="15">
      <c r="A78" s="201" t="s">
        <v>602</v>
      </c>
      <c r="B78" s="60">
        <v>5.47</v>
      </c>
      <c r="C78" s="60">
        <v>49.75</v>
      </c>
      <c r="D78" s="60">
        <v>55.23</v>
      </c>
      <c r="E78" s="60">
        <v>6.69</v>
      </c>
      <c r="F78" s="60">
        <v>3.04</v>
      </c>
      <c r="G78" s="60">
        <v>117.29</v>
      </c>
      <c r="H78" s="60">
        <v>30.59</v>
      </c>
      <c r="I78" s="60">
        <v>1.33</v>
      </c>
      <c r="J78" s="60">
        <v>1.85</v>
      </c>
      <c r="K78" s="60">
        <v>356.32</v>
      </c>
      <c r="L78" s="60">
        <v>44.72</v>
      </c>
      <c r="M78" s="60">
        <v>26.09</v>
      </c>
      <c r="N78" s="60">
        <v>191.20</v>
      </c>
      <c r="O78" s="60">
        <v>0</v>
      </c>
      <c r="P78" s="60">
        <v>1.72</v>
      </c>
      <c r="Q78" s="60">
        <v>123.18</v>
      </c>
      <c r="R78" s="198"/>
      <c r="S78" s="198"/>
      <c r="T78" s="198"/>
      <c r="U78" s="198"/>
    </row>
    <row r="79" spans="1:21" s="12" customFormat="1" ht="15">
      <c r="A79" s="201" t="s">
        <v>603</v>
      </c>
      <c r="B79" s="60">
        <v>4.62</v>
      </c>
      <c r="C79" s="60">
        <v>51.38</v>
      </c>
      <c r="D79" s="60">
        <v>56</v>
      </c>
      <c r="E79" s="60">
        <v>6.18</v>
      </c>
      <c r="F79" s="60">
        <v>3.28</v>
      </c>
      <c r="G79" s="60">
        <v>117.29</v>
      </c>
      <c r="H79" s="60">
        <v>30.59</v>
      </c>
      <c r="I79" s="60">
        <v>0.52</v>
      </c>
      <c r="J79" s="60">
        <v>0.84</v>
      </c>
      <c r="K79" s="60">
        <v>355.58</v>
      </c>
      <c r="L79" s="60">
        <v>42.72</v>
      </c>
      <c r="M79" s="60">
        <v>25.64</v>
      </c>
      <c r="N79" s="60">
        <v>200.40</v>
      </c>
      <c r="O79" s="60">
        <v>0</v>
      </c>
      <c r="P79" s="60">
        <v>1.77</v>
      </c>
      <c r="Q79" s="60">
        <v>122.94</v>
      </c>
      <c r="R79" s="198"/>
      <c r="S79" s="198"/>
      <c r="T79" s="198"/>
      <c r="U79" s="198"/>
    </row>
    <row r="80" spans="1:21" s="12" customFormat="1" ht="15">
      <c r="A80" s="201" t="s">
        <v>604</v>
      </c>
      <c r="B80" s="60">
        <v>3.55</v>
      </c>
      <c r="C80" s="60">
        <v>51.42</v>
      </c>
      <c r="D80" s="60">
        <v>54.96</v>
      </c>
      <c r="E80" s="60">
        <v>5.95</v>
      </c>
      <c r="F80" s="60">
        <v>3.42</v>
      </c>
      <c r="G80" s="60">
        <v>117.29</v>
      </c>
      <c r="H80" s="60">
        <v>30.59</v>
      </c>
      <c r="I80" s="60">
        <v>3.74</v>
      </c>
      <c r="J80" s="60">
        <v>1.30</v>
      </c>
      <c r="K80" s="60">
        <v>254.24</v>
      </c>
      <c r="L80" s="60">
        <v>44.75</v>
      </c>
      <c r="M80" s="60">
        <v>23.32</v>
      </c>
      <c r="N80" s="60">
        <v>192</v>
      </c>
      <c r="O80" s="60">
        <v>0</v>
      </c>
      <c r="P80" s="60">
        <v>1.80</v>
      </c>
      <c r="Q80" s="60">
        <v>117.82</v>
      </c>
      <c r="R80" s="198"/>
      <c r="S80" s="198"/>
      <c r="T80" s="198"/>
      <c r="U80" s="198"/>
    </row>
    <row r="81" spans="1:21" s="12" customFormat="1" ht="15">
      <c r="A81" s="201" t="s">
        <v>605</v>
      </c>
      <c r="B81" s="60">
        <v>2.52</v>
      </c>
      <c r="C81" s="60">
        <v>50.15</v>
      </c>
      <c r="D81" s="60">
        <v>52.68</v>
      </c>
      <c r="E81" s="60">
        <v>6.03</v>
      </c>
      <c r="F81" s="60">
        <v>3.92</v>
      </c>
      <c r="G81" s="60">
        <v>119.85</v>
      </c>
      <c r="H81" s="60">
        <v>30.28</v>
      </c>
      <c r="I81" s="60">
        <v>5.14</v>
      </c>
      <c r="J81" s="60">
        <v>1.71</v>
      </c>
      <c r="K81" s="60">
        <v>238.07</v>
      </c>
      <c r="L81" s="60">
        <v>46.38</v>
      </c>
      <c r="M81" s="60">
        <v>21</v>
      </c>
      <c r="N81" s="60">
        <v>168.70</v>
      </c>
      <c r="O81" s="60">
        <v>0</v>
      </c>
      <c r="P81" s="60">
        <v>1.78</v>
      </c>
      <c r="Q81" s="60">
        <v>116.32</v>
      </c>
      <c r="R81" s="198"/>
      <c r="S81" s="198"/>
      <c r="T81" s="198"/>
      <c r="U81" s="198"/>
    </row>
    <row r="82" spans="1:21" s="12" customFormat="1" ht="15">
      <c r="A82" s="201" t="s">
        <v>606</v>
      </c>
      <c r="B82" s="60">
        <v>1.46</v>
      </c>
      <c r="C82" s="60">
        <v>46.60</v>
      </c>
      <c r="D82" s="60">
        <v>48.06</v>
      </c>
      <c r="E82" s="60">
        <v>6.29</v>
      </c>
      <c r="F82" s="60">
        <v>4.28</v>
      </c>
      <c r="G82" s="60">
        <v>125.33</v>
      </c>
      <c r="H82" s="60">
        <v>29.35</v>
      </c>
      <c r="I82" s="60">
        <v>5.95</v>
      </c>
      <c r="J82" s="60">
        <v>1.17</v>
      </c>
      <c r="K82" s="60">
        <v>246.09</v>
      </c>
      <c r="L82" s="60">
        <v>44.26</v>
      </c>
      <c r="M82" s="60">
        <v>24.08</v>
      </c>
      <c r="N82" s="60">
        <v>156.69999999999999</v>
      </c>
      <c r="O82" s="60">
        <v>0</v>
      </c>
      <c r="P82" s="60">
        <v>1.73</v>
      </c>
      <c r="Q82" s="60">
        <v>110.69</v>
      </c>
      <c r="R82" s="198"/>
      <c r="S82" s="198"/>
      <c r="T82" s="198"/>
      <c r="U82" s="198"/>
    </row>
    <row r="83" spans="1:21" s="12" customFormat="1" ht="15">
      <c r="A83" s="201" t="s">
        <v>607</v>
      </c>
      <c r="B83" s="60">
        <v>1.08</v>
      </c>
      <c r="C83" s="60">
        <v>43.75</v>
      </c>
      <c r="D83" s="60">
        <v>44.83</v>
      </c>
      <c r="E83" s="60">
        <v>5.68</v>
      </c>
      <c r="F83" s="60">
        <v>3.95</v>
      </c>
      <c r="G83" s="60">
        <v>125.33</v>
      </c>
      <c r="H83" s="60">
        <v>29.35</v>
      </c>
      <c r="I83" s="60">
        <v>5.99</v>
      </c>
      <c r="J83" s="60">
        <v>1.06</v>
      </c>
      <c r="K83" s="60">
        <v>328.88</v>
      </c>
      <c r="L83" s="60">
        <v>42.97</v>
      </c>
      <c r="M83" s="60">
        <v>29.59</v>
      </c>
      <c r="N83" s="60">
        <v>140.19999999999999</v>
      </c>
      <c r="O83" s="60">
        <v>0</v>
      </c>
      <c r="P83" s="60">
        <v>1.73</v>
      </c>
      <c r="Q83" s="60">
        <v>108.25</v>
      </c>
      <c r="R83" s="198"/>
      <c r="S83" s="198"/>
      <c r="T83" s="198"/>
      <c r="U83" s="198"/>
    </row>
    <row r="84" spans="1:21" s="12" customFormat="1" ht="15">
      <c r="A84" s="201" t="s">
        <v>608</v>
      </c>
      <c r="B84" s="60">
        <v>1.94</v>
      </c>
      <c r="C84" s="60">
        <v>45.65</v>
      </c>
      <c r="D84" s="60">
        <v>47.59</v>
      </c>
      <c r="E84" s="60">
        <v>3.16</v>
      </c>
      <c r="F84" s="60">
        <v>3.13</v>
      </c>
      <c r="G84" s="60">
        <v>125.33</v>
      </c>
      <c r="H84" s="60">
        <v>29.35</v>
      </c>
      <c r="I84" s="60">
        <v>5.88</v>
      </c>
      <c r="J84" s="60">
        <v>1.01</v>
      </c>
      <c r="K84" s="60">
        <v>236.89</v>
      </c>
      <c r="L84" s="60">
        <v>43.44</v>
      </c>
      <c r="M84" s="60">
        <v>27.47</v>
      </c>
      <c r="N84" s="60">
        <v>134.90</v>
      </c>
      <c r="O84" s="60">
        <v>0</v>
      </c>
      <c r="P84" s="60">
        <v>1.81</v>
      </c>
      <c r="Q84" s="60">
        <v>107.17</v>
      </c>
      <c r="R84" s="198"/>
      <c r="S84" s="198"/>
      <c r="T84" s="198"/>
      <c r="U84" s="198"/>
    </row>
    <row r="85" spans="1:21" s="12" customFormat="1" ht="15">
      <c r="A85" s="201" t="s">
        <v>609</v>
      </c>
      <c r="B85" s="60">
        <v>1.65</v>
      </c>
      <c r="C85" s="60">
        <v>45.75</v>
      </c>
      <c r="D85" s="60">
        <v>47.39</v>
      </c>
      <c r="E85" s="60">
        <v>5.59</v>
      </c>
      <c r="F85" s="60">
        <v>3.29</v>
      </c>
      <c r="G85" s="60">
        <v>125.85</v>
      </c>
      <c r="H85" s="60">
        <v>32.06</v>
      </c>
      <c r="I85" s="60">
        <v>6.13</v>
      </c>
      <c r="J85" s="60">
        <v>1.34</v>
      </c>
      <c r="K85" s="60">
        <v>327.11</v>
      </c>
      <c r="L85" s="60">
        <v>41.09</v>
      </c>
      <c r="M85" s="60">
        <v>29.70</v>
      </c>
      <c r="N85" s="60">
        <v>134</v>
      </c>
      <c r="O85" s="60">
        <v>0</v>
      </c>
      <c r="P85" s="60">
        <v>1.83</v>
      </c>
      <c r="Q85" s="60">
        <v>104.67</v>
      </c>
      <c r="R85" s="198"/>
      <c r="S85" s="198"/>
      <c r="T85" s="198"/>
      <c r="U85" s="198"/>
    </row>
    <row r="86" spans="1:21" s="12" customFormat="1" ht="15">
      <c r="A86" s="201" t="s">
        <v>610</v>
      </c>
      <c r="B86" s="60">
        <v>1.89</v>
      </c>
      <c r="C86" s="60">
        <v>47.30</v>
      </c>
      <c r="D86" s="60">
        <v>49.20</v>
      </c>
      <c r="E86" s="60">
        <v>5.93</v>
      </c>
      <c r="F86" s="60">
        <v>2.57</v>
      </c>
      <c r="G86" s="60">
        <v>127.98</v>
      </c>
      <c r="H86" s="60">
        <v>39.950000000000003</v>
      </c>
      <c r="I86" s="60">
        <v>6.56</v>
      </c>
      <c r="J86" s="60">
        <v>1.34</v>
      </c>
      <c r="K86" s="60">
        <v>262.19</v>
      </c>
      <c r="L86" s="60">
        <v>41.43</v>
      </c>
      <c r="M86" s="60">
        <v>26.02</v>
      </c>
      <c r="N86" s="60">
        <v>132.19999999999999</v>
      </c>
      <c r="O86" s="60">
        <v>0</v>
      </c>
      <c r="P86" s="60">
        <v>1.94</v>
      </c>
      <c r="Q86" s="60">
        <v>106.12</v>
      </c>
      <c r="R86" s="198"/>
      <c r="S86" s="198"/>
      <c r="T86" s="198"/>
      <c r="U86" s="198"/>
    </row>
    <row r="87" spans="1:21" s="12" customFormat="1" ht="15">
      <c r="A87" s="201" t="s">
        <v>611</v>
      </c>
      <c r="B87" s="60">
        <v>3.08</v>
      </c>
      <c r="C87" s="60">
        <v>50.16</v>
      </c>
      <c r="D87" s="60">
        <v>53.25</v>
      </c>
      <c r="E87" s="60">
        <v>5.85</v>
      </c>
      <c r="F87" s="60">
        <v>2.06</v>
      </c>
      <c r="G87" s="60">
        <v>127.98</v>
      </c>
      <c r="H87" s="60">
        <v>39.950000000000003</v>
      </c>
      <c r="I87" s="60">
        <v>6.81</v>
      </c>
      <c r="J87" s="60">
        <v>1.20</v>
      </c>
      <c r="K87" s="60">
        <v>258.83999999999997</v>
      </c>
      <c r="L87" s="60">
        <v>42.13</v>
      </c>
      <c r="M87" s="60">
        <v>22.22</v>
      </c>
      <c r="N87" s="60">
        <v>131.5</v>
      </c>
      <c r="O87" s="60">
        <v>0</v>
      </c>
      <c r="P87" s="60">
        <v>2.06</v>
      </c>
      <c r="Q87" s="60">
        <v>105.42</v>
      </c>
      <c r="R87" s="198"/>
      <c r="S87" s="198"/>
      <c r="T87" s="198"/>
      <c r="U87" s="198"/>
    </row>
    <row r="88" spans="1:21" s="12" customFormat="1" ht="15">
      <c r="A88" s="201" t="s">
        <v>612</v>
      </c>
      <c r="B88" s="60">
        <v>4</v>
      </c>
      <c r="C88" s="60">
        <v>51.86</v>
      </c>
      <c r="D88" s="60">
        <v>55.86</v>
      </c>
      <c r="E88" s="60">
        <v>5.89</v>
      </c>
      <c r="F88" s="60">
        <v>1.93</v>
      </c>
      <c r="G88" s="60">
        <v>127.98</v>
      </c>
      <c r="H88" s="60">
        <v>39.950000000000003</v>
      </c>
      <c r="I88" s="60">
        <v>7.5</v>
      </c>
      <c r="J88" s="60">
        <v>1.32</v>
      </c>
      <c r="K88" s="60">
        <v>324.56</v>
      </c>
      <c r="L88" s="60">
        <v>41.32</v>
      </c>
      <c r="M88" s="60">
        <v>23.25</v>
      </c>
      <c r="N88" s="60">
        <v>136.30000000000001</v>
      </c>
      <c r="O88" s="60">
        <v>0</v>
      </c>
      <c r="P88" s="60">
        <v>2.1800000000000002</v>
      </c>
      <c r="Q88" s="60">
        <v>104.88</v>
      </c>
      <c r="R88" s="198"/>
      <c r="S88" s="198"/>
      <c r="T88" s="198"/>
      <c r="U88" s="198"/>
    </row>
    <row r="89" spans="1:21" s="12" customFormat="1" ht="15">
      <c r="A89" s="201" t="s">
        <v>613</v>
      </c>
      <c r="B89" s="60">
        <v>7.18</v>
      </c>
      <c r="C89" s="60">
        <v>54.20</v>
      </c>
      <c r="D89" s="60">
        <v>61.38</v>
      </c>
      <c r="E89" s="60">
        <v>5.66</v>
      </c>
      <c r="F89" s="60">
        <v>1.5</v>
      </c>
      <c r="G89" s="60">
        <v>128.13999999999999</v>
      </c>
      <c r="H89" s="60">
        <v>38.99</v>
      </c>
      <c r="I89" s="60">
        <v>8.07</v>
      </c>
      <c r="J89" s="60">
        <v>0.99</v>
      </c>
      <c r="K89" s="60">
        <v>286.99</v>
      </c>
      <c r="L89" s="60">
        <v>41.02</v>
      </c>
      <c r="M89" s="60">
        <v>23.05</v>
      </c>
      <c r="N89" s="60">
        <v>139.60</v>
      </c>
      <c r="O89" s="60">
        <v>0</v>
      </c>
      <c r="P89" s="60">
        <v>2.2999999999999998</v>
      </c>
      <c r="Q89" s="60">
        <v>87.75</v>
      </c>
      <c r="R89" s="198"/>
      <c r="S89" s="198"/>
      <c r="T89" s="198"/>
      <c r="U89" s="198"/>
    </row>
    <row r="90" spans="1:21" s="12" customFormat="1" ht="15">
      <c r="A90" s="201" t="s">
        <v>614</v>
      </c>
      <c r="B90" s="60">
        <v>9.25</v>
      </c>
      <c r="C90" s="60">
        <v>56.26</v>
      </c>
      <c r="D90" s="60">
        <v>65.510000000000005</v>
      </c>
      <c r="E90" s="60">
        <v>5.98</v>
      </c>
      <c r="F90" s="60">
        <v>1.69</v>
      </c>
      <c r="G90" s="60">
        <v>128.47</v>
      </c>
      <c r="H90" s="60">
        <v>36.21</v>
      </c>
      <c r="I90" s="60">
        <v>8.83</v>
      </c>
      <c r="J90" s="60">
        <v>0.91</v>
      </c>
      <c r="K90" s="60">
        <v>282.12</v>
      </c>
      <c r="L90" s="60">
        <v>42.07</v>
      </c>
      <c r="M90" s="60">
        <v>23.23</v>
      </c>
      <c r="N90" s="60">
        <v>141.10</v>
      </c>
      <c r="O90" s="60">
        <v>0</v>
      </c>
      <c r="P90" s="60">
        <v>2.35</v>
      </c>
      <c r="Q90" s="60">
        <v>89.41</v>
      </c>
      <c r="R90" s="198"/>
      <c r="S90" s="198"/>
      <c r="T90" s="198"/>
      <c r="U90" s="198"/>
    </row>
    <row r="91" spans="1:21" s="12" customFormat="1" ht="15">
      <c r="A91" s="201" t="s">
        <v>615</v>
      </c>
      <c r="B91" s="60">
        <v>10.84</v>
      </c>
      <c r="C91" s="60">
        <v>57.77</v>
      </c>
      <c r="D91" s="60">
        <v>68.61</v>
      </c>
      <c r="E91" s="60">
        <v>6.11</v>
      </c>
      <c r="F91" s="60">
        <v>1.44</v>
      </c>
      <c r="G91" s="60">
        <v>128.47</v>
      </c>
      <c r="H91" s="60">
        <v>36.21</v>
      </c>
      <c r="I91" s="60">
        <v>9.48</v>
      </c>
      <c r="J91" s="60">
        <v>1.78</v>
      </c>
      <c r="K91" s="60">
        <v>297.86</v>
      </c>
      <c r="L91" s="60">
        <v>39.57</v>
      </c>
      <c r="M91" s="60">
        <v>24.56</v>
      </c>
      <c r="N91" s="60">
        <v>141.69999999999999</v>
      </c>
      <c r="O91" s="60">
        <v>0</v>
      </c>
      <c r="P91" s="60">
        <v>2.46</v>
      </c>
      <c r="Q91" s="60">
        <v>97.30</v>
      </c>
      <c r="R91" s="198"/>
      <c r="S91" s="198"/>
      <c r="T91" s="198"/>
      <c r="U91" s="198"/>
    </row>
    <row r="92" spans="1:21" s="12" customFormat="1" ht="15">
      <c r="A92" s="201" t="s">
        <v>616</v>
      </c>
      <c r="B92" s="60">
        <v>15.12</v>
      </c>
      <c r="C92" s="60">
        <v>59.46</v>
      </c>
      <c r="D92" s="60">
        <v>74.58</v>
      </c>
      <c r="E92" s="60">
        <v>5.98</v>
      </c>
      <c r="F92" s="60">
        <v>1.29</v>
      </c>
      <c r="G92" s="60">
        <v>128.47</v>
      </c>
      <c r="H92" s="60">
        <v>36.21</v>
      </c>
      <c r="I92" s="60">
        <v>9.69</v>
      </c>
      <c r="J92" s="60">
        <v>0.77</v>
      </c>
      <c r="K92" s="60">
        <v>344.87</v>
      </c>
      <c r="L92" s="60">
        <v>43.23</v>
      </c>
      <c r="M92" s="60">
        <v>24.51</v>
      </c>
      <c r="N92" s="60">
        <v>135.40</v>
      </c>
      <c r="O92" s="60">
        <v>0</v>
      </c>
      <c r="P92" s="60">
        <v>2.57</v>
      </c>
      <c r="Q92" s="60">
        <v>97.99</v>
      </c>
      <c r="R92" s="198"/>
      <c r="S92" s="198"/>
      <c r="T92" s="198"/>
      <c r="U92" s="198"/>
    </row>
    <row r="93" spans="1:21" s="12" customFormat="1" ht="15">
      <c r="A93" s="201" t="s">
        <v>617</v>
      </c>
      <c r="B93" s="60">
        <v>17.61</v>
      </c>
      <c r="C93" s="60">
        <v>60.84</v>
      </c>
      <c r="D93" s="60">
        <v>78.459999999999994</v>
      </c>
      <c r="E93" s="60">
        <v>6.42</v>
      </c>
      <c r="F93" s="60">
        <v>1.21</v>
      </c>
      <c r="G93" s="60">
        <v>138.69</v>
      </c>
      <c r="H93" s="60">
        <v>37.97</v>
      </c>
      <c r="I93" s="60">
        <v>10.76</v>
      </c>
      <c r="J93" s="60">
        <v>0.81</v>
      </c>
      <c r="K93" s="60">
        <v>308.73</v>
      </c>
      <c r="L93" s="60">
        <v>43.56</v>
      </c>
      <c r="M93" s="60">
        <v>24.01</v>
      </c>
      <c r="N93" s="60">
        <v>144.30000000000001</v>
      </c>
      <c r="O93" s="60">
        <v>0</v>
      </c>
      <c r="P93" s="60">
        <v>2.64</v>
      </c>
      <c r="Q93" s="60">
        <v>99.48</v>
      </c>
      <c r="R93" s="198"/>
      <c r="S93" s="198"/>
      <c r="T93" s="198"/>
      <c r="U93" s="198"/>
    </row>
    <row r="94" spans="1:21" s="12" customFormat="1" ht="15">
      <c r="A94" s="201" t="s">
        <v>618</v>
      </c>
      <c r="B94" s="60">
        <v>19.010000000000002</v>
      </c>
      <c r="C94" s="60">
        <v>62</v>
      </c>
      <c r="D94" s="60">
        <v>81.010000000000005</v>
      </c>
      <c r="E94" s="60">
        <v>6.53</v>
      </c>
      <c r="F94" s="60">
        <v>1.28</v>
      </c>
      <c r="G94" s="60">
        <v>160.53</v>
      </c>
      <c r="H94" s="60">
        <v>43.44</v>
      </c>
      <c r="I94" s="60">
        <v>10.82</v>
      </c>
      <c r="J94" s="60">
        <v>1.1299999999999999</v>
      </c>
      <c r="K94" s="60">
        <v>325.64999999999998</v>
      </c>
      <c r="L94" s="60">
        <v>43.25</v>
      </c>
      <c r="M94" s="60">
        <v>24.27</v>
      </c>
      <c r="N94" s="60">
        <v>159.69999999999999</v>
      </c>
      <c r="O94" s="60">
        <v>0</v>
      </c>
      <c r="P94" s="60">
        <v>2.68</v>
      </c>
      <c r="Q94" s="60">
        <v>106.19</v>
      </c>
      <c r="R94" s="198"/>
      <c r="S94" s="198"/>
      <c r="T94" s="198"/>
      <c r="U94" s="198"/>
    </row>
    <row r="95" spans="1:21" s="12" customFormat="1" ht="15">
      <c r="A95" s="201" t="s">
        <v>619</v>
      </c>
      <c r="B95" s="60">
        <v>20.70</v>
      </c>
      <c r="C95" s="60">
        <v>62.61</v>
      </c>
      <c r="D95" s="60">
        <v>83.31</v>
      </c>
      <c r="E95" s="60">
        <v>6.57</v>
      </c>
      <c r="F95" s="60">
        <v>1.18</v>
      </c>
      <c r="G95" s="60">
        <v>160.53</v>
      </c>
      <c r="H95" s="60">
        <v>43.44</v>
      </c>
      <c r="I95" s="60">
        <v>10.73</v>
      </c>
      <c r="J95" s="60">
        <v>1.26</v>
      </c>
      <c r="K95" s="60">
        <v>297.42</v>
      </c>
      <c r="L95" s="60">
        <v>42.83</v>
      </c>
      <c r="M95" s="60">
        <v>24.45</v>
      </c>
      <c r="N95" s="60">
        <v>155.19999999999999</v>
      </c>
      <c r="O95" s="60">
        <v>0</v>
      </c>
      <c r="P95" s="60">
        <v>2.68</v>
      </c>
      <c r="Q95" s="60">
        <v>105.06</v>
      </c>
      <c r="R95" s="198"/>
      <c r="S95" s="198"/>
      <c r="T95" s="198"/>
      <c r="U95" s="198"/>
    </row>
    <row r="96" spans="1:26" s="12" customFormat="1" ht="15">
      <c r="A96" s="201" t="s">
        <v>620</v>
      </c>
      <c r="B96" s="60">
        <v>21.38</v>
      </c>
      <c r="C96" s="60">
        <v>62.25</v>
      </c>
      <c r="D96" s="60">
        <v>83.63</v>
      </c>
      <c r="E96" s="60">
        <v>6.78</v>
      </c>
      <c r="F96" s="60">
        <v>1.1100000000000001</v>
      </c>
      <c r="G96" s="60">
        <v>160.53</v>
      </c>
      <c r="H96" s="60">
        <v>43.44</v>
      </c>
      <c r="I96" s="60">
        <v>10.46</v>
      </c>
      <c r="J96" s="60">
        <v>1.35</v>
      </c>
      <c r="K96" s="60">
        <v>349.69</v>
      </c>
      <c r="L96" s="60">
        <v>42.96</v>
      </c>
      <c r="M96" s="60">
        <v>24.52</v>
      </c>
      <c r="N96" s="60">
        <v>150.30000000000001</v>
      </c>
      <c r="O96" s="60">
        <v>0</v>
      </c>
      <c r="P96" s="60">
        <v>2.66</v>
      </c>
      <c r="Q96" s="60">
        <v>115.99</v>
      </c>
      <c r="R96" s="198"/>
      <c r="S96" s="198"/>
      <c r="T96" s="198"/>
      <c r="U96" s="198"/>
      <c r="Z96" s="109"/>
    </row>
    <row r="97" spans="1:21" s="12" customFormat="1" ht="15">
      <c r="A97" s="201" t="s">
        <v>621</v>
      </c>
      <c r="B97" s="60">
        <v>20.56</v>
      </c>
      <c r="C97" s="60">
        <v>61.51</v>
      </c>
      <c r="D97" s="60">
        <v>82.07</v>
      </c>
      <c r="E97" s="60">
        <v>7.40</v>
      </c>
      <c r="F97" s="60">
        <v>0.87</v>
      </c>
      <c r="G97" s="60">
        <v>160.65</v>
      </c>
      <c r="H97" s="60">
        <v>43.86</v>
      </c>
      <c r="I97" s="60">
        <v>9.75</v>
      </c>
      <c r="J97" s="60">
        <v>0.57999999999999996</v>
      </c>
      <c r="K97" s="60">
        <v>9.33</v>
      </c>
      <c r="L97" s="60">
        <v>40.619999999999997</v>
      </c>
      <c r="M97" s="60">
        <v>24.02</v>
      </c>
      <c r="N97" s="60">
        <v>147.60</v>
      </c>
      <c r="O97" s="60">
        <v>0</v>
      </c>
      <c r="P97" s="60">
        <v>2.61</v>
      </c>
      <c r="Q97" s="60">
        <v>116.71</v>
      </c>
      <c r="R97" s="198"/>
      <c r="S97" s="198"/>
      <c r="T97" s="198"/>
      <c r="U97" s="198"/>
    </row>
    <row r="98" spans="1:21" s="12" customFormat="1" ht="15">
      <c r="A98" s="201" t="s">
        <v>622</v>
      </c>
      <c r="B98" s="60">
        <v>17.989999999999998</v>
      </c>
      <c r="C98" s="60">
        <v>60.38</v>
      </c>
      <c r="D98" s="60">
        <v>78.38</v>
      </c>
      <c r="E98" s="60">
        <v>6.83</v>
      </c>
      <c r="F98" s="60">
        <v>1.65</v>
      </c>
      <c r="G98" s="60">
        <v>160.90</v>
      </c>
      <c r="H98" s="60">
        <v>45.07</v>
      </c>
      <c r="I98" s="60">
        <v>10.35</v>
      </c>
      <c r="J98" s="60">
        <v>0.70</v>
      </c>
      <c r="K98" s="60">
        <v>288.08999999999997</v>
      </c>
      <c r="L98" s="60">
        <v>42.03</v>
      </c>
      <c r="M98" s="60">
        <v>23.90</v>
      </c>
      <c r="N98" s="60">
        <v>148.80000000000001</v>
      </c>
      <c r="O98" s="60">
        <v>0</v>
      </c>
      <c r="P98" s="60">
        <v>2.5299999999999998</v>
      </c>
      <c r="Q98" s="60">
        <v>112.23</v>
      </c>
      <c r="R98" s="198"/>
      <c r="S98" s="198"/>
      <c r="T98" s="198"/>
      <c r="U98" s="198"/>
    </row>
    <row r="99" spans="1:21" s="12" customFormat="1" ht="15">
      <c r="A99" s="201" t="s">
        <v>623</v>
      </c>
      <c r="B99" s="60">
        <v>14.64</v>
      </c>
      <c r="C99" s="60">
        <v>58.5</v>
      </c>
      <c r="D99" s="60">
        <v>73.14</v>
      </c>
      <c r="E99" s="60">
        <v>6.49</v>
      </c>
      <c r="F99" s="60">
        <v>1.86</v>
      </c>
      <c r="G99" s="60">
        <v>160.90</v>
      </c>
      <c r="H99" s="60">
        <v>45.07</v>
      </c>
      <c r="I99" s="60">
        <v>10.119999999999999</v>
      </c>
      <c r="J99" s="60">
        <v>1.03</v>
      </c>
      <c r="K99" s="60">
        <v>348.30</v>
      </c>
      <c r="L99" s="60">
        <v>43.32</v>
      </c>
      <c r="M99" s="60">
        <v>24.55</v>
      </c>
      <c r="N99" s="60">
        <v>150.5</v>
      </c>
      <c r="O99" s="60">
        <v>0</v>
      </c>
      <c r="P99" s="60">
        <v>2.46</v>
      </c>
      <c r="Q99" s="60">
        <v>106.26</v>
      </c>
      <c r="R99" s="198"/>
      <c r="S99" s="198"/>
      <c r="T99" s="198"/>
      <c r="U99" s="198"/>
    </row>
    <row r="100" spans="1:33" s="12" customFormat="1" ht="15">
      <c r="A100" s="201" t="s">
        <v>624</v>
      </c>
      <c r="B100" s="60">
        <v>11.14</v>
      </c>
      <c r="C100" s="60">
        <v>56.25</v>
      </c>
      <c r="D100" s="60">
        <v>67.39</v>
      </c>
      <c r="E100" s="60">
        <v>3.46</v>
      </c>
      <c r="F100" s="60">
        <v>1.79</v>
      </c>
      <c r="G100" s="60">
        <v>160.90</v>
      </c>
      <c r="H100" s="60">
        <v>45.07</v>
      </c>
      <c r="I100" s="60">
        <v>9.65</v>
      </c>
      <c r="J100" s="60">
        <v>2.41</v>
      </c>
      <c r="K100" s="60">
        <v>315.97000000000003</v>
      </c>
      <c r="L100" s="60">
        <v>41.44</v>
      </c>
      <c r="M100" s="60">
        <v>26.36</v>
      </c>
      <c r="N100" s="60">
        <v>152.80000000000001</v>
      </c>
      <c r="O100" s="60">
        <v>0</v>
      </c>
      <c r="P100" s="60">
        <v>2.38</v>
      </c>
      <c r="Q100" s="60">
        <v>102.65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625</v>
      </c>
      <c r="B101" s="60">
        <v>8.8000000000000007</v>
      </c>
      <c r="C101" s="60">
        <v>53.99</v>
      </c>
      <c r="D101" s="60">
        <v>62.79</v>
      </c>
      <c r="E101" s="60">
        <v>6.59</v>
      </c>
      <c r="F101" s="60">
        <v>1.68</v>
      </c>
      <c r="G101" s="60">
        <v>156.05000000000001</v>
      </c>
      <c r="H101" s="60">
        <v>44.62</v>
      </c>
      <c r="I101" s="60">
        <v>9.32</v>
      </c>
      <c r="J101" s="60">
        <v>2.27</v>
      </c>
      <c r="K101" s="60">
        <v>312.25</v>
      </c>
      <c r="L101" s="60">
        <v>41.22</v>
      </c>
      <c r="M101" s="60">
        <v>27.23</v>
      </c>
      <c r="N101" s="60">
        <v>157.5</v>
      </c>
      <c r="O101" s="60">
        <v>0</v>
      </c>
      <c r="P101" s="60">
        <v>2.31</v>
      </c>
      <c r="Q101" s="60">
        <v>99.12</v>
      </c>
      <c r="R101" s="198"/>
      <c r="S101" s="198"/>
      <c r="T101" s="198"/>
      <c r="U101" s="198"/>
    </row>
    <row r="102" spans="1:21" s="12" customFormat="1" ht="15">
      <c r="A102" s="201" t="s">
        <v>626</v>
      </c>
      <c r="B102" s="60">
        <v>7.69</v>
      </c>
      <c r="C102" s="60">
        <v>52.01</v>
      </c>
      <c r="D102" s="60">
        <v>59.71</v>
      </c>
      <c r="E102" s="60">
        <v>6.16</v>
      </c>
      <c r="F102" s="60">
        <v>2.4500000000000002</v>
      </c>
      <c r="G102" s="60">
        <v>146.13</v>
      </c>
      <c r="H102" s="60">
        <v>43.22</v>
      </c>
      <c r="I102" s="60">
        <v>8.7799999999999994</v>
      </c>
      <c r="J102" s="60">
        <v>1.42</v>
      </c>
      <c r="K102" s="60">
        <v>327.14</v>
      </c>
      <c r="L102" s="60">
        <v>40.450000000000003</v>
      </c>
      <c r="M102" s="60">
        <v>26.95</v>
      </c>
      <c r="N102" s="60">
        <v>157.30000000000001</v>
      </c>
      <c r="O102" s="60">
        <v>0</v>
      </c>
      <c r="P102" s="60">
        <v>2.25</v>
      </c>
      <c r="Q102" s="60">
        <v>96.95</v>
      </c>
      <c r="R102" s="198"/>
      <c r="S102" s="198"/>
      <c r="T102" s="198"/>
      <c r="U102" s="198"/>
    </row>
    <row r="103" spans="1:21" s="12" customFormat="1" ht="15">
      <c r="A103" s="201" t="s">
        <v>627</v>
      </c>
      <c r="B103" s="60">
        <v>6.52</v>
      </c>
      <c r="C103" s="60">
        <v>50.28</v>
      </c>
      <c r="D103" s="60">
        <v>56.80</v>
      </c>
      <c r="E103" s="60">
        <v>6.59</v>
      </c>
      <c r="F103" s="60">
        <v>2.61</v>
      </c>
      <c r="G103" s="60">
        <v>146.13</v>
      </c>
      <c r="H103" s="60">
        <v>43.22</v>
      </c>
      <c r="I103" s="60">
        <v>8.48</v>
      </c>
      <c r="J103" s="60">
        <v>1.1000000000000001</v>
      </c>
      <c r="K103" s="60">
        <v>3.07</v>
      </c>
      <c r="L103" s="60">
        <v>37.24</v>
      </c>
      <c r="M103" s="60">
        <v>25.94</v>
      </c>
      <c r="N103" s="60">
        <v>154.19999999999999</v>
      </c>
      <c r="O103" s="60">
        <v>0</v>
      </c>
      <c r="P103" s="60">
        <v>2.1800000000000002</v>
      </c>
      <c r="Q103" s="60">
        <v>94.82</v>
      </c>
      <c r="R103" s="198"/>
      <c r="S103" s="198"/>
      <c r="T103" s="198"/>
      <c r="U103" s="198"/>
    </row>
    <row r="104" spans="1:21" s="12" customFormat="1" ht="15">
      <c r="A104" s="201" t="s">
        <v>628</v>
      </c>
      <c r="B104" s="60">
        <v>4.8600000000000003</v>
      </c>
      <c r="C104" s="60">
        <v>48.55</v>
      </c>
      <c r="D104" s="60">
        <v>53.40</v>
      </c>
      <c r="E104" s="60">
        <v>6.40</v>
      </c>
      <c r="F104" s="60">
        <v>2.5</v>
      </c>
      <c r="G104" s="60">
        <v>146.13</v>
      </c>
      <c r="H104" s="60">
        <v>43.22</v>
      </c>
      <c r="I104" s="60">
        <v>8.2100000000000009</v>
      </c>
      <c r="J104" s="60">
        <v>0.77</v>
      </c>
      <c r="K104" s="60">
        <v>340.51</v>
      </c>
      <c r="L104" s="60">
        <v>40.409999999999997</v>
      </c>
      <c r="M104" s="60">
        <v>26.10</v>
      </c>
      <c r="N104" s="60">
        <v>154</v>
      </c>
      <c r="O104" s="60">
        <v>0</v>
      </c>
      <c r="P104" s="60">
        <v>2.11</v>
      </c>
      <c r="Q104" s="60">
        <v>92.42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1.0800000000000001</v>
      </c>
      <c r="C106" s="67">
        <f>MIN(C9:C104)</f>
        <v>37.310000000000002</v>
      </c>
      <c r="D106" s="67">
        <f t="shared" si="0" ref="D106:Q106">MIN(D9:D104)</f>
        <v>41.240000000000002</v>
      </c>
      <c r="E106" s="67">
        <f t="shared" si="0"/>
        <v>2.4700000000000002</v>
      </c>
      <c r="F106" s="67">
        <f t="shared" si="0"/>
        <v>0.13</v>
      </c>
      <c r="G106" s="67">
        <f t="shared" si="0"/>
        <v>37.840000000000003</v>
      </c>
      <c r="H106" s="67">
        <f t="shared" si="0"/>
        <v>8.6799999999999997</v>
      </c>
      <c r="I106" s="67">
        <f t="shared" si="0"/>
        <v>0.01</v>
      </c>
      <c r="J106" s="67">
        <f t="shared" si="0"/>
        <v>0.20000000000000001</v>
      </c>
      <c r="K106" s="67">
        <f t="shared" si="0"/>
        <v>3.0699999999999998</v>
      </c>
      <c r="L106" s="67">
        <f t="shared" si="0"/>
        <v>37.240000000000002</v>
      </c>
      <c r="M106" s="67">
        <f t="shared" si="0"/>
        <v>12.99</v>
      </c>
      <c r="N106" s="67">
        <f t="shared" si="0"/>
        <v>80.700000000000003</v>
      </c>
      <c r="O106" s="67">
        <f t="shared" si="0"/>
        <v>0</v>
      </c>
      <c r="P106" s="67">
        <f t="shared" si="0"/>
        <v>1.4399999999999999</v>
      </c>
      <c r="Q106" s="67">
        <f t="shared" si="0"/>
        <v>52.43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67.099999999999994</v>
      </c>
      <c r="C107" s="66">
        <f t="shared" si="1" ref="C107:Q107">MAX(C9:C104)</f>
        <v>72.870000000000005</v>
      </c>
      <c r="D107" s="66">
        <f t="shared" si="1"/>
        <v>139.97</v>
      </c>
      <c r="E107" s="66">
        <f t="shared" si="1"/>
        <v>7.4000000000000004</v>
      </c>
      <c r="F107" s="66">
        <f t="shared" si="1"/>
        <v>19.170000000000002</v>
      </c>
      <c r="G107" s="66">
        <f t="shared" si="1"/>
        <v>272.25999999999999</v>
      </c>
      <c r="H107" s="66">
        <f t="shared" si="1"/>
        <v>72.870000000000005</v>
      </c>
      <c r="I107" s="66">
        <f t="shared" si="1"/>
        <v>16.170000000000002</v>
      </c>
      <c r="J107" s="66">
        <f t="shared" si="1"/>
        <v>5.6100000000000003</v>
      </c>
      <c r="K107" s="66">
        <f t="shared" si="1"/>
        <v>357.38999999999999</v>
      </c>
      <c r="L107" s="66">
        <f t="shared" si="1"/>
        <v>56.75</v>
      </c>
      <c r="M107" s="66">
        <f t="shared" si="1"/>
        <v>45.420000000000002</v>
      </c>
      <c r="N107" s="66">
        <f t="shared" si="1"/>
        <v>1109.5999999999999</v>
      </c>
      <c r="O107" s="66">
        <f t="shared" si="1"/>
        <v>0</v>
      </c>
      <c r="P107" s="66">
        <f t="shared" si="1"/>
        <v>3.2400000000000002</v>
      </c>
      <c r="Q107" s="66">
        <f t="shared" si="1"/>
        <v>188.16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8.6202083333333359</v>
      </c>
      <c r="C108" s="67">
        <f t="shared" si="2" ref="C108:Q108">AVERAGE(C9:C104)</f>
        <v>49.225625000000008</v>
      </c>
      <c r="D108" s="67">
        <f t="shared" si="2"/>
        <v>57.845208333333325</v>
      </c>
      <c r="E108" s="67">
        <f t="shared" si="2"/>
        <v>5.7368750000000013</v>
      </c>
      <c r="F108" s="67">
        <f t="shared" si="2"/>
        <v>3.10695652173913</v>
      </c>
      <c r="G108" s="67">
        <f t="shared" si="2"/>
        <v>150.90382022471906</v>
      </c>
      <c r="H108" s="67">
        <f t="shared" si="2"/>
        <v>44.066853932584245</v>
      </c>
      <c r="I108" s="67">
        <f t="shared" si="2"/>
        <v>7.349058823529413</v>
      </c>
      <c r="J108" s="67">
        <f t="shared" si="2"/>
        <v>2.0654166666666662</v>
      </c>
      <c r="K108" s="67">
        <f t="shared" si="2"/>
        <v>280.61874999999998</v>
      </c>
      <c r="L108" s="67">
        <f t="shared" si="2"/>
        <v>46.228020833333318</v>
      </c>
      <c r="M108" s="67">
        <f t="shared" si="2"/>
        <v>26.957812500000006</v>
      </c>
      <c r="N108" s="67">
        <f t="shared" si="2"/>
        <v>382.77395833333327</v>
      </c>
      <c r="O108" s="67">
        <f t="shared" si="2"/>
        <v>0</v>
      </c>
      <c r="P108" s="67">
        <f t="shared" si="2"/>
        <v>1.9715625000000017</v>
      </c>
      <c r="Q108" s="67">
        <f t="shared" si="2"/>
        <v>95.139791666666653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12.51695674962288</v>
      </c>
      <c r="C109" s="67">
        <f t="shared" si="3" ref="C109:Q109">STDEV(C9:C104)</f>
        <v>7.5748098899192744</v>
      </c>
      <c r="D109" s="67">
        <f t="shared" si="3"/>
        <v>19.068879744048463</v>
      </c>
      <c r="E109" s="67">
        <f t="shared" si="3"/>
        <v>1.3181177269520565</v>
      </c>
      <c r="F109" s="67">
        <f t="shared" si="3"/>
        <v>2.8861228181014398</v>
      </c>
      <c r="G109" s="67">
        <f t="shared" si="3"/>
        <v>33.960738511405488</v>
      </c>
      <c r="H109" s="67">
        <f t="shared" si="3"/>
        <v>10.628364878464883</v>
      </c>
      <c r="I109" s="67">
        <f t="shared" si="3"/>
        <v>3.5215515464234834</v>
      </c>
      <c r="J109" s="67">
        <f t="shared" si="3"/>
        <v>1.3281771573865855</v>
      </c>
      <c r="K109" s="67">
        <f t="shared" si="3"/>
        <v>73.855556214033356</v>
      </c>
      <c r="L109" s="67">
        <f t="shared" si="3"/>
        <v>4.9335439636906608</v>
      </c>
      <c r="M109" s="67">
        <f t="shared" si="3"/>
        <v>10.069955229412299</v>
      </c>
      <c r="N109" s="67">
        <f t="shared" si="3"/>
        <v>338.53931443771228</v>
      </c>
      <c r="O109" s="67">
        <f t="shared" si="3"/>
        <v>0</v>
      </c>
      <c r="P109" s="67">
        <f t="shared" si="3"/>
        <v>0.38914028893662517</v>
      </c>
      <c r="Q109" s="67">
        <f t="shared" si="3"/>
        <v>33.247864576593706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c87d72-89d4-43f1-a581-8299cc56ade3}">
  <sheetPr codeName=""/>
  <dimension ref="A1:AG117"/>
  <sheetViews>
    <sheetView workbookViewId="0" topLeftCell="A1">
      <pane xSplit="1" ySplit="8" topLeftCell="B108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I63" sqref="I63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04-06-2022 00:60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17" t="s">
        <v>629</v>
      </c>
      <c r="B9" s="54">
        <v>1.65362938596493</v>
      </c>
      <c r="C9" s="54">
        <v>51.1429210526316</v>
      </c>
      <c r="D9" s="54">
        <v>52.797714912280703</v>
      </c>
      <c r="E9" s="54">
        <v>5.2811250000000003</v>
      </c>
      <c r="F9" s="54">
        <v>4.1867171052631598</v>
      </c>
      <c r="G9" s="54">
        <v>110.030620614035</v>
      </c>
      <c r="H9" s="54">
        <v>27.7284188596491</v>
      </c>
      <c r="I9" s="54">
        <v>5.5841469298245698</v>
      </c>
      <c r="J9" s="54">
        <v>2.19118640350877</v>
      </c>
      <c r="K9" s="54">
        <v>312.04417763157898</v>
      </c>
      <c r="L9" s="54">
        <v>45.529997807017502</v>
      </c>
      <c r="M9" s="54">
        <v>16.2940065789473</v>
      </c>
      <c r="N9" s="54">
        <v>392.01589912280701</v>
      </c>
      <c r="O9" s="54">
        <v>0</v>
      </c>
      <c r="P9" s="54">
        <v>1.9850526315789501</v>
      </c>
      <c r="Q9" s="54">
        <v>121.88967324561401</v>
      </c>
      <c r="R9" s="198"/>
      <c r="S9" s="198"/>
      <c r="T9" s="198"/>
      <c r="U9" s="198"/>
    </row>
    <row r="10" spans="1:21" s="12" customFormat="1" ht="15">
      <c r="A10" s="217" t="s">
        <v>630</v>
      </c>
      <c r="B10" s="54">
        <v>2.34</v>
      </c>
      <c r="C10" s="54">
        <v>43.02</v>
      </c>
      <c r="D10" s="54">
        <v>45.35</v>
      </c>
      <c r="E10" s="54">
        <v>6.73</v>
      </c>
      <c r="F10" s="54">
        <v>2.31</v>
      </c>
      <c r="G10" s="54">
        <v>139.66999999999999</v>
      </c>
      <c r="H10" s="54">
        <v>39.130000000000003</v>
      </c>
      <c r="I10" s="54">
        <v>7.46</v>
      </c>
      <c r="J10" s="54">
        <v>2.10</v>
      </c>
      <c r="K10" s="54">
        <v>355.43</v>
      </c>
      <c r="L10" s="54">
        <v>38.46</v>
      </c>
      <c r="M10" s="54">
        <v>28.39</v>
      </c>
      <c r="N10" s="54">
        <v>160.90</v>
      </c>
      <c r="O10" s="54">
        <v>0</v>
      </c>
      <c r="P10" s="54">
        <v>2.0299999999999998</v>
      </c>
      <c r="Q10" s="54">
        <v>85.52</v>
      </c>
      <c r="R10" s="198"/>
      <c r="S10" s="198"/>
      <c r="T10" s="198"/>
      <c r="U10" s="198"/>
    </row>
    <row r="11" spans="1:21" s="12" customFormat="1" ht="15">
      <c r="A11" s="217" t="s">
        <v>631</v>
      </c>
      <c r="B11" s="54">
        <v>1.89</v>
      </c>
      <c r="C11" s="54">
        <v>41.65</v>
      </c>
      <c r="D11" s="54">
        <v>43.54</v>
      </c>
      <c r="E11" s="54">
        <v>6.81</v>
      </c>
      <c r="F11" s="54">
        <v>1.82</v>
      </c>
      <c r="G11" s="54">
        <v>139.66999999999999</v>
      </c>
      <c r="H11" s="54">
        <v>39.130000000000003</v>
      </c>
      <c r="I11" s="54">
        <v>7.14</v>
      </c>
      <c r="J11" s="54">
        <v>2</v>
      </c>
      <c r="K11" s="54">
        <v>346.87</v>
      </c>
      <c r="L11" s="54">
        <v>37.94</v>
      </c>
      <c r="M11" s="54">
        <v>28.74</v>
      </c>
      <c r="N11" s="54">
        <v>166.30</v>
      </c>
      <c r="O11" s="54">
        <v>0</v>
      </c>
      <c r="P11" s="54">
        <v>2.0699999999999998</v>
      </c>
      <c r="Q11" s="54">
        <v>71.06</v>
      </c>
      <c r="R11" s="198"/>
      <c r="S11" s="198"/>
      <c r="T11" s="198"/>
      <c r="U11" s="198"/>
    </row>
    <row r="12" spans="1:21" s="12" customFormat="1" ht="15">
      <c r="A12" s="217" t="s">
        <v>632</v>
      </c>
      <c r="B12" s="54">
        <v>1.94</v>
      </c>
      <c r="C12" s="54">
        <v>41.03</v>
      </c>
      <c r="D12" s="54">
        <v>42.97</v>
      </c>
      <c r="E12" s="54">
        <v>6.5</v>
      </c>
      <c r="F12" s="54">
        <v>1.46</v>
      </c>
      <c r="G12" s="54">
        <v>139.66999999999999</v>
      </c>
      <c r="H12" s="54">
        <v>39.130000000000003</v>
      </c>
      <c r="I12" s="54">
        <v>7.33</v>
      </c>
      <c r="J12" s="54">
        <v>1.56</v>
      </c>
      <c r="K12" s="54">
        <v>2.04</v>
      </c>
      <c r="L12" s="54">
        <v>38.74</v>
      </c>
      <c r="M12" s="54">
        <v>28.43</v>
      </c>
      <c r="N12" s="54">
        <v>164.20</v>
      </c>
      <c r="O12" s="54">
        <v>0</v>
      </c>
      <c r="P12" s="54">
        <v>2.09</v>
      </c>
      <c r="Q12" s="54">
        <v>75.28</v>
      </c>
      <c r="R12" s="198"/>
      <c r="S12" s="198"/>
      <c r="T12" s="198"/>
      <c r="U12" s="198"/>
    </row>
    <row r="13" spans="1:21" s="12" customFormat="1" ht="15">
      <c r="A13" s="217" t="s">
        <v>633</v>
      </c>
      <c r="B13" s="54">
        <v>2.0699999999999998</v>
      </c>
      <c r="C13" s="54">
        <v>40.40</v>
      </c>
      <c r="D13" s="54">
        <v>42.48</v>
      </c>
      <c r="E13" s="54">
        <v>6.97</v>
      </c>
      <c r="F13" s="54">
        <v>1.26</v>
      </c>
      <c r="G13" s="54">
        <v>140.68</v>
      </c>
      <c r="H13" s="54">
        <v>38.90</v>
      </c>
      <c r="I13" s="54">
        <v>8.15</v>
      </c>
      <c r="J13" s="54">
        <v>1.17</v>
      </c>
      <c r="K13" s="54">
        <v>333.18</v>
      </c>
      <c r="L13" s="54">
        <v>38.89</v>
      </c>
      <c r="M13" s="54">
        <v>29.05</v>
      </c>
      <c r="N13" s="54">
        <v>170.70</v>
      </c>
      <c r="O13" s="54">
        <v>0</v>
      </c>
      <c r="P13" s="54">
        <v>2.12</v>
      </c>
      <c r="Q13" s="54">
        <v>80.17</v>
      </c>
      <c r="R13" s="198"/>
      <c r="S13" s="198"/>
      <c r="T13" s="198"/>
      <c r="U13" s="198"/>
    </row>
    <row r="14" spans="1:21" s="12" customFormat="1" ht="15">
      <c r="A14" s="217" t="s">
        <v>634</v>
      </c>
      <c r="B14" s="54">
        <v>2.21</v>
      </c>
      <c r="C14" s="54">
        <v>40.07</v>
      </c>
      <c r="D14" s="54">
        <v>42.28</v>
      </c>
      <c r="E14" s="54">
        <v>7.19</v>
      </c>
      <c r="F14" s="54">
        <v>1.05</v>
      </c>
      <c r="G14" s="54">
        <v>146.25</v>
      </c>
      <c r="H14" s="54">
        <v>38.159999999999997</v>
      </c>
      <c r="I14" s="54">
        <v>9.77</v>
      </c>
      <c r="J14" s="54">
        <v>1.28</v>
      </c>
      <c r="K14" s="54">
        <v>343.80</v>
      </c>
      <c r="L14" s="54">
        <v>37.83</v>
      </c>
      <c r="M14" s="54">
        <v>29.42</v>
      </c>
      <c r="N14" s="54">
        <v>172.70</v>
      </c>
      <c r="O14" s="54">
        <v>0</v>
      </c>
      <c r="P14" s="54">
        <v>2.16</v>
      </c>
      <c r="Q14" s="54">
        <v>80.56</v>
      </c>
      <c r="R14" s="198"/>
      <c r="S14" s="198"/>
      <c r="T14" s="198"/>
      <c r="U14" s="198"/>
    </row>
    <row r="15" spans="1:21" s="12" customFormat="1" ht="15">
      <c r="A15" s="217" t="s">
        <v>635</v>
      </c>
      <c r="B15" s="54">
        <v>2.2599999999999998</v>
      </c>
      <c r="C15" s="54">
        <v>39.5</v>
      </c>
      <c r="D15" s="54">
        <v>41.76</v>
      </c>
      <c r="E15" s="54">
        <v>6.97</v>
      </c>
      <c r="F15" s="54">
        <v>1.05</v>
      </c>
      <c r="G15" s="54">
        <v>146.25</v>
      </c>
      <c r="H15" s="54">
        <v>38.159999999999997</v>
      </c>
      <c r="I15" s="54">
        <v>12.67</v>
      </c>
      <c r="J15" s="54">
        <v>0.33</v>
      </c>
      <c r="K15" s="54">
        <v>237.65</v>
      </c>
      <c r="L15" s="54">
        <v>41.40</v>
      </c>
      <c r="M15" s="54">
        <v>29</v>
      </c>
      <c r="N15" s="54">
        <v>170.60</v>
      </c>
      <c r="O15" s="54">
        <v>0</v>
      </c>
      <c r="P15" s="54">
        <v>2.2000000000000002</v>
      </c>
      <c r="Q15" s="54">
        <v>81.239999999999995</v>
      </c>
      <c r="R15" s="198"/>
      <c r="S15" s="198"/>
      <c r="T15" s="198"/>
      <c r="U15" s="198"/>
    </row>
    <row r="16" spans="1:21" s="12" customFormat="1" ht="15">
      <c r="A16" s="217" t="s">
        <v>636</v>
      </c>
      <c r="B16" s="54">
        <v>2.19</v>
      </c>
      <c r="C16" s="54">
        <v>38.43</v>
      </c>
      <c r="D16" s="54">
        <v>40.61</v>
      </c>
      <c r="E16" s="54">
        <v>7.22</v>
      </c>
      <c r="F16" s="54">
        <v>1.19</v>
      </c>
      <c r="G16" s="54">
        <v>146.25</v>
      </c>
      <c r="H16" s="54">
        <v>38.159999999999997</v>
      </c>
      <c r="I16" s="54">
        <v>12.70</v>
      </c>
      <c r="J16" s="54">
        <v>1.08</v>
      </c>
      <c r="K16" s="54">
        <v>234.83</v>
      </c>
      <c r="L16" s="54">
        <v>43.11</v>
      </c>
      <c r="M16" s="54">
        <v>28.02</v>
      </c>
      <c r="N16" s="54">
        <v>161.5</v>
      </c>
      <c r="O16" s="54">
        <v>0</v>
      </c>
      <c r="P16" s="54">
        <v>2.17</v>
      </c>
      <c r="Q16" s="54">
        <v>81.13</v>
      </c>
      <c r="R16" s="198"/>
      <c r="S16" s="198"/>
      <c r="T16" s="198"/>
      <c r="U16" s="198"/>
    </row>
    <row r="17" spans="1:21" s="12" customFormat="1" ht="15">
      <c r="A17" s="217" t="s">
        <v>637</v>
      </c>
      <c r="B17" s="54">
        <v>1.92</v>
      </c>
      <c r="C17" s="54">
        <v>36.53</v>
      </c>
      <c r="D17" s="54">
        <v>38.450000000000003</v>
      </c>
      <c r="E17" s="54">
        <v>7.38</v>
      </c>
      <c r="F17" s="54">
        <v>1.34</v>
      </c>
      <c r="G17" s="54">
        <v>141.41999999999999</v>
      </c>
      <c r="H17" s="54">
        <v>38.68</v>
      </c>
      <c r="I17" s="54">
        <v>13.23</v>
      </c>
      <c r="J17" s="54">
        <v>2.06</v>
      </c>
      <c r="K17" s="54">
        <v>201.11</v>
      </c>
      <c r="L17" s="54">
        <v>41.90</v>
      </c>
      <c r="M17" s="54">
        <v>28.28</v>
      </c>
      <c r="N17" s="54">
        <v>161.19999999999999</v>
      </c>
      <c r="O17" s="54">
        <v>0</v>
      </c>
      <c r="P17" s="54">
        <v>2.12</v>
      </c>
      <c r="Q17" s="54">
        <v>80.88</v>
      </c>
      <c r="R17" s="198"/>
      <c r="S17" s="198"/>
      <c r="T17" s="198"/>
      <c r="U17" s="198"/>
    </row>
    <row r="18" spans="1:21" s="12" customFormat="1" ht="15">
      <c r="A18" s="217" t="s">
        <v>638</v>
      </c>
      <c r="B18" s="54">
        <v>1.70</v>
      </c>
      <c r="C18" s="54">
        <v>34.549999999999997</v>
      </c>
      <c r="D18" s="54">
        <v>36.25</v>
      </c>
      <c r="E18" s="54">
        <v>7.25</v>
      </c>
      <c r="F18" s="54">
        <v>1.56</v>
      </c>
      <c r="G18" s="54">
        <v>130.38</v>
      </c>
      <c r="H18" s="54">
        <v>40.29</v>
      </c>
      <c r="I18" s="54">
        <v>12.79</v>
      </c>
      <c r="J18" s="54">
        <v>3.20</v>
      </c>
      <c r="K18" s="54">
        <v>165.5</v>
      </c>
      <c r="L18" s="54">
        <v>39.950000000000003</v>
      </c>
      <c r="M18" s="54">
        <v>29.98</v>
      </c>
      <c r="N18" s="54">
        <v>166.5</v>
      </c>
      <c r="O18" s="54">
        <v>0</v>
      </c>
      <c r="P18" s="54">
        <v>2.06</v>
      </c>
      <c r="Q18" s="54">
        <v>83.57</v>
      </c>
      <c r="R18" s="198"/>
      <c r="S18" s="198"/>
      <c r="T18" s="198"/>
      <c r="U18" s="198"/>
    </row>
    <row r="19" spans="1:21" s="12" customFormat="1" ht="15">
      <c r="A19" s="217" t="s">
        <v>639</v>
      </c>
      <c r="B19" s="54">
        <v>1.46</v>
      </c>
      <c r="C19" s="54">
        <v>32.74</v>
      </c>
      <c r="D19" s="54">
        <v>34.200000000000003</v>
      </c>
      <c r="E19" s="54">
        <v>7.45</v>
      </c>
      <c r="F19" s="54">
        <v>1.31</v>
      </c>
      <c r="G19" s="54">
        <v>130.38</v>
      </c>
      <c r="H19" s="54">
        <v>40.29</v>
      </c>
      <c r="I19" s="54">
        <v>11.89</v>
      </c>
      <c r="J19" s="54">
        <v>2.2400000000000002</v>
      </c>
      <c r="K19" s="54">
        <v>207.39</v>
      </c>
      <c r="L19" s="54">
        <v>38.03</v>
      </c>
      <c r="M19" s="54">
        <v>30.23</v>
      </c>
      <c r="N19" s="54">
        <v>162.19999999999999</v>
      </c>
      <c r="O19" s="54">
        <v>0</v>
      </c>
      <c r="P19" s="54">
        <v>1.99</v>
      </c>
      <c r="Q19" s="54">
        <v>85.83</v>
      </c>
      <c r="R19" s="198"/>
      <c r="S19" s="198"/>
      <c r="T19" s="198"/>
      <c r="U19" s="198"/>
    </row>
    <row r="20" spans="1:21" s="12" customFormat="1" ht="15">
      <c r="A20" s="217" t="s">
        <v>640</v>
      </c>
      <c r="B20" s="54">
        <v>1.28</v>
      </c>
      <c r="C20" s="54">
        <v>30.87</v>
      </c>
      <c r="D20" s="54">
        <v>32.15</v>
      </c>
      <c r="E20" s="54">
        <v>3.13</v>
      </c>
      <c r="F20" s="54">
        <v>1.47</v>
      </c>
      <c r="G20" s="54">
        <v>130.38</v>
      </c>
      <c r="H20" s="54">
        <v>40.29</v>
      </c>
      <c r="I20" s="54">
        <v>11.66</v>
      </c>
      <c r="J20" s="54">
        <v>3.94</v>
      </c>
      <c r="K20" s="54">
        <v>160.91999999999999</v>
      </c>
      <c r="L20" s="54">
        <v>39.25</v>
      </c>
      <c r="M20" s="54">
        <v>31.37</v>
      </c>
      <c r="N20" s="54">
        <v>164.10</v>
      </c>
      <c r="O20" s="54">
        <v>0</v>
      </c>
      <c r="P20" s="54">
        <v>1.93</v>
      </c>
      <c r="Q20" s="54">
        <v>84.16</v>
      </c>
      <c r="R20" s="198"/>
      <c r="S20" s="198"/>
      <c r="T20" s="198"/>
      <c r="U20" s="198"/>
    </row>
    <row r="21" spans="1:21" s="12" customFormat="1" ht="15">
      <c r="A21" s="217" t="s">
        <v>641</v>
      </c>
      <c r="B21" s="54">
        <v>1.18</v>
      </c>
      <c r="C21" s="54">
        <v>29.76</v>
      </c>
      <c r="D21" s="54">
        <v>30.94</v>
      </c>
      <c r="E21" s="54">
        <v>6.36</v>
      </c>
      <c r="F21" s="54">
        <v>1.51</v>
      </c>
      <c r="G21" s="54">
        <v>128.07</v>
      </c>
      <c r="H21" s="54">
        <v>39.79</v>
      </c>
      <c r="I21" s="54">
        <v>10.89</v>
      </c>
      <c r="J21" s="54">
        <v>1.82</v>
      </c>
      <c r="K21" s="54">
        <v>92.73</v>
      </c>
      <c r="L21" s="54">
        <v>39.21</v>
      </c>
      <c r="M21" s="54">
        <v>31.87</v>
      </c>
      <c r="N21" s="54">
        <v>161.80000000000001</v>
      </c>
      <c r="O21" s="54">
        <v>0</v>
      </c>
      <c r="P21" s="54">
        <v>1.88</v>
      </c>
      <c r="Q21" s="54">
        <v>82.01</v>
      </c>
      <c r="R21" s="198"/>
      <c r="S21" s="198"/>
      <c r="T21" s="198"/>
      <c r="U21" s="198"/>
    </row>
    <row r="22" spans="1:21" s="12" customFormat="1" ht="15">
      <c r="A22" s="217" t="s">
        <v>642</v>
      </c>
      <c r="B22" s="54">
        <v>1.20</v>
      </c>
      <c r="C22" s="54">
        <v>28.79</v>
      </c>
      <c r="D22" s="54">
        <v>29.99</v>
      </c>
      <c r="E22" s="54">
        <v>6.63</v>
      </c>
      <c r="F22" s="54">
        <v>1.74</v>
      </c>
      <c r="G22" s="54">
        <v>123.12</v>
      </c>
      <c r="H22" s="54">
        <v>38.25</v>
      </c>
      <c r="I22" s="54">
        <v>10.18</v>
      </c>
      <c r="J22" s="54">
        <v>0.57999999999999996</v>
      </c>
      <c r="K22" s="54">
        <v>62.47</v>
      </c>
      <c r="L22" s="54">
        <v>39.549999999999997</v>
      </c>
      <c r="M22" s="54">
        <v>32.29</v>
      </c>
      <c r="N22" s="54">
        <v>152.10</v>
      </c>
      <c r="O22" s="54">
        <v>0</v>
      </c>
      <c r="P22" s="54">
        <v>1.84</v>
      </c>
      <c r="Q22" s="54">
        <v>81.599999999999994</v>
      </c>
      <c r="R22" s="198"/>
      <c r="S22" s="198"/>
      <c r="T22" s="198"/>
      <c r="U22" s="198"/>
    </row>
    <row r="23" spans="1:21" s="12" customFormat="1" ht="15">
      <c r="A23" s="217" t="s">
        <v>643</v>
      </c>
      <c r="B23" s="54">
        <v>1.19</v>
      </c>
      <c r="C23" s="54">
        <v>28.03</v>
      </c>
      <c r="D23" s="54">
        <v>29.22</v>
      </c>
      <c r="E23" s="54">
        <v>6.30</v>
      </c>
      <c r="F23" s="54">
        <v>1.80</v>
      </c>
      <c r="G23" s="54">
        <v>123.12</v>
      </c>
      <c r="H23" s="54">
        <v>38.25</v>
      </c>
      <c r="I23" s="54">
        <v>9.5399999999999991</v>
      </c>
      <c r="J23" s="54">
        <v>1.23</v>
      </c>
      <c r="K23" s="54">
        <v>174.27</v>
      </c>
      <c r="L23" s="54">
        <v>37.96</v>
      </c>
      <c r="M23" s="54">
        <v>33</v>
      </c>
      <c r="N23" s="54">
        <v>153.19999999999999</v>
      </c>
      <c r="O23" s="54">
        <v>0</v>
      </c>
      <c r="P23" s="54">
        <v>1.80</v>
      </c>
      <c r="Q23" s="54">
        <v>80.64</v>
      </c>
      <c r="R23" s="198"/>
      <c r="S23" s="198"/>
      <c r="T23" s="198"/>
      <c r="U23" s="198"/>
    </row>
    <row r="24" spans="1:21" s="12" customFormat="1" ht="15">
      <c r="A24" s="217" t="s">
        <v>644</v>
      </c>
      <c r="B24" s="54">
        <v>1.34</v>
      </c>
      <c r="C24" s="54">
        <v>27.93</v>
      </c>
      <c r="D24" s="54">
        <v>29.28</v>
      </c>
      <c r="E24" s="54">
        <v>5.93</v>
      </c>
      <c r="F24" s="54">
        <v>1.60</v>
      </c>
      <c r="G24" s="54">
        <v>123.12</v>
      </c>
      <c r="H24" s="54">
        <v>38.25</v>
      </c>
      <c r="I24" s="54">
        <v>9.17</v>
      </c>
      <c r="J24" s="54">
        <v>1.53</v>
      </c>
      <c r="K24" s="54">
        <v>129.38</v>
      </c>
      <c r="L24" s="54">
        <v>39.03</v>
      </c>
      <c r="M24" s="54">
        <v>34.409999999999997</v>
      </c>
      <c r="N24" s="54">
        <v>152.40</v>
      </c>
      <c r="O24" s="54">
        <v>0</v>
      </c>
      <c r="P24" s="54">
        <v>1.77</v>
      </c>
      <c r="Q24" s="54">
        <v>80.34</v>
      </c>
      <c r="R24" s="198"/>
      <c r="S24" s="198"/>
      <c r="T24" s="198"/>
      <c r="U24" s="198"/>
    </row>
    <row r="25" spans="1:21" s="12" customFormat="1" ht="15">
      <c r="A25" s="217" t="s">
        <v>645</v>
      </c>
      <c r="B25" s="54">
        <v>1.84</v>
      </c>
      <c r="C25" s="54">
        <v>29.03</v>
      </c>
      <c r="D25" s="54">
        <v>30.87</v>
      </c>
      <c r="E25" s="54">
        <v>5.97</v>
      </c>
      <c r="F25" s="54">
        <v>0.97</v>
      </c>
      <c r="G25" s="54">
        <v>121.84</v>
      </c>
      <c r="H25" s="54">
        <v>37.60</v>
      </c>
      <c r="I25" s="54">
        <v>8.82</v>
      </c>
      <c r="J25" s="54">
        <v>0.83</v>
      </c>
      <c r="K25" s="54">
        <v>275.19</v>
      </c>
      <c r="L25" s="54">
        <v>37.72</v>
      </c>
      <c r="M25" s="54">
        <v>35.049999999999997</v>
      </c>
      <c r="N25" s="54">
        <v>149.19999999999999</v>
      </c>
      <c r="O25" s="54">
        <v>0</v>
      </c>
      <c r="P25" s="54">
        <v>1.74</v>
      </c>
      <c r="Q25" s="54">
        <v>81.42</v>
      </c>
      <c r="R25" s="198"/>
      <c r="S25" s="198"/>
      <c r="T25" s="198"/>
      <c r="U25" s="198"/>
    </row>
    <row r="26" spans="1:21" s="12" customFormat="1" ht="15">
      <c r="A26" s="217" t="s">
        <v>646</v>
      </c>
      <c r="B26" s="54">
        <v>2.2400000000000002</v>
      </c>
      <c r="C26" s="54">
        <v>30</v>
      </c>
      <c r="D26" s="54">
        <v>32.24</v>
      </c>
      <c r="E26" s="54">
        <v>6.11</v>
      </c>
      <c r="F26" s="54">
        <v>0.83</v>
      </c>
      <c r="G26" s="54">
        <v>119.08</v>
      </c>
      <c r="H26" s="54">
        <v>35.60</v>
      </c>
      <c r="I26" s="54">
        <v>8.49</v>
      </c>
      <c r="J26" s="54">
        <v>0.21</v>
      </c>
      <c r="K26" s="54">
        <v>273.22000000000003</v>
      </c>
      <c r="L26" s="54">
        <v>37.549999999999997</v>
      </c>
      <c r="M26" s="54">
        <v>35.90</v>
      </c>
      <c r="N26" s="54">
        <v>142.19999999999999</v>
      </c>
      <c r="O26" s="54">
        <v>0</v>
      </c>
      <c r="P26" s="54">
        <v>1.73</v>
      </c>
      <c r="Q26" s="54">
        <v>81.83</v>
      </c>
      <c r="R26" s="198"/>
      <c r="S26" s="198"/>
      <c r="T26" s="198"/>
      <c r="U26" s="198"/>
    </row>
    <row r="27" spans="1:21" s="12" customFormat="1" ht="15">
      <c r="A27" s="217" t="s">
        <v>647</v>
      </c>
      <c r="B27" s="54">
        <v>2.62</v>
      </c>
      <c r="C27" s="54">
        <v>31.04</v>
      </c>
      <c r="D27" s="54">
        <v>33.659999999999997</v>
      </c>
      <c r="E27" s="54">
        <v>6.02</v>
      </c>
      <c r="F27" s="54">
        <v>0.82</v>
      </c>
      <c r="G27" s="54">
        <v>119.08</v>
      </c>
      <c r="H27" s="54">
        <v>35.60</v>
      </c>
      <c r="I27" s="54">
        <v>8.27</v>
      </c>
      <c r="J27" s="54">
        <v>0.77</v>
      </c>
      <c r="K27" s="54">
        <v>260.01</v>
      </c>
      <c r="L27" s="54">
        <v>37.54</v>
      </c>
      <c r="M27" s="54">
        <v>36.22</v>
      </c>
      <c r="N27" s="54">
        <v>142.30000000000001</v>
      </c>
      <c r="O27" s="54">
        <v>0</v>
      </c>
      <c r="P27" s="54">
        <v>1.71</v>
      </c>
      <c r="Q27" s="54">
        <v>82.09</v>
      </c>
      <c r="R27" s="198"/>
      <c r="S27" s="198"/>
      <c r="T27" s="198"/>
      <c r="U27" s="198"/>
    </row>
    <row r="28" spans="1:21" s="12" customFormat="1" ht="15">
      <c r="A28" s="217" t="s">
        <v>648</v>
      </c>
      <c r="B28" s="54">
        <v>3.17</v>
      </c>
      <c r="C28" s="54">
        <v>30.22</v>
      </c>
      <c r="D28" s="54">
        <v>33.380000000000003</v>
      </c>
      <c r="E28" s="54">
        <v>6.06</v>
      </c>
      <c r="F28" s="54">
        <v>0.77</v>
      </c>
      <c r="G28" s="54">
        <v>119.08</v>
      </c>
      <c r="H28" s="54">
        <v>35.60</v>
      </c>
      <c r="I28" s="54">
        <v>7.96</v>
      </c>
      <c r="J28" s="54">
        <v>1.93</v>
      </c>
      <c r="K28" s="54">
        <v>273.14999999999998</v>
      </c>
      <c r="L28" s="54">
        <v>35.770000000000003</v>
      </c>
      <c r="M28" s="54">
        <v>37.25</v>
      </c>
      <c r="N28" s="54">
        <v>136.19999999999999</v>
      </c>
      <c r="O28" s="54">
        <v>0</v>
      </c>
      <c r="P28" s="54">
        <v>1.70</v>
      </c>
      <c r="Q28" s="54">
        <v>74.31</v>
      </c>
      <c r="R28" s="198"/>
      <c r="S28" s="198"/>
      <c r="T28" s="198"/>
      <c r="U28" s="198"/>
    </row>
    <row r="29" spans="1:21" s="12" customFormat="1" ht="15">
      <c r="A29" s="217" t="s">
        <v>649</v>
      </c>
      <c r="B29" s="54">
        <v>4.42</v>
      </c>
      <c r="C29" s="54">
        <v>32.04</v>
      </c>
      <c r="D29" s="54">
        <v>36.46</v>
      </c>
      <c r="E29" s="54">
        <v>5.90</v>
      </c>
      <c r="F29" s="54">
        <v>0.60</v>
      </c>
      <c r="G29" s="54">
        <v>119.65</v>
      </c>
      <c r="H29" s="54">
        <v>35.67</v>
      </c>
      <c r="I29" s="54">
        <v>7.77</v>
      </c>
      <c r="J29" s="54">
        <v>2.35</v>
      </c>
      <c r="K29" s="54">
        <v>202.81</v>
      </c>
      <c r="L29" s="54">
        <v>37.590000000000003</v>
      </c>
      <c r="M29" s="54">
        <v>35.99</v>
      </c>
      <c r="N29" s="54">
        <v>135.19999999999999</v>
      </c>
      <c r="O29" s="54">
        <v>0</v>
      </c>
      <c r="P29" s="54">
        <v>1.71</v>
      </c>
      <c r="Q29" s="54">
        <v>66.64</v>
      </c>
      <c r="R29" s="198"/>
      <c r="S29" s="198"/>
      <c r="T29" s="198"/>
      <c r="U29" s="198"/>
    </row>
    <row r="30" spans="1:21" s="12" customFormat="1" ht="15">
      <c r="A30" s="217" t="s">
        <v>650</v>
      </c>
      <c r="B30" s="54">
        <v>4.97</v>
      </c>
      <c r="C30" s="54">
        <v>33.10</v>
      </c>
      <c r="D30" s="54">
        <v>38.07</v>
      </c>
      <c r="E30" s="54">
        <v>6.41</v>
      </c>
      <c r="F30" s="54">
        <v>0.42</v>
      </c>
      <c r="G30" s="54">
        <v>120.87</v>
      </c>
      <c r="H30" s="54">
        <v>35.880000000000003</v>
      </c>
      <c r="I30" s="54">
        <v>7.48</v>
      </c>
      <c r="J30" s="54">
        <v>1.75</v>
      </c>
      <c r="K30" s="54">
        <v>223.38</v>
      </c>
      <c r="L30" s="54">
        <v>37.119999999999997</v>
      </c>
      <c r="M30" s="54">
        <v>36.14</v>
      </c>
      <c r="N30" s="54">
        <v>153.90</v>
      </c>
      <c r="O30" s="54">
        <v>0</v>
      </c>
      <c r="P30" s="54">
        <v>1.70</v>
      </c>
      <c r="Q30" s="54">
        <v>75.040000000000006</v>
      </c>
      <c r="R30" s="198"/>
      <c r="S30" s="198"/>
      <c r="T30" s="198"/>
      <c r="U30" s="198"/>
    </row>
    <row r="31" spans="1:21" s="12" customFormat="1" ht="15">
      <c r="A31" s="217" t="s">
        <v>651</v>
      </c>
      <c r="B31" s="54">
        <v>5.23</v>
      </c>
      <c r="C31" s="54">
        <v>33.40</v>
      </c>
      <c r="D31" s="54">
        <v>38.630000000000003</v>
      </c>
      <c r="E31" s="54">
        <v>6.56</v>
      </c>
      <c r="F31" s="54">
        <v>0.16</v>
      </c>
      <c r="G31" s="54">
        <v>120.87</v>
      </c>
      <c r="H31" s="54">
        <v>35.880000000000003</v>
      </c>
      <c r="I31" s="54">
        <v>7.46</v>
      </c>
      <c r="J31" s="54">
        <v>2.74</v>
      </c>
      <c r="K31" s="54">
        <v>195.32</v>
      </c>
      <c r="L31" s="54">
        <v>34.229999999999997</v>
      </c>
      <c r="M31" s="54">
        <v>35.64</v>
      </c>
      <c r="N31" s="54">
        <v>181.60</v>
      </c>
      <c r="O31" s="54">
        <v>0</v>
      </c>
      <c r="P31" s="54">
        <v>1.69</v>
      </c>
      <c r="Q31" s="54">
        <v>76.13</v>
      </c>
      <c r="R31" s="198"/>
      <c r="S31" s="198"/>
      <c r="T31" s="198"/>
      <c r="U31" s="198"/>
    </row>
    <row r="32" spans="1:21" s="12" customFormat="1" ht="15">
      <c r="A32" s="217" t="s">
        <v>652</v>
      </c>
      <c r="B32" s="54">
        <v>5.23</v>
      </c>
      <c r="C32" s="54">
        <v>33.36</v>
      </c>
      <c r="D32" s="54">
        <v>38.60</v>
      </c>
      <c r="E32" s="54">
        <v>6.65</v>
      </c>
      <c r="F32" s="54">
        <v>0.45</v>
      </c>
      <c r="G32" s="54">
        <v>120.87</v>
      </c>
      <c r="H32" s="54">
        <v>35.880000000000003</v>
      </c>
      <c r="I32" s="54">
        <v>7.34</v>
      </c>
      <c r="J32" s="54">
        <v>1.87</v>
      </c>
      <c r="K32" s="54">
        <v>206.74</v>
      </c>
      <c r="L32" s="54">
        <v>36.909999999999997</v>
      </c>
      <c r="M32" s="54">
        <v>36.56</v>
      </c>
      <c r="N32" s="54">
        <v>210.90</v>
      </c>
      <c r="O32" s="54">
        <v>0</v>
      </c>
      <c r="P32" s="54">
        <v>1.69</v>
      </c>
      <c r="Q32" s="54">
        <v>76.819999999999993</v>
      </c>
      <c r="R32" s="198"/>
      <c r="S32" s="198"/>
      <c r="T32" s="198"/>
      <c r="U32" s="198"/>
    </row>
    <row r="33" spans="1:21" s="12" customFormat="1" ht="15">
      <c r="A33" s="217" t="s">
        <v>653</v>
      </c>
      <c r="B33" s="54">
        <v>5.07</v>
      </c>
      <c r="C33" s="54">
        <v>33.21</v>
      </c>
      <c r="D33" s="54">
        <v>38.29</v>
      </c>
      <c r="E33" s="54">
        <v>7.21</v>
      </c>
      <c r="F33" s="54">
        <v>0.74</v>
      </c>
      <c r="G33" s="54">
        <v>122.48</v>
      </c>
      <c r="H33" s="54">
        <v>36.19</v>
      </c>
      <c r="I33" s="54">
        <v>7.31</v>
      </c>
      <c r="J33" s="54">
        <v>2.12</v>
      </c>
      <c r="K33" s="54">
        <v>195.12</v>
      </c>
      <c r="L33" s="54">
        <v>36.40</v>
      </c>
      <c r="M33" s="54">
        <v>36.85</v>
      </c>
      <c r="N33" s="54">
        <v>250.90</v>
      </c>
      <c r="O33" s="54">
        <v>0</v>
      </c>
      <c r="P33" s="54">
        <v>1.69</v>
      </c>
      <c r="Q33" s="54">
        <v>77.239999999999995</v>
      </c>
      <c r="R33" s="198"/>
      <c r="S33" s="198"/>
      <c r="T33" s="198"/>
      <c r="U33" s="198"/>
    </row>
    <row r="34" spans="1:21" s="12" customFormat="1" ht="15">
      <c r="A34" s="217" t="s">
        <v>654</v>
      </c>
      <c r="B34" s="54">
        <v>5.04</v>
      </c>
      <c r="C34" s="54">
        <v>33.25</v>
      </c>
      <c r="D34" s="54">
        <v>38.29</v>
      </c>
      <c r="E34" s="54">
        <v>7.05</v>
      </c>
      <c r="F34" s="54">
        <v>0.42</v>
      </c>
      <c r="G34" s="54">
        <v>126.46</v>
      </c>
      <c r="H34" s="54">
        <v>37.18</v>
      </c>
      <c r="I34" s="54">
        <v>7.31</v>
      </c>
      <c r="J34" s="54">
        <v>1.75</v>
      </c>
      <c r="K34" s="54">
        <v>166.77</v>
      </c>
      <c r="L34" s="54">
        <v>37.56</v>
      </c>
      <c r="M34" s="54">
        <v>37.659999999999997</v>
      </c>
      <c r="N34" s="54">
        <v>293.89999999999998</v>
      </c>
      <c r="O34" s="54">
        <v>0</v>
      </c>
      <c r="P34" s="54">
        <v>1.70</v>
      </c>
      <c r="Q34" s="54">
        <v>78.64</v>
      </c>
      <c r="R34" s="198"/>
      <c r="S34" s="198"/>
      <c r="T34" s="198"/>
      <c r="U34" s="198"/>
    </row>
    <row r="35" spans="1:21" s="12" customFormat="1" ht="15">
      <c r="A35" s="217" t="s">
        <v>655</v>
      </c>
      <c r="B35" s="54">
        <v>6.23</v>
      </c>
      <c r="C35" s="54">
        <v>34.40</v>
      </c>
      <c r="D35" s="54">
        <v>40.630000000000003</v>
      </c>
      <c r="E35" s="54">
        <v>7.37</v>
      </c>
      <c r="F35" s="54">
        <v>0.17</v>
      </c>
      <c r="G35" s="54">
        <v>126.46</v>
      </c>
      <c r="H35" s="54">
        <v>37.18</v>
      </c>
      <c r="I35" s="54">
        <v>7.35</v>
      </c>
      <c r="J35" s="54">
        <v>2.13</v>
      </c>
      <c r="K35" s="54">
        <v>342.47</v>
      </c>
      <c r="L35" s="54">
        <v>39.130000000000003</v>
      </c>
      <c r="M35" s="54">
        <v>40.659999999999997</v>
      </c>
      <c r="N35" s="54">
        <v>344.10</v>
      </c>
      <c r="O35" s="54">
        <v>0</v>
      </c>
      <c r="P35" s="54">
        <v>1.71</v>
      </c>
      <c r="Q35" s="54">
        <v>81.540000000000006</v>
      </c>
      <c r="R35" s="198"/>
      <c r="S35" s="198"/>
      <c r="T35" s="198"/>
      <c r="U35" s="198"/>
    </row>
    <row r="36" spans="1:21" s="12" customFormat="1" ht="15">
      <c r="A36" s="217" t="s">
        <v>656</v>
      </c>
      <c r="B36" s="54">
        <v>8.36</v>
      </c>
      <c r="C36" s="54">
        <v>35.880000000000003</v>
      </c>
      <c r="D36" s="54">
        <v>44.24</v>
      </c>
      <c r="E36" s="54">
        <v>3.63</v>
      </c>
      <c r="F36" s="54">
        <v>0.25</v>
      </c>
      <c r="G36" s="54">
        <v>126.46</v>
      </c>
      <c r="H36" s="54">
        <v>37.18</v>
      </c>
      <c r="I36" s="54">
        <v>7.29</v>
      </c>
      <c r="J36" s="54">
        <v>2.83</v>
      </c>
      <c r="K36" s="54">
        <v>147.04</v>
      </c>
      <c r="L36" s="54">
        <v>40.11</v>
      </c>
      <c r="M36" s="54">
        <v>36.32</v>
      </c>
      <c r="N36" s="54">
        <v>393.30</v>
      </c>
      <c r="O36" s="54">
        <v>0</v>
      </c>
      <c r="P36" s="54">
        <v>1.76</v>
      </c>
      <c r="Q36" s="54">
        <v>92.40</v>
      </c>
      <c r="R36" s="198"/>
      <c r="S36" s="198"/>
      <c r="T36" s="198"/>
      <c r="U36" s="198"/>
    </row>
    <row r="37" spans="1:21" s="12" customFormat="1" ht="15">
      <c r="A37" s="217" t="s">
        <v>657</v>
      </c>
      <c r="B37" s="54">
        <v>8.5</v>
      </c>
      <c r="C37" s="54">
        <v>37.479999999999997</v>
      </c>
      <c r="D37" s="54">
        <v>45.97</v>
      </c>
      <c r="E37" s="54">
        <v>7.57</v>
      </c>
      <c r="F37" s="54">
        <v>0.43</v>
      </c>
      <c r="G37" s="54">
        <v>127.65</v>
      </c>
      <c r="H37" s="54">
        <v>38.200000000000003</v>
      </c>
      <c r="I37" s="54">
        <v>7.46</v>
      </c>
      <c r="J37" s="54">
        <v>2.88</v>
      </c>
      <c r="K37" s="54">
        <v>152.88999999999999</v>
      </c>
      <c r="L37" s="54">
        <v>41.07</v>
      </c>
      <c r="M37" s="54">
        <v>35.729999999999997</v>
      </c>
      <c r="N37" s="54">
        <v>455.30</v>
      </c>
      <c r="O37" s="54">
        <v>0</v>
      </c>
      <c r="P37" s="54">
        <v>1.77</v>
      </c>
      <c r="Q37" s="54">
        <v>92.78</v>
      </c>
      <c r="R37" s="198"/>
      <c r="S37" s="198"/>
      <c r="T37" s="198"/>
      <c r="U37" s="198"/>
    </row>
    <row r="38" spans="1:21" s="12" customFormat="1" ht="15">
      <c r="A38" s="217" t="s">
        <v>658</v>
      </c>
      <c r="B38" s="54">
        <v>7.35</v>
      </c>
      <c r="C38" s="54">
        <v>39.479999999999997</v>
      </c>
      <c r="D38" s="54">
        <v>46.84</v>
      </c>
      <c r="E38" s="54">
        <v>7.33</v>
      </c>
      <c r="F38" s="54">
        <v>0.78</v>
      </c>
      <c r="G38" s="54">
        <v>132.99</v>
      </c>
      <c r="H38" s="54">
        <v>41.37</v>
      </c>
      <c r="I38" s="54">
        <v>7.54</v>
      </c>
      <c r="J38" s="54">
        <v>2.33</v>
      </c>
      <c r="K38" s="54">
        <v>189.18</v>
      </c>
      <c r="L38" s="54">
        <v>40.83</v>
      </c>
      <c r="M38" s="54">
        <v>34.89</v>
      </c>
      <c r="N38" s="54">
        <v>511.20</v>
      </c>
      <c r="O38" s="54">
        <v>0</v>
      </c>
      <c r="P38" s="54">
        <v>1.79</v>
      </c>
      <c r="Q38" s="54">
        <v>91.58</v>
      </c>
      <c r="R38" s="198"/>
      <c r="S38" s="198"/>
      <c r="T38" s="198"/>
      <c r="U38" s="198"/>
    </row>
    <row r="39" spans="1:21" s="12" customFormat="1" ht="15">
      <c r="A39" s="217" t="s">
        <v>659</v>
      </c>
      <c r="B39" s="54">
        <v>5.29</v>
      </c>
      <c r="C39" s="54">
        <v>40.31</v>
      </c>
      <c r="D39" s="54">
        <v>45.60</v>
      </c>
      <c r="E39" s="54">
        <v>7.54</v>
      </c>
      <c r="F39" s="54">
        <v>1.06</v>
      </c>
      <c r="G39" s="54">
        <v>132.99</v>
      </c>
      <c r="H39" s="54">
        <v>41.37</v>
      </c>
      <c r="I39" s="54">
        <v>7.62</v>
      </c>
      <c r="J39" s="54">
        <v>2.13</v>
      </c>
      <c r="K39" s="54">
        <v>182.84</v>
      </c>
      <c r="L39" s="54">
        <v>39.44</v>
      </c>
      <c r="M39" s="54">
        <v>34.049999999999997</v>
      </c>
      <c r="N39" s="54">
        <v>579.90</v>
      </c>
      <c r="O39" s="54">
        <v>0</v>
      </c>
      <c r="P39" s="54">
        <v>1.81</v>
      </c>
      <c r="Q39" s="54">
        <v>88.25</v>
      </c>
      <c r="R39" s="198"/>
      <c r="S39" s="198"/>
      <c r="T39" s="198"/>
      <c r="U39" s="198"/>
    </row>
    <row r="40" spans="1:21" s="12" customFormat="1" ht="15">
      <c r="A40" s="217" t="s">
        <v>660</v>
      </c>
      <c r="B40" s="54">
        <v>3.39</v>
      </c>
      <c r="C40" s="54">
        <v>41.24</v>
      </c>
      <c r="D40" s="54">
        <v>44.64</v>
      </c>
      <c r="E40" s="54">
        <v>7.27</v>
      </c>
      <c r="F40" s="54">
        <v>1.30</v>
      </c>
      <c r="G40" s="54">
        <v>132.99</v>
      </c>
      <c r="H40" s="54">
        <v>41.37</v>
      </c>
      <c r="I40" s="54">
        <v>7.60</v>
      </c>
      <c r="J40" s="54">
        <v>2.3199999999999998</v>
      </c>
      <c r="K40" s="54">
        <v>312.22000000000003</v>
      </c>
      <c r="L40" s="54">
        <v>41.11</v>
      </c>
      <c r="M40" s="54">
        <v>33.69</v>
      </c>
      <c r="N40" s="54">
        <v>635.29999999999995</v>
      </c>
      <c r="O40" s="54">
        <v>0</v>
      </c>
      <c r="P40" s="54">
        <v>1.87</v>
      </c>
      <c r="Q40" s="54">
        <v>86.14</v>
      </c>
      <c r="R40" s="198"/>
      <c r="S40" s="198"/>
      <c r="T40" s="198"/>
      <c r="U40" s="198"/>
    </row>
    <row r="41" spans="1:21" s="12" customFormat="1" ht="15">
      <c r="A41" s="217" t="s">
        <v>661</v>
      </c>
      <c r="B41" s="54">
        <v>2.72</v>
      </c>
      <c r="C41" s="54">
        <v>43.31</v>
      </c>
      <c r="D41" s="54">
        <v>46.02</v>
      </c>
      <c r="E41" s="54">
        <v>7.69</v>
      </c>
      <c r="F41" s="54">
        <v>1.67</v>
      </c>
      <c r="G41" s="54">
        <v>138.09</v>
      </c>
      <c r="H41" s="54">
        <v>42.79</v>
      </c>
      <c r="I41" s="54">
        <v>7.63</v>
      </c>
      <c r="J41" s="54">
        <v>2.63</v>
      </c>
      <c r="K41" s="54">
        <v>318.10000000000002</v>
      </c>
      <c r="L41" s="54">
        <v>40.46</v>
      </c>
      <c r="M41" s="54">
        <v>34.49</v>
      </c>
      <c r="N41" s="54">
        <v>676.40</v>
      </c>
      <c r="O41" s="54">
        <v>0</v>
      </c>
      <c r="P41" s="54">
        <v>1.94</v>
      </c>
      <c r="Q41" s="54">
        <v>85.82</v>
      </c>
      <c r="R41" s="198"/>
      <c r="S41" s="198"/>
      <c r="T41" s="198"/>
      <c r="U41" s="198"/>
    </row>
    <row r="42" spans="1:21" s="12" customFormat="1" ht="15">
      <c r="A42" s="217" t="s">
        <v>662</v>
      </c>
      <c r="B42" s="54">
        <v>2.21</v>
      </c>
      <c r="C42" s="54">
        <v>44.95</v>
      </c>
      <c r="D42" s="54">
        <v>47.16</v>
      </c>
      <c r="E42" s="54">
        <v>7.59</v>
      </c>
      <c r="F42" s="54">
        <v>2.09</v>
      </c>
      <c r="G42" s="54">
        <v>149.02000000000001</v>
      </c>
      <c r="H42" s="54">
        <v>47.16</v>
      </c>
      <c r="I42" s="54">
        <v>7.75</v>
      </c>
      <c r="J42" s="54">
        <v>3.33</v>
      </c>
      <c r="K42" s="54">
        <v>327.12</v>
      </c>
      <c r="L42" s="54">
        <v>38.67</v>
      </c>
      <c r="M42" s="54">
        <v>39.56</v>
      </c>
      <c r="N42" s="54">
        <v>721.70</v>
      </c>
      <c r="O42" s="54">
        <v>0</v>
      </c>
      <c r="P42" s="54">
        <v>2</v>
      </c>
      <c r="Q42" s="54">
        <v>85.72</v>
      </c>
      <c r="R42" s="198"/>
      <c r="S42" s="198"/>
      <c r="T42" s="198"/>
      <c r="U42" s="198"/>
    </row>
    <row r="43" spans="1:21" s="12" customFormat="1" ht="15">
      <c r="A43" s="217" t="s">
        <v>663</v>
      </c>
      <c r="B43" s="54">
        <v>1.90</v>
      </c>
      <c r="C43" s="54">
        <v>45.98</v>
      </c>
      <c r="D43" s="54">
        <v>47.88</v>
      </c>
      <c r="E43" s="54">
        <v>7.38</v>
      </c>
      <c r="F43" s="54">
        <v>2.14</v>
      </c>
      <c r="G43" s="54">
        <v>149.02000000000001</v>
      </c>
      <c r="H43" s="54">
        <v>47.16</v>
      </c>
      <c r="I43" s="54">
        <v>8.09</v>
      </c>
      <c r="J43" s="54">
        <v>3.12</v>
      </c>
      <c r="K43" s="54">
        <v>329.45</v>
      </c>
      <c r="L43" s="54">
        <v>37.68</v>
      </c>
      <c r="M43" s="54">
        <v>38.01</v>
      </c>
      <c r="N43" s="54">
        <v>772.40</v>
      </c>
      <c r="O43" s="54">
        <v>0</v>
      </c>
      <c r="P43" s="54">
        <v>2.0299999999999998</v>
      </c>
      <c r="Q43" s="54">
        <v>85.41</v>
      </c>
      <c r="R43" s="198"/>
      <c r="S43" s="198"/>
      <c r="T43" s="198"/>
      <c r="U43" s="198"/>
    </row>
    <row r="44" spans="1:21" s="12" customFormat="1" ht="15">
      <c r="A44" s="217" t="s">
        <v>664</v>
      </c>
      <c r="B44" s="54">
        <v>1.56</v>
      </c>
      <c r="C44" s="54">
        <v>46.54</v>
      </c>
      <c r="D44" s="54">
        <v>48.10</v>
      </c>
      <c r="E44" s="54">
        <v>7.34</v>
      </c>
      <c r="F44" s="54">
        <v>3.16</v>
      </c>
      <c r="G44" s="54">
        <v>149.02000000000001</v>
      </c>
      <c r="H44" s="54">
        <v>47.16</v>
      </c>
      <c r="I44" s="54">
        <v>8.7100000000000009</v>
      </c>
      <c r="J44" s="54">
        <v>4.13</v>
      </c>
      <c r="K44" s="54">
        <v>311.06</v>
      </c>
      <c r="L44" s="54">
        <v>40.82</v>
      </c>
      <c r="M44" s="54">
        <v>30.08</v>
      </c>
      <c r="N44" s="54">
        <v>810.40</v>
      </c>
      <c r="O44" s="54">
        <v>0</v>
      </c>
      <c r="P44" s="54">
        <v>2.0499999999999998</v>
      </c>
      <c r="Q44" s="54">
        <v>84.13</v>
      </c>
      <c r="R44" s="198"/>
      <c r="S44" s="198"/>
      <c r="T44" s="198"/>
      <c r="U44" s="198"/>
    </row>
    <row r="45" spans="1:21" s="12" customFormat="1" ht="15">
      <c r="A45" s="217" t="s">
        <v>665</v>
      </c>
      <c r="B45" s="54">
        <v>1.37</v>
      </c>
      <c r="C45" s="54">
        <v>46.11</v>
      </c>
      <c r="D45" s="54">
        <v>47.47</v>
      </c>
      <c r="E45" s="54">
        <v>7.18</v>
      </c>
      <c r="F45" s="54">
        <v>3.62</v>
      </c>
      <c r="G45" s="54">
        <v>152.49</v>
      </c>
      <c r="H45" s="54">
        <v>47.54</v>
      </c>
      <c r="I45" s="54">
        <v>8.9499999999999993</v>
      </c>
      <c r="J45" s="54">
        <v>3.16</v>
      </c>
      <c r="K45" s="54">
        <v>321.93</v>
      </c>
      <c r="L45" s="54">
        <v>44.01</v>
      </c>
      <c r="M45" s="54">
        <v>26.45</v>
      </c>
      <c r="N45" s="54">
        <v>881.40</v>
      </c>
      <c r="O45" s="54">
        <v>0</v>
      </c>
      <c r="P45" s="54">
        <v>2.06</v>
      </c>
      <c r="Q45" s="54">
        <v>83.21</v>
      </c>
      <c r="R45" s="198"/>
      <c r="S45" s="198"/>
      <c r="T45" s="198"/>
      <c r="U45" s="198"/>
    </row>
    <row r="46" spans="1:21" s="12" customFormat="1" ht="15">
      <c r="A46" s="217" t="s">
        <v>666</v>
      </c>
      <c r="B46" s="54">
        <v>1.1200000000000001</v>
      </c>
      <c r="C46" s="54">
        <v>43.97</v>
      </c>
      <c r="D46" s="54">
        <v>45.09</v>
      </c>
      <c r="E46" s="54">
        <v>6.87</v>
      </c>
      <c r="F46" s="54">
        <v>4.0199999999999996</v>
      </c>
      <c r="G46" s="54">
        <v>159.93</v>
      </c>
      <c r="H46" s="54">
        <v>48.70</v>
      </c>
      <c r="I46" s="54">
        <v>9.2100000000000009</v>
      </c>
      <c r="J46" s="54">
        <v>3.47</v>
      </c>
      <c r="K46" s="54">
        <v>322.92</v>
      </c>
      <c r="L46" s="54">
        <v>45.13</v>
      </c>
      <c r="M46" s="54">
        <v>25.85</v>
      </c>
      <c r="N46" s="54">
        <v>911.30</v>
      </c>
      <c r="O46" s="54">
        <v>0</v>
      </c>
      <c r="P46" s="54">
        <v>2.06</v>
      </c>
      <c r="Q46" s="54">
        <v>70.83</v>
      </c>
      <c r="R46" s="198"/>
      <c r="S46" s="198"/>
      <c r="T46" s="198"/>
      <c r="U46" s="198"/>
    </row>
    <row r="47" spans="1:21" s="12" customFormat="1" ht="15">
      <c r="A47" s="217" t="s">
        <v>667</v>
      </c>
      <c r="B47" s="54">
        <v>0.90</v>
      </c>
      <c r="C47" s="54">
        <v>45.20</v>
      </c>
      <c r="D47" s="54">
        <v>46.10</v>
      </c>
      <c r="E47" s="54">
        <v>6.67</v>
      </c>
      <c r="F47" s="54">
        <v>3.84</v>
      </c>
      <c r="G47" s="54">
        <v>159.93</v>
      </c>
      <c r="H47" s="54">
        <v>48.70</v>
      </c>
      <c r="I47" s="54">
        <v>8.92</v>
      </c>
      <c r="J47" s="54">
        <v>3.11</v>
      </c>
      <c r="K47" s="54">
        <v>320.08999999999997</v>
      </c>
      <c r="L47" s="54">
        <v>46.64</v>
      </c>
      <c r="M47" s="54">
        <v>26.26</v>
      </c>
      <c r="N47" s="54">
        <v>962.60</v>
      </c>
      <c r="O47" s="54">
        <v>0</v>
      </c>
      <c r="P47" s="54">
        <v>2.06</v>
      </c>
      <c r="Q47" s="54">
        <v>62.93</v>
      </c>
      <c r="R47" s="198"/>
      <c r="S47" s="198"/>
      <c r="T47" s="198"/>
      <c r="U47" s="198"/>
    </row>
    <row r="48" spans="1:21" s="12" customFormat="1" ht="15">
      <c r="A48" s="217" t="s">
        <v>668</v>
      </c>
      <c r="B48" s="54">
        <v>0.77</v>
      </c>
      <c r="C48" s="54">
        <v>45.68</v>
      </c>
      <c r="D48" s="54">
        <v>46.45</v>
      </c>
      <c r="E48" s="54">
        <v>6.48</v>
      </c>
      <c r="F48" s="54">
        <v>3.85</v>
      </c>
      <c r="G48" s="54">
        <v>159.93</v>
      </c>
      <c r="H48" s="54">
        <v>48.70</v>
      </c>
      <c r="I48" s="54">
        <v>8.76</v>
      </c>
      <c r="J48" s="54">
        <v>3.65</v>
      </c>
      <c r="K48" s="54">
        <v>312.14</v>
      </c>
      <c r="L48" s="54">
        <v>44.22</v>
      </c>
      <c r="M48" s="54">
        <v>26.11</v>
      </c>
      <c r="N48" s="54">
        <v>952.80</v>
      </c>
      <c r="O48" s="54">
        <v>0</v>
      </c>
      <c r="P48" s="54">
        <v>2.08</v>
      </c>
      <c r="Q48" s="54">
        <v>67.989999999999995</v>
      </c>
      <c r="R48" s="198"/>
      <c r="S48" s="198"/>
      <c r="T48" s="198"/>
      <c r="U48" s="198"/>
    </row>
    <row r="49" spans="1:21" s="12" customFormat="1" ht="15">
      <c r="A49" s="217" t="s">
        <v>669</v>
      </c>
      <c r="B49" s="54">
        <v>0.74</v>
      </c>
      <c r="C49" s="54">
        <v>46.34</v>
      </c>
      <c r="D49" s="54">
        <v>47.07</v>
      </c>
      <c r="E49" s="54">
        <v>6.60</v>
      </c>
      <c r="F49" s="54">
        <v>4.1500000000000004</v>
      </c>
      <c r="G49" s="54">
        <v>160.5</v>
      </c>
      <c r="H49" s="54">
        <v>48.62</v>
      </c>
      <c r="I49" s="54">
        <v>8.61</v>
      </c>
      <c r="J49" s="54">
        <v>4.04</v>
      </c>
      <c r="K49" s="54">
        <v>314.19</v>
      </c>
      <c r="L49" s="54">
        <v>47.10</v>
      </c>
      <c r="M49" s="54">
        <v>25.41</v>
      </c>
      <c r="N49" s="54">
        <v>1032.0999999999999</v>
      </c>
      <c r="O49" s="54">
        <v>0</v>
      </c>
      <c r="P49" s="54">
        <v>2.0699999999999998</v>
      </c>
      <c r="Q49" s="54">
        <v>72.28</v>
      </c>
      <c r="R49" s="198"/>
      <c r="S49" s="198"/>
      <c r="T49" s="198"/>
      <c r="U49" s="198"/>
    </row>
    <row r="50" spans="1:21" s="12" customFormat="1" ht="15">
      <c r="A50" s="217" t="s">
        <v>670</v>
      </c>
      <c r="B50" s="54">
        <v>0.70</v>
      </c>
      <c r="C50" s="54">
        <v>46.98</v>
      </c>
      <c r="D50" s="54">
        <v>47.68</v>
      </c>
      <c r="E50" s="54">
        <v>6.48</v>
      </c>
      <c r="F50" s="54">
        <v>4.4800000000000004</v>
      </c>
      <c r="G50" s="54">
        <v>161.72999999999999</v>
      </c>
      <c r="H50" s="54">
        <v>48.38</v>
      </c>
      <c r="I50" s="54">
        <v>8.52</v>
      </c>
      <c r="J50" s="54">
        <v>3.47</v>
      </c>
      <c r="K50" s="54">
        <v>317.27</v>
      </c>
      <c r="L50" s="54">
        <v>48.64</v>
      </c>
      <c r="M50" s="54">
        <v>24.88</v>
      </c>
      <c r="N50" s="54">
        <v>984</v>
      </c>
      <c r="O50" s="54">
        <v>0</v>
      </c>
      <c r="P50" s="54">
        <v>2.08</v>
      </c>
      <c r="Q50" s="54">
        <v>71.319999999999993</v>
      </c>
      <c r="R50" s="198"/>
      <c r="S50" s="198"/>
      <c r="T50" s="198"/>
      <c r="U50" s="198"/>
    </row>
    <row r="51" spans="1:21" s="12" customFormat="1" ht="15">
      <c r="A51" s="217" t="s">
        <v>671</v>
      </c>
      <c r="B51" s="54">
        <v>0.75</v>
      </c>
      <c r="C51" s="54">
        <v>47.27</v>
      </c>
      <c r="D51" s="54">
        <v>48.03</v>
      </c>
      <c r="E51" s="54">
        <v>6.31</v>
      </c>
      <c r="F51" s="54">
        <v>4.20</v>
      </c>
      <c r="G51" s="54">
        <v>161.72999999999999</v>
      </c>
      <c r="H51" s="54">
        <v>48.38</v>
      </c>
      <c r="I51" s="54">
        <v>8.4700000000000006</v>
      </c>
      <c r="J51" s="54">
        <v>3.43</v>
      </c>
      <c r="K51" s="54">
        <v>323.86</v>
      </c>
      <c r="L51" s="54">
        <v>50.23</v>
      </c>
      <c r="M51" s="54">
        <v>23.41</v>
      </c>
      <c r="N51" s="54">
        <v>1054.4000000000001</v>
      </c>
      <c r="O51" s="54">
        <v>0</v>
      </c>
      <c r="P51" s="54">
        <v>2.0699999999999998</v>
      </c>
      <c r="Q51" s="54">
        <v>76.040000000000006</v>
      </c>
      <c r="R51" s="198"/>
      <c r="S51" s="198"/>
      <c r="T51" s="198"/>
      <c r="U51" s="198"/>
    </row>
    <row r="52" spans="1:21" s="12" customFormat="1" ht="15">
      <c r="A52" s="217" t="s">
        <v>672</v>
      </c>
      <c r="B52" s="54">
        <v>0.77</v>
      </c>
      <c r="C52" s="54">
        <v>47.55</v>
      </c>
      <c r="D52" s="54">
        <v>48.32</v>
      </c>
      <c r="E52" s="54">
        <v>3.16</v>
      </c>
      <c r="F52" s="54">
        <v>4.47</v>
      </c>
      <c r="G52" s="54">
        <v>161.72999999999999</v>
      </c>
      <c r="H52" s="54">
        <v>48.38</v>
      </c>
      <c r="I52" s="54">
        <v>8.43</v>
      </c>
      <c r="J52" s="54">
        <v>3.76</v>
      </c>
      <c r="K52" s="54">
        <v>314.13</v>
      </c>
      <c r="L52" s="54">
        <v>50.34</v>
      </c>
      <c r="M52" s="54">
        <v>23.30</v>
      </c>
      <c r="N52" s="54">
        <v>1063.20</v>
      </c>
      <c r="O52" s="54">
        <v>0</v>
      </c>
      <c r="P52" s="54">
        <v>2.06</v>
      </c>
      <c r="Q52" s="54">
        <v>73.459999999999994</v>
      </c>
      <c r="R52" s="198"/>
      <c r="S52" s="198"/>
      <c r="T52" s="198"/>
      <c r="U52" s="198"/>
    </row>
    <row r="53" spans="1:21" s="12" customFormat="1" ht="15">
      <c r="A53" s="217" t="s">
        <v>673</v>
      </c>
      <c r="B53" s="54">
        <v>0.74</v>
      </c>
      <c r="C53" s="54">
        <v>46.79</v>
      </c>
      <c r="D53" s="54">
        <v>47.53</v>
      </c>
      <c r="E53" s="54">
        <v>6.71</v>
      </c>
      <c r="F53" s="54">
        <v>4.68</v>
      </c>
      <c r="G53" s="54">
        <v>162.69</v>
      </c>
      <c r="H53" s="54">
        <v>47.77</v>
      </c>
      <c r="I53" s="54">
        <v>8.2899999999999991</v>
      </c>
      <c r="J53" s="54">
        <v>3.04</v>
      </c>
      <c r="K53" s="54">
        <v>321.30</v>
      </c>
      <c r="L53" s="54">
        <v>46.85</v>
      </c>
      <c r="M53" s="54">
        <v>22.37</v>
      </c>
      <c r="N53" s="54">
        <v>1106.4000000000001</v>
      </c>
      <c r="O53" s="54">
        <v>0</v>
      </c>
      <c r="P53" s="54">
        <v>2.04</v>
      </c>
      <c r="Q53" s="54">
        <v>76.16</v>
      </c>
      <c r="R53" s="198"/>
      <c r="S53" s="198"/>
      <c r="T53" s="198"/>
      <c r="U53" s="198"/>
    </row>
    <row r="54" spans="1:21" s="12" customFormat="1" ht="15">
      <c r="A54" s="217" t="s">
        <v>674</v>
      </c>
      <c r="B54" s="54">
        <v>0.83</v>
      </c>
      <c r="C54" s="54">
        <v>46.01</v>
      </c>
      <c r="D54" s="54">
        <v>46.84</v>
      </c>
      <c r="E54" s="54">
        <v>6.71</v>
      </c>
      <c r="F54" s="54">
        <v>4.9800000000000004</v>
      </c>
      <c r="G54" s="54">
        <v>164.76</v>
      </c>
      <c r="H54" s="54">
        <v>45.88</v>
      </c>
      <c r="I54" s="54">
        <v>8.17</v>
      </c>
      <c r="J54" s="54">
        <v>3.83</v>
      </c>
      <c r="K54" s="54">
        <v>322.30</v>
      </c>
      <c r="L54" s="54">
        <v>50.55</v>
      </c>
      <c r="M54" s="54">
        <v>21.77</v>
      </c>
      <c r="N54" s="54">
        <v>1062.30</v>
      </c>
      <c r="O54" s="54">
        <v>0</v>
      </c>
      <c r="P54" s="54">
        <v>2.02</v>
      </c>
      <c r="Q54" s="54">
        <v>83.33</v>
      </c>
      <c r="R54" s="198"/>
      <c r="S54" s="198"/>
      <c r="T54" s="198"/>
      <c r="U54" s="198"/>
    </row>
    <row r="55" spans="1:21" s="12" customFormat="1" ht="15">
      <c r="A55" s="217" t="s">
        <v>675</v>
      </c>
      <c r="B55" s="54">
        <v>0.68</v>
      </c>
      <c r="C55" s="54">
        <v>44.20</v>
      </c>
      <c r="D55" s="54">
        <v>44.87</v>
      </c>
      <c r="E55" s="54">
        <v>7</v>
      </c>
      <c r="F55" s="54">
        <v>5.69</v>
      </c>
      <c r="G55" s="54">
        <v>164.76</v>
      </c>
      <c r="H55" s="54">
        <v>45.88</v>
      </c>
      <c r="I55" s="54">
        <v>7.97</v>
      </c>
      <c r="J55" s="54">
        <v>2.76</v>
      </c>
      <c r="K55" s="54">
        <v>322.57</v>
      </c>
      <c r="L55" s="54">
        <v>48.48</v>
      </c>
      <c r="M55" s="54">
        <v>21.68</v>
      </c>
      <c r="N55" s="54">
        <v>1030.4000000000001</v>
      </c>
      <c r="O55" s="54">
        <v>0</v>
      </c>
      <c r="P55" s="54">
        <v>1.99</v>
      </c>
      <c r="Q55" s="54">
        <v>80.30</v>
      </c>
      <c r="R55" s="198"/>
      <c r="S55" s="198"/>
      <c r="T55" s="198"/>
      <c r="U55" s="198"/>
    </row>
    <row r="56" spans="1:21" s="12" customFormat="1" ht="15">
      <c r="A56" s="217" t="s">
        <v>676</v>
      </c>
      <c r="B56" s="54">
        <v>0.59</v>
      </c>
      <c r="C56" s="54">
        <v>42.95</v>
      </c>
      <c r="D56" s="54">
        <v>43.54</v>
      </c>
      <c r="E56" s="54">
        <v>6.95</v>
      </c>
      <c r="F56" s="54">
        <v>6.20</v>
      </c>
      <c r="G56" s="54">
        <v>164.76</v>
      </c>
      <c r="H56" s="54">
        <v>45.88</v>
      </c>
      <c r="I56" s="54">
        <v>7.82</v>
      </c>
      <c r="J56" s="54">
        <v>3.47</v>
      </c>
      <c r="K56" s="54">
        <v>337.86</v>
      </c>
      <c r="L56" s="54">
        <v>51.99</v>
      </c>
      <c r="M56" s="54">
        <v>20.47</v>
      </c>
      <c r="N56" s="54">
        <v>1074.70</v>
      </c>
      <c r="O56" s="54">
        <v>0</v>
      </c>
      <c r="P56" s="54">
        <v>1.98</v>
      </c>
      <c r="Q56" s="54">
        <v>79.66</v>
      </c>
      <c r="R56" s="198"/>
      <c r="S56" s="198"/>
      <c r="T56" s="198"/>
      <c r="U56" s="198"/>
    </row>
    <row r="57" spans="1:21" s="12" customFormat="1" ht="15">
      <c r="A57" s="217" t="s">
        <v>677</v>
      </c>
      <c r="B57" s="54">
        <v>0.52</v>
      </c>
      <c r="C57" s="54">
        <v>42.21</v>
      </c>
      <c r="D57" s="54">
        <v>42.73</v>
      </c>
      <c r="E57" s="54">
        <v>6.86</v>
      </c>
      <c r="F57" s="54">
        <v>6.19</v>
      </c>
      <c r="G57" s="54">
        <v>162.33000000000001</v>
      </c>
      <c r="H57" s="54">
        <v>45.66</v>
      </c>
      <c r="I57" s="54">
        <v>7.42</v>
      </c>
      <c r="J57" s="54">
        <v>3.10</v>
      </c>
      <c r="K57" s="54">
        <v>329.56</v>
      </c>
      <c r="L57" s="54">
        <v>51.71</v>
      </c>
      <c r="M57" s="54">
        <v>20.29</v>
      </c>
      <c r="N57" s="54">
        <v>1038.9000000000001</v>
      </c>
      <c r="O57" s="54">
        <v>0</v>
      </c>
      <c r="P57" s="54">
        <v>1.98</v>
      </c>
      <c r="Q57" s="54">
        <v>79.23</v>
      </c>
      <c r="R57" s="198"/>
      <c r="S57" s="198"/>
      <c r="T57" s="198"/>
      <c r="U57" s="198"/>
    </row>
    <row r="58" spans="1:21" s="12" customFormat="1" ht="15">
      <c r="A58" s="217" t="s">
        <v>678</v>
      </c>
      <c r="B58" s="54">
        <v>0.57999999999999996</v>
      </c>
      <c r="C58" s="54">
        <v>41.60</v>
      </c>
      <c r="D58" s="54">
        <v>42.18</v>
      </c>
      <c r="E58" s="54">
        <v>6.80</v>
      </c>
      <c r="F58" s="54">
        <v>6.02</v>
      </c>
      <c r="G58" s="54">
        <v>157.12</v>
      </c>
      <c r="H58" s="54">
        <v>44.96</v>
      </c>
      <c r="I58" s="54">
        <v>7.10</v>
      </c>
      <c r="J58" s="54">
        <v>2.75</v>
      </c>
      <c r="K58" s="54">
        <v>324.60000000000002</v>
      </c>
      <c r="L58" s="54">
        <v>53.04</v>
      </c>
      <c r="M58" s="54">
        <v>19.899999999999999</v>
      </c>
      <c r="N58" s="54">
        <v>1046.5999999999999</v>
      </c>
      <c r="O58" s="54">
        <v>0</v>
      </c>
      <c r="P58" s="54">
        <v>1.97</v>
      </c>
      <c r="Q58" s="54">
        <v>78.59</v>
      </c>
      <c r="R58" s="198"/>
      <c r="S58" s="198"/>
      <c r="T58" s="198"/>
      <c r="U58" s="198"/>
    </row>
    <row r="59" spans="1:21" s="12" customFormat="1" ht="15">
      <c r="A59" s="217" t="s">
        <v>679</v>
      </c>
      <c r="B59" s="54">
        <v>0.52</v>
      </c>
      <c r="C59" s="54">
        <v>41.46</v>
      </c>
      <c r="D59" s="54">
        <v>41.98</v>
      </c>
      <c r="E59" s="54">
        <v>7.06</v>
      </c>
      <c r="F59" s="54">
        <v>6.48</v>
      </c>
      <c r="G59" s="54">
        <v>157.12</v>
      </c>
      <c r="H59" s="54">
        <v>44.96</v>
      </c>
      <c r="I59" s="54">
        <v>6.62</v>
      </c>
      <c r="J59" s="54">
        <v>3.10</v>
      </c>
      <c r="K59" s="54">
        <v>344.11</v>
      </c>
      <c r="L59" s="54">
        <v>52.44</v>
      </c>
      <c r="M59" s="54">
        <v>18.82</v>
      </c>
      <c r="N59" s="54">
        <v>1023</v>
      </c>
      <c r="O59" s="54">
        <v>0</v>
      </c>
      <c r="P59" s="54">
        <v>1.96</v>
      </c>
      <c r="Q59" s="54">
        <v>77.56</v>
      </c>
      <c r="R59" s="198"/>
      <c r="S59" s="198"/>
      <c r="T59" s="198"/>
      <c r="U59" s="198"/>
    </row>
    <row r="60" spans="1:21" s="12" customFormat="1" ht="15">
      <c r="A60" s="217" t="s">
        <v>680</v>
      </c>
      <c r="B60" s="54">
        <v>0.63</v>
      </c>
      <c r="C60" s="54">
        <v>41.28</v>
      </c>
      <c r="D60" s="54">
        <v>41.91</v>
      </c>
      <c r="E60" s="54">
        <v>6.89</v>
      </c>
      <c r="F60" s="54">
        <v>6.24</v>
      </c>
      <c r="G60" s="54">
        <v>157.12</v>
      </c>
      <c r="H60" s="54">
        <v>44.96</v>
      </c>
      <c r="I60" s="54">
        <v>4.0599999999999996</v>
      </c>
      <c r="J60" s="54">
        <v>2.79</v>
      </c>
      <c r="K60" s="54">
        <v>2.92</v>
      </c>
      <c r="L60" s="54">
        <v>52.63</v>
      </c>
      <c r="M60" s="54">
        <v>17.489999999999998</v>
      </c>
      <c r="N60" s="54">
        <v>1014.30</v>
      </c>
      <c r="O60" s="54">
        <v>0</v>
      </c>
      <c r="P60" s="54">
        <v>1.95</v>
      </c>
      <c r="Q60" s="54">
        <v>76.08</v>
      </c>
      <c r="R60" s="198"/>
      <c r="S60" s="198"/>
      <c r="T60" s="198"/>
      <c r="U60" s="198"/>
    </row>
    <row r="61" spans="1:21" s="12" customFormat="1" ht="15">
      <c r="A61" s="217" t="s">
        <v>681</v>
      </c>
      <c r="B61" s="54">
        <v>0.61</v>
      </c>
      <c r="C61" s="54">
        <v>40.65</v>
      </c>
      <c r="D61" s="54">
        <v>41.25</v>
      </c>
      <c r="E61" s="54">
        <v>6.85</v>
      </c>
      <c r="F61" s="54">
        <v>6.25</v>
      </c>
      <c r="G61" s="54">
        <v>155.87</v>
      </c>
      <c r="H61" s="54">
        <v>44.07</v>
      </c>
      <c r="I61" s="54">
        <v>0.04</v>
      </c>
      <c r="J61" s="54">
        <v>3.84</v>
      </c>
      <c r="K61" s="54">
        <v>339.91</v>
      </c>
      <c r="L61" s="54">
        <v>53.43</v>
      </c>
      <c r="M61" s="54">
        <v>17.63</v>
      </c>
      <c r="N61" s="54">
        <v>999.20</v>
      </c>
      <c r="O61" s="54">
        <v>0</v>
      </c>
      <c r="P61" s="54">
        <v>1.92</v>
      </c>
      <c r="Q61" s="54">
        <v>75.06</v>
      </c>
      <c r="R61" s="198"/>
      <c r="S61" s="198"/>
      <c r="T61" s="198"/>
      <c r="U61" s="198"/>
    </row>
    <row r="62" spans="1:21" s="12" customFormat="1" ht="15">
      <c r="A62" s="217" t="s">
        <v>682</v>
      </c>
      <c r="B62" s="54">
        <v>0.53</v>
      </c>
      <c r="C62" s="54">
        <v>39.47</v>
      </c>
      <c r="D62" s="54">
        <v>40</v>
      </c>
      <c r="E62" s="54">
        <v>7.20</v>
      </c>
      <c r="F62" s="54">
        <v>6.23</v>
      </c>
      <c r="G62" s="54">
        <v>150.26</v>
      </c>
      <c r="H62" s="54">
        <v>41.30</v>
      </c>
      <c r="I62" s="54">
        <v>0.30</v>
      </c>
      <c r="J62" s="54">
        <v>2.4900000000000002</v>
      </c>
      <c r="K62" s="54">
        <v>14.20</v>
      </c>
      <c r="L62" s="54">
        <v>52.66</v>
      </c>
      <c r="M62" s="54">
        <v>16.52</v>
      </c>
      <c r="N62" s="54">
        <v>954</v>
      </c>
      <c r="O62" s="54">
        <v>0</v>
      </c>
      <c r="P62" s="54">
        <v>1.90</v>
      </c>
      <c r="Q62" s="54">
        <v>73.41</v>
      </c>
      <c r="R62" s="198"/>
      <c r="S62" s="198"/>
      <c r="T62" s="198"/>
      <c r="U62" s="198"/>
    </row>
    <row r="63" spans="1:21" s="12" customFormat="1" ht="15">
      <c r="A63" s="217" t="s">
        <v>683</v>
      </c>
      <c r="B63" s="54">
        <v>0.65</v>
      </c>
      <c r="C63" s="54">
        <v>38.40</v>
      </c>
      <c r="D63" s="54">
        <v>39.049999999999997</v>
      </c>
      <c r="E63" s="54">
        <v>8.33</v>
      </c>
      <c r="F63" s="54">
        <v>6.19</v>
      </c>
      <c r="G63" s="54">
        <v>150.26</v>
      </c>
      <c r="H63" s="54">
        <v>41.30</v>
      </c>
      <c r="I63" s="5" t="s">
        <v>47</v>
      </c>
      <c r="J63" s="54">
        <v>3.33</v>
      </c>
      <c r="K63" s="54">
        <v>337.70</v>
      </c>
      <c r="L63" s="54">
        <v>52.96</v>
      </c>
      <c r="M63" s="54">
        <v>17.37</v>
      </c>
      <c r="N63" s="54">
        <v>948.40</v>
      </c>
      <c r="O63" s="54">
        <v>0</v>
      </c>
      <c r="P63" s="54">
        <v>1.85</v>
      </c>
      <c r="Q63" s="54">
        <v>73.42</v>
      </c>
      <c r="R63" s="198"/>
      <c r="S63" s="198"/>
      <c r="T63" s="198"/>
      <c r="U63" s="198"/>
    </row>
    <row r="64" spans="1:21" s="12" customFormat="1" ht="15">
      <c r="A64" s="217" t="s">
        <v>684</v>
      </c>
      <c r="B64" s="54">
        <v>0.65</v>
      </c>
      <c r="C64" s="54">
        <v>38.22</v>
      </c>
      <c r="D64" s="54">
        <v>38.869999999999997</v>
      </c>
      <c r="E64" s="54">
        <v>6.51</v>
      </c>
      <c r="F64" s="54">
        <v>6</v>
      </c>
      <c r="G64" s="54">
        <v>150.26</v>
      </c>
      <c r="H64" s="54">
        <v>41.30</v>
      </c>
      <c r="I64" s="54">
        <v>1.04</v>
      </c>
      <c r="J64" s="54">
        <v>2.57</v>
      </c>
      <c r="K64" s="54">
        <v>337.55</v>
      </c>
      <c r="L64" s="54">
        <v>61.64</v>
      </c>
      <c r="M64" s="54">
        <v>16.55</v>
      </c>
      <c r="N64" s="54">
        <v>900.5</v>
      </c>
      <c r="O64" s="54">
        <v>0</v>
      </c>
      <c r="P64" s="54">
        <v>1.84</v>
      </c>
      <c r="Q64" s="54">
        <v>65.36</v>
      </c>
      <c r="R64" s="198"/>
      <c r="S64" s="198"/>
      <c r="T64" s="198"/>
      <c r="U64" s="198"/>
    </row>
    <row r="65" spans="1:21" s="12" customFormat="1" ht="15">
      <c r="A65" s="217" t="s">
        <v>685</v>
      </c>
      <c r="B65" s="54">
        <v>0.74</v>
      </c>
      <c r="C65" s="54">
        <v>39.700000000000003</v>
      </c>
      <c r="D65" s="54">
        <v>40.450000000000003</v>
      </c>
      <c r="E65" s="54">
        <v>6.71</v>
      </c>
      <c r="F65" s="54">
        <v>5.66</v>
      </c>
      <c r="G65" s="54">
        <v>148.61000000000001</v>
      </c>
      <c r="H65" s="54">
        <v>40.47</v>
      </c>
      <c r="I65" s="54">
        <v>0.01</v>
      </c>
      <c r="J65" s="54">
        <v>3.12</v>
      </c>
      <c r="K65" s="54">
        <v>313.95999999999998</v>
      </c>
      <c r="L65" s="54">
        <v>62.21</v>
      </c>
      <c r="M65" s="54">
        <v>17.16</v>
      </c>
      <c r="N65" s="54">
        <v>915.90</v>
      </c>
      <c r="O65" s="54">
        <v>0</v>
      </c>
      <c r="P65" s="54">
        <v>1.82</v>
      </c>
      <c r="Q65" s="54">
        <v>61.58</v>
      </c>
      <c r="R65" s="198"/>
      <c r="S65" s="198"/>
      <c r="T65" s="198"/>
      <c r="U65" s="198"/>
    </row>
    <row r="66" spans="1:21" s="12" customFormat="1" ht="15">
      <c r="A66" s="217" t="s">
        <v>686</v>
      </c>
      <c r="B66" s="54">
        <v>0.60</v>
      </c>
      <c r="C66" s="54">
        <v>39.340000000000003</v>
      </c>
      <c r="D66" s="54">
        <v>39.94</v>
      </c>
      <c r="E66" s="54">
        <v>6.91</v>
      </c>
      <c r="F66" s="54">
        <v>6.06</v>
      </c>
      <c r="G66" s="54">
        <v>144.91999999999999</v>
      </c>
      <c r="H66" s="54">
        <v>37.93</v>
      </c>
      <c r="I66" s="54">
        <v>0.21</v>
      </c>
      <c r="J66" s="54">
        <v>2.5</v>
      </c>
      <c r="K66" s="54">
        <v>340.34</v>
      </c>
      <c r="L66" s="54">
        <v>60</v>
      </c>
      <c r="M66" s="54">
        <v>16.59</v>
      </c>
      <c r="N66" s="54">
        <v>468.20</v>
      </c>
      <c r="O66" s="54">
        <v>0</v>
      </c>
      <c r="P66" s="54">
        <v>1.79</v>
      </c>
      <c r="Q66" s="54">
        <v>62.23</v>
      </c>
      <c r="R66" s="198"/>
      <c r="S66" s="198"/>
      <c r="T66" s="198"/>
      <c r="U66" s="198"/>
    </row>
    <row r="67" spans="1:21" s="12" customFormat="1" ht="15">
      <c r="A67" s="217" t="s">
        <v>687</v>
      </c>
      <c r="B67" s="54">
        <v>0.54</v>
      </c>
      <c r="C67" s="54">
        <v>38.26</v>
      </c>
      <c r="D67" s="54">
        <v>38.799999999999997</v>
      </c>
      <c r="E67" s="54">
        <v>7.21</v>
      </c>
      <c r="F67" s="54">
        <v>5.85</v>
      </c>
      <c r="G67" s="54">
        <v>144.91999999999999</v>
      </c>
      <c r="H67" s="54">
        <v>37.93</v>
      </c>
      <c r="I67" s="5" t="s">
        <v>47</v>
      </c>
      <c r="J67" s="54">
        <v>3.11</v>
      </c>
      <c r="K67" s="54">
        <v>332.94</v>
      </c>
      <c r="L67" s="54">
        <v>61.12</v>
      </c>
      <c r="M67" s="54">
        <v>17.309999999999999</v>
      </c>
      <c r="N67" s="54">
        <v>331</v>
      </c>
      <c r="O67" s="54">
        <v>0</v>
      </c>
      <c r="P67" s="54">
        <v>1.74</v>
      </c>
      <c r="Q67" s="54">
        <v>63.30</v>
      </c>
      <c r="R67" s="198"/>
      <c r="S67" s="198"/>
      <c r="T67" s="198"/>
      <c r="U67" s="198"/>
    </row>
    <row r="68" spans="1:21" s="12" customFormat="1" ht="15">
      <c r="A68" s="217" t="s">
        <v>688</v>
      </c>
      <c r="B68" s="54">
        <v>0.70</v>
      </c>
      <c r="C68" s="54">
        <v>37.64</v>
      </c>
      <c r="D68" s="54">
        <v>38.340000000000003</v>
      </c>
      <c r="E68" s="54">
        <v>3.67</v>
      </c>
      <c r="F68" s="54">
        <v>5.60</v>
      </c>
      <c r="G68" s="54">
        <v>144.91999999999999</v>
      </c>
      <c r="H68" s="54">
        <v>37.93</v>
      </c>
      <c r="I68" s="54">
        <v>0.77</v>
      </c>
      <c r="J68" s="54">
        <v>3.03</v>
      </c>
      <c r="K68" s="54">
        <v>330.99</v>
      </c>
      <c r="L68" s="54">
        <v>60.93</v>
      </c>
      <c r="M68" s="54">
        <v>15.85</v>
      </c>
      <c r="N68" s="54">
        <v>401.5</v>
      </c>
      <c r="O68" s="54">
        <v>0</v>
      </c>
      <c r="P68" s="54">
        <v>1.73</v>
      </c>
      <c r="Q68" s="54">
        <v>64.27</v>
      </c>
      <c r="R68" s="198"/>
      <c r="S68" s="198"/>
      <c r="T68" s="198"/>
      <c r="U68" s="198"/>
    </row>
    <row r="69" spans="1:21" s="12" customFormat="1" ht="15">
      <c r="A69" s="217" t="s">
        <v>689</v>
      </c>
      <c r="B69" s="54">
        <v>0.96</v>
      </c>
      <c r="C69" s="54">
        <v>38.28</v>
      </c>
      <c r="D69" s="54">
        <v>39.24</v>
      </c>
      <c r="E69" s="54">
        <v>6.40</v>
      </c>
      <c r="F69" s="54">
        <v>4.70</v>
      </c>
      <c r="G69" s="54">
        <v>139.47999999999999</v>
      </c>
      <c r="H69" s="54">
        <v>36.86</v>
      </c>
      <c r="I69" s="54">
        <v>0.01</v>
      </c>
      <c r="J69" s="54">
        <v>2.38</v>
      </c>
      <c r="K69" s="54">
        <v>330.31</v>
      </c>
      <c r="L69" s="54">
        <v>61.15</v>
      </c>
      <c r="M69" s="54">
        <v>15.19</v>
      </c>
      <c r="N69" s="54">
        <v>437.10</v>
      </c>
      <c r="O69" s="54">
        <v>0</v>
      </c>
      <c r="P69" s="54">
        <v>1.73</v>
      </c>
      <c r="Q69" s="54">
        <v>65.239999999999995</v>
      </c>
      <c r="R69" s="198"/>
      <c r="S69" s="198"/>
      <c r="T69" s="198"/>
      <c r="U69" s="198"/>
    </row>
    <row r="70" spans="1:21" s="12" customFormat="1" ht="15">
      <c r="A70" s="217" t="s">
        <v>690</v>
      </c>
      <c r="B70" s="54">
        <v>1.1000000000000001</v>
      </c>
      <c r="C70" s="54">
        <v>39.090000000000003</v>
      </c>
      <c r="D70" s="54">
        <v>40.19</v>
      </c>
      <c r="E70" s="54">
        <v>6.66</v>
      </c>
      <c r="F70" s="54">
        <v>4.8899999999999997</v>
      </c>
      <c r="G70" s="54">
        <v>127.83</v>
      </c>
      <c r="H70" s="54">
        <v>33.56</v>
      </c>
      <c r="I70" s="5" t="s">
        <v>47</v>
      </c>
      <c r="J70" s="54">
        <v>3.23</v>
      </c>
      <c r="K70" s="54">
        <v>316.81</v>
      </c>
      <c r="L70" s="54">
        <v>60.30</v>
      </c>
      <c r="M70" s="54">
        <v>16.739999999999998</v>
      </c>
      <c r="N70" s="54">
        <v>316.70</v>
      </c>
      <c r="O70" s="54">
        <v>0</v>
      </c>
      <c r="P70" s="54">
        <v>1.74</v>
      </c>
      <c r="Q70" s="54">
        <v>65.72</v>
      </c>
      <c r="R70" s="198"/>
      <c r="S70" s="198"/>
      <c r="T70" s="198"/>
      <c r="U70" s="198"/>
    </row>
    <row r="71" spans="1:21" s="12" customFormat="1" ht="15">
      <c r="A71" s="217" t="s">
        <v>691</v>
      </c>
      <c r="B71" s="54">
        <v>1.28</v>
      </c>
      <c r="C71" s="54">
        <v>40.01</v>
      </c>
      <c r="D71" s="54">
        <v>41.29</v>
      </c>
      <c r="E71" s="54">
        <v>6.58</v>
      </c>
      <c r="F71" s="54">
        <v>4.74</v>
      </c>
      <c r="G71" s="54">
        <v>127.83</v>
      </c>
      <c r="H71" s="54">
        <v>33.56</v>
      </c>
      <c r="I71" s="5" t="s">
        <v>47</v>
      </c>
      <c r="J71" s="54">
        <v>2.2000000000000002</v>
      </c>
      <c r="K71" s="54">
        <v>321.93</v>
      </c>
      <c r="L71" s="54">
        <v>59.42</v>
      </c>
      <c r="M71" s="54">
        <v>16.77</v>
      </c>
      <c r="N71" s="54">
        <v>352.5</v>
      </c>
      <c r="O71" s="54">
        <v>0</v>
      </c>
      <c r="P71" s="54">
        <v>1.74</v>
      </c>
      <c r="Q71" s="54">
        <v>68.77</v>
      </c>
      <c r="R71" s="198"/>
      <c r="S71" s="198"/>
      <c r="T71" s="198"/>
      <c r="U71" s="198"/>
    </row>
    <row r="72" spans="1:21" s="12" customFormat="1" ht="15">
      <c r="A72" s="217" t="s">
        <v>692</v>
      </c>
      <c r="B72" s="54">
        <v>1.81</v>
      </c>
      <c r="C72" s="54">
        <v>41.45</v>
      </c>
      <c r="D72" s="54">
        <v>43.26</v>
      </c>
      <c r="E72" s="54">
        <v>6.79</v>
      </c>
      <c r="F72" s="54">
        <v>4.51</v>
      </c>
      <c r="G72" s="54">
        <v>127.83</v>
      </c>
      <c r="H72" s="54">
        <v>33.56</v>
      </c>
      <c r="I72" s="54">
        <v>2.78</v>
      </c>
      <c r="J72" s="54">
        <v>2.04</v>
      </c>
      <c r="K72" s="54">
        <v>322.08</v>
      </c>
      <c r="L72" s="54">
        <v>58.99</v>
      </c>
      <c r="M72" s="54">
        <v>18.88</v>
      </c>
      <c r="N72" s="54">
        <v>218.70</v>
      </c>
      <c r="O72" s="54">
        <v>0</v>
      </c>
      <c r="P72" s="54">
        <v>1.76</v>
      </c>
      <c r="Q72" s="54">
        <v>71.87</v>
      </c>
      <c r="R72" s="198"/>
      <c r="S72" s="198"/>
      <c r="T72" s="198"/>
      <c r="U72" s="198"/>
    </row>
    <row r="73" spans="1:21" s="12" customFormat="1" ht="15">
      <c r="A73" s="217" t="s">
        <v>693</v>
      </c>
      <c r="B73" s="54">
        <v>2.1800000000000002</v>
      </c>
      <c r="C73" s="54">
        <v>43.63</v>
      </c>
      <c r="D73" s="54">
        <v>45.82</v>
      </c>
      <c r="E73" s="54">
        <v>6.95</v>
      </c>
      <c r="F73" s="54">
        <v>4.1900000000000004</v>
      </c>
      <c r="G73" s="54">
        <v>127.27</v>
      </c>
      <c r="H73" s="54">
        <v>32.979999999999997</v>
      </c>
      <c r="I73" s="54">
        <v>1.42</v>
      </c>
      <c r="J73" s="54">
        <v>2.71</v>
      </c>
      <c r="K73" s="54">
        <v>337.12</v>
      </c>
      <c r="L73" s="54">
        <v>58.40</v>
      </c>
      <c r="M73" s="54">
        <v>18.03</v>
      </c>
      <c r="N73" s="54">
        <v>206</v>
      </c>
      <c r="O73" s="54">
        <v>0</v>
      </c>
      <c r="P73" s="54">
        <v>1.79</v>
      </c>
      <c r="Q73" s="54">
        <v>71.17</v>
      </c>
      <c r="R73" s="198"/>
      <c r="S73" s="198"/>
      <c r="T73" s="198"/>
      <c r="U73" s="198"/>
    </row>
    <row r="74" spans="1:21" s="12" customFormat="1" ht="15">
      <c r="A74" s="217" t="s">
        <v>694</v>
      </c>
      <c r="B74" s="54">
        <v>2.41</v>
      </c>
      <c r="C74" s="54">
        <v>45.04</v>
      </c>
      <c r="D74" s="54">
        <v>47.45</v>
      </c>
      <c r="E74" s="54">
        <v>7.05</v>
      </c>
      <c r="F74" s="54">
        <v>4.18</v>
      </c>
      <c r="G74" s="54">
        <v>126.08</v>
      </c>
      <c r="H74" s="54">
        <v>31.18</v>
      </c>
      <c r="I74" s="54">
        <v>0.02</v>
      </c>
      <c r="J74" s="54">
        <v>2.3199999999999998</v>
      </c>
      <c r="K74" s="54">
        <v>332.77</v>
      </c>
      <c r="L74" s="54">
        <v>58.43</v>
      </c>
      <c r="M74" s="54">
        <v>18.239999999999998</v>
      </c>
      <c r="N74" s="54">
        <v>199.20</v>
      </c>
      <c r="O74" s="54">
        <v>0</v>
      </c>
      <c r="P74" s="54">
        <v>1.82</v>
      </c>
      <c r="Q74" s="54">
        <v>70.87</v>
      </c>
      <c r="R74" s="198"/>
      <c r="S74" s="198"/>
      <c r="T74" s="198"/>
      <c r="U74" s="198"/>
    </row>
    <row r="75" spans="1:21" s="12" customFormat="1" ht="15">
      <c r="A75" s="217" t="s">
        <v>695</v>
      </c>
      <c r="B75" s="54">
        <v>3.17</v>
      </c>
      <c r="C75" s="54">
        <v>47.77</v>
      </c>
      <c r="D75" s="54">
        <v>50.94</v>
      </c>
      <c r="E75" s="54">
        <v>6.93</v>
      </c>
      <c r="F75" s="54">
        <v>3.54</v>
      </c>
      <c r="G75" s="54">
        <v>126.08</v>
      </c>
      <c r="H75" s="54">
        <v>31.18</v>
      </c>
      <c r="I75" s="5" t="s">
        <v>47</v>
      </c>
      <c r="J75" s="54">
        <v>2.1800000000000002</v>
      </c>
      <c r="K75" s="54">
        <v>337.65</v>
      </c>
      <c r="L75" s="54">
        <v>58.95</v>
      </c>
      <c r="M75" s="54">
        <v>19.02</v>
      </c>
      <c r="N75" s="54">
        <v>187.20</v>
      </c>
      <c r="O75" s="54">
        <v>0</v>
      </c>
      <c r="P75" s="54">
        <v>1.88</v>
      </c>
      <c r="Q75" s="54">
        <v>72.44</v>
      </c>
      <c r="R75" s="198"/>
      <c r="S75" s="198"/>
      <c r="T75" s="198"/>
      <c r="U75" s="198"/>
    </row>
    <row r="76" spans="1:21" s="12" customFormat="1" ht="15">
      <c r="A76" s="217" t="s">
        <v>696</v>
      </c>
      <c r="B76" s="54">
        <v>4.1100000000000003</v>
      </c>
      <c r="C76" s="54">
        <v>51.35</v>
      </c>
      <c r="D76" s="54">
        <v>55.46</v>
      </c>
      <c r="E76" s="54">
        <v>6.77</v>
      </c>
      <c r="F76" s="54">
        <v>2.82</v>
      </c>
      <c r="G76" s="54">
        <v>126.08</v>
      </c>
      <c r="H76" s="54">
        <v>31.18</v>
      </c>
      <c r="I76" s="5" t="s">
        <v>47</v>
      </c>
      <c r="J76" s="54">
        <v>1.93</v>
      </c>
      <c r="K76" s="54">
        <v>359.56</v>
      </c>
      <c r="L76" s="54">
        <v>58.63</v>
      </c>
      <c r="M76" s="54">
        <v>19.010000000000002</v>
      </c>
      <c r="N76" s="54">
        <v>196.90</v>
      </c>
      <c r="O76" s="54">
        <v>0</v>
      </c>
      <c r="P76" s="54">
        <v>1.97</v>
      </c>
      <c r="Q76" s="54">
        <v>73.180000000000007</v>
      </c>
      <c r="R76" s="198"/>
      <c r="S76" s="198"/>
      <c r="T76" s="198"/>
      <c r="U76" s="198"/>
    </row>
    <row r="77" spans="1:21" s="12" customFormat="1" ht="15">
      <c r="A77" s="217" t="s">
        <v>697</v>
      </c>
      <c r="B77" s="54">
        <v>5.88</v>
      </c>
      <c r="C77" s="54">
        <v>55.84</v>
      </c>
      <c r="D77" s="54">
        <v>61.72</v>
      </c>
      <c r="E77" s="54">
        <v>6.90</v>
      </c>
      <c r="F77" s="54">
        <v>2.65</v>
      </c>
      <c r="G77" s="54">
        <v>124.93</v>
      </c>
      <c r="H77" s="54">
        <v>31.33</v>
      </c>
      <c r="I77" s="5" t="s">
        <v>47</v>
      </c>
      <c r="J77" s="54">
        <v>1.86</v>
      </c>
      <c r="K77" s="54">
        <v>352.61</v>
      </c>
      <c r="L77" s="54">
        <v>59.01</v>
      </c>
      <c r="M77" s="54">
        <v>23.71</v>
      </c>
      <c r="N77" s="54">
        <v>224</v>
      </c>
      <c r="O77" s="54">
        <v>0</v>
      </c>
      <c r="P77" s="54">
        <v>2.09</v>
      </c>
      <c r="Q77" s="54">
        <v>74.63</v>
      </c>
      <c r="R77" s="198"/>
      <c r="S77" s="198"/>
      <c r="T77" s="198"/>
      <c r="U77" s="198"/>
    </row>
    <row r="78" spans="1:21" s="12" customFormat="1" ht="15">
      <c r="A78" s="217" t="s">
        <v>698</v>
      </c>
      <c r="B78" s="54">
        <v>7.16</v>
      </c>
      <c r="C78" s="54">
        <v>59.59</v>
      </c>
      <c r="D78" s="54">
        <v>66.75</v>
      </c>
      <c r="E78" s="54">
        <v>7.20</v>
      </c>
      <c r="F78" s="54">
        <v>2.1800000000000002</v>
      </c>
      <c r="G78" s="54">
        <v>122.57</v>
      </c>
      <c r="H78" s="54">
        <v>31.78</v>
      </c>
      <c r="I78" s="5" t="s">
        <v>47</v>
      </c>
      <c r="J78" s="54">
        <v>1.44</v>
      </c>
      <c r="K78" s="54">
        <v>344.14</v>
      </c>
      <c r="L78" s="54">
        <v>56.32</v>
      </c>
      <c r="M78" s="54">
        <v>31.55</v>
      </c>
      <c r="N78" s="54">
        <v>263.5</v>
      </c>
      <c r="O78" s="54">
        <v>0</v>
      </c>
      <c r="P78" s="54">
        <v>2.2200000000000002</v>
      </c>
      <c r="Q78" s="54">
        <v>73.790000000000006</v>
      </c>
      <c r="R78" s="198"/>
      <c r="S78" s="198"/>
      <c r="T78" s="198"/>
      <c r="U78" s="198"/>
    </row>
    <row r="79" spans="1:21" s="12" customFormat="1" ht="15">
      <c r="A79" s="217" t="s">
        <v>699</v>
      </c>
      <c r="B79" s="54">
        <v>9.0299999999999994</v>
      </c>
      <c r="C79" s="54">
        <v>62.15</v>
      </c>
      <c r="D79" s="54">
        <v>71.180000000000007</v>
      </c>
      <c r="E79" s="54">
        <v>6.97</v>
      </c>
      <c r="F79" s="54">
        <v>1.33</v>
      </c>
      <c r="G79" s="54">
        <v>122.57</v>
      </c>
      <c r="H79" s="54">
        <v>31.78</v>
      </c>
      <c r="I79" s="5" t="s">
        <v>47</v>
      </c>
      <c r="J79" s="54">
        <v>1.56</v>
      </c>
      <c r="K79" s="54">
        <v>343.98</v>
      </c>
      <c r="L79" s="54">
        <v>54.93</v>
      </c>
      <c r="M79" s="54">
        <v>35.200000000000003</v>
      </c>
      <c r="N79" s="54">
        <v>254.10</v>
      </c>
      <c r="O79" s="54">
        <v>0</v>
      </c>
      <c r="P79" s="54">
        <v>2.34</v>
      </c>
      <c r="Q79" s="54">
        <v>76.599999999999994</v>
      </c>
      <c r="R79" s="198"/>
      <c r="S79" s="198"/>
      <c r="T79" s="198"/>
      <c r="U79" s="198"/>
    </row>
    <row r="80" spans="1:21" s="12" customFormat="1" ht="15">
      <c r="A80" s="217" t="s">
        <v>700</v>
      </c>
      <c r="B80" s="54">
        <v>15.62</v>
      </c>
      <c r="C80" s="54">
        <v>65.72</v>
      </c>
      <c r="D80" s="54">
        <v>81.34</v>
      </c>
      <c r="E80" s="54">
        <v>6.97</v>
      </c>
      <c r="F80" s="54">
        <v>0.77</v>
      </c>
      <c r="G80" s="54">
        <v>122.57</v>
      </c>
      <c r="H80" s="54">
        <v>31.78</v>
      </c>
      <c r="I80" s="54">
        <v>0.54</v>
      </c>
      <c r="J80" s="54">
        <v>1.28</v>
      </c>
      <c r="K80" s="54">
        <v>318.10000000000002</v>
      </c>
      <c r="L80" s="54">
        <v>53.98</v>
      </c>
      <c r="M80" s="54">
        <v>38.44</v>
      </c>
      <c r="N80" s="54">
        <v>244</v>
      </c>
      <c r="O80" s="54">
        <v>0</v>
      </c>
      <c r="P80" s="54">
        <v>2.48</v>
      </c>
      <c r="Q80" s="54">
        <v>82.17</v>
      </c>
      <c r="R80" s="198"/>
      <c r="S80" s="198"/>
      <c r="T80" s="198"/>
      <c r="U80" s="198"/>
    </row>
    <row r="81" spans="1:21" s="12" customFormat="1" ht="15">
      <c r="A81" s="217" t="s">
        <v>701</v>
      </c>
      <c r="B81" s="54">
        <v>24.17</v>
      </c>
      <c r="C81" s="54">
        <v>68.099999999999994</v>
      </c>
      <c r="D81" s="54">
        <v>92.27</v>
      </c>
      <c r="E81" s="54">
        <v>7.58</v>
      </c>
      <c r="F81" s="54">
        <v>1.1299999999999999</v>
      </c>
      <c r="G81" s="54">
        <v>133.84</v>
      </c>
      <c r="H81" s="54">
        <v>33.130000000000003</v>
      </c>
      <c r="I81" s="54">
        <v>6.25</v>
      </c>
      <c r="J81" s="54">
        <v>1.67</v>
      </c>
      <c r="K81" s="54">
        <v>349.46</v>
      </c>
      <c r="L81" s="54">
        <v>53.21</v>
      </c>
      <c r="M81" s="54">
        <v>39.880000000000003</v>
      </c>
      <c r="N81" s="54">
        <v>236.70</v>
      </c>
      <c r="O81" s="54">
        <v>0</v>
      </c>
      <c r="P81" s="54">
        <v>2.77</v>
      </c>
      <c r="Q81" s="54">
        <v>87.49</v>
      </c>
      <c r="R81" s="198"/>
      <c r="S81" s="198"/>
      <c r="T81" s="198"/>
      <c r="U81" s="198"/>
    </row>
    <row r="82" spans="1:21" s="12" customFormat="1" ht="15">
      <c r="A82" s="217" t="s">
        <v>702</v>
      </c>
      <c r="B82" s="54">
        <v>30.54</v>
      </c>
      <c r="C82" s="54">
        <v>68.14</v>
      </c>
      <c r="D82" s="54">
        <v>98.68</v>
      </c>
      <c r="E82" s="54">
        <v>7.01</v>
      </c>
      <c r="F82" s="54">
        <v>0.88</v>
      </c>
      <c r="G82" s="54">
        <v>157.97999999999999</v>
      </c>
      <c r="H82" s="54">
        <v>37.29</v>
      </c>
      <c r="I82" s="54">
        <v>8.57</v>
      </c>
      <c r="J82" s="54">
        <v>1.83</v>
      </c>
      <c r="K82" s="54">
        <v>59.09</v>
      </c>
      <c r="L82" s="54">
        <v>53.18</v>
      </c>
      <c r="M82" s="54">
        <v>39.96</v>
      </c>
      <c r="N82" s="54">
        <v>232.90</v>
      </c>
      <c r="O82" s="54">
        <v>0</v>
      </c>
      <c r="P82" s="54">
        <v>3.10</v>
      </c>
      <c r="Q82" s="54">
        <v>75.89</v>
      </c>
      <c r="R82" s="198"/>
      <c r="S82" s="198"/>
      <c r="T82" s="198"/>
      <c r="U82" s="198"/>
    </row>
    <row r="83" spans="1:21" s="12" customFormat="1" ht="15">
      <c r="A83" s="217" t="s">
        <v>703</v>
      </c>
      <c r="B83" s="54">
        <v>30.54</v>
      </c>
      <c r="C83" s="54">
        <v>68.14</v>
      </c>
      <c r="D83" s="54">
        <v>98.68</v>
      </c>
      <c r="E83" s="54">
        <v>7.01</v>
      </c>
      <c r="F83" s="54">
        <v>0.88</v>
      </c>
      <c r="G83" s="54">
        <v>157.97999999999999</v>
      </c>
      <c r="H83" s="54">
        <v>37.29</v>
      </c>
      <c r="I83" s="54">
        <v>8.57</v>
      </c>
      <c r="J83" s="54">
        <v>1.83</v>
      </c>
      <c r="K83" s="54">
        <v>59.09</v>
      </c>
      <c r="L83" s="54">
        <v>53.18</v>
      </c>
      <c r="M83" s="54">
        <v>39.96</v>
      </c>
      <c r="N83" s="54">
        <v>232.90</v>
      </c>
      <c r="O83" s="54">
        <v>0</v>
      </c>
      <c r="P83" s="54">
        <v>3.10</v>
      </c>
      <c r="Q83" s="54">
        <v>75.89</v>
      </c>
      <c r="R83" s="198"/>
      <c r="S83" s="198"/>
      <c r="T83" s="198"/>
      <c r="U83" s="198"/>
    </row>
    <row r="84" spans="1:21" s="12" customFormat="1" ht="15">
      <c r="A84" s="217" t="s">
        <v>704</v>
      </c>
      <c r="B84" s="54">
        <v>38.60</v>
      </c>
      <c r="C84" s="54">
        <v>73.89</v>
      </c>
      <c r="D84" s="54">
        <v>112.49</v>
      </c>
      <c r="E84" s="54">
        <v>5.24</v>
      </c>
      <c r="F84" s="54">
        <v>0.44</v>
      </c>
      <c r="G84" s="54">
        <v>157.97999999999999</v>
      </c>
      <c r="H84" s="54">
        <v>37.29</v>
      </c>
      <c r="I84" s="54">
        <v>14.13</v>
      </c>
      <c r="J84" s="54">
        <v>1.71</v>
      </c>
      <c r="K84" s="54">
        <v>49.60</v>
      </c>
      <c r="L84" s="54">
        <v>50.70</v>
      </c>
      <c r="M84" s="54">
        <v>41.03</v>
      </c>
      <c r="N84" s="54">
        <v>118.10</v>
      </c>
      <c r="O84" s="54">
        <v>0</v>
      </c>
      <c r="P84" s="54">
        <v>3.24</v>
      </c>
      <c r="Q84" s="54">
        <v>84.97</v>
      </c>
      <c r="R84" s="198"/>
      <c r="S84" s="198"/>
      <c r="T84" s="198"/>
      <c r="U84" s="198"/>
    </row>
    <row r="85" spans="1:21" s="12" customFormat="1" ht="15">
      <c r="A85" s="217" t="s">
        <v>705</v>
      </c>
      <c r="B85" s="54">
        <v>46.44</v>
      </c>
      <c r="C85" s="54">
        <v>75.45</v>
      </c>
      <c r="D85" s="54">
        <v>121.89</v>
      </c>
      <c r="E85" s="54">
        <v>6.40</v>
      </c>
      <c r="F85" s="5" t="s">
        <v>47</v>
      </c>
      <c r="G85" s="54">
        <v>181.77</v>
      </c>
      <c r="H85" s="54">
        <v>40.700000000000003</v>
      </c>
      <c r="I85" s="54">
        <v>15.10</v>
      </c>
      <c r="J85" s="54">
        <v>1.76</v>
      </c>
      <c r="K85" s="54">
        <v>54.88</v>
      </c>
      <c r="L85" s="54">
        <v>52.73</v>
      </c>
      <c r="M85" s="54">
        <v>36.380000000000003</v>
      </c>
      <c r="N85" s="54">
        <v>103.20</v>
      </c>
      <c r="O85" s="54">
        <v>0</v>
      </c>
      <c r="P85" s="54">
        <v>3.64</v>
      </c>
      <c r="Q85" s="54">
        <v>89.53</v>
      </c>
      <c r="R85" s="198"/>
      <c r="S85" s="198"/>
      <c r="T85" s="198"/>
      <c r="U85" s="198"/>
    </row>
    <row r="86" spans="1:21" s="12" customFormat="1" ht="15">
      <c r="A86" s="217" t="s">
        <v>706</v>
      </c>
      <c r="B86" s="54">
        <v>49.86</v>
      </c>
      <c r="C86" s="54">
        <v>75.23</v>
      </c>
      <c r="D86" s="54">
        <v>125.08</v>
      </c>
      <c r="E86" s="54">
        <v>6.90</v>
      </c>
      <c r="F86" s="5" t="s">
        <v>47</v>
      </c>
      <c r="G86" s="54">
        <v>215.07</v>
      </c>
      <c r="H86" s="54">
        <v>48.11</v>
      </c>
      <c r="I86" s="54">
        <v>15.15</v>
      </c>
      <c r="J86" s="54">
        <v>1.86</v>
      </c>
      <c r="K86" s="54">
        <v>59.81</v>
      </c>
      <c r="L86" s="54">
        <v>54.98</v>
      </c>
      <c r="M86" s="54">
        <v>28.17</v>
      </c>
      <c r="N86" s="54">
        <v>106.40</v>
      </c>
      <c r="O86" s="54">
        <v>0</v>
      </c>
      <c r="P86" s="54">
        <v>3.95</v>
      </c>
      <c r="Q86" s="54">
        <v>97.58</v>
      </c>
      <c r="R86" s="198"/>
      <c r="S86" s="198"/>
      <c r="T86" s="198"/>
      <c r="U86" s="198"/>
    </row>
    <row r="87" spans="1:21" s="12" customFormat="1" ht="15">
      <c r="A87" s="217" t="s">
        <v>707</v>
      </c>
      <c r="B87" s="54">
        <v>52.55</v>
      </c>
      <c r="C87" s="54">
        <v>78.61</v>
      </c>
      <c r="D87" s="54">
        <v>131.15</v>
      </c>
      <c r="E87" s="54">
        <v>7.47</v>
      </c>
      <c r="F87" s="54">
        <v>0.42</v>
      </c>
      <c r="G87" s="54">
        <v>215.07</v>
      </c>
      <c r="H87" s="54">
        <v>48.11</v>
      </c>
      <c r="I87" s="54">
        <v>18.670000000000002</v>
      </c>
      <c r="J87" s="54">
        <v>1.65</v>
      </c>
      <c r="K87" s="54">
        <v>59.72</v>
      </c>
      <c r="L87" s="54">
        <v>54.79</v>
      </c>
      <c r="M87" s="54">
        <v>28.29</v>
      </c>
      <c r="N87" s="54">
        <v>114.10</v>
      </c>
      <c r="O87" s="54">
        <v>0</v>
      </c>
      <c r="P87" s="54">
        <v>4.20</v>
      </c>
      <c r="Q87" s="54">
        <v>95.01</v>
      </c>
      <c r="R87" s="198"/>
      <c r="S87" s="198"/>
      <c r="T87" s="198"/>
      <c r="U87" s="198"/>
    </row>
    <row r="88" spans="1:21" s="12" customFormat="1" ht="15">
      <c r="A88" s="217" t="s">
        <v>708</v>
      </c>
      <c r="B88" s="54">
        <v>55.15</v>
      </c>
      <c r="C88" s="54">
        <v>80.36</v>
      </c>
      <c r="D88" s="54">
        <v>135.51</v>
      </c>
      <c r="E88" s="54">
        <v>7.60</v>
      </c>
      <c r="F88" s="5" t="s">
        <v>47</v>
      </c>
      <c r="G88" s="54">
        <v>215.07</v>
      </c>
      <c r="H88" s="54">
        <v>48.11</v>
      </c>
      <c r="I88" s="54">
        <v>22.08</v>
      </c>
      <c r="J88" s="54">
        <v>1.55</v>
      </c>
      <c r="K88" s="54">
        <v>197.55</v>
      </c>
      <c r="L88" s="54">
        <v>54.02</v>
      </c>
      <c r="M88" s="54">
        <v>29.19</v>
      </c>
      <c r="N88" s="54">
        <v>117.10</v>
      </c>
      <c r="O88" s="54">
        <v>0</v>
      </c>
      <c r="P88" s="54">
        <v>4.3499999999999996</v>
      </c>
      <c r="Q88" s="54">
        <v>107.08</v>
      </c>
      <c r="R88" s="198"/>
      <c r="S88" s="198"/>
      <c r="T88" s="198"/>
      <c r="U88" s="198"/>
    </row>
    <row r="89" spans="1:21" s="12" customFormat="1" ht="15">
      <c r="A89" s="217" t="s">
        <v>709</v>
      </c>
      <c r="B89" s="54">
        <v>54.85</v>
      </c>
      <c r="C89" s="54">
        <v>79.34</v>
      </c>
      <c r="D89" s="54">
        <v>134.19999999999999</v>
      </c>
      <c r="E89" s="54">
        <v>7.95</v>
      </c>
      <c r="F89" s="5" t="s">
        <v>47</v>
      </c>
      <c r="G89" s="54">
        <v>223.51</v>
      </c>
      <c r="H89" s="54">
        <v>51.38</v>
      </c>
      <c r="I89" s="54">
        <v>21.56</v>
      </c>
      <c r="J89" s="54">
        <v>2.75</v>
      </c>
      <c r="K89" s="54">
        <v>170.46</v>
      </c>
      <c r="L89" s="54">
        <v>54.78</v>
      </c>
      <c r="M89" s="54">
        <v>26.41</v>
      </c>
      <c r="N89" s="54">
        <v>120</v>
      </c>
      <c r="O89" s="54">
        <v>0</v>
      </c>
      <c r="P89" s="54">
        <v>4.1900000000000004</v>
      </c>
      <c r="Q89" s="54">
        <v>103.99</v>
      </c>
      <c r="R89" s="198"/>
      <c r="S89" s="198"/>
      <c r="T89" s="198"/>
      <c r="U89" s="198"/>
    </row>
    <row r="90" spans="1:21" s="12" customFormat="1" ht="15">
      <c r="A90" s="217" t="s">
        <v>710</v>
      </c>
      <c r="B90" s="54">
        <v>47.17</v>
      </c>
      <c r="C90" s="54">
        <v>76.14</v>
      </c>
      <c r="D90" s="54">
        <v>123.32</v>
      </c>
      <c r="E90" s="54">
        <v>7.88</v>
      </c>
      <c r="F90" s="5" t="s">
        <v>47</v>
      </c>
      <c r="G90" s="54">
        <v>240.78</v>
      </c>
      <c r="H90" s="54">
        <v>61.51</v>
      </c>
      <c r="I90" s="54">
        <v>20.309999999999999</v>
      </c>
      <c r="J90" s="54">
        <v>1.63</v>
      </c>
      <c r="K90" s="54">
        <v>207.49</v>
      </c>
      <c r="L90" s="54">
        <v>54.33</v>
      </c>
      <c r="M90" s="54">
        <v>26.82</v>
      </c>
      <c r="N90" s="54">
        <v>125.90</v>
      </c>
      <c r="O90" s="54">
        <v>0</v>
      </c>
      <c r="P90" s="54">
        <v>3.93</v>
      </c>
      <c r="Q90" s="54">
        <v>105.04</v>
      </c>
      <c r="R90" s="198"/>
      <c r="S90" s="198"/>
      <c r="T90" s="198"/>
      <c r="U90" s="198"/>
    </row>
    <row r="91" spans="1:21" s="12" customFormat="1" ht="15">
      <c r="A91" s="217" t="s">
        <v>711</v>
      </c>
      <c r="B91" s="54">
        <v>38.14</v>
      </c>
      <c r="C91" s="54">
        <v>73.27</v>
      </c>
      <c r="D91" s="54">
        <v>111.42</v>
      </c>
      <c r="E91" s="54">
        <v>7.66</v>
      </c>
      <c r="F91" s="5" t="s">
        <v>47</v>
      </c>
      <c r="G91" s="54">
        <v>240.78</v>
      </c>
      <c r="H91" s="54">
        <v>61.51</v>
      </c>
      <c r="I91" s="54">
        <v>18.059999999999999</v>
      </c>
      <c r="J91" s="54">
        <v>1.37</v>
      </c>
      <c r="K91" s="54">
        <v>200.52</v>
      </c>
      <c r="L91" s="54">
        <v>54.18</v>
      </c>
      <c r="M91" s="54">
        <v>28.77</v>
      </c>
      <c r="N91" s="54">
        <v>131.30000000000001</v>
      </c>
      <c r="O91" s="54">
        <v>0</v>
      </c>
      <c r="P91" s="54">
        <v>3.72</v>
      </c>
      <c r="Q91" s="54">
        <v>98.62</v>
      </c>
      <c r="R91" s="198"/>
      <c r="S91" s="198"/>
      <c r="T91" s="198"/>
      <c r="U91" s="198"/>
    </row>
    <row r="92" spans="1:21" s="12" customFormat="1" ht="15">
      <c r="A92" s="217" t="s">
        <v>712</v>
      </c>
      <c r="B92" s="54">
        <v>30.75</v>
      </c>
      <c r="C92" s="54">
        <v>70.67</v>
      </c>
      <c r="D92" s="54">
        <v>101.42</v>
      </c>
      <c r="E92" s="54">
        <v>7.16</v>
      </c>
      <c r="F92" s="54">
        <v>0.06</v>
      </c>
      <c r="G92" s="54">
        <v>240.78</v>
      </c>
      <c r="H92" s="54">
        <v>61.51</v>
      </c>
      <c r="I92" s="54">
        <v>16.79</v>
      </c>
      <c r="J92" s="54">
        <v>1.68</v>
      </c>
      <c r="K92" s="54">
        <v>216.01</v>
      </c>
      <c r="L92" s="54">
        <v>53.78</v>
      </c>
      <c r="M92" s="54">
        <v>30</v>
      </c>
      <c r="N92" s="54">
        <v>135.19999999999999</v>
      </c>
      <c r="O92" s="54">
        <v>0</v>
      </c>
      <c r="P92" s="54">
        <v>3.55</v>
      </c>
      <c r="Q92" s="54">
        <v>93.64</v>
      </c>
      <c r="R92" s="198"/>
      <c r="S92" s="198"/>
      <c r="T92" s="198"/>
      <c r="U92" s="198"/>
    </row>
    <row r="93" spans="1:21" s="12" customFormat="1" ht="15">
      <c r="A93" s="217" t="s">
        <v>713</v>
      </c>
      <c r="B93" s="54">
        <v>24.71</v>
      </c>
      <c r="C93" s="54">
        <v>68.39</v>
      </c>
      <c r="D93" s="54">
        <v>93.10</v>
      </c>
      <c r="E93" s="54">
        <v>7.06</v>
      </c>
      <c r="F93" s="54">
        <v>0.18</v>
      </c>
      <c r="G93" s="54">
        <v>235.95</v>
      </c>
      <c r="H93" s="54">
        <v>60.14</v>
      </c>
      <c r="I93" s="54">
        <v>15.95</v>
      </c>
      <c r="J93" s="54">
        <v>1.84</v>
      </c>
      <c r="K93" s="54">
        <v>204.85</v>
      </c>
      <c r="L93" s="54">
        <v>52.85</v>
      </c>
      <c r="M93" s="54">
        <v>31.30</v>
      </c>
      <c r="N93" s="54">
        <v>141</v>
      </c>
      <c r="O93" s="54">
        <v>0</v>
      </c>
      <c r="P93" s="54">
        <v>3.38</v>
      </c>
      <c r="Q93" s="54">
        <v>90.20</v>
      </c>
      <c r="R93" s="198"/>
      <c r="S93" s="198"/>
      <c r="T93" s="198"/>
      <c r="U93" s="198"/>
    </row>
    <row r="94" spans="1:21" s="12" customFormat="1" ht="15">
      <c r="A94" s="217" t="s">
        <v>714</v>
      </c>
      <c r="B94" s="54">
        <v>19.34</v>
      </c>
      <c r="C94" s="54">
        <v>65.78</v>
      </c>
      <c r="D94" s="54">
        <v>85.12</v>
      </c>
      <c r="E94" s="54">
        <v>6.80</v>
      </c>
      <c r="F94" s="54">
        <v>0.19</v>
      </c>
      <c r="G94" s="54">
        <v>226.08</v>
      </c>
      <c r="H94" s="54">
        <v>56.17</v>
      </c>
      <c r="I94" s="54">
        <v>15.39</v>
      </c>
      <c r="J94" s="54">
        <v>1.86</v>
      </c>
      <c r="K94" s="54">
        <v>194.02</v>
      </c>
      <c r="L94" s="54">
        <v>53.31</v>
      </c>
      <c r="M94" s="54">
        <v>32.450000000000003</v>
      </c>
      <c r="N94" s="54">
        <v>144.5</v>
      </c>
      <c r="O94" s="54">
        <v>0</v>
      </c>
      <c r="P94" s="54">
        <v>3.22</v>
      </c>
      <c r="Q94" s="54">
        <v>86.41</v>
      </c>
      <c r="R94" s="198"/>
      <c r="S94" s="198"/>
      <c r="T94" s="198"/>
      <c r="U94" s="198"/>
    </row>
    <row r="95" spans="1:21" s="12" customFormat="1" ht="15">
      <c r="A95" s="217" t="s">
        <v>715</v>
      </c>
      <c r="B95" s="54">
        <v>14.75</v>
      </c>
      <c r="C95" s="54">
        <v>62.88</v>
      </c>
      <c r="D95" s="54">
        <v>77.63</v>
      </c>
      <c r="E95" s="54">
        <v>6.60</v>
      </c>
      <c r="F95" s="54">
        <v>0.37</v>
      </c>
      <c r="G95" s="54">
        <v>226.08</v>
      </c>
      <c r="H95" s="54">
        <v>56.17</v>
      </c>
      <c r="I95" s="54">
        <v>14.41</v>
      </c>
      <c r="J95" s="54">
        <v>1.61</v>
      </c>
      <c r="K95" s="54">
        <v>198.69</v>
      </c>
      <c r="L95" s="54">
        <v>53.26</v>
      </c>
      <c r="M95" s="54">
        <v>33.58</v>
      </c>
      <c r="N95" s="54">
        <v>143.69999999999999</v>
      </c>
      <c r="O95" s="54">
        <v>0</v>
      </c>
      <c r="P95" s="54">
        <v>3.06</v>
      </c>
      <c r="Q95" s="54">
        <v>83.95</v>
      </c>
      <c r="R95" s="198"/>
      <c r="S95" s="198"/>
      <c r="T95" s="198"/>
      <c r="U95" s="198"/>
    </row>
    <row r="96" spans="1:26" s="12" customFormat="1" ht="15">
      <c r="A96" s="217" t="s">
        <v>716</v>
      </c>
      <c r="B96" s="54">
        <v>10.67</v>
      </c>
      <c r="C96" s="54">
        <v>59.71</v>
      </c>
      <c r="D96" s="54">
        <v>70.38</v>
      </c>
      <c r="E96" s="54">
        <v>6.45</v>
      </c>
      <c r="F96" s="54">
        <v>0.34</v>
      </c>
      <c r="G96" s="54">
        <v>226.08</v>
      </c>
      <c r="H96" s="54">
        <v>56.17</v>
      </c>
      <c r="I96" s="54">
        <v>13.64</v>
      </c>
      <c r="J96" s="54">
        <v>1.56</v>
      </c>
      <c r="K96" s="54">
        <v>216.28</v>
      </c>
      <c r="L96" s="54">
        <v>52.76</v>
      </c>
      <c r="M96" s="54">
        <v>34.15</v>
      </c>
      <c r="N96" s="54">
        <v>152.30000000000001</v>
      </c>
      <c r="O96" s="54">
        <v>0</v>
      </c>
      <c r="P96" s="54">
        <v>2.93</v>
      </c>
      <c r="Q96" s="54">
        <v>81.069999999999993</v>
      </c>
      <c r="R96" s="198"/>
      <c r="S96" s="198"/>
      <c r="T96" s="198"/>
      <c r="U96" s="198"/>
      <c r="Z96" s="109"/>
    </row>
    <row r="97" spans="1:21" s="12" customFormat="1" ht="15">
      <c r="A97" s="217" t="s">
        <v>717</v>
      </c>
      <c r="B97" s="54">
        <v>7.58</v>
      </c>
      <c r="C97" s="54">
        <v>56.88</v>
      </c>
      <c r="D97" s="54">
        <v>64.459999999999994</v>
      </c>
      <c r="E97" s="54">
        <v>6.43</v>
      </c>
      <c r="F97" s="54">
        <v>0.43</v>
      </c>
      <c r="G97" s="54">
        <v>218.54</v>
      </c>
      <c r="H97" s="54">
        <v>55.39</v>
      </c>
      <c r="I97" s="54">
        <v>12.95</v>
      </c>
      <c r="J97" s="54">
        <v>1.33</v>
      </c>
      <c r="K97" s="54">
        <v>234.29</v>
      </c>
      <c r="L97" s="54">
        <v>51.08</v>
      </c>
      <c r="M97" s="54">
        <v>34.76</v>
      </c>
      <c r="N97" s="54">
        <v>154.5</v>
      </c>
      <c r="O97" s="54">
        <v>0</v>
      </c>
      <c r="P97" s="54">
        <v>2.81</v>
      </c>
      <c r="Q97" s="54">
        <v>79.17</v>
      </c>
      <c r="R97" s="198"/>
      <c r="S97" s="198"/>
      <c r="T97" s="198"/>
      <c r="U97" s="198"/>
    </row>
    <row r="98" spans="1:21" s="12" customFormat="1" ht="15">
      <c r="A98" s="217" t="s">
        <v>718</v>
      </c>
      <c r="B98" s="54">
        <v>5.31</v>
      </c>
      <c r="C98" s="54">
        <v>54.12</v>
      </c>
      <c r="D98" s="54">
        <v>59.43</v>
      </c>
      <c r="E98" s="54">
        <v>6.45</v>
      </c>
      <c r="F98" s="54">
        <v>0.68</v>
      </c>
      <c r="G98" s="54">
        <v>203.11</v>
      </c>
      <c r="H98" s="54">
        <v>53.12</v>
      </c>
      <c r="I98" s="54">
        <v>12.26</v>
      </c>
      <c r="J98" s="54">
        <v>1.80</v>
      </c>
      <c r="K98" s="54">
        <v>166.84</v>
      </c>
      <c r="L98" s="54">
        <v>52.34</v>
      </c>
      <c r="M98" s="54">
        <v>35.86</v>
      </c>
      <c r="N98" s="54">
        <v>154.5</v>
      </c>
      <c r="O98" s="54">
        <v>0</v>
      </c>
      <c r="P98" s="54">
        <v>2.71</v>
      </c>
      <c r="Q98" s="54">
        <v>77.819999999999993</v>
      </c>
      <c r="R98" s="198"/>
      <c r="S98" s="198"/>
      <c r="T98" s="198"/>
      <c r="U98" s="198"/>
    </row>
    <row r="99" spans="1:21" s="12" customFormat="1" ht="15">
      <c r="A99" s="217" t="s">
        <v>719</v>
      </c>
      <c r="B99" s="54">
        <v>3.93</v>
      </c>
      <c r="C99" s="54">
        <v>48.60</v>
      </c>
      <c r="D99" s="54">
        <v>52.53</v>
      </c>
      <c r="E99" s="54">
        <v>6.87</v>
      </c>
      <c r="F99" s="54">
        <v>0.95</v>
      </c>
      <c r="G99" s="54">
        <v>203.11</v>
      </c>
      <c r="H99" s="54">
        <v>53.12</v>
      </c>
      <c r="I99" s="54">
        <v>11.60</v>
      </c>
      <c r="J99" s="54">
        <v>1.56</v>
      </c>
      <c r="K99" s="54">
        <v>202.65</v>
      </c>
      <c r="L99" s="54">
        <v>50.71</v>
      </c>
      <c r="M99" s="54">
        <v>36.659999999999997</v>
      </c>
      <c r="N99" s="54">
        <v>192.20</v>
      </c>
      <c r="O99" s="54">
        <v>0</v>
      </c>
      <c r="P99" s="54">
        <v>2.62</v>
      </c>
      <c r="Q99" s="54">
        <v>73.58</v>
      </c>
      <c r="R99" s="198"/>
      <c r="S99" s="198"/>
      <c r="T99" s="198"/>
      <c r="U99" s="198"/>
    </row>
    <row r="100" spans="1:33" s="12" customFormat="1" ht="15">
      <c r="A100" s="217" t="s">
        <v>720</v>
      </c>
      <c r="B100" s="54">
        <v>3.25</v>
      </c>
      <c r="C100" s="54">
        <v>43.22</v>
      </c>
      <c r="D100" s="54">
        <v>46.47</v>
      </c>
      <c r="E100" s="54">
        <v>3.10</v>
      </c>
      <c r="F100" s="54">
        <v>0.92</v>
      </c>
      <c r="G100" s="54">
        <v>203.11</v>
      </c>
      <c r="H100" s="54">
        <v>53.12</v>
      </c>
      <c r="I100" s="54">
        <v>11.05</v>
      </c>
      <c r="J100" s="54">
        <v>1.29</v>
      </c>
      <c r="K100" s="54">
        <v>174.03</v>
      </c>
      <c r="L100" s="54">
        <v>51.27</v>
      </c>
      <c r="M100" s="54">
        <v>36.979999999999997</v>
      </c>
      <c r="N100" s="54">
        <v>222.30</v>
      </c>
      <c r="O100" s="54">
        <v>0</v>
      </c>
      <c r="P100" s="54">
        <v>2.57</v>
      </c>
      <c r="Q100" s="54">
        <v>53.89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17" t="s">
        <v>721</v>
      </c>
      <c r="B101" s="54">
        <v>3</v>
      </c>
      <c r="C101" s="54">
        <v>45.62</v>
      </c>
      <c r="D101" s="54">
        <v>48.63</v>
      </c>
      <c r="E101" s="54">
        <v>6.24</v>
      </c>
      <c r="F101" s="54">
        <v>0.57999999999999996</v>
      </c>
      <c r="G101" s="54">
        <v>195.98</v>
      </c>
      <c r="H101" s="54">
        <v>52.28</v>
      </c>
      <c r="I101" s="54">
        <v>10.68</v>
      </c>
      <c r="J101" s="54">
        <v>2.81</v>
      </c>
      <c r="K101" s="54">
        <v>90.59</v>
      </c>
      <c r="L101" s="54">
        <v>50.84</v>
      </c>
      <c r="M101" s="54">
        <v>37.96</v>
      </c>
      <c r="N101" s="54">
        <v>220.30</v>
      </c>
      <c r="O101" s="54">
        <v>0</v>
      </c>
      <c r="P101" s="54">
        <v>2.5</v>
      </c>
      <c r="Q101" s="54">
        <v>60.12</v>
      </c>
      <c r="R101" s="198"/>
      <c r="S101" s="198"/>
      <c r="T101" s="198"/>
      <c r="U101" s="198"/>
    </row>
    <row r="102" spans="1:21" s="12" customFormat="1" ht="15">
      <c r="A102" s="217" t="s">
        <v>722</v>
      </c>
      <c r="B102" s="54">
        <v>3.13</v>
      </c>
      <c r="C102" s="54">
        <v>45.25</v>
      </c>
      <c r="D102" s="54">
        <v>48.38</v>
      </c>
      <c r="E102" s="54">
        <v>6.41</v>
      </c>
      <c r="F102" s="54">
        <v>0.43</v>
      </c>
      <c r="G102" s="54">
        <v>181.39</v>
      </c>
      <c r="H102" s="54">
        <v>49.82</v>
      </c>
      <c r="I102" s="54">
        <v>10.33</v>
      </c>
      <c r="J102" s="54">
        <v>1.69</v>
      </c>
      <c r="K102" s="54">
        <v>226.58</v>
      </c>
      <c r="L102" s="54">
        <v>48.63</v>
      </c>
      <c r="M102" s="54">
        <v>38.64</v>
      </c>
      <c r="N102" s="54">
        <v>215.40</v>
      </c>
      <c r="O102" s="54">
        <v>0</v>
      </c>
      <c r="P102" s="54">
        <v>2.44</v>
      </c>
      <c r="Q102" s="54">
        <v>66.180000000000007</v>
      </c>
      <c r="R102" s="198"/>
      <c r="S102" s="198"/>
      <c r="T102" s="198"/>
      <c r="U102" s="198"/>
    </row>
    <row r="103" spans="1:21" s="12" customFormat="1" ht="15">
      <c r="A103" s="217" t="s">
        <v>723</v>
      </c>
      <c r="B103" s="54">
        <v>3.12</v>
      </c>
      <c r="C103" s="54">
        <v>44.12</v>
      </c>
      <c r="D103" s="54">
        <v>47.24</v>
      </c>
      <c r="E103" s="54">
        <v>6.65</v>
      </c>
      <c r="F103" s="54">
        <v>0.80</v>
      </c>
      <c r="G103" s="54">
        <v>181.39</v>
      </c>
      <c r="H103" s="54">
        <v>49.82</v>
      </c>
      <c r="I103" s="54">
        <v>10.14</v>
      </c>
      <c r="J103" s="54">
        <v>1.90</v>
      </c>
      <c r="K103" s="54">
        <v>198.01</v>
      </c>
      <c r="L103" s="54">
        <v>43.51</v>
      </c>
      <c r="M103" s="54">
        <v>38.39</v>
      </c>
      <c r="N103" s="54">
        <v>226.70</v>
      </c>
      <c r="O103" s="54">
        <v>0</v>
      </c>
      <c r="P103" s="54">
        <v>2.41</v>
      </c>
      <c r="Q103" s="54">
        <v>65.59</v>
      </c>
      <c r="R103" s="198"/>
      <c r="S103" s="198"/>
      <c r="T103" s="198"/>
      <c r="U103" s="198"/>
    </row>
    <row r="104" spans="1:21" s="12" customFormat="1" ht="15">
      <c r="A104" s="217" t="s">
        <v>724</v>
      </c>
      <c r="B104" s="54">
        <v>2.91</v>
      </c>
      <c r="C104" s="54">
        <v>42.37</v>
      </c>
      <c r="D104" s="54">
        <v>45.28</v>
      </c>
      <c r="E104" s="54">
        <v>7.02</v>
      </c>
      <c r="F104" s="54">
        <v>0.55000000000000004</v>
      </c>
      <c r="G104" s="54">
        <v>181.39</v>
      </c>
      <c r="H104" s="54">
        <v>49.82</v>
      </c>
      <c r="I104" s="54">
        <v>9.82</v>
      </c>
      <c r="J104" s="54">
        <v>2.04</v>
      </c>
      <c r="K104" s="54">
        <v>147.62</v>
      </c>
      <c r="L104" s="54">
        <v>40.61</v>
      </c>
      <c r="M104" s="54">
        <v>38.01</v>
      </c>
      <c r="N104" s="54">
        <v>212.30</v>
      </c>
      <c r="O104" s="54">
        <v>0</v>
      </c>
      <c r="P104" s="54">
        <v>2.35</v>
      </c>
      <c r="Q104" s="54">
        <v>66.61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0.52000000000000002</v>
      </c>
      <c r="C106" s="67">
        <f>MIN(C9:C104)</f>
        <v>27.93</v>
      </c>
      <c r="D106" s="67">
        <f t="shared" si="0" ref="D106:Q106">MIN(D9:D104)</f>
        <v>29.219999999999999</v>
      </c>
      <c r="E106" s="67">
        <f t="shared" si="0"/>
        <v>3.1000000000000001</v>
      </c>
      <c r="F106" s="67">
        <f t="shared" si="0"/>
        <v>0.059999999999999998</v>
      </c>
      <c r="G106" s="67">
        <f t="shared" si="0"/>
        <v>110.030620614035</v>
      </c>
      <c r="H106" s="67">
        <f t="shared" si="0"/>
        <v>27.7284188596491</v>
      </c>
      <c r="I106" s="67">
        <f t="shared" si="0"/>
        <v>0.01</v>
      </c>
      <c r="J106" s="67">
        <f t="shared" si="0"/>
        <v>0.20999999999999999</v>
      </c>
      <c r="K106" s="67">
        <f t="shared" si="0"/>
        <v>2.04</v>
      </c>
      <c r="L106" s="67">
        <f t="shared" si="0"/>
        <v>34.229999999999997</v>
      </c>
      <c r="M106" s="67">
        <f t="shared" si="0"/>
        <v>15.19</v>
      </c>
      <c r="N106" s="67">
        <f t="shared" si="0"/>
        <v>103.2</v>
      </c>
      <c r="O106" s="67">
        <f t="shared" si="0"/>
        <v>0</v>
      </c>
      <c r="P106" s="67">
        <f t="shared" si="0"/>
        <v>1.6899999999999999</v>
      </c>
      <c r="Q106" s="67">
        <f t="shared" si="0"/>
        <v>53.890000000000001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55.149999999999999</v>
      </c>
      <c r="C107" s="66">
        <f t="shared" si="1" ref="C107:Q107">MAX(C9:C104)</f>
        <v>80.359999999999999</v>
      </c>
      <c r="D107" s="66">
        <f t="shared" si="1"/>
        <v>135.50999999999999</v>
      </c>
      <c r="E107" s="66">
        <f t="shared" si="1"/>
        <v>8.3300000000000001</v>
      </c>
      <c r="F107" s="66">
        <f t="shared" si="1"/>
        <v>6.4800000000000004</v>
      </c>
      <c r="G107" s="66">
        <f t="shared" si="1"/>
        <v>240.78</v>
      </c>
      <c r="H107" s="66">
        <f t="shared" si="1"/>
        <v>61.509999999999998</v>
      </c>
      <c r="I107" s="66">
        <f t="shared" si="1"/>
        <v>22.079999999999998</v>
      </c>
      <c r="J107" s="66">
        <f t="shared" si="1"/>
        <v>4.1299999999999999</v>
      </c>
      <c r="K107" s="66">
        <f t="shared" si="1"/>
        <v>359.56</v>
      </c>
      <c r="L107" s="66">
        <f t="shared" si="1"/>
        <v>62.210000000000001</v>
      </c>
      <c r="M107" s="66">
        <f t="shared" si="1"/>
        <v>41.030000000000001</v>
      </c>
      <c r="N107" s="66">
        <f t="shared" si="1"/>
        <v>1106.4000000000001</v>
      </c>
      <c r="O107" s="66">
        <f t="shared" si="1"/>
        <v>0</v>
      </c>
      <c r="P107" s="66">
        <f t="shared" si="1"/>
        <v>4.3499999999999996</v>
      </c>
      <c r="Q107" s="66">
        <f t="shared" si="1"/>
        <v>121.88967324561401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8.2037878061038008</v>
      </c>
      <c r="C108" s="67">
        <f t="shared" si="2" ref="C108:Q108">AVERAGE(C9:C104)</f>
        <v>46.397322094298239</v>
      </c>
      <c r="D108" s="67">
        <f t="shared" si="2"/>
        <v>54.601330363669582</v>
      </c>
      <c r="E108" s="67">
        <f t="shared" si="2"/>
        <v>6.6768867187500005</v>
      </c>
      <c r="F108" s="67">
        <f t="shared" si="2"/>
        <v>2.4840746345029237</v>
      </c>
      <c r="G108" s="67">
        <f t="shared" si="2"/>
        <v>154.75021479806287</v>
      </c>
      <c r="H108" s="67">
        <f t="shared" si="2"/>
        <v>42.416650196454704</v>
      </c>
      <c r="I108" s="67">
        <f t="shared" si="2"/>
        <v>9.0037258267795917</v>
      </c>
      <c r="J108" s="67">
        <f t="shared" si="2"/>
        <v>2.2613665250365513</v>
      </c>
      <c r="K108" s="67">
        <f t="shared" si="2"/>
        <v>243.73150185032895</v>
      </c>
      <c r="L108" s="67">
        <f t="shared" si="2"/>
        <v>47.885208310489766</v>
      </c>
      <c r="M108" s="67">
        <f t="shared" si="2"/>
        <v>28.993062568530707</v>
      </c>
      <c r="N108" s="67">
        <f t="shared" si="2"/>
        <v>413.95016561586249</v>
      </c>
      <c r="O108" s="67">
        <f t="shared" si="2"/>
        <v>0</v>
      </c>
      <c r="P108" s="67">
        <f t="shared" si="2"/>
        <v>2.242969298245614</v>
      </c>
      <c r="Q108" s="67">
        <f t="shared" si="2"/>
        <v>79.095621596308476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13.769145557276236</v>
      </c>
      <c r="C109" s="67">
        <f t="shared" si="3" ref="C109:Q109">STDEV(C9:C104)</f>
        <v>13.497017764824278</v>
      </c>
      <c r="D109" s="67">
        <f t="shared" si="3"/>
        <v>26.225990515964792</v>
      </c>
      <c r="E109" s="67">
        <f t="shared" si="3"/>
        <v>0.94203207445501091</v>
      </c>
      <c r="F109" s="67">
        <f t="shared" si="3"/>
        <v>2.0833788163883198</v>
      </c>
      <c r="G109" s="67">
        <f t="shared" si="3"/>
        <v>34.159328738664655</v>
      </c>
      <c r="H109" s="67">
        <f t="shared" si="3"/>
        <v>7.7415143215820263</v>
      </c>
      <c r="I109" s="67">
        <f t="shared" si="3"/>
        <v>4.7469890634371685</v>
      </c>
      <c r="J109" s="67">
        <f t="shared" si="3"/>
        <v>0.85860569984473079</v>
      </c>
      <c r="K109" s="67">
        <f t="shared" si="3"/>
        <v>98.685430970221702</v>
      </c>
      <c r="L109" s="67">
        <f t="shared" si="3"/>
        <v>8.0118769771168008</v>
      </c>
      <c r="M109" s="67">
        <f t="shared" si="3"/>
        <v>7.6870862651401497</v>
      </c>
      <c r="N109" s="67">
        <f t="shared" si="3"/>
        <v>343.59015766613351</v>
      </c>
      <c r="O109" s="67">
        <f t="shared" si="3"/>
        <v>0</v>
      </c>
      <c r="P109" s="67">
        <f t="shared" si="3"/>
        <v>0.6499858440109223</v>
      </c>
      <c r="Q109" s="67">
        <f t="shared" si="3"/>
        <v>10.833968897143693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a855fe-fd68-4406-b07f-d02681b1e6e6}">
  <sheetPr codeName=""/>
  <dimension ref="A1:AG117"/>
  <sheetViews>
    <sheetView workbookViewId="0" topLeftCell="A1">
      <pane xSplit="1" ySplit="8" topLeftCell="B108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06-06-2022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725</v>
      </c>
      <c r="B9" s="60">
        <v>2.5099999999999998</v>
      </c>
      <c r="C9" s="60">
        <v>40.799999999999997</v>
      </c>
      <c r="D9" s="60">
        <v>43.30</v>
      </c>
      <c r="E9" s="60">
        <v>7</v>
      </c>
      <c r="F9" s="60">
        <v>0.66</v>
      </c>
      <c r="G9" s="60">
        <v>172.28</v>
      </c>
      <c r="H9" s="60">
        <v>49.13</v>
      </c>
      <c r="I9" s="60">
        <v>9.84</v>
      </c>
      <c r="J9" s="60">
        <v>1.80</v>
      </c>
      <c r="K9" s="60">
        <v>192.07</v>
      </c>
      <c r="L9" s="60">
        <v>40.36</v>
      </c>
      <c r="M9" s="60">
        <v>38.32</v>
      </c>
      <c r="N9" s="60">
        <v>203.30</v>
      </c>
      <c r="O9" s="60">
        <v>0</v>
      </c>
      <c r="P9" s="60">
        <v>2.29</v>
      </c>
      <c r="Q9" s="60">
        <v>66.849999999999994</v>
      </c>
      <c r="R9" s="198"/>
      <c r="S9" s="198"/>
      <c r="T9" s="198"/>
      <c r="U9" s="198"/>
    </row>
    <row r="10" spans="1:21" s="12" customFormat="1" ht="15">
      <c r="A10" s="201" t="s">
        <v>726</v>
      </c>
      <c r="B10" s="60">
        <v>2.17</v>
      </c>
      <c r="C10" s="60">
        <v>38.71</v>
      </c>
      <c r="D10" s="60">
        <v>40.880000000000003</v>
      </c>
      <c r="E10" s="60">
        <v>6.95</v>
      </c>
      <c r="F10" s="60">
        <v>0.56999999999999995</v>
      </c>
      <c r="G10" s="60">
        <v>153.66</v>
      </c>
      <c r="H10" s="60">
        <v>47.12</v>
      </c>
      <c r="I10" s="60">
        <v>9.60</v>
      </c>
      <c r="J10" s="60">
        <v>1.89</v>
      </c>
      <c r="K10" s="60">
        <v>144.96</v>
      </c>
      <c r="L10" s="60">
        <v>39.71</v>
      </c>
      <c r="M10" s="60">
        <v>37.590000000000003</v>
      </c>
      <c r="N10" s="60">
        <v>216</v>
      </c>
      <c r="O10" s="60">
        <v>0</v>
      </c>
      <c r="P10" s="60">
        <v>2.25</v>
      </c>
      <c r="Q10" s="60">
        <v>66.83</v>
      </c>
      <c r="R10" s="198"/>
      <c r="S10" s="198"/>
      <c r="T10" s="198"/>
      <c r="U10" s="198"/>
    </row>
    <row r="11" spans="1:21" s="12" customFormat="1" ht="15">
      <c r="A11" s="201" t="s">
        <v>727</v>
      </c>
      <c r="B11" s="60">
        <v>1.83</v>
      </c>
      <c r="C11" s="60">
        <v>36.159999999999997</v>
      </c>
      <c r="D11" s="60">
        <v>37.99</v>
      </c>
      <c r="E11" s="60">
        <v>7.27</v>
      </c>
      <c r="F11" s="60">
        <v>1.03</v>
      </c>
      <c r="G11" s="60">
        <v>153.66</v>
      </c>
      <c r="H11" s="60">
        <v>47.12</v>
      </c>
      <c r="I11" s="60">
        <v>9.35</v>
      </c>
      <c r="J11" s="60">
        <v>2.96</v>
      </c>
      <c r="K11" s="60">
        <v>130.07</v>
      </c>
      <c r="L11" s="60">
        <v>38.15</v>
      </c>
      <c r="M11" s="60">
        <v>38.17</v>
      </c>
      <c r="N11" s="60">
        <v>164.60</v>
      </c>
      <c r="O11" s="60">
        <v>0</v>
      </c>
      <c r="P11" s="60">
        <v>2.1800000000000002</v>
      </c>
      <c r="Q11" s="60">
        <v>73.64</v>
      </c>
      <c r="R11" s="198"/>
      <c r="S11" s="198"/>
      <c r="T11" s="198"/>
      <c r="U11" s="198"/>
    </row>
    <row r="12" spans="1:21" s="12" customFormat="1" ht="15">
      <c r="A12" s="201" t="s">
        <v>728</v>
      </c>
      <c r="B12" s="60">
        <v>1.35</v>
      </c>
      <c r="C12" s="60">
        <v>33.520000000000003</v>
      </c>
      <c r="D12" s="60">
        <v>34.880000000000003</v>
      </c>
      <c r="E12" s="60">
        <v>7.27</v>
      </c>
      <c r="F12" s="60">
        <v>1.30</v>
      </c>
      <c r="G12" s="60">
        <v>153.66</v>
      </c>
      <c r="H12" s="60">
        <v>47.12</v>
      </c>
      <c r="I12" s="60">
        <v>9.06</v>
      </c>
      <c r="J12" s="60">
        <v>2.08</v>
      </c>
      <c r="K12" s="60">
        <v>94.90</v>
      </c>
      <c r="L12" s="60">
        <v>37.07</v>
      </c>
      <c r="M12" s="60">
        <v>37.35</v>
      </c>
      <c r="N12" s="60">
        <v>174.90</v>
      </c>
      <c r="O12" s="60">
        <v>0</v>
      </c>
      <c r="P12" s="60">
        <v>2.11</v>
      </c>
      <c r="Q12" s="60">
        <v>76.05</v>
      </c>
      <c r="R12" s="198"/>
      <c r="S12" s="198"/>
      <c r="T12" s="198"/>
      <c r="U12" s="198"/>
    </row>
    <row r="13" spans="1:21" s="12" customFormat="1" ht="15">
      <c r="A13" s="201" t="s">
        <v>729</v>
      </c>
      <c r="B13" s="60">
        <v>1.1200000000000001</v>
      </c>
      <c r="C13" s="60">
        <v>31.78</v>
      </c>
      <c r="D13" s="60">
        <v>32.89</v>
      </c>
      <c r="E13" s="60">
        <v>7.34</v>
      </c>
      <c r="F13" s="60">
        <v>1.45</v>
      </c>
      <c r="G13" s="60">
        <v>150.52000000000001</v>
      </c>
      <c r="H13" s="60">
        <v>46.42</v>
      </c>
      <c r="I13" s="60">
        <v>8.6999999999999993</v>
      </c>
      <c r="J13" s="60">
        <v>2.06</v>
      </c>
      <c r="K13" s="60">
        <v>125.94</v>
      </c>
      <c r="L13" s="60">
        <v>38.450000000000003</v>
      </c>
      <c r="M13" s="60">
        <v>36.46</v>
      </c>
      <c r="N13" s="60">
        <v>216.70</v>
      </c>
      <c r="O13" s="60">
        <v>0</v>
      </c>
      <c r="P13" s="60">
        <v>2.04</v>
      </c>
      <c r="Q13" s="60">
        <v>73.95</v>
      </c>
      <c r="R13" s="198"/>
      <c r="S13" s="198"/>
      <c r="T13" s="198"/>
      <c r="U13" s="198"/>
    </row>
    <row r="14" spans="1:21" s="12" customFormat="1" ht="15">
      <c r="A14" s="201" t="s">
        <v>730</v>
      </c>
      <c r="B14" s="60">
        <v>0.98</v>
      </c>
      <c r="C14" s="60">
        <v>30.65</v>
      </c>
      <c r="D14" s="60">
        <v>31.63</v>
      </c>
      <c r="E14" s="60">
        <v>7.28</v>
      </c>
      <c r="F14" s="60">
        <v>1.42</v>
      </c>
      <c r="G14" s="60">
        <v>136.38</v>
      </c>
      <c r="H14" s="60">
        <v>44.27</v>
      </c>
      <c r="I14" s="60">
        <v>8.39</v>
      </c>
      <c r="J14" s="60">
        <v>2.27</v>
      </c>
      <c r="K14" s="60">
        <v>139.63999999999999</v>
      </c>
      <c r="L14" s="60">
        <v>38.049999999999997</v>
      </c>
      <c r="M14" s="60">
        <v>35.159999999999997</v>
      </c>
      <c r="N14" s="60">
        <v>194.10</v>
      </c>
      <c r="O14" s="60">
        <v>0</v>
      </c>
      <c r="P14" s="60">
        <v>1.99</v>
      </c>
      <c r="Q14" s="60">
        <v>71.42</v>
      </c>
      <c r="R14" s="198"/>
      <c r="S14" s="198"/>
      <c r="T14" s="198"/>
      <c r="U14" s="198"/>
    </row>
    <row r="15" spans="1:21" s="12" customFormat="1" ht="15">
      <c r="A15" s="201" t="s">
        <v>731</v>
      </c>
      <c r="B15" s="60">
        <v>0.87</v>
      </c>
      <c r="C15" s="60">
        <v>29.5</v>
      </c>
      <c r="D15" s="60">
        <v>30.37</v>
      </c>
      <c r="E15" s="60">
        <v>7.06</v>
      </c>
      <c r="F15" s="60">
        <v>1.5</v>
      </c>
      <c r="G15" s="60">
        <v>136.38</v>
      </c>
      <c r="H15" s="60">
        <v>44.27</v>
      </c>
      <c r="I15" s="60">
        <v>8.02</v>
      </c>
      <c r="J15" s="60">
        <v>2.16</v>
      </c>
      <c r="K15" s="60">
        <v>158.30000000000001</v>
      </c>
      <c r="L15" s="60">
        <v>36.950000000000003</v>
      </c>
      <c r="M15" s="60">
        <v>34.67</v>
      </c>
      <c r="N15" s="60">
        <v>183.70</v>
      </c>
      <c r="O15" s="60">
        <v>0</v>
      </c>
      <c r="P15" s="60">
        <v>1.94</v>
      </c>
      <c r="Q15" s="60">
        <v>70.040000000000006</v>
      </c>
      <c r="R15" s="198"/>
      <c r="S15" s="198"/>
      <c r="T15" s="198"/>
      <c r="U15" s="198"/>
    </row>
    <row r="16" spans="1:21" s="12" customFormat="1" ht="15">
      <c r="A16" s="201" t="s">
        <v>732</v>
      </c>
      <c r="B16" s="60">
        <v>0.79</v>
      </c>
      <c r="C16" s="60">
        <v>28.47</v>
      </c>
      <c r="D16" s="60">
        <v>29.27</v>
      </c>
      <c r="E16" s="60">
        <v>6.91</v>
      </c>
      <c r="F16" s="60">
        <v>1.57</v>
      </c>
      <c r="G16" s="60">
        <v>136.38</v>
      </c>
      <c r="H16" s="60">
        <v>44.27</v>
      </c>
      <c r="I16" s="60">
        <v>7.60</v>
      </c>
      <c r="J16" s="60">
        <v>1.07</v>
      </c>
      <c r="K16" s="60">
        <v>104.93</v>
      </c>
      <c r="L16" s="60">
        <v>36.96</v>
      </c>
      <c r="M16" s="60">
        <v>35.409999999999997</v>
      </c>
      <c r="N16" s="60">
        <v>181.90</v>
      </c>
      <c r="O16" s="60">
        <v>0</v>
      </c>
      <c r="P16" s="60">
        <v>1.88</v>
      </c>
      <c r="Q16" s="60">
        <v>68.55</v>
      </c>
      <c r="R16" s="198"/>
      <c r="S16" s="198"/>
      <c r="T16" s="198"/>
      <c r="U16" s="198"/>
    </row>
    <row r="17" spans="1:21" s="12" customFormat="1" ht="15">
      <c r="A17" s="201" t="s">
        <v>733</v>
      </c>
      <c r="B17" s="60">
        <v>0.80</v>
      </c>
      <c r="C17" s="60">
        <v>27.51</v>
      </c>
      <c r="D17" s="60">
        <v>28.32</v>
      </c>
      <c r="E17" s="60">
        <v>6.88</v>
      </c>
      <c r="F17" s="60">
        <v>1.52</v>
      </c>
      <c r="G17" s="60">
        <v>130.58000000000001</v>
      </c>
      <c r="H17" s="60">
        <v>42.14</v>
      </c>
      <c r="I17" s="60">
        <v>7.39</v>
      </c>
      <c r="J17" s="60">
        <v>1.29</v>
      </c>
      <c r="K17" s="60">
        <v>176.17</v>
      </c>
      <c r="L17" s="60">
        <v>33.93</v>
      </c>
      <c r="M17" s="60">
        <v>36.14</v>
      </c>
      <c r="N17" s="60">
        <v>193.5</v>
      </c>
      <c r="O17" s="60">
        <v>0</v>
      </c>
      <c r="P17" s="60">
        <v>1.84</v>
      </c>
      <c r="Q17" s="60">
        <v>67.06</v>
      </c>
      <c r="R17" s="198"/>
      <c r="S17" s="198"/>
      <c r="T17" s="198"/>
      <c r="U17" s="198"/>
    </row>
    <row r="18" spans="1:21" s="12" customFormat="1" ht="15">
      <c r="A18" s="201" t="s">
        <v>734</v>
      </c>
      <c r="B18" s="60">
        <v>0.80</v>
      </c>
      <c r="C18" s="60">
        <v>26.71</v>
      </c>
      <c r="D18" s="60">
        <v>27.51</v>
      </c>
      <c r="E18" s="60">
        <v>7.12</v>
      </c>
      <c r="F18" s="60">
        <v>1.41</v>
      </c>
      <c r="G18" s="60">
        <v>118.15</v>
      </c>
      <c r="H18" s="60">
        <v>35.56</v>
      </c>
      <c r="I18" s="60">
        <v>6.97</v>
      </c>
      <c r="J18" s="60">
        <v>2.3199999999999998</v>
      </c>
      <c r="K18" s="60">
        <v>169.53</v>
      </c>
      <c r="L18" s="60">
        <v>33.93</v>
      </c>
      <c r="M18" s="60">
        <v>36.81</v>
      </c>
      <c r="N18" s="60">
        <v>149.40</v>
      </c>
      <c r="O18" s="60">
        <v>0</v>
      </c>
      <c r="P18" s="60">
        <v>1.80</v>
      </c>
      <c r="Q18" s="60">
        <v>66.900000000000006</v>
      </c>
      <c r="R18" s="198"/>
      <c r="S18" s="198"/>
      <c r="T18" s="198"/>
      <c r="U18" s="198"/>
    </row>
    <row r="19" spans="1:21" s="12" customFormat="1" ht="15">
      <c r="A19" s="201" t="s">
        <v>735</v>
      </c>
      <c r="B19" s="60">
        <v>0.81</v>
      </c>
      <c r="C19" s="60">
        <v>26.10</v>
      </c>
      <c r="D19" s="60">
        <v>26.91</v>
      </c>
      <c r="E19" s="60">
        <v>7.12</v>
      </c>
      <c r="F19" s="60">
        <v>1.67</v>
      </c>
      <c r="G19" s="60">
        <v>118.15</v>
      </c>
      <c r="H19" s="60">
        <v>35.56</v>
      </c>
      <c r="I19" s="60">
        <v>6.78</v>
      </c>
      <c r="J19" s="60">
        <v>3.03</v>
      </c>
      <c r="K19" s="60">
        <v>168.24</v>
      </c>
      <c r="L19" s="60">
        <v>34.06</v>
      </c>
      <c r="M19" s="60">
        <v>37.200000000000003</v>
      </c>
      <c r="N19" s="60">
        <v>170.60</v>
      </c>
      <c r="O19" s="60">
        <v>0</v>
      </c>
      <c r="P19" s="60">
        <v>1.77</v>
      </c>
      <c r="Q19" s="60">
        <v>66.650000000000006</v>
      </c>
      <c r="R19" s="198"/>
      <c r="S19" s="198"/>
      <c r="T19" s="198"/>
      <c r="U19" s="198"/>
    </row>
    <row r="20" spans="1:21" s="12" customFormat="1" ht="15">
      <c r="A20" s="201" t="s">
        <v>736</v>
      </c>
      <c r="B20" s="60">
        <v>0.79</v>
      </c>
      <c r="C20" s="60">
        <v>25.56</v>
      </c>
      <c r="D20" s="60">
        <v>26.35</v>
      </c>
      <c r="E20" s="60">
        <v>3.36</v>
      </c>
      <c r="F20" s="60">
        <v>1.69</v>
      </c>
      <c r="G20" s="60">
        <v>118.15</v>
      </c>
      <c r="H20" s="60">
        <v>35.56</v>
      </c>
      <c r="I20" s="60">
        <v>6.47</v>
      </c>
      <c r="J20" s="60">
        <v>2.0499999999999998</v>
      </c>
      <c r="K20" s="60">
        <v>164.75</v>
      </c>
      <c r="L20" s="60">
        <v>34.07</v>
      </c>
      <c r="M20" s="60">
        <v>38.28</v>
      </c>
      <c r="N20" s="60">
        <v>173.20</v>
      </c>
      <c r="O20" s="60">
        <v>0</v>
      </c>
      <c r="P20" s="60">
        <v>1.74</v>
      </c>
      <c r="Q20" s="60">
        <v>65.78</v>
      </c>
      <c r="R20" s="198"/>
      <c r="S20" s="198"/>
      <c r="T20" s="198"/>
      <c r="U20" s="198"/>
    </row>
    <row r="21" spans="1:21" s="12" customFormat="1" ht="15">
      <c r="A21" s="201" t="s">
        <v>737</v>
      </c>
      <c r="B21" s="60">
        <v>0.84</v>
      </c>
      <c r="C21" s="60">
        <v>22.92</v>
      </c>
      <c r="D21" s="60">
        <v>23.76</v>
      </c>
      <c r="E21" s="60">
        <v>6.18</v>
      </c>
      <c r="F21" s="60">
        <v>1.75</v>
      </c>
      <c r="G21" s="60">
        <v>116.67</v>
      </c>
      <c r="H21" s="60">
        <v>35.44</v>
      </c>
      <c r="I21" s="60">
        <v>6.32</v>
      </c>
      <c r="J21" s="60">
        <v>2.71</v>
      </c>
      <c r="K21" s="60">
        <v>162.63999999999999</v>
      </c>
      <c r="L21" s="60">
        <v>34.07</v>
      </c>
      <c r="M21" s="60">
        <v>39.03</v>
      </c>
      <c r="N21" s="60">
        <v>258.89999999999998</v>
      </c>
      <c r="O21" s="60">
        <v>0</v>
      </c>
      <c r="P21" s="60">
        <v>1.72</v>
      </c>
      <c r="Q21" s="60">
        <v>61.38</v>
      </c>
      <c r="R21" s="198"/>
      <c r="S21" s="198"/>
      <c r="T21" s="198"/>
      <c r="U21" s="198"/>
    </row>
    <row r="22" spans="1:21" s="12" customFormat="1" ht="15">
      <c r="A22" s="201" t="s">
        <v>738</v>
      </c>
      <c r="B22" s="60">
        <v>0.93</v>
      </c>
      <c r="C22" s="60">
        <v>22.92</v>
      </c>
      <c r="D22" s="60">
        <v>23.85</v>
      </c>
      <c r="E22" s="60">
        <v>6.13</v>
      </c>
      <c r="F22" s="60">
        <v>1.31</v>
      </c>
      <c r="G22" s="60">
        <v>113.48</v>
      </c>
      <c r="H22" s="60">
        <v>35.06</v>
      </c>
      <c r="I22" s="60">
        <v>6.15</v>
      </c>
      <c r="J22" s="60">
        <v>2.2400000000000002</v>
      </c>
      <c r="K22" s="60">
        <v>165.99</v>
      </c>
      <c r="L22" s="60">
        <v>34.32</v>
      </c>
      <c r="M22" s="60">
        <v>40.270000000000003</v>
      </c>
      <c r="N22" s="60">
        <v>251.80</v>
      </c>
      <c r="O22" s="60">
        <v>0</v>
      </c>
      <c r="P22" s="60">
        <v>1.71</v>
      </c>
      <c r="Q22" s="60">
        <v>51.67</v>
      </c>
      <c r="R22" s="198"/>
      <c r="S22" s="198"/>
      <c r="T22" s="198"/>
      <c r="U22" s="198"/>
    </row>
    <row r="23" spans="1:21" s="12" customFormat="1" ht="15">
      <c r="A23" s="201" t="s">
        <v>739</v>
      </c>
      <c r="B23" s="60">
        <v>1.07</v>
      </c>
      <c r="C23" s="60">
        <v>23.68</v>
      </c>
      <c r="D23" s="60">
        <v>24.75</v>
      </c>
      <c r="E23" s="60">
        <v>6.39</v>
      </c>
      <c r="F23" s="60">
        <v>1.19</v>
      </c>
      <c r="G23" s="60">
        <v>113.48</v>
      </c>
      <c r="H23" s="60">
        <v>35.06</v>
      </c>
      <c r="I23" s="60">
        <v>6.03</v>
      </c>
      <c r="J23" s="60">
        <v>1.64</v>
      </c>
      <c r="K23" s="60">
        <v>167.18</v>
      </c>
      <c r="L23" s="60">
        <v>33.25</v>
      </c>
      <c r="M23" s="60">
        <v>41.22</v>
      </c>
      <c r="N23" s="60">
        <v>163</v>
      </c>
      <c r="O23" s="60">
        <v>0</v>
      </c>
      <c r="P23" s="60">
        <v>1.69</v>
      </c>
      <c r="Q23" s="60">
        <v>57.28</v>
      </c>
      <c r="R23" s="198"/>
      <c r="S23" s="198"/>
      <c r="T23" s="198"/>
      <c r="U23" s="198"/>
    </row>
    <row r="24" spans="1:21" s="12" customFormat="1" ht="15">
      <c r="A24" s="201" t="s">
        <v>740</v>
      </c>
      <c r="B24" s="60">
        <v>1.22</v>
      </c>
      <c r="C24" s="60">
        <v>24.12</v>
      </c>
      <c r="D24" s="60">
        <v>25.34</v>
      </c>
      <c r="E24" s="60">
        <v>6.57</v>
      </c>
      <c r="F24" s="60">
        <v>1.1200000000000001</v>
      </c>
      <c r="G24" s="60">
        <v>113.48</v>
      </c>
      <c r="H24" s="60">
        <v>35.06</v>
      </c>
      <c r="I24" s="60">
        <v>6</v>
      </c>
      <c r="J24" s="60">
        <v>1.87</v>
      </c>
      <c r="K24" s="60">
        <v>165.40</v>
      </c>
      <c r="L24" s="60">
        <v>32.799999999999997</v>
      </c>
      <c r="M24" s="60">
        <v>42</v>
      </c>
      <c r="N24" s="60">
        <v>122.20</v>
      </c>
      <c r="O24" s="60">
        <v>0</v>
      </c>
      <c r="P24" s="60">
        <v>1.68</v>
      </c>
      <c r="Q24" s="60">
        <v>59.77</v>
      </c>
      <c r="R24" s="198"/>
      <c r="S24" s="198"/>
      <c r="T24" s="198"/>
      <c r="U24" s="198"/>
    </row>
    <row r="25" spans="1:21" s="12" customFormat="1" ht="15">
      <c r="A25" s="201" t="s">
        <v>741</v>
      </c>
      <c r="B25" s="60">
        <v>1.39</v>
      </c>
      <c r="C25" s="60">
        <v>24.61</v>
      </c>
      <c r="D25" s="60">
        <v>25.99</v>
      </c>
      <c r="E25" s="60">
        <v>6.81</v>
      </c>
      <c r="F25" s="60">
        <v>0.98</v>
      </c>
      <c r="G25" s="60">
        <v>109.65</v>
      </c>
      <c r="H25" s="60">
        <v>34.79</v>
      </c>
      <c r="I25" s="60">
        <v>5.89</v>
      </c>
      <c r="J25" s="60">
        <v>0.84</v>
      </c>
      <c r="K25" s="60">
        <v>190.26</v>
      </c>
      <c r="L25" s="60">
        <v>32.51</v>
      </c>
      <c r="M25" s="60">
        <v>43.27</v>
      </c>
      <c r="N25" s="60">
        <v>125.60</v>
      </c>
      <c r="O25" s="60">
        <v>0</v>
      </c>
      <c r="P25" s="60">
        <v>1.66</v>
      </c>
      <c r="Q25" s="60">
        <v>61.72</v>
      </c>
      <c r="R25" s="198"/>
      <c r="S25" s="198"/>
      <c r="T25" s="198"/>
      <c r="U25" s="198"/>
    </row>
    <row r="26" spans="1:21" s="12" customFormat="1" ht="15">
      <c r="A26" s="201" t="s">
        <v>742</v>
      </c>
      <c r="B26" s="60">
        <v>1.64</v>
      </c>
      <c r="C26" s="60">
        <v>25.04</v>
      </c>
      <c r="D26" s="60">
        <v>26.68</v>
      </c>
      <c r="E26" s="60">
        <v>6.98</v>
      </c>
      <c r="F26" s="60">
        <v>0.65</v>
      </c>
      <c r="G26" s="60">
        <v>101.45</v>
      </c>
      <c r="H26" s="60">
        <v>33.950000000000003</v>
      </c>
      <c r="I26" s="60">
        <v>5.95</v>
      </c>
      <c r="J26" s="60">
        <v>0.52</v>
      </c>
      <c r="K26" s="60">
        <v>154.85</v>
      </c>
      <c r="L26" s="60">
        <v>32.25</v>
      </c>
      <c r="M26" s="60">
        <v>44.33</v>
      </c>
      <c r="N26" s="60">
        <v>130.30000000000001</v>
      </c>
      <c r="O26" s="60">
        <v>0</v>
      </c>
      <c r="P26" s="60">
        <v>1.65</v>
      </c>
      <c r="Q26" s="60">
        <v>61.96</v>
      </c>
      <c r="R26" s="198"/>
      <c r="S26" s="198"/>
      <c r="T26" s="198"/>
      <c r="U26" s="198"/>
    </row>
    <row r="27" spans="1:21" s="12" customFormat="1" ht="15">
      <c r="A27" s="201" t="s">
        <v>743</v>
      </c>
      <c r="B27" s="60">
        <v>1.82</v>
      </c>
      <c r="C27" s="60">
        <v>25.84</v>
      </c>
      <c r="D27" s="60">
        <v>27.66</v>
      </c>
      <c r="E27" s="60">
        <v>7.21</v>
      </c>
      <c r="F27" s="60">
        <v>0.60</v>
      </c>
      <c r="G27" s="60">
        <v>101.45</v>
      </c>
      <c r="H27" s="60">
        <v>33.950000000000003</v>
      </c>
      <c r="I27" s="60">
        <v>5.85</v>
      </c>
      <c r="J27" s="60">
        <v>0.97</v>
      </c>
      <c r="K27" s="60">
        <v>103.39</v>
      </c>
      <c r="L27" s="60">
        <v>32.04</v>
      </c>
      <c r="M27" s="60">
        <v>44.88</v>
      </c>
      <c r="N27" s="60">
        <v>132.80000000000001</v>
      </c>
      <c r="O27" s="60">
        <v>0</v>
      </c>
      <c r="P27" s="60">
        <v>1.65</v>
      </c>
      <c r="Q27" s="60">
        <v>63.84</v>
      </c>
      <c r="R27" s="198"/>
      <c r="S27" s="198"/>
      <c r="T27" s="198"/>
      <c r="U27" s="198"/>
    </row>
    <row r="28" spans="1:21" s="12" customFormat="1" ht="15">
      <c r="A28" s="201" t="s">
        <v>744</v>
      </c>
      <c r="B28" s="60">
        <v>2.11</v>
      </c>
      <c r="C28" s="60">
        <v>26.44</v>
      </c>
      <c r="D28" s="60">
        <v>28.55</v>
      </c>
      <c r="E28" s="60">
        <v>7.20</v>
      </c>
      <c r="F28" s="60">
        <v>0.28000000000000003</v>
      </c>
      <c r="G28" s="60">
        <v>101.45</v>
      </c>
      <c r="H28" s="60">
        <v>33.950000000000003</v>
      </c>
      <c r="I28" s="60">
        <v>5.83</v>
      </c>
      <c r="J28" s="60">
        <v>1.03</v>
      </c>
      <c r="K28" s="60">
        <v>153.55000000000001</v>
      </c>
      <c r="L28" s="60">
        <v>32.229999999999997</v>
      </c>
      <c r="M28" s="60">
        <v>44.53</v>
      </c>
      <c r="N28" s="60">
        <v>134.30000000000001</v>
      </c>
      <c r="O28" s="60">
        <v>0</v>
      </c>
      <c r="P28" s="60">
        <v>1.64</v>
      </c>
      <c r="Q28" s="60">
        <v>64.73</v>
      </c>
      <c r="R28" s="198"/>
      <c r="S28" s="198"/>
      <c r="T28" s="198"/>
      <c r="U28" s="198"/>
    </row>
    <row r="29" spans="1:21" s="12" customFormat="1" ht="15">
      <c r="A29" s="201" t="s">
        <v>745</v>
      </c>
      <c r="B29" s="60">
        <v>2.5099999999999998</v>
      </c>
      <c r="C29" s="60">
        <v>28.53</v>
      </c>
      <c r="D29" s="60">
        <v>31.04</v>
      </c>
      <c r="E29" s="60">
        <v>7.45</v>
      </c>
      <c r="F29" s="60">
        <v>0.09</v>
      </c>
      <c r="G29" s="60">
        <v>99.98</v>
      </c>
      <c r="H29" s="60">
        <v>34.35</v>
      </c>
      <c r="I29" s="60">
        <v>5.85</v>
      </c>
      <c r="J29" s="60">
        <v>0.20</v>
      </c>
      <c r="K29" s="60">
        <v>215.08</v>
      </c>
      <c r="L29" s="60">
        <v>31.95</v>
      </c>
      <c r="M29" s="60">
        <v>45.29</v>
      </c>
      <c r="N29" s="60">
        <v>134.5</v>
      </c>
      <c r="O29" s="60">
        <v>0</v>
      </c>
      <c r="P29" s="60">
        <v>1.63</v>
      </c>
      <c r="Q29" s="60">
        <v>70.69</v>
      </c>
      <c r="R29" s="198"/>
      <c r="S29" s="198"/>
      <c r="T29" s="198"/>
      <c r="U29" s="198"/>
    </row>
    <row r="30" spans="1:21" s="12" customFormat="1" ht="15">
      <c r="A30" s="201" t="s">
        <v>746</v>
      </c>
      <c r="B30" s="60">
        <v>3.04</v>
      </c>
      <c r="C30" s="60">
        <v>29.93</v>
      </c>
      <c r="D30" s="60">
        <v>32.97</v>
      </c>
      <c r="E30" s="60">
        <v>7.34</v>
      </c>
      <c r="F30" s="60">
        <v>0.24</v>
      </c>
      <c r="G30" s="60">
        <v>96.71</v>
      </c>
      <c r="H30" s="60">
        <v>35.590000000000003</v>
      </c>
      <c r="I30" s="60">
        <v>5.84</v>
      </c>
      <c r="J30" s="60">
        <v>1.47</v>
      </c>
      <c r="K30" s="60">
        <v>162.63</v>
      </c>
      <c r="L30" s="60">
        <v>31.83</v>
      </c>
      <c r="M30" s="60">
        <v>45.69</v>
      </c>
      <c r="N30" s="60">
        <v>142</v>
      </c>
      <c r="O30" s="60">
        <v>0</v>
      </c>
      <c r="P30" s="60">
        <v>1.63</v>
      </c>
      <c r="Q30" s="60">
        <v>72.739999999999995</v>
      </c>
      <c r="R30" s="198"/>
      <c r="S30" s="198"/>
      <c r="T30" s="198"/>
      <c r="U30" s="198"/>
    </row>
    <row r="31" spans="1:21" s="12" customFormat="1" ht="15">
      <c r="A31" s="201" t="s">
        <v>747</v>
      </c>
      <c r="B31" s="60">
        <v>3.24</v>
      </c>
      <c r="C31" s="60">
        <v>30.99</v>
      </c>
      <c r="D31" s="60">
        <v>34.229999999999997</v>
      </c>
      <c r="E31" s="60">
        <v>7.17</v>
      </c>
      <c r="F31" s="60">
        <v>0.39</v>
      </c>
      <c r="G31" s="60">
        <v>96.71</v>
      </c>
      <c r="H31" s="60">
        <v>35.590000000000003</v>
      </c>
      <c r="I31" s="60">
        <v>5.75</v>
      </c>
      <c r="J31" s="60">
        <v>1.72</v>
      </c>
      <c r="K31" s="60">
        <v>166.58</v>
      </c>
      <c r="L31" s="60">
        <v>32.03</v>
      </c>
      <c r="M31" s="60">
        <v>45.34</v>
      </c>
      <c r="N31" s="60">
        <v>144.80000000000001</v>
      </c>
      <c r="O31" s="60">
        <v>0</v>
      </c>
      <c r="P31" s="60">
        <v>1.62</v>
      </c>
      <c r="Q31" s="60">
        <v>72.19</v>
      </c>
      <c r="R31" s="198"/>
      <c r="S31" s="198"/>
      <c r="T31" s="198"/>
      <c r="U31" s="198"/>
    </row>
    <row r="32" spans="1:21" s="12" customFormat="1" ht="15">
      <c r="A32" s="201" t="s">
        <v>748</v>
      </c>
      <c r="B32" s="60">
        <v>3.46</v>
      </c>
      <c r="C32" s="60">
        <v>31.84</v>
      </c>
      <c r="D32" s="60">
        <v>35.299999999999997</v>
      </c>
      <c r="E32" s="60">
        <v>7.32</v>
      </c>
      <c r="F32" s="60">
        <v>0.54</v>
      </c>
      <c r="G32" s="60">
        <v>96.71</v>
      </c>
      <c r="H32" s="60">
        <v>35.590000000000003</v>
      </c>
      <c r="I32" s="60">
        <v>5.84</v>
      </c>
      <c r="J32" s="60">
        <v>1.90</v>
      </c>
      <c r="K32" s="60">
        <v>159.26</v>
      </c>
      <c r="L32" s="60">
        <v>32.18</v>
      </c>
      <c r="M32" s="60">
        <v>45.31</v>
      </c>
      <c r="N32" s="60">
        <v>159.19999999999999</v>
      </c>
      <c r="O32" s="60">
        <v>0</v>
      </c>
      <c r="P32" s="60">
        <v>1.62</v>
      </c>
      <c r="Q32" s="60">
        <v>71.55</v>
      </c>
      <c r="R32" s="198"/>
      <c r="S32" s="198"/>
      <c r="T32" s="198"/>
      <c r="U32" s="198"/>
    </row>
    <row r="33" spans="1:21" s="12" customFormat="1" ht="15">
      <c r="A33" s="201" t="s">
        <v>749</v>
      </c>
      <c r="B33" s="60">
        <v>3.44</v>
      </c>
      <c r="C33" s="60">
        <v>32.43</v>
      </c>
      <c r="D33" s="60">
        <v>35.869999999999997</v>
      </c>
      <c r="E33" s="60">
        <v>6.95</v>
      </c>
      <c r="F33" s="60">
        <v>0.56000000000000005</v>
      </c>
      <c r="G33" s="60">
        <v>96.41</v>
      </c>
      <c r="H33" s="60">
        <v>34.35</v>
      </c>
      <c r="I33" s="60">
        <v>5.76</v>
      </c>
      <c r="J33" s="60">
        <v>1.55</v>
      </c>
      <c r="K33" s="60">
        <v>167.91</v>
      </c>
      <c r="L33" s="60">
        <v>32.32</v>
      </c>
      <c r="M33" s="60">
        <v>45.18</v>
      </c>
      <c r="N33" s="60">
        <v>208.20</v>
      </c>
      <c r="O33" s="60">
        <v>0</v>
      </c>
      <c r="P33" s="60">
        <v>1.62</v>
      </c>
      <c r="Q33" s="60">
        <v>70.09</v>
      </c>
      <c r="R33" s="198"/>
      <c r="S33" s="198"/>
      <c r="T33" s="198"/>
      <c r="U33" s="198"/>
    </row>
    <row r="34" spans="1:21" s="12" customFormat="1" ht="15">
      <c r="A34" s="201" t="s">
        <v>750</v>
      </c>
      <c r="B34" s="60">
        <v>3.30</v>
      </c>
      <c r="C34" s="60">
        <v>32.869999999999997</v>
      </c>
      <c r="D34" s="60">
        <v>36.17</v>
      </c>
      <c r="E34" s="60">
        <v>7.01</v>
      </c>
      <c r="F34" s="60">
        <v>0.30</v>
      </c>
      <c r="G34" s="60">
        <v>95.77</v>
      </c>
      <c r="H34" s="60">
        <v>30.51</v>
      </c>
      <c r="I34" s="60">
        <v>5.78</v>
      </c>
      <c r="J34" s="60">
        <v>2.73</v>
      </c>
      <c r="K34" s="60">
        <v>162.38</v>
      </c>
      <c r="L34" s="60">
        <v>32.57</v>
      </c>
      <c r="M34" s="60">
        <v>44.94</v>
      </c>
      <c r="N34" s="60">
        <v>322.80</v>
      </c>
      <c r="O34" s="60">
        <v>0</v>
      </c>
      <c r="P34" s="60">
        <v>1.62</v>
      </c>
      <c r="Q34" s="60">
        <v>69.75</v>
      </c>
      <c r="R34" s="198"/>
      <c r="S34" s="198"/>
      <c r="T34" s="198"/>
      <c r="U34" s="198"/>
    </row>
    <row r="35" spans="1:21" s="12" customFormat="1" ht="15">
      <c r="A35" s="201" t="s">
        <v>751</v>
      </c>
      <c r="B35" s="60">
        <v>3.14</v>
      </c>
      <c r="C35" s="60">
        <v>33.07</v>
      </c>
      <c r="D35" s="60">
        <v>36.21</v>
      </c>
      <c r="E35" s="60">
        <v>6.73</v>
      </c>
      <c r="F35" s="60">
        <v>0.39</v>
      </c>
      <c r="G35" s="60">
        <v>95.77</v>
      </c>
      <c r="H35" s="60">
        <v>30.51</v>
      </c>
      <c r="I35" s="60">
        <v>5.84</v>
      </c>
      <c r="J35" s="60">
        <v>3.20</v>
      </c>
      <c r="K35" s="60">
        <v>166.10</v>
      </c>
      <c r="L35" s="60">
        <v>32.799999999999997</v>
      </c>
      <c r="M35" s="60">
        <v>44.67</v>
      </c>
      <c r="N35" s="60">
        <v>323</v>
      </c>
      <c r="O35" s="60">
        <v>0</v>
      </c>
      <c r="P35" s="60">
        <v>1.62</v>
      </c>
      <c r="Q35" s="60">
        <v>69.17</v>
      </c>
      <c r="R35" s="198"/>
      <c r="S35" s="198"/>
      <c r="T35" s="198"/>
      <c r="U35" s="198"/>
    </row>
    <row r="36" spans="1:21" s="12" customFormat="1" ht="15">
      <c r="A36" s="201" t="s">
        <v>752</v>
      </c>
      <c r="B36" s="60">
        <v>2.76</v>
      </c>
      <c r="C36" s="60">
        <v>32.78</v>
      </c>
      <c r="D36" s="60">
        <v>35.54</v>
      </c>
      <c r="E36" s="60">
        <v>3.33</v>
      </c>
      <c r="F36" s="60">
        <v>0.61</v>
      </c>
      <c r="G36" s="60">
        <v>95.77</v>
      </c>
      <c r="H36" s="60">
        <v>30.51</v>
      </c>
      <c r="I36" s="60">
        <v>5.82</v>
      </c>
      <c r="J36" s="60">
        <v>3.16</v>
      </c>
      <c r="K36" s="60">
        <v>171.74</v>
      </c>
      <c r="L36" s="60">
        <v>33.020000000000003</v>
      </c>
      <c r="M36" s="60">
        <v>44.64</v>
      </c>
      <c r="N36" s="60">
        <v>377.10</v>
      </c>
      <c r="O36" s="60">
        <v>0</v>
      </c>
      <c r="P36" s="60">
        <v>1.62</v>
      </c>
      <c r="Q36" s="60">
        <v>69.31</v>
      </c>
      <c r="R36" s="198"/>
      <c r="S36" s="198"/>
      <c r="T36" s="198"/>
      <c r="U36" s="198"/>
    </row>
    <row r="37" spans="1:21" s="12" customFormat="1" ht="15">
      <c r="A37" s="201" t="s">
        <v>753</v>
      </c>
      <c r="B37" s="60">
        <v>2.5299999999999998</v>
      </c>
      <c r="C37" s="60">
        <v>32.51</v>
      </c>
      <c r="D37" s="60">
        <v>35.04</v>
      </c>
      <c r="E37" s="60">
        <v>6.40</v>
      </c>
      <c r="F37" s="60">
        <v>0.93</v>
      </c>
      <c r="G37" s="60">
        <v>97.90</v>
      </c>
      <c r="H37" s="60">
        <v>30.40</v>
      </c>
      <c r="I37" s="60">
        <v>5.87</v>
      </c>
      <c r="J37" s="60">
        <v>2.93</v>
      </c>
      <c r="K37" s="60">
        <v>168.69</v>
      </c>
      <c r="L37" s="60">
        <v>33.43</v>
      </c>
      <c r="M37" s="60">
        <v>44.26</v>
      </c>
      <c r="N37" s="60">
        <v>441</v>
      </c>
      <c r="O37" s="60">
        <v>0</v>
      </c>
      <c r="P37" s="60">
        <v>1.62</v>
      </c>
      <c r="Q37" s="60">
        <v>67.099999999999994</v>
      </c>
      <c r="R37" s="198"/>
      <c r="S37" s="198"/>
      <c r="T37" s="198"/>
      <c r="U37" s="198"/>
    </row>
    <row r="38" spans="1:21" s="12" customFormat="1" ht="15">
      <c r="A38" s="201" t="s">
        <v>754</v>
      </c>
      <c r="B38" s="60">
        <v>1.97</v>
      </c>
      <c r="C38" s="60">
        <v>31.73</v>
      </c>
      <c r="D38" s="60">
        <v>33.700000000000003</v>
      </c>
      <c r="E38" s="60">
        <v>6.66</v>
      </c>
      <c r="F38" s="60">
        <v>1.18</v>
      </c>
      <c r="G38" s="60">
        <v>107.53</v>
      </c>
      <c r="H38" s="60">
        <v>30.09</v>
      </c>
      <c r="I38" s="60">
        <v>5.84</v>
      </c>
      <c r="J38" s="60">
        <v>2.13</v>
      </c>
      <c r="K38" s="60">
        <v>179.25</v>
      </c>
      <c r="L38" s="60">
        <v>34.159999999999997</v>
      </c>
      <c r="M38" s="60">
        <v>43.16</v>
      </c>
      <c r="N38" s="60">
        <v>551.5</v>
      </c>
      <c r="O38" s="60">
        <v>0</v>
      </c>
      <c r="P38" s="60">
        <v>1.61</v>
      </c>
      <c r="Q38" s="60">
        <v>66.45</v>
      </c>
      <c r="R38" s="198"/>
      <c r="S38" s="198"/>
      <c r="T38" s="198"/>
      <c r="U38" s="198"/>
    </row>
    <row r="39" spans="1:21" s="12" customFormat="1" ht="15">
      <c r="A39" s="201" t="s">
        <v>755</v>
      </c>
      <c r="B39" s="60">
        <v>1.63</v>
      </c>
      <c r="C39" s="60">
        <v>26.29</v>
      </c>
      <c r="D39" s="60">
        <v>27.92</v>
      </c>
      <c r="E39" s="60">
        <v>6.51</v>
      </c>
      <c r="F39" s="60">
        <v>1.69</v>
      </c>
      <c r="G39" s="60">
        <v>107.53</v>
      </c>
      <c r="H39" s="60">
        <v>30.09</v>
      </c>
      <c r="I39" s="60">
        <v>5.78</v>
      </c>
      <c r="J39" s="60">
        <v>2.99</v>
      </c>
      <c r="K39" s="60">
        <v>163.66</v>
      </c>
      <c r="L39" s="60">
        <v>34.76</v>
      </c>
      <c r="M39" s="60">
        <v>42.21</v>
      </c>
      <c r="N39" s="60">
        <v>585.5</v>
      </c>
      <c r="O39" s="60">
        <v>0</v>
      </c>
      <c r="P39" s="60">
        <v>1.62</v>
      </c>
      <c r="Q39" s="60">
        <v>54.74</v>
      </c>
      <c r="R39" s="198"/>
      <c r="S39" s="198"/>
      <c r="T39" s="198"/>
      <c r="U39" s="198"/>
    </row>
    <row r="40" spans="1:21" s="12" customFormat="1" ht="15">
      <c r="A40" s="201" t="s">
        <v>756</v>
      </c>
      <c r="B40" s="60">
        <v>1.49</v>
      </c>
      <c r="C40" s="60">
        <v>25.83</v>
      </c>
      <c r="D40" s="60">
        <v>27.32</v>
      </c>
      <c r="E40" s="60">
        <v>6.48</v>
      </c>
      <c r="F40" s="60">
        <v>1.44</v>
      </c>
      <c r="G40" s="60">
        <v>107.53</v>
      </c>
      <c r="H40" s="60">
        <v>30.09</v>
      </c>
      <c r="I40" s="60">
        <v>5.75</v>
      </c>
      <c r="J40" s="60">
        <v>2.78</v>
      </c>
      <c r="K40" s="60">
        <v>177.74</v>
      </c>
      <c r="L40" s="60">
        <v>35.39</v>
      </c>
      <c r="M40" s="60">
        <v>40.53</v>
      </c>
      <c r="N40" s="60">
        <v>642.20000000000005</v>
      </c>
      <c r="O40" s="60">
        <v>0</v>
      </c>
      <c r="P40" s="60">
        <v>1.62</v>
      </c>
      <c r="Q40" s="60">
        <v>39.89</v>
      </c>
      <c r="R40" s="198"/>
      <c r="S40" s="198"/>
      <c r="T40" s="198"/>
      <c r="U40" s="198"/>
    </row>
    <row r="41" spans="1:21" s="12" customFormat="1" ht="15">
      <c r="A41" s="201" t="s">
        <v>757</v>
      </c>
      <c r="B41" s="60">
        <v>1.27</v>
      </c>
      <c r="C41" s="60">
        <v>28.93</v>
      </c>
      <c r="D41" s="60">
        <v>30.20</v>
      </c>
      <c r="E41" s="60">
        <v>6.43</v>
      </c>
      <c r="F41" s="60">
        <v>1.56</v>
      </c>
      <c r="G41" s="60">
        <v>107.88</v>
      </c>
      <c r="H41" s="60">
        <v>31.03</v>
      </c>
      <c r="I41" s="60">
        <v>5.64</v>
      </c>
      <c r="J41" s="60">
        <v>2.54</v>
      </c>
      <c r="K41" s="60">
        <v>200.28</v>
      </c>
      <c r="L41" s="60">
        <v>36</v>
      </c>
      <c r="M41" s="60">
        <v>37.729999999999997</v>
      </c>
      <c r="N41" s="60">
        <v>664.70</v>
      </c>
      <c r="O41" s="60">
        <v>0</v>
      </c>
      <c r="P41" s="60">
        <v>1.63</v>
      </c>
      <c r="Q41" s="60">
        <v>45.67</v>
      </c>
      <c r="R41" s="198"/>
      <c r="S41" s="198"/>
      <c r="T41" s="198"/>
      <c r="U41" s="198"/>
    </row>
    <row r="42" spans="1:21" s="12" customFormat="1" ht="15">
      <c r="A42" s="201" t="s">
        <v>758</v>
      </c>
      <c r="B42" s="60">
        <v>0.85</v>
      </c>
      <c r="C42" s="60">
        <v>29.34</v>
      </c>
      <c r="D42" s="60">
        <v>30.19</v>
      </c>
      <c r="E42" s="60">
        <v>6.31</v>
      </c>
      <c r="F42" s="60">
        <v>2.52</v>
      </c>
      <c r="G42" s="60">
        <v>108.64</v>
      </c>
      <c r="H42" s="60">
        <v>33.94</v>
      </c>
      <c r="I42" s="60">
        <v>5.70</v>
      </c>
      <c r="J42" s="60">
        <v>2.76</v>
      </c>
      <c r="K42" s="60">
        <v>194.62</v>
      </c>
      <c r="L42" s="60">
        <v>36.64</v>
      </c>
      <c r="M42" s="60">
        <v>36.21</v>
      </c>
      <c r="N42" s="60">
        <v>758.70</v>
      </c>
      <c r="O42" s="60">
        <v>0</v>
      </c>
      <c r="P42" s="60">
        <v>1.62</v>
      </c>
      <c r="Q42" s="60">
        <v>50.21</v>
      </c>
      <c r="R42" s="198"/>
      <c r="S42" s="198"/>
      <c r="T42" s="198"/>
      <c r="U42" s="198"/>
    </row>
    <row r="43" spans="1:21" s="12" customFormat="1" ht="15">
      <c r="A43" s="201" t="s">
        <v>759</v>
      </c>
      <c r="B43" s="60">
        <v>0.62</v>
      </c>
      <c r="C43" s="60">
        <v>28.34</v>
      </c>
      <c r="D43" s="60">
        <v>28.97</v>
      </c>
      <c r="E43" s="60">
        <v>6.49</v>
      </c>
      <c r="F43" s="60">
        <v>2.74</v>
      </c>
      <c r="G43" s="60">
        <v>108.64</v>
      </c>
      <c r="H43" s="60">
        <v>33.94</v>
      </c>
      <c r="I43" s="60">
        <v>5.60</v>
      </c>
      <c r="J43" s="60">
        <v>1.42</v>
      </c>
      <c r="K43" s="60">
        <v>218.59</v>
      </c>
      <c r="L43" s="60">
        <v>37.729999999999997</v>
      </c>
      <c r="M43" s="60">
        <v>35.04</v>
      </c>
      <c r="N43" s="60">
        <v>796.90</v>
      </c>
      <c r="O43" s="60">
        <v>0</v>
      </c>
      <c r="P43" s="60">
        <v>1.61</v>
      </c>
      <c r="Q43" s="60">
        <v>52.01</v>
      </c>
      <c r="R43" s="198"/>
      <c r="S43" s="198"/>
      <c r="T43" s="198"/>
      <c r="U43" s="198"/>
    </row>
    <row r="44" spans="1:21" s="12" customFormat="1" ht="15">
      <c r="A44" s="201" t="s">
        <v>760</v>
      </c>
      <c r="B44" s="60">
        <v>0.60</v>
      </c>
      <c r="C44" s="60">
        <v>26.89</v>
      </c>
      <c r="D44" s="60">
        <v>27.49</v>
      </c>
      <c r="E44" s="60">
        <v>5.89</v>
      </c>
      <c r="F44" s="60">
        <v>3.18</v>
      </c>
      <c r="G44" s="60">
        <v>108.64</v>
      </c>
      <c r="H44" s="60">
        <v>33.94</v>
      </c>
      <c r="I44" s="60">
        <v>5.47</v>
      </c>
      <c r="J44" s="60">
        <v>1.36</v>
      </c>
      <c r="K44" s="60">
        <v>201.59</v>
      </c>
      <c r="L44" s="60">
        <v>39.39</v>
      </c>
      <c r="M44" s="60">
        <v>33.729999999999997</v>
      </c>
      <c r="N44" s="60">
        <v>858.20</v>
      </c>
      <c r="O44" s="60">
        <v>0</v>
      </c>
      <c r="P44" s="60">
        <v>1.61</v>
      </c>
      <c r="Q44" s="60">
        <v>46.13</v>
      </c>
      <c r="R44" s="198"/>
      <c r="S44" s="198"/>
      <c r="T44" s="198"/>
      <c r="U44" s="198"/>
    </row>
    <row r="45" spans="1:21" s="12" customFormat="1" ht="15">
      <c r="A45" s="201" t="s">
        <v>761</v>
      </c>
      <c r="B45" s="60">
        <v>0.64</v>
      </c>
      <c r="C45" s="60">
        <v>28.75</v>
      </c>
      <c r="D45" s="60">
        <v>29.38</v>
      </c>
      <c r="E45" s="60">
        <v>6.10</v>
      </c>
      <c r="F45" s="60">
        <v>2.98</v>
      </c>
      <c r="G45" s="60">
        <v>110.52</v>
      </c>
      <c r="H45" s="60">
        <v>34.24</v>
      </c>
      <c r="I45" s="60">
        <v>5.28</v>
      </c>
      <c r="J45" s="60">
        <v>0.47</v>
      </c>
      <c r="K45" s="60">
        <v>215.68</v>
      </c>
      <c r="L45" s="60">
        <v>40.049999999999997</v>
      </c>
      <c r="M45" s="60">
        <v>33.17</v>
      </c>
      <c r="N45" s="60">
        <v>904.10</v>
      </c>
      <c r="O45" s="60">
        <v>0</v>
      </c>
      <c r="P45" s="60">
        <v>1.61</v>
      </c>
      <c r="Q45" s="60">
        <v>50.48</v>
      </c>
      <c r="R45" s="198"/>
      <c r="S45" s="198"/>
      <c r="T45" s="198"/>
      <c r="U45" s="198"/>
    </row>
    <row r="46" spans="1:21" s="12" customFormat="1" ht="15">
      <c r="A46" s="201" t="s">
        <v>762</v>
      </c>
      <c r="B46" s="60">
        <v>0.75</v>
      </c>
      <c r="C46" s="60">
        <v>27.82</v>
      </c>
      <c r="D46" s="60">
        <v>28.57</v>
      </c>
      <c r="E46" s="60">
        <v>5.84</v>
      </c>
      <c r="F46" s="60">
        <v>3.34</v>
      </c>
      <c r="G46" s="60">
        <v>114.55</v>
      </c>
      <c r="H46" s="60">
        <v>35.15</v>
      </c>
      <c r="I46" s="60">
        <v>5.15</v>
      </c>
      <c r="J46" s="60">
        <v>0.23</v>
      </c>
      <c r="K46" s="60">
        <v>258.58999999999997</v>
      </c>
      <c r="L46" s="60">
        <v>41.73</v>
      </c>
      <c r="M46" s="60">
        <v>31.79</v>
      </c>
      <c r="N46" s="60">
        <v>921.10</v>
      </c>
      <c r="O46" s="60">
        <v>0</v>
      </c>
      <c r="P46" s="60">
        <v>1.62</v>
      </c>
      <c r="Q46" s="60">
        <v>48.19</v>
      </c>
      <c r="R46" s="198"/>
      <c r="S46" s="198"/>
      <c r="T46" s="198"/>
      <c r="U46" s="198"/>
    </row>
    <row r="47" spans="1:21" s="12" customFormat="1" ht="15">
      <c r="A47" s="201" t="s">
        <v>763</v>
      </c>
      <c r="B47" s="60">
        <v>0.96</v>
      </c>
      <c r="C47" s="60">
        <v>29.59</v>
      </c>
      <c r="D47" s="60">
        <v>30.55</v>
      </c>
      <c r="E47" s="60">
        <v>6.04</v>
      </c>
      <c r="F47" s="60">
        <v>3.63</v>
      </c>
      <c r="G47" s="60">
        <v>114.55</v>
      </c>
      <c r="H47" s="60">
        <v>35.15</v>
      </c>
      <c r="I47" s="60">
        <v>5.0599999999999996</v>
      </c>
      <c r="J47" s="60">
        <v>0.56999999999999995</v>
      </c>
      <c r="K47" s="60">
        <v>308.26</v>
      </c>
      <c r="L47" s="60">
        <v>42.54</v>
      </c>
      <c r="M47" s="60">
        <v>31.57</v>
      </c>
      <c r="N47" s="60">
        <v>975.10</v>
      </c>
      <c r="O47" s="60">
        <v>0</v>
      </c>
      <c r="P47" s="60">
        <v>1.64</v>
      </c>
      <c r="Q47" s="60">
        <v>55.24</v>
      </c>
      <c r="R47" s="198"/>
      <c r="S47" s="198"/>
      <c r="T47" s="198"/>
      <c r="U47" s="198"/>
    </row>
    <row r="48" spans="1:21" s="12" customFormat="1" ht="15">
      <c r="A48" s="201" t="s">
        <v>764</v>
      </c>
      <c r="B48" s="60">
        <v>0.91</v>
      </c>
      <c r="C48" s="60">
        <v>31.57</v>
      </c>
      <c r="D48" s="60">
        <v>32.479999999999997</v>
      </c>
      <c r="E48" s="60">
        <v>6.12</v>
      </c>
      <c r="F48" s="60">
        <v>3.67</v>
      </c>
      <c r="G48" s="60">
        <v>114.55</v>
      </c>
      <c r="H48" s="60">
        <v>35.15</v>
      </c>
      <c r="I48" s="60">
        <v>4.97</v>
      </c>
      <c r="J48" s="60">
        <v>0.67</v>
      </c>
      <c r="K48" s="60">
        <v>298.87</v>
      </c>
      <c r="L48" s="60">
        <v>39.799999999999997</v>
      </c>
      <c r="M48" s="60">
        <v>31.15</v>
      </c>
      <c r="N48" s="60">
        <v>952.40</v>
      </c>
      <c r="O48" s="60">
        <v>0</v>
      </c>
      <c r="P48" s="60">
        <v>1.67</v>
      </c>
      <c r="Q48" s="60">
        <v>58.90</v>
      </c>
      <c r="R48" s="198"/>
      <c r="S48" s="198"/>
      <c r="T48" s="198"/>
      <c r="U48" s="198"/>
    </row>
    <row r="49" spans="1:21" s="12" customFormat="1" ht="15">
      <c r="A49" s="201" t="s">
        <v>765</v>
      </c>
      <c r="B49" s="60">
        <v>0.91</v>
      </c>
      <c r="C49" s="60">
        <v>32.880000000000003</v>
      </c>
      <c r="D49" s="60">
        <v>33.79</v>
      </c>
      <c r="E49" s="60">
        <v>5.92</v>
      </c>
      <c r="F49" s="60">
        <v>4.20</v>
      </c>
      <c r="G49" s="60">
        <v>112.54</v>
      </c>
      <c r="H49" s="60">
        <v>36.83</v>
      </c>
      <c r="I49" s="60">
        <v>5.01</v>
      </c>
      <c r="J49" s="60">
        <v>1.96</v>
      </c>
      <c r="K49" s="60">
        <v>330.41</v>
      </c>
      <c r="L49" s="60">
        <v>43.03</v>
      </c>
      <c r="M49" s="60">
        <v>31.19</v>
      </c>
      <c r="N49" s="60">
        <v>969</v>
      </c>
      <c r="O49" s="60">
        <v>0</v>
      </c>
      <c r="P49" s="60">
        <v>1.70</v>
      </c>
      <c r="Q49" s="60">
        <v>57.99</v>
      </c>
      <c r="R49" s="198"/>
      <c r="S49" s="198"/>
      <c r="T49" s="198"/>
      <c r="U49" s="198"/>
    </row>
    <row r="50" spans="1:21" s="12" customFormat="1" ht="15">
      <c r="A50" s="201" t="s">
        <v>766</v>
      </c>
      <c r="B50" s="60">
        <v>0.89</v>
      </c>
      <c r="C50" s="60">
        <v>34.5</v>
      </c>
      <c r="D50" s="60">
        <v>35.39</v>
      </c>
      <c r="E50" s="60">
        <v>5.43</v>
      </c>
      <c r="F50" s="60">
        <v>4.1399999999999997</v>
      </c>
      <c r="G50" s="60">
        <v>108.24</v>
      </c>
      <c r="H50" s="60">
        <v>42</v>
      </c>
      <c r="I50" s="60">
        <v>5</v>
      </c>
      <c r="J50" s="60">
        <v>1.24</v>
      </c>
      <c r="K50" s="60">
        <v>206.26</v>
      </c>
      <c r="L50" s="60">
        <v>41.53</v>
      </c>
      <c r="M50" s="60">
        <v>29.35</v>
      </c>
      <c r="N50" s="60">
        <v>1019.80</v>
      </c>
      <c r="O50" s="60">
        <v>0</v>
      </c>
      <c r="P50" s="60">
        <v>1.72</v>
      </c>
      <c r="Q50" s="60">
        <v>58.11</v>
      </c>
      <c r="R50" s="198"/>
      <c r="S50" s="198"/>
      <c r="T50" s="198"/>
      <c r="U50" s="198"/>
    </row>
    <row r="51" spans="1:21" s="12" customFormat="1" ht="15">
      <c r="A51" s="201" t="s">
        <v>767</v>
      </c>
      <c r="B51" s="60">
        <v>0.66</v>
      </c>
      <c r="C51" s="60">
        <v>34.880000000000003</v>
      </c>
      <c r="D51" s="60">
        <v>35.54</v>
      </c>
      <c r="E51" s="60">
        <v>5.31</v>
      </c>
      <c r="F51" s="60">
        <v>4.26</v>
      </c>
      <c r="G51" s="60">
        <v>108.24</v>
      </c>
      <c r="H51" s="60">
        <v>42</v>
      </c>
      <c r="I51" s="60">
        <v>5.07</v>
      </c>
      <c r="J51" s="60">
        <v>0.74</v>
      </c>
      <c r="K51" s="60">
        <v>319.17</v>
      </c>
      <c r="L51" s="60">
        <v>40.40</v>
      </c>
      <c r="M51" s="60">
        <v>30.11</v>
      </c>
      <c r="N51" s="60">
        <v>1038.5</v>
      </c>
      <c r="O51" s="60">
        <v>0</v>
      </c>
      <c r="P51" s="60">
        <v>1.74</v>
      </c>
      <c r="Q51" s="60">
        <v>56.27</v>
      </c>
      <c r="R51" s="198"/>
      <c r="S51" s="198"/>
      <c r="T51" s="198"/>
      <c r="U51" s="198"/>
    </row>
    <row r="52" spans="1:21" s="12" customFormat="1" ht="15">
      <c r="A52" s="201" t="s">
        <v>768</v>
      </c>
      <c r="B52" s="60">
        <v>0.60</v>
      </c>
      <c r="C52" s="60">
        <v>34.92</v>
      </c>
      <c r="D52" s="60">
        <v>35.520000000000003</v>
      </c>
      <c r="E52" s="60">
        <v>3.40</v>
      </c>
      <c r="F52" s="60">
        <v>4.62</v>
      </c>
      <c r="G52" s="60">
        <v>108.24</v>
      </c>
      <c r="H52" s="60">
        <v>42</v>
      </c>
      <c r="I52" s="60">
        <v>5.16</v>
      </c>
      <c r="J52" s="60">
        <v>1.01</v>
      </c>
      <c r="K52" s="60">
        <v>182.52</v>
      </c>
      <c r="L52" s="60">
        <v>40.21</v>
      </c>
      <c r="M52" s="60">
        <v>29.29</v>
      </c>
      <c r="N52" s="60">
        <v>797.30</v>
      </c>
      <c r="O52" s="60">
        <v>0</v>
      </c>
      <c r="P52" s="60">
        <v>1.75</v>
      </c>
      <c r="Q52" s="60">
        <v>55.36</v>
      </c>
      <c r="R52" s="198"/>
      <c r="S52" s="198"/>
      <c r="T52" s="198"/>
      <c r="U52" s="198"/>
    </row>
    <row r="53" spans="1:21" s="12" customFormat="1" ht="15">
      <c r="A53" s="201" t="s">
        <v>769</v>
      </c>
      <c r="B53" s="60">
        <v>0.52</v>
      </c>
      <c r="C53" s="60">
        <v>34.89</v>
      </c>
      <c r="D53" s="60">
        <v>35.409999999999997</v>
      </c>
      <c r="E53" s="60">
        <v>5.44</v>
      </c>
      <c r="F53" s="60">
        <v>5.01</v>
      </c>
      <c r="G53" s="60">
        <v>108.62</v>
      </c>
      <c r="H53" s="60">
        <v>42.33</v>
      </c>
      <c r="I53" s="60">
        <v>5.24</v>
      </c>
      <c r="J53" s="60">
        <v>1.24</v>
      </c>
      <c r="K53" s="60">
        <v>320.02</v>
      </c>
      <c r="L53" s="60">
        <v>41.01</v>
      </c>
      <c r="M53" s="60">
        <v>28.64</v>
      </c>
      <c r="N53" s="60">
        <v>924</v>
      </c>
      <c r="O53" s="60">
        <v>0</v>
      </c>
      <c r="P53" s="60">
        <v>1.76</v>
      </c>
      <c r="Q53" s="60">
        <v>57.23</v>
      </c>
      <c r="R53" s="198"/>
      <c r="S53" s="198"/>
      <c r="T53" s="198"/>
      <c r="U53" s="198"/>
    </row>
    <row r="54" spans="1:21" s="12" customFormat="1" ht="15">
      <c r="A54" s="201" t="s">
        <v>770</v>
      </c>
      <c r="B54" s="60">
        <v>0.93</v>
      </c>
      <c r="C54" s="60">
        <v>36.90</v>
      </c>
      <c r="D54" s="60">
        <v>37.83</v>
      </c>
      <c r="E54" s="60">
        <v>5.78</v>
      </c>
      <c r="F54" s="60">
        <v>4.9800000000000004</v>
      </c>
      <c r="G54" s="60">
        <v>109.46</v>
      </c>
      <c r="H54" s="60">
        <v>43.34</v>
      </c>
      <c r="I54" s="60">
        <v>5.51</v>
      </c>
      <c r="J54" s="60">
        <v>0.82</v>
      </c>
      <c r="K54" s="60">
        <v>307.70</v>
      </c>
      <c r="L54" s="60">
        <v>46.46</v>
      </c>
      <c r="M54" s="60">
        <v>27.12</v>
      </c>
      <c r="N54" s="60">
        <v>882.20</v>
      </c>
      <c r="O54" s="60">
        <v>0</v>
      </c>
      <c r="P54" s="60">
        <v>1.81</v>
      </c>
      <c r="Q54" s="60">
        <v>57.25</v>
      </c>
      <c r="R54" s="198"/>
      <c r="S54" s="198"/>
      <c r="T54" s="198"/>
      <c r="U54" s="198"/>
    </row>
    <row r="55" spans="1:21" s="12" customFormat="1" ht="15">
      <c r="A55" s="201" t="s">
        <v>771</v>
      </c>
      <c r="B55" s="60">
        <v>0.86</v>
      </c>
      <c r="C55" s="60">
        <v>39.64</v>
      </c>
      <c r="D55" s="60">
        <v>40.5</v>
      </c>
      <c r="E55" s="60">
        <v>6.09</v>
      </c>
      <c r="F55" s="60">
        <v>5.82</v>
      </c>
      <c r="G55" s="60">
        <v>109.46</v>
      </c>
      <c r="H55" s="60">
        <v>43.34</v>
      </c>
      <c r="I55" s="60">
        <v>5.91</v>
      </c>
      <c r="J55" s="60">
        <v>1.22</v>
      </c>
      <c r="K55" s="60">
        <v>228.71</v>
      </c>
      <c r="L55" s="60">
        <v>42.39</v>
      </c>
      <c r="M55" s="60">
        <v>25.95</v>
      </c>
      <c r="N55" s="60">
        <v>912.60</v>
      </c>
      <c r="O55" s="60">
        <v>0</v>
      </c>
      <c r="P55" s="60">
        <v>1.84</v>
      </c>
      <c r="Q55" s="60">
        <v>60.11</v>
      </c>
      <c r="R55" s="198"/>
      <c r="S55" s="198"/>
      <c r="T55" s="198"/>
      <c r="U55" s="198"/>
    </row>
    <row r="56" spans="1:21" s="12" customFormat="1" ht="15">
      <c r="A56" s="201" t="s">
        <v>772</v>
      </c>
      <c r="B56" s="60">
        <v>0.44</v>
      </c>
      <c r="C56" s="60">
        <v>38.18</v>
      </c>
      <c r="D56" s="60">
        <v>38.619999999999997</v>
      </c>
      <c r="E56" s="60">
        <v>6.29</v>
      </c>
      <c r="F56" s="60">
        <v>6.62</v>
      </c>
      <c r="G56" s="60">
        <v>109.46</v>
      </c>
      <c r="H56" s="60">
        <v>43.34</v>
      </c>
      <c r="I56" s="60">
        <v>6.99</v>
      </c>
      <c r="J56" s="60">
        <v>0.88</v>
      </c>
      <c r="K56" s="60">
        <v>292.38</v>
      </c>
      <c r="L56" s="60">
        <v>44.01</v>
      </c>
      <c r="M56" s="60">
        <v>26.02</v>
      </c>
      <c r="N56" s="60">
        <v>816.10</v>
      </c>
      <c r="O56" s="60">
        <v>0</v>
      </c>
      <c r="P56" s="60">
        <v>1.86</v>
      </c>
      <c r="Q56" s="60">
        <v>62.51</v>
      </c>
      <c r="R56" s="198"/>
      <c r="S56" s="198"/>
      <c r="T56" s="198"/>
      <c r="U56" s="198"/>
    </row>
    <row r="57" spans="1:21" s="12" customFormat="1" ht="15">
      <c r="A57" s="201" t="s">
        <v>773</v>
      </c>
      <c r="B57" s="60">
        <v>0.36</v>
      </c>
      <c r="C57" s="60">
        <v>32.869999999999997</v>
      </c>
      <c r="D57" s="60">
        <v>33.229999999999997</v>
      </c>
      <c r="E57" s="60">
        <v>6.02</v>
      </c>
      <c r="F57" s="60">
        <v>6.59</v>
      </c>
      <c r="G57" s="60">
        <v>110.73</v>
      </c>
      <c r="H57" s="60">
        <v>43.30</v>
      </c>
      <c r="I57" s="60">
        <v>7.53</v>
      </c>
      <c r="J57" s="60">
        <v>1.30</v>
      </c>
      <c r="K57" s="60">
        <v>310.63</v>
      </c>
      <c r="L57" s="60">
        <v>43.65</v>
      </c>
      <c r="M57" s="60">
        <v>26.18</v>
      </c>
      <c r="N57" s="60">
        <v>665</v>
      </c>
      <c r="O57" s="60">
        <v>0</v>
      </c>
      <c r="P57" s="60">
        <v>1.90</v>
      </c>
      <c r="Q57" s="60">
        <v>53.46</v>
      </c>
      <c r="R57" s="198"/>
      <c r="S57" s="198"/>
      <c r="T57" s="198"/>
      <c r="U57" s="198"/>
    </row>
    <row r="58" spans="1:21" s="12" customFormat="1" ht="15">
      <c r="A58" s="201" t="s">
        <v>774</v>
      </c>
      <c r="B58" s="60">
        <v>0.38</v>
      </c>
      <c r="C58" s="60">
        <v>34.340000000000003</v>
      </c>
      <c r="D58" s="60">
        <v>34.71</v>
      </c>
      <c r="E58" s="60">
        <v>5.92</v>
      </c>
      <c r="F58" s="60">
        <v>6.01</v>
      </c>
      <c r="G58" s="60">
        <v>113.47</v>
      </c>
      <c r="H58" s="60">
        <v>43.19</v>
      </c>
      <c r="I58" s="60">
        <v>7.53</v>
      </c>
      <c r="J58" s="60">
        <v>2.5499999999999998</v>
      </c>
      <c r="K58" s="60">
        <v>152.52000000000001</v>
      </c>
      <c r="L58" s="60">
        <v>41.64</v>
      </c>
      <c r="M58" s="60">
        <v>24.90</v>
      </c>
      <c r="N58" s="60">
        <v>869.20</v>
      </c>
      <c r="O58" s="60">
        <v>0</v>
      </c>
      <c r="P58" s="60">
        <v>1.93</v>
      </c>
      <c r="Q58" s="60">
        <v>44.42</v>
      </c>
      <c r="R58" s="198"/>
      <c r="S58" s="198"/>
      <c r="T58" s="198"/>
      <c r="U58" s="198"/>
    </row>
    <row r="59" spans="1:21" s="12" customFormat="1" ht="15">
      <c r="A59" s="201" t="s">
        <v>775</v>
      </c>
      <c r="B59" s="60">
        <v>0.32</v>
      </c>
      <c r="C59" s="60">
        <v>34.799999999999997</v>
      </c>
      <c r="D59" s="60">
        <v>35.11</v>
      </c>
      <c r="E59" s="60">
        <v>5.59</v>
      </c>
      <c r="F59" s="60">
        <v>6.74</v>
      </c>
      <c r="G59" s="60">
        <v>113.47</v>
      </c>
      <c r="H59" s="60">
        <v>43.19</v>
      </c>
      <c r="I59" s="60">
        <v>7.48</v>
      </c>
      <c r="J59" s="60">
        <v>1.57</v>
      </c>
      <c r="K59" s="60">
        <v>167.45</v>
      </c>
      <c r="L59" s="60">
        <v>41.87</v>
      </c>
      <c r="M59" s="60">
        <v>24.18</v>
      </c>
      <c r="N59" s="60">
        <v>806.5</v>
      </c>
      <c r="O59" s="60">
        <v>0</v>
      </c>
      <c r="P59" s="60">
        <v>1.92</v>
      </c>
      <c r="Q59" s="60">
        <v>48.33</v>
      </c>
      <c r="R59" s="198"/>
      <c r="S59" s="198"/>
      <c r="T59" s="198"/>
      <c r="U59" s="198"/>
    </row>
    <row r="60" spans="1:21" s="12" customFormat="1" ht="15">
      <c r="A60" s="201" t="s">
        <v>776</v>
      </c>
      <c r="B60" s="60">
        <v>0.31</v>
      </c>
      <c r="C60" s="60">
        <v>34.08</v>
      </c>
      <c r="D60" s="60">
        <v>34.39</v>
      </c>
      <c r="E60" s="60">
        <v>5.86</v>
      </c>
      <c r="F60" s="60">
        <v>6.13</v>
      </c>
      <c r="G60" s="60">
        <v>113.47</v>
      </c>
      <c r="H60" s="60">
        <v>43.19</v>
      </c>
      <c r="I60" s="60">
        <v>6.74</v>
      </c>
      <c r="J60" s="60">
        <v>0.91</v>
      </c>
      <c r="K60" s="60">
        <v>154.05000000000001</v>
      </c>
      <c r="L60" s="60">
        <v>42.38</v>
      </c>
      <c r="M60" s="60">
        <v>23.13</v>
      </c>
      <c r="N60" s="60">
        <v>651.79999999999995</v>
      </c>
      <c r="O60" s="60">
        <v>0</v>
      </c>
      <c r="P60" s="60">
        <v>1.93</v>
      </c>
      <c r="Q60" s="60">
        <v>57.71</v>
      </c>
      <c r="R60" s="198"/>
      <c r="S60" s="198"/>
      <c r="T60" s="198"/>
      <c r="U60" s="198"/>
    </row>
    <row r="61" spans="1:21" s="12" customFormat="1" ht="15">
      <c r="A61" s="201" t="s">
        <v>777</v>
      </c>
      <c r="B61" s="60">
        <v>0.30</v>
      </c>
      <c r="C61" s="60">
        <v>33.07</v>
      </c>
      <c r="D61" s="60">
        <v>33.369999999999997</v>
      </c>
      <c r="E61" s="60">
        <v>6.17</v>
      </c>
      <c r="F61" s="60">
        <v>6.10</v>
      </c>
      <c r="G61" s="60">
        <v>115.17</v>
      </c>
      <c r="H61" s="60">
        <v>44.26</v>
      </c>
      <c r="I61" s="60">
        <v>5.18</v>
      </c>
      <c r="J61" s="60">
        <v>1.65</v>
      </c>
      <c r="K61" s="60">
        <v>136.11000000000001</v>
      </c>
      <c r="L61" s="60">
        <v>43.38</v>
      </c>
      <c r="M61" s="60">
        <v>23.47</v>
      </c>
      <c r="N61" s="60">
        <v>676.10</v>
      </c>
      <c r="O61" s="60">
        <v>0</v>
      </c>
      <c r="P61" s="60">
        <v>1.95</v>
      </c>
      <c r="Q61" s="60">
        <v>54.08</v>
      </c>
      <c r="R61" s="198"/>
      <c r="S61" s="198"/>
      <c r="T61" s="198"/>
      <c r="U61" s="198"/>
    </row>
    <row r="62" spans="1:21" s="12" customFormat="1" ht="15">
      <c r="A62" s="201" t="s">
        <v>778</v>
      </c>
      <c r="B62" s="60">
        <v>0.28999999999999998</v>
      </c>
      <c r="C62" s="60">
        <v>33</v>
      </c>
      <c r="D62" s="60">
        <v>33.28</v>
      </c>
      <c r="E62" s="60">
        <v>6.28</v>
      </c>
      <c r="F62" s="60">
        <v>6.52</v>
      </c>
      <c r="G62" s="60">
        <v>122.80</v>
      </c>
      <c r="H62" s="60">
        <v>47.56</v>
      </c>
      <c r="I62" s="60">
        <v>0.87</v>
      </c>
      <c r="J62" s="60">
        <v>1.85</v>
      </c>
      <c r="K62" s="60">
        <v>144</v>
      </c>
      <c r="L62" s="60">
        <v>45.19</v>
      </c>
      <c r="M62" s="60">
        <v>22.80</v>
      </c>
      <c r="N62" s="60">
        <v>841.10</v>
      </c>
      <c r="O62" s="60">
        <v>0</v>
      </c>
      <c r="P62" s="60">
        <v>1.95</v>
      </c>
      <c r="Q62" s="60">
        <v>58.81</v>
      </c>
      <c r="R62" s="198"/>
      <c r="S62" s="198"/>
      <c r="T62" s="198"/>
      <c r="U62" s="198"/>
    </row>
    <row r="63" spans="1:21" s="12" customFormat="1" ht="15">
      <c r="A63" s="201" t="s">
        <v>779</v>
      </c>
      <c r="B63" s="60">
        <v>0.27</v>
      </c>
      <c r="C63" s="60">
        <v>32.53</v>
      </c>
      <c r="D63" s="60">
        <v>32.799999999999997</v>
      </c>
      <c r="E63" s="60">
        <v>6.86</v>
      </c>
      <c r="F63" s="60">
        <v>6.09</v>
      </c>
      <c r="G63" s="60">
        <v>122.80</v>
      </c>
      <c r="H63" s="60">
        <v>47.56</v>
      </c>
      <c r="I63" s="60">
        <v>0.01</v>
      </c>
      <c r="J63" s="60">
        <v>2.36</v>
      </c>
      <c r="K63" s="60">
        <v>99.38</v>
      </c>
      <c r="L63" s="60">
        <v>47.38</v>
      </c>
      <c r="M63" s="60">
        <v>23.25</v>
      </c>
      <c r="N63" s="60">
        <v>867.80</v>
      </c>
      <c r="O63" s="60">
        <v>0</v>
      </c>
      <c r="P63" s="60">
        <v>1.96</v>
      </c>
      <c r="Q63" s="60">
        <v>62.74</v>
      </c>
      <c r="R63" s="198"/>
      <c r="S63" s="198"/>
      <c r="T63" s="198"/>
      <c r="U63" s="198"/>
    </row>
    <row r="64" spans="1:21" s="12" customFormat="1" ht="15">
      <c r="A64" s="201" t="s">
        <v>780</v>
      </c>
      <c r="B64" s="60">
        <v>0.28999999999999998</v>
      </c>
      <c r="C64" s="60">
        <v>31.02</v>
      </c>
      <c r="D64" s="60">
        <v>31.31</v>
      </c>
      <c r="E64" s="60">
        <v>6.75</v>
      </c>
      <c r="F64" s="60">
        <v>6.53</v>
      </c>
      <c r="G64" s="60">
        <v>122.80</v>
      </c>
      <c r="H64" s="60">
        <v>47.56</v>
      </c>
      <c r="I64" s="9" t="s">
        <v>36</v>
      </c>
      <c r="J64" s="60">
        <v>1.93</v>
      </c>
      <c r="K64" s="60">
        <v>117.52</v>
      </c>
      <c r="L64" s="60">
        <v>47.24</v>
      </c>
      <c r="M64" s="60">
        <v>22.46</v>
      </c>
      <c r="N64" s="60">
        <v>906.20</v>
      </c>
      <c r="O64" s="60">
        <v>0</v>
      </c>
      <c r="P64" s="60">
        <v>1.95</v>
      </c>
      <c r="Q64" s="60">
        <v>67.34</v>
      </c>
      <c r="R64" s="198"/>
      <c r="S64" s="198"/>
      <c r="T64" s="198"/>
      <c r="U64" s="198"/>
    </row>
    <row r="65" spans="1:21" s="12" customFormat="1" ht="15">
      <c r="A65" s="201" t="s">
        <v>781</v>
      </c>
      <c r="B65" s="60">
        <v>0.27</v>
      </c>
      <c r="C65" s="60">
        <v>30.27</v>
      </c>
      <c r="D65" s="60">
        <v>30.54</v>
      </c>
      <c r="E65" s="60">
        <v>6.99</v>
      </c>
      <c r="F65" s="60">
        <v>7.10</v>
      </c>
      <c r="G65" s="60">
        <v>123.66</v>
      </c>
      <c r="H65" s="60">
        <v>48.36</v>
      </c>
      <c r="I65" s="60">
        <v>0.070000000000000007</v>
      </c>
      <c r="J65" s="60">
        <v>2.46</v>
      </c>
      <c r="K65" s="60">
        <v>83.34</v>
      </c>
      <c r="L65" s="60">
        <v>44.92</v>
      </c>
      <c r="M65" s="60">
        <v>22.83</v>
      </c>
      <c r="N65" s="60">
        <v>780.30</v>
      </c>
      <c r="O65" s="60">
        <v>0</v>
      </c>
      <c r="P65" s="60">
        <v>1.94</v>
      </c>
      <c r="Q65" s="60">
        <v>69.709999999999994</v>
      </c>
      <c r="R65" s="198"/>
      <c r="S65" s="198"/>
      <c r="T65" s="198"/>
      <c r="U65" s="198"/>
    </row>
    <row r="66" spans="1:21" s="12" customFormat="1" ht="15">
      <c r="A66" s="201" t="s">
        <v>782</v>
      </c>
      <c r="B66" s="60">
        <v>0.35</v>
      </c>
      <c r="C66" s="60">
        <v>30.45</v>
      </c>
      <c r="D66" s="60">
        <v>30.81</v>
      </c>
      <c r="E66" s="60">
        <v>7.31</v>
      </c>
      <c r="F66" s="60">
        <v>7.44</v>
      </c>
      <c r="G66" s="60">
        <v>125.49</v>
      </c>
      <c r="H66" s="60">
        <v>50.82</v>
      </c>
      <c r="I66" s="5" t="s">
        <v>47</v>
      </c>
      <c r="J66" s="60">
        <v>1.74</v>
      </c>
      <c r="K66" s="60">
        <v>37.369999999999997</v>
      </c>
      <c r="L66" s="60">
        <v>50.32</v>
      </c>
      <c r="M66" s="60">
        <v>22.01</v>
      </c>
      <c r="N66" s="60">
        <v>791.60</v>
      </c>
      <c r="O66" s="60">
        <v>0</v>
      </c>
      <c r="P66" s="60">
        <v>1.94</v>
      </c>
      <c r="Q66" s="60">
        <v>67.52</v>
      </c>
      <c r="R66" s="198"/>
      <c r="S66" s="198"/>
      <c r="T66" s="198"/>
      <c r="U66" s="198"/>
    </row>
    <row r="67" spans="1:21" s="12" customFormat="1" ht="15">
      <c r="A67" s="201" t="s">
        <v>783</v>
      </c>
      <c r="B67" s="60">
        <v>0.44</v>
      </c>
      <c r="C67" s="60">
        <v>32.450000000000003</v>
      </c>
      <c r="D67" s="60">
        <v>32.90</v>
      </c>
      <c r="E67" s="60">
        <v>7.17</v>
      </c>
      <c r="F67" s="60">
        <v>7.31</v>
      </c>
      <c r="G67" s="60">
        <v>125.49</v>
      </c>
      <c r="H67" s="60">
        <v>50.82</v>
      </c>
      <c r="I67" s="5" t="s">
        <v>47</v>
      </c>
      <c r="J67" s="60">
        <v>0.82</v>
      </c>
      <c r="K67" s="60">
        <v>146.49</v>
      </c>
      <c r="L67" s="60">
        <v>49.89</v>
      </c>
      <c r="M67" s="60">
        <v>20.94</v>
      </c>
      <c r="N67" s="60">
        <v>757.40</v>
      </c>
      <c r="O67" s="60">
        <v>0</v>
      </c>
      <c r="P67" s="60">
        <v>1.94</v>
      </c>
      <c r="Q67" s="60">
        <v>68.45</v>
      </c>
      <c r="R67" s="198"/>
      <c r="S67" s="198"/>
      <c r="T67" s="198"/>
      <c r="U67" s="198"/>
    </row>
    <row r="68" spans="1:21" s="12" customFormat="1" ht="15">
      <c r="A68" s="201" t="s">
        <v>784</v>
      </c>
      <c r="B68" s="60">
        <v>0.38</v>
      </c>
      <c r="C68" s="60">
        <v>32.40</v>
      </c>
      <c r="D68" s="60">
        <v>32.78</v>
      </c>
      <c r="E68" s="60">
        <v>2.93</v>
      </c>
      <c r="F68" s="60">
        <v>7.80</v>
      </c>
      <c r="G68" s="60">
        <v>125.49</v>
      </c>
      <c r="H68" s="60">
        <v>50.82</v>
      </c>
      <c r="I68" s="5" t="s">
        <v>47</v>
      </c>
      <c r="J68" s="60">
        <v>1.54</v>
      </c>
      <c r="K68" s="60">
        <v>183.22</v>
      </c>
      <c r="L68" s="60">
        <v>49.41</v>
      </c>
      <c r="M68" s="60">
        <v>20.52</v>
      </c>
      <c r="N68" s="60">
        <v>592.40</v>
      </c>
      <c r="O68" s="60">
        <v>0</v>
      </c>
      <c r="P68" s="60">
        <v>1.90</v>
      </c>
      <c r="Q68" s="60">
        <v>66.930000000000007</v>
      </c>
      <c r="R68" s="198"/>
      <c r="S68" s="198"/>
      <c r="T68" s="198"/>
      <c r="U68" s="198"/>
    </row>
    <row r="69" spans="1:21" s="12" customFormat="1" ht="15">
      <c r="A69" s="201" t="s">
        <v>785</v>
      </c>
      <c r="B69" s="60">
        <v>0.22</v>
      </c>
      <c r="C69" s="60">
        <v>31.18</v>
      </c>
      <c r="D69" s="60">
        <v>31.40</v>
      </c>
      <c r="E69" s="60">
        <v>5.42</v>
      </c>
      <c r="F69" s="60">
        <v>8.39</v>
      </c>
      <c r="G69" s="60">
        <v>123.60</v>
      </c>
      <c r="H69" s="60">
        <v>49.63</v>
      </c>
      <c r="I69" s="5" t="s">
        <v>47</v>
      </c>
      <c r="J69" s="60">
        <v>1.77</v>
      </c>
      <c r="K69" s="60">
        <v>168.05</v>
      </c>
      <c r="L69" s="60">
        <v>44.26</v>
      </c>
      <c r="M69" s="60">
        <v>20.58</v>
      </c>
      <c r="N69" s="60">
        <v>547.10</v>
      </c>
      <c r="O69" s="60">
        <v>0</v>
      </c>
      <c r="P69" s="60">
        <v>1.85</v>
      </c>
      <c r="Q69" s="60">
        <v>65.099999999999994</v>
      </c>
      <c r="R69" s="198"/>
      <c r="S69" s="198"/>
      <c r="T69" s="198"/>
      <c r="U69" s="198"/>
    </row>
    <row r="70" spans="1:21" s="12" customFormat="1" ht="15">
      <c r="A70" s="201" t="s">
        <v>786</v>
      </c>
      <c r="B70" s="60">
        <v>0.15</v>
      </c>
      <c r="C70" s="60">
        <v>29.68</v>
      </c>
      <c r="D70" s="60">
        <v>29.83</v>
      </c>
      <c r="E70" s="60">
        <v>5.96</v>
      </c>
      <c r="F70" s="60">
        <v>8.61</v>
      </c>
      <c r="G70" s="60">
        <v>119.56</v>
      </c>
      <c r="H70" s="60">
        <v>45.97</v>
      </c>
      <c r="I70" s="5" t="s">
        <v>47</v>
      </c>
      <c r="J70" s="60">
        <v>1.51</v>
      </c>
      <c r="K70" s="60">
        <v>168.97</v>
      </c>
      <c r="L70" s="60">
        <v>43.86</v>
      </c>
      <c r="M70" s="60">
        <v>20.28</v>
      </c>
      <c r="N70" s="60">
        <v>539.70000000000005</v>
      </c>
      <c r="O70" s="60">
        <v>0</v>
      </c>
      <c r="P70" s="60">
        <v>1.81</v>
      </c>
      <c r="Q70" s="60">
        <v>63.09</v>
      </c>
      <c r="R70" s="198"/>
      <c r="S70" s="198"/>
      <c r="T70" s="198"/>
      <c r="U70" s="198"/>
    </row>
    <row r="71" spans="1:21" s="12" customFormat="1" ht="15">
      <c r="A71" s="201" t="s">
        <v>787</v>
      </c>
      <c r="B71" s="60">
        <v>0.14000000000000001</v>
      </c>
      <c r="C71" s="60">
        <v>28.24</v>
      </c>
      <c r="D71" s="60">
        <v>28.38</v>
      </c>
      <c r="E71" s="60">
        <v>6.12</v>
      </c>
      <c r="F71" s="60">
        <v>8.59</v>
      </c>
      <c r="G71" s="60">
        <v>119.56</v>
      </c>
      <c r="H71" s="60">
        <v>45.97</v>
      </c>
      <c r="I71" s="5" t="s">
        <v>47</v>
      </c>
      <c r="J71" s="60">
        <v>0.80</v>
      </c>
      <c r="K71" s="60">
        <v>230.46</v>
      </c>
      <c r="L71" s="60">
        <v>44.71</v>
      </c>
      <c r="M71" s="60">
        <v>19.23</v>
      </c>
      <c r="N71" s="60">
        <v>516.20000000000005</v>
      </c>
      <c r="O71" s="60">
        <v>0</v>
      </c>
      <c r="P71" s="60">
        <v>1.79</v>
      </c>
      <c r="Q71" s="60">
        <v>62.10</v>
      </c>
      <c r="R71" s="198"/>
      <c r="S71" s="198"/>
      <c r="T71" s="198"/>
      <c r="U71" s="198"/>
    </row>
    <row r="72" spans="1:21" s="12" customFormat="1" ht="15">
      <c r="A72" s="201" t="s">
        <v>788</v>
      </c>
      <c r="B72" s="60">
        <v>0.31</v>
      </c>
      <c r="C72" s="60">
        <v>28.72</v>
      </c>
      <c r="D72" s="60">
        <v>29.03</v>
      </c>
      <c r="E72" s="60">
        <v>5.92</v>
      </c>
      <c r="F72" s="60">
        <v>8.4499999999999993</v>
      </c>
      <c r="G72" s="60">
        <v>119.56</v>
      </c>
      <c r="H72" s="60">
        <v>45.97</v>
      </c>
      <c r="I72" s="60">
        <v>0.08</v>
      </c>
      <c r="J72" s="60">
        <v>2.04</v>
      </c>
      <c r="K72" s="60">
        <v>329.10</v>
      </c>
      <c r="L72" s="60">
        <v>44.86</v>
      </c>
      <c r="M72" s="60">
        <v>19.71</v>
      </c>
      <c r="N72" s="60">
        <v>467</v>
      </c>
      <c r="O72" s="60">
        <v>0</v>
      </c>
      <c r="P72" s="60">
        <v>1.78</v>
      </c>
      <c r="Q72" s="60">
        <v>61.63</v>
      </c>
      <c r="R72" s="198"/>
      <c r="S72" s="198"/>
      <c r="T72" s="198"/>
      <c r="U72" s="198"/>
    </row>
    <row r="73" spans="1:21" s="12" customFormat="1" ht="15">
      <c r="A73" s="201" t="s">
        <v>789</v>
      </c>
      <c r="B73" s="60">
        <v>0.5</v>
      </c>
      <c r="C73" s="60">
        <v>31.78</v>
      </c>
      <c r="D73" s="60">
        <v>32.28</v>
      </c>
      <c r="E73" s="60">
        <v>5.93</v>
      </c>
      <c r="F73" s="60">
        <v>7.73</v>
      </c>
      <c r="G73" s="60">
        <v>118.92</v>
      </c>
      <c r="H73" s="60">
        <v>46.48</v>
      </c>
      <c r="I73" s="9" t="s">
        <v>36</v>
      </c>
      <c r="J73" s="60">
        <v>1.99</v>
      </c>
      <c r="K73" s="60">
        <v>351.23</v>
      </c>
      <c r="L73" s="60">
        <v>45.24</v>
      </c>
      <c r="M73" s="60">
        <v>18.75</v>
      </c>
      <c r="N73" s="60">
        <v>385.70</v>
      </c>
      <c r="O73" s="60">
        <v>0</v>
      </c>
      <c r="P73" s="60">
        <v>1.81</v>
      </c>
      <c r="Q73" s="60">
        <v>61.64</v>
      </c>
      <c r="R73" s="198"/>
      <c r="S73" s="198"/>
      <c r="T73" s="198"/>
      <c r="U73" s="198"/>
    </row>
    <row r="74" spans="1:21" s="12" customFormat="1" ht="15">
      <c r="A74" s="201" t="s">
        <v>790</v>
      </c>
      <c r="B74" s="60">
        <v>0.53</v>
      </c>
      <c r="C74" s="60">
        <v>32.479999999999997</v>
      </c>
      <c r="D74" s="60">
        <v>33</v>
      </c>
      <c r="E74" s="60">
        <v>5.68</v>
      </c>
      <c r="F74" s="60">
        <v>7.25</v>
      </c>
      <c r="G74" s="60">
        <v>117.57</v>
      </c>
      <c r="H74" s="60">
        <v>48.04</v>
      </c>
      <c r="I74" s="9" t="s">
        <v>36</v>
      </c>
      <c r="J74" s="60">
        <v>1.22</v>
      </c>
      <c r="K74" s="60">
        <v>176.39</v>
      </c>
      <c r="L74" s="60">
        <v>44.12</v>
      </c>
      <c r="M74" s="60">
        <v>18.61</v>
      </c>
      <c r="N74" s="60">
        <v>356</v>
      </c>
      <c r="O74" s="60">
        <v>0</v>
      </c>
      <c r="P74" s="60">
        <v>1.82</v>
      </c>
      <c r="Q74" s="60">
        <v>66.30</v>
      </c>
      <c r="R74" s="198"/>
      <c r="S74" s="198"/>
      <c r="T74" s="198"/>
      <c r="U74" s="198"/>
    </row>
    <row r="75" spans="1:21" s="12" customFormat="1" ht="15">
      <c r="A75" s="201" t="s">
        <v>791</v>
      </c>
      <c r="B75" s="60">
        <v>0.41</v>
      </c>
      <c r="C75" s="60">
        <v>28.94</v>
      </c>
      <c r="D75" s="60">
        <v>29.35</v>
      </c>
      <c r="E75" s="60">
        <v>5.21</v>
      </c>
      <c r="F75" s="60">
        <v>10.71</v>
      </c>
      <c r="G75" s="60">
        <v>117.57</v>
      </c>
      <c r="H75" s="60">
        <v>48.04</v>
      </c>
      <c r="I75" s="60">
        <v>0.04</v>
      </c>
      <c r="J75" s="60">
        <v>0.60</v>
      </c>
      <c r="K75" s="60">
        <v>227.57</v>
      </c>
      <c r="L75" s="60">
        <v>43.88</v>
      </c>
      <c r="M75" s="60">
        <v>19.86</v>
      </c>
      <c r="N75" s="60">
        <v>221</v>
      </c>
      <c r="O75" s="60">
        <v>0</v>
      </c>
      <c r="P75" s="60">
        <v>1.78</v>
      </c>
      <c r="Q75" s="60">
        <v>58.31</v>
      </c>
      <c r="R75" s="198"/>
      <c r="S75" s="198"/>
      <c r="T75" s="198"/>
      <c r="U75" s="198"/>
    </row>
    <row r="76" spans="1:21" s="12" customFormat="1" ht="15">
      <c r="A76" s="201" t="s">
        <v>792</v>
      </c>
      <c r="B76" s="60">
        <v>0.17</v>
      </c>
      <c r="C76" s="60">
        <v>26.71</v>
      </c>
      <c r="D76" s="60">
        <v>26.88</v>
      </c>
      <c r="E76" s="60">
        <v>4.49</v>
      </c>
      <c r="F76" s="60">
        <v>10.95</v>
      </c>
      <c r="G76" s="60">
        <v>117.57</v>
      </c>
      <c r="H76" s="60">
        <v>48.04</v>
      </c>
      <c r="I76" s="60">
        <v>0.06</v>
      </c>
      <c r="J76" s="60">
        <v>2.2000000000000002</v>
      </c>
      <c r="K76" s="60">
        <v>189.16</v>
      </c>
      <c r="L76" s="60">
        <v>43.28</v>
      </c>
      <c r="M76" s="60">
        <v>21.86</v>
      </c>
      <c r="N76" s="60">
        <v>199</v>
      </c>
      <c r="O76" s="60">
        <v>0</v>
      </c>
      <c r="P76" s="60">
        <v>1.76</v>
      </c>
      <c r="Q76" s="60">
        <v>56.31</v>
      </c>
      <c r="R76" s="198"/>
      <c r="S76" s="198"/>
      <c r="T76" s="198"/>
      <c r="U76" s="198"/>
    </row>
    <row r="77" spans="1:21" s="12" customFormat="1" ht="15">
      <c r="A77" s="201" t="s">
        <v>793</v>
      </c>
      <c r="B77" s="60">
        <v>0.21</v>
      </c>
      <c r="C77" s="60">
        <v>24.57</v>
      </c>
      <c r="D77" s="60">
        <v>24.78</v>
      </c>
      <c r="E77" s="60">
        <v>4.5</v>
      </c>
      <c r="F77" s="60">
        <v>7.06</v>
      </c>
      <c r="G77" s="60">
        <v>116.66</v>
      </c>
      <c r="H77" s="60">
        <v>46.49</v>
      </c>
      <c r="I77" s="5" t="s">
        <v>47</v>
      </c>
      <c r="J77" s="60">
        <v>3.31</v>
      </c>
      <c r="K77" s="60">
        <v>185.69</v>
      </c>
      <c r="L77" s="60">
        <v>42.31</v>
      </c>
      <c r="M77" s="60">
        <v>25.40</v>
      </c>
      <c r="N77" s="60">
        <v>131.5</v>
      </c>
      <c r="O77" s="60">
        <v>0</v>
      </c>
      <c r="P77" s="60">
        <v>1.72</v>
      </c>
      <c r="Q77" s="60">
        <v>77.70</v>
      </c>
      <c r="R77" s="198"/>
      <c r="S77" s="198"/>
      <c r="T77" s="198"/>
      <c r="U77" s="198"/>
    </row>
    <row r="78" spans="1:21" s="12" customFormat="1" ht="15">
      <c r="A78" s="201" t="s">
        <v>794</v>
      </c>
      <c r="B78" s="60">
        <v>0.24</v>
      </c>
      <c r="C78" s="60">
        <v>22.79</v>
      </c>
      <c r="D78" s="60">
        <v>23.04</v>
      </c>
      <c r="E78" s="60">
        <v>4.1900000000000004</v>
      </c>
      <c r="F78" s="60">
        <v>6.34</v>
      </c>
      <c r="G78" s="60">
        <v>114.72</v>
      </c>
      <c r="H78" s="60">
        <v>41.71</v>
      </c>
      <c r="I78" s="5" t="s">
        <v>47</v>
      </c>
      <c r="J78" s="60">
        <v>3.06</v>
      </c>
      <c r="K78" s="60">
        <v>187.35</v>
      </c>
      <c r="L78" s="60">
        <v>41.30</v>
      </c>
      <c r="M78" s="60">
        <v>27.64</v>
      </c>
      <c r="N78" s="60">
        <v>97.10</v>
      </c>
      <c r="O78" s="60">
        <v>0</v>
      </c>
      <c r="P78" s="60">
        <v>1.70</v>
      </c>
      <c r="Q78" s="60">
        <v>91.80</v>
      </c>
      <c r="R78" s="198"/>
      <c r="S78" s="198"/>
      <c r="T78" s="198"/>
      <c r="U78" s="198"/>
    </row>
    <row r="79" spans="1:21" s="12" customFormat="1" ht="15">
      <c r="A79" s="201" t="s">
        <v>795</v>
      </c>
      <c r="B79" s="60">
        <v>0.18</v>
      </c>
      <c r="C79" s="60">
        <v>24.41</v>
      </c>
      <c r="D79" s="60">
        <v>24.59</v>
      </c>
      <c r="E79" s="60">
        <v>4.21</v>
      </c>
      <c r="F79" s="60">
        <v>14.67</v>
      </c>
      <c r="G79" s="60">
        <v>114.72</v>
      </c>
      <c r="H79" s="60">
        <v>41.71</v>
      </c>
      <c r="I79" s="5" t="s">
        <v>47</v>
      </c>
      <c r="J79" s="60">
        <v>2.71</v>
      </c>
      <c r="K79" s="60">
        <v>197.48</v>
      </c>
      <c r="L79" s="60">
        <v>40.880000000000003</v>
      </c>
      <c r="M79" s="60">
        <v>28.76</v>
      </c>
      <c r="N79" s="60">
        <v>91.80</v>
      </c>
      <c r="O79" s="60">
        <v>0</v>
      </c>
      <c r="P79" s="60">
        <v>1.65</v>
      </c>
      <c r="Q79" s="60">
        <v>119.56</v>
      </c>
      <c r="R79" s="198"/>
      <c r="S79" s="198"/>
      <c r="T79" s="198"/>
      <c r="U79" s="198"/>
    </row>
    <row r="80" spans="1:21" s="12" customFormat="1" ht="15">
      <c r="A80" s="201" t="s">
        <v>796</v>
      </c>
      <c r="B80" s="60">
        <v>0.05</v>
      </c>
      <c r="C80" s="60">
        <v>23.95</v>
      </c>
      <c r="D80" s="60">
        <v>24</v>
      </c>
      <c r="E80" s="60">
        <v>3.26</v>
      </c>
      <c r="F80" s="60">
        <v>15.33</v>
      </c>
      <c r="G80" s="60">
        <v>114.72</v>
      </c>
      <c r="H80" s="60">
        <v>41.71</v>
      </c>
      <c r="I80" s="5" t="s">
        <v>47</v>
      </c>
      <c r="J80" s="60">
        <v>2.36</v>
      </c>
      <c r="K80" s="60">
        <v>203.11</v>
      </c>
      <c r="L80" s="60">
        <v>40.630000000000003</v>
      </c>
      <c r="M80" s="60">
        <v>28.65</v>
      </c>
      <c r="N80" s="60">
        <v>79.400000000000006</v>
      </c>
      <c r="O80" s="60">
        <v>0</v>
      </c>
      <c r="P80" s="60">
        <v>1.62</v>
      </c>
      <c r="Q80" s="60">
        <v>100.74</v>
      </c>
      <c r="R80" s="198"/>
      <c r="S80" s="198"/>
      <c r="T80" s="198"/>
      <c r="U80" s="198"/>
    </row>
    <row r="81" spans="1:21" s="12" customFormat="1" ht="15">
      <c r="A81" s="201" t="s">
        <v>797</v>
      </c>
      <c r="B81" s="60">
        <v>0.03</v>
      </c>
      <c r="C81" s="60">
        <v>25.16</v>
      </c>
      <c r="D81" s="60">
        <v>25.18</v>
      </c>
      <c r="E81" s="60">
        <v>2.87</v>
      </c>
      <c r="F81" s="60">
        <v>12.78</v>
      </c>
      <c r="G81" s="60">
        <v>116.52</v>
      </c>
      <c r="H81" s="60">
        <v>42.61</v>
      </c>
      <c r="I81" s="60">
        <v>0.09</v>
      </c>
      <c r="J81" s="60">
        <v>1.91</v>
      </c>
      <c r="K81" s="60">
        <v>222.15</v>
      </c>
      <c r="L81" s="60">
        <v>40.11</v>
      </c>
      <c r="M81" s="60">
        <v>30.41</v>
      </c>
      <c r="N81" s="60">
        <v>54.80</v>
      </c>
      <c r="O81" s="60">
        <v>0</v>
      </c>
      <c r="P81" s="60">
        <v>1.62</v>
      </c>
      <c r="Q81" s="60">
        <v>111.40</v>
      </c>
      <c r="R81" s="198"/>
      <c r="S81" s="198"/>
      <c r="T81" s="198"/>
      <c r="U81" s="198"/>
    </row>
    <row r="82" spans="1:21" s="12" customFormat="1" ht="15">
      <c r="A82" s="201" t="s">
        <v>798</v>
      </c>
      <c r="B82" s="60">
        <v>0.09</v>
      </c>
      <c r="C82" s="60">
        <v>26.73</v>
      </c>
      <c r="D82" s="60">
        <v>26.82</v>
      </c>
      <c r="E82" s="60">
        <v>3.28</v>
      </c>
      <c r="F82" s="60">
        <v>7.98</v>
      </c>
      <c r="G82" s="60">
        <v>120.39</v>
      </c>
      <c r="H82" s="60">
        <v>45.24</v>
      </c>
      <c r="I82" s="60">
        <v>1.0900000000000001</v>
      </c>
      <c r="J82" s="60">
        <v>1.71</v>
      </c>
      <c r="K82" s="60">
        <v>213.59</v>
      </c>
      <c r="L82" s="60">
        <v>39.549999999999997</v>
      </c>
      <c r="M82" s="60">
        <v>31.57</v>
      </c>
      <c r="N82" s="60">
        <v>35</v>
      </c>
      <c r="O82" s="60">
        <v>0</v>
      </c>
      <c r="P82" s="60">
        <v>1.62</v>
      </c>
      <c r="Q82" s="60">
        <v>112.96</v>
      </c>
      <c r="R82" s="198"/>
      <c r="S82" s="198"/>
      <c r="T82" s="198"/>
      <c r="U82" s="198"/>
    </row>
    <row r="83" spans="1:21" s="12" customFormat="1" ht="15">
      <c r="A83" s="201" t="s">
        <v>799</v>
      </c>
      <c r="B83" s="60">
        <v>0.19</v>
      </c>
      <c r="C83" s="60">
        <v>26.55</v>
      </c>
      <c r="D83" s="60">
        <v>26.75</v>
      </c>
      <c r="E83" s="60">
        <v>3.21</v>
      </c>
      <c r="F83" s="60">
        <v>5.1100000000000003</v>
      </c>
      <c r="G83" s="60">
        <v>120.39</v>
      </c>
      <c r="H83" s="60">
        <v>45.24</v>
      </c>
      <c r="I83" s="60">
        <v>3.75</v>
      </c>
      <c r="J83" s="60">
        <v>1.97</v>
      </c>
      <c r="K83" s="60">
        <v>208.31</v>
      </c>
      <c r="L83" s="60">
        <v>39.49</v>
      </c>
      <c r="M83" s="60">
        <v>31.30</v>
      </c>
      <c r="N83" s="60">
        <v>19.80</v>
      </c>
      <c r="O83" s="60">
        <v>0</v>
      </c>
      <c r="P83" s="60">
        <v>1.63</v>
      </c>
      <c r="Q83" s="60">
        <v>90.42</v>
      </c>
      <c r="R83" s="198"/>
      <c r="S83" s="198"/>
      <c r="T83" s="198"/>
      <c r="U83" s="198"/>
    </row>
    <row r="84" spans="1:21" s="12" customFormat="1" ht="15">
      <c r="A84" s="201" t="s">
        <v>800</v>
      </c>
      <c r="B84" s="60">
        <v>0.34</v>
      </c>
      <c r="C84" s="60">
        <v>26.60</v>
      </c>
      <c r="D84" s="60">
        <v>26.94</v>
      </c>
      <c r="E84" s="60">
        <v>2.23</v>
      </c>
      <c r="F84" s="60">
        <v>4.33</v>
      </c>
      <c r="G84" s="60">
        <v>120.39</v>
      </c>
      <c r="H84" s="60">
        <v>45.24</v>
      </c>
      <c r="I84" s="60">
        <v>4</v>
      </c>
      <c r="J84" s="60">
        <v>1.93</v>
      </c>
      <c r="K84" s="60">
        <v>197.97</v>
      </c>
      <c r="L84" s="60">
        <v>39.08</v>
      </c>
      <c r="M84" s="60">
        <v>32.979999999999997</v>
      </c>
      <c r="N84" s="60">
        <v>10.90</v>
      </c>
      <c r="O84" s="60">
        <v>0</v>
      </c>
      <c r="P84" s="60">
        <v>1.64</v>
      </c>
      <c r="Q84" s="60">
        <v>83.5</v>
      </c>
      <c r="R84" s="198"/>
      <c r="S84" s="198"/>
      <c r="T84" s="198"/>
      <c r="U84" s="198"/>
    </row>
    <row r="85" spans="1:21" s="12" customFormat="1" ht="15">
      <c r="A85" s="201" t="s">
        <v>801</v>
      </c>
      <c r="B85" s="60">
        <v>0.35</v>
      </c>
      <c r="C85" s="60">
        <v>26.57</v>
      </c>
      <c r="D85" s="60">
        <v>26.92</v>
      </c>
      <c r="E85" s="60">
        <v>4.58</v>
      </c>
      <c r="F85" s="60">
        <v>4.04</v>
      </c>
      <c r="G85" s="60">
        <v>120.37</v>
      </c>
      <c r="H85" s="60">
        <v>44.56</v>
      </c>
      <c r="I85" s="60">
        <v>4.09</v>
      </c>
      <c r="J85" s="60">
        <v>1.39</v>
      </c>
      <c r="K85" s="60">
        <v>204.36</v>
      </c>
      <c r="L85" s="60">
        <v>39.15</v>
      </c>
      <c r="M85" s="60">
        <v>36.08</v>
      </c>
      <c r="N85" s="60">
        <v>10.40</v>
      </c>
      <c r="O85" s="60">
        <v>0</v>
      </c>
      <c r="P85" s="60">
        <v>1.66</v>
      </c>
      <c r="Q85" s="60">
        <v>81.16</v>
      </c>
      <c r="R85" s="198"/>
      <c r="S85" s="198"/>
      <c r="T85" s="198"/>
      <c r="U85" s="198"/>
    </row>
    <row r="86" spans="1:21" s="12" customFormat="1" ht="15">
      <c r="A86" s="201" t="s">
        <v>802</v>
      </c>
      <c r="B86" s="60">
        <v>0.39</v>
      </c>
      <c r="C86" s="60">
        <v>27.68</v>
      </c>
      <c r="D86" s="60">
        <v>28.06</v>
      </c>
      <c r="E86" s="60">
        <v>4.67</v>
      </c>
      <c r="F86" s="60">
        <v>3.47</v>
      </c>
      <c r="G86" s="60">
        <v>120.32</v>
      </c>
      <c r="H86" s="60">
        <v>42.45</v>
      </c>
      <c r="I86" s="60">
        <v>4.18</v>
      </c>
      <c r="J86" s="60">
        <v>1.85</v>
      </c>
      <c r="K86" s="60">
        <v>195.75</v>
      </c>
      <c r="L86" s="60">
        <v>38.409999999999997</v>
      </c>
      <c r="M86" s="60">
        <v>34.5</v>
      </c>
      <c r="N86" s="60">
        <v>11.70</v>
      </c>
      <c r="O86" s="60">
        <v>0</v>
      </c>
      <c r="P86" s="60">
        <v>1.67</v>
      </c>
      <c r="Q86" s="60">
        <v>82.5</v>
      </c>
      <c r="R86" s="198"/>
      <c r="S86" s="198"/>
      <c r="T86" s="198"/>
      <c r="U86" s="198"/>
    </row>
    <row r="87" spans="1:21" s="12" customFormat="1" ht="15">
      <c r="A87" s="201" t="s">
        <v>803</v>
      </c>
      <c r="B87" s="60">
        <v>0.45</v>
      </c>
      <c r="C87" s="60">
        <v>28.26</v>
      </c>
      <c r="D87" s="60">
        <v>28.70</v>
      </c>
      <c r="E87" s="60">
        <v>5.08</v>
      </c>
      <c r="F87" s="60">
        <v>3.27</v>
      </c>
      <c r="G87" s="60">
        <v>120.32</v>
      </c>
      <c r="H87" s="60">
        <v>42.45</v>
      </c>
      <c r="I87" s="60">
        <v>4.2699999999999996</v>
      </c>
      <c r="J87" s="60">
        <v>2.35</v>
      </c>
      <c r="K87" s="60">
        <v>185.72</v>
      </c>
      <c r="L87" s="60">
        <v>38.54</v>
      </c>
      <c r="M87" s="60">
        <v>34.68</v>
      </c>
      <c r="N87" s="60">
        <v>11.80</v>
      </c>
      <c r="O87" s="60">
        <v>0</v>
      </c>
      <c r="P87" s="60">
        <v>1.69</v>
      </c>
      <c r="Q87" s="60">
        <v>81.91</v>
      </c>
      <c r="R87" s="198"/>
      <c r="S87" s="198"/>
      <c r="T87" s="198"/>
      <c r="U87" s="198"/>
    </row>
    <row r="88" spans="1:21" s="12" customFormat="1" ht="15">
      <c r="A88" s="201" t="s">
        <v>804</v>
      </c>
      <c r="B88" s="60">
        <v>0.46</v>
      </c>
      <c r="C88" s="60">
        <v>28.84</v>
      </c>
      <c r="D88" s="60">
        <v>29.30</v>
      </c>
      <c r="E88" s="60">
        <v>5.36</v>
      </c>
      <c r="F88" s="60">
        <v>3.03</v>
      </c>
      <c r="G88" s="60">
        <v>120.32</v>
      </c>
      <c r="H88" s="60">
        <v>42.45</v>
      </c>
      <c r="I88" s="60">
        <v>4.46</v>
      </c>
      <c r="J88" s="60">
        <v>2.4300000000000002</v>
      </c>
      <c r="K88" s="60">
        <v>177.68</v>
      </c>
      <c r="L88" s="60">
        <v>41.33</v>
      </c>
      <c r="M88" s="60">
        <v>35.409999999999997</v>
      </c>
      <c r="N88" s="60">
        <v>12.20</v>
      </c>
      <c r="O88" s="60">
        <v>0</v>
      </c>
      <c r="P88" s="60">
        <v>1.71</v>
      </c>
      <c r="Q88" s="60">
        <v>81.16</v>
      </c>
      <c r="R88" s="198"/>
      <c r="S88" s="198"/>
      <c r="T88" s="198"/>
      <c r="U88" s="198"/>
    </row>
    <row r="89" spans="1:21" s="12" customFormat="1" ht="15">
      <c r="A89" s="201" t="s">
        <v>805</v>
      </c>
      <c r="B89" s="60">
        <v>0.54</v>
      </c>
      <c r="C89" s="60">
        <v>30.5</v>
      </c>
      <c r="D89" s="60">
        <v>31.04</v>
      </c>
      <c r="E89" s="60">
        <v>5.72</v>
      </c>
      <c r="F89" s="60">
        <v>2.95</v>
      </c>
      <c r="G89" s="60">
        <v>118.34</v>
      </c>
      <c r="H89" s="60">
        <v>41.99</v>
      </c>
      <c r="I89" s="60">
        <v>4.59</v>
      </c>
      <c r="J89" s="60">
        <v>1.97</v>
      </c>
      <c r="K89" s="60">
        <v>203.52</v>
      </c>
      <c r="L89" s="60">
        <v>41</v>
      </c>
      <c r="M89" s="60">
        <v>35.5</v>
      </c>
      <c r="N89" s="60">
        <v>13</v>
      </c>
      <c r="O89" s="60">
        <v>0</v>
      </c>
      <c r="P89" s="60">
        <v>1.74</v>
      </c>
      <c r="Q89" s="60">
        <v>79.48</v>
      </c>
      <c r="R89" s="198"/>
      <c r="S89" s="198"/>
      <c r="T89" s="198"/>
      <c r="U89" s="198"/>
    </row>
    <row r="90" spans="1:21" s="12" customFormat="1" ht="15">
      <c r="A90" s="201" t="s">
        <v>806</v>
      </c>
      <c r="B90" s="60">
        <v>0.59</v>
      </c>
      <c r="C90" s="60">
        <v>31.11</v>
      </c>
      <c r="D90" s="60">
        <v>31.69</v>
      </c>
      <c r="E90" s="60">
        <v>5.49</v>
      </c>
      <c r="F90" s="60">
        <v>2.74</v>
      </c>
      <c r="G90" s="60">
        <v>114.09</v>
      </c>
      <c r="H90" s="60">
        <v>40.659999999999997</v>
      </c>
      <c r="I90" s="60">
        <v>4.74</v>
      </c>
      <c r="J90" s="60">
        <v>2.58</v>
      </c>
      <c r="K90" s="60">
        <v>178.12</v>
      </c>
      <c r="L90" s="60">
        <v>41</v>
      </c>
      <c r="M90" s="60">
        <v>36.28</v>
      </c>
      <c r="N90" s="60">
        <v>13.60</v>
      </c>
      <c r="O90" s="60">
        <v>0</v>
      </c>
      <c r="P90" s="60">
        <v>1.74</v>
      </c>
      <c r="Q90" s="60">
        <v>83.32</v>
      </c>
      <c r="R90" s="198"/>
      <c r="S90" s="198"/>
      <c r="T90" s="198"/>
      <c r="U90" s="198"/>
    </row>
    <row r="91" spans="1:21" s="12" customFormat="1" ht="15">
      <c r="A91" s="201" t="s">
        <v>807</v>
      </c>
      <c r="B91" s="60">
        <v>0.56999999999999995</v>
      </c>
      <c r="C91" s="60">
        <v>31.48</v>
      </c>
      <c r="D91" s="60">
        <v>32.049999999999997</v>
      </c>
      <c r="E91" s="60">
        <v>5.88</v>
      </c>
      <c r="F91" s="60">
        <v>2.71</v>
      </c>
      <c r="G91" s="60">
        <v>114.09</v>
      </c>
      <c r="H91" s="60">
        <v>40.659999999999997</v>
      </c>
      <c r="I91" s="60">
        <v>4.91</v>
      </c>
      <c r="J91" s="60">
        <v>2.36</v>
      </c>
      <c r="K91" s="60">
        <v>190.22</v>
      </c>
      <c r="L91" s="60">
        <v>40.090000000000003</v>
      </c>
      <c r="M91" s="60">
        <v>37.42</v>
      </c>
      <c r="N91" s="60">
        <v>14</v>
      </c>
      <c r="O91" s="60">
        <v>0</v>
      </c>
      <c r="P91" s="60">
        <v>1.74</v>
      </c>
      <c r="Q91" s="60">
        <v>81.849999999999994</v>
      </c>
      <c r="R91" s="198"/>
      <c r="S91" s="198"/>
      <c r="T91" s="198"/>
      <c r="U91" s="198"/>
    </row>
    <row r="92" spans="1:21" s="12" customFormat="1" ht="15">
      <c r="A92" s="201" t="s">
        <v>808</v>
      </c>
      <c r="B92" s="60">
        <v>0.56999999999999995</v>
      </c>
      <c r="C92" s="60">
        <v>30.82</v>
      </c>
      <c r="D92" s="60">
        <v>31.38</v>
      </c>
      <c r="E92" s="60">
        <v>5.82</v>
      </c>
      <c r="F92" s="60">
        <v>3.08</v>
      </c>
      <c r="G92" s="60">
        <v>114.09</v>
      </c>
      <c r="H92" s="60">
        <v>40.659999999999997</v>
      </c>
      <c r="I92" s="60">
        <v>5.03</v>
      </c>
      <c r="J92" s="60">
        <v>2.12</v>
      </c>
      <c r="K92" s="60">
        <v>194</v>
      </c>
      <c r="L92" s="60">
        <v>41.40</v>
      </c>
      <c r="M92" s="60">
        <v>38.36</v>
      </c>
      <c r="N92" s="60">
        <v>42.90</v>
      </c>
      <c r="O92" s="60">
        <v>0</v>
      </c>
      <c r="P92" s="60">
        <v>1.74</v>
      </c>
      <c r="Q92" s="60">
        <v>101.68</v>
      </c>
      <c r="R92" s="198"/>
      <c r="S92" s="198"/>
      <c r="T92" s="198"/>
      <c r="U92" s="198"/>
    </row>
    <row r="93" spans="1:21" s="12" customFormat="1" ht="15">
      <c r="A93" s="201" t="s">
        <v>809</v>
      </c>
      <c r="B93" s="60">
        <v>0.64</v>
      </c>
      <c r="C93" s="60">
        <v>24.19</v>
      </c>
      <c r="D93" s="60">
        <v>24.83</v>
      </c>
      <c r="E93" s="60">
        <v>5.90</v>
      </c>
      <c r="F93" s="60">
        <v>2.76</v>
      </c>
      <c r="G93" s="60">
        <v>116.05</v>
      </c>
      <c r="H93" s="60">
        <v>41.26</v>
      </c>
      <c r="I93" s="60">
        <v>4.95</v>
      </c>
      <c r="J93" s="60">
        <v>2.2599999999999998</v>
      </c>
      <c r="K93" s="60">
        <v>196.84</v>
      </c>
      <c r="L93" s="60">
        <v>40.26</v>
      </c>
      <c r="M93" s="60">
        <v>39.18</v>
      </c>
      <c r="N93" s="60">
        <v>52.5</v>
      </c>
      <c r="O93" s="60">
        <v>0</v>
      </c>
      <c r="P93" s="60">
        <v>1.74</v>
      </c>
      <c r="Q93" s="60">
        <v>60.52</v>
      </c>
      <c r="R93" s="198"/>
      <c r="S93" s="198"/>
      <c r="T93" s="198"/>
      <c r="U93" s="198"/>
    </row>
    <row r="94" spans="1:21" s="12" customFormat="1" ht="15">
      <c r="A94" s="201" t="s">
        <v>810</v>
      </c>
      <c r="B94" s="60">
        <v>0.71</v>
      </c>
      <c r="C94" s="60">
        <v>26.34</v>
      </c>
      <c r="D94" s="60">
        <v>27.04</v>
      </c>
      <c r="E94" s="60">
        <v>5.77</v>
      </c>
      <c r="F94" s="60">
        <v>2.27</v>
      </c>
      <c r="G94" s="60">
        <v>120.05</v>
      </c>
      <c r="H94" s="60">
        <v>43.02</v>
      </c>
      <c r="I94" s="60">
        <v>4.8499999999999996</v>
      </c>
      <c r="J94" s="60">
        <v>2.12</v>
      </c>
      <c r="K94" s="60">
        <v>197.63</v>
      </c>
      <c r="L94" s="60">
        <v>41.99</v>
      </c>
      <c r="M94" s="60">
        <v>39.96</v>
      </c>
      <c r="N94" s="60">
        <v>53.70</v>
      </c>
      <c r="O94" s="60">
        <v>0</v>
      </c>
      <c r="P94" s="60">
        <v>1.74</v>
      </c>
      <c r="Q94" s="60">
        <v>74.98</v>
      </c>
      <c r="R94" s="198"/>
      <c r="S94" s="198"/>
      <c r="T94" s="198"/>
      <c r="U94" s="198"/>
    </row>
    <row r="95" spans="1:21" s="12" customFormat="1" ht="15">
      <c r="A95" s="201" t="s">
        <v>811</v>
      </c>
      <c r="B95" s="60">
        <v>0.77</v>
      </c>
      <c r="C95" s="60">
        <v>27.81</v>
      </c>
      <c r="D95" s="60">
        <v>28.58</v>
      </c>
      <c r="E95" s="60">
        <v>5.90</v>
      </c>
      <c r="F95" s="60">
        <v>2.27</v>
      </c>
      <c r="G95" s="60">
        <v>120.05</v>
      </c>
      <c r="H95" s="60">
        <v>43.02</v>
      </c>
      <c r="I95" s="60">
        <v>4.93</v>
      </c>
      <c r="J95" s="60">
        <v>2.14</v>
      </c>
      <c r="K95" s="60">
        <v>180.80</v>
      </c>
      <c r="L95" s="60">
        <v>41.96</v>
      </c>
      <c r="M95" s="60">
        <v>40.79</v>
      </c>
      <c r="N95" s="60">
        <v>44.10</v>
      </c>
      <c r="O95" s="60">
        <v>0</v>
      </c>
      <c r="P95" s="60">
        <v>1.73</v>
      </c>
      <c r="Q95" s="60">
        <v>75.25</v>
      </c>
      <c r="R95" s="198"/>
      <c r="S95" s="198"/>
      <c r="T95" s="198"/>
      <c r="U95" s="198"/>
    </row>
    <row r="96" spans="1:26" s="12" customFormat="1" ht="15">
      <c r="A96" s="201" t="s">
        <v>812</v>
      </c>
      <c r="B96" s="60">
        <v>0.79</v>
      </c>
      <c r="C96" s="60">
        <v>27.52</v>
      </c>
      <c r="D96" s="60">
        <v>28.31</v>
      </c>
      <c r="E96" s="60">
        <v>6.20</v>
      </c>
      <c r="F96" s="60">
        <v>1.89</v>
      </c>
      <c r="G96" s="60">
        <v>120.05</v>
      </c>
      <c r="H96" s="60">
        <v>43.02</v>
      </c>
      <c r="I96" s="60">
        <v>4.99</v>
      </c>
      <c r="J96" s="60">
        <v>3.31</v>
      </c>
      <c r="K96" s="60">
        <v>167.03</v>
      </c>
      <c r="L96" s="60">
        <v>42.57</v>
      </c>
      <c r="M96" s="60">
        <v>41.62</v>
      </c>
      <c r="N96" s="60">
        <v>61.20</v>
      </c>
      <c r="O96" s="60">
        <v>0</v>
      </c>
      <c r="P96" s="60">
        <v>1.73</v>
      </c>
      <c r="Q96" s="60">
        <v>75.11</v>
      </c>
      <c r="R96" s="198"/>
      <c r="S96" s="198"/>
      <c r="T96" s="198"/>
      <c r="U96" s="198"/>
      <c r="Z96" s="109"/>
    </row>
    <row r="97" spans="1:21" s="12" customFormat="1" ht="15">
      <c r="A97" s="201" t="s">
        <v>813</v>
      </c>
      <c r="B97" s="60">
        <v>0.95</v>
      </c>
      <c r="C97" s="60">
        <v>28.69</v>
      </c>
      <c r="D97" s="60">
        <v>29.64</v>
      </c>
      <c r="E97" s="60">
        <v>6.31</v>
      </c>
      <c r="F97" s="60">
        <v>1.59</v>
      </c>
      <c r="G97" s="60">
        <v>117.10</v>
      </c>
      <c r="H97" s="60">
        <v>42.48</v>
      </c>
      <c r="I97" s="60">
        <v>5.01</v>
      </c>
      <c r="J97" s="60">
        <v>2.96</v>
      </c>
      <c r="K97" s="60">
        <v>165.72</v>
      </c>
      <c r="L97" s="60">
        <v>38.869999999999997</v>
      </c>
      <c r="M97" s="60">
        <v>41.39</v>
      </c>
      <c r="N97" s="60">
        <v>52.40</v>
      </c>
      <c r="O97" s="60">
        <v>0</v>
      </c>
      <c r="P97" s="60">
        <v>1.73</v>
      </c>
      <c r="Q97" s="60">
        <v>76.08</v>
      </c>
      <c r="R97" s="198"/>
      <c r="S97" s="198"/>
      <c r="T97" s="198"/>
      <c r="U97" s="198"/>
    </row>
    <row r="98" spans="1:21" s="12" customFormat="1" ht="15">
      <c r="A98" s="201" t="s">
        <v>814</v>
      </c>
      <c r="B98" s="60">
        <v>0.99</v>
      </c>
      <c r="C98" s="60">
        <v>29.03</v>
      </c>
      <c r="D98" s="60">
        <v>30.02</v>
      </c>
      <c r="E98" s="60">
        <v>6.22</v>
      </c>
      <c r="F98" s="60">
        <v>1.51</v>
      </c>
      <c r="G98" s="60">
        <v>110.79</v>
      </c>
      <c r="H98" s="60">
        <v>40.81</v>
      </c>
      <c r="I98" s="60">
        <v>5.03</v>
      </c>
      <c r="J98" s="60">
        <v>1.99</v>
      </c>
      <c r="K98" s="60">
        <v>192.92</v>
      </c>
      <c r="L98" s="60">
        <v>37.130000000000003</v>
      </c>
      <c r="M98" s="60">
        <v>41.79</v>
      </c>
      <c r="N98" s="60">
        <v>58.5</v>
      </c>
      <c r="O98" s="60">
        <v>0</v>
      </c>
      <c r="P98" s="60">
        <v>1.72</v>
      </c>
      <c r="Q98" s="60">
        <v>79.930000000000007</v>
      </c>
      <c r="R98" s="198"/>
      <c r="S98" s="198"/>
      <c r="T98" s="198"/>
      <c r="U98" s="198"/>
    </row>
    <row r="99" spans="1:21" s="12" customFormat="1" ht="15">
      <c r="A99" s="201" t="s">
        <v>815</v>
      </c>
      <c r="B99" s="60">
        <v>0.96</v>
      </c>
      <c r="C99" s="60">
        <v>26.59</v>
      </c>
      <c r="D99" s="60">
        <v>27.55</v>
      </c>
      <c r="E99" s="60">
        <v>6.60</v>
      </c>
      <c r="F99" s="60">
        <v>1.52</v>
      </c>
      <c r="G99" s="60">
        <v>110.79</v>
      </c>
      <c r="H99" s="60">
        <v>40.81</v>
      </c>
      <c r="I99" s="60">
        <v>5.0999999999999996</v>
      </c>
      <c r="J99" s="60">
        <v>3.04</v>
      </c>
      <c r="K99" s="60">
        <v>164.02</v>
      </c>
      <c r="L99" s="60">
        <v>35.880000000000003</v>
      </c>
      <c r="M99" s="60">
        <v>43.33</v>
      </c>
      <c r="N99" s="60">
        <v>57.30</v>
      </c>
      <c r="O99" s="60">
        <v>0</v>
      </c>
      <c r="P99" s="60">
        <v>1.71</v>
      </c>
      <c r="Q99" s="60">
        <v>76.650000000000006</v>
      </c>
      <c r="R99" s="198"/>
      <c r="S99" s="198"/>
      <c r="T99" s="198"/>
      <c r="U99" s="198"/>
    </row>
    <row r="100" spans="1:33" s="12" customFormat="1" ht="15">
      <c r="A100" s="201" t="s">
        <v>816</v>
      </c>
      <c r="B100" s="60">
        <v>0.93</v>
      </c>
      <c r="C100" s="60">
        <v>25.58</v>
      </c>
      <c r="D100" s="60">
        <v>26.51</v>
      </c>
      <c r="E100" s="60">
        <v>3.70</v>
      </c>
      <c r="F100" s="60">
        <v>1.43</v>
      </c>
      <c r="G100" s="60">
        <v>110.79</v>
      </c>
      <c r="H100" s="60">
        <v>40.81</v>
      </c>
      <c r="I100" s="60">
        <v>5.12</v>
      </c>
      <c r="J100" s="60">
        <v>1.71</v>
      </c>
      <c r="K100" s="60">
        <v>192.63</v>
      </c>
      <c r="L100" s="60">
        <v>37.57</v>
      </c>
      <c r="M100" s="60">
        <v>43.89</v>
      </c>
      <c r="N100" s="60">
        <v>53.80</v>
      </c>
      <c r="O100" s="60">
        <v>0</v>
      </c>
      <c r="P100" s="60">
        <v>1.71</v>
      </c>
      <c r="Q100" s="60">
        <v>82.11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817</v>
      </c>
      <c r="B101" s="60">
        <v>0.85</v>
      </c>
      <c r="C101" s="60">
        <v>25.55</v>
      </c>
      <c r="D101" s="60">
        <v>26.40</v>
      </c>
      <c r="E101" s="60">
        <v>6.97</v>
      </c>
      <c r="F101" s="60">
        <v>1.73</v>
      </c>
      <c r="G101" s="60">
        <v>110.42</v>
      </c>
      <c r="H101" s="60">
        <v>41.36</v>
      </c>
      <c r="I101" s="60">
        <v>5.0599999999999996</v>
      </c>
      <c r="J101" s="60">
        <v>2.84</v>
      </c>
      <c r="K101" s="60">
        <v>164.89</v>
      </c>
      <c r="L101" s="60">
        <v>40.35</v>
      </c>
      <c r="M101" s="60">
        <v>44.72</v>
      </c>
      <c r="N101" s="60">
        <v>45.5</v>
      </c>
      <c r="O101" s="60">
        <v>0</v>
      </c>
      <c r="P101" s="60">
        <v>1.70</v>
      </c>
      <c r="Q101" s="60">
        <v>86.05</v>
      </c>
      <c r="R101" s="198"/>
      <c r="S101" s="198"/>
      <c r="T101" s="198"/>
      <c r="U101" s="198"/>
    </row>
    <row r="102" spans="1:21" s="12" customFormat="1" ht="15">
      <c r="A102" s="201" t="s">
        <v>818</v>
      </c>
      <c r="B102" s="60">
        <v>0.79</v>
      </c>
      <c r="C102" s="60">
        <v>25.52</v>
      </c>
      <c r="D102" s="60">
        <v>26.31</v>
      </c>
      <c r="E102" s="60">
        <v>6.65</v>
      </c>
      <c r="F102" s="60">
        <v>1.78</v>
      </c>
      <c r="G102" s="60">
        <v>109.54</v>
      </c>
      <c r="H102" s="60">
        <v>42.99</v>
      </c>
      <c r="I102" s="60">
        <v>5.08</v>
      </c>
      <c r="J102" s="60">
        <v>3.05</v>
      </c>
      <c r="K102" s="60">
        <v>163.89</v>
      </c>
      <c r="L102" s="60">
        <v>42.51</v>
      </c>
      <c r="M102" s="60">
        <v>44.92</v>
      </c>
      <c r="N102" s="60">
        <v>49.60</v>
      </c>
      <c r="O102" s="60">
        <v>0</v>
      </c>
      <c r="P102" s="60">
        <v>1.68</v>
      </c>
      <c r="Q102" s="60">
        <v>84.14</v>
      </c>
      <c r="R102" s="198"/>
      <c r="S102" s="198"/>
      <c r="T102" s="198"/>
      <c r="U102" s="198"/>
    </row>
    <row r="103" spans="1:21" s="12" customFormat="1" ht="15">
      <c r="A103" s="201" t="s">
        <v>819</v>
      </c>
      <c r="B103" s="60">
        <v>0.71</v>
      </c>
      <c r="C103" s="60">
        <v>25.09</v>
      </c>
      <c r="D103" s="60">
        <v>25.80</v>
      </c>
      <c r="E103" s="60">
        <v>6.74</v>
      </c>
      <c r="F103" s="60">
        <v>2</v>
      </c>
      <c r="G103" s="60">
        <v>109.54</v>
      </c>
      <c r="H103" s="60">
        <v>42.99</v>
      </c>
      <c r="I103" s="60">
        <v>5.01</v>
      </c>
      <c r="J103" s="60">
        <v>2.74</v>
      </c>
      <c r="K103" s="60">
        <v>165.76</v>
      </c>
      <c r="L103" s="60">
        <v>40.729999999999997</v>
      </c>
      <c r="M103" s="60">
        <v>45.91</v>
      </c>
      <c r="N103" s="60">
        <v>46.20</v>
      </c>
      <c r="O103" s="60">
        <v>0</v>
      </c>
      <c r="P103" s="60">
        <v>1.67</v>
      </c>
      <c r="Q103" s="60">
        <v>80.540000000000006</v>
      </c>
      <c r="R103" s="198"/>
      <c r="S103" s="198"/>
      <c r="T103" s="198"/>
      <c r="U103" s="198"/>
    </row>
    <row r="104" spans="1:21" s="12" customFormat="1" ht="15">
      <c r="A104" s="201" t="s">
        <v>820</v>
      </c>
      <c r="B104" s="60">
        <v>0.67</v>
      </c>
      <c r="C104" s="60">
        <v>24.03</v>
      </c>
      <c r="D104" s="60">
        <v>24.70</v>
      </c>
      <c r="E104" s="60">
        <v>6.5</v>
      </c>
      <c r="F104" s="60">
        <v>1.85</v>
      </c>
      <c r="G104" s="60">
        <v>109.54</v>
      </c>
      <c r="H104" s="60">
        <v>42.99</v>
      </c>
      <c r="I104" s="60">
        <v>4.93</v>
      </c>
      <c r="J104" s="60">
        <v>1.92</v>
      </c>
      <c r="K104" s="60">
        <v>203.45</v>
      </c>
      <c r="L104" s="60">
        <v>38.68</v>
      </c>
      <c r="M104" s="60">
        <v>46.49</v>
      </c>
      <c r="N104" s="60">
        <v>49</v>
      </c>
      <c r="O104" s="60">
        <v>0</v>
      </c>
      <c r="P104" s="60">
        <v>1.66</v>
      </c>
      <c r="Q104" s="60">
        <v>78.16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0.029999999999999999</v>
      </c>
      <c r="C106" s="67">
        <f>MIN(C9:C104)</f>
        <v>22.789999999999999</v>
      </c>
      <c r="D106" s="67">
        <f t="shared" si="0" ref="D106:Q106">MIN(D9:D104)</f>
        <v>23.039999999999999</v>
      </c>
      <c r="E106" s="67">
        <f t="shared" si="0"/>
        <v>2.23</v>
      </c>
      <c r="F106" s="67">
        <f t="shared" si="0"/>
        <v>0.089999999999999997</v>
      </c>
      <c r="G106" s="67">
        <f t="shared" si="0"/>
        <v>95.769999999999996</v>
      </c>
      <c r="H106" s="67">
        <f t="shared" si="0"/>
        <v>30.09</v>
      </c>
      <c r="I106" s="67">
        <f t="shared" si="0"/>
        <v>0.01</v>
      </c>
      <c r="J106" s="67">
        <f t="shared" si="0"/>
        <v>0.20000000000000001</v>
      </c>
      <c r="K106" s="67">
        <f t="shared" si="0"/>
        <v>37.369999999999997</v>
      </c>
      <c r="L106" s="67">
        <f t="shared" si="0"/>
        <v>31.829999999999998</v>
      </c>
      <c r="M106" s="67">
        <f t="shared" si="0"/>
        <v>18.609999999999999</v>
      </c>
      <c r="N106" s="67">
        <f t="shared" si="0"/>
        <v>10.4</v>
      </c>
      <c r="O106" s="67">
        <f t="shared" si="0"/>
        <v>0</v>
      </c>
      <c r="P106" s="67">
        <f t="shared" si="0"/>
        <v>1.6100000000000001</v>
      </c>
      <c r="Q106" s="67">
        <f t="shared" si="0"/>
        <v>39.890000000000001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3.46</v>
      </c>
      <c r="C107" s="66">
        <f t="shared" si="1" ref="C107:Q107">MAX(C9:C104)</f>
        <v>40.799999999999997</v>
      </c>
      <c r="D107" s="66">
        <f t="shared" si="1"/>
        <v>43.299999999999997</v>
      </c>
      <c r="E107" s="66">
        <f t="shared" si="1"/>
        <v>7.4500000000000002</v>
      </c>
      <c r="F107" s="66">
        <f t="shared" si="1"/>
        <v>15.33</v>
      </c>
      <c r="G107" s="66">
        <f t="shared" si="1"/>
        <v>172.28</v>
      </c>
      <c r="H107" s="66">
        <f t="shared" si="1"/>
        <v>50.82</v>
      </c>
      <c r="I107" s="66">
        <f t="shared" si="1"/>
        <v>9.8399999999999999</v>
      </c>
      <c r="J107" s="66">
        <f t="shared" si="1"/>
        <v>3.3100000000000001</v>
      </c>
      <c r="K107" s="66">
        <f t="shared" si="1"/>
        <v>351.23000000000002</v>
      </c>
      <c r="L107" s="66">
        <f t="shared" si="1"/>
        <v>50.32</v>
      </c>
      <c r="M107" s="66">
        <f t="shared" si="1"/>
        <v>46.490000000000002</v>
      </c>
      <c r="N107" s="66">
        <f t="shared" si="1"/>
        <v>1038.5</v>
      </c>
      <c r="O107" s="66">
        <f t="shared" si="1"/>
        <v>0</v>
      </c>
      <c r="P107" s="66">
        <f t="shared" si="1"/>
        <v>2.29</v>
      </c>
      <c r="Q107" s="66">
        <f t="shared" si="1"/>
        <v>119.56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0.95999999999999952</v>
      </c>
      <c r="C108" s="67">
        <f t="shared" si="2" ref="C108:Q108">AVERAGE(C9:C104)</f>
        <v>29.57114583333335</v>
      </c>
      <c r="D108" s="67">
        <f t="shared" si="2"/>
        <v>30.530520833333341</v>
      </c>
      <c r="E108" s="67">
        <f t="shared" si="2"/>
        <v>5.9338541666666664</v>
      </c>
      <c r="F108" s="67">
        <f t="shared" si="2"/>
        <v>3.8315624999999991</v>
      </c>
      <c r="G108" s="67">
        <f t="shared" si="2"/>
        <v>116.03666666666669</v>
      </c>
      <c r="H108" s="67">
        <f t="shared" si="2"/>
        <v>40.847395833333309</v>
      </c>
      <c r="I108" s="67">
        <f t="shared" si="2"/>
        <v>5.3436144578313236</v>
      </c>
      <c r="J108" s="67">
        <f t="shared" si="2"/>
        <v>1.8915625</v>
      </c>
      <c r="K108" s="67">
        <f t="shared" si="2"/>
        <v>188.03166666666661</v>
      </c>
      <c r="L108" s="67">
        <f t="shared" si="2"/>
        <v>39.362187500000019</v>
      </c>
      <c r="M108" s="67">
        <f t="shared" si="2"/>
        <v>34.217187500000001</v>
      </c>
      <c r="N108" s="67">
        <f t="shared" si="2"/>
        <v>369.52187499999997</v>
      </c>
      <c r="O108" s="67">
        <f t="shared" si="2"/>
        <v>0</v>
      </c>
      <c r="P108" s="67">
        <f t="shared" si="2"/>
        <v>1.7592708333333336</v>
      </c>
      <c r="Q108" s="67">
        <f t="shared" si="2"/>
        <v>68.604583333333338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0.83814079962736665</v>
      </c>
      <c r="C109" s="67">
        <f t="shared" si="3" ref="C109:Q109">STDEV(C9:C104)</f>
        <v>3.9833101468346346</v>
      </c>
      <c r="D109" s="67">
        <f t="shared" si="3"/>
        <v>4.2449225074549535</v>
      </c>
      <c r="E109" s="67">
        <f t="shared" si="3"/>
        <v>1.2099120192386903</v>
      </c>
      <c r="F109" s="67">
        <f t="shared" si="3"/>
        <v>3.2800825817989785</v>
      </c>
      <c r="G109" s="67">
        <f t="shared" si="3"/>
        <v>12.985310702292789</v>
      </c>
      <c r="H109" s="67">
        <f t="shared" si="3"/>
        <v>5.6467617631779898</v>
      </c>
      <c r="I109" s="67">
        <f t="shared" si="3"/>
        <v>2.0810085373374547</v>
      </c>
      <c r="J109" s="67">
        <f t="shared" si="3"/>
        <v>0.76715788277594077</v>
      </c>
      <c r="K109" s="67">
        <f t="shared" si="3"/>
        <v>55.347950309914744</v>
      </c>
      <c r="L109" s="67">
        <f t="shared" si="3"/>
        <v>4.5596510030633031</v>
      </c>
      <c r="M109" s="67">
        <f t="shared" si="3"/>
        <v>8.3508472564953102</v>
      </c>
      <c r="N109" s="67">
        <f t="shared" si="3"/>
        <v>335.76398076566414</v>
      </c>
      <c r="O109" s="67">
        <f t="shared" si="3"/>
        <v>0</v>
      </c>
      <c r="P109" s="67">
        <f t="shared" si="3"/>
        <v>0.14628914980570903</v>
      </c>
      <c r="Q109" s="67">
        <f t="shared" si="3"/>
        <v>14.525890781031459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7a4a55-6c60-4382-877b-3f1f47dacefd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8" sqref="N118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07-06-2022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16" t="s">
        <v>821</v>
      </c>
      <c r="B9" s="60">
        <v>0.67</v>
      </c>
      <c r="C9" s="60">
        <v>24.09</v>
      </c>
      <c r="D9" s="60">
        <v>24.76</v>
      </c>
      <c r="E9" s="60">
        <v>6.63</v>
      </c>
      <c r="F9" s="60">
        <v>1.70</v>
      </c>
      <c r="G9" s="60">
        <v>103.98</v>
      </c>
      <c r="H9" s="60">
        <v>41.51</v>
      </c>
      <c r="I9" s="60">
        <v>4.84</v>
      </c>
      <c r="J9" s="60">
        <v>1.63</v>
      </c>
      <c r="K9" s="60">
        <v>200.72</v>
      </c>
      <c r="L9" s="60">
        <v>41.77</v>
      </c>
      <c r="M9" s="60">
        <v>47.74</v>
      </c>
      <c r="N9" s="60">
        <v>49.20</v>
      </c>
      <c r="O9" s="60">
        <v>0</v>
      </c>
      <c r="P9" s="60">
        <v>1.65</v>
      </c>
      <c r="Q9" s="60">
        <v>74.63</v>
      </c>
      <c r="R9" s="198"/>
      <c r="S9" s="198"/>
      <c r="T9" s="198"/>
      <c r="U9" s="198"/>
    </row>
    <row r="10" spans="1:21" s="12" customFormat="1" ht="15">
      <c r="A10" s="216" t="s">
        <v>822</v>
      </c>
      <c r="B10" s="60">
        <v>0.70</v>
      </c>
      <c r="C10" s="60">
        <v>24.81</v>
      </c>
      <c r="D10" s="60">
        <v>25.51</v>
      </c>
      <c r="E10" s="60">
        <v>6.73</v>
      </c>
      <c r="F10" s="60">
        <v>1.95</v>
      </c>
      <c r="G10" s="60">
        <v>92.07</v>
      </c>
      <c r="H10" s="60">
        <v>37.21</v>
      </c>
      <c r="I10" s="60">
        <v>4.7699999999999996</v>
      </c>
      <c r="J10" s="60">
        <v>2.1800000000000002</v>
      </c>
      <c r="K10" s="60">
        <v>175.77</v>
      </c>
      <c r="L10" s="60">
        <v>45.63</v>
      </c>
      <c r="M10" s="60">
        <v>49.33</v>
      </c>
      <c r="N10" s="60">
        <v>48.90</v>
      </c>
      <c r="O10" s="60">
        <v>0</v>
      </c>
      <c r="P10" s="60">
        <v>1.63</v>
      </c>
      <c r="Q10" s="60">
        <v>76.92</v>
      </c>
      <c r="R10" s="198"/>
      <c r="S10" s="198"/>
      <c r="T10" s="198"/>
      <c r="U10" s="198"/>
    </row>
    <row r="11" spans="1:21" s="12" customFormat="1" ht="15">
      <c r="A11" s="216" t="s">
        <v>823</v>
      </c>
      <c r="B11" s="60">
        <v>0.68</v>
      </c>
      <c r="C11" s="60">
        <v>23.90</v>
      </c>
      <c r="D11" s="60">
        <v>24.57</v>
      </c>
      <c r="E11" s="60">
        <v>6.86</v>
      </c>
      <c r="F11" s="60">
        <v>1.98</v>
      </c>
      <c r="G11" s="60">
        <v>92.07</v>
      </c>
      <c r="H11" s="60">
        <v>37.21</v>
      </c>
      <c r="I11" s="60">
        <v>4.70</v>
      </c>
      <c r="J11" s="60">
        <v>1.47</v>
      </c>
      <c r="K11" s="60">
        <v>208.91</v>
      </c>
      <c r="L11" s="60">
        <v>43.92</v>
      </c>
      <c r="M11" s="60">
        <v>50.52</v>
      </c>
      <c r="N11" s="60">
        <v>49.40</v>
      </c>
      <c r="O11" s="60">
        <v>0</v>
      </c>
      <c r="P11" s="60">
        <v>1.63</v>
      </c>
      <c r="Q11" s="60">
        <v>77.489999999999995</v>
      </c>
      <c r="R11" s="198"/>
      <c r="S11" s="198"/>
      <c r="T11" s="198"/>
      <c r="U11" s="198"/>
    </row>
    <row r="12" spans="1:21" s="12" customFormat="1" ht="15">
      <c r="A12" s="216" t="s">
        <v>824</v>
      </c>
      <c r="B12" s="60">
        <v>0.65</v>
      </c>
      <c r="C12" s="60">
        <v>23.33</v>
      </c>
      <c r="D12" s="60">
        <v>23.98</v>
      </c>
      <c r="E12" s="60">
        <v>6.90</v>
      </c>
      <c r="F12" s="60">
        <v>2.06</v>
      </c>
      <c r="G12" s="60">
        <v>92.07</v>
      </c>
      <c r="H12" s="60">
        <v>37.21</v>
      </c>
      <c r="I12" s="60">
        <v>4.59</v>
      </c>
      <c r="J12" s="60">
        <v>1.47</v>
      </c>
      <c r="K12" s="60">
        <v>209.73</v>
      </c>
      <c r="L12" s="60">
        <v>39.86</v>
      </c>
      <c r="M12" s="60">
        <v>51.47</v>
      </c>
      <c r="N12" s="60">
        <v>53.90</v>
      </c>
      <c r="O12" s="60">
        <v>0</v>
      </c>
      <c r="P12" s="60">
        <v>1.62</v>
      </c>
      <c r="Q12" s="60">
        <v>76.03</v>
      </c>
      <c r="R12" s="198"/>
      <c r="S12" s="198"/>
      <c r="T12" s="198"/>
      <c r="U12" s="198"/>
    </row>
    <row r="13" spans="1:21" s="12" customFormat="1" ht="15">
      <c r="A13" s="216" t="s">
        <v>825</v>
      </c>
      <c r="B13" s="60">
        <v>0.65</v>
      </c>
      <c r="C13" s="60">
        <v>23.29</v>
      </c>
      <c r="D13" s="60">
        <v>23.94</v>
      </c>
      <c r="E13" s="60">
        <v>6.63</v>
      </c>
      <c r="F13" s="60">
        <v>1.89</v>
      </c>
      <c r="G13" s="60">
        <v>90.59</v>
      </c>
      <c r="H13" s="60">
        <v>35.83</v>
      </c>
      <c r="I13" s="60">
        <v>4.68</v>
      </c>
      <c r="J13" s="60">
        <v>1.72</v>
      </c>
      <c r="K13" s="60">
        <v>215.21</v>
      </c>
      <c r="L13" s="60">
        <v>41.04</v>
      </c>
      <c r="M13" s="60">
        <v>52.29</v>
      </c>
      <c r="N13" s="60">
        <v>70.599999999999994</v>
      </c>
      <c r="O13" s="60">
        <v>0</v>
      </c>
      <c r="P13" s="60">
        <v>1.61</v>
      </c>
      <c r="Q13" s="60">
        <v>77.37</v>
      </c>
      <c r="R13" s="198"/>
      <c r="S13" s="198"/>
      <c r="T13" s="198"/>
      <c r="U13" s="198"/>
    </row>
    <row r="14" spans="1:21" s="12" customFormat="1" ht="15">
      <c r="A14" s="216" t="s">
        <v>826</v>
      </c>
      <c r="B14" s="60">
        <v>0.70</v>
      </c>
      <c r="C14" s="60">
        <v>20.04</v>
      </c>
      <c r="D14" s="60">
        <v>20.74</v>
      </c>
      <c r="E14" s="60">
        <v>7.08</v>
      </c>
      <c r="F14" s="60">
        <v>2.14</v>
      </c>
      <c r="G14" s="60">
        <v>83.93</v>
      </c>
      <c r="H14" s="60">
        <v>31.56</v>
      </c>
      <c r="I14" s="60">
        <v>4.6399999999999997</v>
      </c>
      <c r="J14" s="60">
        <v>1.34</v>
      </c>
      <c r="K14" s="60">
        <v>180.72</v>
      </c>
      <c r="L14" s="60">
        <v>35.049999999999997</v>
      </c>
      <c r="M14" s="60">
        <v>53.68</v>
      </c>
      <c r="N14" s="60">
        <v>90.90</v>
      </c>
      <c r="O14" s="60">
        <v>0</v>
      </c>
      <c r="P14" s="60">
        <v>1.61</v>
      </c>
      <c r="Q14" s="60">
        <v>78.56</v>
      </c>
      <c r="R14" s="198"/>
      <c r="S14" s="198"/>
      <c r="T14" s="198"/>
      <c r="U14" s="198"/>
    </row>
    <row r="15" spans="1:21" s="12" customFormat="1" ht="15">
      <c r="A15" s="216" t="s">
        <v>827</v>
      </c>
      <c r="B15" s="60">
        <v>0.80</v>
      </c>
      <c r="C15" s="60">
        <v>16.88</v>
      </c>
      <c r="D15" s="60">
        <v>17.68</v>
      </c>
      <c r="E15" s="60">
        <v>6.86</v>
      </c>
      <c r="F15" s="60">
        <v>1.66</v>
      </c>
      <c r="G15" s="60">
        <v>83.93</v>
      </c>
      <c r="H15" s="60">
        <v>31.56</v>
      </c>
      <c r="I15" s="60">
        <v>4.66</v>
      </c>
      <c r="J15" s="60">
        <v>1.1599999999999999</v>
      </c>
      <c r="K15" s="60">
        <v>218.62</v>
      </c>
      <c r="L15" s="60">
        <v>38.75</v>
      </c>
      <c r="M15" s="60">
        <v>54.14</v>
      </c>
      <c r="N15" s="60">
        <v>81.900000000000006</v>
      </c>
      <c r="O15" s="60">
        <v>0</v>
      </c>
      <c r="P15" s="60">
        <v>1.61</v>
      </c>
      <c r="Q15" s="60">
        <v>54.99</v>
      </c>
      <c r="R15" s="198"/>
      <c r="S15" s="198"/>
      <c r="T15" s="198"/>
      <c r="U15" s="198"/>
    </row>
    <row r="16" spans="1:21" s="12" customFormat="1" ht="15">
      <c r="A16" s="216" t="s">
        <v>828</v>
      </c>
      <c r="B16" s="60">
        <v>0.92</v>
      </c>
      <c r="C16" s="60">
        <v>17.010000000000002</v>
      </c>
      <c r="D16" s="60">
        <v>17.920000000000002</v>
      </c>
      <c r="E16" s="60">
        <v>7</v>
      </c>
      <c r="F16" s="60">
        <v>1.31</v>
      </c>
      <c r="G16" s="60">
        <v>83.93</v>
      </c>
      <c r="H16" s="60">
        <v>31.56</v>
      </c>
      <c r="I16" s="60">
        <v>4.5599999999999996</v>
      </c>
      <c r="J16" s="60">
        <v>1.64</v>
      </c>
      <c r="K16" s="60">
        <v>217.68</v>
      </c>
      <c r="L16" s="60">
        <v>39.909999999999997</v>
      </c>
      <c r="M16" s="60">
        <v>54.82</v>
      </c>
      <c r="N16" s="60">
        <v>83.10</v>
      </c>
      <c r="O16" s="60">
        <v>0</v>
      </c>
      <c r="P16" s="60">
        <v>1.60</v>
      </c>
      <c r="Q16" s="60">
        <v>51.79</v>
      </c>
      <c r="R16" s="198"/>
      <c r="S16" s="198"/>
      <c r="T16" s="198"/>
      <c r="U16" s="198"/>
    </row>
    <row r="17" spans="1:21" s="12" customFormat="1" ht="15">
      <c r="A17" s="216" t="s">
        <v>829</v>
      </c>
      <c r="B17" s="60">
        <v>1.02</v>
      </c>
      <c r="C17" s="60">
        <v>17.73</v>
      </c>
      <c r="D17" s="60">
        <v>18.75</v>
      </c>
      <c r="E17" s="60">
        <v>7.04</v>
      </c>
      <c r="F17" s="60">
        <v>1.19</v>
      </c>
      <c r="G17" s="60">
        <v>81.150000000000006</v>
      </c>
      <c r="H17" s="60">
        <v>31.77</v>
      </c>
      <c r="I17" s="60">
        <v>4.58</v>
      </c>
      <c r="J17" s="60">
        <v>2.04</v>
      </c>
      <c r="K17" s="60">
        <v>179.38</v>
      </c>
      <c r="L17" s="60">
        <v>41.09</v>
      </c>
      <c r="M17" s="60">
        <v>55.01</v>
      </c>
      <c r="N17" s="60">
        <v>110.20</v>
      </c>
      <c r="O17" s="60">
        <v>0</v>
      </c>
      <c r="P17" s="60">
        <v>1.60</v>
      </c>
      <c r="Q17" s="60">
        <v>53.32</v>
      </c>
      <c r="R17" s="198"/>
      <c r="S17" s="198"/>
      <c r="T17" s="198"/>
      <c r="U17" s="198"/>
    </row>
    <row r="18" spans="1:21" s="12" customFormat="1" ht="15">
      <c r="A18" s="216" t="s">
        <v>830</v>
      </c>
      <c r="B18" s="60">
        <v>1.1000000000000001</v>
      </c>
      <c r="C18" s="60">
        <v>18.54</v>
      </c>
      <c r="D18" s="60">
        <v>19.64</v>
      </c>
      <c r="E18" s="60">
        <v>7.47</v>
      </c>
      <c r="F18" s="60">
        <v>1.1200000000000001</v>
      </c>
      <c r="G18" s="60">
        <v>75.209999999999994</v>
      </c>
      <c r="H18" s="60">
        <v>32.43</v>
      </c>
      <c r="I18" s="60">
        <v>4.6500000000000004</v>
      </c>
      <c r="J18" s="60">
        <v>2.61</v>
      </c>
      <c r="K18" s="60">
        <v>160.90</v>
      </c>
      <c r="L18" s="60">
        <v>39.01</v>
      </c>
      <c r="M18" s="60">
        <v>55.44</v>
      </c>
      <c r="N18" s="60">
        <v>124.30</v>
      </c>
      <c r="O18" s="60">
        <v>0</v>
      </c>
      <c r="P18" s="60">
        <v>1.59</v>
      </c>
      <c r="Q18" s="60">
        <v>56.83</v>
      </c>
      <c r="R18" s="198"/>
      <c r="S18" s="198"/>
      <c r="T18" s="198"/>
      <c r="U18" s="198"/>
    </row>
    <row r="19" spans="1:21" s="12" customFormat="1" ht="15">
      <c r="A19" s="216" t="s">
        <v>831</v>
      </c>
      <c r="B19" s="60">
        <v>1.1499999999999999</v>
      </c>
      <c r="C19" s="60">
        <v>18.27</v>
      </c>
      <c r="D19" s="60">
        <v>19.420000000000002</v>
      </c>
      <c r="E19" s="60">
        <v>7.58</v>
      </c>
      <c r="F19" s="60">
        <v>1.05</v>
      </c>
      <c r="G19" s="60">
        <v>75.209999999999994</v>
      </c>
      <c r="H19" s="60">
        <v>32.43</v>
      </c>
      <c r="I19" s="60">
        <v>4.66</v>
      </c>
      <c r="J19" s="60">
        <v>2.04</v>
      </c>
      <c r="K19" s="60">
        <v>168.29</v>
      </c>
      <c r="L19" s="60">
        <v>38.19</v>
      </c>
      <c r="M19" s="60">
        <v>55.39</v>
      </c>
      <c r="N19" s="60">
        <v>114.90</v>
      </c>
      <c r="O19" s="60">
        <v>0</v>
      </c>
      <c r="P19" s="60">
        <v>1.60</v>
      </c>
      <c r="Q19" s="60">
        <v>58.13</v>
      </c>
      <c r="R19" s="198"/>
      <c r="S19" s="198"/>
      <c r="T19" s="198"/>
      <c r="U19" s="198"/>
    </row>
    <row r="20" spans="1:21" s="12" customFormat="1" ht="15">
      <c r="A20" s="216" t="s">
        <v>832</v>
      </c>
      <c r="B20" s="60">
        <v>1.23</v>
      </c>
      <c r="C20" s="60">
        <v>18.23</v>
      </c>
      <c r="D20" s="60">
        <v>19.46</v>
      </c>
      <c r="E20" s="60">
        <v>3.36</v>
      </c>
      <c r="F20" s="60">
        <v>1.03</v>
      </c>
      <c r="G20" s="60">
        <v>75.209999999999994</v>
      </c>
      <c r="H20" s="60">
        <v>32.43</v>
      </c>
      <c r="I20" s="60">
        <v>4.70</v>
      </c>
      <c r="J20" s="60">
        <v>2.13</v>
      </c>
      <c r="K20" s="60">
        <v>176.5</v>
      </c>
      <c r="L20" s="60">
        <v>38.39</v>
      </c>
      <c r="M20" s="60">
        <v>55.28</v>
      </c>
      <c r="N20" s="60">
        <v>101</v>
      </c>
      <c r="O20" s="60">
        <v>0</v>
      </c>
      <c r="P20" s="60">
        <v>1.59</v>
      </c>
      <c r="Q20" s="60">
        <v>57.62</v>
      </c>
      <c r="R20" s="198"/>
      <c r="S20" s="198"/>
      <c r="T20" s="198"/>
      <c r="U20" s="198"/>
    </row>
    <row r="21" spans="1:21" s="12" customFormat="1" ht="15">
      <c r="A21" s="216" t="s">
        <v>833</v>
      </c>
      <c r="B21" s="60">
        <v>1.26</v>
      </c>
      <c r="C21" s="60">
        <v>18.95</v>
      </c>
      <c r="D21" s="60">
        <v>20.20</v>
      </c>
      <c r="E21" s="60">
        <v>7.05</v>
      </c>
      <c r="F21" s="60">
        <v>0.86</v>
      </c>
      <c r="G21" s="60">
        <v>76</v>
      </c>
      <c r="H21" s="60">
        <v>31.68</v>
      </c>
      <c r="I21" s="60">
        <v>4.67</v>
      </c>
      <c r="J21" s="60">
        <v>1.70</v>
      </c>
      <c r="K21" s="60">
        <v>208.28</v>
      </c>
      <c r="L21" s="60">
        <v>41.21</v>
      </c>
      <c r="M21" s="60">
        <v>55.63</v>
      </c>
      <c r="N21" s="60">
        <v>98.90</v>
      </c>
      <c r="O21" s="60">
        <v>0</v>
      </c>
      <c r="P21" s="60">
        <v>1.59</v>
      </c>
      <c r="Q21" s="60">
        <v>59.69</v>
      </c>
      <c r="R21" s="198"/>
      <c r="S21" s="198"/>
      <c r="T21" s="198"/>
      <c r="U21" s="198"/>
    </row>
    <row r="22" spans="1:21" s="12" customFormat="1" ht="15">
      <c r="A22" s="216" t="s">
        <v>834</v>
      </c>
      <c r="B22" s="60">
        <v>1.24</v>
      </c>
      <c r="C22" s="60">
        <v>19.78</v>
      </c>
      <c r="D22" s="60">
        <v>21.02</v>
      </c>
      <c r="E22" s="60">
        <v>6.87</v>
      </c>
      <c r="F22" s="60">
        <v>1.29</v>
      </c>
      <c r="G22" s="60">
        <v>77.69</v>
      </c>
      <c r="H22" s="60">
        <v>29.38</v>
      </c>
      <c r="I22" s="60">
        <v>4.70</v>
      </c>
      <c r="J22" s="60">
        <v>1.75</v>
      </c>
      <c r="K22" s="60">
        <v>199.90</v>
      </c>
      <c r="L22" s="60">
        <v>37.97</v>
      </c>
      <c r="M22" s="60">
        <v>56.17</v>
      </c>
      <c r="N22" s="60">
        <v>101.80</v>
      </c>
      <c r="O22" s="60">
        <v>0</v>
      </c>
      <c r="P22" s="60">
        <v>1.60</v>
      </c>
      <c r="Q22" s="60">
        <v>76.20</v>
      </c>
      <c r="R22" s="198"/>
      <c r="S22" s="198"/>
      <c r="T22" s="198"/>
      <c r="U22" s="198"/>
    </row>
    <row r="23" spans="1:21" s="12" customFormat="1" ht="15">
      <c r="A23" s="216" t="s">
        <v>835</v>
      </c>
      <c r="B23" s="60">
        <v>1.07</v>
      </c>
      <c r="C23" s="60">
        <v>20.010000000000002</v>
      </c>
      <c r="D23" s="60">
        <v>21.08</v>
      </c>
      <c r="E23" s="60">
        <v>7.32</v>
      </c>
      <c r="F23" s="60">
        <v>1.30</v>
      </c>
      <c r="G23" s="60">
        <v>77.69</v>
      </c>
      <c r="H23" s="60">
        <v>29.38</v>
      </c>
      <c r="I23" s="60">
        <v>4.7699999999999996</v>
      </c>
      <c r="J23" s="60">
        <v>1.44</v>
      </c>
      <c r="K23" s="60">
        <v>205.28</v>
      </c>
      <c r="L23" s="60">
        <v>37.880000000000003</v>
      </c>
      <c r="M23" s="60">
        <v>56.92</v>
      </c>
      <c r="N23" s="60">
        <v>103.20</v>
      </c>
      <c r="O23" s="60">
        <v>0</v>
      </c>
      <c r="P23" s="60">
        <v>1.61</v>
      </c>
      <c r="Q23" s="60">
        <v>80.400000000000006</v>
      </c>
      <c r="R23" s="198"/>
      <c r="S23" s="198"/>
      <c r="T23" s="198"/>
      <c r="U23" s="198"/>
    </row>
    <row r="24" spans="1:21" s="12" customFormat="1" ht="15">
      <c r="A24" s="216" t="s">
        <v>836</v>
      </c>
      <c r="B24" s="60">
        <v>0.95</v>
      </c>
      <c r="C24" s="60">
        <v>20.02</v>
      </c>
      <c r="D24" s="60">
        <v>20.97</v>
      </c>
      <c r="E24" s="60">
        <v>7.10</v>
      </c>
      <c r="F24" s="60">
        <v>1.22</v>
      </c>
      <c r="G24" s="60">
        <v>77.69</v>
      </c>
      <c r="H24" s="60">
        <v>29.38</v>
      </c>
      <c r="I24" s="60">
        <v>4.78</v>
      </c>
      <c r="J24" s="60">
        <v>1.43</v>
      </c>
      <c r="K24" s="60">
        <v>222.98</v>
      </c>
      <c r="L24" s="60">
        <v>38.369999999999997</v>
      </c>
      <c r="M24" s="60">
        <v>58</v>
      </c>
      <c r="N24" s="60">
        <v>118.40</v>
      </c>
      <c r="O24" s="60">
        <v>0</v>
      </c>
      <c r="P24" s="60">
        <v>1.59</v>
      </c>
      <c r="Q24" s="60">
        <v>78.55</v>
      </c>
      <c r="R24" s="198"/>
      <c r="S24" s="198"/>
      <c r="T24" s="198"/>
      <c r="U24" s="198"/>
    </row>
    <row r="25" spans="1:21" s="12" customFormat="1" ht="15">
      <c r="A25" s="216" t="s">
        <v>837</v>
      </c>
      <c r="B25" s="60">
        <v>0.91</v>
      </c>
      <c r="C25" s="60">
        <v>20.18</v>
      </c>
      <c r="D25" s="60">
        <v>21.09</v>
      </c>
      <c r="E25" s="60">
        <v>6.82</v>
      </c>
      <c r="F25" s="60">
        <v>1.35</v>
      </c>
      <c r="G25" s="60">
        <v>75.55</v>
      </c>
      <c r="H25" s="60">
        <v>29.42</v>
      </c>
      <c r="I25" s="60">
        <v>4.84</v>
      </c>
      <c r="J25" s="60">
        <v>1.06</v>
      </c>
      <c r="K25" s="60">
        <v>230.81</v>
      </c>
      <c r="L25" s="60">
        <v>38.159999999999997</v>
      </c>
      <c r="M25" s="60">
        <v>59.01</v>
      </c>
      <c r="N25" s="60">
        <v>121.20</v>
      </c>
      <c r="O25" s="60">
        <v>0</v>
      </c>
      <c r="P25" s="60">
        <v>1.58</v>
      </c>
      <c r="Q25" s="60">
        <v>75.06</v>
      </c>
      <c r="R25" s="198"/>
      <c r="S25" s="198"/>
      <c r="T25" s="198"/>
      <c r="U25" s="198"/>
    </row>
    <row r="26" spans="1:21" s="12" customFormat="1" ht="15">
      <c r="A26" s="216" t="s">
        <v>838</v>
      </c>
      <c r="B26" s="60">
        <v>0.96</v>
      </c>
      <c r="C26" s="60">
        <v>20.29</v>
      </c>
      <c r="D26" s="60">
        <v>21.25</v>
      </c>
      <c r="E26" s="60">
        <v>6.88</v>
      </c>
      <c r="F26" s="60">
        <v>1.20</v>
      </c>
      <c r="G26" s="60">
        <v>70.959999999999994</v>
      </c>
      <c r="H26" s="60">
        <v>29.54</v>
      </c>
      <c r="I26" s="60">
        <v>4.87</v>
      </c>
      <c r="J26" s="60">
        <v>1.55</v>
      </c>
      <c r="K26" s="60">
        <v>211.61</v>
      </c>
      <c r="L26" s="60">
        <v>35.40</v>
      </c>
      <c r="M26" s="60">
        <v>59.62</v>
      </c>
      <c r="N26" s="60">
        <v>126.60</v>
      </c>
      <c r="O26" s="60">
        <v>0</v>
      </c>
      <c r="P26" s="60">
        <v>1.60</v>
      </c>
      <c r="Q26" s="60">
        <v>72.25</v>
      </c>
      <c r="R26" s="198"/>
      <c r="S26" s="198"/>
      <c r="T26" s="198"/>
      <c r="U26" s="198"/>
    </row>
    <row r="27" spans="1:21" s="12" customFormat="1" ht="15">
      <c r="A27" s="216" t="s">
        <v>839</v>
      </c>
      <c r="B27" s="60">
        <v>0.99</v>
      </c>
      <c r="C27" s="60">
        <v>20.58</v>
      </c>
      <c r="D27" s="60">
        <v>21.57</v>
      </c>
      <c r="E27" s="60">
        <v>6.59</v>
      </c>
      <c r="F27" s="60">
        <v>0.87</v>
      </c>
      <c r="G27" s="60">
        <v>70.959999999999994</v>
      </c>
      <c r="H27" s="60">
        <v>29.54</v>
      </c>
      <c r="I27" s="60">
        <v>4.78</v>
      </c>
      <c r="J27" s="60">
        <v>1.19</v>
      </c>
      <c r="K27" s="60">
        <v>226.95</v>
      </c>
      <c r="L27" s="60">
        <v>43.43</v>
      </c>
      <c r="M27" s="60">
        <v>59.83</v>
      </c>
      <c r="N27" s="60">
        <v>100.30</v>
      </c>
      <c r="O27" s="60">
        <v>0</v>
      </c>
      <c r="P27" s="60">
        <v>1.61</v>
      </c>
      <c r="Q27" s="60">
        <v>70.12</v>
      </c>
      <c r="R27" s="198"/>
      <c r="S27" s="198"/>
      <c r="T27" s="198"/>
      <c r="U27" s="198"/>
    </row>
    <row r="28" spans="1:21" s="12" customFormat="1" ht="15">
      <c r="A28" s="216" t="s">
        <v>840</v>
      </c>
      <c r="B28" s="60">
        <v>1.02</v>
      </c>
      <c r="C28" s="60">
        <v>20.94</v>
      </c>
      <c r="D28" s="60">
        <v>21.96</v>
      </c>
      <c r="E28" s="60">
        <v>6.85</v>
      </c>
      <c r="F28" s="60">
        <v>0.72</v>
      </c>
      <c r="G28" s="60">
        <v>70.959999999999994</v>
      </c>
      <c r="H28" s="60">
        <v>29.54</v>
      </c>
      <c r="I28" s="60">
        <v>4.75</v>
      </c>
      <c r="J28" s="60">
        <v>0.80</v>
      </c>
      <c r="K28" s="60">
        <v>233.5</v>
      </c>
      <c r="L28" s="60">
        <v>39.64</v>
      </c>
      <c r="M28" s="60">
        <v>59.46</v>
      </c>
      <c r="N28" s="60">
        <v>57.10</v>
      </c>
      <c r="O28" s="60">
        <v>0</v>
      </c>
      <c r="P28" s="60">
        <v>1.63</v>
      </c>
      <c r="Q28" s="60">
        <v>69.87</v>
      </c>
      <c r="R28" s="198"/>
      <c r="S28" s="198"/>
      <c r="T28" s="198"/>
      <c r="U28" s="198"/>
    </row>
    <row r="29" spans="1:21" s="12" customFormat="1" ht="15">
      <c r="A29" s="216" t="s">
        <v>841</v>
      </c>
      <c r="B29" s="60">
        <v>1</v>
      </c>
      <c r="C29" s="60">
        <v>21.57</v>
      </c>
      <c r="D29" s="60">
        <v>22.57</v>
      </c>
      <c r="E29" s="60">
        <v>6.58</v>
      </c>
      <c r="F29" s="60">
        <v>1.05</v>
      </c>
      <c r="G29" s="60">
        <v>72.91</v>
      </c>
      <c r="H29" s="60">
        <v>30.73</v>
      </c>
      <c r="I29" s="60">
        <v>4.71</v>
      </c>
      <c r="J29" s="60">
        <v>0.80</v>
      </c>
      <c r="K29" s="60">
        <v>246.28</v>
      </c>
      <c r="L29" s="60">
        <v>38.53</v>
      </c>
      <c r="M29" s="60">
        <v>58.36</v>
      </c>
      <c r="N29" s="60">
        <v>77.400000000000006</v>
      </c>
      <c r="O29" s="60">
        <v>0</v>
      </c>
      <c r="P29" s="60">
        <v>1.61</v>
      </c>
      <c r="Q29" s="60">
        <v>69.22</v>
      </c>
      <c r="R29" s="198"/>
      <c r="S29" s="198"/>
      <c r="T29" s="198"/>
      <c r="U29" s="198"/>
    </row>
    <row r="30" spans="1:21" s="12" customFormat="1" ht="15">
      <c r="A30" s="216" t="s">
        <v>842</v>
      </c>
      <c r="B30" s="60">
        <v>1.01</v>
      </c>
      <c r="C30" s="60">
        <v>22.62</v>
      </c>
      <c r="D30" s="60">
        <v>23.63</v>
      </c>
      <c r="E30" s="60">
        <v>6.64</v>
      </c>
      <c r="F30" s="60">
        <v>1.1100000000000001</v>
      </c>
      <c r="G30" s="60">
        <v>78.37</v>
      </c>
      <c r="H30" s="60">
        <v>34.40</v>
      </c>
      <c r="I30" s="60">
        <v>4.68</v>
      </c>
      <c r="J30" s="60">
        <v>0.22</v>
      </c>
      <c r="K30" s="60">
        <v>296.08</v>
      </c>
      <c r="L30" s="60">
        <v>35.14</v>
      </c>
      <c r="M30" s="60">
        <v>57.86</v>
      </c>
      <c r="N30" s="60">
        <v>124.5</v>
      </c>
      <c r="O30" s="60">
        <v>0</v>
      </c>
      <c r="P30" s="60">
        <v>1.62</v>
      </c>
      <c r="Q30" s="60">
        <v>69.400000000000006</v>
      </c>
      <c r="R30" s="198"/>
      <c r="S30" s="198"/>
      <c r="T30" s="198"/>
      <c r="U30" s="198"/>
    </row>
    <row r="31" spans="1:21" s="12" customFormat="1" ht="15">
      <c r="A31" s="216" t="s">
        <v>843</v>
      </c>
      <c r="B31" s="60">
        <v>0.98</v>
      </c>
      <c r="C31" s="60">
        <v>23.19</v>
      </c>
      <c r="D31" s="60">
        <v>24.17</v>
      </c>
      <c r="E31" s="60">
        <v>6.51</v>
      </c>
      <c r="F31" s="60">
        <v>1.27</v>
      </c>
      <c r="G31" s="60">
        <v>78.37</v>
      </c>
      <c r="H31" s="60">
        <v>34.40</v>
      </c>
      <c r="I31" s="60">
        <v>4.6900000000000004</v>
      </c>
      <c r="J31" s="60">
        <v>0.44</v>
      </c>
      <c r="K31" s="60">
        <v>248.61</v>
      </c>
      <c r="L31" s="60">
        <v>36.58</v>
      </c>
      <c r="M31" s="60">
        <v>57.74</v>
      </c>
      <c r="N31" s="60">
        <v>125.80</v>
      </c>
      <c r="O31" s="60">
        <v>0</v>
      </c>
      <c r="P31" s="60">
        <v>1.62</v>
      </c>
      <c r="Q31" s="60">
        <v>74.47</v>
      </c>
      <c r="R31" s="198"/>
      <c r="S31" s="198"/>
      <c r="T31" s="198"/>
      <c r="U31" s="198"/>
    </row>
    <row r="32" spans="1:21" s="12" customFormat="1" ht="15">
      <c r="A32" s="216" t="s">
        <v>844</v>
      </c>
      <c r="B32" s="60">
        <v>1.08</v>
      </c>
      <c r="C32" s="60">
        <v>21.82</v>
      </c>
      <c r="D32" s="60">
        <v>22.90</v>
      </c>
      <c r="E32" s="60">
        <v>6.48</v>
      </c>
      <c r="F32" s="60">
        <v>1.92</v>
      </c>
      <c r="G32" s="60">
        <v>78.37</v>
      </c>
      <c r="H32" s="60">
        <v>34.40</v>
      </c>
      <c r="I32" s="60">
        <v>4.76</v>
      </c>
      <c r="J32" s="60">
        <v>0.46</v>
      </c>
      <c r="K32" s="60">
        <v>239.37</v>
      </c>
      <c r="L32" s="60">
        <v>37.64</v>
      </c>
      <c r="M32" s="60">
        <v>56.57</v>
      </c>
      <c r="N32" s="60">
        <v>86.20</v>
      </c>
      <c r="O32" s="60">
        <v>0</v>
      </c>
      <c r="P32" s="60">
        <v>1.66</v>
      </c>
      <c r="Q32" s="60">
        <v>66.709999999999994</v>
      </c>
      <c r="R32" s="198"/>
      <c r="S32" s="198"/>
      <c r="T32" s="198"/>
      <c r="U32" s="198"/>
    </row>
    <row r="33" spans="1:21" s="12" customFormat="1" ht="15">
      <c r="A33" s="216" t="s">
        <v>845</v>
      </c>
      <c r="B33" s="60">
        <v>1.27</v>
      </c>
      <c r="C33" s="60">
        <v>20.75</v>
      </c>
      <c r="D33" s="60">
        <v>22.02</v>
      </c>
      <c r="E33" s="60">
        <v>6.58</v>
      </c>
      <c r="F33" s="60">
        <v>1.54</v>
      </c>
      <c r="G33" s="60">
        <v>78.33</v>
      </c>
      <c r="H33" s="60">
        <v>34.06</v>
      </c>
      <c r="I33" s="60">
        <v>4.72</v>
      </c>
      <c r="J33" s="60">
        <v>0.36</v>
      </c>
      <c r="K33" s="60">
        <v>8.5</v>
      </c>
      <c r="L33" s="60">
        <v>37.28</v>
      </c>
      <c r="M33" s="60">
        <v>56.30</v>
      </c>
      <c r="N33" s="60">
        <v>164.5</v>
      </c>
      <c r="O33" s="60">
        <v>0</v>
      </c>
      <c r="P33" s="60">
        <v>1.68</v>
      </c>
      <c r="Q33" s="60">
        <v>52.10</v>
      </c>
      <c r="R33" s="198"/>
      <c r="S33" s="198"/>
      <c r="T33" s="198"/>
      <c r="U33" s="198"/>
    </row>
    <row r="34" spans="1:21" s="12" customFormat="1" ht="15">
      <c r="A34" s="216" t="s">
        <v>846</v>
      </c>
      <c r="B34" s="60">
        <v>1.48</v>
      </c>
      <c r="C34" s="60">
        <v>23.91</v>
      </c>
      <c r="D34" s="60">
        <v>25.39</v>
      </c>
      <c r="E34" s="60">
        <v>6.42</v>
      </c>
      <c r="F34" s="60">
        <v>1.20</v>
      </c>
      <c r="G34" s="60">
        <v>78.239999999999995</v>
      </c>
      <c r="H34" s="60">
        <v>33.03</v>
      </c>
      <c r="I34" s="60">
        <v>4.88</v>
      </c>
      <c r="J34" s="60">
        <v>0.43</v>
      </c>
      <c r="K34" s="60">
        <v>10.77</v>
      </c>
      <c r="L34" s="60">
        <v>36.840000000000003</v>
      </c>
      <c r="M34" s="60">
        <v>55.92</v>
      </c>
      <c r="N34" s="60">
        <v>239.40</v>
      </c>
      <c r="O34" s="60">
        <v>0</v>
      </c>
      <c r="P34" s="60">
        <v>1.67</v>
      </c>
      <c r="Q34" s="60">
        <v>51.55</v>
      </c>
      <c r="R34" s="198"/>
      <c r="S34" s="198"/>
      <c r="T34" s="198"/>
      <c r="U34" s="198"/>
    </row>
    <row r="35" spans="1:21" s="12" customFormat="1" ht="15">
      <c r="A35" s="216" t="s">
        <v>847</v>
      </c>
      <c r="B35" s="60">
        <v>1.65</v>
      </c>
      <c r="C35" s="60">
        <v>24.83</v>
      </c>
      <c r="D35" s="60">
        <v>26.48</v>
      </c>
      <c r="E35" s="60">
        <v>6</v>
      </c>
      <c r="F35" s="60">
        <v>1.1200000000000001</v>
      </c>
      <c r="G35" s="60">
        <v>78.239999999999995</v>
      </c>
      <c r="H35" s="60">
        <v>33.03</v>
      </c>
      <c r="I35" s="60">
        <v>5.01</v>
      </c>
      <c r="J35" s="60">
        <v>0.56999999999999995</v>
      </c>
      <c r="K35" s="60">
        <v>311.26</v>
      </c>
      <c r="L35" s="60">
        <v>38.380000000000003</v>
      </c>
      <c r="M35" s="60">
        <v>55.46</v>
      </c>
      <c r="N35" s="60">
        <v>292.80</v>
      </c>
      <c r="O35" s="60">
        <v>0</v>
      </c>
      <c r="P35" s="60">
        <v>1.71</v>
      </c>
      <c r="Q35" s="60">
        <v>54.42</v>
      </c>
      <c r="R35" s="198"/>
      <c r="S35" s="198"/>
      <c r="T35" s="198"/>
      <c r="U35" s="198"/>
    </row>
    <row r="36" spans="1:21" s="12" customFormat="1" ht="15">
      <c r="A36" s="216" t="s">
        <v>848</v>
      </c>
      <c r="B36" s="60">
        <v>1.97</v>
      </c>
      <c r="C36" s="60">
        <v>25.75</v>
      </c>
      <c r="D36" s="60">
        <v>27.71</v>
      </c>
      <c r="E36" s="60">
        <v>2.91</v>
      </c>
      <c r="F36" s="60">
        <v>1.31</v>
      </c>
      <c r="G36" s="60">
        <v>78.239999999999995</v>
      </c>
      <c r="H36" s="60">
        <v>33.03</v>
      </c>
      <c r="I36" s="60">
        <v>5.29</v>
      </c>
      <c r="J36" s="60">
        <v>1.08</v>
      </c>
      <c r="K36" s="60">
        <v>216.70</v>
      </c>
      <c r="L36" s="60">
        <v>38.520000000000003</v>
      </c>
      <c r="M36" s="60">
        <v>54.59</v>
      </c>
      <c r="N36" s="60">
        <v>353.60</v>
      </c>
      <c r="O36" s="60">
        <v>0</v>
      </c>
      <c r="P36" s="60">
        <v>1.74</v>
      </c>
      <c r="Q36" s="60">
        <v>54.37</v>
      </c>
      <c r="R36" s="198"/>
      <c r="S36" s="198"/>
      <c r="T36" s="198"/>
      <c r="U36" s="198"/>
    </row>
    <row r="37" spans="1:21" s="12" customFormat="1" ht="15">
      <c r="A37" s="216" t="s">
        <v>849</v>
      </c>
      <c r="B37" s="60">
        <v>1.94</v>
      </c>
      <c r="C37" s="60">
        <v>26</v>
      </c>
      <c r="D37" s="60">
        <v>27.94</v>
      </c>
      <c r="E37" s="60">
        <v>5.66</v>
      </c>
      <c r="F37" s="60">
        <v>1.61</v>
      </c>
      <c r="G37" s="60">
        <v>82.47</v>
      </c>
      <c r="H37" s="60">
        <v>35.78</v>
      </c>
      <c r="I37" s="60">
        <v>5.51</v>
      </c>
      <c r="J37" s="60">
        <v>0.13</v>
      </c>
      <c r="K37" s="60">
        <v>8.0500000000000007</v>
      </c>
      <c r="L37" s="60">
        <v>36.03</v>
      </c>
      <c r="M37" s="60">
        <v>53.81</v>
      </c>
      <c r="N37" s="60">
        <v>397.80</v>
      </c>
      <c r="O37" s="60">
        <v>0</v>
      </c>
      <c r="P37" s="60">
        <v>1.77</v>
      </c>
      <c r="Q37" s="60">
        <v>53.10</v>
      </c>
      <c r="R37" s="198"/>
      <c r="S37" s="198"/>
      <c r="T37" s="198"/>
      <c r="U37" s="198"/>
    </row>
    <row r="38" spans="1:21" s="12" customFormat="1" ht="15">
      <c r="A38" s="216" t="s">
        <v>850</v>
      </c>
      <c r="B38" s="60">
        <v>1.85</v>
      </c>
      <c r="C38" s="60">
        <v>27.47</v>
      </c>
      <c r="D38" s="60">
        <v>29.32</v>
      </c>
      <c r="E38" s="60">
        <v>5.92</v>
      </c>
      <c r="F38" s="60">
        <v>2.69</v>
      </c>
      <c r="G38" s="60">
        <v>101.54</v>
      </c>
      <c r="H38" s="60">
        <v>44.28</v>
      </c>
      <c r="I38" s="60">
        <v>5.64</v>
      </c>
      <c r="J38" s="60">
        <v>0.10</v>
      </c>
      <c r="K38" s="60">
        <v>159.09</v>
      </c>
      <c r="L38" s="60">
        <v>33.369999999999997</v>
      </c>
      <c r="M38" s="60">
        <v>52.12</v>
      </c>
      <c r="N38" s="60">
        <v>468.5</v>
      </c>
      <c r="O38" s="60">
        <v>0</v>
      </c>
      <c r="P38" s="60">
        <v>1.78</v>
      </c>
      <c r="Q38" s="60">
        <v>51.66</v>
      </c>
      <c r="R38" s="198"/>
      <c r="S38" s="198"/>
      <c r="T38" s="198"/>
      <c r="U38" s="198"/>
    </row>
    <row r="39" spans="1:21" s="12" customFormat="1" ht="15">
      <c r="A39" s="216" t="s">
        <v>851</v>
      </c>
      <c r="B39" s="60">
        <v>1.44</v>
      </c>
      <c r="C39" s="60">
        <v>30.89</v>
      </c>
      <c r="D39" s="60">
        <v>32.33</v>
      </c>
      <c r="E39" s="60">
        <v>5.98</v>
      </c>
      <c r="F39" s="60">
        <v>1.93</v>
      </c>
      <c r="G39" s="60">
        <v>101.54</v>
      </c>
      <c r="H39" s="60">
        <v>44.28</v>
      </c>
      <c r="I39" s="60">
        <v>5.73</v>
      </c>
      <c r="J39" s="60">
        <v>0.33</v>
      </c>
      <c r="K39" s="60">
        <v>43.89</v>
      </c>
      <c r="L39" s="60">
        <v>34.049999999999997</v>
      </c>
      <c r="M39" s="60">
        <v>50.59</v>
      </c>
      <c r="N39" s="60">
        <v>519.60</v>
      </c>
      <c r="O39" s="60">
        <v>0</v>
      </c>
      <c r="P39" s="60">
        <v>1.81</v>
      </c>
      <c r="Q39" s="60">
        <v>54.28</v>
      </c>
      <c r="R39" s="198"/>
      <c r="S39" s="198"/>
      <c r="T39" s="198"/>
      <c r="U39" s="198"/>
    </row>
    <row r="40" spans="1:21" s="12" customFormat="1" ht="15">
      <c r="A40" s="216" t="s">
        <v>852</v>
      </c>
      <c r="B40" s="60">
        <v>1.22</v>
      </c>
      <c r="C40" s="60">
        <v>32.94</v>
      </c>
      <c r="D40" s="60">
        <v>34.159999999999997</v>
      </c>
      <c r="E40" s="60">
        <v>5.82</v>
      </c>
      <c r="F40" s="60">
        <v>1.98</v>
      </c>
      <c r="G40" s="60">
        <v>101.54</v>
      </c>
      <c r="H40" s="60">
        <v>44.28</v>
      </c>
      <c r="I40" s="60">
        <v>5.71</v>
      </c>
      <c r="J40" s="60">
        <v>0.47</v>
      </c>
      <c r="K40" s="60">
        <v>235.66</v>
      </c>
      <c r="L40" s="60">
        <v>38.54</v>
      </c>
      <c r="M40" s="60">
        <v>48.28</v>
      </c>
      <c r="N40" s="60">
        <v>559.5</v>
      </c>
      <c r="O40" s="60">
        <v>0</v>
      </c>
      <c r="P40" s="60">
        <v>1.85</v>
      </c>
      <c r="Q40" s="60">
        <v>71.78</v>
      </c>
      <c r="R40" s="198"/>
      <c r="S40" s="198"/>
      <c r="T40" s="198"/>
      <c r="U40" s="198"/>
    </row>
    <row r="41" spans="1:21" s="12" customFormat="1" ht="15">
      <c r="A41" s="216" t="s">
        <v>853</v>
      </c>
      <c r="B41" s="60">
        <v>1.01</v>
      </c>
      <c r="C41" s="60">
        <v>32.15</v>
      </c>
      <c r="D41" s="60">
        <v>33.159999999999997</v>
      </c>
      <c r="E41" s="60">
        <v>5.5</v>
      </c>
      <c r="F41" s="60">
        <v>2.40</v>
      </c>
      <c r="G41" s="60">
        <v>104.61</v>
      </c>
      <c r="H41" s="60">
        <v>44.76</v>
      </c>
      <c r="I41" s="60">
        <v>6.08</v>
      </c>
      <c r="J41" s="60">
        <v>0.61</v>
      </c>
      <c r="K41" s="60">
        <v>248.82</v>
      </c>
      <c r="L41" s="60">
        <v>40.130000000000003</v>
      </c>
      <c r="M41" s="60">
        <v>47.43</v>
      </c>
      <c r="N41" s="60">
        <v>628.40</v>
      </c>
      <c r="O41" s="60">
        <v>0</v>
      </c>
      <c r="P41" s="60">
        <v>1.90</v>
      </c>
      <c r="Q41" s="60">
        <v>73.569999999999993</v>
      </c>
      <c r="R41" s="198"/>
      <c r="S41" s="198"/>
      <c r="T41" s="198"/>
      <c r="U41" s="198"/>
    </row>
    <row r="42" spans="1:21" s="12" customFormat="1" ht="15">
      <c r="A42" s="216" t="s">
        <v>854</v>
      </c>
      <c r="B42" s="60">
        <v>0.96</v>
      </c>
      <c r="C42" s="60">
        <v>31.67</v>
      </c>
      <c r="D42" s="60">
        <v>32.630000000000003</v>
      </c>
      <c r="E42" s="60">
        <v>5.42</v>
      </c>
      <c r="F42" s="60">
        <v>2.64</v>
      </c>
      <c r="G42" s="60">
        <v>111.20</v>
      </c>
      <c r="H42" s="60">
        <v>46.23</v>
      </c>
      <c r="I42" s="60">
        <v>6.64</v>
      </c>
      <c r="J42" s="60">
        <v>0.13</v>
      </c>
      <c r="K42" s="60">
        <v>241.23</v>
      </c>
      <c r="L42" s="60">
        <v>40.64</v>
      </c>
      <c r="M42" s="60">
        <v>46.11</v>
      </c>
      <c r="N42" s="60">
        <v>652.29999999999995</v>
      </c>
      <c r="O42" s="60">
        <v>0</v>
      </c>
      <c r="P42" s="60">
        <v>1.94</v>
      </c>
      <c r="Q42" s="60">
        <v>70.16</v>
      </c>
      <c r="R42" s="198"/>
      <c r="S42" s="198"/>
      <c r="T42" s="198"/>
      <c r="U42" s="198"/>
    </row>
    <row r="43" spans="1:21" s="12" customFormat="1" ht="15">
      <c r="A43" s="216" t="s">
        <v>855</v>
      </c>
      <c r="B43" s="60">
        <v>0.88</v>
      </c>
      <c r="C43" s="60">
        <v>31.10</v>
      </c>
      <c r="D43" s="60">
        <v>31.98</v>
      </c>
      <c r="E43" s="60">
        <v>5.0599999999999996</v>
      </c>
      <c r="F43" s="60">
        <v>2.97</v>
      </c>
      <c r="G43" s="60">
        <v>111.20</v>
      </c>
      <c r="H43" s="60">
        <v>46.23</v>
      </c>
      <c r="I43" s="60">
        <v>6.91</v>
      </c>
      <c r="J43" s="60">
        <v>0.44</v>
      </c>
      <c r="K43" s="60">
        <v>207.76</v>
      </c>
      <c r="L43" s="60">
        <v>41.25</v>
      </c>
      <c r="M43" s="60">
        <v>44.58</v>
      </c>
      <c r="N43" s="60">
        <v>715.80</v>
      </c>
      <c r="O43" s="60">
        <v>0</v>
      </c>
      <c r="P43" s="60">
        <v>1.92</v>
      </c>
      <c r="Q43" s="60">
        <v>66.36</v>
      </c>
      <c r="R43" s="198"/>
      <c r="S43" s="198"/>
      <c r="T43" s="198"/>
      <c r="U43" s="198"/>
    </row>
    <row r="44" spans="1:21" s="12" customFormat="1" ht="15">
      <c r="A44" s="216" t="s">
        <v>856</v>
      </c>
      <c r="B44" s="60">
        <v>0.80</v>
      </c>
      <c r="C44" s="60">
        <v>30.94</v>
      </c>
      <c r="D44" s="60">
        <v>31.74</v>
      </c>
      <c r="E44" s="60">
        <v>5.1100000000000003</v>
      </c>
      <c r="F44" s="60">
        <v>3.17</v>
      </c>
      <c r="G44" s="60">
        <v>111.20</v>
      </c>
      <c r="H44" s="60">
        <v>46.23</v>
      </c>
      <c r="I44" s="60">
        <v>7.19</v>
      </c>
      <c r="J44" s="60">
        <v>0.56999999999999995</v>
      </c>
      <c r="K44" s="60">
        <v>224.47</v>
      </c>
      <c r="L44" s="60">
        <v>40.590000000000003</v>
      </c>
      <c r="M44" s="60">
        <v>42.06</v>
      </c>
      <c r="N44" s="60">
        <v>786.70</v>
      </c>
      <c r="O44" s="60">
        <v>0</v>
      </c>
      <c r="P44" s="60">
        <v>1.98</v>
      </c>
      <c r="Q44" s="60">
        <v>61.70</v>
      </c>
      <c r="R44" s="198"/>
      <c r="S44" s="198"/>
      <c r="T44" s="198"/>
      <c r="U44" s="198"/>
    </row>
    <row r="45" spans="1:21" s="12" customFormat="1" ht="15">
      <c r="A45" s="216" t="s">
        <v>857</v>
      </c>
      <c r="B45" s="60">
        <v>0.97</v>
      </c>
      <c r="C45" s="60">
        <v>31.04</v>
      </c>
      <c r="D45" s="60">
        <v>32.01</v>
      </c>
      <c r="E45" s="60">
        <v>4.91</v>
      </c>
      <c r="F45" s="60">
        <v>3.15</v>
      </c>
      <c r="G45" s="60">
        <v>111.87</v>
      </c>
      <c r="H45" s="60">
        <v>46.71</v>
      </c>
      <c r="I45" s="60">
        <v>7.40</v>
      </c>
      <c r="J45" s="60">
        <v>1.03</v>
      </c>
      <c r="K45" s="60">
        <v>299.87</v>
      </c>
      <c r="L45" s="60">
        <v>43.31</v>
      </c>
      <c r="M45" s="60">
        <v>39.65</v>
      </c>
      <c r="N45" s="60">
        <v>816.10</v>
      </c>
      <c r="O45" s="60">
        <v>0</v>
      </c>
      <c r="P45" s="60">
        <v>2.0299999999999998</v>
      </c>
      <c r="Q45" s="60">
        <v>58.5</v>
      </c>
      <c r="R45" s="198"/>
      <c r="S45" s="198"/>
      <c r="T45" s="198"/>
      <c r="U45" s="198"/>
    </row>
    <row r="46" spans="1:21" s="12" customFormat="1" ht="15">
      <c r="A46" s="216" t="s">
        <v>858</v>
      </c>
      <c r="B46" s="60">
        <v>1.35</v>
      </c>
      <c r="C46" s="60">
        <v>32.28</v>
      </c>
      <c r="D46" s="60">
        <v>33.630000000000003</v>
      </c>
      <c r="E46" s="60">
        <v>5.27</v>
      </c>
      <c r="F46" s="60">
        <v>3.22</v>
      </c>
      <c r="G46" s="60">
        <v>113.31</v>
      </c>
      <c r="H46" s="60">
        <v>48.20</v>
      </c>
      <c r="I46" s="60">
        <v>7.71</v>
      </c>
      <c r="J46" s="60">
        <v>1.56</v>
      </c>
      <c r="K46" s="60">
        <v>309.05</v>
      </c>
      <c r="L46" s="60">
        <v>43.42</v>
      </c>
      <c r="M46" s="60">
        <v>35.42</v>
      </c>
      <c r="N46" s="60">
        <v>854.40</v>
      </c>
      <c r="O46" s="60">
        <v>0</v>
      </c>
      <c r="P46" s="60">
        <v>2.14</v>
      </c>
      <c r="Q46" s="60">
        <v>56.93</v>
      </c>
      <c r="R46" s="198"/>
      <c r="S46" s="198"/>
      <c r="T46" s="198"/>
      <c r="U46" s="198"/>
    </row>
    <row r="47" spans="1:21" s="12" customFormat="1" ht="15">
      <c r="A47" s="216" t="s">
        <v>859</v>
      </c>
      <c r="B47" s="60">
        <v>1.27</v>
      </c>
      <c r="C47" s="60">
        <v>33.479999999999997</v>
      </c>
      <c r="D47" s="60">
        <v>34.76</v>
      </c>
      <c r="E47" s="60">
        <v>5.58</v>
      </c>
      <c r="F47" s="60">
        <v>3.47</v>
      </c>
      <c r="G47" s="60">
        <v>113.31</v>
      </c>
      <c r="H47" s="60">
        <v>48.20</v>
      </c>
      <c r="I47" s="60">
        <v>7.97</v>
      </c>
      <c r="J47" s="60">
        <v>2.11</v>
      </c>
      <c r="K47" s="60">
        <v>324.56</v>
      </c>
      <c r="L47" s="60">
        <v>47.19</v>
      </c>
      <c r="M47" s="60">
        <v>31.53</v>
      </c>
      <c r="N47" s="60">
        <v>892.30</v>
      </c>
      <c r="O47" s="60">
        <v>0</v>
      </c>
      <c r="P47" s="60">
        <v>2.13</v>
      </c>
      <c r="Q47" s="60">
        <v>55.55</v>
      </c>
      <c r="R47" s="198"/>
      <c r="S47" s="198"/>
      <c r="T47" s="198"/>
      <c r="U47" s="198"/>
    </row>
    <row r="48" spans="1:21" s="12" customFormat="1" ht="15">
      <c r="A48" s="216" t="s">
        <v>860</v>
      </c>
      <c r="B48" s="60">
        <v>1.25</v>
      </c>
      <c r="C48" s="60">
        <v>34.82</v>
      </c>
      <c r="D48" s="60">
        <v>36.07</v>
      </c>
      <c r="E48" s="60">
        <v>5.45</v>
      </c>
      <c r="F48" s="60">
        <v>3.46</v>
      </c>
      <c r="G48" s="60">
        <v>113.31</v>
      </c>
      <c r="H48" s="60">
        <v>48.20</v>
      </c>
      <c r="I48" s="60">
        <v>8.40</v>
      </c>
      <c r="J48" s="60">
        <v>1.86</v>
      </c>
      <c r="K48" s="60">
        <v>339.75</v>
      </c>
      <c r="L48" s="60">
        <v>48.42</v>
      </c>
      <c r="M48" s="60">
        <v>29.10</v>
      </c>
      <c r="N48" s="60">
        <v>909</v>
      </c>
      <c r="O48" s="60">
        <v>0</v>
      </c>
      <c r="P48" s="60">
        <v>2.14</v>
      </c>
      <c r="Q48" s="60">
        <v>54.10</v>
      </c>
      <c r="R48" s="198"/>
      <c r="S48" s="198"/>
      <c r="T48" s="198"/>
      <c r="U48" s="198"/>
    </row>
    <row r="49" spans="1:21" s="12" customFormat="1" ht="15">
      <c r="A49" s="216" t="s">
        <v>861</v>
      </c>
      <c r="B49" s="60">
        <v>1.25</v>
      </c>
      <c r="C49" s="60">
        <v>34.99</v>
      </c>
      <c r="D49" s="60">
        <v>36.229999999999997</v>
      </c>
      <c r="E49" s="60">
        <v>5.58</v>
      </c>
      <c r="F49" s="60">
        <v>3.86</v>
      </c>
      <c r="G49" s="60">
        <v>115.73</v>
      </c>
      <c r="H49" s="60">
        <v>47.34</v>
      </c>
      <c r="I49" s="60">
        <v>8.3699999999999992</v>
      </c>
      <c r="J49" s="60">
        <v>1.96</v>
      </c>
      <c r="K49" s="60">
        <v>325.85000000000002</v>
      </c>
      <c r="L49" s="60">
        <v>48.20</v>
      </c>
      <c r="M49" s="60">
        <v>27.23</v>
      </c>
      <c r="N49" s="60">
        <v>986.80</v>
      </c>
      <c r="O49" s="60">
        <v>0</v>
      </c>
      <c r="P49" s="60">
        <v>2.13</v>
      </c>
      <c r="Q49" s="60">
        <v>57.15</v>
      </c>
      <c r="R49" s="198"/>
      <c r="S49" s="198"/>
      <c r="T49" s="198"/>
      <c r="U49" s="198"/>
    </row>
    <row r="50" spans="1:21" s="12" customFormat="1" ht="15">
      <c r="A50" s="216" t="s">
        <v>862</v>
      </c>
      <c r="B50" s="60">
        <v>1.33</v>
      </c>
      <c r="C50" s="60">
        <v>33.06</v>
      </c>
      <c r="D50" s="60">
        <v>34.380000000000003</v>
      </c>
      <c r="E50" s="60">
        <v>5.63</v>
      </c>
      <c r="F50" s="60">
        <v>4.05</v>
      </c>
      <c r="G50" s="60">
        <v>120.92</v>
      </c>
      <c r="H50" s="60">
        <v>44.66</v>
      </c>
      <c r="I50" s="60">
        <v>8.19</v>
      </c>
      <c r="J50" s="60">
        <v>2.02</v>
      </c>
      <c r="K50" s="60">
        <v>328.62</v>
      </c>
      <c r="L50" s="60">
        <v>52.43</v>
      </c>
      <c r="M50" s="60">
        <v>24.94</v>
      </c>
      <c r="N50" s="60">
        <v>987.20</v>
      </c>
      <c r="O50" s="60">
        <v>0</v>
      </c>
      <c r="P50" s="60">
        <v>2.14</v>
      </c>
      <c r="Q50" s="60">
        <v>52.40</v>
      </c>
      <c r="R50" s="198"/>
      <c r="S50" s="198"/>
      <c r="T50" s="198"/>
      <c r="U50" s="198"/>
    </row>
    <row r="51" spans="1:21" s="12" customFormat="1" ht="15">
      <c r="A51" s="216" t="s">
        <v>863</v>
      </c>
      <c r="B51" s="60">
        <v>1.42</v>
      </c>
      <c r="C51" s="60">
        <v>32.74</v>
      </c>
      <c r="D51" s="60">
        <v>34.159999999999997</v>
      </c>
      <c r="E51" s="60">
        <v>5.47</v>
      </c>
      <c r="F51" s="60">
        <v>3.98</v>
      </c>
      <c r="G51" s="60">
        <v>120.92</v>
      </c>
      <c r="H51" s="60">
        <v>44.66</v>
      </c>
      <c r="I51" s="60">
        <v>7.96</v>
      </c>
      <c r="J51" s="60">
        <v>1.1399999999999999</v>
      </c>
      <c r="K51" s="60">
        <v>345.27</v>
      </c>
      <c r="L51" s="60">
        <v>52.54</v>
      </c>
      <c r="M51" s="60">
        <v>24.23</v>
      </c>
      <c r="N51" s="60">
        <v>1005.30</v>
      </c>
      <c r="O51" s="60">
        <v>0</v>
      </c>
      <c r="P51" s="60">
        <v>2.12</v>
      </c>
      <c r="Q51" s="60">
        <v>40.549999999999997</v>
      </c>
      <c r="R51" s="198"/>
      <c r="S51" s="198"/>
      <c r="T51" s="198"/>
      <c r="U51" s="198"/>
    </row>
    <row r="52" spans="1:21" s="12" customFormat="1" ht="15">
      <c r="A52" s="216" t="s">
        <v>864</v>
      </c>
      <c r="B52" s="60">
        <v>1.54</v>
      </c>
      <c r="C52" s="60">
        <v>35.49</v>
      </c>
      <c r="D52" s="60">
        <v>37.020000000000003</v>
      </c>
      <c r="E52" s="60">
        <v>2.62</v>
      </c>
      <c r="F52" s="60">
        <v>3.79</v>
      </c>
      <c r="G52" s="60">
        <v>120.92</v>
      </c>
      <c r="H52" s="60">
        <v>44.66</v>
      </c>
      <c r="I52" s="60">
        <v>7.59</v>
      </c>
      <c r="J52" s="60">
        <v>2.82</v>
      </c>
      <c r="K52" s="60">
        <v>2.5499999999999998</v>
      </c>
      <c r="L52" s="60">
        <v>53.05</v>
      </c>
      <c r="M52" s="60">
        <v>20.56</v>
      </c>
      <c r="N52" s="60">
        <v>1015.90</v>
      </c>
      <c r="O52" s="60">
        <v>0</v>
      </c>
      <c r="P52" s="60">
        <v>2.10</v>
      </c>
      <c r="Q52" s="60">
        <v>38.71</v>
      </c>
      <c r="R52" s="198"/>
      <c r="S52" s="198"/>
      <c r="T52" s="198"/>
      <c r="U52" s="198"/>
    </row>
    <row r="53" spans="1:21" s="12" customFormat="1" ht="15">
      <c r="A53" s="216" t="s">
        <v>865</v>
      </c>
      <c r="B53" s="60">
        <v>2.12</v>
      </c>
      <c r="C53" s="60">
        <v>37.07</v>
      </c>
      <c r="D53" s="60">
        <v>39.18</v>
      </c>
      <c r="E53" s="60">
        <v>5.13</v>
      </c>
      <c r="F53" s="60">
        <v>3.25</v>
      </c>
      <c r="G53" s="60">
        <v>121.12</v>
      </c>
      <c r="H53" s="60">
        <v>43.93</v>
      </c>
      <c r="I53" s="60">
        <v>6.75</v>
      </c>
      <c r="J53" s="60">
        <v>2.87</v>
      </c>
      <c r="K53" s="60">
        <v>355.75</v>
      </c>
      <c r="L53" s="60">
        <v>52.94</v>
      </c>
      <c r="M53" s="60">
        <v>19.57</v>
      </c>
      <c r="N53" s="60">
        <v>1026</v>
      </c>
      <c r="O53" s="60">
        <v>0</v>
      </c>
      <c r="P53" s="60">
        <v>2.09</v>
      </c>
      <c r="Q53" s="60">
        <v>45.60</v>
      </c>
      <c r="R53" s="198"/>
      <c r="S53" s="198"/>
      <c r="T53" s="198"/>
      <c r="U53" s="198"/>
    </row>
    <row r="54" spans="1:21" s="12" customFormat="1" ht="15">
      <c r="A54" s="216" t="s">
        <v>866</v>
      </c>
      <c r="B54" s="60">
        <v>2.2400000000000002</v>
      </c>
      <c r="C54" s="60">
        <v>37.840000000000003</v>
      </c>
      <c r="D54" s="60">
        <v>40.08</v>
      </c>
      <c r="E54" s="60">
        <v>5.33</v>
      </c>
      <c r="F54" s="60">
        <v>3.26</v>
      </c>
      <c r="G54" s="60">
        <v>121.56</v>
      </c>
      <c r="H54" s="60">
        <v>41.67</v>
      </c>
      <c r="I54" s="60">
        <v>6.97</v>
      </c>
      <c r="J54" s="60">
        <v>2.04</v>
      </c>
      <c r="K54" s="60">
        <v>343.35</v>
      </c>
      <c r="L54" s="60">
        <v>52.43</v>
      </c>
      <c r="M54" s="60">
        <v>19.91</v>
      </c>
      <c r="N54" s="60">
        <v>1033.5</v>
      </c>
      <c r="O54" s="60">
        <v>0</v>
      </c>
      <c r="P54" s="60">
        <v>2.09</v>
      </c>
      <c r="Q54" s="60">
        <v>46.33</v>
      </c>
      <c r="R54" s="198"/>
      <c r="S54" s="198"/>
      <c r="T54" s="198"/>
      <c r="U54" s="198"/>
    </row>
    <row r="55" spans="1:21" s="12" customFormat="1" ht="15">
      <c r="A55" s="216" t="s">
        <v>867</v>
      </c>
      <c r="B55" s="60">
        <v>1.93</v>
      </c>
      <c r="C55" s="60">
        <v>40.840000000000003</v>
      </c>
      <c r="D55" s="60">
        <v>42.77</v>
      </c>
      <c r="E55" s="60">
        <v>5.67</v>
      </c>
      <c r="F55" s="60">
        <v>3.35</v>
      </c>
      <c r="G55" s="60">
        <v>121.56</v>
      </c>
      <c r="H55" s="60">
        <v>41.67</v>
      </c>
      <c r="I55" s="60">
        <v>6.47</v>
      </c>
      <c r="J55" s="60">
        <v>1.66</v>
      </c>
      <c r="K55" s="60">
        <v>357.89</v>
      </c>
      <c r="L55" s="60">
        <v>51.81</v>
      </c>
      <c r="M55" s="60">
        <v>20.12</v>
      </c>
      <c r="N55" s="60">
        <v>1056.70</v>
      </c>
      <c r="O55" s="60">
        <v>0</v>
      </c>
      <c r="P55" s="60">
        <v>2.10</v>
      </c>
      <c r="Q55" s="60">
        <v>50.82</v>
      </c>
      <c r="R55" s="198"/>
      <c r="S55" s="198"/>
      <c r="T55" s="198"/>
      <c r="U55" s="198"/>
    </row>
    <row r="56" spans="1:21" s="12" customFormat="1" ht="15">
      <c r="A56" s="216" t="s">
        <v>868</v>
      </c>
      <c r="B56" s="60">
        <v>1.67</v>
      </c>
      <c r="C56" s="60">
        <v>40.72</v>
      </c>
      <c r="D56" s="60">
        <v>42.39</v>
      </c>
      <c r="E56" s="60">
        <v>6.05</v>
      </c>
      <c r="F56" s="60">
        <v>3.62</v>
      </c>
      <c r="G56" s="60">
        <v>121.56</v>
      </c>
      <c r="H56" s="60">
        <v>41.67</v>
      </c>
      <c r="I56" s="60">
        <v>6.25</v>
      </c>
      <c r="J56" s="60">
        <v>2.2000000000000002</v>
      </c>
      <c r="K56" s="60">
        <v>3.54</v>
      </c>
      <c r="L56" s="60">
        <v>50.20</v>
      </c>
      <c r="M56" s="60">
        <v>19.489999999999998</v>
      </c>
      <c r="N56" s="60">
        <v>1008.10</v>
      </c>
      <c r="O56" s="60">
        <v>0</v>
      </c>
      <c r="P56" s="60">
        <v>2.09</v>
      </c>
      <c r="Q56" s="60">
        <v>53.95</v>
      </c>
      <c r="R56" s="198"/>
      <c r="S56" s="198"/>
      <c r="T56" s="198"/>
      <c r="U56" s="198"/>
    </row>
    <row r="57" spans="1:21" s="12" customFormat="1" ht="15">
      <c r="A57" s="216" t="s">
        <v>869</v>
      </c>
      <c r="B57" s="60">
        <v>1.55</v>
      </c>
      <c r="C57" s="60">
        <v>43.74</v>
      </c>
      <c r="D57" s="60">
        <v>45.29</v>
      </c>
      <c r="E57" s="60">
        <v>5.95</v>
      </c>
      <c r="F57" s="60">
        <v>3.86</v>
      </c>
      <c r="G57" s="60">
        <v>121.98</v>
      </c>
      <c r="H57" s="60">
        <v>42.49</v>
      </c>
      <c r="I57" s="60">
        <v>6.18</v>
      </c>
      <c r="J57" s="60">
        <v>1.90</v>
      </c>
      <c r="K57" s="60">
        <v>353.76</v>
      </c>
      <c r="L57" s="60">
        <v>46.03</v>
      </c>
      <c r="M57" s="60">
        <v>19.079999999999998</v>
      </c>
      <c r="N57" s="60">
        <v>1169.30</v>
      </c>
      <c r="O57" s="60">
        <v>0</v>
      </c>
      <c r="P57" s="60">
        <v>2.09</v>
      </c>
      <c r="Q57" s="60">
        <v>59.57</v>
      </c>
      <c r="R57" s="198"/>
      <c r="S57" s="198"/>
      <c r="T57" s="198"/>
      <c r="U57" s="198"/>
    </row>
    <row r="58" spans="1:21" s="12" customFormat="1" ht="15">
      <c r="A58" s="216" t="s">
        <v>870</v>
      </c>
      <c r="B58" s="60">
        <v>1.55</v>
      </c>
      <c r="C58" s="60">
        <v>45.28</v>
      </c>
      <c r="D58" s="60">
        <v>46.83</v>
      </c>
      <c r="E58" s="60">
        <v>5.88</v>
      </c>
      <c r="F58" s="60">
        <v>4.53</v>
      </c>
      <c r="G58" s="60">
        <v>122.99</v>
      </c>
      <c r="H58" s="60">
        <v>45.02</v>
      </c>
      <c r="I58" s="60">
        <v>6.17</v>
      </c>
      <c r="J58" s="60">
        <v>1.99</v>
      </c>
      <c r="K58" s="60">
        <v>334.78</v>
      </c>
      <c r="L58" s="60">
        <v>50.43</v>
      </c>
      <c r="M58" s="60">
        <v>18.03</v>
      </c>
      <c r="N58" s="60">
        <v>1036.5</v>
      </c>
      <c r="O58" s="60">
        <v>0</v>
      </c>
      <c r="P58" s="60">
        <v>2.09</v>
      </c>
      <c r="Q58" s="60">
        <v>71.58</v>
      </c>
      <c r="R58" s="198"/>
      <c r="S58" s="198"/>
      <c r="T58" s="198"/>
      <c r="U58" s="198"/>
    </row>
    <row r="59" spans="1:21" s="12" customFormat="1" ht="15">
      <c r="A59" s="216" t="s">
        <v>871</v>
      </c>
      <c r="B59" s="60">
        <v>1.26</v>
      </c>
      <c r="C59" s="60">
        <v>44.58</v>
      </c>
      <c r="D59" s="60">
        <v>45.84</v>
      </c>
      <c r="E59" s="60">
        <v>5.77</v>
      </c>
      <c r="F59" s="60">
        <v>5.17</v>
      </c>
      <c r="G59" s="60">
        <v>122.99</v>
      </c>
      <c r="H59" s="60">
        <v>45.02</v>
      </c>
      <c r="I59" s="60">
        <v>4.53</v>
      </c>
      <c r="J59" s="60">
        <v>1.54</v>
      </c>
      <c r="K59" s="60">
        <v>22.12</v>
      </c>
      <c r="L59" s="60">
        <v>46.53</v>
      </c>
      <c r="M59" s="60">
        <v>16.96</v>
      </c>
      <c r="N59" s="60">
        <v>1095.5</v>
      </c>
      <c r="O59" s="60">
        <v>0</v>
      </c>
      <c r="P59" s="60">
        <v>2.06</v>
      </c>
      <c r="Q59" s="60">
        <v>75.27</v>
      </c>
      <c r="R59" s="198"/>
      <c r="S59" s="198"/>
      <c r="T59" s="198"/>
      <c r="U59" s="198"/>
    </row>
    <row r="60" spans="1:21" s="12" customFormat="1" ht="15">
      <c r="A60" s="216" t="s">
        <v>872</v>
      </c>
      <c r="B60" s="60">
        <v>1.06</v>
      </c>
      <c r="C60" s="60">
        <v>43.56</v>
      </c>
      <c r="D60" s="60">
        <v>44.62</v>
      </c>
      <c r="E60" s="60">
        <v>6</v>
      </c>
      <c r="F60" s="60">
        <v>5.64</v>
      </c>
      <c r="G60" s="60">
        <v>122.99</v>
      </c>
      <c r="H60" s="60">
        <v>45.02</v>
      </c>
      <c r="I60" s="60">
        <v>0.89</v>
      </c>
      <c r="J60" s="60">
        <v>1.95</v>
      </c>
      <c r="K60" s="60">
        <v>350.31</v>
      </c>
      <c r="L60" s="60">
        <v>54.97</v>
      </c>
      <c r="M60" s="60">
        <v>16.100000000000001</v>
      </c>
      <c r="N60" s="60">
        <v>1084.5</v>
      </c>
      <c r="O60" s="60">
        <v>0</v>
      </c>
      <c r="P60" s="60">
        <v>2.0499999999999998</v>
      </c>
      <c r="Q60" s="60">
        <v>73.03</v>
      </c>
      <c r="R60" s="198"/>
      <c r="S60" s="198"/>
      <c r="T60" s="198"/>
      <c r="U60" s="198"/>
    </row>
    <row r="61" spans="1:21" s="12" customFormat="1" ht="15">
      <c r="A61" s="216" t="s">
        <v>873</v>
      </c>
      <c r="B61" s="60">
        <v>1.1100000000000001</v>
      </c>
      <c r="C61" s="60">
        <v>44.33</v>
      </c>
      <c r="D61" s="60">
        <v>45.45</v>
      </c>
      <c r="E61" s="60">
        <v>6.06</v>
      </c>
      <c r="F61" s="60">
        <v>5.76</v>
      </c>
      <c r="G61" s="60">
        <v>122.83</v>
      </c>
      <c r="H61" s="60">
        <v>43.84</v>
      </c>
      <c r="I61" s="218" t="s">
        <v>47</v>
      </c>
      <c r="J61" s="60">
        <v>2.23</v>
      </c>
      <c r="K61" s="60">
        <v>340.09</v>
      </c>
      <c r="L61" s="60">
        <v>52.15</v>
      </c>
      <c r="M61" s="60">
        <v>15.84</v>
      </c>
      <c r="N61" s="60">
        <v>990.70</v>
      </c>
      <c r="O61" s="60">
        <v>0</v>
      </c>
      <c r="P61" s="60">
        <v>2.0499999999999998</v>
      </c>
      <c r="Q61" s="60">
        <v>73.22</v>
      </c>
      <c r="R61" s="198"/>
      <c r="S61" s="198"/>
      <c r="T61" s="198"/>
      <c r="U61" s="198"/>
    </row>
    <row r="62" spans="1:21" s="12" customFormat="1" ht="15">
      <c r="A62" s="216" t="s">
        <v>874</v>
      </c>
      <c r="B62" s="60">
        <v>1.05</v>
      </c>
      <c r="C62" s="60">
        <v>44.66</v>
      </c>
      <c r="D62" s="60">
        <v>45.71</v>
      </c>
      <c r="E62" s="60">
        <v>5.76</v>
      </c>
      <c r="F62" s="60">
        <v>5.98</v>
      </c>
      <c r="G62" s="60">
        <v>121.82</v>
      </c>
      <c r="H62" s="60">
        <v>40.159999999999997</v>
      </c>
      <c r="I62" s="218" t="s">
        <v>47</v>
      </c>
      <c r="J62" s="60">
        <v>2.23</v>
      </c>
      <c r="K62" s="60">
        <v>322.88</v>
      </c>
      <c r="L62" s="60">
        <v>51.35</v>
      </c>
      <c r="M62" s="60">
        <v>15</v>
      </c>
      <c r="N62" s="60">
        <v>987.10</v>
      </c>
      <c r="O62" s="60">
        <v>0</v>
      </c>
      <c r="P62" s="60">
        <v>2.02</v>
      </c>
      <c r="Q62" s="60">
        <v>74.599999999999994</v>
      </c>
      <c r="R62" s="198"/>
      <c r="S62" s="198"/>
      <c r="T62" s="198"/>
      <c r="U62" s="198"/>
    </row>
    <row r="63" spans="1:21" s="12" customFormat="1" ht="15">
      <c r="A63" s="216" t="s">
        <v>875</v>
      </c>
      <c r="B63" s="60">
        <v>0.99</v>
      </c>
      <c r="C63" s="60">
        <v>43.83</v>
      </c>
      <c r="D63" s="60">
        <v>44.83</v>
      </c>
      <c r="E63" s="60">
        <v>5.21</v>
      </c>
      <c r="F63" s="60">
        <v>6.09</v>
      </c>
      <c r="G63" s="60">
        <v>121.82</v>
      </c>
      <c r="H63" s="60">
        <v>40.159999999999997</v>
      </c>
      <c r="I63" s="218" t="s">
        <v>47</v>
      </c>
      <c r="J63" s="60">
        <v>2.4300000000000002</v>
      </c>
      <c r="K63" s="60">
        <v>25.27</v>
      </c>
      <c r="L63" s="60">
        <v>52.28</v>
      </c>
      <c r="M63" s="60">
        <v>13.62</v>
      </c>
      <c r="N63" s="60">
        <v>779.90</v>
      </c>
      <c r="O63" s="60">
        <v>0</v>
      </c>
      <c r="P63" s="60">
        <v>1.98</v>
      </c>
      <c r="Q63" s="60">
        <v>77</v>
      </c>
      <c r="R63" s="198"/>
      <c r="S63" s="198"/>
      <c r="T63" s="198"/>
      <c r="U63" s="198"/>
    </row>
    <row r="64" spans="1:21" s="12" customFormat="1" ht="15">
      <c r="A64" s="216" t="s">
        <v>876</v>
      </c>
      <c r="B64" s="60">
        <v>1.1599999999999999</v>
      </c>
      <c r="C64" s="60">
        <v>42.96</v>
      </c>
      <c r="D64" s="60">
        <v>44.12</v>
      </c>
      <c r="E64" s="60">
        <v>5.60</v>
      </c>
      <c r="F64" s="60">
        <v>5.35</v>
      </c>
      <c r="G64" s="60">
        <v>121.82</v>
      </c>
      <c r="H64" s="60">
        <v>40.159999999999997</v>
      </c>
      <c r="I64" s="218" t="s">
        <v>47</v>
      </c>
      <c r="J64" s="60">
        <v>2.17</v>
      </c>
      <c r="K64" s="60">
        <v>344.23</v>
      </c>
      <c r="L64" s="60">
        <v>49.91</v>
      </c>
      <c r="M64" s="60">
        <v>14.84</v>
      </c>
      <c r="N64" s="60">
        <v>985.60</v>
      </c>
      <c r="O64" s="60">
        <v>0</v>
      </c>
      <c r="P64" s="60">
        <v>1.93</v>
      </c>
      <c r="Q64" s="60">
        <v>77.88</v>
      </c>
      <c r="R64" s="198"/>
      <c r="S64" s="198"/>
      <c r="T64" s="198"/>
      <c r="U64" s="198"/>
    </row>
    <row r="65" spans="1:21" s="12" customFormat="1" ht="15">
      <c r="A65" s="216" t="s">
        <v>877</v>
      </c>
      <c r="B65" s="60">
        <v>1.31</v>
      </c>
      <c r="C65" s="60">
        <v>43.18</v>
      </c>
      <c r="D65" s="60">
        <v>44.49</v>
      </c>
      <c r="E65" s="60">
        <v>5.77</v>
      </c>
      <c r="F65" s="60">
        <v>8.4700000000000006</v>
      </c>
      <c r="G65" s="60">
        <v>123.18</v>
      </c>
      <c r="H65" s="60">
        <v>38.39</v>
      </c>
      <c r="I65" s="218" t="s">
        <v>47</v>
      </c>
      <c r="J65" s="60">
        <v>3.01</v>
      </c>
      <c r="K65" s="60">
        <v>3.20</v>
      </c>
      <c r="L65" s="60">
        <v>51.55</v>
      </c>
      <c r="M65" s="60">
        <v>13.45</v>
      </c>
      <c r="N65" s="60">
        <v>901.5</v>
      </c>
      <c r="O65" s="60">
        <v>0</v>
      </c>
      <c r="P65" s="60">
        <v>1.92</v>
      </c>
      <c r="Q65" s="60">
        <v>78.55</v>
      </c>
      <c r="R65" s="198"/>
      <c r="S65" s="198"/>
      <c r="T65" s="198"/>
      <c r="U65" s="198"/>
    </row>
    <row r="66" spans="1:21" s="12" customFormat="1" ht="15">
      <c r="A66" s="216" t="s">
        <v>878</v>
      </c>
      <c r="B66" s="60">
        <v>1.1499999999999999</v>
      </c>
      <c r="C66" s="60">
        <v>43.46</v>
      </c>
      <c r="D66" s="60">
        <v>44.61</v>
      </c>
      <c r="E66" s="60">
        <v>5.65</v>
      </c>
      <c r="F66" s="60">
        <v>6.53</v>
      </c>
      <c r="G66" s="60">
        <v>126.10</v>
      </c>
      <c r="H66" s="60">
        <v>32.92</v>
      </c>
      <c r="I66" s="218" t="s">
        <v>47</v>
      </c>
      <c r="J66" s="60">
        <v>2.52</v>
      </c>
      <c r="K66" s="60">
        <v>326.95</v>
      </c>
      <c r="L66" s="60">
        <v>50.12</v>
      </c>
      <c r="M66" s="60">
        <v>14.22</v>
      </c>
      <c r="N66" s="60">
        <v>403.60</v>
      </c>
      <c r="O66" s="60">
        <v>0</v>
      </c>
      <c r="P66" s="60">
        <v>1.88</v>
      </c>
      <c r="Q66" s="60">
        <v>77.739999999999995</v>
      </c>
      <c r="R66" s="198"/>
      <c r="S66" s="198"/>
      <c r="T66" s="198"/>
      <c r="U66" s="198"/>
    </row>
    <row r="67" spans="1:21" s="12" customFormat="1" ht="15">
      <c r="A67" s="216" t="s">
        <v>879</v>
      </c>
      <c r="B67" s="60">
        <v>1.70</v>
      </c>
      <c r="C67" s="60">
        <v>43.83</v>
      </c>
      <c r="D67" s="60">
        <v>45.53</v>
      </c>
      <c r="E67" s="60">
        <v>5.61</v>
      </c>
      <c r="F67" s="60">
        <v>5.30</v>
      </c>
      <c r="G67" s="60">
        <v>126.10</v>
      </c>
      <c r="H67" s="60">
        <v>32.92</v>
      </c>
      <c r="I67" s="218" t="s">
        <v>47</v>
      </c>
      <c r="J67" s="60">
        <v>2.60</v>
      </c>
      <c r="K67" s="60">
        <v>343.82</v>
      </c>
      <c r="L67" s="60">
        <v>51.01</v>
      </c>
      <c r="M67" s="60">
        <v>15.87</v>
      </c>
      <c r="N67" s="60">
        <v>330.70</v>
      </c>
      <c r="O67" s="60">
        <v>0</v>
      </c>
      <c r="P67" s="60">
        <v>1.91</v>
      </c>
      <c r="Q67" s="60">
        <v>94.90</v>
      </c>
      <c r="R67" s="198"/>
      <c r="S67" s="198"/>
      <c r="T67" s="198"/>
      <c r="U67" s="198"/>
    </row>
    <row r="68" spans="1:21" s="12" customFormat="1" ht="15">
      <c r="A68" s="216" t="s">
        <v>880</v>
      </c>
      <c r="B68" s="60">
        <v>3.17</v>
      </c>
      <c r="C68" s="60">
        <v>48.69</v>
      </c>
      <c r="D68" s="60">
        <v>51.86</v>
      </c>
      <c r="E68" s="60">
        <v>2.2000000000000002</v>
      </c>
      <c r="F68" s="60">
        <v>4.8899999999999997</v>
      </c>
      <c r="G68" s="60">
        <v>126.10</v>
      </c>
      <c r="H68" s="60">
        <v>32.92</v>
      </c>
      <c r="I68" s="218" t="s">
        <v>47</v>
      </c>
      <c r="J68" s="60">
        <v>1.56</v>
      </c>
      <c r="K68" s="60">
        <v>333.75</v>
      </c>
      <c r="L68" s="60">
        <v>47.60</v>
      </c>
      <c r="M68" s="60">
        <v>15.36</v>
      </c>
      <c r="N68" s="60">
        <v>736.10</v>
      </c>
      <c r="O68" s="60">
        <v>0</v>
      </c>
      <c r="P68" s="60">
        <v>1.98</v>
      </c>
      <c r="Q68" s="60">
        <v>77.27</v>
      </c>
      <c r="R68" s="198"/>
      <c r="S68" s="198"/>
      <c r="T68" s="198"/>
      <c r="U68" s="198"/>
    </row>
    <row r="69" spans="1:21" s="12" customFormat="1" ht="15">
      <c r="A69" s="216" t="s">
        <v>881</v>
      </c>
      <c r="B69" s="60">
        <v>2.5299999999999998</v>
      </c>
      <c r="C69" s="60">
        <v>56.13</v>
      </c>
      <c r="D69" s="60">
        <v>58.66</v>
      </c>
      <c r="E69" s="60">
        <v>4.72</v>
      </c>
      <c r="F69" s="60">
        <v>6.24</v>
      </c>
      <c r="G69" s="60">
        <v>123.27</v>
      </c>
      <c r="H69" s="60">
        <v>33.85</v>
      </c>
      <c r="I69" s="60">
        <v>0.06</v>
      </c>
      <c r="J69" s="60">
        <v>0.77</v>
      </c>
      <c r="K69" s="60">
        <v>21.10</v>
      </c>
      <c r="L69" s="60">
        <v>52.35</v>
      </c>
      <c r="M69" s="60">
        <v>14.42</v>
      </c>
      <c r="N69" s="60">
        <v>878.70</v>
      </c>
      <c r="O69" s="60">
        <v>0</v>
      </c>
      <c r="P69" s="60">
        <v>1.87</v>
      </c>
      <c r="Q69" s="60">
        <v>93.44</v>
      </c>
      <c r="R69" s="198"/>
      <c r="S69" s="198"/>
      <c r="T69" s="198"/>
      <c r="U69" s="198"/>
    </row>
    <row r="70" spans="1:21" s="12" customFormat="1" ht="15">
      <c r="A70" s="216" t="s">
        <v>882</v>
      </c>
      <c r="B70" s="60">
        <v>1.59</v>
      </c>
      <c r="C70" s="60">
        <v>55.01</v>
      </c>
      <c r="D70" s="60">
        <v>56.60</v>
      </c>
      <c r="E70" s="60">
        <v>3.98</v>
      </c>
      <c r="F70" s="60">
        <v>6.67</v>
      </c>
      <c r="G70" s="60">
        <v>117.19</v>
      </c>
      <c r="H70" s="60">
        <v>36.75</v>
      </c>
      <c r="I70" s="60">
        <v>0.90</v>
      </c>
      <c r="J70" s="60">
        <v>3.09</v>
      </c>
      <c r="K70" s="60">
        <v>344.89</v>
      </c>
      <c r="L70" s="60">
        <v>53.10</v>
      </c>
      <c r="M70" s="60">
        <v>12.86</v>
      </c>
      <c r="N70" s="60">
        <v>757.30</v>
      </c>
      <c r="O70" s="60">
        <v>0</v>
      </c>
      <c r="P70" s="60">
        <v>1.81</v>
      </c>
      <c r="Q70" s="60">
        <v>102.88</v>
      </c>
      <c r="R70" s="198"/>
      <c r="S70" s="198"/>
      <c r="T70" s="198"/>
      <c r="U70" s="198"/>
    </row>
    <row r="71" spans="1:21" s="12" customFormat="1" ht="15">
      <c r="A71" s="216" t="s">
        <v>883</v>
      </c>
      <c r="B71" s="60">
        <v>1.78</v>
      </c>
      <c r="C71" s="60">
        <v>50.88</v>
      </c>
      <c r="D71" s="60">
        <v>52.66</v>
      </c>
      <c r="E71" s="60">
        <v>4.01</v>
      </c>
      <c r="F71" s="60">
        <v>3.73</v>
      </c>
      <c r="G71" s="60">
        <v>117.19</v>
      </c>
      <c r="H71" s="60">
        <v>36.75</v>
      </c>
      <c r="I71" s="60">
        <v>4.0199999999999996</v>
      </c>
      <c r="J71" s="60">
        <v>2.73</v>
      </c>
      <c r="K71" s="60">
        <v>325.95999999999998</v>
      </c>
      <c r="L71" s="60">
        <v>57.93</v>
      </c>
      <c r="M71" s="60">
        <v>12.89</v>
      </c>
      <c r="N71" s="60">
        <v>687.5</v>
      </c>
      <c r="O71" s="60">
        <v>0</v>
      </c>
      <c r="P71" s="60">
        <v>1.80</v>
      </c>
      <c r="Q71" s="60">
        <v>110.5</v>
      </c>
      <c r="R71" s="198"/>
      <c r="S71" s="198"/>
      <c r="T71" s="198"/>
      <c r="U71" s="198"/>
    </row>
    <row r="72" spans="1:21" s="12" customFormat="1" ht="15">
      <c r="A72" s="216" t="s">
        <v>884</v>
      </c>
      <c r="B72" s="60">
        <v>2.41</v>
      </c>
      <c r="C72" s="60">
        <v>46.80</v>
      </c>
      <c r="D72" s="60">
        <v>49.21</v>
      </c>
      <c r="E72" s="60">
        <v>4.59</v>
      </c>
      <c r="F72" s="60">
        <v>2.56</v>
      </c>
      <c r="G72" s="60">
        <v>117.19</v>
      </c>
      <c r="H72" s="60">
        <v>36.75</v>
      </c>
      <c r="I72" s="60">
        <v>4.6100000000000003</v>
      </c>
      <c r="J72" s="60">
        <v>2.19</v>
      </c>
      <c r="K72" s="60">
        <v>321.95</v>
      </c>
      <c r="L72" s="60">
        <v>59.59</v>
      </c>
      <c r="M72" s="60">
        <v>12.54</v>
      </c>
      <c r="N72" s="60">
        <v>612.29999999999995</v>
      </c>
      <c r="O72" s="60">
        <v>0</v>
      </c>
      <c r="P72" s="60">
        <v>1.79</v>
      </c>
      <c r="Q72" s="60">
        <v>116.90</v>
      </c>
      <c r="R72" s="198"/>
      <c r="S72" s="198"/>
      <c r="T72" s="198"/>
      <c r="U72" s="198"/>
    </row>
    <row r="73" spans="1:21" s="12" customFormat="1" ht="15">
      <c r="A73" s="216" t="s">
        <v>885</v>
      </c>
      <c r="B73" s="60">
        <v>2.58</v>
      </c>
      <c r="C73" s="60">
        <v>44</v>
      </c>
      <c r="D73" s="60">
        <v>46.58</v>
      </c>
      <c r="E73" s="60">
        <v>4.9400000000000004</v>
      </c>
      <c r="F73" s="60">
        <v>2.5099999999999998</v>
      </c>
      <c r="G73" s="60">
        <v>112.91</v>
      </c>
      <c r="H73" s="60">
        <v>34.69</v>
      </c>
      <c r="I73" s="60">
        <v>4.3499999999999996</v>
      </c>
      <c r="J73" s="60">
        <v>3</v>
      </c>
      <c r="K73" s="60">
        <v>342.28</v>
      </c>
      <c r="L73" s="60">
        <v>55.18</v>
      </c>
      <c r="M73" s="60">
        <v>13.48</v>
      </c>
      <c r="N73" s="60">
        <v>491.30</v>
      </c>
      <c r="O73" s="60">
        <v>0</v>
      </c>
      <c r="P73" s="60">
        <v>1.75</v>
      </c>
      <c r="Q73" s="60">
        <v>123.85</v>
      </c>
      <c r="R73" s="198"/>
      <c r="S73" s="198"/>
      <c r="T73" s="198"/>
      <c r="U73" s="198"/>
    </row>
    <row r="74" spans="1:21" s="12" customFormat="1" ht="15">
      <c r="A74" s="216" t="s">
        <v>886</v>
      </c>
      <c r="B74" s="60">
        <v>2.65</v>
      </c>
      <c r="C74" s="60">
        <v>43.46</v>
      </c>
      <c r="D74" s="60">
        <v>46.11</v>
      </c>
      <c r="E74" s="60">
        <v>4.6100000000000003</v>
      </c>
      <c r="F74" s="60">
        <v>3.09</v>
      </c>
      <c r="G74" s="60">
        <v>103.75</v>
      </c>
      <c r="H74" s="60">
        <v>28.33</v>
      </c>
      <c r="I74" s="60">
        <v>4.51</v>
      </c>
      <c r="J74" s="60">
        <v>2.15</v>
      </c>
      <c r="K74" s="60">
        <v>52.93</v>
      </c>
      <c r="L74" s="60">
        <v>48.51</v>
      </c>
      <c r="M74" s="60">
        <v>13.75</v>
      </c>
      <c r="N74" s="60">
        <v>454.10</v>
      </c>
      <c r="O74" s="60">
        <v>0</v>
      </c>
      <c r="P74" s="60">
        <v>1.75</v>
      </c>
      <c r="Q74" s="60">
        <v>132.21</v>
      </c>
      <c r="R74" s="198"/>
      <c r="S74" s="198"/>
      <c r="T74" s="198"/>
      <c r="U74" s="198"/>
    </row>
    <row r="75" spans="1:21" s="12" customFormat="1" ht="15">
      <c r="A75" s="216" t="s">
        <v>887</v>
      </c>
      <c r="B75" s="60">
        <v>2.3199999999999998</v>
      </c>
      <c r="C75" s="60">
        <v>42.67</v>
      </c>
      <c r="D75" s="60">
        <v>44.99</v>
      </c>
      <c r="E75" s="60">
        <v>5.09</v>
      </c>
      <c r="F75" s="60">
        <v>2.86</v>
      </c>
      <c r="G75" s="60">
        <v>103.75</v>
      </c>
      <c r="H75" s="60">
        <v>28.33</v>
      </c>
      <c r="I75" s="60">
        <v>4.4000000000000004</v>
      </c>
      <c r="J75" s="60">
        <v>1.65</v>
      </c>
      <c r="K75" s="60">
        <v>316.43</v>
      </c>
      <c r="L75" s="60">
        <v>47.99</v>
      </c>
      <c r="M75" s="60">
        <v>15.5</v>
      </c>
      <c r="N75" s="60">
        <v>373.60</v>
      </c>
      <c r="O75" s="60">
        <v>0</v>
      </c>
      <c r="P75" s="60">
        <v>1.72</v>
      </c>
      <c r="Q75" s="60">
        <v>137.47</v>
      </c>
      <c r="R75" s="198"/>
      <c r="S75" s="198"/>
      <c r="T75" s="198"/>
      <c r="U75" s="198"/>
    </row>
    <row r="76" spans="1:21" s="12" customFormat="1" ht="15">
      <c r="A76" s="216" t="s">
        <v>888</v>
      </c>
      <c r="B76" s="60">
        <v>2.77</v>
      </c>
      <c r="C76" s="60">
        <v>41.93</v>
      </c>
      <c r="D76" s="60">
        <v>44.69</v>
      </c>
      <c r="E76" s="60">
        <v>5.1100000000000003</v>
      </c>
      <c r="F76" s="60">
        <v>2.59</v>
      </c>
      <c r="G76" s="60">
        <v>103.75</v>
      </c>
      <c r="H76" s="60">
        <v>28.33</v>
      </c>
      <c r="I76" s="60">
        <v>4.30</v>
      </c>
      <c r="J76" s="60">
        <v>2.1800000000000002</v>
      </c>
      <c r="K76" s="60">
        <v>332.68</v>
      </c>
      <c r="L76" s="60">
        <v>46.42</v>
      </c>
      <c r="M76" s="60">
        <v>14.28</v>
      </c>
      <c r="N76" s="60">
        <v>352.10</v>
      </c>
      <c r="O76" s="60">
        <v>0</v>
      </c>
      <c r="P76" s="60">
        <v>1.74</v>
      </c>
      <c r="Q76" s="60">
        <v>130.65</v>
      </c>
      <c r="R76" s="198"/>
      <c r="S76" s="198"/>
      <c r="T76" s="198"/>
      <c r="U76" s="198"/>
    </row>
    <row r="77" spans="1:21" s="12" customFormat="1" ht="15">
      <c r="A77" s="216" t="s">
        <v>889</v>
      </c>
      <c r="B77" s="60">
        <v>4.21</v>
      </c>
      <c r="C77" s="60">
        <v>42.18</v>
      </c>
      <c r="D77" s="60">
        <v>46.39</v>
      </c>
      <c r="E77" s="60">
        <v>4.95</v>
      </c>
      <c r="F77" s="60">
        <v>2.10</v>
      </c>
      <c r="G77" s="60">
        <v>105.20</v>
      </c>
      <c r="H77" s="60">
        <v>28.55</v>
      </c>
      <c r="I77" s="60">
        <v>4.83</v>
      </c>
      <c r="J77" s="60">
        <v>2.2200000000000002</v>
      </c>
      <c r="K77" s="60">
        <v>337.47</v>
      </c>
      <c r="L77" s="60">
        <v>52.90</v>
      </c>
      <c r="M77" s="60">
        <v>15.57</v>
      </c>
      <c r="N77" s="60">
        <v>333.30</v>
      </c>
      <c r="O77" s="60">
        <v>0</v>
      </c>
      <c r="P77" s="60">
        <v>1.84</v>
      </c>
      <c r="Q77" s="60">
        <v>131.47999999999999</v>
      </c>
      <c r="R77" s="198"/>
      <c r="S77" s="198"/>
      <c r="T77" s="198"/>
      <c r="U77" s="198"/>
    </row>
    <row r="78" spans="1:21" s="12" customFormat="1" ht="15">
      <c r="A78" s="216" t="s">
        <v>890</v>
      </c>
      <c r="B78" s="60">
        <v>5.87</v>
      </c>
      <c r="C78" s="60">
        <v>43.02</v>
      </c>
      <c r="D78" s="60">
        <v>48.90</v>
      </c>
      <c r="E78" s="60">
        <v>5.18</v>
      </c>
      <c r="F78" s="60">
        <v>1.96</v>
      </c>
      <c r="G78" s="60">
        <v>108.31</v>
      </c>
      <c r="H78" s="60">
        <v>29.20</v>
      </c>
      <c r="I78" s="60">
        <v>4.9400000000000004</v>
      </c>
      <c r="J78" s="60">
        <v>2.64</v>
      </c>
      <c r="K78" s="60">
        <v>318.77</v>
      </c>
      <c r="L78" s="60">
        <v>52.61</v>
      </c>
      <c r="M78" s="60">
        <v>17.20</v>
      </c>
      <c r="N78" s="60">
        <v>200.10</v>
      </c>
      <c r="O78" s="60">
        <v>0</v>
      </c>
      <c r="P78" s="60">
        <v>1.86</v>
      </c>
      <c r="Q78" s="60">
        <v>133.38</v>
      </c>
      <c r="R78" s="198"/>
      <c r="S78" s="198"/>
      <c r="T78" s="198"/>
      <c r="U78" s="198"/>
    </row>
    <row r="79" spans="1:21" s="12" customFormat="1" ht="15">
      <c r="A79" s="216" t="s">
        <v>891</v>
      </c>
      <c r="B79" s="60">
        <v>7.57</v>
      </c>
      <c r="C79" s="60">
        <v>44.44</v>
      </c>
      <c r="D79" s="60">
        <v>52.02</v>
      </c>
      <c r="E79" s="60">
        <v>5.1100000000000003</v>
      </c>
      <c r="F79" s="60">
        <v>2.27</v>
      </c>
      <c r="G79" s="60">
        <v>108.31</v>
      </c>
      <c r="H79" s="60">
        <v>29.20</v>
      </c>
      <c r="I79" s="60">
        <v>5.18</v>
      </c>
      <c r="J79" s="60">
        <v>2.58</v>
      </c>
      <c r="K79" s="60">
        <v>314.18</v>
      </c>
      <c r="L79" s="60">
        <v>48.05</v>
      </c>
      <c r="M79" s="60">
        <v>25.80</v>
      </c>
      <c r="N79" s="60">
        <v>211.10</v>
      </c>
      <c r="O79" s="60">
        <v>0</v>
      </c>
      <c r="P79" s="60">
        <v>1.94</v>
      </c>
      <c r="Q79" s="60">
        <v>134.30000000000001</v>
      </c>
      <c r="R79" s="198"/>
      <c r="S79" s="198"/>
      <c r="T79" s="198"/>
      <c r="U79" s="198"/>
    </row>
    <row r="80" spans="1:21" s="12" customFormat="1" ht="15">
      <c r="A80" s="216" t="s">
        <v>892</v>
      </c>
      <c r="B80" s="60">
        <v>9.4499999999999993</v>
      </c>
      <c r="C80" s="60">
        <v>47.66</v>
      </c>
      <c r="D80" s="60">
        <v>57.11</v>
      </c>
      <c r="E80" s="60">
        <v>5.07</v>
      </c>
      <c r="F80" s="60">
        <v>1.76</v>
      </c>
      <c r="G80" s="60">
        <v>108.31</v>
      </c>
      <c r="H80" s="60">
        <v>29.20</v>
      </c>
      <c r="I80" s="60">
        <v>5.29</v>
      </c>
      <c r="J80" s="60">
        <v>2.2000000000000002</v>
      </c>
      <c r="K80" s="60">
        <v>328.78</v>
      </c>
      <c r="L80" s="60">
        <v>44.02</v>
      </c>
      <c r="M80" s="60">
        <v>26.68</v>
      </c>
      <c r="N80" s="60">
        <v>204.10</v>
      </c>
      <c r="O80" s="60">
        <v>0</v>
      </c>
      <c r="P80" s="60">
        <v>2.02</v>
      </c>
      <c r="Q80" s="60">
        <v>132.24</v>
      </c>
      <c r="R80" s="198"/>
      <c r="S80" s="198"/>
      <c r="T80" s="198"/>
      <c r="U80" s="198"/>
    </row>
    <row r="81" spans="1:21" s="12" customFormat="1" ht="15">
      <c r="A81" s="216" t="s">
        <v>893</v>
      </c>
      <c r="B81" s="60">
        <v>11.74</v>
      </c>
      <c r="C81" s="60">
        <v>50.39</v>
      </c>
      <c r="D81" s="60">
        <v>62.12</v>
      </c>
      <c r="E81" s="60">
        <v>5.44</v>
      </c>
      <c r="F81" s="60">
        <v>1.36</v>
      </c>
      <c r="G81" s="60">
        <v>110.77</v>
      </c>
      <c r="H81" s="60">
        <v>28.21</v>
      </c>
      <c r="I81" s="60">
        <v>5.40</v>
      </c>
      <c r="J81" s="60">
        <v>1.39</v>
      </c>
      <c r="K81" s="60">
        <v>351.90</v>
      </c>
      <c r="L81" s="60">
        <v>44.14</v>
      </c>
      <c r="M81" s="60">
        <v>24.12</v>
      </c>
      <c r="N81" s="60">
        <v>199.10</v>
      </c>
      <c r="O81" s="60">
        <v>0</v>
      </c>
      <c r="P81" s="60">
        <v>2.11</v>
      </c>
      <c r="Q81" s="60">
        <v>129.32</v>
      </c>
      <c r="R81" s="198"/>
      <c r="S81" s="198"/>
      <c r="T81" s="198"/>
      <c r="U81" s="198"/>
    </row>
    <row r="82" spans="1:21" s="12" customFormat="1" ht="15">
      <c r="A82" s="216" t="s">
        <v>894</v>
      </c>
      <c r="B82" s="60">
        <v>18.34</v>
      </c>
      <c r="C82" s="60">
        <v>53.94</v>
      </c>
      <c r="D82" s="60">
        <v>72.28</v>
      </c>
      <c r="E82" s="60">
        <v>5.27</v>
      </c>
      <c r="F82" s="60">
        <v>1.41</v>
      </c>
      <c r="G82" s="60">
        <v>116.05</v>
      </c>
      <c r="H82" s="60">
        <v>25.16</v>
      </c>
      <c r="I82" s="60">
        <v>5.75</v>
      </c>
      <c r="J82" s="60">
        <v>0.98</v>
      </c>
      <c r="K82" s="60">
        <v>343.64</v>
      </c>
      <c r="L82" s="60">
        <v>43.94</v>
      </c>
      <c r="M82" s="60">
        <v>26.27</v>
      </c>
      <c r="N82" s="60">
        <v>257.80</v>
      </c>
      <c r="O82" s="60">
        <v>0</v>
      </c>
      <c r="P82" s="60">
        <v>2.2599999999999998</v>
      </c>
      <c r="Q82" s="60">
        <v>130.19999999999999</v>
      </c>
      <c r="R82" s="198"/>
      <c r="S82" s="198"/>
      <c r="T82" s="198"/>
      <c r="U82" s="198"/>
    </row>
    <row r="83" spans="1:21" s="12" customFormat="1" ht="15">
      <c r="A83" s="216" t="s">
        <v>895</v>
      </c>
      <c r="B83" s="60">
        <v>26.38</v>
      </c>
      <c r="C83" s="60">
        <v>56.63</v>
      </c>
      <c r="D83" s="60">
        <v>83.01</v>
      </c>
      <c r="E83" s="60">
        <v>5.5</v>
      </c>
      <c r="F83" s="60">
        <v>1.38</v>
      </c>
      <c r="G83" s="60">
        <v>116.05</v>
      </c>
      <c r="H83" s="60">
        <v>25.16</v>
      </c>
      <c r="I83" s="60">
        <v>6.21</v>
      </c>
      <c r="J83" s="60">
        <v>1.71</v>
      </c>
      <c r="K83" s="60">
        <v>58.49</v>
      </c>
      <c r="L83" s="60">
        <v>42.72</v>
      </c>
      <c r="M83" s="60">
        <v>29.54</v>
      </c>
      <c r="N83" s="60">
        <v>228.40</v>
      </c>
      <c r="O83" s="60">
        <v>0</v>
      </c>
      <c r="P83" s="60">
        <v>2.48</v>
      </c>
      <c r="Q83" s="60">
        <v>133.66</v>
      </c>
      <c r="R83" s="198"/>
      <c r="S83" s="198"/>
      <c r="T83" s="198"/>
      <c r="U83" s="198"/>
    </row>
    <row r="84" spans="1:21" s="12" customFormat="1" ht="15">
      <c r="A84" s="216" t="s">
        <v>896</v>
      </c>
      <c r="B84" s="60">
        <v>37.51</v>
      </c>
      <c r="C84" s="60">
        <v>59.53</v>
      </c>
      <c r="D84" s="60">
        <v>97.05</v>
      </c>
      <c r="E84" s="60">
        <v>2.80</v>
      </c>
      <c r="F84" s="60">
        <v>1.44</v>
      </c>
      <c r="G84" s="60">
        <v>116.05</v>
      </c>
      <c r="H84" s="60">
        <v>25.16</v>
      </c>
      <c r="I84" s="60">
        <v>6.87</v>
      </c>
      <c r="J84" s="60">
        <v>1.47</v>
      </c>
      <c r="K84" s="60">
        <v>28.71</v>
      </c>
      <c r="L84" s="60">
        <v>43.94</v>
      </c>
      <c r="M84" s="60">
        <v>36.04</v>
      </c>
      <c r="N84" s="60">
        <v>243.70</v>
      </c>
      <c r="O84" s="60">
        <v>0</v>
      </c>
      <c r="P84" s="60">
        <v>2.69</v>
      </c>
      <c r="Q84" s="60">
        <v>134.86000000000001</v>
      </c>
      <c r="R84" s="198"/>
      <c r="S84" s="198"/>
      <c r="T84" s="198"/>
      <c r="U84" s="198"/>
    </row>
    <row r="85" spans="1:21" s="12" customFormat="1" ht="15">
      <c r="A85" s="216" t="s">
        <v>897</v>
      </c>
      <c r="B85" s="60">
        <v>51.01</v>
      </c>
      <c r="C85" s="60">
        <v>59.81</v>
      </c>
      <c r="D85" s="60">
        <v>110.81</v>
      </c>
      <c r="E85" s="60">
        <v>5.78</v>
      </c>
      <c r="F85" s="60">
        <v>1.34</v>
      </c>
      <c r="G85" s="60">
        <v>153.79</v>
      </c>
      <c r="H85" s="60">
        <v>30.14</v>
      </c>
      <c r="I85" s="60">
        <v>8</v>
      </c>
      <c r="J85" s="60">
        <v>1</v>
      </c>
      <c r="K85" s="60">
        <v>354.59</v>
      </c>
      <c r="L85" s="60">
        <v>44.75</v>
      </c>
      <c r="M85" s="60">
        <v>38.85</v>
      </c>
      <c r="N85" s="60">
        <v>242.70</v>
      </c>
      <c r="O85" s="60">
        <v>0</v>
      </c>
      <c r="P85" s="60">
        <v>2.97</v>
      </c>
      <c r="Q85" s="60">
        <v>130.41</v>
      </c>
      <c r="R85" s="198"/>
      <c r="S85" s="198"/>
      <c r="T85" s="198"/>
      <c r="U85" s="198"/>
    </row>
    <row r="86" spans="1:21" s="12" customFormat="1" ht="15">
      <c r="A86" s="216" t="s">
        <v>898</v>
      </c>
      <c r="B86" s="60">
        <v>63.49</v>
      </c>
      <c r="C86" s="60">
        <v>62.89</v>
      </c>
      <c r="D86" s="60">
        <v>126.38</v>
      </c>
      <c r="E86" s="60">
        <v>5.94</v>
      </c>
      <c r="F86" s="60">
        <v>1.41</v>
      </c>
      <c r="G86" s="60">
        <v>275.08999999999997</v>
      </c>
      <c r="H86" s="60">
        <v>45.51</v>
      </c>
      <c r="I86" s="60">
        <v>9.7799999999999994</v>
      </c>
      <c r="J86" s="60">
        <v>0.80</v>
      </c>
      <c r="K86" s="60">
        <v>292.22000000000003</v>
      </c>
      <c r="L86" s="60">
        <v>43.33</v>
      </c>
      <c r="M86" s="60">
        <v>36.01</v>
      </c>
      <c r="N86" s="60">
        <v>162.80000000000001</v>
      </c>
      <c r="O86" s="60">
        <v>0</v>
      </c>
      <c r="P86" s="60">
        <v>3.23</v>
      </c>
      <c r="Q86" s="60">
        <v>135.26</v>
      </c>
      <c r="R86" s="198"/>
      <c r="S86" s="198"/>
      <c r="T86" s="198"/>
      <c r="U86" s="198"/>
    </row>
    <row r="87" spans="1:21" s="12" customFormat="1" ht="15">
      <c r="A87" s="216" t="s">
        <v>899</v>
      </c>
      <c r="B87" s="60">
        <v>73.80</v>
      </c>
      <c r="C87" s="60">
        <v>64.36</v>
      </c>
      <c r="D87" s="60">
        <v>138.16</v>
      </c>
      <c r="E87" s="60">
        <v>6.66</v>
      </c>
      <c r="F87" s="60">
        <v>0.97</v>
      </c>
      <c r="G87" s="60">
        <v>275.08999999999997</v>
      </c>
      <c r="H87" s="60">
        <v>45.51</v>
      </c>
      <c r="I87" s="60">
        <v>12.84</v>
      </c>
      <c r="J87" s="60">
        <v>0.88</v>
      </c>
      <c r="K87" s="60">
        <v>44.15</v>
      </c>
      <c r="L87" s="60">
        <v>45.42</v>
      </c>
      <c r="M87" s="60">
        <v>32.72</v>
      </c>
      <c r="N87" s="60">
        <v>212.10</v>
      </c>
      <c r="O87" s="60">
        <v>0</v>
      </c>
      <c r="P87" s="60">
        <v>3.57</v>
      </c>
      <c r="Q87" s="60">
        <v>134.69</v>
      </c>
      <c r="R87" s="198"/>
      <c r="S87" s="198"/>
      <c r="T87" s="198"/>
      <c r="U87" s="198"/>
    </row>
    <row r="88" spans="1:21" s="12" customFormat="1" ht="15">
      <c r="A88" s="216" t="s">
        <v>900</v>
      </c>
      <c r="B88" s="60">
        <v>91.85</v>
      </c>
      <c r="C88" s="60">
        <v>65.989999999999995</v>
      </c>
      <c r="D88" s="60">
        <v>157.84</v>
      </c>
      <c r="E88" s="60">
        <v>6.96</v>
      </c>
      <c r="F88" s="60">
        <v>0.43</v>
      </c>
      <c r="G88" s="60">
        <v>275.08999999999997</v>
      </c>
      <c r="H88" s="60">
        <v>45.51</v>
      </c>
      <c r="I88" s="60">
        <v>15.71</v>
      </c>
      <c r="J88" s="60">
        <v>0.62</v>
      </c>
      <c r="K88" s="60">
        <v>95.14</v>
      </c>
      <c r="L88" s="60">
        <v>39.22</v>
      </c>
      <c r="M88" s="60">
        <v>33.090000000000003</v>
      </c>
      <c r="N88" s="60">
        <v>271</v>
      </c>
      <c r="O88" s="60">
        <v>0</v>
      </c>
      <c r="P88" s="60">
        <v>3.86</v>
      </c>
      <c r="Q88" s="60">
        <v>152.96</v>
      </c>
      <c r="R88" s="198"/>
      <c r="S88" s="198"/>
      <c r="T88" s="198"/>
      <c r="U88" s="198"/>
    </row>
    <row r="89" spans="1:21" s="12" customFormat="1" ht="15">
      <c r="A89" s="216" t="s">
        <v>901</v>
      </c>
      <c r="B89" s="60">
        <v>104.94</v>
      </c>
      <c r="C89" s="60">
        <v>66.790000000000006</v>
      </c>
      <c r="D89" s="60">
        <v>171.72</v>
      </c>
      <c r="E89" s="60">
        <v>6.99</v>
      </c>
      <c r="F89" s="60">
        <v>0.25</v>
      </c>
      <c r="G89" s="60">
        <v>309.02999999999997</v>
      </c>
      <c r="H89" s="60">
        <v>47.68</v>
      </c>
      <c r="I89" s="60">
        <v>18.170000000000002</v>
      </c>
      <c r="J89" s="60">
        <v>0.68</v>
      </c>
      <c r="K89" s="60">
        <v>60.32</v>
      </c>
      <c r="L89" s="60">
        <v>43.22</v>
      </c>
      <c r="M89" s="60">
        <v>30.85</v>
      </c>
      <c r="N89" s="60">
        <v>278.20</v>
      </c>
      <c r="O89" s="60">
        <v>0</v>
      </c>
      <c r="P89" s="60">
        <v>3.99</v>
      </c>
      <c r="Q89" s="60">
        <v>158.16</v>
      </c>
      <c r="R89" s="198"/>
      <c r="S89" s="198"/>
      <c r="T89" s="198"/>
      <c r="U89" s="198"/>
    </row>
    <row r="90" spans="1:21" s="12" customFormat="1" ht="15">
      <c r="A90" s="216" t="s">
        <v>902</v>
      </c>
      <c r="B90" s="60">
        <v>116.57</v>
      </c>
      <c r="C90" s="60">
        <v>66.819999999999993</v>
      </c>
      <c r="D90" s="60">
        <v>183.39</v>
      </c>
      <c r="E90" s="60">
        <v>7.54</v>
      </c>
      <c r="F90" s="60">
        <v>0.070000000000000007</v>
      </c>
      <c r="G90" s="60">
        <v>378.46</v>
      </c>
      <c r="H90" s="60">
        <v>54.01</v>
      </c>
      <c r="I90" s="60">
        <v>19.920000000000002</v>
      </c>
      <c r="J90" s="60">
        <v>1.81</v>
      </c>
      <c r="K90" s="60">
        <v>81.13</v>
      </c>
      <c r="L90" s="60">
        <v>42.23</v>
      </c>
      <c r="M90" s="60">
        <v>29.87</v>
      </c>
      <c r="N90" s="60">
        <v>254</v>
      </c>
      <c r="O90" s="60">
        <v>0</v>
      </c>
      <c r="P90" s="60">
        <v>4.12</v>
      </c>
      <c r="Q90" s="60">
        <v>166.06</v>
      </c>
      <c r="R90" s="198"/>
      <c r="S90" s="198"/>
      <c r="T90" s="198"/>
      <c r="U90" s="198"/>
    </row>
    <row r="91" spans="1:21" s="12" customFormat="1" ht="15">
      <c r="A91" s="216" t="s">
        <v>903</v>
      </c>
      <c r="B91" s="60">
        <v>123.43</v>
      </c>
      <c r="C91" s="60">
        <v>66.819999999999993</v>
      </c>
      <c r="D91" s="60">
        <v>190.24</v>
      </c>
      <c r="E91" s="60">
        <v>7.65</v>
      </c>
      <c r="F91" s="60">
        <v>0.28000000000000003</v>
      </c>
      <c r="G91" s="60">
        <v>378.46</v>
      </c>
      <c r="H91" s="60">
        <v>54.01</v>
      </c>
      <c r="I91" s="60">
        <v>19.30</v>
      </c>
      <c r="J91" s="60">
        <v>0.93</v>
      </c>
      <c r="K91" s="60">
        <v>175.62</v>
      </c>
      <c r="L91" s="60">
        <v>44.76</v>
      </c>
      <c r="M91" s="60">
        <v>31.5</v>
      </c>
      <c r="N91" s="60">
        <v>247.70</v>
      </c>
      <c r="O91" s="60">
        <v>0</v>
      </c>
      <c r="P91" s="60">
        <v>4.12</v>
      </c>
      <c r="Q91" s="60">
        <v>165.72</v>
      </c>
      <c r="R91" s="198"/>
      <c r="S91" s="198"/>
      <c r="T91" s="198"/>
      <c r="U91" s="198"/>
    </row>
    <row r="92" spans="1:21" s="12" customFormat="1" ht="15">
      <c r="A92" s="216" t="s">
        <v>904</v>
      </c>
      <c r="B92" s="60">
        <v>131.22</v>
      </c>
      <c r="C92" s="60">
        <v>67.569999999999993</v>
      </c>
      <c r="D92" s="60">
        <v>198.79</v>
      </c>
      <c r="E92" s="60">
        <v>7.43</v>
      </c>
      <c r="F92" s="60">
        <v>0.38</v>
      </c>
      <c r="G92" s="60">
        <v>378.46</v>
      </c>
      <c r="H92" s="60">
        <v>54.01</v>
      </c>
      <c r="I92" s="60">
        <v>19.350000000000001</v>
      </c>
      <c r="J92" s="60">
        <v>1.95</v>
      </c>
      <c r="K92" s="60">
        <v>181.01</v>
      </c>
      <c r="L92" s="60">
        <v>46.04</v>
      </c>
      <c r="M92" s="60">
        <v>25.5</v>
      </c>
      <c r="N92" s="60">
        <v>227.40</v>
      </c>
      <c r="O92" s="60">
        <v>0</v>
      </c>
      <c r="P92" s="60">
        <v>4.0999999999999996</v>
      </c>
      <c r="Q92" s="60">
        <v>177.53</v>
      </c>
      <c r="R92" s="198"/>
      <c r="S92" s="198"/>
      <c r="T92" s="198"/>
      <c r="U92" s="198"/>
    </row>
    <row r="93" spans="1:21" s="12" customFormat="1" ht="15">
      <c r="A93" s="216" t="s">
        <v>905</v>
      </c>
      <c r="B93" s="60">
        <v>132.31</v>
      </c>
      <c r="C93" s="60">
        <v>66.48</v>
      </c>
      <c r="D93" s="60">
        <v>198.79</v>
      </c>
      <c r="E93" s="60">
        <v>8.01</v>
      </c>
      <c r="F93" s="60">
        <v>0.44</v>
      </c>
      <c r="G93" s="60">
        <v>358.92</v>
      </c>
      <c r="H93" s="60">
        <v>57.12</v>
      </c>
      <c r="I93" s="60">
        <v>19.21</v>
      </c>
      <c r="J93" s="60">
        <v>0.65</v>
      </c>
      <c r="K93" s="60">
        <v>178.79</v>
      </c>
      <c r="L93" s="60">
        <v>45.07</v>
      </c>
      <c r="M93" s="60">
        <v>26.14</v>
      </c>
      <c r="N93" s="60">
        <v>295.30</v>
      </c>
      <c r="O93" s="60">
        <v>0</v>
      </c>
      <c r="P93" s="60">
        <v>4.0999999999999996</v>
      </c>
      <c r="Q93" s="60">
        <v>184.10</v>
      </c>
      <c r="R93" s="198"/>
      <c r="S93" s="198"/>
      <c r="T93" s="198"/>
      <c r="U93" s="198"/>
    </row>
    <row r="94" spans="1:21" s="12" customFormat="1" ht="15">
      <c r="A94" s="216" t="s">
        <v>906</v>
      </c>
      <c r="B94" s="60">
        <v>133.51</v>
      </c>
      <c r="C94" s="60">
        <v>66.11</v>
      </c>
      <c r="D94" s="60">
        <v>199.62</v>
      </c>
      <c r="E94" s="60">
        <v>8.16</v>
      </c>
      <c r="F94" s="60">
        <v>0.45</v>
      </c>
      <c r="G94" s="60">
        <v>317.05</v>
      </c>
      <c r="H94" s="60">
        <v>66.739999999999995</v>
      </c>
      <c r="I94" s="60">
        <v>18.98</v>
      </c>
      <c r="J94" s="60">
        <v>1.38</v>
      </c>
      <c r="K94" s="60">
        <v>88.85</v>
      </c>
      <c r="L94" s="60">
        <v>43.79</v>
      </c>
      <c r="M94" s="60">
        <v>29.39</v>
      </c>
      <c r="N94" s="60">
        <v>270.10000000000002</v>
      </c>
      <c r="O94" s="60">
        <v>0</v>
      </c>
      <c r="P94" s="60">
        <v>4.26</v>
      </c>
      <c r="Q94" s="60">
        <v>179.26</v>
      </c>
      <c r="R94" s="198"/>
      <c r="S94" s="198"/>
      <c r="T94" s="198"/>
      <c r="U94" s="198"/>
    </row>
    <row r="95" spans="1:21" s="12" customFormat="1" ht="15">
      <c r="A95" s="216" t="s">
        <v>907</v>
      </c>
      <c r="B95" s="60">
        <v>138.65</v>
      </c>
      <c r="C95" s="60">
        <v>65.66</v>
      </c>
      <c r="D95" s="60">
        <v>204.31</v>
      </c>
      <c r="E95" s="60">
        <v>8.11</v>
      </c>
      <c r="F95" s="60">
        <v>0.37</v>
      </c>
      <c r="G95" s="60">
        <v>317.05</v>
      </c>
      <c r="H95" s="60">
        <v>66.739999999999995</v>
      </c>
      <c r="I95" s="60">
        <v>18.72</v>
      </c>
      <c r="J95" s="60">
        <v>0.42</v>
      </c>
      <c r="K95" s="60">
        <v>3.03</v>
      </c>
      <c r="L95" s="60">
        <v>43.14</v>
      </c>
      <c r="M95" s="60">
        <v>36.19</v>
      </c>
      <c r="N95" s="60">
        <v>252.30</v>
      </c>
      <c r="O95" s="60">
        <v>0</v>
      </c>
      <c r="P95" s="60">
        <v>4.3600000000000003</v>
      </c>
      <c r="Q95" s="60">
        <v>179</v>
      </c>
      <c r="R95" s="198"/>
      <c r="S95" s="198"/>
      <c r="T95" s="198"/>
      <c r="U95" s="198"/>
    </row>
    <row r="96" spans="1:26" s="12" customFormat="1" ht="15">
      <c r="A96" s="216" t="s">
        <v>908</v>
      </c>
      <c r="B96" s="60">
        <v>139.72</v>
      </c>
      <c r="C96" s="60">
        <v>64.56</v>
      </c>
      <c r="D96" s="60">
        <v>204.28</v>
      </c>
      <c r="E96" s="60">
        <v>8.07</v>
      </c>
      <c r="F96" s="60">
        <v>0.19</v>
      </c>
      <c r="G96" s="60">
        <v>317.05</v>
      </c>
      <c r="H96" s="60">
        <v>66.739999999999995</v>
      </c>
      <c r="I96" s="60">
        <v>19.399999999999999</v>
      </c>
      <c r="J96" s="60">
        <v>0.79</v>
      </c>
      <c r="K96" s="60">
        <v>358.92</v>
      </c>
      <c r="L96" s="60">
        <v>36.99</v>
      </c>
      <c r="M96" s="60">
        <v>39.119999999999997</v>
      </c>
      <c r="N96" s="60">
        <v>257.70</v>
      </c>
      <c r="O96" s="60">
        <v>0</v>
      </c>
      <c r="P96" s="60">
        <v>4.49</v>
      </c>
      <c r="Q96" s="60">
        <v>175.16</v>
      </c>
      <c r="R96" s="198"/>
      <c r="S96" s="198"/>
      <c r="T96" s="198"/>
      <c r="U96" s="198"/>
      <c r="Z96" s="109"/>
    </row>
    <row r="97" spans="1:21" s="12" customFormat="1" ht="15">
      <c r="A97" s="216" t="s">
        <v>909</v>
      </c>
      <c r="B97" s="60">
        <v>144.18</v>
      </c>
      <c r="C97" s="60">
        <v>63.46</v>
      </c>
      <c r="D97" s="60">
        <v>207.64</v>
      </c>
      <c r="E97" s="60">
        <v>8.26</v>
      </c>
      <c r="F97" s="60">
        <v>0.31</v>
      </c>
      <c r="G97" s="60">
        <v>315.63</v>
      </c>
      <c r="H97" s="60">
        <v>68.55</v>
      </c>
      <c r="I97" s="60">
        <v>20.13</v>
      </c>
      <c r="J97" s="60">
        <v>0.13</v>
      </c>
      <c r="K97" s="60">
        <v>11.08</v>
      </c>
      <c r="L97" s="60">
        <v>35.35</v>
      </c>
      <c r="M97" s="60">
        <v>36.49</v>
      </c>
      <c r="N97" s="60">
        <v>324.39999999999998</v>
      </c>
      <c r="O97" s="60">
        <v>0</v>
      </c>
      <c r="P97" s="60">
        <v>4.74</v>
      </c>
      <c r="Q97" s="60">
        <v>178.62</v>
      </c>
      <c r="R97" s="198"/>
      <c r="S97" s="198"/>
      <c r="T97" s="198"/>
      <c r="U97" s="198"/>
    </row>
    <row r="98" spans="1:21" s="12" customFormat="1" ht="15">
      <c r="A98" s="216" t="s">
        <v>910</v>
      </c>
      <c r="B98" s="60">
        <v>149.30000000000001</v>
      </c>
      <c r="C98" s="60">
        <v>63.24</v>
      </c>
      <c r="D98" s="60">
        <v>212.55</v>
      </c>
      <c r="E98" s="60">
        <v>8.3800000000000008</v>
      </c>
      <c r="F98" s="60">
        <v>0.39</v>
      </c>
      <c r="G98" s="60">
        <v>312.58999999999997</v>
      </c>
      <c r="H98" s="60">
        <v>73.83</v>
      </c>
      <c r="I98" s="60">
        <v>20.67</v>
      </c>
      <c r="J98" s="60">
        <v>0.44</v>
      </c>
      <c r="K98" s="60">
        <v>359.27</v>
      </c>
      <c r="L98" s="60">
        <v>34.69</v>
      </c>
      <c r="M98" s="60">
        <v>37.56</v>
      </c>
      <c r="N98" s="60">
        <v>286</v>
      </c>
      <c r="O98" s="60">
        <v>0</v>
      </c>
      <c r="P98" s="60">
        <v>4.93</v>
      </c>
      <c r="Q98" s="60">
        <v>177.40</v>
      </c>
      <c r="R98" s="198"/>
      <c r="S98" s="198"/>
      <c r="T98" s="198"/>
      <c r="U98" s="198"/>
    </row>
    <row r="99" spans="1:21" s="12" customFormat="1" ht="15">
      <c r="A99" s="216" t="s">
        <v>911</v>
      </c>
      <c r="B99" s="60">
        <v>157.33000000000001</v>
      </c>
      <c r="C99" s="60">
        <v>63.12</v>
      </c>
      <c r="D99" s="60">
        <v>220.45</v>
      </c>
      <c r="E99" s="60">
        <v>8.2100000000000009</v>
      </c>
      <c r="F99" s="60">
        <v>0.28000000000000003</v>
      </c>
      <c r="G99" s="60">
        <v>312.58999999999997</v>
      </c>
      <c r="H99" s="60">
        <v>73.83</v>
      </c>
      <c r="I99" s="60">
        <v>21.75</v>
      </c>
      <c r="J99" s="60">
        <v>1.05</v>
      </c>
      <c r="K99" s="60">
        <v>75.92</v>
      </c>
      <c r="L99" s="60">
        <v>34.880000000000003</v>
      </c>
      <c r="M99" s="60">
        <v>38.47</v>
      </c>
      <c r="N99" s="60">
        <v>297.5</v>
      </c>
      <c r="O99" s="60">
        <v>0</v>
      </c>
      <c r="P99" s="60">
        <v>5.04</v>
      </c>
      <c r="Q99" s="60">
        <v>180.59</v>
      </c>
      <c r="R99" s="198"/>
      <c r="S99" s="198"/>
      <c r="T99" s="198"/>
      <c r="U99" s="198"/>
    </row>
    <row r="100" spans="1:33" s="12" customFormat="1" ht="15">
      <c r="A100" s="216" t="s">
        <v>912</v>
      </c>
      <c r="B100" s="60">
        <v>167.28</v>
      </c>
      <c r="C100" s="60">
        <v>63.53</v>
      </c>
      <c r="D100" s="60">
        <v>230.81</v>
      </c>
      <c r="E100" s="60">
        <v>3.85</v>
      </c>
      <c r="F100" s="60">
        <v>0.08</v>
      </c>
      <c r="G100" s="60">
        <v>312.58999999999997</v>
      </c>
      <c r="H100" s="60">
        <v>73.83</v>
      </c>
      <c r="I100" s="60">
        <v>22.48</v>
      </c>
      <c r="J100" s="60">
        <v>0.28999999999999998</v>
      </c>
      <c r="K100" s="60">
        <v>243.22</v>
      </c>
      <c r="L100" s="60">
        <v>35.04</v>
      </c>
      <c r="M100" s="60">
        <v>38.14</v>
      </c>
      <c r="N100" s="60">
        <v>311.5</v>
      </c>
      <c r="O100" s="60">
        <v>0</v>
      </c>
      <c r="P100" s="60">
        <v>5.13</v>
      </c>
      <c r="Q100" s="60">
        <v>183.61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16" t="s">
        <v>913</v>
      </c>
      <c r="B101" s="60">
        <v>173.63</v>
      </c>
      <c r="C101" s="60">
        <v>63.81</v>
      </c>
      <c r="D101" s="60">
        <v>237.44</v>
      </c>
      <c r="E101" s="60">
        <v>7.76</v>
      </c>
      <c r="F101" s="60">
        <v>0.25</v>
      </c>
      <c r="G101" s="60">
        <v>320.75</v>
      </c>
      <c r="H101" s="60">
        <v>74.95</v>
      </c>
      <c r="I101" s="60">
        <v>23</v>
      </c>
      <c r="J101" s="60">
        <v>0.61</v>
      </c>
      <c r="K101" s="60">
        <v>45.32</v>
      </c>
      <c r="L101" s="60">
        <v>34.42</v>
      </c>
      <c r="M101" s="60">
        <v>38.93</v>
      </c>
      <c r="N101" s="60">
        <v>255.20</v>
      </c>
      <c r="O101" s="60">
        <v>0</v>
      </c>
      <c r="P101" s="60">
        <v>5.20</v>
      </c>
      <c r="Q101" s="60">
        <v>185.77</v>
      </c>
      <c r="R101" s="198"/>
      <c r="S101" s="198"/>
      <c r="T101" s="198"/>
      <c r="U101" s="198"/>
    </row>
    <row r="102" spans="1:21" s="12" customFormat="1" ht="15">
      <c r="A102" s="216" t="s">
        <v>914</v>
      </c>
      <c r="B102" s="60">
        <v>175.08</v>
      </c>
      <c r="C102" s="60">
        <v>63.66</v>
      </c>
      <c r="D102" s="60">
        <v>238.74</v>
      </c>
      <c r="E102" s="60">
        <v>8.25</v>
      </c>
      <c r="F102" s="60">
        <v>0.54</v>
      </c>
      <c r="G102" s="60">
        <v>339.32</v>
      </c>
      <c r="H102" s="60">
        <v>78.42</v>
      </c>
      <c r="I102" s="60">
        <v>23.42</v>
      </c>
      <c r="J102" s="60">
        <v>0.80</v>
      </c>
      <c r="K102" s="60">
        <v>11.22</v>
      </c>
      <c r="L102" s="60">
        <v>34.44</v>
      </c>
      <c r="M102" s="60">
        <v>37.08</v>
      </c>
      <c r="N102" s="60">
        <v>336.20</v>
      </c>
      <c r="O102" s="60">
        <v>0</v>
      </c>
      <c r="P102" s="60">
        <v>5.16</v>
      </c>
      <c r="Q102" s="60">
        <v>186.45</v>
      </c>
      <c r="R102" s="198"/>
      <c r="S102" s="198"/>
      <c r="T102" s="198"/>
      <c r="U102" s="198"/>
    </row>
    <row r="103" spans="1:21" s="12" customFormat="1" ht="15">
      <c r="A103" s="216" t="s">
        <v>915</v>
      </c>
      <c r="B103" s="60">
        <v>175.42</v>
      </c>
      <c r="C103" s="60">
        <v>56.71</v>
      </c>
      <c r="D103" s="60">
        <v>232.13</v>
      </c>
      <c r="E103" s="60">
        <v>8.25</v>
      </c>
      <c r="F103" s="60">
        <v>0.78</v>
      </c>
      <c r="G103" s="60">
        <v>339.32</v>
      </c>
      <c r="H103" s="60">
        <v>78.42</v>
      </c>
      <c r="I103" s="60">
        <v>23.60</v>
      </c>
      <c r="J103" s="60">
        <v>0.43</v>
      </c>
      <c r="K103" s="60">
        <v>270.66000000000003</v>
      </c>
      <c r="L103" s="60">
        <v>34.43</v>
      </c>
      <c r="M103" s="60">
        <v>39.99</v>
      </c>
      <c r="N103" s="60">
        <v>360.20</v>
      </c>
      <c r="O103" s="60">
        <v>0</v>
      </c>
      <c r="P103" s="60">
        <v>5.04</v>
      </c>
      <c r="Q103" s="60">
        <v>150.63999999999999</v>
      </c>
      <c r="R103" s="198"/>
      <c r="S103" s="198"/>
      <c r="T103" s="198"/>
      <c r="U103" s="198"/>
    </row>
    <row r="104" spans="1:21" s="12" customFormat="1" ht="15">
      <c r="A104" s="216" t="s">
        <v>916</v>
      </c>
      <c r="B104" s="60">
        <v>170.03</v>
      </c>
      <c r="C104" s="60">
        <v>57.57</v>
      </c>
      <c r="D104" s="60">
        <v>227.60</v>
      </c>
      <c r="E104" s="60">
        <v>7.97</v>
      </c>
      <c r="F104" s="60">
        <v>0.41</v>
      </c>
      <c r="G104" s="60">
        <v>339.32</v>
      </c>
      <c r="H104" s="60">
        <v>78.42</v>
      </c>
      <c r="I104" s="60">
        <v>23.34</v>
      </c>
      <c r="J104" s="60">
        <v>0.31</v>
      </c>
      <c r="K104" s="60">
        <v>241.43</v>
      </c>
      <c r="L104" s="60">
        <v>51.38</v>
      </c>
      <c r="M104" s="60">
        <v>37.07</v>
      </c>
      <c r="N104" s="60">
        <v>275.70</v>
      </c>
      <c r="O104" s="60">
        <v>0</v>
      </c>
      <c r="P104" s="60">
        <v>4.88</v>
      </c>
      <c r="Q104" s="60">
        <v>146.91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0.65000000000000002</v>
      </c>
      <c r="C106" s="67">
        <f>MIN(C9:C104)</f>
        <v>16.879999999999999</v>
      </c>
      <c r="D106" s="67">
        <f t="shared" si="0" ref="D106:Q106">MIN(D9:D104)</f>
        <v>17.68</v>
      </c>
      <c r="E106" s="67">
        <f t="shared" si="0"/>
        <v>2.2000000000000002</v>
      </c>
      <c r="F106" s="67">
        <f t="shared" si="0"/>
        <v>0.070000000000000007</v>
      </c>
      <c r="G106" s="67">
        <f t="shared" si="0"/>
        <v>70.959999999999994</v>
      </c>
      <c r="H106" s="67">
        <f t="shared" si="0"/>
        <v>25.16</v>
      </c>
      <c r="I106" s="67">
        <f t="shared" si="0"/>
        <v>0.059999999999999998</v>
      </c>
      <c r="J106" s="67">
        <f t="shared" si="0"/>
        <v>0.10000000000000001</v>
      </c>
      <c r="K106" s="67">
        <f t="shared" si="0"/>
        <v>2.5499999999999998</v>
      </c>
      <c r="L106" s="67">
        <f t="shared" si="0"/>
        <v>33.369999999999997</v>
      </c>
      <c r="M106" s="67">
        <f t="shared" si="0"/>
        <v>12.539999999999999</v>
      </c>
      <c r="N106" s="67">
        <f t="shared" si="0"/>
        <v>48.899999999999999</v>
      </c>
      <c r="O106" s="67">
        <f t="shared" si="0"/>
        <v>0</v>
      </c>
      <c r="P106" s="67">
        <f t="shared" si="0"/>
        <v>1.5800000000000001</v>
      </c>
      <c r="Q106" s="67">
        <f t="shared" si="0"/>
        <v>38.710000000000001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175.41999999999999</v>
      </c>
      <c r="C107" s="66">
        <f t="shared" si="1" ref="C107:Q107">MAX(C9:C104)</f>
        <v>67.569999999999993</v>
      </c>
      <c r="D107" s="66">
        <f t="shared" si="1"/>
        <v>238.74000000000001</v>
      </c>
      <c r="E107" s="66">
        <f t="shared" si="1"/>
        <v>8.3800000000000008</v>
      </c>
      <c r="F107" s="66">
        <f t="shared" si="1"/>
        <v>8.4700000000000006</v>
      </c>
      <c r="G107" s="66">
        <f t="shared" si="1"/>
        <v>378.45999999999998</v>
      </c>
      <c r="H107" s="66">
        <f t="shared" si="1"/>
        <v>78.420000000000002</v>
      </c>
      <c r="I107" s="66">
        <f t="shared" si="1"/>
        <v>23.600000000000001</v>
      </c>
      <c r="J107" s="66">
        <f t="shared" si="1"/>
        <v>3.0899999999999999</v>
      </c>
      <c r="K107" s="66">
        <f t="shared" si="1"/>
        <v>359.26999999999998</v>
      </c>
      <c r="L107" s="66">
        <f t="shared" si="1"/>
        <v>59.590000000000003</v>
      </c>
      <c r="M107" s="66">
        <f t="shared" si="1"/>
        <v>59.829999999999998</v>
      </c>
      <c r="N107" s="66">
        <f t="shared" si="1"/>
        <v>1169.3</v>
      </c>
      <c r="O107" s="66">
        <f t="shared" si="1"/>
        <v>0</v>
      </c>
      <c r="P107" s="66">
        <f t="shared" si="1"/>
        <v>5.2000000000000002</v>
      </c>
      <c r="Q107" s="66">
        <f t="shared" si="1"/>
        <v>186.44999999999999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29.448541666666671</v>
      </c>
      <c r="C108" s="67">
        <f t="shared" si="2" ref="C108:Q108">AVERAGE(C9:C104)</f>
        <v>40.08927083333333</v>
      </c>
      <c r="D108" s="67">
        <f t="shared" si="2"/>
        <v>69.537187500000002</v>
      </c>
      <c r="E108" s="67">
        <f t="shared" si="2"/>
        <v>6.0516666666666667</v>
      </c>
      <c r="F108" s="67">
        <f t="shared" si="2"/>
        <v>2.3060416666666668</v>
      </c>
      <c r="G108" s="67">
        <f t="shared" si="2"/>
        <v>146.70552083333328</v>
      </c>
      <c r="H108" s="67">
        <f t="shared" si="2"/>
        <v>41.748958333333327</v>
      </c>
      <c r="I108" s="67">
        <f t="shared" si="2"/>
        <v>8.4037500000000005</v>
      </c>
      <c r="J108" s="67">
        <f t="shared" si="2"/>
        <v>1.4355208333333336</v>
      </c>
      <c r="K108" s="67">
        <f t="shared" si="2"/>
        <v>216.12020833333338</v>
      </c>
      <c r="L108" s="67">
        <f t="shared" si="2"/>
        <v>43.791979166666664</v>
      </c>
      <c r="M108" s="67">
        <f t="shared" si="2"/>
        <v>35.84947916666664</v>
      </c>
      <c r="N108" s="67">
        <f t="shared" si="2"/>
        <v>437.43124999999981</v>
      </c>
      <c r="O108" s="67">
        <f t="shared" si="2"/>
        <v>0</v>
      </c>
      <c r="P108" s="67">
        <f t="shared" si="2"/>
        <v>2.3790625000000003</v>
      </c>
      <c r="Q108" s="67">
        <f t="shared" si="2"/>
        <v>96.119895833333331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55.023034467951724</v>
      </c>
      <c r="C109" s="67">
        <f t="shared" si="3" ref="C109:Q109">STDEV(C9:C104)</f>
        <v>16.200808117907165</v>
      </c>
      <c r="D109" s="67">
        <f t="shared" si="3"/>
        <v>67.948853965055747</v>
      </c>
      <c r="E109" s="67">
        <f t="shared" si="3"/>
        <v>1.3217242858173195</v>
      </c>
      <c r="F109" s="67">
        <f t="shared" si="3"/>
        <v>1.8003177960200996</v>
      </c>
      <c r="G109" s="67">
        <f t="shared" si="3"/>
        <v>91.731945177466386</v>
      </c>
      <c r="H109" s="67">
        <f t="shared" si="3"/>
        <v>13.464227652261792</v>
      </c>
      <c r="I109" s="67">
        <f t="shared" si="3"/>
        <v>6.2156405080480139</v>
      </c>
      <c r="J109" s="67">
        <f t="shared" si="3"/>
        <v>0.80487968344626515</v>
      </c>
      <c r="K109" s="67">
        <f t="shared" si="3"/>
        <v>118.00574351748313</v>
      </c>
      <c r="L109" s="67">
        <f t="shared" si="3"/>
        <v>6.4487878289427405</v>
      </c>
      <c r="M109" s="67">
        <f t="shared" si="3"/>
        <v>16.040254189467237</v>
      </c>
      <c r="N109" s="67">
        <f t="shared" si="3"/>
        <v>342.86918828660583</v>
      </c>
      <c r="O109" s="67">
        <f t="shared" si="3"/>
        <v>0</v>
      </c>
      <c r="P109" s="67">
        <f t="shared" si="3"/>
        <v>1.0846547625615113</v>
      </c>
      <c r="Q109" s="67">
        <f t="shared" si="3"/>
        <v>44.566900781321934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5e5738-7b5f-4133-8130-bbd57ba7025f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08-06-2022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917</v>
      </c>
      <c r="B9" s="60">
        <v>159.55000000000001</v>
      </c>
      <c r="C9" s="60">
        <v>59.64</v>
      </c>
      <c r="D9" s="60">
        <v>219.19</v>
      </c>
      <c r="E9" s="60">
        <v>7.82</v>
      </c>
      <c r="F9" s="60">
        <v>0.19</v>
      </c>
      <c r="G9" s="60">
        <v>308.87</v>
      </c>
      <c r="H9" s="60">
        <v>78.069999999999993</v>
      </c>
      <c r="I9" s="60">
        <v>22.69</v>
      </c>
      <c r="J9" s="60">
        <v>0.86</v>
      </c>
      <c r="K9" s="60">
        <v>113.12</v>
      </c>
      <c r="L9" s="60">
        <v>54.15</v>
      </c>
      <c r="M9" s="60">
        <v>34.450000000000003</v>
      </c>
      <c r="N9" s="60">
        <v>270</v>
      </c>
      <c r="O9" s="60">
        <v>0</v>
      </c>
      <c r="P9" s="60">
        <v>4.70</v>
      </c>
      <c r="Q9" s="60">
        <v>154.03</v>
      </c>
      <c r="R9" s="198"/>
      <c r="S9" s="198"/>
      <c r="T9" s="198"/>
      <c r="U9" s="198"/>
    </row>
    <row r="10" spans="1:21" s="12" customFormat="1" ht="15">
      <c r="A10" s="201" t="s">
        <v>918</v>
      </c>
      <c r="B10" s="60">
        <v>146.41999999999999</v>
      </c>
      <c r="C10" s="60">
        <v>59.34</v>
      </c>
      <c r="D10" s="60">
        <v>205.76</v>
      </c>
      <c r="E10" s="60">
        <v>8.25</v>
      </c>
      <c r="F10" s="60">
        <v>0.02</v>
      </c>
      <c r="G10" s="60">
        <v>243.64</v>
      </c>
      <c r="H10" s="60">
        <v>77.069999999999993</v>
      </c>
      <c r="I10" s="60">
        <v>22.15</v>
      </c>
      <c r="J10" s="60">
        <v>2.65</v>
      </c>
      <c r="K10" s="60">
        <v>161.10</v>
      </c>
      <c r="L10" s="60">
        <v>36.35</v>
      </c>
      <c r="M10" s="60">
        <v>31.01</v>
      </c>
      <c r="N10" s="60">
        <v>264.5</v>
      </c>
      <c r="O10" s="60">
        <v>0</v>
      </c>
      <c r="P10" s="60">
        <v>4.5</v>
      </c>
      <c r="Q10" s="60">
        <v>155.44</v>
      </c>
      <c r="R10" s="198"/>
      <c r="S10" s="198"/>
      <c r="T10" s="198"/>
      <c r="U10" s="198"/>
    </row>
    <row r="11" spans="1:21" s="12" customFormat="1" ht="15">
      <c r="A11" s="201" t="s">
        <v>919</v>
      </c>
      <c r="B11" s="60">
        <v>133.41999999999999</v>
      </c>
      <c r="C11" s="60">
        <v>56.64</v>
      </c>
      <c r="D11" s="60">
        <v>190.06</v>
      </c>
      <c r="E11" s="60">
        <v>7.66</v>
      </c>
      <c r="F11" s="60">
        <v>0.09</v>
      </c>
      <c r="G11" s="60">
        <v>243.64</v>
      </c>
      <c r="H11" s="60">
        <v>77.069999999999993</v>
      </c>
      <c r="I11" s="60">
        <v>21.27</v>
      </c>
      <c r="J11" s="60">
        <v>1.02</v>
      </c>
      <c r="K11" s="60">
        <v>192.84</v>
      </c>
      <c r="L11" s="60">
        <v>35.04</v>
      </c>
      <c r="M11" s="60">
        <v>31.99</v>
      </c>
      <c r="N11" s="60">
        <v>280</v>
      </c>
      <c r="O11" s="60">
        <v>0</v>
      </c>
      <c r="P11" s="60">
        <v>4.28</v>
      </c>
      <c r="Q11" s="60">
        <v>149.60</v>
      </c>
      <c r="R11" s="198"/>
      <c r="S11" s="198"/>
      <c r="T11" s="198"/>
      <c r="U11" s="198"/>
    </row>
    <row r="12" spans="1:21" s="12" customFormat="1" ht="15">
      <c r="A12" s="201" t="s">
        <v>920</v>
      </c>
      <c r="B12" s="60">
        <v>120.96</v>
      </c>
      <c r="C12" s="60">
        <v>54.67</v>
      </c>
      <c r="D12" s="60">
        <v>175.64</v>
      </c>
      <c r="E12" s="60">
        <v>8.1199999999999992</v>
      </c>
      <c r="F12" s="60">
        <v>0.15</v>
      </c>
      <c r="G12" s="60">
        <v>243.64</v>
      </c>
      <c r="H12" s="60">
        <v>77.069999999999993</v>
      </c>
      <c r="I12" s="60">
        <v>20.38</v>
      </c>
      <c r="J12" s="60">
        <v>0.97</v>
      </c>
      <c r="K12" s="60">
        <v>259.99</v>
      </c>
      <c r="L12" s="60">
        <v>51.19</v>
      </c>
      <c r="M12" s="60">
        <v>32.64</v>
      </c>
      <c r="N12" s="60">
        <v>212.20</v>
      </c>
      <c r="O12" s="60">
        <v>0</v>
      </c>
      <c r="P12" s="60">
        <v>4.07</v>
      </c>
      <c r="Q12" s="60">
        <v>142.66999999999999</v>
      </c>
      <c r="R12" s="198"/>
      <c r="S12" s="198"/>
      <c r="T12" s="198"/>
      <c r="U12" s="198"/>
    </row>
    <row r="13" spans="1:21" s="12" customFormat="1" ht="15">
      <c r="A13" s="201" t="s">
        <v>921</v>
      </c>
      <c r="B13" s="60">
        <v>109.70</v>
      </c>
      <c r="C13" s="60">
        <v>53.65</v>
      </c>
      <c r="D13" s="60">
        <v>163.35</v>
      </c>
      <c r="E13" s="60">
        <v>7.90</v>
      </c>
      <c r="F13" s="60">
        <v>0.68</v>
      </c>
      <c r="G13" s="60">
        <v>221.47</v>
      </c>
      <c r="H13" s="60">
        <v>73.489999999999995</v>
      </c>
      <c r="I13" s="60">
        <v>19.25</v>
      </c>
      <c r="J13" s="60">
        <v>1.1000000000000001</v>
      </c>
      <c r="K13" s="60">
        <v>271.77</v>
      </c>
      <c r="L13" s="60">
        <v>41.17</v>
      </c>
      <c r="M13" s="60">
        <v>30.88</v>
      </c>
      <c r="N13" s="60">
        <v>204.5</v>
      </c>
      <c r="O13" s="60">
        <v>0</v>
      </c>
      <c r="P13" s="60">
        <v>3.92</v>
      </c>
      <c r="Q13" s="60">
        <v>138.5</v>
      </c>
      <c r="R13" s="198"/>
      <c r="S13" s="198"/>
      <c r="T13" s="198"/>
      <c r="U13" s="198"/>
    </row>
    <row r="14" spans="1:21" s="12" customFormat="1" ht="15">
      <c r="A14" s="201" t="s">
        <v>922</v>
      </c>
      <c r="B14" s="60">
        <v>99.75</v>
      </c>
      <c r="C14" s="60">
        <v>53.59</v>
      </c>
      <c r="D14" s="60">
        <v>153.34</v>
      </c>
      <c r="E14" s="60">
        <v>7.91</v>
      </c>
      <c r="F14" s="60">
        <v>0.67</v>
      </c>
      <c r="G14" s="60">
        <v>121.74</v>
      </c>
      <c r="H14" s="60">
        <v>62.42</v>
      </c>
      <c r="I14" s="60">
        <v>18.420000000000002</v>
      </c>
      <c r="J14" s="60">
        <v>1.86</v>
      </c>
      <c r="K14" s="60">
        <v>173.62</v>
      </c>
      <c r="L14" s="60">
        <v>42.42</v>
      </c>
      <c r="M14" s="60">
        <v>31.84</v>
      </c>
      <c r="N14" s="60">
        <v>161.10</v>
      </c>
      <c r="O14" s="60">
        <v>0</v>
      </c>
      <c r="P14" s="60">
        <v>3.75</v>
      </c>
      <c r="Q14" s="60">
        <v>143.85</v>
      </c>
      <c r="R14" s="198"/>
      <c r="S14" s="198"/>
      <c r="T14" s="198"/>
      <c r="U14" s="198"/>
    </row>
    <row r="15" spans="1:21" s="12" customFormat="1" ht="15">
      <c r="A15" s="201" t="s">
        <v>923</v>
      </c>
      <c r="B15" s="60">
        <v>87.62</v>
      </c>
      <c r="C15" s="60">
        <v>50.83</v>
      </c>
      <c r="D15" s="60">
        <v>138.44999999999999</v>
      </c>
      <c r="E15" s="60">
        <v>7.99</v>
      </c>
      <c r="F15" s="60">
        <v>0.84</v>
      </c>
      <c r="G15" s="60">
        <v>121.74</v>
      </c>
      <c r="H15" s="60">
        <v>62.42</v>
      </c>
      <c r="I15" s="60">
        <v>17.649999999999999</v>
      </c>
      <c r="J15" s="60">
        <v>1.33</v>
      </c>
      <c r="K15" s="60">
        <v>246.55</v>
      </c>
      <c r="L15" s="60">
        <v>46.58</v>
      </c>
      <c r="M15" s="60">
        <v>34.31</v>
      </c>
      <c r="N15" s="60">
        <v>132.5</v>
      </c>
      <c r="O15" s="60">
        <v>0</v>
      </c>
      <c r="P15" s="60">
        <v>3.54</v>
      </c>
      <c r="Q15" s="60">
        <v>148.30000000000001</v>
      </c>
      <c r="R15" s="198"/>
      <c r="S15" s="198"/>
      <c r="T15" s="198"/>
      <c r="U15" s="198"/>
    </row>
    <row r="16" spans="1:21" s="12" customFormat="1" ht="15">
      <c r="A16" s="201" t="s">
        <v>924</v>
      </c>
      <c r="B16" s="60">
        <v>76.47</v>
      </c>
      <c r="C16" s="60">
        <v>47.89</v>
      </c>
      <c r="D16" s="60">
        <v>124.36</v>
      </c>
      <c r="E16" s="60">
        <v>7.81</v>
      </c>
      <c r="F16" s="60">
        <v>0.51</v>
      </c>
      <c r="G16" s="60">
        <v>121.74</v>
      </c>
      <c r="H16" s="60">
        <v>62.42</v>
      </c>
      <c r="I16" s="60">
        <v>16.739999999999998</v>
      </c>
      <c r="J16" s="60">
        <v>1.1200000000000001</v>
      </c>
      <c r="K16" s="60">
        <v>220.28</v>
      </c>
      <c r="L16" s="60">
        <v>55.29</v>
      </c>
      <c r="M16" s="60">
        <v>33.950000000000003</v>
      </c>
      <c r="N16" s="60">
        <v>139.40</v>
      </c>
      <c r="O16" s="60">
        <v>0</v>
      </c>
      <c r="P16" s="60">
        <v>3.35</v>
      </c>
      <c r="Q16" s="60">
        <v>139.87</v>
      </c>
      <c r="R16" s="198"/>
      <c r="S16" s="198"/>
      <c r="T16" s="198"/>
      <c r="U16" s="198"/>
    </row>
    <row r="17" spans="1:21" s="12" customFormat="1" ht="15">
      <c r="A17" s="201" t="s">
        <v>925</v>
      </c>
      <c r="B17" s="60">
        <v>66.290000000000006</v>
      </c>
      <c r="C17" s="60">
        <v>45.73</v>
      </c>
      <c r="D17" s="60">
        <v>112.02</v>
      </c>
      <c r="E17" s="60">
        <v>7.52</v>
      </c>
      <c r="F17" s="60">
        <v>0.40</v>
      </c>
      <c r="G17" s="60">
        <v>110.71</v>
      </c>
      <c r="H17" s="60">
        <v>59.30</v>
      </c>
      <c r="I17" s="60">
        <v>15.78</v>
      </c>
      <c r="J17" s="60">
        <v>1.42</v>
      </c>
      <c r="K17" s="60">
        <v>212.79</v>
      </c>
      <c r="L17" s="60">
        <v>40.950000000000003</v>
      </c>
      <c r="M17" s="60">
        <v>33.57</v>
      </c>
      <c r="N17" s="60">
        <v>119.80</v>
      </c>
      <c r="O17" s="60">
        <v>0</v>
      </c>
      <c r="P17" s="60">
        <v>3.20</v>
      </c>
      <c r="Q17" s="60">
        <v>131.49</v>
      </c>
      <c r="R17" s="198"/>
      <c r="S17" s="198"/>
      <c r="T17" s="198"/>
      <c r="U17" s="198"/>
    </row>
    <row r="18" spans="1:21" s="12" customFormat="1" ht="15">
      <c r="A18" s="201" t="s">
        <v>926</v>
      </c>
      <c r="B18" s="60">
        <v>57.12</v>
      </c>
      <c r="C18" s="60">
        <v>43.88</v>
      </c>
      <c r="D18" s="60">
        <v>101</v>
      </c>
      <c r="E18" s="60">
        <v>7.11</v>
      </c>
      <c r="F18" s="60">
        <v>0.23</v>
      </c>
      <c r="G18" s="60">
        <v>87.09</v>
      </c>
      <c r="H18" s="60">
        <v>49.68</v>
      </c>
      <c r="I18" s="60">
        <v>14.84</v>
      </c>
      <c r="J18" s="60">
        <v>0.39</v>
      </c>
      <c r="K18" s="60">
        <v>178.58</v>
      </c>
      <c r="L18" s="60">
        <v>58.25</v>
      </c>
      <c r="M18" s="60">
        <v>35.729999999999997</v>
      </c>
      <c r="N18" s="60">
        <v>133.5</v>
      </c>
      <c r="O18" s="60">
        <v>0</v>
      </c>
      <c r="P18" s="60">
        <v>3.08</v>
      </c>
      <c r="Q18" s="60">
        <v>124.60</v>
      </c>
      <c r="R18" s="198"/>
      <c r="S18" s="198"/>
      <c r="T18" s="198"/>
      <c r="U18" s="198"/>
    </row>
    <row r="19" spans="1:21" s="12" customFormat="1" ht="15">
      <c r="A19" s="201" t="s">
        <v>927</v>
      </c>
      <c r="B19" s="60">
        <v>48.97</v>
      </c>
      <c r="C19" s="60">
        <v>41.84</v>
      </c>
      <c r="D19" s="60">
        <v>90.80</v>
      </c>
      <c r="E19" s="60">
        <v>7.15</v>
      </c>
      <c r="F19" s="60">
        <v>0.30</v>
      </c>
      <c r="G19" s="60">
        <v>87.09</v>
      </c>
      <c r="H19" s="60">
        <v>49.68</v>
      </c>
      <c r="I19" s="60">
        <v>14.01</v>
      </c>
      <c r="J19" s="60">
        <v>0.56000000000000005</v>
      </c>
      <c r="K19" s="60">
        <v>82.48</v>
      </c>
      <c r="L19" s="60">
        <v>65.02</v>
      </c>
      <c r="M19" s="60">
        <v>38.57</v>
      </c>
      <c r="N19" s="60">
        <v>187.40</v>
      </c>
      <c r="O19" s="60">
        <v>0</v>
      </c>
      <c r="P19" s="60">
        <v>2.93</v>
      </c>
      <c r="Q19" s="60">
        <v>119.57</v>
      </c>
      <c r="R19" s="198"/>
      <c r="S19" s="198"/>
      <c r="T19" s="198"/>
      <c r="U19" s="198"/>
    </row>
    <row r="20" spans="1:21" s="12" customFormat="1" ht="15">
      <c r="A20" s="201" t="s">
        <v>928</v>
      </c>
      <c r="B20" s="60">
        <v>42.24</v>
      </c>
      <c r="C20" s="60">
        <v>40.04</v>
      </c>
      <c r="D20" s="60">
        <v>82.28</v>
      </c>
      <c r="E20" s="60">
        <v>3.37</v>
      </c>
      <c r="F20" s="60">
        <v>0.27</v>
      </c>
      <c r="G20" s="60">
        <v>87.09</v>
      </c>
      <c r="H20" s="60">
        <v>49.68</v>
      </c>
      <c r="I20" s="60">
        <v>13.35</v>
      </c>
      <c r="J20" s="60">
        <v>1.03</v>
      </c>
      <c r="K20" s="60">
        <v>282.02</v>
      </c>
      <c r="L20" s="60">
        <v>63.66</v>
      </c>
      <c r="M20" s="60">
        <v>42.91</v>
      </c>
      <c r="N20" s="60">
        <v>165.90</v>
      </c>
      <c r="O20" s="60">
        <v>0</v>
      </c>
      <c r="P20" s="60">
        <v>2.85</v>
      </c>
      <c r="Q20" s="60">
        <v>115.06</v>
      </c>
      <c r="R20" s="198"/>
      <c r="S20" s="198"/>
      <c r="T20" s="198"/>
      <c r="U20" s="198"/>
    </row>
    <row r="21" spans="1:21" s="12" customFormat="1" ht="15">
      <c r="A21" s="201" t="s">
        <v>929</v>
      </c>
      <c r="B21" s="60">
        <v>36.840000000000003</v>
      </c>
      <c r="C21" s="60">
        <v>38.51</v>
      </c>
      <c r="D21" s="60">
        <v>75.34</v>
      </c>
      <c r="E21" s="60">
        <v>6.58</v>
      </c>
      <c r="F21" s="60">
        <v>0.60</v>
      </c>
      <c r="G21" s="60">
        <v>96.25</v>
      </c>
      <c r="H21" s="60">
        <v>49.72</v>
      </c>
      <c r="I21" s="60">
        <v>12.58</v>
      </c>
      <c r="J21" s="60">
        <v>1.31</v>
      </c>
      <c r="K21" s="60">
        <v>333.23</v>
      </c>
      <c r="L21" s="60">
        <v>69.69</v>
      </c>
      <c r="M21" s="60">
        <v>44.34</v>
      </c>
      <c r="N21" s="60">
        <v>148</v>
      </c>
      <c r="O21" s="60">
        <v>0</v>
      </c>
      <c r="P21" s="60">
        <v>2.77</v>
      </c>
      <c r="Q21" s="60">
        <v>111.06</v>
      </c>
      <c r="R21" s="198"/>
      <c r="S21" s="198"/>
      <c r="T21" s="198"/>
      <c r="U21" s="198"/>
    </row>
    <row r="22" spans="1:21" s="12" customFormat="1" ht="15">
      <c r="A22" s="201" t="s">
        <v>930</v>
      </c>
      <c r="B22" s="60">
        <v>31.95</v>
      </c>
      <c r="C22" s="60">
        <v>37.659999999999997</v>
      </c>
      <c r="D22" s="60">
        <v>69.599999999999994</v>
      </c>
      <c r="E22" s="60">
        <v>6.94</v>
      </c>
      <c r="F22" s="60">
        <v>0.45</v>
      </c>
      <c r="G22" s="60">
        <v>116.63</v>
      </c>
      <c r="H22" s="60">
        <v>49.84</v>
      </c>
      <c r="I22" s="60">
        <v>11.95</v>
      </c>
      <c r="J22" s="60">
        <v>1.21</v>
      </c>
      <c r="K22" s="60">
        <v>261.91000000000003</v>
      </c>
      <c r="L22" s="60">
        <v>63.44</v>
      </c>
      <c r="M22" s="60">
        <v>38.99</v>
      </c>
      <c r="N22" s="60">
        <v>170.90</v>
      </c>
      <c r="O22" s="60">
        <v>0</v>
      </c>
      <c r="P22" s="60">
        <v>2.66</v>
      </c>
      <c r="Q22" s="60">
        <v>107.74</v>
      </c>
      <c r="R22" s="198"/>
      <c r="S22" s="198"/>
      <c r="T22" s="198"/>
      <c r="U22" s="198"/>
    </row>
    <row r="23" spans="1:21" s="12" customFormat="1" ht="15">
      <c r="A23" s="201" t="s">
        <v>931</v>
      </c>
      <c r="B23" s="60">
        <v>27.22</v>
      </c>
      <c r="C23" s="60">
        <v>38</v>
      </c>
      <c r="D23" s="60">
        <v>65.23</v>
      </c>
      <c r="E23" s="60">
        <v>7.03</v>
      </c>
      <c r="F23" s="60">
        <v>0.38</v>
      </c>
      <c r="G23" s="60">
        <v>116.63</v>
      </c>
      <c r="H23" s="60">
        <v>49.84</v>
      </c>
      <c r="I23" s="60">
        <v>11.39</v>
      </c>
      <c r="J23" s="60">
        <v>1.1299999999999999</v>
      </c>
      <c r="K23" s="60">
        <v>243.12</v>
      </c>
      <c r="L23" s="60">
        <v>52.42</v>
      </c>
      <c r="M23" s="60">
        <v>37.36</v>
      </c>
      <c r="N23" s="60">
        <v>128.60</v>
      </c>
      <c r="O23" s="60">
        <v>0</v>
      </c>
      <c r="P23" s="60">
        <v>2.54</v>
      </c>
      <c r="Q23" s="60">
        <v>105.30</v>
      </c>
      <c r="R23" s="198"/>
      <c r="S23" s="198"/>
      <c r="T23" s="198"/>
      <c r="U23" s="198"/>
    </row>
    <row r="24" spans="1:21" s="12" customFormat="1" ht="15">
      <c r="A24" s="201" t="s">
        <v>932</v>
      </c>
      <c r="B24" s="60">
        <v>22.46</v>
      </c>
      <c r="C24" s="60">
        <v>37.409999999999997</v>
      </c>
      <c r="D24" s="60">
        <v>59.87</v>
      </c>
      <c r="E24" s="60">
        <v>7.19</v>
      </c>
      <c r="F24" s="60">
        <v>0.60</v>
      </c>
      <c r="G24" s="60">
        <v>116.63</v>
      </c>
      <c r="H24" s="60">
        <v>49.84</v>
      </c>
      <c r="I24" s="60">
        <v>10.84</v>
      </c>
      <c r="J24" s="60">
        <v>0.86</v>
      </c>
      <c r="K24" s="60">
        <v>196.26</v>
      </c>
      <c r="L24" s="60">
        <v>45.49</v>
      </c>
      <c r="M24" s="60">
        <v>37.21</v>
      </c>
      <c r="N24" s="60">
        <v>137.30000000000001</v>
      </c>
      <c r="O24" s="60">
        <v>0</v>
      </c>
      <c r="P24" s="60">
        <v>2.4300000000000002</v>
      </c>
      <c r="Q24" s="60">
        <v>100.80</v>
      </c>
      <c r="R24" s="198"/>
      <c r="S24" s="198"/>
      <c r="T24" s="198"/>
      <c r="U24" s="198"/>
    </row>
    <row r="25" spans="1:21" s="12" customFormat="1" ht="15">
      <c r="A25" s="201" t="s">
        <v>933</v>
      </c>
      <c r="B25" s="60">
        <v>18.79</v>
      </c>
      <c r="C25" s="60">
        <v>33.89</v>
      </c>
      <c r="D25" s="60">
        <v>52.68</v>
      </c>
      <c r="E25" s="60">
        <v>6.93</v>
      </c>
      <c r="F25" s="60">
        <v>0.81</v>
      </c>
      <c r="G25" s="60">
        <v>111.17</v>
      </c>
      <c r="H25" s="60">
        <v>48.15</v>
      </c>
      <c r="I25" s="60">
        <v>10.210000000000001</v>
      </c>
      <c r="J25" s="60">
        <v>1.05</v>
      </c>
      <c r="K25" s="60">
        <v>202.69</v>
      </c>
      <c r="L25" s="60">
        <v>47.70</v>
      </c>
      <c r="M25" s="60">
        <v>37.08</v>
      </c>
      <c r="N25" s="60">
        <v>175.90</v>
      </c>
      <c r="O25" s="60">
        <v>0</v>
      </c>
      <c r="P25" s="60">
        <v>2.37</v>
      </c>
      <c r="Q25" s="60">
        <v>71.33</v>
      </c>
      <c r="R25" s="198"/>
      <c r="S25" s="198"/>
      <c r="T25" s="198"/>
      <c r="U25" s="198"/>
    </row>
    <row r="26" spans="1:21" s="12" customFormat="1" ht="15">
      <c r="A26" s="201" t="s">
        <v>934</v>
      </c>
      <c r="B26" s="60">
        <v>16.399999999999999</v>
      </c>
      <c r="C26" s="60">
        <v>36.97</v>
      </c>
      <c r="D26" s="60">
        <v>53.37</v>
      </c>
      <c r="E26" s="60">
        <v>6.47</v>
      </c>
      <c r="F26" s="60">
        <v>0.61</v>
      </c>
      <c r="G26" s="60">
        <v>97.64</v>
      </c>
      <c r="H26" s="60">
        <v>42.93</v>
      </c>
      <c r="I26" s="60">
        <v>9.77</v>
      </c>
      <c r="J26" s="60">
        <v>1</v>
      </c>
      <c r="K26" s="60">
        <v>211.09</v>
      </c>
      <c r="L26" s="60">
        <v>45.95</v>
      </c>
      <c r="M26" s="60">
        <v>37.78</v>
      </c>
      <c r="N26" s="60">
        <v>181</v>
      </c>
      <c r="O26" s="60">
        <v>0</v>
      </c>
      <c r="P26" s="60">
        <v>2.33</v>
      </c>
      <c r="Q26" s="60">
        <v>84.64</v>
      </c>
      <c r="R26" s="198"/>
      <c r="S26" s="198"/>
      <c r="T26" s="198"/>
      <c r="U26" s="198"/>
    </row>
    <row r="27" spans="1:21" s="12" customFormat="1" ht="15">
      <c r="A27" s="201" t="s">
        <v>935</v>
      </c>
      <c r="B27" s="60">
        <v>14.39</v>
      </c>
      <c r="C27" s="60">
        <v>37.29</v>
      </c>
      <c r="D27" s="60">
        <v>51.68</v>
      </c>
      <c r="E27" s="60">
        <v>6.91</v>
      </c>
      <c r="F27" s="60">
        <v>0.57999999999999996</v>
      </c>
      <c r="G27" s="60">
        <v>97.64</v>
      </c>
      <c r="H27" s="60">
        <v>42.93</v>
      </c>
      <c r="I27" s="60">
        <v>9.4600000000000009</v>
      </c>
      <c r="J27" s="60">
        <v>0.90</v>
      </c>
      <c r="K27" s="60">
        <v>219.30</v>
      </c>
      <c r="L27" s="60">
        <v>59.05</v>
      </c>
      <c r="M27" s="60">
        <v>39.369999999999997</v>
      </c>
      <c r="N27" s="60">
        <v>178.40</v>
      </c>
      <c r="O27" s="60">
        <v>0</v>
      </c>
      <c r="P27" s="60">
        <v>2.2999999999999998</v>
      </c>
      <c r="Q27" s="60">
        <v>85.89</v>
      </c>
      <c r="R27" s="198"/>
      <c r="S27" s="198"/>
      <c r="T27" s="198"/>
      <c r="U27" s="198"/>
    </row>
    <row r="28" spans="1:21" s="12" customFormat="1" ht="15">
      <c r="A28" s="201" t="s">
        <v>936</v>
      </c>
      <c r="B28" s="60">
        <v>12.54</v>
      </c>
      <c r="C28" s="60">
        <v>37.10</v>
      </c>
      <c r="D28" s="60">
        <v>49.63</v>
      </c>
      <c r="E28" s="60">
        <v>7.18</v>
      </c>
      <c r="F28" s="60">
        <v>0.40</v>
      </c>
      <c r="G28" s="60">
        <v>97.64</v>
      </c>
      <c r="H28" s="60">
        <v>42.93</v>
      </c>
      <c r="I28" s="60">
        <v>9.19</v>
      </c>
      <c r="J28" s="60">
        <v>0.91</v>
      </c>
      <c r="K28" s="60">
        <v>256.57</v>
      </c>
      <c r="L28" s="60">
        <v>36.18</v>
      </c>
      <c r="M28" s="60">
        <v>40.159999999999997</v>
      </c>
      <c r="N28" s="60">
        <v>198.40</v>
      </c>
      <c r="O28" s="60">
        <v>0</v>
      </c>
      <c r="P28" s="60">
        <v>2.2400000000000002</v>
      </c>
      <c r="Q28" s="60">
        <v>85.48</v>
      </c>
      <c r="R28" s="198"/>
      <c r="S28" s="198"/>
      <c r="T28" s="198"/>
      <c r="U28" s="198"/>
    </row>
    <row r="29" spans="1:21" s="12" customFormat="1" ht="15">
      <c r="A29" s="201" t="s">
        <v>937</v>
      </c>
      <c r="B29" s="60">
        <v>10.92</v>
      </c>
      <c r="C29" s="60">
        <v>36.82</v>
      </c>
      <c r="D29" s="60">
        <v>47.74</v>
      </c>
      <c r="E29" s="60">
        <v>7.33</v>
      </c>
      <c r="F29" s="60">
        <v>0.09</v>
      </c>
      <c r="G29" s="60">
        <v>101.93</v>
      </c>
      <c r="H29" s="60">
        <v>41.55</v>
      </c>
      <c r="I29" s="60">
        <v>8.94</v>
      </c>
      <c r="J29" s="60">
        <v>0.48</v>
      </c>
      <c r="K29" s="60">
        <v>289</v>
      </c>
      <c r="L29" s="60">
        <v>32.10</v>
      </c>
      <c r="M29" s="60">
        <v>40.229999999999997</v>
      </c>
      <c r="N29" s="60">
        <v>189.70</v>
      </c>
      <c r="O29" s="60">
        <v>0</v>
      </c>
      <c r="P29" s="60">
        <v>2.2400000000000002</v>
      </c>
      <c r="Q29" s="60">
        <v>85.51</v>
      </c>
      <c r="R29" s="198"/>
      <c r="S29" s="198"/>
      <c r="T29" s="198"/>
      <c r="U29" s="198"/>
    </row>
    <row r="30" spans="1:21" s="12" customFormat="1" ht="15">
      <c r="A30" s="201" t="s">
        <v>938</v>
      </c>
      <c r="B30" s="60">
        <v>9.42</v>
      </c>
      <c r="C30" s="60">
        <v>37.17</v>
      </c>
      <c r="D30" s="60">
        <v>46.59</v>
      </c>
      <c r="E30" s="60">
        <v>7.53</v>
      </c>
      <c r="F30" s="60">
        <v>0.53</v>
      </c>
      <c r="G30" s="60">
        <v>111.11</v>
      </c>
      <c r="H30" s="60">
        <v>37.270000000000003</v>
      </c>
      <c r="I30" s="60">
        <v>8.68</v>
      </c>
      <c r="J30" s="60">
        <v>0.39</v>
      </c>
      <c r="K30" s="60">
        <v>6.86</v>
      </c>
      <c r="L30" s="60">
        <v>47.47</v>
      </c>
      <c r="M30" s="60">
        <v>40.450000000000003</v>
      </c>
      <c r="N30" s="60">
        <v>155.30000000000001</v>
      </c>
      <c r="O30" s="60">
        <v>0</v>
      </c>
      <c r="P30" s="60">
        <v>2.2200000000000002</v>
      </c>
      <c r="Q30" s="60">
        <v>85.88</v>
      </c>
      <c r="R30" s="198"/>
      <c r="S30" s="198"/>
      <c r="T30" s="198"/>
      <c r="U30" s="198"/>
    </row>
    <row r="31" spans="1:21" s="12" customFormat="1" ht="15">
      <c r="A31" s="201" t="s">
        <v>939</v>
      </c>
      <c r="B31" s="60">
        <v>8.15</v>
      </c>
      <c r="C31" s="60">
        <v>37.840000000000003</v>
      </c>
      <c r="D31" s="60">
        <v>45.99</v>
      </c>
      <c r="E31" s="60">
        <v>7.56</v>
      </c>
      <c r="F31" s="60">
        <v>0.65</v>
      </c>
      <c r="G31" s="60">
        <v>111.11</v>
      </c>
      <c r="H31" s="60">
        <v>37.270000000000003</v>
      </c>
      <c r="I31" s="60">
        <v>8.48</v>
      </c>
      <c r="J31" s="60">
        <v>0.53</v>
      </c>
      <c r="K31" s="60">
        <v>345.48</v>
      </c>
      <c r="L31" s="60">
        <v>31.94</v>
      </c>
      <c r="M31" s="60">
        <v>39.71</v>
      </c>
      <c r="N31" s="60">
        <v>186.10</v>
      </c>
      <c r="O31" s="60">
        <v>0</v>
      </c>
      <c r="P31" s="60">
        <v>2.1800000000000002</v>
      </c>
      <c r="Q31" s="60">
        <v>86.01</v>
      </c>
      <c r="R31" s="198"/>
      <c r="S31" s="198"/>
      <c r="T31" s="198"/>
      <c r="U31" s="198"/>
    </row>
    <row r="32" spans="1:21" s="12" customFormat="1" ht="15">
      <c r="A32" s="201" t="s">
        <v>940</v>
      </c>
      <c r="B32" s="60">
        <v>7.60</v>
      </c>
      <c r="C32" s="60">
        <v>39.06</v>
      </c>
      <c r="D32" s="60">
        <v>46.66</v>
      </c>
      <c r="E32" s="60">
        <v>7.19</v>
      </c>
      <c r="F32" s="60">
        <v>0.32</v>
      </c>
      <c r="G32" s="60">
        <v>111.11</v>
      </c>
      <c r="H32" s="60">
        <v>37.270000000000003</v>
      </c>
      <c r="I32" s="60">
        <v>8.32</v>
      </c>
      <c r="J32" s="60">
        <v>0.62</v>
      </c>
      <c r="K32" s="60">
        <v>11.80</v>
      </c>
      <c r="L32" s="60">
        <v>32.03</v>
      </c>
      <c r="M32" s="60">
        <v>39.35</v>
      </c>
      <c r="N32" s="60">
        <v>210.70</v>
      </c>
      <c r="O32" s="60">
        <v>0</v>
      </c>
      <c r="P32" s="60">
        <v>2.15</v>
      </c>
      <c r="Q32" s="60">
        <v>97.24</v>
      </c>
      <c r="R32" s="198"/>
      <c r="S32" s="198"/>
      <c r="T32" s="198"/>
      <c r="U32" s="198"/>
    </row>
    <row r="33" spans="1:21" s="12" customFormat="1" ht="15">
      <c r="A33" s="201" t="s">
        <v>941</v>
      </c>
      <c r="B33" s="60">
        <v>6.83</v>
      </c>
      <c r="C33" s="60">
        <v>38.81</v>
      </c>
      <c r="D33" s="60">
        <v>45.64</v>
      </c>
      <c r="E33" s="60">
        <v>7.28</v>
      </c>
      <c r="F33" s="60">
        <v>0.43</v>
      </c>
      <c r="G33" s="60">
        <v>107.31</v>
      </c>
      <c r="H33" s="60">
        <v>38.46</v>
      </c>
      <c r="I33" s="60">
        <v>8.09</v>
      </c>
      <c r="J33" s="60">
        <v>0.70</v>
      </c>
      <c r="K33" s="60">
        <v>16.62</v>
      </c>
      <c r="L33" s="60">
        <v>32.43</v>
      </c>
      <c r="M33" s="60">
        <v>37.82</v>
      </c>
      <c r="N33" s="60">
        <v>284</v>
      </c>
      <c r="O33" s="60">
        <v>0</v>
      </c>
      <c r="P33" s="60">
        <v>2.15</v>
      </c>
      <c r="Q33" s="60">
        <v>101.56</v>
      </c>
      <c r="R33" s="198"/>
      <c r="S33" s="198"/>
      <c r="T33" s="198"/>
      <c r="U33" s="198"/>
    </row>
    <row r="34" spans="1:21" s="12" customFormat="1" ht="15">
      <c r="A34" s="201" t="s">
        <v>942</v>
      </c>
      <c r="B34" s="60">
        <v>5.93</v>
      </c>
      <c r="C34" s="60">
        <v>38.81</v>
      </c>
      <c r="D34" s="60">
        <v>44.74</v>
      </c>
      <c r="E34" s="60">
        <v>7.15</v>
      </c>
      <c r="F34" s="60">
        <v>0.94</v>
      </c>
      <c r="G34" s="60">
        <v>99.15</v>
      </c>
      <c r="H34" s="60">
        <v>42.12</v>
      </c>
      <c r="I34" s="60">
        <v>8.0399999999999991</v>
      </c>
      <c r="J34" s="60">
        <v>0.74</v>
      </c>
      <c r="K34" s="60">
        <v>42.92</v>
      </c>
      <c r="L34" s="60">
        <v>32.90</v>
      </c>
      <c r="M34" s="60">
        <v>36.799999999999997</v>
      </c>
      <c r="N34" s="60">
        <v>338.80</v>
      </c>
      <c r="O34" s="60">
        <v>0</v>
      </c>
      <c r="P34" s="60">
        <v>2.12</v>
      </c>
      <c r="Q34" s="60">
        <v>98.43</v>
      </c>
      <c r="R34" s="198"/>
      <c r="S34" s="198"/>
      <c r="T34" s="198"/>
      <c r="U34" s="198"/>
    </row>
    <row r="35" spans="1:21" s="12" customFormat="1" ht="15">
      <c r="A35" s="201" t="s">
        <v>943</v>
      </c>
      <c r="B35" s="60">
        <v>5.32</v>
      </c>
      <c r="C35" s="60">
        <v>38.78</v>
      </c>
      <c r="D35" s="60">
        <v>44.10</v>
      </c>
      <c r="E35" s="60">
        <v>6.98</v>
      </c>
      <c r="F35" s="60">
        <v>1.43</v>
      </c>
      <c r="G35" s="60">
        <v>99.15</v>
      </c>
      <c r="H35" s="60">
        <v>42.12</v>
      </c>
      <c r="I35" s="60">
        <v>7.92</v>
      </c>
      <c r="J35" s="60">
        <v>0.34</v>
      </c>
      <c r="K35" s="60">
        <v>339.44</v>
      </c>
      <c r="L35" s="60">
        <v>33.56</v>
      </c>
      <c r="M35" s="60">
        <v>35.729999999999997</v>
      </c>
      <c r="N35" s="60">
        <v>349.5</v>
      </c>
      <c r="O35" s="60">
        <v>0</v>
      </c>
      <c r="P35" s="60">
        <v>2.10</v>
      </c>
      <c r="Q35" s="60">
        <v>95.68</v>
      </c>
      <c r="R35" s="198"/>
      <c r="S35" s="198"/>
      <c r="T35" s="198"/>
      <c r="U35" s="198"/>
    </row>
    <row r="36" spans="1:21" s="12" customFormat="1" ht="15">
      <c r="A36" s="201" t="s">
        <v>944</v>
      </c>
      <c r="B36" s="60">
        <v>5.35</v>
      </c>
      <c r="C36" s="60">
        <v>39.08</v>
      </c>
      <c r="D36" s="60">
        <v>44.43</v>
      </c>
      <c r="E36" s="60">
        <v>3.89</v>
      </c>
      <c r="F36" s="60">
        <v>1.23</v>
      </c>
      <c r="G36" s="60">
        <v>99.15</v>
      </c>
      <c r="H36" s="60">
        <v>42.12</v>
      </c>
      <c r="I36" s="60">
        <v>7.82</v>
      </c>
      <c r="J36" s="60">
        <v>0.52</v>
      </c>
      <c r="K36" s="60">
        <v>351.99</v>
      </c>
      <c r="L36" s="60">
        <v>34.39</v>
      </c>
      <c r="M36" s="60">
        <v>33.880000000000003</v>
      </c>
      <c r="N36" s="60">
        <v>394</v>
      </c>
      <c r="O36" s="60">
        <v>0</v>
      </c>
      <c r="P36" s="60">
        <v>2.08</v>
      </c>
      <c r="Q36" s="60">
        <v>92.61</v>
      </c>
      <c r="R36" s="198"/>
      <c r="S36" s="198"/>
      <c r="T36" s="198"/>
      <c r="U36" s="198"/>
    </row>
    <row r="37" spans="1:21" s="12" customFormat="1" ht="15">
      <c r="A37" s="201" t="s">
        <v>945</v>
      </c>
      <c r="B37" s="60">
        <v>5.12</v>
      </c>
      <c r="C37" s="60">
        <v>39.04</v>
      </c>
      <c r="D37" s="60">
        <v>44.16</v>
      </c>
      <c r="E37" s="60">
        <v>6.65</v>
      </c>
      <c r="F37" s="60">
        <v>1.05</v>
      </c>
      <c r="G37" s="60">
        <v>100.98</v>
      </c>
      <c r="H37" s="60">
        <v>42.26</v>
      </c>
      <c r="I37" s="60">
        <v>7.71</v>
      </c>
      <c r="J37" s="60">
        <v>0.85</v>
      </c>
      <c r="K37" s="60">
        <v>9.19</v>
      </c>
      <c r="L37" s="60">
        <v>70.30</v>
      </c>
      <c r="M37" s="60">
        <v>32.72</v>
      </c>
      <c r="N37" s="60">
        <v>424.60</v>
      </c>
      <c r="O37" s="60">
        <v>0</v>
      </c>
      <c r="P37" s="60">
        <v>2.0499999999999998</v>
      </c>
      <c r="Q37" s="60">
        <v>89.65</v>
      </c>
      <c r="R37" s="198"/>
      <c r="S37" s="198"/>
      <c r="T37" s="198"/>
      <c r="U37" s="198"/>
    </row>
    <row r="38" spans="1:21" s="12" customFormat="1" ht="15">
      <c r="A38" s="201" t="s">
        <v>946</v>
      </c>
      <c r="B38" s="60">
        <v>4.92</v>
      </c>
      <c r="C38" s="60">
        <v>39.049999999999997</v>
      </c>
      <c r="D38" s="60">
        <v>43.97</v>
      </c>
      <c r="E38" s="60">
        <v>6.28</v>
      </c>
      <c r="F38" s="60">
        <v>1.24</v>
      </c>
      <c r="G38" s="60">
        <v>109.24</v>
      </c>
      <c r="H38" s="60">
        <v>42.68</v>
      </c>
      <c r="I38" s="60">
        <v>7.66</v>
      </c>
      <c r="J38" s="60">
        <v>0.67</v>
      </c>
      <c r="K38" s="60">
        <v>330.68</v>
      </c>
      <c r="L38" s="60">
        <v>51.29</v>
      </c>
      <c r="M38" s="60">
        <v>31.55</v>
      </c>
      <c r="N38" s="60">
        <v>469</v>
      </c>
      <c r="O38" s="60">
        <v>0</v>
      </c>
      <c r="P38" s="60">
        <v>2.02</v>
      </c>
      <c r="Q38" s="60">
        <v>89.68</v>
      </c>
      <c r="R38" s="198"/>
      <c r="S38" s="198"/>
      <c r="T38" s="198"/>
      <c r="U38" s="198"/>
    </row>
    <row r="39" spans="1:21" s="12" customFormat="1" ht="15">
      <c r="A39" s="201" t="s">
        <v>947</v>
      </c>
      <c r="B39" s="60">
        <v>4.08</v>
      </c>
      <c r="C39" s="60">
        <v>38.549999999999997</v>
      </c>
      <c r="D39" s="60">
        <v>42.63</v>
      </c>
      <c r="E39" s="60">
        <v>6.5</v>
      </c>
      <c r="F39" s="60">
        <v>1.34</v>
      </c>
      <c r="G39" s="60">
        <v>109.24</v>
      </c>
      <c r="H39" s="60">
        <v>42.68</v>
      </c>
      <c r="I39" s="60">
        <v>7.53</v>
      </c>
      <c r="J39" s="60">
        <v>0.78</v>
      </c>
      <c r="K39" s="60">
        <v>330.78</v>
      </c>
      <c r="L39" s="60">
        <v>45.66</v>
      </c>
      <c r="M39" s="60">
        <v>30.58</v>
      </c>
      <c r="N39" s="60">
        <v>491.20</v>
      </c>
      <c r="O39" s="60">
        <v>0</v>
      </c>
      <c r="P39" s="60">
        <v>2.02</v>
      </c>
      <c r="Q39" s="60">
        <v>87.38</v>
      </c>
      <c r="R39" s="198"/>
      <c r="S39" s="198"/>
      <c r="T39" s="198"/>
      <c r="U39" s="198"/>
    </row>
    <row r="40" spans="1:21" s="12" customFormat="1" ht="15">
      <c r="A40" s="201" t="s">
        <v>948</v>
      </c>
      <c r="B40" s="60">
        <v>3.69</v>
      </c>
      <c r="C40" s="60">
        <v>39.130000000000003</v>
      </c>
      <c r="D40" s="60">
        <v>42.82</v>
      </c>
      <c r="E40" s="60">
        <v>6.43</v>
      </c>
      <c r="F40" s="60">
        <v>1.1499999999999999</v>
      </c>
      <c r="G40" s="60">
        <v>109.24</v>
      </c>
      <c r="H40" s="60">
        <v>42.68</v>
      </c>
      <c r="I40" s="60">
        <v>7.38</v>
      </c>
      <c r="J40" s="60">
        <v>0.93</v>
      </c>
      <c r="K40" s="60">
        <v>31.94</v>
      </c>
      <c r="L40" s="60">
        <v>45.11</v>
      </c>
      <c r="M40" s="60">
        <v>29.75</v>
      </c>
      <c r="N40" s="60">
        <v>536.29999999999995</v>
      </c>
      <c r="O40" s="60">
        <v>0</v>
      </c>
      <c r="P40" s="60">
        <v>2.0499999999999998</v>
      </c>
      <c r="Q40" s="60">
        <v>85.61</v>
      </c>
      <c r="R40" s="198"/>
      <c r="S40" s="198"/>
      <c r="T40" s="198"/>
      <c r="U40" s="198"/>
    </row>
    <row r="41" spans="1:21" s="12" customFormat="1" ht="15">
      <c r="A41" s="201" t="s">
        <v>949</v>
      </c>
      <c r="B41" s="60">
        <v>3.71</v>
      </c>
      <c r="C41" s="60">
        <v>40.520000000000003</v>
      </c>
      <c r="D41" s="60">
        <v>44.23</v>
      </c>
      <c r="E41" s="60">
        <v>6.28</v>
      </c>
      <c r="F41" s="60">
        <v>1.37</v>
      </c>
      <c r="G41" s="60">
        <v>116.14</v>
      </c>
      <c r="H41" s="60">
        <v>42.66</v>
      </c>
      <c r="I41" s="60">
        <v>7.28</v>
      </c>
      <c r="J41" s="60">
        <v>1.34</v>
      </c>
      <c r="K41" s="60">
        <v>337.95</v>
      </c>
      <c r="L41" s="60">
        <v>48.68</v>
      </c>
      <c r="M41" s="60">
        <v>27.84</v>
      </c>
      <c r="N41" s="60">
        <v>585.20000000000005</v>
      </c>
      <c r="O41" s="60">
        <v>0</v>
      </c>
      <c r="P41" s="60">
        <v>2.13</v>
      </c>
      <c r="Q41" s="60">
        <v>84.84</v>
      </c>
      <c r="R41" s="198"/>
      <c r="S41" s="198"/>
      <c r="T41" s="198"/>
      <c r="U41" s="198"/>
    </row>
    <row r="42" spans="1:21" s="12" customFormat="1" ht="15">
      <c r="A42" s="201" t="s">
        <v>950</v>
      </c>
      <c r="B42" s="60">
        <v>3.78</v>
      </c>
      <c r="C42" s="60">
        <v>40.93</v>
      </c>
      <c r="D42" s="60">
        <v>44.71</v>
      </c>
      <c r="E42" s="60">
        <v>6.39</v>
      </c>
      <c r="F42" s="60">
        <v>2</v>
      </c>
      <c r="G42" s="60">
        <v>133.38999999999999</v>
      </c>
      <c r="H42" s="60">
        <v>42.61</v>
      </c>
      <c r="I42" s="60">
        <v>7.64</v>
      </c>
      <c r="J42" s="60">
        <v>1.87</v>
      </c>
      <c r="K42" s="60">
        <v>322.44</v>
      </c>
      <c r="L42" s="60">
        <v>55.24</v>
      </c>
      <c r="M42" s="60">
        <v>25.38</v>
      </c>
      <c r="N42" s="60">
        <v>619.79999999999995</v>
      </c>
      <c r="O42" s="60">
        <v>0</v>
      </c>
      <c r="P42" s="60">
        <v>2.37</v>
      </c>
      <c r="Q42" s="60">
        <v>81.900000000000006</v>
      </c>
      <c r="R42" s="198"/>
      <c r="S42" s="198"/>
      <c r="T42" s="198"/>
      <c r="U42" s="198"/>
    </row>
    <row r="43" spans="1:21" s="12" customFormat="1" ht="15">
      <c r="A43" s="201" t="s">
        <v>951</v>
      </c>
      <c r="B43" s="60">
        <v>3.35</v>
      </c>
      <c r="C43" s="60">
        <v>42.81</v>
      </c>
      <c r="D43" s="60">
        <v>46.16</v>
      </c>
      <c r="E43" s="60">
        <v>5.99</v>
      </c>
      <c r="F43" s="60">
        <v>2.06</v>
      </c>
      <c r="G43" s="60">
        <v>133.38999999999999</v>
      </c>
      <c r="H43" s="60">
        <v>42.61</v>
      </c>
      <c r="I43" s="60">
        <v>8.67</v>
      </c>
      <c r="J43" s="60">
        <v>1.77</v>
      </c>
      <c r="K43" s="60">
        <v>325.88</v>
      </c>
      <c r="L43" s="60">
        <v>55.46</v>
      </c>
      <c r="M43" s="60">
        <v>23.03</v>
      </c>
      <c r="N43" s="60">
        <v>676.40</v>
      </c>
      <c r="O43" s="60">
        <v>0</v>
      </c>
      <c r="P43" s="60">
        <v>2.4700000000000002</v>
      </c>
      <c r="Q43" s="60">
        <v>62.73</v>
      </c>
      <c r="R43" s="198"/>
      <c r="S43" s="198"/>
      <c r="T43" s="198"/>
      <c r="U43" s="198"/>
    </row>
    <row r="44" spans="1:21" s="12" customFormat="1" ht="15">
      <c r="A44" s="201" t="s">
        <v>952</v>
      </c>
      <c r="B44" s="60">
        <v>3.12</v>
      </c>
      <c r="C44" s="60">
        <v>44.79</v>
      </c>
      <c r="D44" s="60">
        <v>47.91</v>
      </c>
      <c r="E44" s="60">
        <v>5.63</v>
      </c>
      <c r="F44" s="60">
        <v>2.14</v>
      </c>
      <c r="G44" s="60">
        <v>133.38999999999999</v>
      </c>
      <c r="H44" s="60">
        <v>42.61</v>
      </c>
      <c r="I44" s="60">
        <v>10.39</v>
      </c>
      <c r="J44" s="60">
        <v>2.75</v>
      </c>
      <c r="K44" s="60">
        <v>315.95</v>
      </c>
      <c r="L44" s="60">
        <v>56.81</v>
      </c>
      <c r="M44" s="60">
        <v>22.59</v>
      </c>
      <c r="N44" s="60">
        <v>730.60</v>
      </c>
      <c r="O44" s="60">
        <v>0</v>
      </c>
      <c r="P44" s="60">
        <v>2.41</v>
      </c>
      <c r="Q44" s="60">
        <v>66.27</v>
      </c>
      <c r="R44" s="198"/>
      <c r="S44" s="198"/>
      <c r="T44" s="198"/>
      <c r="U44" s="198"/>
    </row>
    <row r="45" spans="1:21" s="12" customFormat="1" ht="15">
      <c r="A45" s="201" t="s">
        <v>953</v>
      </c>
      <c r="B45" s="60">
        <v>2.95</v>
      </c>
      <c r="C45" s="60">
        <v>45.17</v>
      </c>
      <c r="D45" s="60">
        <v>48.12</v>
      </c>
      <c r="E45" s="60">
        <v>5.83</v>
      </c>
      <c r="F45" s="60">
        <v>2.21</v>
      </c>
      <c r="G45" s="60">
        <v>143.68</v>
      </c>
      <c r="H45" s="60">
        <v>42.82</v>
      </c>
      <c r="I45" s="60">
        <v>11.18</v>
      </c>
      <c r="J45" s="60">
        <v>2.61</v>
      </c>
      <c r="K45" s="60">
        <v>313.64</v>
      </c>
      <c r="L45" s="60">
        <v>59.94</v>
      </c>
      <c r="M45" s="60">
        <v>21.21</v>
      </c>
      <c r="N45" s="60">
        <v>762.70</v>
      </c>
      <c r="O45" s="60">
        <v>0</v>
      </c>
      <c r="P45" s="60">
        <v>2.35</v>
      </c>
      <c r="Q45" s="60">
        <v>72.63</v>
      </c>
      <c r="R45" s="198"/>
      <c r="S45" s="198"/>
      <c r="T45" s="198"/>
      <c r="U45" s="198"/>
    </row>
    <row r="46" spans="1:21" s="12" customFormat="1" ht="15">
      <c r="A46" s="201" t="s">
        <v>954</v>
      </c>
      <c r="B46" s="60">
        <v>2.72</v>
      </c>
      <c r="C46" s="60">
        <v>45.24</v>
      </c>
      <c r="D46" s="60">
        <v>47.97</v>
      </c>
      <c r="E46" s="60">
        <v>5.91</v>
      </c>
      <c r="F46" s="60">
        <v>2.15</v>
      </c>
      <c r="G46" s="60">
        <v>165.74</v>
      </c>
      <c r="H46" s="60">
        <v>43.47</v>
      </c>
      <c r="I46" s="60">
        <v>10.85</v>
      </c>
      <c r="J46" s="60">
        <v>2.29</v>
      </c>
      <c r="K46" s="60">
        <v>318.98</v>
      </c>
      <c r="L46" s="60">
        <v>54.04</v>
      </c>
      <c r="M46" s="60">
        <v>20.09</v>
      </c>
      <c r="N46" s="60">
        <v>745.70</v>
      </c>
      <c r="O46" s="60">
        <v>0</v>
      </c>
      <c r="P46" s="60">
        <v>2.2999999999999998</v>
      </c>
      <c r="Q46" s="60">
        <v>71.319999999999993</v>
      </c>
      <c r="R46" s="198"/>
      <c r="S46" s="198"/>
      <c r="T46" s="198"/>
      <c r="U46" s="198"/>
    </row>
    <row r="47" spans="1:21" s="12" customFormat="1" ht="15">
      <c r="A47" s="201" t="s">
        <v>955</v>
      </c>
      <c r="B47" s="60">
        <v>2.2799999999999998</v>
      </c>
      <c r="C47" s="60">
        <v>44.47</v>
      </c>
      <c r="D47" s="60">
        <v>46.75</v>
      </c>
      <c r="E47" s="60">
        <v>6.06</v>
      </c>
      <c r="F47" s="60">
        <v>2.57</v>
      </c>
      <c r="G47" s="60">
        <v>165.74</v>
      </c>
      <c r="H47" s="60">
        <v>43.47</v>
      </c>
      <c r="I47" s="60">
        <v>10.38</v>
      </c>
      <c r="J47" s="60">
        <v>1.67</v>
      </c>
      <c r="K47" s="60">
        <v>330.01</v>
      </c>
      <c r="L47" s="60">
        <v>55.69</v>
      </c>
      <c r="M47" s="60">
        <v>19.489999999999998</v>
      </c>
      <c r="N47" s="60">
        <v>812</v>
      </c>
      <c r="O47" s="60">
        <v>0</v>
      </c>
      <c r="P47" s="60">
        <v>2.2599999999999998</v>
      </c>
      <c r="Q47" s="60">
        <v>71.95</v>
      </c>
      <c r="R47" s="198"/>
      <c r="S47" s="198"/>
      <c r="T47" s="198"/>
      <c r="U47" s="198"/>
    </row>
    <row r="48" spans="1:21" s="12" customFormat="1" ht="15">
      <c r="A48" s="201" t="s">
        <v>956</v>
      </c>
      <c r="B48" s="60">
        <v>1.94</v>
      </c>
      <c r="C48" s="60">
        <v>44.34</v>
      </c>
      <c r="D48" s="60">
        <v>46.28</v>
      </c>
      <c r="E48" s="60">
        <v>5.84</v>
      </c>
      <c r="F48" s="60">
        <v>3.12</v>
      </c>
      <c r="G48" s="60">
        <v>165.74</v>
      </c>
      <c r="H48" s="60">
        <v>43.47</v>
      </c>
      <c r="I48" s="60">
        <v>10.029999999999999</v>
      </c>
      <c r="J48" s="60">
        <v>2.69</v>
      </c>
      <c r="K48" s="60">
        <v>320.22000000000003</v>
      </c>
      <c r="L48" s="60">
        <v>59.80</v>
      </c>
      <c r="M48" s="60">
        <v>18.87</v>
      </c>
      <c r="N48" s="60">
        <v>837.10</v>
      </c>
      <c r="O48" s="60">
        <v>0</v>
      </c>
      <c r="P48" s="60">
        <v>2.23</v>
      </c>
      <c r="Q48" s="60">
        <v>71.55</v>
      </c>
      <c r="R48" s="198"/>
      <c r="S48" s="198"/>
      <c r="T48" s="198"/>
      <c r="U48" s="198"/>
    </row>
    <row r="49" spans="1:21" s="12" customFormat="1" ht="15">
      <c r="A49" s="201" t="s">
        <v>957</v>
      </c>
      <c r="B49" s="60">
        <v>2.16</v>
      </c>
      <c r="C49" s="60">
        <v>44.43</v>
      </c>
      <c r="D49" s="60">
        <v>46.59</v>
      </c>
      <c r="E49" s="60">
        <v>5.66</v>
      </c>
      <c r="F49" s="60">
        <v>2.59</v>
      </c>
      <c r="G49" s="60">
        <v>156.66</v>
      </c>
      <c r="H49" s="60">
        <v>42.67</v>
      </c>
      <c r="I49" s="60">
        <v>9.49</v>
      </c>
      <c r="J49" s="60">
        <v>2.63</v>
      </c>
      <c r="K49" s="60">
        <v>326.29000000000002</v>
      </c>
      <c r="L49" s="60">
        <v>54.27</v>
      </c>
      <c r="M49" s="60">
        <v>17.489999999999998</v>
      </c>
      <c r="N49" s="60">
        <v>828.20</v>
      </c>
      <c r="O49" s="60">
        <v>0</v>
      </c>
      <c r="P49" s="60">
        <v>2.2200000000000002</v>
      </c>
      <c r="Q49" s="60">
        <v>70.30</v>
      </c>
      <c r="R49" s="198"/>
      <c r="S49" s="198"/>
      <c r="T49" s="198"/>
      <c r="U49" s="198"/>
    </row>
    <row r="50" spans="1:21" s="12" customFormat="1" ht="15">
      <c r="A50" s="201" t="s">
        <v>958</v>
      </c>
      <c r="B50" s="60">
        <v>2.2999999999999998</v>
      </c>
      <c r="C50" s="60">
        <v>43.67</v>
      </c>
      <c r="D50" s="60">
        <v>45.98</v>
      </c>
      <c r="E50" s="60">
        <v>5.73</v>
      </c>
      <c r="F50" s="60">
        <v>2.99</v>
      </c>
      <c r="G50" s="60">
        <v>137.21</v>
      </c>
      <c r="H50" s="60">
        <v>40.200000000000003</v>
      </c>
      <c r="I50" s="60">
        <v>8.8699999999999992</v>
      </c>
      <c r="J50" s="60">
        <v>3.36</v>
      </c>
      <c r="K50" s="60">
        <v>324.27</v>
      </c>
      <c r="L50" s="60">
        <v>56.90</v>
      </c>
      <c r="M50" s="60">
        <v>16.600000000000001</v>
      </c>
      <c r="N50" s="60">
        <v>857.10</v>
      </c>
      <c r="O50" s="60">
        <v>0</v>
      </c>
      <c r="P50" s="60">
        <v>2.2200000000000002</v>
      </c>
      <c r="Q50" s="60">
        <v>79.13</v>
      </c>
      <c r="R50" s="198"/>
      <c r="S50" s="198"/>
      <c r="T50" s="198"/>
      <c r="U50" s="198"/>
    </row>
    <row r="51" spans="1:21" s="12" customFormat="1" ht="15">
      <c r="A51" s="201" t="s">
        <v>959</v>
      </c>
      <c r="B51" s="60">
        <v>2.34</v>
      </c>
      <c r="C51" s="60">
        <v>42.84</v>
      </c>
      <c r="D51" s="60">
        <v>45.18</v>
      </c>
      <c r="E51" s="60">
        <v>5.88</v>
      </c>
      <c r="F51" s="60">
        <v>3.53</v>
      </c>
      <c r="G51" s="60">
        <v>137.21</v>
      </c>
      <c r="H51" s="60">
        <v>40.200000000000003</v>
      </c>
      <c r="I51" s="60">
        <v>8.35</v>
      </c>
      <c r="J51" s="60">
        <v>3.53</v>
      </c>
      <c r="K51" s="60">
        <v>345.47</v>
      </c>
      <c r="L51" s="60">
        <v>52.12</v>
      </c>
      <c r="M51" s="60">
        <v>15.67</v>
      </c>
      <c r="N51" s="60">
        <v>862.20</v>
      </c>
      <c r="O51" s="60">
        <v>0</v>
      </c>
      <c r="P51" s="60">
        <v>2.19</v>
      </c>
      <c r="Q51" s="60">
        <v>78.88</v>
      </c>
      <c r="R51" s="198"/>
      <c r="S51" s="198"/>
      <c r="T51" s="198"/>
      <c r="U51" s="198"/>
    </row>
    <row r="52" spans="1:21" s="12" customFormat="1" ht="15">
      <c r="A52" s="201" t="s">
        <v>960</v>
      </c>
      <c r="B52" s="60">
        <v>2.31</v>
      </c>
      <c r="C52" s="60">
        <v>42.29</v>
      </c>
      <c r="D52" s="60">
        <v>44.61</v>
      </c>
      <c r="E52" s="60">
        <v>3.19</v>
      </c>
      <c r="F52" s="60">
        <v>3.64</v>
      </c>
      <c r="G52" s="60">
        <v>137.21</v>
      </c>
      <c r="H52" s="60">
        <v>40.200000000000003</v>
      </c>
      <c r="I52" s="60">
        <v>8.6300000000000008</v>
      </c>
      <c r="J52" s="60">
        <v>3.73</v>
      </c>
      <c r="K52" s="60">
        <v>338.19</v>
      </c>
      <c r="L52" s="60">
        <v>65.34</v>
      </c>
      <c r="M52" s="60">
        <v>15.56</v>
      </c>
      <c r="N52" s="60">
        <v>917</v>
      </c>
      <c r="O52" s="60">
        <v>0</v>
      </c>
      <c r="P52" s="60">
        <v>2.14</v>
      </c>
      <c r="Q52" s="60">
        <v>76.989999999999995</v>
      </c>
      <c r="R52" s="198"/>
      <c r="S52" s="198"/>
      <c r="T52" s="198"/>
      <c r="U52" s="198"/>
    </row>
    <row r="53" spans="1:21" s="12" customFormat="1" ht="15">
      <c r="A53" s="201" t="s">
        <v>961</v>
      </c>
      <c r="B53" s="60">
        <v>2.31</v>
      </c>
      <c r="C53" s="60">
        <v>41.70</v>
      </c>
      <c r="D53" s="60">
        <v>44.01</v>
      </c>
      <c r="E53" s="60">
        <v>6.36</v>
      </c>
      <c r="F53" s="60">
        <v>3.43</v>
      </c>
      <c r="G53" s="60">
        <v>138.15</v>
      </c>
      <c r="H53" s="60">
        <v>40.380000000000003</v>
      </c>
      <c r="I53" s="60">
        <v>8.2100000000000009</v>
      </c>
      <c r="J53" s="60">
        <v>3.13</v>
      </c>
      <c r="K53" s="60">
        <v>343.25</v>
      </c>
      <c r="L53" s="60">
        <v>55.44</v>
      </c>
      <c r="M53" s="60">
        <v>15.38</v>
      </c>
      <c r="N53" s="60">
        <v>928.10</v>
      </c>
      <c r="O53" s="60">
        <v>0</v>
      </c>
      <c r="P53" s="60">
        <v>2.11</v>
      </c>
      <c r="Q53" s="60">
        <v>75.92</v>
      </c>
      <c r="R53" s="198"/>
      <c r="S53" s="198"/>
      <c r="T53" s="198"/>
      <c r="U53" s="198"/>
    </row>
    <row r="54" spans="1:21" s="12" customFormat="1" ht="15">
      <c r="A54" s="201" t="s">
        <v>962</v>
      </c>
      <c r="B54" s="60">
        <v>2.77</v>
      </c>
      <c r="C54" s="60">
        <v>41.94</v>
      </c>
      <c r="D54" s="60">
        <v>44.71</v>
      </c>
      <c r="E54" s="60">
        <v>6.32</v>
      </c>
      <c r="F54" s="60">
        <v>3.58</v>
      </c>
      <c r="G54" s="60">
        <v>140.08000000000001</v>
      </c>
      <c r="H54" s="60">
        <v>40.93</v>
      </c>
      <c r="I54" s="60">
        <v>7.75</v>
      </c>
      <c r="J54" s="60">
        <v>3.43</v>
      </c>
      <c r="K54" s="60">
        <v>342.19</v>
      </c>
      <c r="L54" s="60">
        <v>60.88</v>
      </c>
      <c r="M54" s="60">
        <v>14.49</v>
      </c>
      <c r="N54" s="60">
        <v>941.20</v>
      </c>
      <c r="O54" s="60">
        <v>0</v>
      </c>
      <c r="P54" s="60">
        <v>2.09</v>
      </c>
      <c r="Q54" s="60">
        <v>74.37</v>
      </c>
      <c r="R54" s="198"/>
      <c r="S54" s="198"/>
      <c r="T54" s="198"/>
      <c r="U54" s="198"/>
    </row>
    <row r="55" spans="1:21" s="12" customFormat="1" ht="15">
      <c r="A55" s="201" t="s">
        <v>963</v>
      </c>
      <c r="B55" s="60">
        <v>2.69</v>
      </c>
      <c r="C55" s="60">
        <v>41.98</v>
      </c>
      <c r="D55" s="60">
        <v>44.67</v>
      </c>
      <c r="E55" s="60">
        <v>6.19</v>
      </c>
      <c r="F55" s="60">
        <v>3.57</v>
      </c>
      <c r="G55" s="60">
        <v>140.08000000000001</v>
      </c>
      <c r="H55" s="60">
        <v>40.93</v>
      </c>
      <c r="I55" s="60">
        <v>7.40</v>
      </c>
      <c r="J55" s="60">
        <v>2.5499999999999998</v>
      </c>
      <c r="K55" s="60">
        <v>345.53</v>
      </c>
      <c r="L55" s="60">
        <v>56.29</v>
      </c>
      <c r="M55" s="60">
        <v>14.33</v>
      </c>
      <c r="N55" s="60">
        <v>925.40</v>
      </c>
      <c r="O55" s="60">
        <v>0</v>
      </c>
      <c r="P55" s="60">
        <v>2.11</v>
      </c>
      <c r="Q55" s="60">
        <v>74.59</v>
      </c>
      <c r="R55" s="198"/>
      <c r="S55" s="198"/>
      <c r="T55" s="198"/>
      <c r="U55" s="198"/>
    </row>
    <row r="56" spans="1:21" s="12" customFormat="1" ht="15">
      <c r="A56" s="201" t="s">
        <v>964</v>
      </c>
      <c r="B56" s="60">
        <v>2.2799999999999998</v>
      </c>
      <c r="C56" s="60">
        <v>41.01</v>
      </c>
      <c r="D56" s="60">
        <v>43.29</v>
      </c>
      <c r="E56" s="60">
        <v>6.35</v>
      </c>
      <c r="F56" s="60">
        <v>3.90</v>
      </c>
      <c r="G56" s="60">
        <v>140.08000000000001</v>
      </c>
      <c r="H56" s="60">
        <v>40.93</v>
      </c>
      <c r="I56" s="60">
        <v>7.15</v>
      </c>
      <c r="J56" s="60">
        <v>3.30</v>
      </c>
      <c r="K56" s="60">
        <v>18.079999999999998</v>
      </c>
      <c r="L56" s="60">
        <v>50.12</v>
      </c>
      <c r="M56" s="60">
        <v>13.18</v>
      </c>
      <c r="N56" s="60">
        <v>920</v>
      </c>
      <c r="O56" s="60">
        <v>0</v>
      </c>
      <c r="P56" s="60">
        <v>2.08</v>
      </c>
      <c r="Q56" s="60">
        <v>72.84</v>
      </c>
      <c r="R56" s="198"/>
      <c r="S56" s="198"/>
      <c r="T56" s="198"/>
      <c r="U56" s="198"/>
    </row>
    <row r="57" spans="1:21" s="12" customFormat="1" ht="15">
      <c r="A57" s="201" t="s">
        <v>965</v>
      </c>
      <c r="B57" s="60">
        <v>2.10</v>
      </c>
      <c r="C57" s="60">
        <v>40.33</v>
      </c>
      <c r="D57" s="60">
        <v>42.42</v>
      </c>
      <c r="E57" s="60">
        <v>6.43</v>
      </c>
      <c r="F57" s="60">
        <v>4.0599999999999996</v>
      </c>
      <c r="G57" s="60">
        <v>150.51</v>
      </c>
      <c r="H57" s="60">
        <v>40.270000000000003</v>
      </c>
      <c r="I57" s="60">
        <v>6.90</v>
      </c>
      <c r="J57" s="60">
        <v>3.16</v>
      </c>
      <c r="K57" s="60">
        <v>9.93</v>
      </c>
      <c r="L57" s="60">
        <v>55.35</v>
      </c>
      <c r="M57" s="60">
        <v>13.41</v>
      </c>
      <c r="N57" s="60">
        <v>918.5</v>
      </c>
      <c r="O57" s="60">
        <v>0</v>
      </c>
      <c r="P57" s="60">
        <v>2.04</v>
      </c>
      <c r="Q57" s="60">
        <v>72.06</v>
      </c>
      <c r="R57" s="198"/>
      <c r="S57" s="198"/>
      <c r="T57" s="198"/>
      <c r="U57" s="198"/>
    </row>
    <row r="58" spans="1:21" s="12" customFormat="1" ht="15">
      <c r="A58" s="201" t="s">
        <v>966</v>
      </c>
      <c r="B58" s="60">
        <v>2.0699999999999998</v>
      </c>
      <c r="C58" s="60">
        <v>39.799999999999997</v>
      </c>
      <c r="D58" s="60">
        <v>41.87</v>
      </c>
      <c r="E58" s="60">
        <v>6.39</v>
      </c>
      <c r="F58" s="60">
        <v>4.1500000000000004</v>
      </c>
      <c r="G58" s="60">
        <v>172.86</v>
      </c>
      <c r="H58" s="60">
        <v>38.24</v>
      </c>
      <c r="I58" s="60">
        <v>6.76</v>
      </c>
      <c r="J58" s="60">
        <v>3.22</v>
      </c>
      <c r="K58" s="60">
        <v>352.90</v>
      </c>
      <c r="L58" s="60">
        <v>58.72</v>
      </c>
      <c r="M58" s="60">
        <v>13.92</v>
      </c>
      <c r="N58" s="60">
        <v>865.40</v>
      </c>
      <c r="O58" s="60">
        <v>0</v>
      </c>
      <c r="P58" s="60">
        <v>2.04</v>
      </c>
      <c r="Q58" s="60">
        <v>69.72</v>
      </c>
      <c r="R58" s="198"/>
      <c r="S58" s="198"/>
      <c r="T58" s="198"/>
      <c r="U58" s="198"/>
    </row>
    <row r="59" spans="1:21" s="12" customFormat="1" ht="15">
      <c r="A59" s="201" t="s">
        <v>967</v>
      </c>
      <c r="B59" s="60">
        <v>2.08</v>
      </c>
      <c r="C59" s="60">
        <v>39.47</v>
      </c>
      <c r="D59" s="60">
        <v>41.56</v>
      </c>
      <c r="E59" s="60">
        <v>6.38</v>
      </c>
      <c r="F59" s="60">
        <v>4.4000000000000004</v>
      </c>
      <c r="G59" s="60">
        <v>172.86</v>
      </c>
      <c r="H59" s="60">
        <v>38.24</v>
      </c>
      <c r="I59" s="60">
        <v>6.62</v>
      </c>
      <c r="J59" s="60">
        <v>3.43</v>
      </c>
      <c r="K59" s="60">
        <v>349.42</v>
      </c>
      <c r="L59" s="60">
        <v>57.93</v>
      </c>
      <c r="M59" s="60">
        <v>13.78</v>
      </c>
      <c r="N59" s="60">
        <v>822.5</v>
      </c>
      <c r="O59" s="60">
        <v>0</v>
      </c>
      <c r="P59" s="60">
        <v>2.0299999999999998</v>
      </c>
      <c r="Q59" s="60">
        <v>69.05</v>
      </c>
      <c r="R59" s="198"/>
      <c r="S59" s="198"/>
      <c r="T59" s="198"/>
      <c r="U59" s="198"/>
    </row>
    <row r="60" spans="1:21" s="12" customFormat="1" ht="15">
      <c r="A60" s="201" t="s">
        <v>968</v>
      </c>
      <c r="B60" s="60">
        <v>1.80</v>
      </c>
      <c r="C60" s="60">
        <v>38.78</v>
      </c>
      <c r="D60" s="60">
        <v>40.590000000000003</v>
      </c>
      <c r="E60" s="60">
        <v>6.30</v>
      </c>
      <c r="F60" s="60">
        <v>4.18</v>
      </c>
      <c r="G60" s="60">
        <v>172.86</v>
      </c>
      <c r="H60" s="60">
        <v>38.24</v>
      </c>
      <c r="I60" s="60">
        <v>6.48</v>
      </c>
      <c r="J60" s="60">
        <v>3.34</v>
      </c>
      <c r="K60" s="60">
        <v>1.31</v>
      </c>
      <c r="L60" s="60">
        <v>58.82</v>
      </c>
      <c r="M60" s="60">
        <v>13.38</v>
      </c>
      <c r="N60" s="60">
        <v>888</v>
      </c>
      <c r="O60" s="60">
        <v>0</v>
      </c>
      <c r="P60" s="60">
        <v>2.0299999999999998</v>
      </c>
      <c r="Q60" s="60">
        <v>66.180000000000007</v>
      </c>
      <c r="R60" s="198"/>
      <c r="S60" s="198"/>
      <c r="T60" s="198"/>
      <c r="U60" s="198"/>
    </row>
    <row r="61" spans="1:21" s="12" customFormat="1" ht="15">
      <c r="A61" s="201" t="s">
        <v>969</v>
      </c>
      <c r="B61" s="60">
        <v>2.1800000000000002</v>
      </c>
      <c r="C61" s="60">
        <v>38.869999999999997</v>
      </c>
      <c r="D61" s="60">
        <v>41.05</v>
      </c>
      <c r="E61" s="60">
        <v>6.63</v>
      </c>
      <c r="F61" s="60">
        <v>3.91</v>
      </c>
      <c r="G61" s="60">
        <v>168.38</v>
      </c>
      <c r="H61" s="60">
        <v>39.15</v>
      </c>
      <c r="I61" s="60">
        <v>6.28</v>
      </c>
      <c r="J61" s="60">
        <v>2.40</v>
      </c>
      <c r="K61" s="60">
        <v>11.10</v>
      </c>
      <c r="L61" s="60">
        <v>55.66</v>
      </c>
      <c r="M61" s="60">
        <v>13.28</v>
      </c>
      <c r="N61" s="60">
        <v>783.30</v>
      </c>
      <c r="O61" s="60">
        <v>0</v>
      </c>
      <c r="P61" s="60">
        <v>2.02</v>
      </c>
      <c r="Q61" s="60">
        <v>56.12</v>
      </c>
      <c r="R61" s="198"/>
      <c r="S61" s="198"/>
      <c r="T61" s="198"/>
      <c r="U61" s="198"/>
    </row>
    <row r="62" spans="1:21" s="12" customFormat="1" ht="15">
      <c r="A62" s="201" t="s">
        <v>970</v>
      </c>
      <c r="B62" s="60">
        <v>2.3199999999999998</v>
      </c>
      <c r="C62" s="60">
        <v>39.11</v>
      </c>
      <c r="D62" s="60">
        <v>41.43</v>
      </c>
      <c r="E62" s="60">
        <v>6.55</v>
      </c>
      <c r="F62" s="60">
        <v>3.85</v>
      </c>
      <c r="G62" s="60">
        <v>148.22999999999999</v>
      </c>
      <c r="H62" s="60">
        <v>41.78</v>
      </c>
      <c r="I62" s="60">
        <v>5.93</v>
      </c>
      <c r="J62" s="60">
        <v>2.68</v>
      </c>
      <c r="K62" s="60">
        <v>348.39</v>
      </c>
      <c r="L62" s="60">
        <v>56.04</v>
      </c>
      <c r="M62" s="60">
        <v>14.05</v>
      </c>
      <c r="N62" s="60">
        <v>828.80</v>
      </c>
      <c r="O62" s="60">
        <v>0</v>
      </c>
      <c r="P62" s="60">
        <v>2</v>
      </c>
      <c r="Q62" s="60">
        <v>57.27</v>
      </c>
      <c r="R62" s="198"/>
      <c r="S62" s="198"/>
      <c r="T62" s="198"/>
      <c r="U62" s="198"/>
    </row>
    <row r="63" spans="1:21" s="12" customFormat="1" ht="15">
      <c r="A63" s="201" t="s">
        <v>971</v>
      </c>
      <c r="B63" s="60">
        <v>2.38</v>
      </c>
      <c r="C63" s="60">
        <v>39.69</v>
      </c>
      <c r="D63" s="60">
        <v>42.07</v>
      </c>
      <c r="E63" s="60">
        <v>5.76</v>
      </c>
      <c r="F63" s="60">
        <v>4.24</v>
      </c>
      <c r="G63" s="60">
        <v>148.22999999999999</v>
      </c>
      <c r="H63" s="60">
        <v>41.78</v>
      </c>
      <c r="I63" s="60">
        <v>5.25</v>
      </c>
      <c r="J63" s="60">
        <v>2.82</v>
      </c>
      <c r="K63" s="60">
        <v>345.89</v>
      </c>
      <c r="L63" s="60">
        <v>57.03</v>
      </c>
      <c r="M63" s="60">
        <v>13.92</v>
      </c>
      <c r="N63" s="60">
        <v>393.90</v>
      </c>
      <c r="O63" s="60">
        <v>0</v>
      </c>
      <c r="P63" s="60">
        <v>1.98</v>
      </c>
      <c r="Q63" s="60">
        <v>61.99</v>
      </c>
      <c r="R63" s="198"/>
      <c r="S63" s="198"/>
      <c r="T63" s="198"/>
      <c r="U63" s="198"/>
    </row>
    <row r="64" spans="1:21" s="12" customFormat="1" ht="15">
      <c r="A64" s="201" t="s">
        <v>972</v>
      </c>
      <c r="B64" s="60">
        <v>2.48</v>
      </c>
      <c r="C64" s="60">
        <v>42.17</v>
      </c>
      <c r="D64" s="60">
        <v>44.65</v>
      </c>
      <c r="E64" s="60">
        <v>6.14</v>
      </c>
      <c r="F64" s="60">
        <v>3.89</v>
      </c>
      <c r="G64" s="60">
        <v>148.22999999999999</v>
      </c>
      <c r="H64" s="60">
        <v>41.78</v>
      </c>
      <c r="I64" s="60">
        <v>5.55</v>
      </c>
      <c r="J64" s="60">
        <v>2.61</v>
      </c>
      <c r="K64" s="60">
        <v>323.52</v>
      </c>
      <c r="L64" s="60">
        <v>45.92</v>
      </c>
      <c r="M64" s="60">
        <v>15.41</v>
      </c>
      <c r="N64" s="60">
        <v>176.30</v>
      </c>
      <c r="O64" s="60">
        <v>0</v>
      </c>
      <c r="P64" s="60">
        <v>1.98</v>
      </c>
      <c r="Q64" s="60">
        <v>70.099999999999994</v>
      </c>
      <c r="R64" s="198"/>
      <c r="S64" s="198"/>
      <c r="T64" s="198"/>
      <c r="U64" s="198"/>
    </row>
    <row r="65" spans="1:21" s="12" customFormat="1" ht="15">
      <c r="A65" s="201" t="s">
        <v>973</v>
      </c>
      <c r="B65" s="60">
        <v>2.68</v>
      </c>
      <c r="C65" s="60">
        <v>42.77</v>
      </c>
      <c r="D65" s="60">
        <v>45.45</v>
      </c>
      <c r="E65" s="60">
        <v>6.36</v>
      </c>
      <c r="F65" s="60">
        <v>3.28</v>
      </c>
      <c r="G65" s="60">
        <v>148.37</v>
      </c>
      <c r="H65" s="60">
        <v>40.450000000000003</v>
      </c>
      <c r="I65" s="60">
        <v>5.63</v>
      </c>
      <c r="J65" s="60">
        <v>2.64</v>
      </c>
      <c r="K65" s="60">
        <v>334.23</v>
      </c>
      <c r="L65" s="60">
        <v>45.10</v>
      </c>
      <c r="M65" s="60">
        <v>16.510000000000002</v>
      </c>
      <c r="N65" s="60">
        <v>125.30</v>
      </c>
      <c r="O65" s="60">
        <v>0</v>
      </c>
      <c r="P65" s="60">
        <v>1.99</v>
      </c>
      <c r="Q65" s="60">
        <v>76.05</v>
      </c>
      <c r="R65" s="198"/>
      <c r="S65" s="198"/>
      <c r="T65" s="198"/>
      <c r="U65" s="198"/>
    </row>
    <row r="66" spans="1:21" s="12" customFormat="1" ht="15">
      <c r="A66" s="201" t="s">
        <v>974</v>
      </c>
      <c r="B66" s="60">
        <v>2.78</v>
      </c>
      <c r="C66" s="60">
        <v>42.32</v>
      </c>
      <c r="D66" s="60">
        <v>45.10</v>
      </c>
      <c r="E66" s="60">
        <v>6.49</v>
      </c>
      <c r="F66" s="60">
        <v>3.15</v>
      </c>
      <c r="G66" s="60">
        <v>148.68</v>
      </c>
      <c r="H66" s="60">
        <v>36.32</v>
      </c>
      <c r="I66" s="60">
        <v>5.36</v>
      </c>
      <c r="J66" s="60">
        <v>2.5499999999999998</v>
      </c>
      <c r="K66" s="60">
        <v>329.21</v>
      </c>
      <c r="L66" s="60">
        <v>45.39</v>
      </c>
      <c r="M66" s="60">
        <v>16.82</v>
      </c>
      <c r="N66" s="60">
        <v>150</v>
      </c>
      <c r="O66" s="60">
        <v>0</v>
      </c>
      <c r="P66" s="60">
        <v>1.98</v>
      </c>
      <c r="Q66" s="60">
        <v>115.09</v>
      </c>
      <c r="R66" s="198"/>
      <c r="S66" s="198"/>
      <c r="T66" s="198"/>
      <c r="U66" s="198"/>
    </row>
    <row r="67" spans="1:21" s="12" customFormat="1" ht="15">
      <c r="A67" s="201" t="s">
        <v>975</v>
      </c>
      <c r="B67" s="60">
        <v>3.30</v>
      </c>
      <c r="C67" s="60">
        <v>41.93</v>
      </c>
      <c r="D67" s="60">
        <v>45.23</v>
      </c>
      <c r="E67" s="60">
        <v>6.70</v>
      </c>
      <c r="F67" s="60">
        <v>1.99</v>
      </c>
      <c r="G67" s="60">
        <v>148.68</v>
      </c>
      <c r="H67" s="60">
        <v>36.32</v>
      </c>
      <c r="I67" s="60">
        <v>5.48</v>
      </c>
      <c r="J67" s="60">
        <v>2.0099999999999998</v>
      </c>
      <c r="K67" s="60">
        <v>327.23</v>
      </c>
      <c r="L67" s="60">
        <v>46.83</v>
      </c>
      <c r="M67" s="60">
        <v>16.579999999999998</v>
      </c>
      <c r="N67" s="60">
        <v>171.40</v>
      </c>
      <c r="O67" s="60">
        <v>0</v>
      </c>
      <c r="P67" s="60">
        <v>1.97</v>
      </c>
      <c r="Q67" s="60">
        <v>176.43</v>
      </c>
      <c r="R67" s="198"/>
      <c r="S67" s="198"/>
      <c r="T67" s="198"/>
      <c r="U67" s="198"/>
    </row>
    <row r="68" spans="1:21" s="12" customFormat="1" ht="15">
      <c r="A68" s="201" t="s">
        <v>976</v>
      </c>
      <c r="B68" s="60">
        <v>3.90</v>
      </c>
      <c r="C68" s="60">
        <v>41.69</v>
      </c>
      <c r="D68" s="60">
        <v>45.59</v>
      </c>
      <c r="E68" s="60">
        <v>3.53</v>
      </c>
      <c r="F68" s="60">
        <v>1.59</v>
      </c>
      <c r="G68" s="60">
        <v>148.68</v>
      </c>
      <c r="H68" s="60">
        <v>36.32</v>
      </c>
      <c r="I68" s="60">
        <v>5.38</v>
      </c>
      <c r="J68" s="60">
        <v>2.3199999999999998</v>
      </c>
      <c r="K68" s="60">
        <v>328.91</v>
      </c>
      <c r="L68" s="60">
        <v>43.59</v>
      </c>
      <c r="M68" s="60">
        <v>17.559999999999999</v>
      </c>
      <c r="N68" s="60">
        <v>275.89999999999998</v>
      </c>
      <c r="O68" s="60">
        <v>0</v>
      </c>
      <c r="P68" s="60">
        <v>2.0099999999999998</v>
      </c>
      <c r="Q68" s="60">
        <v>156.26</v>
      </c>
      <c r="R68" s="198"/>
      <c r="S68" s="198"/>
      <c r="T68" s="198"/>
      <c r="U68" s="198"/>
    </row>
    <row r="69" spans="1:21" s="12" customFormat="1" ht="15">
      <c r="A69" s="201" t="s">
        <v>977</v>
      </c>
      <c r="B69" s="60">
        <v>3.82</v>
      </c>
      <c r="C69" s="60">
        <v>41.40</v>
      </c>
      <c r="D69" s="60">
        <v>45.22</v>
      </c>
      <c r="E69" s="60">
        <v>5.69</v>
      </c>
      <c r="F69" s="60">
        <v>1.99</v>
      </c>
      <c r="G69" s="60">
        <v>146.28</v>
      </c>
      <c r="H69" s="60">
        <v>36.25</v>
      </c>
      <c r="I69" s="60">
        <v>5.74</v>
      </c>
      <c r="J69" s="60">
        <v>2.15</v>
      </c>
      <c r="K69" s="60">
        <v>324.25</v>
      </c>
      <c r="L69" s="60">
        <v>45.30</v>
      </c>
      <c r="M69" s="60">
        <v>15.92</v>
      </c>
      <c r="N69" s="60">
        <v>635.90</v>
      </c>
      <c r="O69" s="60">
        <v>0</v>
      </c>
      <c r="P69" s="60">
        <v>1.99</v>
      </c>
      <c r="Q69" s="60">
        <v>155.04</v>
      </c>
      <c r="R69" s="198"/>
      <c r="S69" s="198"/>
      <c r="T69" s="198"/>
      <c r="U69" s="198"/>
    </row>
    <row r="70" spans="1:21" s="12" customFormat="1" ht="15">
      <c r="A70" s="201" t="s">
        <v>978</v>
      </c>
      <c r="B70" s="60">
        <v>3.46</v>
      </c>
      <c r="C70" s="60">
        <v>40.51</v>
      </c>
      <c r="D70" s="60">
        <v>43.97</v>
      </c>
      <c r="E70" s="60">
        <v>5.53</v>
      </c>
      <c r="F70" s="60">
        <v>2.63</v>
      </c>
      <c r="G70" s="60">
        <v>141.13</v>
      </c>
      <c r="H70" s="60">
        <v>36.04</v>
      </c>
      <c r="I70" s="60">
        <v>5.94</v>
      </c>
      <c r="J70" s="60">
        <v>3.95</v>
      </c>
      <c r="K70" s="60">
        <v>319.79000000000002</v>
      </c>
      <c r="L70" s="60">
        <v>54.27</v>
      </c>
      <c r="M70" s="60">
        <v>14.89</v>
      </c>
      <c r="N70" s="60">
        <v>589.40</v>
      </c>
      <c r="O70" s="60">
        <v>0</v>
      </c>
      <c r="P70" s="60">
        <v>1.95</v>
      </c>
      <c r="Q70" s="60">
        <v>157.53</v>
      </c>
      <c r="R70" s="198"/>
      <c r="S70" s="198"/>
      <c r="T70" s="198"/>
      <c r="U70" s="198"/>
    </row>
    <row r="71" spans="1:21" s="12" customFormat="1" ht="15">
      <c r="A71" s="201" t="s">
        <v>979</v>
      </c>
      <c r="B71" s="60">
        <v>2.44</v>
      </c>
      <c r="C71" s="60">
        <v>38.24</v>
      </c>
      <c r="D71" s="60">
        <v>40.68</v>
      </c>
      <c r="E71" s="60">
        <v>5.75</v>
      </c>
      <c r="F71" s="60">
        <v>3.27</v>
      </c>
      <c r="G71" s="60">
        <v>141.13</v>
      </c>
      <c r="H71" s="60">
        <v>36.04</v>
      </c>
      <c r="I71" s="60">
        <v>5.78</v>
      </c>
      <c r="J71" s="60">
        <v>3.95</v>
      </c>
      <c r="K71" s="60">
        <v>325.33999999999997</v>
      </c>
      <c r="L71" s="60">
        <v>44.80</v>
      </c>
      <c r="M71" s="60">
        <v>14.26</v>
      </c>
      <c r="N71" s="60">
        <v>465.60</v>
      </c>
      <c r="O71" s="60">
        <v>0</v>
      </c>
      <c r="P71" s="60">
        <v>1.86</v>
      </c>
      <c r="Q71" s="60">
        <v>154.86000000000001</v>
      </c>
      <c r="R71" s="198"/>
      <c r="S71" s="198"/>
      <c r="T71" s="198"/>
      <c r="U71" s="198"/>
    </row>
    <row r="72" spans="1:21" s="12" customFormat="1" ht="15">
      <c r="A72" s="201" t="s">
        <v>980</v>
      </c>
      <c r="B72" s="60">
        <v>1.95</v>
      </c>
      <c r="C72" s="60">
        <v>35.979999999999997</v>
      </c>
      <c r="D72" s="60">
        <v>37.92</v>
      </c>
      <c r="E72" s="60">
        <v>5.65</v>
      </c>
      <c r="F72" s="60">
        <v>3.27</v>
      </c>
      <c r="G72" s="60">
        <v>141.13</v>
      </c>
      <c r="H72" s="60">
        <v>36.04</v>
      </c>
      <c r="I72" s="60">
        <v>5.51</v>
      </c>
      <c r="J72" s="60">
        <v>3.15</v>
      </c>
      <c r="K72" s="60">
        <v>332.03</v>
      </c>
      <c r="L72" s="60">
        <v>44.32</v>
      </c>
      <c r="M72" s="60">
        <v>14.40</v>
      </c>
      <c r="N72" s="60">
        <v>261.89999999999998</v>
      </c>
      <c r="O72" s="60">
        <v>0</v>
      </c>
      <c r="P72" s="60">
        <v>1.81</v>
      </c>
      <c r="Q72" s="60">
        <v>150.16999999999999</v>
      </c>
      <c r="R72" s="198"/>
      <c r="S72" s="198"/>
      <c r="T72" s="198"/>
      <c r="U72" s="198"/>
    </row>
    <row r="73" spans="1:21" s="12" customFormat="1" ht="15">
      <c r="A73" s="201" t="s">
        <v>981</v>
      </c>
      <c r="B73" s="60">
        <v>2.34</v>
      </c>
      <c r="C73" s="60">
        <v>35.200000000000003</v>
      </c>
      <c r="D73" s="60">
        <v>37.53</v>
      </c>
      <c r="E73" s="60">
        <v>6.02</v>
      </c>
      <c r="F73" s="60">
        <v>2.56</v>
      </c>
      <c r="G73" s="60">
        <v>116.10</v>
      </c>
      <c r="H73" s="60">
        <v>35.049999999999997</v>
      </c>
      <c r="I73" s="60">
        <v>5.16</v>
      </c>
      <c r="J73" s="60">
        <v>2.68</v>
      </c>
      <c r="K73" s="60">
        <v>331.81</v>
      </c>
      <c r="L73" s="60">
        <v>43.57</v>
      </c>
      <c r="M73" s="60">
        <v>15.31</v>
      </c>
      <c r="N73" s="60">
        <v>217.60</v>
      </c>
      <c r="O73" s="60">
        <v>0</v>
      </c>
      <c r="P73" s="60">
        <v>1.81</v>
      </c>
      <c r="Q73" s="60">
        <v>149.03</v>
      </c>
      <c r="R73" s="198"/>
      <c r="S73" s="198"/>
      <c r="T73" s="198"/>
      <c r="U73" s="198"/>
    </row>
    <row r="74" spans="1:21" s="12" customFormat="1" ht="15">
      <c r="A74" s="201" t="s">
        <v>982</v>
      </c>
      <c r="B74" s="60">
        <v>3.48</v>
      </c>
      <c r="C74" s="60">
        <v>36.47</v>
      </c>
      <c r="D74" s="60">
        <v>39.950000000000003</v>
      </c>
      <c r="E74" s="60">
        <v>5.65</v>
      </c>
      <c r="F74" s="60">
        <v>2.58</v>
      </c>
      <c r="G74" s="26" t="s">
        <v>40</v>
      </c>
      <c r="H74" s="60">
        <v>17.34</v>
      </c>
      <c r="I74" s="60">
        <v>4.9400000000000004</v>
      </c>
      <c r="J74" s="60">
        <v>2.41</v>
      </c>
      <c r="K74" s="60">
        <v>320.27</v>
      </c>
      <c r="L74" s="60">
        <v>43.44</v>
      </c>
      <c r="M74" s="60">
        <v>16.54</v>
      </c>
      <c r="N74" s="60">
        <v>281.39999999999998</v>
      </c>
      <c r="O74" s="60">
        <v>0</v>
      </c>
      <c r="P74" s="60">
        <v>1.83</v>
      </c>
      <c r="Q74" s="60">
        <v>149.44</v>
      </c>
      <c r="R74" s="198"/>
      <c r="S74" s="198"/>
      <c r="T74" s="198"/>
      <c r="U74" s="198"/>
    </row>
    <row r="75" spans="1:21" s="12" customFormat="1" ht="15">
      <c r="A75" s="201" t="s">
        <v>983</v>
      </c>
      <c r="B75" s="60">
        <v>2.98</v>
      </c>
      <c r="C75" s="60">
        <v>39.200000000000003</v>
      </c>
      <c r="D75" s="60">
        <v>42.18</v>
      </c>
      <c r="E75" s="60">
        <v>5.0999999999999996</v>
      </c>
      <c r="F75" s="60">
        <v>5.52</v>
      </c>
      <c r="G75" s="26" t="s">
        <v>40</v>
      </c>
      <c r="H75" s="26" t="s">
        <v>40</v>
      </c>
      <c r="I75" s="60">
        <v>4.75</v>
      </c>
      <c r="J75" s="60">
        <v>3.27</v>
      </c>
      <c r="K75" s="60">
        <v>323.83</v>
      </c>
      <c r="L75" s="60">
        <v>43.23</v>
      </c>
      <c r="M75" s="60">
        <v>15.88</v>
      </c>
      <c r="N75" s="60">
        <v>168.90</v>
      </c>
      <c r="O75" s="60">
        <v>0</v>
      </c>
      <c r="P75" s="60">
        <v>1.80</v>
      </c>
      <c r="Q75" s="60">
        <v>145.83000000000001</v>
      </c>
      <c r="R75" s="198"/>
      <c r="S75" s="198"/>
      <c r="T75" s="198"/>
      <c r="U75" s="198"/>
    </row>
    <row r="76" spans="1:21" s="12" customFormat="1" ht="15">
      <c r="A76" s="201" t="s">
        <v>984</v>
      </c>
      <c r="B76" s="60">
        <v>1.73</v>
      </c>
      <c r="C76" s="60">
        <v>39.92</v>
      </c>
      <c r="D76" s="60">
        <v>41.65</v>
      </c>
      <c r="E76" s="60">
        <v>4.45</v>
      </c>
      <c r="F76" s="60">
        <v>6.88</v>
      </c>
      <c r="G76" s="26" t="s">
        <v>40</v>
      </c>
      <c r="H76" s="26" t="s">
        <v>40</v>
      </c>
      <c r="I76" s="60">
        <v>4.66</v>
      </c>
      <c r="J76" s="60">
        <v>3.45</v>
      </c>
      <c r="K76" s="60">
        <v>316.49</v>
      </c>
      <c r="L76" s="60">
        <v>42.51</v>
      </c>
      <c r="M76" s="60">
        <v>15.19</v>
      </c>
      <c r="N76" s="60">
        <v>140.69999999999999</v>
      </c>
      <c r="O76" s="60">
        <v>0</v>
      </c>
      <c r="P76" s="60">
        <v>1.76</v>
      </c>
      <c r="Q76" s="60">
        <v>137.15</v>
      </c>
      <c r="R76" s="198"/>
      <c r="S76" s="198"/>
      <c r="T76" s="198"/>
      <c r="U76" s="198"/>
    </row>
    <row r="77" spans="1:21" s="12" customFormat="1" ht="15">
      <c r="A77" s="201" t="s">
        <v>985</v>
      </c>
      <c r="B77" s="60">
        <v>1.39</v>
      </c>
      <c r="C77" s="60">
        <v>38.5</v>
      </c>
      <c r="D77" s="60">
        <v>39.89</v>
      </c>
      <c r="E77" s="60">
        <v>3.82</v>
      </c>
      <c r="F77" s="60">
        <v>4.18</v>
      </c>
      <c r="G77" s="26" t="s">
        <v>40</v>
      </c>
      <c r="H77" s="26" t="s">
        <v>40</v>
      </c>
      <c r="I77" s="60">
        <v>4.25</v>
      </c>
      <c r="J77" s="60">
        <v>3.11</v>
      </c>
      <c r="K77" s="60">
        <v>314.85000000000002</v>
      </c>
      <c r="L77" s="60">
        <v>41.74</v>
      </c>
      <c r="M77" s="60">
        <v>16.21</v>
      </c>
      <c r="N77" s="60">
        <v>78.30</v>
      </c>
      <c r="O77" s="60">
        <v>0</v>
      </c>
      <c r="P77" s="60">
        <v>1.76</v>
      </c>
      <c r="Q77" s="60">
        <v>137</v>
      </c>
      <c r="R77" s="198"/>
      <c r="S77" s="198"/>
      <c r="T77" s="198"/>
      <c r="U77" s="198"/>
    </row>
    <row r="78" spans="1:21" s="12" customFormat="1" ht="15">
      <c r="A78" s="201" t="s">
        <v>986</v>
      </c>
      <c r="B78" s="60">
        <v>2.0499999999999998</v>
      </c>
      <c r="C78" s="60">
        <v>37.74</v>
      </c>
      <c r="D78" s="60">
        <v>39.78</v>
      </c>
      <c r="E78" s="60">
        <v>4.03</v>
      </c>
      <c r="F78" s="60">
        <v>2.54</v>
      </c>
      <c r="G78" s="26" t="s">
        <v>40</v>
      </c>
      <c r="H78" s="26" t="s">
        <v>40</v>
      </c>
      <c r="I78" s="60">
        <v>3.92</v>
      </c>
      <c r="J78" s="60">
        <v>2.60</v>
      </c>
      <c r="K78" s="60">
        <v>312.04000000000002</v>
      </c>
      <c r="L78" s="60">
        <v>38.83</v>
      </c>
      <c r="M78" s="60">
        <v>25.82</v>
      </c>
      <c r="N78" s="60">
        <v>71.400000000000006</v>
      </c>
      <c r="O78" s="60">
        <v>0</v>
      </c>
      <c r="P78" s="60">
        <v>1.78</v>
      </c>
      <c r="Q78" s="60">
        <v>113.35</v>
      </c>
      <c r="R78" s="198"/>
      <c r="S78" s="198"/>
      <c r="T78" s="198"/>
      <c r="U78" s="198"/>
    </row>
    <row r="79" spans="1:21" s="12" customFormat="1" ht="15">
      <c r="A79" s="201" t="s">
        <v>987</v>
      </c>
      <c r="B79" s="60">
        <v>3.26</v>
      </c>
      <c r="C79" s="60">
        <v>39.380000000000003</v>
      </c>
      <c r="D79" s="60">
        <v>42.63</v>
      </c>
      <c r="E79" s="60">
        <v>4.3099999999999996</v>
      </c>
      <c r="F79" s="60">
        <v>1.88</v>
      </c>
      <c r="G79" s="26" t="s">
        <v>40</v>
      </c>
      <c r="H79" s="26" t="s">
        <v>40</v>
      </c>
      <c r="I79" s="60">
        <v>3.86</v>
      </c>
      <c r="J79" s="60">
        <v>2.0699999999999998</v>
      </c>
      <c r="K79" s="60">
        <v>312.56</v>
      </c>
      <c r="L79" s="60">
        <v>38.56</v>
      </c>
      <c r="M79" s="60">
        <v>24.94</v>
      </c>
      <c r="N79" s="60">
        <v>47.30</v>
      </c>
      <c r="O79" s="60">
        <v>0</v>
      </c>
      <c r="P79" s="60">
        <v>1.84</v>
      </c>
      <c r="Q79" s="60">
        <v>116.93</v>
      </c>
      <c r="R79" s="198"/>
      <c r="S79" s="198"/>
      <c r="T79" s="198"/>
      <c r="U79" s="198"/>
    </row>
    <row r="80" spans="1:21" s="12" customFormat="1" ht="15">
      <c r="A80" s="201" t="s">
        <v>988</v>
      </c>
      <c r="B80" s="60">
        <v>5.44</v>
      </c>
      <c r="C80" s="60">
        <v>46.60</v>
      </c>
      <c r="D80" s="60">
        <v>52.04</v>
      </c>
      <c r="E80" s="60">
        <v>4.42</v>
      </c>
      <c r="F80" s="60">
        <v>2.13</v>
      </c>
      <c r="G80" s="26" t="s">
        <v>40</v>
      </c>
      <c r="H80" s="26" t="s">
        <v>40</v>
      </c>
      <c r="I80" s="60">
        <v>4.1500000000000004</v>
      </c>
      <c r="J80" s="60">
        <v>1.74</v>
      </c>
      <c r="K80" s="60">
        <v>310.93</v>
      </c>
      <c r="L80" s="60">
        <v>41.72</v>
      </c>
      <c r="M80" s="60">
        <v>25.30</v>
      </c>
      <c r="N80" s="60">
        <v>27.70</v>
      </c>
      <c r="O80" s="60">
        <v>0</v>
      </c>
      <c r="P80" s="60">
        <v>2.09</v>
      </c>
      <c r="Q80" s="60">
        <v>130.87</v>
      </c>
      <c r="R80" s="198"/>
      <c r="S80" s="198"/>
      <c r="T80" s="198"/>
      <c r="U80" s="198"/>
    </row>
    <row r="81" spans="1:21" s="12" customFormat="1" ht="15">
      <c r="A81" s="201" t="s">
        <v>989</v>
      </c>
      <c r="B81" s="60">
        <v>8.2100000000000009</v>
      </c>
      <c r="C81" s="60">
        <v>52.44</v>
      </c>
      <c r="D81" s="60">
        <v>60.65</v>
      </c>
      <c r="E81" s="60">
        <v>4.71</v>
      </c>
      <c r="F81" s="60">
        <v>1.1599999999999999</v>
      </c>
      <c r="G81" s="26" t="s">
        <v>40</v>
      </c>
      <c r="H81" s="26" t="s">
        <v>40</v>
      </c>
      <c r="I81" s="60">
        <v>4.49</v>
      </c>
      <c r="J81" s="60">
        <v>1.40</v>
      </c>
      <c r="K81" s="60">
        <v>331.42</v>
      </c>
      <c r="L81" s="60">
        <v>48.23</v>
      </c>
      <c r="M81" s="60">
        <v>27.48</v>
      </c>
      <c r="N81" s="60">
        <v>17.399999999999999</v>
      </c>
      <c r="O81" s="60">
        <v>0</v>
      </c>
      <c r="P81" s="60">
        <v>2.2200000000000002</v>
      </c>
      <c r="Q81" s="60">
        <v>129.19999999999999</v>
      </c>
      <c r="R81" s="198"/>
      <c r="S81" s="198"/>
      <c r="T81" s="198"/>
      <c r="U81" s="198"/>
    </row>
    <row r="82" spans="1:21" s="12" customFormat="1" ht="15">
      <c r="A82" s="201" t="s">
        <v>990</v>
      </c>
      <c r="B82" s="60">
        <v>16.07</v>
      </c>
      <c r="C82" s="60">
        <v>56.03</v>
      </c>
      <c r="D82" s="60">
        <v>72.099999999999994</v>
      </c>
      <c r="E82" s="60">
        <v>4.80</v>
      </c>
      <c r="F82" s="60">
        <v>0.94</v>
      </c>
      <c r="G82" s="60">
        <v>162.44</v>
      </c>
      <c r="H82" s="60">
        <v>41.13</v>
      </c>
      <c r="I82" s="60">
        <v>5.95</v>
      </c>
      <c r="J82" s="60">
        <v>1.70</v>
      </c>
      <c r="K82" s="60">
        <v>58.28</v>
      </c>
      <c r="L82" s="60">
        <v>49.15</v>
      </c>
      <c r="M82" s="60">
        <v>31.34</v>
      </c>
      <c r="N82" s="60">
        <v>2.70</v>
      </c>
      <c r="O82" s="60">
        <v>0</v>
      </c>
      <c r="P82" s="60">
        <v>2.44</v>
      </c>
      <c r="Q82" s="60">
        <v>141.49</v>
      </c>
      <c r="R82" s="198"/>
      <c r="S82" s="198"/>
      <c r="T82" s="198"/>
      <c r="U82" s="198"/>
    </row>
    <row r="83" spans="1:21" s="12" customFormat="1" ht="15">
      <c r="A83" s="201" t="s">
        <v>991</v>
      </c>
      <c r="B83" s="60">
        <v>27.06</v>
      </c>
      <c r="C83" s="60">
        <v>59.44</v>
      </c>
      <c r="D83" s="60">
        <v>86.49</v>
      </c>
      <c r="E83" s="60">
        <v>5.39</v>
      </c>
      <c r="F83" s="60">
        <v>0.86</v>
      </c>
      <c r="G83" s="60">
        <v>164.70</v>
      </c>
      <c r="H83" s="60">
        <v>50.70</v>
      </c>
      <c r="I83" s="60">
        <v>7.27</v>
      </c>
      <c r="J83" s="60">
        <v>1.57</v>
      </c>
      <c r="K83" s="60">
        <v>37.909999999999997</v>
      </c>
      <c r="L83" s="60">
        <v>63.83</v>
      </c>
      <c r="M83" s="60">
        <v>35.229999999999997</v>
      </c>
      <c r="N83" s="60">
        <v>0</v>
      </c>
      <c r="O83" s="60">
        <v>0</v>
      </c>
      <c r="P83" s="60">
        <v>2.5</v>
      </c>
      <c r="Q83" s="60">
        <v>140.38999999999999</v>
      </c>
      <c r="R83" s="198"/>
      <c r="S83" s="198"/>
      <c r="T83" s="198"/>
      <c r="U83" s="198"/>
    </row>
    <row r="84" spans="1:21" s="12" customFormat="1" ht="15">
      <c r="A84" s="201" t="s">
        <v>992</v>
      </c>
      <c r="B84" s="60">
        <v>41.64</v>
      </c>
      <c r="C84" s="60">
        <v>62.19</v>
      </c>
      <c r="D84" s="60">
        <v>103.83</v>
      </c>
      <c r="E84" s="60">
        <v>3.53</v>
      </c>
      <c r="F84" s="60">
        <v>0.84</v>
      </c>
      <c r="G84" s="60">
        <v>164.70</v>
      </c>
      <c r="H84" s="60">
        <v>50.70</v>
      </c>
      <c r="I84" s="60">
        <v>10.06</v>
      </c>
      <c r="J84" s="60">
        <v>1.56</v>
      </c>
      <c r="K84" s="60">
        <v>40.36</v>
      </c>
      <c r="L84" s="60">
        <v>57.60</v>
      </c>
      <c r="M84" s="60">
        <v>36.74</v>
      </c>
      <c r="N84" s="60">
        <v>0</v>
      </c>
      <c r="O84" s="60">
        <v>0</v>
      </c>
      <c r="P84" s="60">
        <v>2.66</v>
      </c>
      <c r="Q84" s="60">
        <v>151.02000000000001</v>
      </c>
      <c r="R84" s="198"/>
      <c r="S84" s="198"/>
      <c r="T84" s="198"/>
      <c r="U84" s="198"/>
    </row>
    <row r="85" spans="1:21" s="12" customFormat="1" ht="15">
      <c r="A85" s="201" t="s">
        <v>993</v>
      </c>
      <c r="B85" s="60">
        <v>56.10</v>
      </c>
      <c r="C85" s="60">
        <v>64.150000000000006</v>
      </c>
      <c r="D85" s="60">
        <v>120.25</v>
      </c>
      <c r="E85" s="60">
        <v>6.17</v>
      </c>
      <c r="F85" s="60">
        <v>0.76</v>
      </c>
      <c r="G85" s="60">
        <v>164.70</v>
      </c>
      <c r="H85" s="60">
        <v>50.70</v>
      </c>
      <c r="I85" s="60">
        <v>9.82</v>
      </c>
      <c r="J85" s="60">
        <v>1.47</v>
      </c>
      <c r="K85" s="60">
        <v>56.80</v>
      </c>
      <c r="L85" s="60">
        <v>46.96</v>
      </c>
      <c r="M85" s="60">
        <v>36.020000000000003</v>
      </c>
      <c r="N85" s="60">
        <v>0</v>
      </c>
      <c r="O85" s="60">
        <v>0</v>
      </c>
      <c r="P85" s="60">
        <v>2.80</v>
      </c>
      <c r="Q85" s="60">
        <v>153.13</v>
      </c>
      <c r="R85" s="198"/>
      <c r="S85" s="198"/>
      <c r="T85" s="198"/>
      <c r="U85" s="198"/>
    </row>
    <row r="86" spans="1:21" s="12" customFormat="1" ht="15">
      <c r="A86" s="201" t="s">
        <v>994</v>
      </c>
      <c r="B86" s="60">
        <v>73.510000000000005</v>
      </c>
      <c r="C86" s="60">
        <v>65.760000000000005</v>
      </c>
      <c r="D86" s="60">
        <v>139.27000000000001</v>
      </c>
      <c r="E86" s="60">
        <v>6.73</v>
      </c>
      <c r="F86" s="60">
        <v>0.75</v>
      </c>
      <c r="G86" s="60">
        <v>377.39</v>
      </c>
      <c r="H86" s="60">
        <v>62.57</v>
      </c>
      <c r="I86" s="60">
        <v>9.18</v>
      </c>
      <c r="J86" s="60">
        <v>1.49</v>
      </c>
      <c r="K86" s="60">
        <v>71.459999999999994</v>
      </c>
      <c r="L86" s="60">
        <v>44.34</v>
      </c>
      <c r="M86" s="60">
        <v>32.700000000000003</v>
      </c>
      <c r="N86" s="60">
        <v>0</v>
      </c>
      <c r="O86" s="60">
        <v>0</v>
      </c>
      <c r="P86" s="60">
        <v>2.92</v>
      </c>
      <c r="Q86" s="60">
        <v>164.70</v>
      </c>
      <c r="R86" s="198"/>
      <c r="S86" s="198"/>
      <c r="T86" s="198"/>
      <c r="U86" s="198"/>
    </row>
    <row r="87" spans="1:21" s="12" customFormat="1" ht="15">
      <c r="A87" s="201" t="s">
        <v>995</v>
      </c>
      <c r="B87" s="60">
        <v>87.88</v>
      </c>
      <c r="C87" s="60">
        <v>65.28</v>
      </c>
      <c r="D87" s="60">
        <v>153.16</v>
      </c>
      <c r="E87" s="60">
        <v>7.17</v>
      </c>
      <c r="F87" s="60">
        <v>0.63</v>
      </c>
      <c r="G87" s="60">
        <v>377.39</v>
      </c>
      <c r="H87" s="60">
        <v>64.680000000000007</v>
      </c>
      <c r="I87" s="60">
        <v>10.55</v>
      </c>
      <c r="J87" s="60">
        <v>0.97</v>
      </c>
      <c r="K87" s="60">
        <v>13.56</v>
      </c>
      <c r="L87" s="60">
        <v>36.76</v>
      </c>
      <c r="M87" s="60">
        <v>35.880000000000003</v>
      </c>
      <c r="N87" s="60">
        <v>0.10</v>
      </c>
      <c r="O87" s="60">
        <v>0</v>
      </c>
      <c r="P87" s="60">
        <v>3.16</v>
      </c>
      <c r="Q87" s="60">
        <v>170.67</v>
      </c>
      <c r="R87" s="198"/>
      <c r="S87" s="198"/>
      <c r="T87" s="198"/>
      <c r="U87" s="198"/>
    </row>
    <row r="88" spans="1:21" s="12" customFormat="1" ht="15">
      <c r="A88" s="201" t="s">
        <v>996</v>
      </c>
      <c r="B88" s="60">
        <v>109.61</v>
      </c>
      <c r="C88" s="60">
        <v>66.30</v>
      </c>
      <c r="D88" s="60">
        <v>175.91</v>
      </c>
      <c r="E88" s="60">
        <v>7.06</v>
      </c>
      <c r="F88" s="60">
        <v>0.52</v>
      </c>
      <c r="G88" s="60">
        <v>377.39</v>
      </c>
      <c r="H88" s="60">
        <v>64.680000000000007</v>
      </c>
      <c r="I88" s="60">
        <v>11.24</v>
      </c>
      <c r="J88" s="60">
        <v>1.55</v>
      </c>
      <c r="K88" s="60">
        <v>57.20</v>
      </c>
      <c r="L88" s="60">
        <v>36.24</v>
      </c>
      <c r="M88" s="60">
        <v>38.01</v>
      </c>
      <c r="N88" s="60">
        <v>0</v>
      </c>
      <c r="O88" s="60">
        <v>0</v>
      </c>
      <c r="P88" s="60">
        <v>3.66</v>
      </c>
      <c r="Q88" s="60">
        <v>180.17</v>
      </c>
      <c r="R88" s="198"/>
      <c r="S88" s="198"/>
      <c r="T88" s="198"/>
      <c r="U88" s="198"/>
    </row>
    <row r="89" spans="1:21" s="12" customFormat="1" ht="15">
      <c r="A89" s="201" t="s">
        <v>997</v>
      </c>
      <c r="B89" s="60">
        <v>126.32</v>
      </c>
      <c r="C89" s="60">
        <v>66.930000000000007</v>
      </c>
      <c r="D89" s="60">
        <v>193.25</v>
      </c>
      <c r="E89" s="60">
        <v>7.91</v>
      </c>
      <c r="F89" s="60">
        <v>0.47</v>
      </c>
      <c r="G89" s="60">
        <v>377.39</v>
      </c>
      <c r="H89" s="60">
        <v>64.680000000000007</v>
      </c>
      <c r="I89" s="60">
        <v>12.47</v>
      </c>
      <c r="J89" s="60">
        <v>0.77</v>
      </c>
      <c r="K89" s="60">
        <v>56.19</v>
      </c>
      <c r="L89" s="60">
        <v>38.11</v>
      </c>
      <c r="M89" s="60">
        <v>34.15</v>
      </c>
      <c r="N89" s="60">
        <v>0</v>
      </c>
      <c r="O89" s="60">
        <v>0</v>
      </c>
      <c r="P89" s="60">
        <v>3.97</v>
      </c>
      <c r="Q89" s="60">
        <v>189.72</v>
      </c>
      <c r="R89" s="198"/>
      <c r="S89" s="198"/>
      <c r="T89" s="198"/>
      <c r="U89" s="198"/>
    </row>
    <row r="90" spans="1:21" s="12" customFormat="1" ht="15">
      <c r="A90" s="201" t="s">
        <v>998</v>
      </c>
      <c r="B90" s="60">
        <v>137.56</v>
      </c>
      <c r="C90" s="60">
        <v>67.39</v>
      </c>
      <c r="D90" s="60">
        <v>204.96</v>
      </c>
      <c r="E90" s="60">
        <v>8.06</v>
      </c>
      <c r="F90" s="60">
        <v>0.34</v>
      </c>
      <c r="G90" s="60">
        <v>440.47</v>
      </c>
      <c r="H90" s="60">
        <v>75.39</v>
      </c>
      <c r="I90" s="60">
        <v>14.63</v>
      </c>
      <c r="J90" s="60">
        <v>1.25</v>
      </c>
      <c r="K90" s="60">
        <v>291.01</v>
      </c>
      <c r="L90" s="60">
        <v>47.16</v>
      </c>
      <c r="M90" s="60">
        <v>28.06</v>
      </c>
      <c r="N90" s="60">
        <v>0</v>
      </c>
      <c r="O90" s="60">
        <v>0</v>
      </c>
      <c r="P90" s="60">
        <v>4.17</v>
      </c>
      <c r="Q90" s="60">
        <v>193.17</v>
      </c>
      <c r="R90" s="198"/>
      <c r="S90" s="198"/>
      <c r="T90" s="198"/>
      <c r="U90" s="198"/>
    </row>
    <row r="91" spans="1:21" s="12" customFormat="1" ht="15">
      <c r="A91" s="201" t="s">
        <v>999</v>
      </c>
      <c r="B91" s="60">
        <v>147.54</v>
      </c>
      <c r="C91" s="60">
        <v>66.95</v>
      </c>
      <c r="D91" s="60">
        <v>214.48</v>
      </c>
      <c r="E91" s="60">
        <v>8.17</v>
      </c>
      <c r="F91" s="60">
        <v>0.12</v>
      </c>
      <c r="G91" s="60">
        <v>440.47</v>
      </c>
      <c r="H91" s="60">
        <v>77.88</v>
      </c>
      <c r="I91" s="60">
        <v>16.72</v>
      </c>
      <c r="J91" s="60">
        <v>1.73</v>
      </c>
      <c r="K91" s="60">
        <v>54.41</v>
      </c>
      <c r="L91" s="60">
        <v>47.02</v>
      </c>
      <c r="M91" s="60">
        <v>33.74</v>
      </c>
      <c r="N91" s="60">
        <v>0</v>
      </c>
      <c r="O91" s="60">
        <v>0</v>
      </c>
      <c r="P91" s="60">
        <v>4.51</v>
      </c>
      <c r="Q91" s="60">
        <v>195.31</v>
      </c>
      <c r="R91" s="198"/>
      <c r="S91" s="198"/>
      <c r="T91" s="198"/>
      <c r="U91" s="198"/>
    </row>
    <row r="92" spans="1:21" s="12" customFormat="1" ht="15">
      <c r="A92" s="201" t="s">
        <v>1000</v>
      </c>
      <c r="B92" s="60">
        <v>161.99</v>
      </c>
      <c r="C92" s="60">
        <v>65.709999999999994</v>
      </c>
      <c r="D92" s="60">
        <v>227.70</v>
      </c>
      <c r="E92" s="60">
        <v>8.6300000000000008</v>
      </c>
      <c r="F92" s="60">
        <v>1.22</v>
      </c>
      <c r="G92" s="60">
        <v>440.47</v>
      </c>
      <c r="H92" s="60">
        <v>77.88</v>
      </c>
      <c r="I92" s="60">
        <v>18.21</v>
      </c>
      <c r="J92" s="60">
        <v>0.96</v>
      </c>
      <c r="K92" s="60">
        <v>29.5</v>
      </c>
      <c r="L92" s="60">
        <v>45.04</v>
      </c>
      <c r="M92" s="60">
        <v>33.19</v>
      </c>
      <c r="N92" s="60">
        <v>0</v>
      </c>
      <c r="O92" s="60">
        <v>0</v>
      </c>
      <c r="P92" s="60">
        <v>4.7699999999999996</v>
      </c>
      <c r="Q92" s="60">
        <v>200.03</v>
      </c>
      <c r="R92" s="198"/>
      <c r="S92" s="198"/>
      <c r="T92" s="198"/>
      <c r="U92" s="198"/>
    </row>
    <row r="93" spans="1:21" s="12" customFormat="1" ht="15">
      <c r="A93" s="201" t="s">
        <v>1001</v>
      </c>
      <c r="B93" s="60">
        <v>174.27</v>
      </c>
      <c r="C93" s="60">
        <v>65.39</v>
      </c>
      <c r="D93" s="60">
        <v>239.65</v>
      </c>
      <c r="E93" s="60">
        <v>8.98</v>
      </c>
      <c r="F93" s="60">
        <v>0.56999999999999995</v>
      </c>
      <c r="G93" s="60">
        <v>440.47</v>
      </c>
      <c r="H93" s="60">
        <v>77.88</v>
      </c>
      <c r="I93" s="60">
        <v>19.52</v>
      </c>
      <c r="J93" s="60">
        <v>0.42</v>
      </c>
      <c r="K93" s="60">
        <v>329.53</v>
      </c>
      <c r="L93" s="60">
        <v>43.79</v>
      </c>
      <c r="M93" s="60">
        <v>35.979999999999997</v>
      </c>
      <c r="N93" s="60">
        <v>0</v>
      </c>
      <c r="O93" s="60">
        <v>0</v>
      </c>
      <c r="P93" s="60">
        <v>5.04</v>
      </c>
      <c r="Q93" s="60">
        <v>205.15</v>
      </c>
      <c r="R93" s="198"/>
      <c r="S93" s="198"/>
      <c r="T93" s="198"/>
      <c r="U93" s="198"/>
    </row>
    <row r="94" spans="1:21" s="12" customFormat="1" ht="15">
      <c r="A94" s="201" t="s">
        <v>1002</v>
      </c>
      <c r="B94" s="60">
        <v>184.49</v>
      </c>
      <c r="C94" s="60">
        <v>64.510000000000005</v>
      </c>
      <c r="D94" s="60">
        <v>249.01</v>
      </c>
      <c r="E94" s="60">
        <v>8.7799999999999994</v>
      </c>
      <c r="F94" s="60">
        <v>0.68</v>
      </c>
      <c r="G94" s="60">
        <v>383.84</v>
      </c>
      <c r="H94" s="60">
        <v>89.24</v>
      </c>
      <c r="I94" s="60">
        <v>20.57</v>
      </c>
      <c r="J94" s="60">
        <v>1.35</v>
      </c>
      <c r="K94" s="60">
        <v>104.82</v>
      </c>
      <c r="L94" s="60">
        <v>44.21</v>
      </c>
      <c r="M94" s="60">
        <v>34.64</v>
      </c>
      <c r="N94" s="60">
        <v>0</v>
      </c>
      <c r="O94" s="60">
        <v>0</v>
      </c>
      <c r="P94" s="60">
        <v>5.34</v>
      </c>
      <c r="Q94" s="60">
        <v>208.56</v>
      </c>
      <c r="R94" s="198"/>
      <c r="S94" s="198"/>
      <c r="T94" s="198"/>
      <c r="U94" s="198"/>
    </row>
    <row r="95" spans="1:21" s="12" customFormat="1" ht="15">
      <c r="A95" s="201" t="s">
        <v>1003</v>
      </c>
      <c r="B95" s="60">
        <v>191.24</v>
      </c>
      <c r="C95" s="60">
        <v>63.32</v>
      </c>
      <c r="D95" s="60">
        <v>254.56</v>
      </c>
      <c r="E95" s="60">
        <v>8.9700000000000006</v>
      </c>
      <c r="F95" s="60">
        <v>0.53</v>
      </c>
      <c r="G95" s="60">
        <v>383.84</v>
      </c>
      <c r="H95" s="60">
        <v>91.89</v>
      </c>
      <c r="I95" s="60">
        <v>21.80</v>
      </c>
      <c r="J95" s="60">
        <v>0.86</v>
      </c>
      <c r="K95" s="60">
        <v>216.73</v>
      </c>
      <c r="L95" s="60">
        <v>45.38</v>
      </c>
      <c r="M95" s="60">
        <v>34.47</v>
      </c>
      <c r="N95" s="60">
        <v>0.80</v>
      </c>
      <c r="O95" s="60">
        <v>0</v>
      </c>
      <c r="P95" s="60">
        <v>5.47</v>
      </c>
      <c r="Q95" s="60">
        <v>208.16</v>
      </c>
      <c r="R95" s="198"/>
      <c r="S95" s="198"/>
      <c r="T95" s="198"/>
      <c r="U95" s="198"/>
    </row>
    <row r="96" spans="1:26" s="12" customFormat="1" ht="15">
      <c r="A96" s="201" t="s">
        <v>1004</v>
      </c>
      <c r="B96" s="60">
        <v>193.21</v>
      </c>
      <c r="C96" s="60">
        <v>58.22</v>
      </c>
      <c r="D96" s="60">
        <v>251.43</v>
      </c>
      <c r="E96" s="60">
        <v>9.25</v>
      </c>
      <c r="F96" s="60">
        <v>0.70</v>
      </c>
      <c r="G96" s="60">
        <v>383.84</v>
      </c>
      <c r="H96" s="60">
        <v>91.89</v>
      </c>
      <c r="I96" s="60">
        <v>23.02</v>
      </c>
      <c r="J96" s="60">
        <v>1.1200000000000001</v>
      </c>
      <c r="K96" s="60">
        <v>217.04</v>
      </c>
      <c r="L96" s="60">
        <v>43.56</v>
      </c>
      <c r="M96" s="60">
        <v>36.659999999999997</v>
      </c>
      <c r="N96" s="60">
        <v>0.5</v>
      </c>
      <c r="O96" s="60">
        <v>0</v>
      </c>
      <c r="P96" s="60">
        <v>5.49</v>
      </c>
      <c r="Q96" s="60">
        <v>168.60</v>
      </c>
      <c r="R96" s="198"/>
      <c r="S96" s="198"/>
      <c r="T96" s="198"/>
      <c r="U96" s="198"/>
      <c r="Z96" s="109"/>
    </row>
    <row r="97" spans="1:21" s="12" customFormat="1" ht="15">
      <c r="A97" s="201" t="s">
        <v>1005</v>
      </c>
      <c r="B97" s="60">
        <v>190.5</v>
      </c>
      <c r="C97" s="60">
        <v>61.27</v>
      </c>
      <c r="D97" s="60">
        <v>251.78</v>
      </c>
      <c r="E97" s="60">
        <v>9.1999999999999993</v>
      </c>
      <c r="F97" s="60">
        <v>0.64</v>
      </c>
      <c r="G97" s="60">
        <v>383.84</v>
      </c>
      <c r="H97" s="60">
        <v>91.89</v>
      </c>
      <c r="I97" s="60">
        <v>23.94</v>
      </c>
      <c r="J97" s="60">
        <v>0.60</v>
      </c>
      <c r="K97" s="60">
        <v>253.84</v>
      </c>
      <c r="L97" s="60">
        <v>47.42</v>
      </c>
      <c r="M97" s="60">
        <v>33.909999999999997</v>
      </c>
      <c r="N97" s="60">
        <v>0</v>
      </c>
      <c r="O97" s="60">
        <v>0</v>
      </c>
      <c r="P97" s="60">
        <v>5.52</v>
      </c>
      <c r="Q97" s="60">
        <v>190.75</v>
      </c>
      <c r="R97" s="198"/>
      <c r="S97" s="198"/>
      <c r="T97" s="198"/>
      <c r="U97" s="198"/>
    </row>
    <row r="98" spans="1:21" s="12" customFormat="1" ht="15">
      <c r="A98" s="201" t="s">
        <v>1006</v>
      </c>
      <c r="B98" s="60">
        <v>190.05</v>
      </c>
      <c r="C98" s="60">
        <v>60.65</v>
      </c>
      <c r="D98" s="60">
        <v>250.70</v>
      </c>
      <c r="E98" s="60">
        <v>9.31</v>
      </c>
      <c r="F98" s="60">
        <v>0.24</v>
      </c>
      <c r="G98" s="60">
        <v>325.81</v>
      </c>
      <c r="H98" s="60">
        <v>96.01</v>
      </c>
      <c r="I98" s="60">
        <v>23.87</v>
      </c>
      <c r="J98" s="60">
        <v>1.43</v>
      </c>
      <c r="K98" s="60">
        <v>33.020000000000003</v>
      </c>
      <c r="L98" s="60">
        <v>40.94</v>
      </c>
      <c r="M98" s="60">
        <v>39.770000000000003</v>
      </c>
      <c r="N98" s="60">
        <v>1.40</v>
      </c>
      <c r="O98" s="60">
        <v>0</v>
      </c>
      <c r="P98" s="60">
        <v>5.63</v>
      </c>
      <c r="Q98" s="60">
        <v>196.91</v>
      </c>
      <c r="R98" s="198"/>
      <c r="S98" s="198"/>
      <c r="T98" s="198"/>
      <c r="U98" s="198"/>
    </row>
    <row r="99" spans="1:21" s="12" customFormat="1" ht="15">
      <c r="A99" s="201" t="s">
        <v>1007</v>
      </c>
      <c r="B99" s="60">
        <v>197.95</v>
      </c>
      <c r="C99" s="60">
        <v>61.36</v>
      </c>
      <c r="D99" s="60">
        <v>259.31</v>
      </c>
      <c r="E99" s="60">
        <v>9.33</v>
      </c>
      <c r="F99" s="60">
        <v>0.16</v>
      </c>
      <c r="G99" s="60">
        <v>316.27</v>
      </c>
      <c r="H99" s="60">
        <v>96.90</v>
      </c>
      <c r="I99" s="60">
        <v>24.20</v>
      </c>
      <c r="J99" s="60">
        <v>0.67</v>
      </c>
      <c r="K99" s="60">
        <v>207.30</v>
      </c>
      <c r="L99" s="60">
        <v>46.55</v>
      </c>
      <c r="M99" s="60">
        <v>38.29</v>
      </c>
      <c r="N99" s="60">
        <v>6.80</v>
      </c>
      <c r="O99" s="60">
        <v>0</v>
      </c>
      <c r="P99" s="60">
        <v>5.90</v>
      </c>
      <c r="Q99" s="60">
        <v>204.66</v>
      </c>
      <c r="R99" s="198"/>
      <c r="S99" s="198"/>
      <c r="T99" s="198"/>
      <c r="U99" s="198"/>
    </row>
    <row r="100" spans="1:33" s="12" customFormat="1" ht="15">
      <c r="A100" s="201" t="s">
        <v>1008</v>
      </c>
      <c r="B100" s="60">
        <v>204.02</v>
      </c>
      <c r="C100" s="60">
        <v>65</v>
      </c>
      <c r="D100" s="60">
        <v>269.01</v>
      </c>
      <c r="E100" s="60">
        <v>4.6399999999999997</v>
      </c>
      <c r="F100" s="60">
        <v>0.30</v>
      </c>
      <c r="G100" s="60">
        <v>316.27</v>
      </c>
      <c r="H100" s="60">
        <v>96.90</v>
      </c>
      <c r="I100" s="60">
        <v>25.14</v>
      </c>
      <c r="J100" s="60">
        <v>0.86</v>
      </c>
      <c r="K100" s="60">
        <v>294.80</v>
      </c>
      <c r="L100" s="60">
        <v>57.62</v>
      </c>
      <c r="M100" s="60">
        <v>38.590000000000003</v>
      </c>
      <c r="N100" s="60">
        <v>5.30</v>
      </c>
      <c r="O100" s="60">
        <v>0</v>
      </c>
      <c r="P100" s="60">
        <v>6.10</v>
      </c>
      <c r="Q100" s="60">
        <v>207.81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1009</v>
      </c>
      <c r="B101" s="60">
        <v>208.84</v>
      </c>
      <c r="C101" s="60">
        <v>65.83</v>
      </c>
      <c r="D101" s="60">
        <v>274.67</v>
      </c>
      <c r="E101" s="60">
        <v>8.57</v>
      </c>
      <c r="F101" s="60">
        <v>0.32</v>
      </c>
      <c r="G101" s="60">
        <v>316.27</v>
      </c>
      <c r="H101" s="60">
        <v>96.90</v>
      </c>
      <c r="I101" s="60">
        <v>26.14</v>
      </c>
      <c r="J101" s="60">
        <v>0.93</v>
      </c>
      <c r="K101" s="60">
        <v>57.46</v>
      </c>
      <c r="L101" s="60">
        <v>55.54</v>
      </c>
      <c r="M101" s="60">
        <v>41.66</v>
      </c>
      <c r="N101" s="60">
        <v>5.40</v>
      </c>
      <c r="O101" s="60">
        <v>0</v>
      </c>
      <c r="P101" s="60">
        <v>6.24</v>
      </c>
      <c r="Q101" s="60">
        <v>205.53</v>
      </c>
      <c r="R101" s="198"/>
      <c r="S101" s="198"/>
      <c r="T101" s="198"/>
      <c r="U101" s="198"/>
    </row>
    <row r="102" spans="1:21" s="12" customFormat="1" ht="15">
      <c r="A102" s="201" t="s">
        <v>1010</v>
      </c>
      <c r="B102" s="60">
        <v>216.33</v>
      </c>
      <c r="C102" s="60">
        <v>67.38</v>
      </c>
      <c r="D102" s="60">
        <v>283.70999999999998</v>
      </c>
      <c r="E102" s="60">
        <v>9.08</v>
      </c>
      <c r="F102" s="60">
        <v>0.10</v>
      </c>
      <c r="G102" s="60">
        <v>397.43</v>
      </c>
      <c r="H102" s="60">
        <v>92.01</v>
      </c>
      <c r="I102" s="60">
        <v>26.78</v>
      </c>
      <c r="J102" s="60">
        <v>0.71</v>
      </c>
      <c r="K102" s="60">
        <v>40.49</v>
      </c>
      <c r="L102" s="60">
        <v>38.700000000000003</v>
      </c>
      <c r="M102" s="60">
        <v>43.42</v>
      </c>
      <c r="N102" s="60">
        <v>2</v>
      </c>
      <c r="O102" s="60">
        <v>0</v>
      </c>
      <c r="P102" s="60">
        <v>6.34</v>
      </c>
      <c r="Q102" s="60">
        <v>216.42</v>
      </c>
      <c r="R102" s="198"/>
      <c r="S102" s="198"/>
      <c r="T102" s="198"/>
      <c r="U102" s="198"/>
    </row>
    <row r="103" spans="1:21" s="12" customFormat="1" ht="15">
      <c r="A103" s="201" t="s">
        <v>1011</v>
      </c>
      <c r="B103" s="60">
        <v>223.85</v>
      </c>
      <c r="C103" s="60">
        <v>63.97</v>
      </c>
      <c r="D103" s="60">
        <v>287.82</v>
      </c>
      <c r="E103" s="60">
        <v>9.16</v>
      </c>
      <c r="F103" s="60">
        <v>0.09</v>
      </c>
      <c r="G103" s="60">
        <v>397.43</v>
      </c>
      <c r="H103" s="60">
        <v>90.87</v>
      </c>
      <c r="I103" s="60">
        <v>27.30</v>
      </c>
      <c r="J103" s="60">
        <v>0.67</v>
      </c>
      <c r="K103" s="60">
        <v>27.11</v>
      </c>
      <c r="L103" s="60">
        <v>33.97</v>
      </c>
      <c r="M103" s="60">
        <v>40.450000000000003</v>
      </c>
      <c r="N103" s="60">
        <v>1.90</v>
      </c>
      <c r="O103" s="60">
        <v>0</v>
      </c>
      <c r="P103" s="60">
        <v>6.40</v>
      </c>
      <c r="Q103" s="60">
        <v>207.71</v>
      </c>
      <c r="R103" s="198"/>
      <c r="S103" s="198"/>
      <c r="T103" s="198"/>
      <c r="U103" s="198"/>
    </row>
    <row r="104" spans="1:21" s="12" customFormat="1" ht="15">
      <c r="A104" s="201" t="s">
        <v>1012</v>
      </c>
      <c r="B104" s="60">
        <v>222.07</v>
      </c>
      <c r="C104" s="60">
        <v>63.55</v>
      </c>
      <c r="D104" s="60">
        <v>285.62</v>
      </c>
      <c r="E104" s="60">
        <v>9.44</v>
      </c>
      <c r="F104" s="60">
        <v>0.01</v>
      </c>
      <c r="G104" s="60">
        <v>397.43</v>
      </c>
      <c r="H104" s="60">
        <v>90.87</v>
      </c>
      <c r="I104" s="60">
        <v>27.91</v>
      </c>
      <c r="J104" s="60">
        <v>0.65</v>
      </c>
      <c r="K104" s="60">
        <v>247.22</v>
      </c>
      <c r="L104" s="60">
        <v>34.49</v>
      </c>
      <c r="M104" s="60">
        <v>36.24</v>
      </c>
      <c r="N104" s="60">
        <v>0.30</v>
      </c>
      <c r="O104" s="60">
        <v>0</v>
      </c>
      <c r="P104" s="60">
        <v>6.33</v>
      </c>
      <c r="Q104" s="60">
        <v>214.95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1.3899999999999999</v>
      </c>
      <c r="C106" s="67">
        <f>MIN(C9:C104)</f>
        <v>33.890000000000001</v>
      </c>
      <c r="D106" s="67">
        <f t="shared" si="0" ref="D106:Q106">MIN(D9:D104)</f>
        <v>37.530000000000001</v>
      </c>
      <c r="E106" s="67">
        <f t="shared" si="0"/>
        <v>3.1899999999999999</v>
      </c>
      <c r="F106" s="67">
        <f t="shared" si="0"/>
        <v>0.01</v>
      </c>
      <c r="G106" s="67">
        <f t="shared" si="0"/>
        <v>87.090000000000003</v>
      </c>
      <c r="H106" s="67">
        <f t="shared" si="0"/>
        <v>17.34</v>
      </c>
      <c r="I106" s="67">
        <f t="shared" si="0"/>
        <v>3.8599999999999999</v>
      </c>
      <c r="J106" s="67">
        <f t="shared" si="0"/>
        <v>0.34000000000000002</v>
      </c>
      <c r="K106" s="67">
        <f t="shared" si="0"/>
        <v>1.3100000000000001</v>
      </c>
      <c r="L106" s="67">
        <f t="shared" si="0"/>
        <v>31.940000000000001</v>
      </c>
      <c r="M106" s="67">
        <f t="shared" si="0"/>
        <v>13.18</v>
      </c>
      <c r="N106" s="67">
        <f t="shared" si="0"/>
        <v>0</v>
      </c>
      <c r="O106" s="67">
        <f t="shared" si="0"/>
        <v>0</v>
      </c>
      <c r="P106" s="67">
        <f t="shared" si="0"/>
        <v>1.76</v>
      </c>
      <c r="Q106" s="67">
        <f t="shared" si="0"/>
        <v>56.119999999999997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223.84999999999999</v>
      </c>
      <c r="C107" s="66">
        <f t="shared" si="1" ref="C107:Q107">MAX(C9:C104)</f>
        <v>67.390000000000001</v>
      </c>
      <c r="D107" s="66">
        <f t="shared" si="1"/>
        <v>287.81999999999999</v>
      </c>
      <c r="E107" s="66">
        <f t="shared" si="1"/>
        <v>9.4399999999999995</v>
      </c>
      <c r="F107" s="66">
        <f t="shared" si="1"/>
        <v>6.8799999999999999</v>
      </c>
      <c r="G107" s="66">
        <f t="shared" si="1"/>
        <v>440.47000000000003</v>
      </c>
      <c r="H107" s="66">
        <f t="shared" si="1"/>
        <v>96.900000000000006</v>
      </c>
      <c r="I107" s="66">
        <f t="shared" si="1"/>
        <v>27.91</v>
      </c>
      <c r="J107" s="66">
        <f t="shared" si="1"/>
        <v>3.9500000000000002</v>
      </c>
      <c r="K107" s="66">
        <f t="shared" si="1"/>
        <v>352.89999999999998</v>
      </c>
      <c r="L107" s="66">
        <f t="shared" si="1"/>
        <v>70.299999999999997</v>
      </c>
      <c r="M107" s="66">
        <f t="shared" si="1"/>
        <v>44.340000000000003</v>
      </c>
      <c r="N107" s="66">
        <f t="shared" si="1"/>
        <v>941.20000000000005</v>
      </c>
      <c r="O107" s="66">
        <f t="shared" si="1"/>
        <v>0</v>
      </c>
      <c r="P107" s="66">
        <f t="shared" si="1"/>
        <v>6.4000000000000004</v>
      </c>
      <c r="Q107" s="66">
        <f t="shared" si="1"/>
        <v>216.41999999999999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51.084999999999987</v>
      </c>
      <c r="C108" s="67">
        <f t="shared" si="2" ref="C108:Q108">AVERAGE(C9:C104)</f>
        <v>47.186770833333334</v>
      </c>
      <c r="D108" s="67">
        <f t="shared" si="2"/>
        <v>98.271458333333314</v>
      </c>
      <c r="E108" s="67">
        <f t="shared" si="2"/>
        <v>6.618125</v>
      </c>
      <c r="F108" s="67">
        <f t="shared" si="2"/>
        <v>1.6572916666666659</v>
      </c>
      <c r="G108" s="67">
        <f t="shared" si="2"/>
        <v>191.97602272727269</v>
      </c>
      <c r="H108" s="67">
        <f t="shared" si="2"/>
        <v>53.517752808988746</v>
      </c>
      <c r="I108" s="67">
        <f t="shared" si="2"/>
        <v>11.373125</v>
      </c>
      <c r="J108" s="67">
        <f t="shared" si="2"/>
        <v>1.7425000000000006</v>
      </c>
      <c r="K108" s="67">
        <f t="shared" si="2"/>
        <v>223.20874999999998</v>
      </c>
      <c r="L108" s="67">
        <f t="shared" si="2"/>
        <v>48.306979166666672</v>
      </c>
      <c r="M108" s="67">
        <f t="shared" si="2"/>
        <v>28.164687499999996</v>
      </c>
      <c r="N108" s="67">
        <f t="shared" si="2"/>
        <v>312.47083333333347</v>
      </c>
      <c r="O108" s="67">
        <f t="shared" si="2"/>
        <v>0</v>
      </c>
      <c r="P108" s="67">
        <f t="shared" si="2"/>
        <v>2.9249999999999989</v>
      </c>
      <c r="Q108" s="67">
        <f t="shared" si="2"/>
        <v>123.79583333333335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70.855792750598681</v>
      </c>
      <c r="C109" s="67">
        <f t="shared" si="3" ref="C109:Q109">STDEV(C9:C104)</f>
        <v>10.602614324559321</v>
      </c>
      <c r="D109" s="67">
        <f t="shared" si="3"/>
        <v>80.102509415704233</v>
      </c>
      <c r="E109" s="67">
        <f t="shared" si="3"/>
        <v>1.4680271849626894</v>
      </c>
      <c r="F109" s="67">
        <f t="shared" si="3"/>
        <v>1.4961673697302773</v>
      </c>
      <c r="G109" s="67">
        <f t="shared" si="3"/>
        <v>108.5745064120496</v>
      </c>
      <c r="H109" s="67">
        <f t="shared" si="3"/>
        <v>19.467037101960653</v>
      </c>
      <c r="I109" s="67">
        <f t="shared" si="3"/>
        <v>6.5068390438142325</v>
      </c>
      <c r="J109" s="67">
        <f t="shared" si="3"/>
        <v>1.0129529526145442</v>
      </c>
      <c r="K109" s="67">
        <f t="shared" si="3"/>
        <v>124.38194303075238</v>
      </c>
      <c r="L109" s="67">
        <f t="shared" si="3"/>
        <v>9.2426254096289853</v>
      </c>
      <c r="M109" s="67">
        <f t="shared" si="3"/>
        <v>9.9603822536164959</v>
      </c>
      <c r="N109" s="67">
        <f t="shared" si="3"/>
        <v>315.23337918259409</v>
      </c>
      <c r="O109" s="67">
        <f t="shared" si="3"/>
        <v>0</v>
      </c>
      <c r="P109" s="67">
        <f t="shared" si="3"/>
        <v>1.3210020120308223</v>
      </c>
      <c r="Q109" s="67">
        <f t="shared" si="3"/>
        <v>47.268178985036045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9747de-3427-4deb-a2c8-f4371e1272f5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1" sqref="A1:XFD1048576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09-06-2022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1013</v>
      </c>
      <c r="B9" s="60">
        <v>206.04</v>
      </c>
      <c r="C9" s="60">
        <v>62.72</v>
      </c>
      <c r="D9" s="60">
        <v>268.76</v>
      </c>
      <c r="E9" s="60">
        <v>9.1199999999999992</v>
      </c>
      <c r="F9" s="5" t="s">
        <v>47</v>
      </c>
      <c r="G9" s="60">
        <v>397.43</v>
      </c>
      <c r="H9" s="60">
        <v>90.87</v>
      </c>
      <c r="I9" s="60">
        <v>28.57</v>
      </c>
      <c r="J9" s="60">
        <v>0.94</v>
      </c>
      <c r="K9" s="60">
        <v>10.66</v>
      </c>
      <c r="L9" s="60">
        <v>35.29</v>
      </c>
      <c r="M9" s="60">
        <v>29.58</v>
      </c>
      <c r="N9" s="6" t="s">
        <v>42</v>
      </c>
      <c r="O9" s="60">
        <v>0</v>
      </c>
      <c r="P9" s="60">
        <v>6.08</v>
      </c>
      <c r="Q9" s="60">
        <v>208.05</v>
      </c>
      <c r="R9" s="198"/>
      <c r="S9" s="198"/>
      <c r="T9" s="198"/>
      <c r="U9" s="198"/>
    </row>
    <row r="10" spans="1:21" s="12" customFormat="1" ht="15">
      <c r="A10" s="201" t="s">
        <v>1014</v>
      </c>
      <c r="B10" s="60">
        <v>184.73</v>
      </c>
      <c r="C10" s="60">
        <v>60.24</v>
      </c>
      <c r="D10" s="60">
        <v>244.97</v>
      </c>
      <c r="E10" s="60">
        <v>9</v>
      </c>
      <c r="F10" s="60">
        <v>0.06</v>
      </c>
      <c r="G10" s="60">
        <v>282.77999999999997</v>
      </c>
      <c r="H10" s="60">
        <v>83.52</v>
      </c>
      <c r="I10" s="60">
        <v>28.83</v>
      </c>
      <c r="J10" s="60">
        <v>0.39</v>
      </c>
      <c r="K10" s="60">
        <v>80.45</v>
      </c>
      <c r="L10" s="60">
        <v>34.5</v>
      </c>
      <c r="M10" s="60">
        <v>30.78</v>
      </c>
      <c r="N10" s="6" t="s">
        <v>42</v>
      </c>
      <c r="O10" s="60">
        <v>0</v>
      </c>
      <c r="P10" s="60">
        <v>5.69</v>
      </c>
      <c r="Q10" s="60">
        <v>194.25</v>
      </c>
      <c r="R10" s="198"/>
      <c r="S10" s="198"/>
      <c r="T10" s="198"/>
      <c r="U10" s="198"/>
    </row>
    <row r="11" spans="1:21" s="12" customFormat="1" ht="15">
      <c r="A11" s="201" t="s">
        <v>1015</v>
      </c>
      <c r="B11" s="60">
        <v>165.46</v>
      </c>
      <c r="C11" s="60">
        <v>57.18</v>
      </c>
      <c r="D11" s="60">
        <v>222.64</v>
      </c>
      <c r="E11" s="60">
        <v>8.83</v>
      </c>
      <c r="F11" s="60">
        <v>0.26</v>
      </c>
      <c r="G11" s="60">
        <v>273.22000000000003</v>
      </c>
      <c r="H11" s="60">
        <v>81.81</v>
      </c>
      <c r="I11" s="60">
        <v>27.92</v>
      </c>
      <c r="J11" s="60">
        <v>0.33</v>
      </c>
      <c r="K11" s="60">
        <v>233.04</v>
      </c>
      <c r="L11" s="60">
        <v>34.75</v>
      </c>
      <c r="M11" s="60">
        <v>30.71</v>
      </c>
      <c r="N11" s="6" t="s">
        <v>42</v>
      </c>
      <c r="O11" s="60">
        <v>0</v>
      </c>
      <c r="P11" s="60">
        <v>5.34</v>
      </c>
      <c r="Q11" s="60">
        <v>185.29</v>
      </c>
      <c r="R11" s="198"/>
      <c r="S11" s="198"/>
      <c r="T11" s="198"/>
      <c r="U11" s="198"/>
    </row>
    <row r="12" spans="1:21" s="12" customFormat="1" ht="15">
      <c r="A12" s="201" t="s">
        <v>1016</v>
      </c>
      <c r="B12" s="60">
        <v>149.31</v>
      </c>
      <c r="C12" s="60">
        <v>54.97</v>
      </c>
      <c r="D12" s="60">
        <v>204.28</v>
      </c>
      <c r="E12" s="60">
        <v>8.2799999999999994</v>
      </c>
      <c r="F12" s="60">
        <v>0.36</v>
      </c>
      <c r="G12" s="60">
        <v>273.22000000000003</v>
      </c>
      <c r="H12" s="60">
        <v>81.81</v>
      </c>
      <c r="I12" s="60">
        <v>26.43</v>
      </c>
      <c r="J12" s="60">
        <v>0.5</v>
      </c>
      <c r="K12" s="60">
        <v>10.56</v>
      </c>
      <c r="L12" s="60">
        <v>33.840000000000003</v>
      </c>
      <c r="M12" s="60">
        <v>36.520000000000003</v>
      </c>
      <c r="N12" s="6" t="s">
        <v>42</v>
      </c>
      <c r="O12" s="60">
        <v>0</v>
      </c>
      <c r="P12" s="60">
        <v>5.04</v>
      </c>
      <c r="Q12" s="60">
        <v>174.83</v>
      </c>
      <c r="R12" s="198"/>
      <c r="S12" s="198"/>
      <c r="T12" s="198"/>
      <c r="U12" s="198"/>
    </row>
    <row r="13" spans="1:21" s="12" customFormat="1" ht="15">
      <c r="A13" s="201" t="s">
        <v>1017</v>
      </c>
      <c r="B13" s="60">
        <v>134.13</v>
      </c>
      <c r="C13" s="60">
        <v>52.47</v>
      </c>
      <c r="D13" s="60">
        <v>186.60</v>
      </c>
      <c r="E13" s="60">
        <v>8.06</v>
      </c>
      <c r="F13" s="60">
        <v>0.5</v>
      </c>
      <c r="G13" s="60">
        <v>273.22000000000003</v>
      </c>
      <c r="H13" s="60">
        <v>81.81</v>
      </c>
      <c r="I13" s="60">
        <v>25.23</v>
      </c>
      <c r="J13" s="60">
        <v>0.37</v>
      </c>
      <c r="K13" s="60">
        <v>112.39</v>
      </c>
      <c r="L13" s="60">
        <v>34.159999999999997</v>
      </c>
      <c r="M13" s="60">
        <v>29.41</v>
      </c>
      <c r="N13" s="6" t="s">
        <v>42</v>
      </c>
      <c r="O13" s="60">
        <v>0</v>
      </c>
      <c r="P13" s="60">
        <v>4.75</v>
      </c>
      <c r="Q13" s="60">
        <v>167.45</v>
      </c>
      <c r="R13" s="198"/>
      <c r="S13" s="198"/>
      <c r="T13" s="198"/>
      <c r="U13" s="198"/>
    </row>
    <row r="14" spans="1:21" s="12" customFormat="1" ht="15">
      <c r="A14" s="201" t="s">
        <v>1018</v>
      </c>
      <c r="B14" s="60">
        <v>119.47</v>
      </c>
      <c r="C14" s="60">
        <v>51.26</v>
      </c>
      <c r="D14" s="60">
        <v>170.74</v>
      </c>
      <c r="E14" s="60">
        <v>7.92</v>
      </c>
      <c r="F14" s="60">
        <v>0.49</v>
      </c>
      <c r="G14" s="60">
        <v>180.03</v>
      </c>
      <c r="H14" s="60">
        <v>71.73</v>
      </c>
      <c r="I14" s="60">
        <v>24.10</v>
      </c>
      <c r="J14" s="60">
        <v>0.66</v>
      </c>
      <c r="K14" s="60">
        <v>241.70</v>
      </c>
      <c r="L14" s="60">
        <v>34.42</v>
      </c>
      <c r="M14" s="60">
        <v>29.40</v>
      </c>
      <c r="N14" s="60">
        <v>0.60</v>
      </c>
      <c r="O14" s="60">
        <v>0</v>
      </c>
      <c r="P14" s="60">
        <v>4.4400000000000004</v>
      </c>
      <c r="Q14" s="60">
        <v>157.90</v>
      </c>
      <c r="R14" s="198"/>
      <c r="S14" s="198"/>
      <c r="T14" s="198"/>
      <c r="U14" s="198"/>
    </row>
    <row r="15" spans="1:21" s="12" customFormat="1" ht="15">
      <c r="A15" s="201" t="s">
        <v>1019</v>
      </c>
      <c r="B15" s="60">
        <v>104.54</v>
      </c>
      <c r="C15" s="60">
        <v>49.57</v>
      </c>
      <c r="D15" s="60">
        <v>154.11000000000001</v>
      </c>
      <c r="E15" s="60">
        <v>7.87</v>
      </c>
      <c r="F15" s="60">
        <v>0.59</v>
      </c>
      <c r="G15" s="60">
        <v>180.03</v>
      </c>
      <c r="H15" s="60">
        <v>69.39</v>
      </c>
      <c r="I15" s="60">
        <v>23</v>
      </c>
      <c r="J15" s="60">
        <v>0.76</v>
      </c>
      <c r="K15" s="60">
        <v>265.67</v>
      </c>
      <c r="L15" s="60">
        <v>34.630000000000003</v>
      </c>
      <c r="M15" s="60">
        <v>26.03</v>
      </c>
      <c r="N15" s="6" t="s">
        <v>42</v>
      </c>
      <c r="O15" s="60">
        <v>0</v>
      </c>
      <c r="P15" s="60">
        <v>4.1100000000000003</v>
      </c>
      <c r="Q15" s="60">
        <v>150.86000000000001</v>
      </c>
      <c r="R15" s="198"/>
      <c r="S15" s="198"/>
      <c r="T15" s="198"/>
      <c r="U15" s="198"/>
    </row>
    <row r="16" spans="1:21" s="12" customFormat="1" ht="15">
      <c r="A16" s="201" t="s">
        <v>1020</v>
      </c>
      <c r="B16" s="60">
        <v>91.16</v>
      </c>
      <c r="C16" s="60">
        <v>47.98</v>
      </c>
      <c r="D16" s="60">
        <v>139.13999999999999</v>
      </c>
      <c r="E16" s="60">
        <v>7.5</v>
      </c>
      <c r="F16" s="60">
        <v>0.66</v>
      </c>
      <c r="G16" s="60">
        <v>180.03</v>
      </c>
      <c r="H16" s="60">
        <v>69.39</v>
      </c>
      <c r="I16" s="60">
        <v>21.76</v>
      </c>
      <c r="J16" s="60">
        <v>1.20</v>
      </c>
      <c r="K16" s="60">
        <v>220.53</v>
      </c>
      <c r="L16" s="60">
        <v>34.51</v>
      </c>
      <c r="M16" s="60">
        <v>28.19</v>
      </c>
      <c r="N16" s="6" t="s">
        <v>42</v>
      </c>
      <c r="O16" s="60">
        <v>0</v>
      </c>
      <c r="P16" s="60">
        <v>3.85</v>
      </c>
      <c r="Q16" s="60">
        <v>142.22</v>
      </c>
      <c r="R16" s="198"/>
      <c r="S16" s="198"/>
      <c r="T16" s="198"/>
      <c r="U16" s="198"/>
    </row>
    <row r="17" spans="1:21" s="12" customFormat="1" ht="15">
      <c r="A17" s="201" t="s">
        <v>1021</v>
      </c>
      <c r="B17" s="60">
        <v>79.63</v>
      </c>
      <c r="C17" s="60">
        <v>44.79</v>
      </c>
      <c r="D17" s="60">
        <v>124.42</v>
      </c>
      <c r="E17" s="60">
        <v>7.37</v>
      </c>
      <c r="F17" s="60">
        <v>0.65</v>
      </c>
      <c r="G17" s="60">
        <v>180.03</v>
      </c>
      <c r="H17" s="60">
        <v>69.39</v>
      </c>
      <c r="I17" s="60">
        <v>20.28</v>
      </c>
      <c r="J17" s="60">
        <v>0.45</v>
      </c>
      <c r="K17" s="60">
        <v>260.77</v>
      </c>
      <c r="L17" s="60">
        <v>40.53</v>
      </c>
      <c r="M17" s="60">
        <v>28.80</v>
      </c>
      <c r="N17" s="6" t="s">
        <v>42</v>
      </c>
      <c r="O17" s="60">
        <v>0</v>
      </c>
      <c r="P17" s="60">
        <v>3.70</v>
      </c>
      <c r="Q17" s="60">
        <v>135.37</v>
      </c>
      <c r="R17" s="198"/>
      <c r="S17" s="198"/>
      <c r="T17" s="198"/>
      <c r="U17" s="198"/>
    </row>
    <row r="18" spans="1:21" s="12" customFormat="1" ht="15">
      <c r="A18" s="201" t="s">
        <v>1022</v>
      </c>
      <c r="B18" s="60">
        <v>71.30</v>
      </c>
      <c r="C18" s="60">
        <v>42.84</v>
      </c>
      <c r="D18" s="60">
        <v>114.14</v>
      </c>
      <c r="E18" s="60">
        <v>6.73</v>
      </c>
      <c r="F18" s="60">
        <v>0.65</v>
      </c>
      <c r="G18" s="60">
        <v>154.24</v>
      </c>
      <c r="H18" s="60">
        <v>63.75</v>
      </c>
      <c r="I18" s="60">
        <v>18.989999999999998</v>
      </c>
      <c r="J18" s="60">
        <v>0.47</v>
      </c>
      <c r="K18" s="60">
        <v>345.99</v>
      </c>
      <c r="L18" s="60">
        <v>58.35</v>
      </c>
      <c r="M18" s="60">
        <v>29.74</v>
      </c>
      <c r="N18" s="60">
        <v>0.30</v>
      </c>
      <c r="O18" s="60">
        <v>0</v>
      </c>
      <c r="P18" s="60">
        <v>3.57</v>
      </c>
      <c r="Q18" s="60">
        <v>123.37</v>
      </c>
      <c r="R18" s="198"/>
      <c r="S18" s="198"/>
      <c r="T18" s="198"/>
      <c r="U18" s="198"/>
    </row>
    <row r="19" spans="1:21" s="12" customFormat="1" ht="15">
      <c r="A19" s="201" t="s">
        <v>1023</v>
      </c>
      <c r="B19" s="60">
        <v>64.17</v>
      </c>
      <c r="C19" s="60">
        <v>43.27</v>
      </c>
      <c r="D19" s="60">
        <v>107.45</v>
      </c>
      <c r="E19" s="60">
        <v>7.28</v>
      </c>
      <c r="F19" s="60">
        <v>0.45</v>
      </c>
      <c r="G19" s="60">
        <v>154.24</v>
      </c>
      <c r="H19" s="60">
        <v>62.44</v>
      </c>
      <c r="I19" s="60">
        <v>18.149999999999999</v>
      </c>
      <c r="J19" s="60">
        <v>0.73</v>
      </c>
      <c r="K19" s="60">
        <v>38.200000000000003</v>
      </c>
      <c r="L19" s="60">
        <v>59.31</v>
      </c>
      <c r="M19" s="60">
        <v>30.48</v>
      </c>
      <c r="N19" s="60">
        <v>5.40</v>
      </c>
      <c r="O19" s="60">
        <v>0</v>
      </c>
      <c r="P19" s="60">
        <v>3.39</v>
      </c>
      <c r="Q19" s="60">
        <v>126.18</v>
      </c>
      <c r="R19" s="198"/>
      <c r="S19" s="198"/>
      <c r="T19" s="198"/>
      <c r="U19" s="198"/>
    </row>
    <row r="20" spans="1:21" s="12" customFormat="1" ht="15">
      <c r="A20" s="201" t="s">
        <v>1024</v>
      </c>
      <c r="B20" s="60">
        <v>57.40</v>
      </c>
      <c r="C20" s="60">
        <v>41.83</v>
      </c>
      <c r="D20" s="60">
        <v>99.24</v>
      </c>
      <c r="E20" s="60">
        <v>5.19</v>
      </c>
      <c r="F20" s="60">
        <v>1.58</v>
      </c>
      <c r="G20" s="60">
        <v>154.24</v>
      </c>
      <c r="H20" s="60">
        <v>62.44</v>
      </c>
      <c r="I20" s="60">
        <v>17.36</v>
      </c>
      <c r="J20" s="60">
        <v>0.16</v>
      </c>
      <c r="K20" s="60">
        <v>282.83999999999997</v>
      </c>
      <c r="L20" s="60">
        <v>45.69</v>
      </c>
      <c r="M20" s="60">
        <v>30.20</v>
      </c>
      <c r="N20" s="60">
        <v>4.0999999999999996</v>
      </c>
      <c r="O20" s="60">
        <v>0</v>
      </c>
      <c r="P20" s="60">
        <v>3.28</v>
      </c>
      <c r="Q20" s="60">
        <v>125.04</v>
      </c>
      <c r="R20" s="198"/>
      <c r="S20" s="198"/>
      <c r="T20" s="198"/>
      <c r="U20" s="198"/>
    </row>
    <row r="21" spans="1:21" s="12" customFormat="1" ht="15">
      <c r="A21" s="201" t="s">
        <v>1025</v>
      </c>
      <c r="B21" s="60">
        <v>51.19</v>
      </c>
      <c r="C21" s="60">
        <v>40.39</v>
      </c>
      <c r="D21" s="60">
        <v>91.59</v>
      </c>
      <c r="E21" s="60">
        <v>7.83</v>
      </c>
      <c r="F21" s="60">
        <v>0.22</v>
      </c>
      <c r="G21" s="60">
        <v>154.24</v>
      </c>
      <c r="H21" s="60">
        <v>62.44</v>
      </c>
      <c r="I21" s="60">
        <v>16.46</v>
      </c>
      <c r="J21" s="60">
        <v>0.65</v>
      </c>
      <c r="K21" s="60">
        <v>352.99</v>
      </c>
      <c r="L21" s="60">
        <v>47.52</v>
      </c>
      <c r="M21" s="60">
        <v>31.35</v>
      </c>
      <c r="N21" s="6" t="s">
        <v>42</v>
      </c>
      <c r="O21" s="60">
        <v>0</v>
      </c>
      <c r="P21" s="60">
        <v>3.15</v>
      </c>
      <c r="Q21" s="60">
        <v>120.54</v>
      </c>
      <c r="R21" s="198"/>
      <c r="S21" s="198"/>
      <c r="T21" s="198"/>
      <c r="U21" s="198"/>
    </row>
    <row r="22" spans="1:21" s="12" customFormat="1" ht="15">
      <c r="A22" s="201" t="s">
        <v>1026</v>
      </c>
      <c r="B22" s="60">
        <v>45.94</v>
      </c>
      <c r="C22" s="60">
        <v>39.42</v>
      </c>
      <c r="D22" s="60">
        <v>85.35</v>
      </c>
      <c r="E22" s="60">
        <v>7.89</v>
      </c>
      <c r="F22" s="60">
        <v>0.39</v>
      </c>
      <c r="G22" s="60">
        <v>99.19</v>
      </c>
      <c r="H22" s="60">
        <v>55.98</v>
      </c>
      <c r="I22" s="60">
        <v>15.61</v>
      </c>
      <c r="J22" s="60">
        <v>0.43</v>
      </c>
      <c r="K22" s="60">
        <v>19.62</v>
      </c>
      <c r="L22" s="60">
        <v>45.02</v>
      </c>
      <c r="M22" s="60">
        <v>32.40</v>
      </c>
      <c r="N22" s="60">
        <v>6</v>
      </c>
      <c r="O22" s="60">
        <v>0</v>
      </c>
      <c r="P22" s="60">
        <v>3.04</v>
      </c>
      <c r="Q22" s="60">
        <v>119.85</v>
      </c>
      <c r="R22" s="198"/>
      <c r="S22" s="198"/>
      <c r="T22" s="198"/>
      <c r="U22" s="198"/>
    </row>
    <row r="23" spans="1:21" s="12" customFormat="1" ht="15">
      <c r="A23" s="201" t="s">
        <v>1027</v>
      </c>
      <c r="B23" s="60">
        <v>41.28</v>
      </c>
      <c r="C23" s="60">
        <v>38.36</v>
      </c>
      <c r="D23" s="60">
        <v>79.63</v>
      </c>
      <c r="E23" s="60">
        <v>8.35</v>
      </c>
      <c r="F23" s="60">
        <v>0.33</v>
      </c>
      <c r="G23" s="60">
        <v>99.19</v>
      </c>
      <c r="H23" s="60">
        <v>54.47</v>
      </c>
      <c r="I23" s="60">
        <v>14.70</v>
      </c>
      <c r="J23" s="60">
        <v>0.37</v>
      </c>
      <c r="K23" s="60">
        <v>283.02</v>
      </c>
      <c r="L23" s="60">
        <v>47.99</v>
      </c>
      <c r="M23" s="60">
        <v>32.869999999999997</v>
      </c>
      <c r="N23" s="60">
        <v>7.40</v>
      </c>
      <c r="O23" s="60">
        <v>0</v>
      </c>
      <c r="P23" s="60">
        <v>2.93</v>
      </c>
      <c r="Q23" s="60">
        <v>115.78</v>
      </c>
      <c r="R23" s="198"/>
      <c r="S23" s="198"/>
      <c r="T23" s="198"/>
      <c r="U23" s="198"/>
    </row>
    <row r="24" spans="1:21" s="12" customFormat="1" ht="15">
      <c r="A24" s="201" t="s">
        <v>1028</v>
      </c>
      <c r="B24" s="60">
        <v>36.950000000000003</v>
      </c>
      <c r="C24" s="60">
        <v>37.22</v>
      </c>
      <c r="D24" s="60">
        <v>74.16</v>
      </c>
      <c r="E24" s="60">
        <v>8.49</v>
      </c>
      <c r="F24" s="60">
        <v>0.19</v>
      </c>
      <c r="G24" s="60">
        <v>99.19</v>
      </c>
      <c r="H24" s="60">
        <v>54.47</v>
      </c>
      <c r="I24" s="60">
        <v>13.96</v>
      </c>
      <c r="J24" s="60">
        <v>0.70</v>
      </c>
      <c r="K24" s="60">
        <v>2.35</v>
      </c>
      <c r="L24" s="60">
        <v>43.17</v>
      </c>
      <c r="M24" s="60">
        <v>33.74</v>
      </c>
      <c r="N24" s="60">
        <v>7.70</v>
      </c>
      <c r="O24" s="60">
        <v>0</v>
      </c>
      <c r="P24" s="60">
        <v>2.84</v>
      </c>
      <c r="Q24" s="60">
        <v>112.61</v>
      </c>
      <c r="R24" s="198"/>
      <c r="S24" s="198"/>
      <c r="T24" s="198"/>
      <c r="U24" s="198"/>
    </row>
    <row r="25" spans="1:21" s="12" customFormat="1" ht="15">
      <c r="A25" s="201" t="s">
        <v>1029</v>
      </c>
      <c r="B25" s="60">
        <v>32.869999999999997</v>
      </c>
      <c r="C25" s="60">
        <v>36.409999999999997</v>
      </c>
      <c r="D25" s="60">
        <v>69.28</v>
      </c>
      <c r="E25" s="60">
        <v>8.42</v>
      </c>
      <c r="F25" s="60">
        <v>0.72</v>
      </c>
      <c r="G25" s="60">
        <v>99.19</v>
      </c>
      <c r="H25" s="60">
        <v>54.47</v>
      </c>
      <c r="I25" s="60">
        <v>13.29</v>
      </c>
      <c r="J25" s="60">
        <v>0.47</v>
      </c>
      <c r="K25" s="60">
        <v>297.85000000000002</v>
      </c>
      <c r="L25" s="60">
        <v>43.23</v>
      </c>
      <c r="M25" s="60">
        <v>34.61</v>
      </c>
      <c r="N25" s="60">
        <v>8.40</v>
      </c>
      <c r="O25" s="60">
        <v>0</v>
      </c>
      <c r="P25" s="60">
        <v>2.73</v>
      </c>
      <c r="Q25" s="60">
        <v>110.09</v>
      </c>
      <c r="R25" s="198"/>
      <c r="S25" s="198"/>
      <c r="T25" s="198"/>
      <c r="U25" s="198"/>
    </row>
    <row r="26" spans="1:21" s="12" customFormat="1" ht="15">
      <c r="A26" s="201" t="s">
        <v>1030</v>
      </c>
      <c r="B26" s="60">
        <v>28.19</v>
      </c>
      <c r="C26" s="60">
        <v>35.85</v>
      </c>
      <c r="D26" s="60">
        <v>64.05</v>
      </c>
      <c r="E26" s="60">
        <v>7.94</v>
      </c>
      <c r="F26" s="60">
        <v>0.92</v>
      </c>
      <c r="G26" s="60">
        <v>91.16</v>
      </c>
      <c r="H26" s="60">
        <v>46.19</v>
      </c>
      <c r="I26" s="60">
        <v>12.61</v>
      </c>
      <c r="J26" s="60">
        <v>0.36</v>
      </c>
      <c r="K26" s="60">
        <v>312.58999999999997</v>
      </c>
      <c r="L26" s="60">
        <v>40.68</v>
      </c>
      <c r="M26" s="60">
        <v>34.46</v>
      </c>
      <c r="N26" s="60">
        <v>10.40</v>
      </c>
      <c r="O26" s="60">
        <v>0</v>
      </c>
      <c r="P26" s="60">
        <v>2.62</v>
      </c>
      <c r="Q26" s="60">
        <v>111.44</v>
      </c>
      <c r="R26" s="198"/>
      <c r="S26" s="198"/>
      <c r="T26" s="198"/>
      <c r="U26" s="198"/>
    </row>
    <row r="27" spans="1:21" s="12" customFormat="1" ht="15">
      <c r="A27" s="201" t="s">
        <v>1031</v>
      </c>
      <c r="B27" s="60">
        <v>24.17</v>
      </c>
      <c r="C27" s="60">
        <v>35.79</v>
      </c>
      <c r="D27" s="60">
        <v>59.96</v>
      </c>
      <c r="E27" s="60">
        <v>8.2200000000000006</v>
      </c>
      <c r="F27" s="60">
        <v>0.79</v>
      </c>
      <c r="G27" s="60">
        <v>89.60</v>
      </c>
      <c r="H27" s="60">
        <v>44.26</v>
      </c>
      <c r="I27" s="60">
        <v>11.97</v>
      </c>
      <c r="J27" s="60">
        <v>0.43</v>
      </c>
      <c r="K27" s="60">
        <v>232.81</v>
      </c>
      <c r="L27" s="60">
        <v>41.29</v>
      </c>
      <c r="M27" s="60">
        <v>34.53</v>
      </c>
      <c r="N27" s="60">
        <v>9.10</v>
      </c>
      <c r="O27" s="60">
        <v>0</v>
      </c>
      <c r="P27" s="60">
        <v>2.52</v>
      </c>
      <c r="Q27" s="60">
        <v>109.18</v>
      </c>
      <c r="R27" s="198"/>
      <c r="S27" s="198"/>
      <c r="T27" s="198"/>
      <c r="U27" s="198"/>
    </row>
    <row r="28" spans="1:21" s="12" customFormat="1" ht="15">
      <c r="A28" s="201" t="s">
        <v>1032</v>
      </c>
      <c r="B28" s="60">
        <v>20.69</v>
      </c>
      <c r="C28" s="60">
        <v>35.869999999999997</v>
      </c>
      <c r="D28" s="60">
        <v>56.56</v>
      </c>
      <c r="E28" s="60">
        <v>8.48</v>
      </c>
      <c r="F28" s="60">
        <v>0.60</v>
      </c>
      <c r="G28" s="60">
        <v>89.60</v>
      </c>
      <c r="H28" s="60">
        <v>44.26</v>
      </c>
      <c r="I28" s="60">
        <v>11.16</v>
      </c>
      <c r="J28" s="60">
        <v>0.48</v>
      </c>
      <c r="K28" s="60">
        <v>293.43</v>
      </c>
      <c r="L28" s="60">
        <v>40.72</v>
      </c>
      <c r="M28" s="60">
        <v>34.81</v>
      </c>
      <c r="N28" s="60">
        <v>7.40</v>
      </c>
      <c r="O28" s="60">
        <v>0</v>
      </c>
      <c r="P28" s="60">
        <v>2.4300000000000002</v>
      </c>
      <c r="Q28" s="60">
        <v>106.93</v>
      </c>
      <c r="R28" s="198"/>
      <c r="S28" s="198"/>
      <c r="T28" s="198"/>
      <c r="U28" s="198"/>
    </row>
    <row r="29" spans="1:21" s="12" customFormat="1" ht="15">
      <c r="A29" s="201" t="s">
        <v>1033</v>
      </c>
      <c r="B29" s="60">
        <v>17.850000000000001</v>
      </c>
      <c r="C29" s="60">
        <v>35.93</v>
      </c>
      <c r="D29" s="60">
        <v>53.78</v>
      </c>
      <c r="E29" s="60">
        <v>7.96</v>
      </c>
      <c r="F29" s="60">
        <v>0.60</v>
      </c>
      <c r="G29" s="60">
        <v>89.60</v>
      </c>
      <c r="H29" s="60">
        <v>44.26</v>
      </c>
      <c r="I29" s="60">
        <v>10.45</v>
      </c>
      <c r="J29" s="60">
        <v>0.15</v>
      </c>
      <c r="K29" s="60">
        <v>349.24</v>
      </c>
      <c r="L29" s="60">
        <v>41.60</v>
      </c>
      <c r="M29" s="60">
        <v>34.770000000000003</v>
      </c>
      <c r="N29" s="60">
        <v>4</v>
      </c>
      <c r="O29" s="60">
        <v>0</v>
      </c>
      <c r="P29" s="60">
        <v>2.35</v>
      </c>
      <c r="Q29" s="60">
        <v>102.81</v>
      </c>
      <c r="R29" s="198"/>
      <c r="S29" s="198"/>
      <c r="T29" s="198"/>
      <c r="U29" s="198"/>
    </row>
    <row r="30" spans="1:21" s="12" customFormat="1" ht="15">
      <c r="A30" s="201" t="s">
        <v>1034</v>
      </c>
      <c r="B30" s="60">
        <v>15.29</v>
      </c>
      <c r="C30" s="60">
        <v>35.770000000000003</v>
      </c>
      <c r="D30" s="60">
        <v>51.05</v>
      </c>
      <c r="E30" s="60">
        <v>7.59</v>
      </c>
      <c r="F30" s="60">
        <v>0.30</v>
      </c>
      <c r="G30" s="60">
        <v>88.89</v>
      </c>
      <c r="H30" s="60">
        <v>46.67</v>
      </c>
      <c r="I30" s="60">
        <v>9.74</v>
      </c>
      <c r="J30" s="60">
        <v>0.48</v>
      </c>
      <c r="K30" s="60">
        <v>238.45</v>
      </c>
      <c r="L30" s="60">
        <v>40.799999999999997</v>
      </c>
      <c r="M30" s="60">
        <v>34.96</v>
      </c>
      <c r="N30" s="60">
        <v>4.9000000000000004</v>
      </c>
      <c r="O30" s="60">
        <v>0</v>
      </c>
      <c r="P30" s="60">
        <v>2.27</v>
      </c>
      <c r="Q30" s="60">
        <v>101.79</v>
      </c>
      <c r="R30" s="198"/>
      <c r="S30" s="198"/>
      <c r="T30" s="198"/>
      <c r="U30" s="198"/>
    </row>
    <row r="31" spans="1:21" s="12" customFormat="1" ht="15">
      <c r="A31" s="201" t="s">
        <v>1035</v>
      </c>
      <c r="B31" s="60">
        <v>12.67</v>
      </c>
      <c r="C31" s="60">
        <v>35.549999999999997</v>
      </c>
      <c r="D31" s="60">
        <v>48.22</v>
      </c>
      <c r="E31" s="60">
        <v>7.52</v>
      </c>
      <c r="F31" s="60">
        <v>0.42</v>
      </c>
      <c r="G31" s="60">
        <v>88.80</v>
      </c>
      <c r="H31" s="60">
        <v>47.23</v>
      </c>
      <c r="I31" s="60">
        <v>9.17</v>
      </c>
      <c r="J31" s="60">
        <v>0.41</v>
      </c>
      <c r="K31" s="60">
        <v>297.70</v>
      </c>
      <c r="L31" s="60">
        <v>40.729999999999997</v>
      </c>
      <c r="M31" s="60">
        <v>35.04</v>
      </c>
      <c r="N31" s="60">
        <v>15.80</v>
      </c>
      <c r="O31" s="60">
        <v>0</v>
      </c>
      <c r="P31" s="60">
        <v>2.2000000000000002</v>
      </c>
      <c r="Q31" s="60">
        <v>99.81</v>
      </c>
      <c r="R31" s="198"/>
      <c r="S31" s="198"/>
      <c r="T31" s="198"/>
      <c r="U31" s="198"/>
    </row>
    <row r="32" spans="1:21" s="12" customFormat="1" ht="15">
      <c r="A32" s="201" t="s">
        <v>1036</v>
      </c>
      <c r="B32" s="60">
        <v>10.60</v>
      </c>
      <c r="C32" s="60">
        <v>35.520000000000003</v>
      </c>
      <c r="D32" s="60">
        <v>46.12</v>
      </c>
      <c r="E32" s="60">
        <v>7.37</v>
      </c>
      <c r="F32" s="60">
        <v>0.46</v>
      </c>
      <c r="G32" s="60">
        <v>88.80</v>
      </c>
      <c r="H32" s="60">
        <v>47.23</v>
      </c>
      <c r="I32" s="60">
        <v>8.56</v>
      </c>
      <c r="J32" s="60">
        <v>0.40</v>
      </c>
      <c r="K32" s="60">
        <v>28.16</v>
      </c>
      <c r="L32" s="60">
        <v>42.44</v>
      </c>
      <c r="M32" s="60">
        <v>36.090000000000003</v>
      </c>
      <c r="N32" s="60">
        <v>36.5</v>
      </c>
      <c r="O32" s="60">
        <v>0</v>
      </c>
      <c r="P32" s="60">
        <v>2.15</v>
      </c>
      <c r="Q32" s="60">
        <v>97.74</v>
      </c>
      <c r="R32" s="198"/>
      <c r="S32" s="198"/>
      <c r="T32" s="198"/>
      <c r="U32" s="198"/>
    </row>
    <row r="33" spans="1:21" s="12" customFormat="1" ht="15">
      <c r="A33" s="201" t="s">
        <v>1037</v>
      </c>
      <c r="B33" s="60">
        <v>9.64</v>
      </c>
      <c r="C33" s="60">
        <v>35.85</v>
      </c>
      <c r="D33" s="60">
        <v>45.49</v>
      </c>
      <c r="E33" s="60">
        <v>6.98</v>
      </c>
      <c r="F33" s="60">
        <v>0.68</v>
      </c>
      <c r="G33" s="60">
        <v>88.80</v>
      </c>
      <c r="H33" s="60">
        <v>47.23</v>
      </c>
      <c r="I33" s="60">
        <v>8.1300000000000008</v>
      </c>
      <c r="J33" s="60">
        <v>0.20</v>
      </c>
      <c r="K33" s="60">
        <v>38.65</v>
      </c>
      <c r="L33" s="60">
        <v>42.37</v>
      </c>
      <c r="M33" s="60">
        <v>35.76</v>
      </c>
      <c r="N33" s="60">
        <v>63</v>
      </c>
      <c r="O33" s="60">
        <v>0</v>
      </c>
      <c r="P33" s="60">
        <v>2.11</v>
      </c>
      <c r="Q33" s="60">
        <v>95.98</v>
      </c>
      <c r="R33" s="198"/>
      <c r="S33" s="198"/>
      <c r="T33" s="198"/>
      <c r="U33" s="198"/>
    </row>
    <row r="34" spans="1:21" s="12" customFormat="1" ht="15">
      <c r="A34" s="201" t="s">
        <v>1038</v>
      </c>
      <c r="B34" s="60">
        <v>9.68</v>
      </c>
      <c r="C34" s="60">
        <v>36.53</v>
      </c>
      <c r="D34" s="60">
        <v>46.21</v>
      </c>
      <c r="E34" s="60">
        <v>7.25</v>
      </c>
      <c r="F34" s="60">
        <v>0.52</v>
      </c>
      <c r="G34" s="60">
        <v>93.44</v>
      </c>
      <c r="H34" s="60">
        <v>42.79</v>
      </c>
      <c r="I34" s="60">
        <v>7.77</v>
      </c>
      <c r="J34" s="60">
        <v>0.51</v>
      </c>
      <c r="K34" s="60">
        <v>2.0499999999999998</v>
      </c>
      <c r="L34" s="60">
        <v>42.09</v>
      </c>
      <c r="M34" s="60">
        <v>36.31</v>
      </c>
      <c r="N34" s="60">
        <v>109.80</v>
      </c>
      <c r="O34" s="60">
        <v>0</v>
      </c>
      <c r="P34" s="60">
        <v>2.0699999999999998</v>
      </c>
      <c r="Q34" s="60">
        <v>96.59</v>
      </c>
      <c r="R34" s="198"/>
      <c r="S34" s="198"/>
      <c r="T34" s="198"/>
      <c r="U34" s="198"/>
    </row>
    <row r="35" spans="1:21" s="12" customFormat="1" ht="15">
      <c r="A35" s="201" t="s">
        <v>1039</v>
      </c>
      <c r="B35" s="60">
        <v>9.3800000000000008</v>
      </c>
      <c r="C35" s="60">
        <v>35.369999999999997</v>
      </c>
      <c r="D35" s="60">
        <v>44.76</v>
      </c>
      <c r="E35" s="60">
        <v>7.13</v>
      </c>
      <c r="F35" s="60">
        <v>0.65</v>
      </c>
      <c r="G35" s="60">
        <v>93.77</v>
      </c>
      <c r="H35" s="60">
        <v>41.75</v>
      </c>
      <c r="I35" s="60">
        <v>7.47</v>
      </c>
      <c r="J35" s="60">
        <v>0.71</v>
      </c>
      <c r="K35" s="60">
        <v>25.37</v>
      </c>
      <c r="L35" s="60">
        <v>42.51</v>
      </c>
      <c r="M35" s="60">
        <v>35.82</v>
      </c>
      <c r="N35" s="60">
        <v>137.10</v>
      </c>
      <c r="O35" s="60">
        <v>0</v>
      </c>
      <c r="P35" s="60">
        <v>2.06</v>
      </c>
      <c r="Q35" s="60">
        <v>89.84</v>
      </c>
      <c r="R35" s="198"/>
      <c r="S35" s="198"/>
      <c r="T35" s="198"/>
      <c r="U35" s="198"/>
    </row>
    <row r="36" spans="1:21" s="12" customFormat="1" ht="15">
      <c r="A36" s="201" t="s">
        <v>1040</v>
      </c>
      <c r="B36" s="60">
        <v>9.2799999999999994</v>
      </c>
      <c r="C36" s="60">
        <v>36.61</v>
      </c>
      <c r="D36" s="60">
        <v>45.89</v>
      </c>
      <c r="E36" s="60">
        <v>3.21</v>
      </c>
      <c r="F36" s="60">
        <v>0.38</v>
      </c>
      <c r="G36" s="60">
        <v>93.77</v>
      </c>
      <c r="H36" s="60">
        <v>41.75</v>
      </c>
      <c r="I36" s="60">
        <v>7.39</v>
      </c>
      <c r="J36" s="60">
        <v>1.1000000000000001</v>
      </c>
      <c r="K36" s="60">
        <v>29.59</v>
      </c>
      <c r="L36" s="60">
        <v>43.75</v>
      </c>
      <c r="M36" s="60">
        <v>35.520000000000003</v>
      </c>
      <c r="N36" s="60">
        <v>189</v>
      </c>
      <c r="O36" s="60">
        <v>0</v>
      </c>
      <c r="P36" s="60">
        <v>2.15</v>
      </c>
      <c r="Q36" s="60">
        <v>75.34</v>
      </c>
      <c r="R36" s="198"/>
      <c r="S36" s="198"/>
      <c r="T36" s="198"/>
      <c r="U36" s="198"/>
    </row>
    <row r="37" spans="1:21" s="12" customFormat="1" ht="15">
      <c r="A37" s="201" t="s">
        <v>1041</v>
      </c>
      <c r="B37" s="60">
        <v>9.52</v>
      </c>
      <c r="C37" s="60">
        <v>38.090000000000003</v>
      </c>
      <c r="D37" s="60">
        <v>47.61</v>
      </c>
      <c r="E37" s="60">
        <v>5.96</v>
      </c>
      <c r="F37" s="60">
        <v>0.42</v>
      </c>
      <c r="G37" s="60">
        <v>93.77</v>
      </c>
      <c r="H37" s="60">
        <v>41.75</v>
      </c>
      <c r="I37" s="60">
        <v>7.60</v>
      </c>
      <c r="J37" s="60">
        <v>0.59</v>
      </c>
      <c r="K37" s="60">
        <v>24.5</v>
      </c>
      <c r="L37" s="60">
        <v>43.40</v>
      </c>
      <c r="M37" s="60">
        <v>34.18</v>
      </c>
      <c r="N37" s="60">
        <v>249.20</v>
      </c>
      <c r="O37" s="60">
        <v>0</v>
      </c>
      <c r="P37" s="60">
        <v>2.27</v>
      </c>
      <c r="Q37" s="60">
        <v>94.25</v>
      </c>
      <c r="R37" s="198"/>
      <c r="S37" s="198"/>
      <c r="T37" s="198"/>
      <c r="U37" s="198"/>
    </row>
    <row r="38" spans="1:21" s="12" customFormat="1" ht="15">
      <c r="A38" s="201" t="s">
        <v>1042</v>
      </c>
      <c r="B38" s="60">
        <v>9.92</v>
      </c>
      <c r="C38" s="60">
        <v>39.520000000000003</v>
      </c>
      <c r="D38" s="60">
        <v>49.45</v>
      </c>
      <c r="E38" s="60">
        <v>6.33</v>
      </c>
      <c r="F38" s="60">
        <v>0.12</v>
      </c>
      <c r="G38" s="60">
        <v>121.20</v>
      </c>
      <c r="H38" s="60">
        <v>39.74</v>
      </c>
      <c r="I38" s="60">
        <v>8.4600000000000009</v>
      </c>
      <c r="J38" s="60">
        <v>0.33</v>
      </c>
      <c r="K38" s="60">
        <v>342.39</v>
      </c>
      <c r="L38" s="60">
        <v>43.44</v>
      </c>
      <c r="M38" s="60">
        <v>33.11</v>
      </c>
      <c r="N38" s="60">
        <v>308.30</v>
      </c>
      <c r="O38" s="60">
        <v>0</v>
      </c>
      <c r="P38" s="60">
        <v>2.37</v>
      </c>
      <c r="Q38" s="60">
        <v>96.31</v>
      </c>
      <c r="R38" s="198"/>
      <c r="S38" s="198"/>
      <c r="T38" s="198"/>
      <c r="U38" s="198"/>
    </row>
    <row r="39" spans="1:21" s="12" customFormat="1" ht="15">
      <c r="A39" s="201" t="s">
        <v>1043</v>
      </c>
      <c r="B39" s="60">
        <v>9.34</v>
      </c>
      <c r="C39" s="60">
        <v>41.41</v>
      </c>
      <c r="D39" s="60">
        <v>50.74</v>
      </c>
      <c r="E39" s="60">
        <v>6.43</v>
      </c>
      <c r="F39" s="60">
        <v>0.06</v>
      </c>
      <c r="G39" s="60">
        <v>123.87</v>
      </c>
      <c r="H39" s="60">
        <v>39.270000000000003</v>
      </c>
      <c r="I39" s="60">
        <v>9.9700000000000006</v>
      </c>
      <c r="J39" s="60">
        <v>0.44</v>
      </c>
      <c r="K39" s="60">
        <v>202.85</v>
      </c>
      <c r="L39" s="60">
        <v>44.20</v>
      </c>
      <c r="M39" s="60">
        <v>32.17</v>
      </c>
      <c r="N39" s="60">
        <v>370.70</v>
      </c>
      <c r="O39" s="60">
        <v>0</v>
      </c>
      <c r="P39" s="60">
        <v>2.4500000000000002</v>
      </c>
      <c r="Q39" s="60">
        <v>93.35</v>
      </c>
      <c r="R39" s="198"/>
      <c r="S39" s="198"/>
      <c r="T39" s="198"/>
      <c r="U39" s="198"/>
    </row>
    <row r="40" spans="1:21" s="12" customFormat="1" ht="15">
      <c r="A40" s="201" t="s">
        <v>1044</v>
      </c>
      <c r="B40" s="60">
        <v>7.84</v>
      </c>
      <c r="C40" s="60">
        <v>43.5</v>
      </c>
      <c r="D40" s="60">
        <v>51.34</v>
      </c>
      <c r="E40" s="60">
        <v>6.26</v>
      </c>
      <c r="F40" s="60">
        <v>0.36</v>
      </c>
      <c r="G40" s="60">
        <v>123.87</v>
      </c>
      <c r="H40" s="60">
        <v>39.270000000000003</v>
      </c>
      <c r="I40" s="60">
        <v>12.08</v>
      </c>
      <c r="J40" s="60">
        <v>0.08</v>
      </c>
      <c r="K40" s="60">
        <v>254.41</v>
      </c>
      <c r="L40" s="60">
        <v>44.79</v>
      </c>
      <c r="M40" s="60">
        <v>31.38</v>
      </c>
      <c r="N40" s="60">
        <v>429.5</v>
      </c>
      <c r="O40" s="60">
        <v>0</v>
      </c>
      <c r="P40" s="60">
        <v>2.54</v>
      </c>
      <c r="Q40" s="60">
        <v>93.56</v>
      </c>
      <c r="R40" s="198"/>
      <c r="S40" s="198"/>
      <c r="T40" s="198"/>
      <c r="U40" s="198"/>
    </row>
    <row r="41" spans="1:21" s="12" customFormat="1" ht="15">
      <c r="A41" s="201" t="s">
        <v>1045</v>
      </c>
      <c r="B41" s="60">
        <v>6.03</v>
      </c>
      <c r="C41" s="60">
        <v>45.45</v>
      </c>
      <c r="D41" s="60">
        <v>51.48</v>
      </c>
      <c r="E41" s="60">
        <v>6.38</v>
      </c>
      <c r="F41" s="60">
        <v>0.47</v>
      </c>
      <c r="G41" s="60">
        <v>123.87</v>
      </c>
      <c r="H41" s="60">
        <v>39.270000000000003</v>
      </c>
      <c r="I41" s="60">
        <v>13.97</v>
      </c>
      <c r="J41" s="60">
        <v>0.59</v>
      </c>
      <c r="K41" s="60">
        <v>339.79</v>
      </c>
      <c r="L41" s="60">
        <v>44.05</v>
      </c>
      <c r="M41" s="60">
        <v>31.26</v>
      </c>
      <c r="N41" s="60">
        <v>497.90</v>
      </c>
      <c r="O41" s="60">
        <v>0</v>
      </c>
      <c r="P41" s="60">
        <v>2.52</v>
      </c>
      <c r="Q41" s="60">
        <v>89.32</v>
      </c>
      <c r="R41" s="198"/>
      <c r="S41" s="198"/>
      <c r="T41" s="198"/>
      <c r="U41" s="198"/>
    </row>
    <row r="42" spans="1:21" s="12" customFormat="1" ht="15">
      <c r="A42" s="201" t="s">
        <v>1046</v>
      </c>
      <c r="B42" s="60">
        <v>4.70</v>
      </c>
      <c r="C42" s="60">
        <v>46.86</v>
      </c>
      <c r="D42" s="60">
        <v>51.56</v>
      </c>
      <c r="E42" s="60">
        <v>6.68</v>
      </c>
      <c r="F42" s="60">
        <v>0.83</v>
      </c>
      <c r="G42" s="60">
        <v>150.47999999999999</v>
      </c>
      <c r="H42" s="60">
        <v>46.20</v>
      </c>
      <c r="I42" s="60">
        <v>14.30</v>
      </c>
      <c r="J42" s="60">
        <v>0.93</v>
      </c>
      <c r="K42" s="60">
        <v>10.32</v>
      </c>
      <c r="L42" s="60">
        <v>45.56</v>
      </c>
      <c r="M42" s="60">
        <v>30.07</v>
      </c>
      <c r="N42" s="60">
        <v>564.5</v>
      </c>
      <c r="O42" s="60">
        <v>0</v>
      </c>
      <c r="P42" s="60">
        <v>2.5</v>
      </c>
      <c r="Q42" s="60">
        <v>93.73</v>
      </c>
      <c r="R42" s="198"/>
      <c r="S42" s="198"/>
      <c r="T42" s="198"/>
      <c r="U42" s="198"/>
    </row>
    <row r="43" spans="1:21" s="12" customFormat="1" ht="15">
      <c r="A43" s="201" t="s">
        <v>1047</v>
      </c>
      <c r="B43" s="60">
        <v>3.51</v>
      </c>
      <c r="C43" s="60">
        <v>48.03</v>
      </c>
      <c r="D43" s="60">
        <v>51.54</v>
      </c>
      <c r="E43" s="60">
        <v>6.33</v>
      </c>
      <c r="F43" s="60">
        <v>1.52</v>
      </c>
      <c r="G43" s="60">
        <v>150.47999999999999</v>
      </c>
      <c r="H43" s="60">
        <v>47.84</v>
      </c>
      <c r="I43" s="60">
        <v>14</v>
      </c>
      <c r="J43" s="60">
        <v>1.1499999999999999</v>
      </c>
      <c r="K43" s="60">
        <v>354.71</v>
      </c>
      <c r="L43" s="60">
        <v>44.71</v>
      </c>
      <c r="M43" s="60">
        <v>29.58</v>
      </c>
      <c r="N43" s="60">
        <v>625</v>
      </c>
      <c r="O43" s="60">
        <v>0</v>
      </c>
      <c r="P43" s="60">
        <v>2.57</v>
      </c>
      <c r="Q43" s="60">
        <v>94.27</v>
      </c>
      <c r="R43" s="198"/>
      <c r="S43" s="198"/>
      <c r="T43" s="198"/>
      <c r="U43" s="198"/>
    </row>
    <row r="44" spans="1:21" s="12" customFormat="1" ht="15">
      <c r="A44" s="201" t="s">
        <v>1048</v>
      </c>
      <c r="B44" s="60">
        <v>2.52</v>
      </c>
      <c r="C44" s="60">
        <v>48.40</v>
      </c>
      <c r="D44" s="60">
        <v>50.93</v>
      </c>
      <c r="E44" s="60">
        <v>6.38</v>
      </c>
      <c r="F44" s="60">
        <v>2.11</v>
      </c>
      <c r="G44" s="60">
        <v>150.47999999999999</v>
      </c>
      <c r="H44" s="60">
        <v>47.84</v>
      </c>
      <c r="I44" s="60">
        <v>14.06</v>
      </c>
      <c r="J44" s="60">
        <v>1.55</v>
      </c>
      <c r="K44" s="60">
        <v>328.67</v>
      </c>
      <c r="L44" s="60">
        <v>45.72</v>
      </c>
      <c r="M44" s="60">
        <v>28.42</v>
      </c>
      <c r="N44" s="60">
        <v>664.5</v>
      </c>
      <c r="O44" s="60">
        <v>0</v>
      </c>
      <c r="P44" s="60">
        <v>2.59</v>
      </c>
      <c r="Q44" s="60">
        <v>94.35</v>
      </c>
      <c r="R44" s="198"/>
      <c r="S44" s="198"/>
      <c r="T44" s="198"/>
      <c r="U44" s="198"/>
    </row>
    <row r="45" spans="1:21" s="12" customFormat="1" ht="15">
      <c r="A45" s="201" t="s">
        <v>1049</v>
      </c>
      <c r="B45" s="60">
        <v>1.72</v>
      </c>
      <c r="C45" s="60">
        <v>46.78</v>
      </c>
      <c r="D45" s="60">
        <v>48.49</v>
      </c>
      <c r="E45" s="60">
        <v>5.71</v>
      </c>
      <c r="F45" s="60">
        <v>3.05</v>
      </c>
      <c r="G45" s="60">
        <v>150.47999999999999</v>
      </c>
      <c r="H45" s="60">
        <v>47.84</v>
      </c>
      <c r="I45" s="60">
        <v>14.27</v>
      </c>
      <c r="J45" s="60">
        <v>1.86</v>
      </c>
      <c r="K45" s="60">
        <v>335.51</v>
      </c>
      <c r="L45" s="60">
        <v>50.02</v>
      </c>
      <c r="M45" s="60">
        <v>27.45</v>
      </c>
      <c r="N45" s="60">
        <v>681.70</v>
      </c>
      <c r="O45" s="60">
        <v>0</v>
      </c>
      <c r="P45" s="60">
        <v>2.48</v>
      </c>
      <c r="Q45" s="60">
        <v>90.51</v>
      </c>
      <c r="R45" s="198"/>
      <c r="S45" s="198"/>
      <c r="T45" s="198"/>
      <c r="U45" s="198"/>
    </row>
    <row r="46" spans="1:21" s="12" customFormat="1" ht="15">
      <c r="A46" s="201" t="s">
        <v>1050</v>
      </c>
      <c r="B46" s="60">
        <v>1.45</v>
      </c>
      <c r="C46" s="60">
        <v>44.65</v>
      </c>
      <c r="D46" s="60">
        <v>46.10</v>
      </c>
      <c r="E46" s="60">
        <v>5.39</v>
      </c>
      <c r="F46" s="60">
        <v>3.63</v>
      </c>
      <c r="G46" s="60">
        <v>167.45</v>
      </c>
      <c r="H46" s="60">
        <v>45.74</v>
      </c>
      <c r="I46" s="60">
        <v>13.84</v>
      </c>
      <c r="J46" s="60">
        <v>1.84</v>
      </c>
      <c r="K46" s="60">
        <v>331.73</v>
      </c>
      <c r="L46" s="60">
        <v>50.64</v>
      </c>
      <c r="M46" s="60">
        <v>25.79</v>
      </c>
      <c r="N46" s="60">
        <v>732.80</v>
      </c>
      <c r="O46" s="60">
        <v>0</v>
      </c>
      <c r="P46" s="60">
        <v>2.37</v>
      </c>
      <c r="Q46" s="60">
        <v>87.28</v>
      </c>
      <c r="R46" s="198"/>
      <c r="S46" s="198"/>
      <c r="T46" s="198"/>
      <c r="U46" s="198"/>
    </row>
    <row r="47" spans="1:21" s="12" customFormat="1" ht="15">
      <c r="A47" s="201" t="s">
        <v>1051</v>
      </c>
      <c r="B47" s="60">
        <v>1.19</v>
      </c>
      <c r="C47" s="60">
        <v>42.62</v>
      </c>
      <c r="D47" s="60">
        <v>43.81</v>
      </c>
      <c r="E47" s="60">
        <v>5</v>
      </c>
      <c r="F47" s="60">
        <v>4.17</v>
      </c>
      <c r="G47" s="60">
        <v>167.45</v>
      </c>
      <c r="H47" s="60">
        <v>45.25</v>
      </c>
      <c r="I47" s="60">
        <v>12.35</v>
      </c>
      <c r="J47" s="60">
        <v>2.31</v>
      </c>
      <c r="K47" s="60">
        <v>320.58999999999997</v>
      </c>
      <c r="L47" s="60">
        <v>49.57</v>
      </c>
      <c r="M47" s="60">
        <v>25.59</v>
      </c>
      <c r="N47" s="60">
        <v>788.80</v>
      </c>
      <c r="O47" s="60">
        <v>0</v>
      </c>
      <c r="P47" s="60">
        <v>2.2799999999999998</v>
      </c>
      <c r="Q47" s="60">
        <v>85.07</v>
      </c>
      <c r="R47" s="198"/>
      <c r="S47" s="198"/>
      <c r="T47" s="198"/>
      <c r="U47" s="198"/>
    </row>
    <row r="48" spans="1:21" s="12" customFormat="1" ht="15">
      <c r="A48" s="201" t="s">
        <v>1052</v>
      </c>
      <c r="B48" s="60">
        <v>1.1299999999999999</v>
      </c>
      <c r="C48" s="60">
        <v>40.89</v>
      </c>
      <c r="D48" s="60">
        <v>42.02</v>
      </c>
      <c r="E48" s="60">
        <v>4.83</v>
      </c>
      <c r="F48" s="60">
        <v>4.2699999999999996</v>
      </c>
      <c r="G48" s="60">
        <v>167.45</v>
      </c>
      <c r="H48" s="60">
        <v>45.25</v>
      </c>
      <c r="I48" s="60">
        <v>11</v>
      </c>
      <c r="J48" s="60">
        <v>2.61</v>
      </c>
      <c r="K48" s="60">
        <v>319.79000000000002</v>
      </c>
      <c r="L48" s="60">
        <v>50.89</v>
      </c>
      <c r="M48" s="60">
        <v>24.34</v>
      </c>
      <c r="N48" s="60">
        <v>815</v>
      </c>
      <c r="O48" s="60">
        <v>0</v>
      </c>
      <c r="P48" s="60">
        <v>2.2400000000000002</v>
      </c>
      <c r="Q48" s="60">
        <v>81.78</v>
      </c>
      <c r="R48" s="198"/>
      <c r="S48" s="198"/>
      <c r="T48" s="198"/>
      <c r="U48" s="198"/>
    </row>
    <row r="49" spans="1:21" s="12" customFormat="1" ht="15">
      <c r="A49" s="201" t="s">
        <v>1053</v>
      </c>
      <c r="B49" s="60">
        <v>1.32</v>
      </c>
      <c r="C49" s="60">
        <v>39.99</v>
      </c>
      <c r="D49" s="60">
        <v>41.31</v>
      </c>
      <c r="E49" s="60">
        <v>4.96</v>
      </c>
      <c r="F49" s="60">
        <v>2.74</v>
      </c>
      <c r="G49" s="60">
        <v>167.45</v>
      </c>
      <c r="H49" s="60">
        <v>45.25</v>
      </c>
      <c r="I49" s="60">
        <v>9.81</v>
      </c>
      <c r="J49" s="60">
        <v>3.20</v>
      </c>
      <c r="K49" s="60">
        <v>311.80</v>
      </c>
      <c r="L49" s="60">
        <v>54.72</v>
      </c>
      <c r="M49" s="60">
        <v>22.45</v>
      </c>
      <c r="N49" s="60">
        <v>879.60</v>
      </c>
      <c r="O49" s="60">
        <v>0</v>
      </c>
      <c r="P49" s="60">
        <v>2.19</v>
      </c>
      <c r="Q49" s="60">
        <v>80.88</v>
      </c>
      <c r="R49" s="198"/>
      <c r="S49" s="198"/>
      <c r="T49" s="198"/>
      <c r="U49" s="198"/>
    </row>
    <row r="50" spans="1:21" s="12" customFormat="1" ht="15">
      <c r="A50" s="201" t="s">
        <v>1054</v>
      </c>
      <c r="B50" s="60">
        <v>1.63</v>
      </c>
      <c r="C50" s="60">
        <v>39.159999999999997</v>
      </c>
      <c r="D50" s="60">
        <v>40.79</v>
      </c>
      <c r="E50" s="60">
        <v>4.91</v>
      </c>
      <c r="F50" s="60">
        <v>3.53</v>
      </c>
      <c r="G50" s="60">
        <v>143.63999999999999</v>
      </c>
      <c r="H50" s="60">
        <v>45.80</v>
      </c>
      <c r="I50" s="60">
        <v>9</v>
      </c>
      <c r="J50" s="60">
        <v>3.53</v>
      </c>
      <c r="K50" s="60">
        <v>311.19</v>
      </c>
      <c r="L50" s="60">
        <v>52.70</v>
      </c>
      <c r="M50" s="60">
        <v>22.04</v>
      </c>
      <c r="N50" s="60">
        <v>915.90</v>
      </c>
      <c r="O50" s="60">
        <v>0</v>
      </c>
      <c r="P50" s="60">
        <v>2.14</v>
      </c>
      <c r="Q50" s="60">
        <v>80.040000000000006</v>
      </c>
      <c r="R50" s="198"/>
      <c r="S50" s="198"/>
      <c r="T50" s="198"/>
      <c r="U50" s="198"/>
    </row>
    <row r="51" spans="1:21" s="12" customFormat="1" ht="15">
      <c r="A51" s="201" t="s">
        <v>1055</v>
      </c>
      <c r="B51" s="60">
        <v>1.98</v>
      </c>
      <c r="C51" s="60">
        <v>39.08</v>
      </c>
      <c r="D51" s="60">
        <v>41.06</v>
      </c>
      <c r="E51" s="60">
        <v>4.99</v>
      </c>
      <c r="F51" s="60">
        <v>3.52</v>
      </c>
      <c r="G51" s="60">
        <v>143.63999999999999</v>
      </c>
      <c r="H51" s="60">
        <v>45.93</v>
      </c>
      <c r="I51" s="60">
        <v>8.26</v>
      </c>
      <c r="J51" s="60">
        <v>2.61</v>
      </c>
      <c r="K51" s="60">
        <v>325.83</v>
      </c>
      <c r="L51" s="60">
        <v>52.45</v>
      </c>
      <c r="M51" s="60">
        <v>21.28</v>
      </c>
      <c r="N51" s="60">
        <v>1017.40</v>
      </c>
      <c r="O51" s="60">
        <v>0</v>
      </c>
      <c r="P51" s="60">
        <v>2.11</v>
      </c>
      <c r="Q51" s="60">
        <v>77.86</v>
      </c>
      <c r="R51" s="198"/>
      <c r="S51" s="198"/>
      <c r="T51" s="198"/>
      <c r="U51" s="198"/>
    </row>
    <row r="52" spans="1:21" s="12" customFormat="1" ht="15">
      <c r="A52" s="201" t="s">
        <v>1056</v>
      </c>
      <c r="B52" s="60">
        <v>1.83</v>
      </c>
      <c r="C52" s="60">
        <v>38.96</v>
      </c>
      <c r="D52" s="60">
        <v>40.799999999999997</v>
      </c>
      <c r="E52" s="60">
        <v>2.67</v>
      </c>
      <c r="F52" s="60">
        <v>3.54</v>
      </c>
      <c r="G52" s="60">
        <v>143.63999999999999</v>
      </c>
      <c r="H52" s="60">
        <v>45.93</v>
      </c>
      <c r="I52" s="60">
        <v>7.56</v>
      </c>
      <c r="J52" s="60">
        <v>2.89</v>
      </c>
      <c r="K52" s="60">
        <v>320.43</v>
      </c>
      <c r="L52" s="60">
        <v>53.52</v>
      </c>
      <c r="M52" s="60">
        <v>21.44</v>
      </c>
      <c r="N52" s="60">
        <v>892</v>
      </c>
      <c r="O52" s="60">
        <v>0</v>
      </c>
      <c r="P52" s="60">
        <v>2.08</v>
      </c>
      <c r="Q52" s="60">
        <v>76.680000000000007</v>
      </c>
      <c r="R52" s="198"/>
      <c r="S52" s="198"/>
      <c r="T52" s="198"/>
      <c r="U52" s="198"/>
    </row>
    <row r="53" spans="1:21" s="12" customFormat="1" ht="15">
      <c r="A53" s="201" t="s">
        <v>1057</v>
      </c>
      <c r="B53" s="60">
        <v>1.75</v>
      </c>
      <c r="C53" s="60">
        <v>38.17</v>
      </c>
      <c r="D53" s="60">
        <v>39.93</v>
      </c>
      <c r="E53" s="60">
        <v>4.8899999999999997</v>
      </c>
      <c r="F53" s="60">
        <v>2.88</v>
      </c>
      <c r="G53" s="60">
        <v>143.63999999999999</v>
      </c>
      <c r="H53" s="60">
        <v>45.93</v>
      </c>
      <c r="I53" s="60">
        <v>7.05</v>
      </c>
      <c r="J53" s="60">
        <v>2.5099999999999998</v>
      </c>
      <c r="K53" s="60">
        <v>336.91</v>
      </c>
      <c r="L53" s="60">
        <v>52.83</v>
      </c>
      <c r="M53" s="60">
        <v>20.60</v>
      </c>
      <c r="N53" s="60">
        <v>912.10</v>
      </c>
      <c r="O53" s="60">
        <v>0</v>
      </c>
      <c r="P53" s="60">
        <v>2.06</v>
      </c>
      <c r="Q53" s="60">
        <v>72.849999999999994</v>
      </c>
      <c r="R53" s="198"/>
      <c r="S53" s="198"/>
      <c r="T53" s="198"/>
      <c r="U53" s="198"/>
    </row>
    <row r="54" spans="1:21" s="12" customFormat="1" ht="15">
      <c r="A54" s="201" t="s">
        <v>1058</v>
      </c>
      <c r="B54" s="60">
        <v>1.91</v>
      </c>
      <c r="C54" s="60">
        <v>39.83</v>
      </c>
      <c r="D54" s="60">
        <v>41.74</v>
      </c>
      <c r="E54" s="60">
        <v>4.7699999999999996</v>
      </c>
      <c r="F54" s="60">
        <v>2.91</v>
      </c>
      <c r="G54" s="60">
        <v>120.59</v>
      </c>
      <c r="H54" s="60">
        <v>42.42</v>
      </c>
      <c r="I54" s="60">
        <v>6.70</v>
      </c>
      <c r="J54" s="60">
        <v>2.31</v>
      </c>
      <c r="K54" s="60">
        <v>319.81</v>
      </c>
      <c r="L54" s="60">
        <v>53.85</v>
      </c>
      <c r="M54" s="60">
        <v>20.59</v>
      </c>
      <c r="N54" s="60">
        <v>919</v>
      </c>
      <c r="O54" s="60">
        <v>0</v>
      </c>
      <c r="P54" s="60">
        <v>2.0299999999999998</v>
      </c>
      <c r="Q54" s="60">
        <v>65.959999999999994</v>
      </c>
      <c r="R54" s="198"/>
      <c r="S54" s="198"/>
      <c r="T54" s="198"/>
      <c r="U54" s="198"/>
    </row>
    <row r="55" spans="1:21" s="12" customFormat="1" ht="15">
      <c r="A55" s="201" t="s">
        <v>1059</v>
      </c>
      <c r="B55" s="60">
        <v>1.89</v>
      </c>
      <c r="C55" s="60">
        <v>40.92</v>
      </c>
      <c r="D55" s="60">
        <v>42.81</v>
      </c>
      <c r="E55" s="60">
        <v>4.82</v>
      </c>
      <c r="F55" s="60">
        <v>3.10</v>
      </c>
      <c r="G55" s="60">
        <v>120.59</v>
      </c>
      <c r="H55" s="60">
        <v>41.60</v>
      </c>
      <c r="I55" s="60">
        <v>6.40</v>
      </c>
      <c r="J55" s="60">
        <v>2.64</v>
      </c>
      <c r="K55" s="60">
        <v>316.64999999999998</v>
      </c>
      <c r="L55" s="60">
        <v>53.31</v>
      </c>
      <c r="M55" s="60">
        <v>20.66</v>
      </c>
      <c r="N55" s="60">
        <v>919.40</v>
      </c>
      <c r="O55" s="60">
        <v>0</v>
      </c>
      <c r="P55" s="60">
        <v>2</v>
      </c>
      <c r="Q55" s="60">
        <v>69.13</v>
      </c>
      <c r="R55" s="198"/>
      <c r="S55" s="198"/>
      <c r="T55" s="198"/>
      <c r="U55" s="198"/>
    </row>
    <row r="56" spans="1:21" s="12" customFormat="1" ht="15">
      <c r="A56" s="201" t="s">
        <v>1060</v>
      </c>
      <c r="B56" s="60">
        <v>1.5</v>
      </c>
      <c r="C56" s="60">
        <v>40.44</v>
      </c>
      <c r="D56" s="60">
        <v>41.93</v>
      </c>
      <c r="E56" s="60">
        <v>4.83</v>
      </c>
      <c r="F56" s="60">
        <v>3.59</v>
      </c>
      <c r="G56" s="60">
        <v>120.59</v>
      </c>
      <c r="H56" s="60">
        <v>41.60</v>
      </c>
      <c r="I56" s="60">
        <v>6.02</v>
      </c>
      <c r="J56" s="60">
        <v>2.0499999999999998</v>
      </c>
      <c r="K56" s="60">
        <v>328.03</v>
      </c>
      <c r="L56" s="60">
        <v>54.55</v>
      </c>
      <c r="M56" s="60">
        <v>20.46</v>
      </c>
      <c r="N56" s="60">
        <v>929</v>
      </c>
      <c r="O56" s="60">
        <v>0</v>
      </c>
      <c r="P56" s="60">
        <v>1.98</v>
      </c>
      <c r="Q56" s="60">
        <v>75.44</v>
      </c>
      <c r="R56" s="198"/>
      <c r="S56" s="198"/>
      <c r="T56" s="198"/>
      <c r="U56" s="198"/>
    </row>
    <row r="57" spans="1:21" s="12" customFormat="1" ht="15">
      <c r="A57" s="201" t="s">
        <v>1061</v>
      </c>
      <c r="B57" s="60">
        <v>1.17</v>
      </c>
      <c r="C57" s="60">
        <v>39.880000000000003</v>
      </c>
      <c r="D57" s="60">
        <v>41.05</v>
      </c>
      <c r="E57" s="60">
        <v>4.79</v>
      </c>
      <c r="F57" s="60">
        <v>4.0999999999999996</v>
      </c>
      <c r="G57" s="60">
        <v>120.59</v>
      </c>
      <c r="H57" s="60">
        <v>41.60</v>
      </c>
      <c r="I57" s="60">
        <v>5.73</v>
      </c>
      <c r="J57" s="60">
        <v>2.14</v>
      </c>
      <c r="K57" s="60">
        <v>318.83999999999997</v>
      </c>
      <c r="L57" s="60">
        <v>52.38</v>
      </c>
      <c r="M57" s="60">
        <v>20.34</v>
      </c>
      <c r="N57" s="60">
        <v>975.40</v>
      </c>
      <c r="O57" s="60">
        <v>0</v>
      </c>
      <c r="P57" s="60">
        <v>1.95</v>
      </c>
      <c r="Q57" s="60">
        <v>73.02</v>
      </c>
      <c r="R57" s="198"/>
      <c r="S57" s="198"/>
      <c r="T57" s="198"/>
      <c r="U57" s="198"/>
    </row>
    <row r="58" spans="1:21" s="12" customFormat="1" ht="15">
      <c r="A58" s="201" t="s">
        <v>1062</v>
      </c>
      <c r="B58" s="60">
        <v>1.58</v>
      </c>
      <c r="C58" s="60">
        <v>40.799999999999997</v>
      </c>
      <c r="D58" s="60">
        <v>42.38</v>
      </c>
      <c r="E58" s="60">
        <v>4.5</v>
      </c>
      <c r="F58" s="60">
        <v>3.62</v>
      </c>
      <c r="G58" s="60">
        <v>113.90</v>
      </c>
      <c r="H58" s="60">
        <v>36.840000000000003</v>
      </c>
      <c r="I58" s="60">
        <v>5.5</v>
      </c>
      <c r="J58" s="60">
        <v>1.76</v>
      </c>
      <c r="K58" s="60">
        <v>330.86</v>
      </c>
      <c r="L58" s="60">
        <v>53.10</v>
      </c>
      <c r="M58" s="60">
        <v>19.72</v>
      </c>
      <c r="N58" s="60">
        <v>980.20</v>
      </c>
      <c r="O58" s="60">
        <v>0</v>
      </c>
      <c r="P58" s="60">
        <v>1.94</v>
      </c>
      <c r="Q58" s="60">
        <v>71.64</v>
      </c>
      <c r="R58" s="198"/>
      <c r="S58" s="198"/>
      <c r="T58" s="198"/>
      <c r="U58" s="198"/>
    </row>
    <row r="59" spans="1:21" s="12" customFormat="1" ht="15">
      <c r="A59" s="201" t="s">
        <v>1063</v>
      </c>
      <c r="B59" s="60">
        <v>1.71</v>
      </c>
      <c r="C59" s="60">
        <v>41.89</v>
      </c>
      <c r="D59" s="60">
        <v>43.60</v>
      </c>
      <c r="E59" s="60">
        <v>4.83</v>
      </c>
      <c r="F59" s="60">
        <v>3.21</v>
      </c>
      <c r="G59" s="60">
        <v>113.90</v>
      </c>
      <c r="H59" s="60">
        <v>35.729999999999997</v>
      </c>
      <c r="I59" s="60">
        <v>5.24</v>
      </c>
      <c r="J59" s="60">
        <v>1.79</v>
      </c>
      <c r="K59" s="60">
        <v>321.69</v>
      </c>
      <c r="L59" s="60">
        <v>53.25</v>
      </c>
      <c r="M59" s="60">
        <v>19.34</v>
      </c>
      <c r="N59" s="60">
        <v>939.40</v>
      </c>
      <c r="O59" s="60">
        <v>0</v>
      </c>
      <c r="P59" s="60">
        <v>1.93</v>
      </c>
      <c r="Q59" s="60">
        <v>72.14</v>
      </c>
      <c r="R59" s="198"/>
      <c r="S59" s="198"/>
      <c r="T59" s="198"/>
      <c r="U59" s="198"/>
    </row>
    <row r="60" spans="1:21" s="12" customFormat="1" ht="15">
      <c r="A60" s="201" t="s">
        <v>1064</v>
      </c>
      <c r="B60" s="60">
        <v>1.57</v>
      </c>
      <c r="C60" s="60">
        <v>41.56</v>
      </c>
      <c r="D60" s="60">
        <v>43.13</v>
      </c>
      <c r="E60" s="60">
        <v>4.88</v>
      </c>
      <c r="F60" s="60">
        <v>3.17</v>
      </c>
      <c r="G60" s="60">
        <v>113.90</v>
      </c>
      <c r="H60" s="60">
        <v>35.729999999999997</v>
      </c>
      <c r="I60" s="60">
        <v>5.12</v>
      </c>
      <c r="J60" s="60">
        <v>1.41</v>
      </c>
      <c r="K60" s="60">
        <v>335.59</v>
      </c>
      <c r="L60" s="60">
        <v>53.05</v>
      </c>
      <c r="M60" s="60">
        <v>19.02</v>
      </c>
      <c r="N60" s="60">
        <v>944.5</v>
      </c>
      <c r="O60" s="60">
        <v>0</v>
      </c>
      <c r="P60" s="60">
        <v>1.92</v>
      </c>
      <c r="Q60" s="60">
        <v>73.87</v>
      </c>
      <c r="R60" s="198"/>
      <c r="S60" s="198"/>
      <c r="T60" s="198"/>
      <c r="U60" s="198"/>
    </row>
    <row r="61" spans="1:21" s="12" customFormat="1" ht="15">
      <c r="A61" s="201" t="s">
        <v>1065</v>
      </c>
      <c r="B61" s="60">
        <v>1.56</v>
      </c>
      <c r="C61" s="60">
        <v>40.60</v>
      </c>
      <c r="D61" s="60">
        <v>42.16</v>
      </c>
      <c r="E61" s="60">
        <v>5.08</v>
      </c>
      <c r="F61" s="60">
        <v>4.12</v>
      </c>
      <c r="G61" s="60">
        <v>113.90</v>
      </c>
      <c r="H61" s="60">
        <v>35.729999999999997</v>
      </c>
      <c r="I61" s="60">
        <v>4.84</v>
      </c>
      <c r="J61" s="60">
        <v>1.88</v>
      </c>
      <c r="K61" s="60">
        <v>324.51</v>
      </c>
      <c r="L61" s="60">
        <v>53.22</v>
      </c>
      <c r="M61" s="60">
        <v>19.09</v>
      </c>
      <c r="N61" s="60">
        <v>949</v>
      </c>
      <c r="O61" s="60">
        <v>0</v>
      </c>
      <c r="P61" s="60">
        <v>1.89</v>
      </c>
      <c r="Q61" s="60">
        <v>77.94</v>
      </c>
      <c r="R61" s="198"/>
      <c r="S61" s="198"/>
      <c r="T61" s="198"/>
      <c r="U61" s="198"/>
    </row>
    <row r="62" spans="1:21" s="12" customFormat="1" ht="15">
      <c r="A62" s="201" t="s">
        <v>1066</v>
      </c>
      <c r="B62" s="60">
        <v>1.20</v>
      </c>
      <c r="C62" s="60">
        <v>39.71</v>
      </c>
      <c r="D62" s="60">
        <v>40.909999999999997</v>
      </c>
      <c r="E62" s="60">
        <v>4.72</v>
      </c>
      <c r="F62" s="60">
        <v>5.53</v>
      </c>
      <c r="G62" s="60">
        <v>93.84</v>
      </c>
      <c r="H62" s="60">
        <v>34.31</v>
      </c>
      <c r="I62" s="60">
        <v>5.19</v>
      </c>
      <c r="J62" s="60">
        <v>1.94</v>
      </c>
      <c r="K62" s="60">
        <v>319.97000000000003</v>
      </c>
      <c r="L62" s="60">
        <v>52.26</v>
      </c>
      <c r="M62" s="60">
        <v>18.920000000000002</v>
      </c>
      <c r="N62" s="60">
        <v>878.20</v>
      </c>
      <c r="O62" s="60">
        <v>0</v>
      </c>
      <c r="P62" s="60">
        <v>1.86</v>
      </c>
      <c r="Q62" s="60">
        <v>75.569999999999993</v>
      </c>
      <c r="R62" s="198"/>
      <c r="S62" s="198"/>
      <c r="T62" s="198"/>
      <c r="U62" s="198"/>
    </row>
    <row r="63" spans="1:21" s="12" customFormat="1" ht="15">
      <c r="A63" s="201" t="s">
        <v>1067</v>
      </c>
      <c r="B63" s="60">
        <v>0.82</v>
      </c>
      <c r="C63" s="60">
        <v>37.76</v>
      </c>
      <c r="D63" s="60">
        <v>38.58</v>
      </c>
      <c r="E63" s="60">
        <v>4.80</v>
      </c>
      <c r="F63" s="60">
        <v>6.07</v>
      </c>
      <c r="G63" s="60">
        <v>91.09</v>
      </c>
      <c r="H63" s="60">
        <v>33.979999999999997</v>
      </c>
      <c r="I63" s="60">
        <v>5</v>
      </c>
      <c r="J63" s="60">
        <v>1.21</v>
      </c>
      <c r="K63" s="60">
        <v>316.70999999999998</v>
      </c>
      <c r="L63" s="60">
        <v>51.71</v>
      </c>
      <c r="M63" s="60">
        <v>18.66</v>
      </c>
      <c r="N63" s="60">
        <v>849.5</v>
      </c>
      <c r="O63" s="60">
        <v>0</v>
      </c>
      <c r="P63" s="60">
        <v>1.84</v>
      </c>
      <c r="Q63" s="60">
        <v>75.20</v>
      </c>
      <c r="R63" s="198"/>
      <c r="S63" s="198"/>
      <c r="T63" s="198"/>
      <c r="U63" s="198"/>
    </row>
    <row r="64" spans="1:21" s="12" customFormat="1" ht="15">
      <c r="A64" s="201" t="s">
        <v>1068</v>
      </c>
      <c r="B64" s="60">
        <v>0.59</v>
      </c>
      <c r="C64" s="60">
        <v>36.33</v>
      </c>
      <c r="D64" s="60">
        <v>36.92</v>
      </c>
      <c r="E64" s="60">
        <v>4.82</v>
      </c>
      <c r="F64" s="60">
        <v>7.10</v>
      </c>
      <c r="G64" s="60">
        <v>91.09</v>
      </c>
      <c r="H64" s="60">
        <v>33.979999999999997</v>
      </c>
      <c r="I64" s="60">
        <v>4.8600000000000003</v>
      </c>
      <c r="J64" s="60">
        <v>1.17</v>
      </c>
      <c r="K64" s="60">
        <v>323.79000000000002</v>
      </c>
      <c r="L64" s="60">
        <v>51.87</v>
      </c>
      <c r="M64" s="60">
        <v>18.559999999999999</v>
      </c>
      <c r="N64" s="60">
        <v>816.40</v>
      </c>
      <c r="O64" s="60">
        <v>0</v>
      </c>
      <c r="P64" s="60">
        <v>1.83</v>
      </c>
      <c r="Q64" s="60">
        <v>73.62</v>
      </c>
      <c r="R64" s="198"/>
      <c r="S64" s="198"/>
      <c r="T64" s="198"/>
      <c r="U64" s="198"/>
    </row>
    <row r="65" spans="1:21" s="12" customFormat="1" ht="15">
      <c r="A65" s="201" t="s">
        <v>1069</v>
      </c>
      <c r="B65" s="60">
        <v>0.56000000000000005</v>
      </c>
      <c r="C65" s="60">
        <v>35.86</v>
      </c>
      <c r="D65" s="60">
        <v>36.42</v>
      </c>
      <c r="E65" s="60">
        <v>4.4800000000000004</v>
      </c>
      <c r="F65" s="60">
        <v>6.21</v>
      </c>
      <c r="G65" s="60">
        <v>91.09</v>
      </c>
      <c r="H65" s="60">
        <v>33.979999999999997</v>
      </c>
      <c r="I65" s="60">
        <v>4.68</v>
      </c>
      <c r="J65" s="60">
        <v>1.64</v>
      </c>
      <c r="K65" s="60">
        <v>321.33</v>
      </c>
      <c r="L65" s="60">
        <v>53.46</v>
      </c>
      <c r="M65" s="60">
        <v>18.559999999999999</v>
      </c>
      <c r="N65" s="60">
        <v>782.70</v>
      </c>
      <c r="O65" s="60">
        <v>0</v>
      </c>
      <c r="P65" s="60">
        <v>1.82</v>
      </c>
      <c r="Q65" s="60">
        <v>72.30</v>
      </c>
      <c r="R65" s="198"/>
      <c r="S65" s="198"/>
      <c r="T65" s="198"/>
      <c r="U65" s="198"/>
    </row>
    <row r="66" spans="1:21" s="12" customFormat="1" ht="15">
      <c r="A66" s="201" t="s">
        <v>1070</v>
      </c>
      <c r="B66" s="60">
        <v>0.71</v>
      </c>
      <c r="C66" s="60">
        <v>34.89</v>
      </c>
      <c r="D66" s="60">
        <v>35.60</v>
      </c>
      <c r="E66" s="60">
        <v>4.63</v>
      </c>
      <c r="F66" s="60">
        <v>5.82</v>
      </c>
      <c r="G66" s="60">
        <v>100.09</v>
      </c>
      <c r="H66" s="60">
        <v>32.25</v>
      </c>
      <c r="I66" s="60">
        <v>4.43</v>
      </c>
      <c r="J66" s="60">
        <v>2.5299999999999998</v>
      </c>
      <c r="K66" s="60">
        <v>323.44</v>
      </c>
      <c r="L66" s="60">
        <v>54.19</v>
      </c>
      <c r="M66" s="60">
        <v>18.420000000000002</v>
      </c>
      <c r="N66" s="60">
        <v>757.90</v>
      </c>
      <c r="O66" s="60">
        <v>0</v>
      </c>
      <c r="P66" s="60">
        <v>1.80</v>
      </c>
      <c r="Q66" s="60">
        <v>73.53</v>
      </c>
      <c r="R66" s="198"/>
      <c r="S66" s="198"/>
      <c r="T66" s="198"/>
      <c r="U66" s="198"/>
    </row>
    <row r="67" spans="1:21" s="12" customFormat="1" ht="15">
      <c r="A67" s="201" t="s">
        <v>1071</v>
      </c>
      <c r="B67" s="60">
        <v>0.96</v>
      </c>
      <c r="C67" s="60">
        <v>34.22</v>
      </c>
      <c r="D67" s="60">
        <v>35.18</v>
      </c>
      <c r="E67" s="60">
        <v>4.49</v>
      </c>
      <c r="F67" s="60">
        <v>4.75</v>
      </c>
      <c r="G67" s="60">
        <v>100.96</v>
      </c>
      <c r="H67" s="60">
        <v>31.85</v>
      </c>
      <c r="I67" s="60">
        <v>4.24</v>
      </c>
      <c r="J67" s="60">
        <v>1.51</v>
      </c>
      <c r="K67" s="60">
        <v>341.87</v>
      </c>
      <c r="L67" s="60">
        <v>53.14</v>
      </c>
      <c r="M67" s="60">
        <v>18.010000000000002</v>
      </c>
      <c r="N67" s="60">
        <v>714.5</v>
      </c>
      <c r="O67" s="60">
        <v>0</v>
      </c>
      <c r="P67" s="60">
        <v>1.79</v>
      </c>
      <c r="Q67" s="60">
        <v>80.349999999999994</v>
      </c>
      <c r="R67" s="198"/>
      <c r="S67" s="198"/>
      <c r="T67" s="198"/>
      <c r="U67" s="198"/>
    </row>
    <row r="68" spans="1:21" s="12" customFormat="1" ht="15">
      <c r="A68" s="201" t="s">
        <v>1072</v>
      </c>
      <c r="B68" s="60">
        <v>0.96</v>
      </c>
      <c r="C68" s="60">
        <v>33.229999999999997</v>
      </c>
      <c r="D68" s="60">
        <v>34.19</v>
      </c>
      <c r="E68" s="60">
        <v>2.66</v>
      </c>
      <c r="F68" s="60">
        <v>4.82</v>
      </c>
      <c r="G68" s="60">
        <v>100.96</v>
      </c>
      <c r="H68" s="60">
        <v>31.85</v>
      </c>
      <c r="I68" s="60">
        <v>4.13</v>
      </c>
      <c r="J68" s="60">
        <v>0.57999999999999996</v>
      </c>
      <c r="K68" s="60">
        <v>297.36</v>
      </c>
      <c r="L68" s="60">
        <v>52.42</v>
      </c>
      <c r="M68" s="60">
        <v>16.75</v>
      </c>
      <c r="N68" s="60">
        <v>680.5</v>
      </c>
      <c r="O68" s="60">
        <v>0</v>
      </c>
      <c r="P68" s="60">
        <v>1.77</v>
      </c>
      <c r="Q68" s="60">
        <v>88.52</v>
      </c>
      <c r="R68" s="198"/>
      <c r="S68" s="198"/>
      <c r="T68" s="198"/>
      <c r="U68" s="198"/>
    </row>
    <row r="69" spans="1:21" s="12" customFormat="1" ht="15">
      <c r="A69" s="201" t="s">
        <v>1073</v>
      </c>
      <c r="B69" s="60">
        <v>1.02</v>
      </c>
      <c r="C69" s="60">
        <v>32.96</v>
      </c>
      <c r="D69" s="60">
        <v>33.979999999999997</v>
      </c>
      <c r="E69" s="60">
        <v>4.4800000000000004</v>
      </c>
      <c r="F69" s="60">
        <v>4.16</v>
      </c>
      <c r="G69" s="60">
        <v>100.96</v>
      </c>
      <c r="H69" s="60">
        <v>31.85</v>
      </c>
      <c r="I69" s="60">
        <v>3.99</v>
      </c>
      <c r="J69" s="60">
        <v>2.10</v>
      </c>
      <c r="K69" s="60">
        <v>324.12</v>
      </c>
      <c r="L69" s="60">
        <v>53.12</v>
      </c>
      <c r="M69" s="60">
        <v>18.059999999999999</v>
      </c>
      <c r="N69" s="60">
        <v>664.60</v>
      </c>
      <c r="O69" s="60">
        <v>0</v>
      </c>
      <c r="P69" s="60">
        <v>1.75</v>
      </c>
      <c r="Q69" s="60">
        <v>95.90</v>
      </c>
      <c r="R69" s="198"/>
      <c r="S69" s="198"/>
      <c r="T69" s="198"/>
      <c r="U69" s="198"/>
    </row>
    <row r="70" spans="1:21" s="12" customFormat="1" ht="15">
      <c r="A70" s="201" t="s">
        <v>1074</v>
      </c>
      <c r="B70" s="60">
        <v>1.59</v>
      </c>
      <c r="C70" s="60">
        <v>33.869999999999997</v>
      </c>
      <c r="D70" s="60">
        <v>35.46</v>
      </c>
      <c r="E70" s="60">
        <v>4.6500000000000004</v>
      </c>
      <c r="F70" s="60">
        <v>3.55</v>
      </c>
      <c r="G70" s="60">
        <v>100.73</v>
      </c>
      <c r="H70" s="60">
        <v>29.80</v>
      </c>
      <c r="I70" s="60">
        <v>3.82</v>
      </c>
      <c r="J70" s="60">
        <v>2.38</v>
      </c>
      <c r="K70" s="60">
        <v>322.38</v>
      </c>
      <c r="L70" s="60">
        <v>54.07</v>
      </c>
      <c r="M70" s="60">
        <v>18.21</v>
      </c>
      <c r="N70" s="60">
        <v>623.90</v>
      </c>
      <c r="O70" s="60">
        <v>0</v>
      </c>
      <c r="P70" s="60">
        <v>1.75</v>
      </c>
      <c r="Q70" s="60">
        <v>102.22</v>
      </c>
      <c r="R70" s="198"/>
      <c r="S70" s="198"/>
      <c r="T70" s="198"/>
      <c r="U70" s="198"/>
    </row>
    <row r="71" spans="1:21" s="12" customFormat="1" ht="15">
      <c r="A71" s="201" t="s">
        <v>1075</v>
      </c>
      <c r="B71" s="60">
        <v>1.66</v>
      </c>
      <c r="C71" s="60">
        <v>33.83</v>
      </c>
      <c r="D71" s="60">
        <v>35.479999999999997</v>
      </c>
      <c r="E71" s="60">
        <v>5.03</v>
      </c>
      <c r="F71" s="60">
        <v>3.25</v>
      </c>
      <c r="G71" s="60">
        <v>100.73</v>
      </c>
      <c r="H71" s="60">
        <v>29.32</v>
      </c>
      <c r="I71" s="60">
        <v>3.79</v>
      </c>
      <c r="J71" s="60">
        <v>1.33</v>
      </c>
      <c r="K71" s="60">
        <v>300.70999999999998</v>
      </c>
      <c r="L71" s="60">
        <v>55.03</v>
      </c>
      <c r="M71" s="60">
        <v>17.309999999999999</v>
      </c>
      <c r="N71" s="60">
        <v>579.40</v>
      </c>
      <c r="O71" s="60">
        <v>0</v>
      </c>
      <c r="P71" s="60">
        <v>1.76</v>
      </c>
      <c r="Q71" s="60">
        <v>81.05</v>
      </c>
      <c r="R71" s="198"/>
      <c r="S71" s="198"/>
      <c r="T71" s="198"/>
      <c r="U71" s="198"/>
    </row>
    <row r="72" spans="1:21" s="12" customFormat="1" ht="15">
      <c r="A72" s="201" t="s">
        <v>1076</v>
      </c>
      <c r="B72" s="60">
        <v>1.30</v>
      </c>
      <c r="C72" s="60">
        <v>35.04</v>
      </c>
      <c r="D72" s="60">
        <v>36.35</v>
      </c>
      <c r="E72" s="60">
        <v>4.7300000000000004</v>
      </c>
      <c r="F72" s="60">
        <v>3.12</v>
      </c>
      <c r="G72" s="60">
        <v>100.73</v>
      </c>
      <c r="H72" s="60">
        <v>29.32</v>
      </c>
      <c r="I72" s="60">
        <v>3.78</v>
      </c>
      <c r="J72" s="60">
        <v>0.57999999999999996</v>
      </c>
      <c r="K72" s="60">
        <v>315.66000000000003</v>
      </c>
      <c r="L72" s="60">
        <v>53.20</v>
      </c>
      <c r="M72" s="60">
        <v>16.52</v>
      </c>
      <c r="N72" s="60">
        <v>522.10</v>
      </c>
      <c r="O72" s="60">
        <v>0</v>
      </c>
      <c r="P72" s="60">
        <v>1.75</v>
      </c>
      <c r="Q72" s="60">
        <v>83.95</v>
      </c>
      <c r="R72" s="198"/>
      <c r="S72" s="198"/>
      <c r="T72" s="198"/>
      <c r="U72" s="198"/>
    </row>
    <row r="73" spans="1:21" s="12" customFormat="1" ht="15">
      <c r="A73" s="201" t="s">
        <v>1077</v>
      </c>
      <c r="B73" s="60">
        <v>1.08</v>
      </c>
      <c r="C73" s="60">
        <v>34.83</v>
      </c>
      <c r="D73" s="60">
        <v>35.909999999999997</v>
      </c>
      <c r="E73" s="60">
        <v>4.97</v>
      </c>
      <c r="F73" s="60">
        <v>3.77</v>
      </c>
      <c r="G73" s="60">
        <v>100.73</v>
      </c>
      <c r="H73" s="60">
        <v>29.32</v>
      </c>
      <c r="I73" s="60">
        <v>3.65</v>
      </c>
      <c r="J73" s="60">
        <v>1.63</v>
      </c>
      <c r="K73" s="60">
        <v>334.97</v>
      </c>
      <c r="L73" s="60">
        <v>52.42</v>
      </c>
      <c r="M73" s="60">
        <v>17.850000000000001</v>
      </c>
      <c r="N73" s="60">
        <v>453.70</v>
      </c>
      <c r="O73" s="60">
        <v>0</v>
      </c>
      <c r="P73" s="60">
        <v>1.74</v>
      </c>
      <c r="Q73" s="60">
        <v>87.59</v>
      </c>
      <c r="R73" s="198"/>
      <c r="S73" s="198"/>
      <c r="T73" s="198"/>
      <c r="U73" s="198"/>
    </row>
    <row r="74" spans="1:21" s="12" customFormat="1" ht="15">
      <c r="A74" s="201" t="s">
        <v>1078</v>
      </c>
      <c r="B74" s="60">
        <v>1.03</v>
      </c>
      <c r="C74" s="60">
        <v>35.14</v>
      </c>
      <c r="D74" s="60">
        <v>36.17</v>
      </c>
      <c r="E74" s="60">
        <v>5.13</v>
      </c>
      <c r="F74" s="60">
        <v>3.84</v>
      </c>
      <c r="G74" s="60">
        <v>96.86</v>
      </c>
      <c r="H74" s="60">
        <v>26.71</v>
      </c>
      <c r="I74" s="60">
        <v>3.78</v>
      </c>
      <c r="J74" s="60">
        <v>0.86</v>
      </c>
      <c r="K74" s="60">
        <v>318.80</v>
      </c>
      <c r="L74" s="60">
        <v>52.93</v>
      </c>
      <c r="M74" s="60">
        <v>16.989999999999998</v>
      </c>
      <c r="N74" s="60">
        <v>309.70</v>
      </c>
      <c r="O74" s="60">
        <v>0</v>
      </c>
      <c r="P74" s="60">
        <v>1.73</v>
      </c>
      <c r="Q74" s="60">
        <v>89.79</v>
      </c>
      <c r="R74" s="198"/>
      <c r="S74" s="198"/>
      <c r="T74" s="198"/>
      <c r="U74" s="198"/>
    </row>
    <row r="75" spans="1:21" s="12" customFormat="1" ht="15">
      <c r="A75" s="201" t="s">
        <v>1079</v>
      </c>
      <c r="B75" s="60">
        <v>1.32</v>
      </c>
      <c r="C75" s="60">
        <v>36.15</v>
      </c>
      <c r="D75" s="60">
        <v>37.47</v>
      </c>
      <c r="E75" s="60">
        <v>5</v>
      </c>
      <c r="F75" s="60">
        <v>2.90</v>
      </c>
      <c r="G75" s="60">
        <v>96.86</v>
      </c>
      <c r="H75" s="60">
        <v>26.11</v>
      </c>
      <c r="I75" s="60">
        <v>3.70</v>
      </c>
      <c r="J75" s="60">
        <v>0.92</v>
      </c>
      <c r="K75" s="60">
        <v>307.29000000000002</v>
      </c>
      <c r="L75" s="60">
        <v>52.28</v>
      </c>
      <c r="M75" s="60">
        <v>17.600000000000001</v>
      </c>
      <c r="N75" s="60">
        <v>143.80000000000001</v>
      </c>
      <c r="O75" s="60">
        <v>0</v>
      </c>
      <c r="P75" s="60">
        <v>1.74</v>
      </c>
      <c r="Q75" s="60">
        <v>94.83</v>
      </c>
      <c r="R75" s="198"/>
      <c r="S75" s="198"/>
      <c r="T75" s="198"/>
      <c r="U75" s="198"/>
    </row>
    <row r="76" spans="1:21" s="12" customFormat="1" ht="15">
      <c r="A76" s="201" t="s">
        <v>1080</v>
      </c>
      <c r="B76" s="60">
        <v>1.70</v>
      </c>
      <c r="C76" s="60">
        <v>37.33</v>
      </c>
      <c r="D76" s="60">
        <v>39.020000000000003</v>
      </c>
      <c r="E76" s="60">
        <v>4.82</v>
      </c>
      <c r="F76" s="60">
        <v>2.38</v>
      </c>
      <c r="G76" s="60">
        <v>96.86</v>
      </c>
      <c r="H76" s="60">
        <v>26.11</v>
      </c>
      <c r="I76" s="60">
        <v>3.52</v>
      </c>
      <c r="J76" s="60">
        <v>0.98</v>
      </c>
      <c r="K76" s="60">
        <v>305.64999999999998</v>
      </c>
      <c r="L76" s="60">
        <v>52.94</v>
      </c>
      <c r="M76" s="60">
        <v>17.21</v>
      </c>
      <c r="N76" s="60">
        <v>208.5</v>
      </c>
      <c r="O76" s="60">
        <v>0</v>
      </c>
      <c r="P76" s="60">
        <v>1.76</v>
      </c>
      <c r="Q76" s="60">
        <v>99.32</v>
      </c>
      <c r="R76" s="198"/>
      <c r="S76" s="198"/>
      <c r="T76" s="198"/>
      <c r="U76" s="198"/>
    </row>
    <row r="77" spans="1:21" s="12" customFormat="1" ht="15">
      <c r="A77" s="201" t="s">
        <v>1081</v>
      </c>
      <c r="B77" s="60">
        <v>2.10</v>
      </c>
      <c r="C77" s="60">
        <v>38.08</v>
      </c>
      <c r="D77" s="60">
        <v>40.19</v>
      </c>
      <c r="E77" s="60">
        <v>5.0599999999999996</v>
      </c>
      <c r="F77" s="60">
        <v>2.16</v>
      </c>
      <c r="G77" s="60">
        <v>96.86</v>
      </c>
      <c r="H77" s="60">
        <v>26.11</v>
      </c>
      <c r="I77" s="60">
        <v>3.59</v>
      </c>
      <c r="J77" s="60">
        <v>1.37</v>
      </c>
      <c r="K77" s="60">
        <v>330.35</v>
      </c>
      <c r="L77" s="60">
        <v>50.43</v>
      </c>
      <c r="M77" s="60">
        <v>18.14</v>
      </c>
      <c r="N77" s="60">
        <v>133</v>
      </c>
      <c r="O77" s="60">
        <v>0</v>
      </c>
      <c r="P77" s="60">
        <v>1.77</v>
      </c>
      <c r="Q77" s="60">
        <v>102.5</v>
      </c>
      <c r="R77" s="198"/>
      <c r="S77" s="198"/>
      <c r="T77" s="198"/>
      <c r="U77" s="198"/>
    </row>
    <row r="78" spans="1:21" s="12" customFormat="1" ht="15">
      <c r="A78" s="201" t="s">
        <v>1082</v>
      </c>
      <c r="B78" s="60">
        <v>2.87</v>
      </c>
      <c r="C78" s="60">
        <v>39.659999999999997</v>
      </c>
      <c r="D78" s="60">
        <v>42.53</v>
      </c>
      <c r="E78" s="60">
        <v>5.23</v>
      </c>
      <c r="F78" s="60">
        <v>2.0699999999999998</v>
      </c>
      <c r="G78" s="60">
        <v>88.24</v>
      </c>
      <c r="H78" s="60">
        <v>25.80</v>
      </c>
      <c r="I78" s="60">
        <v>3.72</v>
      </c>
      <c r="J78" s="60">
        <v>2.06</v>
      </c>
      <c r="K78" s="60">
        <v>315.43</v>
      </c>
      <c r="L78" s="60">
        <v>52.39</v>
      </c>
      <c r="M78" s="60">
        <v>19.46</v>
      </c>
      <c r="N78" s="60">
        <v>123.60</v>
      </c>
      <c r="O78" s="60">
        <v>0</v>
      </c>
      <c r="P78" s="60">
        <v>1.79</v>
      </c>
      <c r="Q78" s="60">
        <v>110.81</v>
      </c>
      <c r="R78" s="198"/>
      <c r="S78" s="198"/>
      <c r="T78" s="198"/>
      <c r="U78" s="198"/>
    </row>
    <row r="79" spans="1:21" s="12" customFormat="1" ht="15">
      <c r="A79" s="201" t="s">
        <v>1083</v>
      </c>
      <c r="B79" s="60">
        <v>3.71</v>
      </c>
      <c r="C79" s="60">
        <v>41.32</v>
      </c>
      <c r="D79" s="60">
        <v>45.03</v>
      </c>
      <c r="E79" s="60">
        <v>5.39</v>
      </c>
      <c r="F79" s="60">
        <v>2.3199999999999998</v>
      </c>
      <c r="G79" s="60">
        <v>88.24</v>
      </c>
      <c r="H79" s="60">
        <v>25.72</v>
      </c>
      <c r="I79" s="60">
        <v>3.97</v>
      </c>
      <c r="J79" s="60">
        <v>2.11</v>
      </c>
      <c r="K79" s="60">
        <v>315.26</v>
      </c>
      <c r="L79" s="60">
        <v>54.64</v>
      </c>
      <c r="M79" s="60">
        <v>20.98</v>
      </c>
      <c r="N79" s="60">
        <v>104.40</v>
      </c>
      <c r="O79" s="60">
        <v>0</v>
      </c>
      <c r="P79" s="60">
        <v>1.86</v>
      </c>
      <c r="Q79" s="60">
        <v>112.02</v>
      </c>
      <c r="R79" s="198"/>
      <c r="S79" s="198"/>
      <c r="T79" s="198"/>
      <c r="U79" s="198"/>
    </row>
    <row r="80" spans="1:21" s="12" customFormat="1" ht="15">
      <c r="A80" s="201" t="s">
        <v>1084</v>
      </c>
      <c r="B80" s="60">
        <v>4</v>
      </c>
      <c r="C80" s="60">
        <v>45.78</v>
      </c>
      <c r="D80" s="60">
        <v>49.78</v>
      </c>
      <c r="E80" s="60">
        <v>5.32</v>
      </c>
      <c r="F80" s="60">
        <v>3.15</v>
      </c>
      <c r="G80" s="60">
        <v>88.24</v>
      </c>
      <c r="H80" s="60">
        <v>25.72</v>
      </c>
      <c r="I80" s="60">
        <v>4.18</v>
      </c>
      <c r="J80" s="60">
        <v>2.17</v>
      </c>
      <c r="K80" s="60">
        <v>320.48</v>
      </c>
      <c r="L80" s="60">
        <v>48.88</v>
      </c>
      <c r="M80" s="60">
        <v>30.60</v>
      </c>
      <c r="N80" s="60">
        <v>80.30</v>
      </c>
      <c r="O80" s="60">
        <v>0</v>
      </c>
      <c r="P80" s="60">
        <v>1.91</v>
      </c>
      <c r="Q80" s="60">
        <v>108.69</v>
      </c>
      <c r="R80" s="198"/>
      <c r="S80" s="198"/>
      <c r="T80" s="198"/>
      <c r="U80" s="198"/>
    </row>
    <row r="81" spans="1:21" s="12" customFormat="1" ht="15">
      <c r="A81" s="201" t="s">
        <v>1085</v>
      </c>
      <c r="B81" s="60">
        <v>4.01</v>
      </c>
      <c r="C81" s="60">
        <v>48.83</v>
      </c>
      <c r="D81" s="60">
        <v>52.84</v>
      </c>
      <c r="E81" s="60">
        <v>5.05</v>
      </c>
      <c r="F81" s="60">
        <v>2.46</v>
      </c>
      <c r="G81" s="60">
        <v>88.24</v>
      </c>
      <c r="H81" s="60">
        <v>25.72</v>
      </c>
      <c r="I81" s="60">
        <v>4.3600000000000003</v>
      </c>
      <c r="J81" s="60">
        <v>2.54</v>
      </c>
      <c r="K81" s="60">
        <v>314.23</v>
      </c>
      <c r="L81" s="60">
        <v>47.32</v>
      </c>
      <c r="M81" s="60">
        <v>30.23</v>
      </c>
      <c r="N81" s="60">
        <v>84.80</v>
      </c>
      <c r="O81" s="60">
        <v>0</v>
      </c>
      <c r="P81" s="60">
        <v>1.99</v>
      </c>
      <c r="Q81" s="60">
        <v>106.23</v>
      </c>
      <c r="R81" s="198"/>
      <c r="S81" s="198"/>
      <c r="T81" s="198"/>
      <c r="U81" s="198"/>
    </row>
    <row r="82" spans="1:21" s="12" customFormat="1" ht="15">
      <c r="A82" s="201" t="s">
        <v>1086</v>
      </c>
      <c r="B82" s="60">
        <v>4.32</v>
      </c>
      <c r="C82" s="60">
        <v>49.45</v>
      </c>
      <c r="D82" s="60">
        <v>53.76</v>
      </c>
      <c r="E82" s="60">
        <v>5.22</v>
      </c>
      <c r="F82" s="60">
        <v>2.5099999999999998</v>
      </c>
      <c r="G82" s="60">
        <v>118.99</v>
      </c>
      <c r="H82" s="60">
        <v>31.55</v>
      </c>
      <c r="I82" s="60">
        <v>4.42</v>
      </c>
      <c r="J82" s="60">
        <v>3</v>
      </c>
      <c r="K82" s="60">
        <v>315.36</v>
      </c>
      <c r="L82" s="60">
        <v>46.90</v>
      </c>
      <c r="M82" s="60">
        <v>31.55</v>
      </c>
      <c r="N82" s="60">
        <v>83.5</v>
      </c>
      <c r="O82" s="60">
        <v>0</v>
      </c>
      <c r="P82" s="60">
        <v>2.04</v>
      </c>
      <c r="Q82" s="60">
        <v>104.32</v>
      </c>
      <c r="R82" s="198"/>
      <c r="S82" s="198"/>
      <c r="T82" s="198"/>
      <c r="U82" s="198"/>
    </row>
    <row r="83" spans="1:21" s="12" customFormat="1" ht="15">
      <c r="A83" s="201" t="s">
        <v>1087</v>
      </c>
      <c r="B83" s="60">
        <v>4.66</v>
      </c>
      <c r="C83" s="60">
        <v>50.16</v>
      </c>
      <c r="D83" s="60">
        <v>54.82</v>
      </c>
      <c r="E83" s="60">
        <v>5.18</v>
      </c>
      <c r="F83" s="60">
        <v>2.5099999999999998</v>
      </c>
      <c r="G83" s="60">
        <v>118.99</v>
      </c>
      <c r="H83" s="60">
        <v>32.90</v>
      </c>
      <c r="I83" s="60">
        <v>4.6399999999999997</v>
      </c>
      <c r="J83" s="60">
        <v>2.86</v>
      </c>
      <c r="K83" s="60">
        <v>314.81</v>
      </c>
      <c r="L83" s="60">
        <v>46.89</v>
      </c>
      <c r="M83" s="60">
        <v>31.82</v>
      </c>
      <c r="N83" s="60">
        <v>68.80</v>
      </c>
      <c r="O83" s="60">
        <v>0</v>
      </c>
      <c r="P83" s="60">
        <v>2.0699999999999998</v>
      </c>
      <c r="Q83" s="60">
        <v>103.90</v>
      </c>
      <c r="R83" s="198"/>
      <c r="S83" s="198"/>
      <c r="T83" s="198"/>
      <c r="U83" s="198"/>
    </row>
    <row r="84" spans="1:21" s="12" customFormat="1" ht="15">
      <c r="A84" s="201" t="s">
        <v>1088</v>
      </c>
      <c r="B84" s="60">
        <v>5.33</v>
      </c>
      <c r="C84" s="60">
        <v>50.85</v>
      </c>
      <c r="D84" s="60">
        <v>56.18</v>
      </c>
      <c r="E84" s="60">
        <v>2.40</v>
      </c>
      <c r="F84" s="60">
        <v>2.09</v>
      </c>
      <c r="G84" s="60">
        <v>118.99</v>
      </c>
      <c r="H84" s="60">
        <v>32.90</v>
      </c>
      <c r="I84" s="60">
        <v>4.82</v>
      </c>
      <c r="J84" s="60">
        <v>1.39</v>
      </c>
      <c r="K84" s="60">
        <v>299</v>
      </c>
      <c r="L84" s="60">
        <v>46.44</v>
      </c>
      <c r="M84" s="60">
        <v>31.21</v>
      </c>
      <c r="N84" s="60">
        <v>77.599999999999994</v>
      </c>
      <c r="O84" s="60">
        <v>0</v>
      </c>
      <c r="P84" s="60">
        <v>2.14</v>
      </c>
      <c r="Q84" s="60">
        <v>101.03</v>
      </c>
      <c r="R84" s="198"/>
      <c r="S84" s="198"/>
      <c r="T84" s="198"/>
      <c r="U84" s="198"/>
    </row>
    <row r="85" spans="1:21" s="12" customFormat="1" ht="15">
      <c r="A85" s="201" t="s">
        <v>1089</v>
      </c>
      <c r="B85" s="60">
        <v>8.5399999999999991</v>
      </c>
      <c r="C85" s="60">
        <v>53.51</v>
      </c>
      <c r="D85" s="60">
        <v>62.06</v>
      </c>
      <c r="E85" s="60">
        <v>4.97</v>
      </c>
      <c r="F85" s="60">
        <v>1.36</v>
      </c>
      <c r="G85" s="60">
        <v>118.99</v>
      </c>
      <c r="H85" s="60">
        <v>32.90</v>
      </c>
      <c r="I85" s="60">
        <v>5</v>
      </c>
      <c r="J85" s="60">
        <v>1.38</v>
      </c>
      <c r="K85" s="60">
        <v>286.70</v>
      </c>
      <c r="L85" s="60">
        <v>42.95</v>
      </c>
      <c r="M85" s="60">
        <v>33.68</v>
      </c>
      <c r="N85" s="60">
        <v>49.20</v>
      </c>
      <c r="O85" s="60">
        <v>0</v>
      </c>
      <c r="P85" s="60">
        <v>2.2799999999999998</v>
      </c>
      <c r="Q85" s="60">
        <v>99.45</v>
      </c>
      <c r="R85" s="198"/>
      <c r="S85" s="198"/>
      <c r="T85" s="198"/>
      <c r="U85" s="198"/>
    </row>
    <row r="86" spans="1:21" s="12" customFormat="1" ht="15">
      <c r="A86" s="201" t="s">
        <v>1090</v>
      </c>
      <c r="B86" s="60">
        <v>11.71</v>
      </c>
      <c r="C86" s="60">
        <v>56.15</v>
      </c>
      <c r="D86" s="60">
        <v>67.86</v>
      </c>
      <c r="E86" s="60">
        <v>5.20</v>
      </c>
      <c r="F86" s="60">
        <v>1.19</v>
      </c>
      <c r="G86" s="60">
        <v>117.09</v>
      </c>
      <c r="H86" s="60">
        <v>32.450000000000003</v>
      </c>
      <c r="I86" s="60">
        <v>5.25</v>
      </c>
      <c r="J86" s="60">
        <v>0.98</v>
      </c>
      <c r="K86" s="60">
        <v>266.45</v>
      </c>
      <c r="L86" s="60">
        <v>44.18</v>
      </c>
      <c r="M86" s="60">
        <v>25.88</v>
      </c>
      <c r="N86" s="60">
        <v>56</v>
      </c>
      <c r="O86" s="60">
        <v>0</v>
      </c>
      <c r="P86" s="60">
        <v>2.42</v>
      </c>
      <c r="Q86" s="60">
        <v>99.99</v>
      </c>
      <c r="R86" s="198"/>
      <c r="S86" s="198"/>
      <c r="T86" s="198"/>
      <c r="U86" s="198"/>
    </row>
    <row r="87" spans="1:21" s="12" customFormat="1" ht="15">
      <c r="A87" s="201" t="s">
        <v>1091</v>
      </c>
      <c r="B87" s="60">
        <v>12.11</v>
      </c>
      <c r="C87" s="60">
        <v>58.11</v>
      </c>
      <c r="D87" s="60">
        <v>70.22</v>
      </c>
      <c r="E87" s="60">
        <v>5.86</v>
      </c>
      <c r="F87" s="60">
        <v>1.1599999999999999</v>
      </c>
      <c r="G87" s="60">
        <v>117.09</v>
      </c>
      <c r="H87" s="60">
        <v>32.340000000000003</v>
      </c>
      <c r="I87" s="60">
        <v>5.83</v>
      </c>
      <c r="J87" s="60">
        <v>1.04</v>
      </c>
      <c r="K87" s="60">
        <v>238.90</v>
      </c>
      <c r="L87" s="60">
        <v>47.26</v>
      </c>
      <c r="M87" s="60">
        <v>19.12</v>
      </c>
      <c r="N87" s="60">
        <v>72.70</v>
      </c>
      <c r="O87" s="60">
        <v>0</v>
      </c>
      <c r="P87" s="60">
        <v>2.4900000000000002</v>
      </c>
      <c r="Q87" s="60">
        <v>101.62</v>
      </c>
      <c r="R87" s="198"/>
      <c r="S87" s="198"/>
      <c r="T87" s="198"/>
      <c r="U87" s="198"/>
    </row>
    <row r="88" spans="1:21" s="12" customFormat="1" ht="15">
      <c r="A88" s="201" t="s">
        <v>1092</v>
      </c>
      <c r="B88" s="60">
        <v>13.33</v>
      </c>
      <c r="C88" s="60">
        <v>60.36</v>
      </c>
      <c r="D88" s="60">
        <v>73.680000000000007</v>
      </c>
      <c r="E88" s="60">
        <v>5.69</v>
      </c>
      <c r="F88" s="60">
        <v>1.30</v>
      </c>
      <c r="G88" s="60">
        <v>117.09</v>
      </c>
      <c r="H88" s="60">
        <v>32.340000000000003</v>
      </c>
      <c r="I88" s="60">
        <v>6.5</v>
      </c>
      <c r="J88" s="60">
        <v>0.63</v>
      </c>
      <c r="K88" s="60">
        <v>284.99</v>
      </c>
      <c r="L88" s="60">
        <v>46.61</v>
      </c>
      <c r="M88" s="60">
        <v>19.670000000000002</v>
      </c>
      <c r="N88" s="60">
        <v>77.400000000000006</v>
      </c>
      <c r="O88" s="60">
        <v>0</v>
      </c>
      <c r="P88" s="60">
        <v>2.61</v>
      </c>
      <c r="Q88" s="60">
        <v>100.56</v>
      </c>
      <c r="R88" s="198"/>
      <c r="S88" s="198"/>
      <c r="T88" s="198"/>
      <c r="U88" s="198"/>
    </row>
    <row r="89" spans="1:21" s="12" customFormat="1" ht="15">
      <c r="A89" s="201" t="s">
        <v>1093</v>
      </c>
      <c r="B89" s="60">
        <v>12.93</v>
      </c>
      <c r="C89" s="60">
        <v>61.67</v>
      </c>
      <c r="D89" s="60">
        <v>74.59</v>
      </c>
      <c r="E89" s="60">
        <v>5.78</v>
      </c>
      <c r="F89" s="60">
        <v>1.48</v>
      </c>
      <c r="G89" s="60">
        <v>117.09</v>
      </c>
      <c r="H89" s="60">
        <v>32.340000000000003</v>
      </c>
      <c r="I89" s="60">
        <v>7.26</v>
      </c>
      <c r="J89" s="60">
        <v>0.99</v>
      </c>
      <c r="K89" s="60">
        <v>226.74</v>
      </c>
      <c r="L89" s="60">
        <v>46.48</v>
      </c>
      <c r="M89" s="60">
        <v>20.54</v>
      </c>
      <c r="N89" s="60">
        <v>31.10</v>
      </c>
      <c r="O89" s="60">
        <v>0</v>
      </c>
      <c r="P89" s="60">
        <v>2.64</v>
      </c>
      <c r="Q89" s="60">
        <v>87.73</v>
      </c>
      <c r="R89" s="198"/>
      <c r="S89" s="198"/>
      <c r="T89" s="198"/>
      <c r="U89" s="198"/>
    </row>
    <row r="90" spans="1:21" s="12" customFormat="1" ht="15">
      <c r="A90" s="201" t="s">
        <v>1094</v>
      </c>
      <c r="B90" s="60">
        <v>12.30</v>
      </c>
      <c r="C90" s="60">
        <v>61.78</v>
      </c>
      <c r="D90" s="60">
        <v>74.08</v>
      </c>
      <c r="E90" s="60">
        <v>6</v>
      </c>
      <c r="F90" s="60">
        <v>1.37</v>
      </c>
      <c r="G90" s="60">
        <v>134.65</v>
      </c>
      <c r="H90" s="60">
        <v>35.61</v>
      </c>
      <c r="I90" s="60">
        <v>8.27</v>
      </c>
      <c r="J90" s="60">
        <v>0.71</v>
      </c>
      <c r="K90" s="60">
        <v>251.90</v>
      </c>
      <c r="L90" s="60">
        <v>50.78</v>
      </c>
      <c r="M90" s="60">
        <v>21.80</v>
      </c>
      <c r="N90" s="60">
        <v>3.90</v>
      </c>
      <c r="O90" s="60">
        <v>0</v>
      </c>
      <c r="P90" s="60">
        <v>2.70</v>
      </c>
      <c r="Q90" s="60">
        <v>89.16</v>
      </c>
      <c r="R90" s="198"/>
      <c r="S90" s="198"/>
      <c r="T90" s="198"/>
      <c r="U90" s="198"/>
    </row>
    <row r="91" spans="1:21" s="12" customFormat="1" ht="15">
      <c r="A91" s="201" t="s">
        <v>1095</v>
      </c>
      <c r="B91" s="60">
        <v>12.73</v>
      </c>
      <c r="C91" s="60">
        <v>61.71</v>
      </c>
      <c r="D91" s="60">
        <v>74.44</v>
      </c>
      <c r="E91" s="60">
        <v>6.12</v>
      </c>
      <c r="F91" s="60">
        <v>1.44</v>
      </c>
      <c r="G91" s="60">
        <v>134.65</v>
      </c>
      <c r="H91" s="60">
        <v>36.369999999999997</v>
      </c>
      <c r="I91" s="60">
        <v>8.2200000000000006</v>
      </c>
      <c r="J91" s="60">
        <v>0.74</v>
      </c>
      <c r="K91" s="60">
        <v>323.52999999999997</v>
      </c>
      <c r="L91" s="60">
        <v>47.12</v>
      </c>
      <c r="M91" s="60">
        <v>22.93</v>
      </c>
      <c r="N91" s="60">
        <v>4.5999999999999996</v>
      </c>
      <c r="O91" s="60">
        <v>0</v>
      </c>
      <c r="P91" s="60">
        <v>2.76</v>
      </c>
      <c r="Q91" s="60">
        <v>93.81</v>
      </c>
      <c r="R91" s="198"/>
      <c r="S91" s="198"/>
      <c r="T91" s="198"/>
      <c r="U91" s="198"/>
    </row>
    <row r="92" spans="1:21" s="12" customFormat="1" ht="15">
      <c r="A92" s="201" t="s">
        <v>1096</v>
      </c>
      <c r="B92" s="60">
        <v>15.20</v>
      </c>
      <c r="C92" s="60">
        <v>62.24</v>
      </c>
      <c r="D92" s="60">
        <v>77.430000000000007</v>
      </c>
      <c r="E92" s="60">
        <v>6.06</v>
      </c>
      <c r="F92" s="60">
        <v>1.46</v>
      </c>
      <c r="G92" s="60">
        <v>134.65</v>
      </c>
      <c r="H92" s="60">
        <v>36.369999999999997</v>
      </c>
      <c r="I92" s="60">
        <v>8.3699999999999992</v>
      </c>
      <c r="J92" s="60">
        <v>0.59</v>
      </c>
      <c r="K92" s="60">
        <v>335.84</v>
      </c>
      <c r="L92" s="60">
        <v>47.59</v>
      </c>
      <c r="M92" s="60">
        <v>23.98</v>
      </c>
      <c r="N92" s="60">
        <v>4.80</v>
      </c>
      <c r="O92" s="60">
        <v>0</v>
      </c>
      <c r="P92" s="60">
        <v>2.85</v>
      </c>
      <c r="Q92" s="60">
        <v>95.90</v>
      </c>
      <c r="R92" s="198"/>
      <c r="S92" s="198"/>
      <c r="T92" s="198"/>
      <c r="U92" s="198"/>
    </row>
    <row r="93" spans="1:21" s="12" customFormat="1" ht="15">
      <c r="A93" s="201" t="s">
        <v>1097</v>
      </c>
      <c r="B93" s="60">
        <v>16.89</v>
      </c>
      <c r="C93" s="60">
        <v>61.90</v>
      </c>
      <c r="D93" s="60">
        <v>78.790000000000006</v>
      </c>
      <c r="E93" s="60">
        <v>6.21</v>
      </c>
      <c r="F93" s="60">
        <v>1.43</v>
      </c>
      <c r="G93" s="60">
        <v>134.65</v>
      </c>
      <c r="H93" s="60">
        <v>36.369999999999997</v>
      </c>
      <c r="I93" s="60">
        <v>8.77</v>
      </c>
      <c r="J93" s="60">
        <v>1.1100000000000001</v>
      </c>
      <c r="K93" s="60">
        <v>320.61</v>
      </c>
      <c r="L93" s="60">
        <v>46.13</v>
      </c>
      <c r="M93" s="60">
        <v>24.91</v>
      </c>
      <c r="N93" s="60">
        <v>5.5</v>
      </c>
      <c r="O93" s="60">
        <v>0</v>
      </c>
      <c r="P93" s="60">
        <v>2.88</v>
      </c>
      <c r="Q93" s="60">
        <v>94.59</v>
      </c>
      <c r="R93" s="198"/>
      <c r="S93" s="198"/>
      <c r="T93" s="198"/>
      <c r="U93" s="198"/>
    </row>
    <row r="94" spans="1:21" s="12" customFormat="1" ht="15">
      <c r="A94" s="201" t="s">
        <v>1098</v>
      </c>
      <c r="B94" s="60">
        <v>18.16</v>
      </c>
      <c r="C94" s="60">
        <v>61.27</v>
      </c>
      <c r="D94" s="60">
        <v>79.430000000000007</v>
      </c>
      <c r="E94" s="60">
        <v>6.41</v>
      </c>
      <c r="F94" s="60">
        <v>1.52</v>
      </c>
      <c r="G94" s="60">
        <v>135.69</v>
      </c>
      <c r="H94" s="60">
        <v>39.700000000000003</v>
      </c>
      <c r="I94" s="60">
        <v>9.08</v>
      </c>
      <c r="J94" s="60">
        <v>0.33</v>
      </c>
      <c r="K94" s="60">
        <v>264.41000000000003</v>
      </c>
      <c r="L94" s="60">
        <v>45.78</v>
      </c>
      <c r="M94" s="60">
        <v>24.82</v>
      </c>
      <c r="N94" s="60">
        <v>4.9000000000000004</v>
      </c>
      <c r="O94" s="60">
        <v>0</v>
      </c>
      <c r="P94" s="60">
        <v>2.92</v>
      </c>
      <c r="Q94" s="60">
        <v>97.26</v>
      </c>
      <c r="R94" s="198"/>
      <c r="S94" s="198"/>
      <c r="T94" s="198"/>
      <c r="U94" s="198"/>
    </row>
    <row r="95" spans="1:21" s="12" customFormat="1" ht="15">
      <c r="A95" s="201" t="s">
        <v>1099</v>
      </c>
      <c r="B95" s="60">
        <v>17.600000000000001</v>
      </c>
      <c r="C95" s="60">
        <v>60.02</v>
      </c>
      <c r="D95" s="60">
        <v>77.62</v>
      </c>
      <c r="E95" s="60">
        <v>6.49</v>
      </c>
      <c r="F95" s="60">
        <v>1.43</v>
      </c>
      <c r="G95" s="60">
        <v>135.69</v>
      </c>
      <c r="H95" s="60">
        <v>40.479999999999997</v>
      </c>
      <c r="I95" s="60">
        <v>9.2200000000000006</v>
      </c>
      <c r="J95" s="60">
        <v>0.60</v>
      </c>
      <c r="K95" s="60">
        <v>359.14</v>
      </c>
      <c r="L95" s="60">
        <v>45.51</v>
      </c>
      <c r="M95" s="60">
        <v>26.26</v>
      </c>
      <c r="N95" s="60">
        <v>5.5</v>
      </c>
      <c r="O95" s="60">
        <v>0</v>
      </c>
      <c r="P95" s="60">
        <v>2.88</v>
      </c>
      <c r="Q95" s="60">
        <v>93.98</v>
      </c>
      <c r="R95" s="198"/>
      <c r="S95" s="198"/>
      <c r="T95" s="198"/>
      <c r="U95" s="198"/>
    </row>
    <row r="96" spans="1:26" s="12" customFormat="1" ht="15">
      <c r="A96" s="201" t="s">
        <v>1100</v>
      </c>
      <c r="B96" s="60">
        <v>15.42</v>
      </c>
      <c r="C96" s="60">
        <v>57.66</v>
      </c>
      <c r="D96" s="60">
        <v>73.09</v>
      </c>
      <c r="E96" s="60">
        <v>6.39</v>
      </c>
      <c r="F96" s="60">
        <v>1.64</v>
      </c>
      <c r="G96" s="60">
        <v>135.69</v>
      </c>
      <c r="H96" s="60">
        <v>40.479999999999997</v>
      </c>
      <c r="I96" s="60">
        <v>9.32</v>
      </c>
      <c r="J96" s="60">
        <v>1.1100000000000001</v>
      </c>
      <c r="K96" s="60">
        <v>18.72</v>
      </c>
      <c r="L96" s="60">
        <v>45.78</v>
      </c>
      <c r="M96" s="60">
        <v>28.42</v>
      </c>
      <c r="N96" s="60">
        <v>5.80</v>
      </c>
      <c r="O96" s="60">
        <v>0</v>
      </c>
      <c r="P96" s="60">
        <v>2.81</v>
      </c>
      <c r="Q96" s="60">
        <v>95</v>
      </c>
      <c r="R96" s="198"/>
      <c r="S96" s="198"/>
      <c r="T96" s="198"/>
      <c r="U96" s="198"/>
      <c r="Z96" s="109"/>
    </row>
    <row r="97" spans="1:21" s="12" customFormat="1" ht="15">
      <c r="A97" s="201" t="s">
        <v>1101</v>
      </c>
      <c r="B97" s="60">
        <v>11.72</v>
      </c>
      <c r="C97" s="60">
        <v>56.17</v>
      </c>
      <c r="D97" s="60">
        <v>67.89</v>
      </c>
      <c r="E97" s="60">
        <v>6.49</v>
      </c>
      <c r="F97" s="60">
        <v>1.68</v>
      </c>
      <c r="G97" s="60">
        <v>135.69</v>
      </c>
      <c r="H97" s="60">
        <v>40.479999999999997</v>
      </c>
      <c r="I97" s="60">
        <v>9.23</v>
      </c>
      <c r="J97" s="60">
        <v>1.32</v>
      </c>
      <c r="K97" s="60">
        <v>350.07</v>
      </c>
      <c r="L97" s="60">
        <v>45.27</v>
      </c>
      <c r="M97" s="60">
        <v>29.96</v>
      </c>
      <c r="N97" s="60">
        <v>6.10</v>
      </c>
      <c r="O97" s="60">
        <v>0</v>
      </c>
      <c r="P97" s="60">
        <v>2.73</v>
      </c>
      <c r="Q97" s="60">
        <v>100.76</v>
      </c>
      <c r="R97" s="198"/>
      <c r="S97" s="198"/>
      <c r="T97" s="198"/>
      <c r="U97" s="198"/>
    </row>
    <row r="98" spans="1:21" s="12" customFormat="1" ht="15">
      <c r="A98" s="201" t="s">
        <v>1102</v>
      </c>
      <c r="B98" s="60">
        <v>8.73</v>
      </c>
      <c r="C98" s="60">
        <v>54.35</v>
      </c>
      <c r="D98" s="60">
        <v>63.09</v>
      </c>
      <c r="E98" s="60">
        <v>6.31</v>
      </c>
      <c r="F98" s="60">
        <v>1.05</v>
      </c>
      <c r="G98" s="60">
        <v>137.44</v>
      </c>
      <c r="H98" s="60">
        <v>35.840000000000003</v>
      </c>
      <c r="I98" s="60">
        <v>8.92</v>
      </c>
      <c r="J98" s="60">
        <v>1.98</v>
      </c>
      <c r="K98" s="60">
        <v>326.70</v>
      </c>
      <c r="L98" s="60">
        <v>44.03</v>
      </c>
      <c r="M98" s="60">
        <v>29.51</v>
      </c>
      <c r="N98" s="60">
        <v>5.60</v>
      </c>
      <c r="O98" s="60">
        <v>0</v>
      </c>
      <c r="P98" s="60">
        <v>2.68</v>
      </c>
      <c r="Q98" s="60">
        <v>98.25</v>
      </c>
      <c r="R98" s="198"/>
      <c r="S98" s="198"/>
      <c r="T98" s="198"/>
      <c r="U98" s="198"/>
    </row>
    <row r="99" spans="1:21" s="12" customFormat="1" ht="15">
      <c r="A99" s="201" t="s">
        <v>1103</v>
      </c>
      <c r="B99" s="60">
        <v>6.14</v>
      </c>
      <c r="C99" s="60">
        <v>51.60</v>
      </c>
      <c r="D99" s="60">
        <v>57.75</v>
      </c>
      <c r="E99" s="60">
        <v>5.98</v>
      </c>
      <c r="F99" s="60">
        <v>1.19</v>
      </c>
      <c r="G99" s="60">
        <v>137.56</v>
      </c>
      <c r="H99" s="60">
        <v>34.76</v>
      </c>
      <c r="I99" s="60">
        <v>8.7200000000000006</v>
      </c>
      <c r="J99" s="60">
        <v>1.49</v>
      </c>
      <c r="K99" s="60">
        <v>346.20</v>
      </c>
      <c r="L99" s="60">
        <v>43.54</v>
      </c>
      <c r="M99" s="60">
        <v>29.17</v>
      </c>
      <c r="N99" s="60">
        <v>6.70</v>
      </c>
      <c r="O99" s="60">
        <v>0</v>
      </c>
      <c r="P99" s="60">
        <v>2.57</v>
      </c>
      <c r="Q99" s="60">
        <v>95.12</v>
      </c>
      <c r="R99" s="198"/>
      <c r="S99" s="198"/>
      <c r="T99" s="198"/>
      <c r="U99" s="198"/>
    </row>
    <row r="100" spans="1:33" s="12" customFormat="1" ht="15">
      <c r="A100" s="201" t="s">
        <v>1104</v>
      </c>
      <c r="B100" s="60">
        <v>4.18</v>
      </c>
      <c r="C100" s="60">
        <v>48.56</v>
      </c>
      <c r="D100" s="60">
        <v>52.74</v>
      </c>
      <c r="E100" s="60">
        <v>2.68</v>
      </c>
      <c r="F100" s="60">
        <v>1.35</v>
      </c>
      <c r="G100" s="60">
        <v>137.56</v>
      </c>
      <c r="H100" s="60">
        <v>34.76</v>
      </c>
      <c r="I100" s="60">
        <v>8.6999999999999993</v>
      </c>
      <c r="J100" s="60">
        <v>1.83</v>
      </c>
      <c r="K100" s="60">
        <v>328.61</v>
      </c>
      <c r="L100" s="60">
        <v>43.61</v>
      </c>
      <c r="M100" s="60">
        <v>30</v>
      </c>
      <c r="N100" s="60">
        <v>7.20</v>
      </c>
      <c r="O100" s="60">
        <v>0</v>
      </c>
      <c r="P100" s="60">
        <v>2.4700000000000002</v>
      </c>
      <c r="Q100" s="60">
        <v>92.12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1105</v>
      </c>
      <c r="B101" s="60">
        <v>3.27</v>
      </c>
      <c r="C101" s="60">
        <v>45.32</v>
      </c>
      <c r="D101" s="60">
        <v>48.59</v>
      </c>
      <c r="E101" s="60">
        <v>5.0599999999999996</v>
      </c>
      <c r="F101" s="60">
        <v>1.48</v>
      </c>
      <c r="G101" s="60">
        <v>137.56</v>
      </c>
      <c r="H101" s="60">
        <v>34.76</v>
      </c>
      <c r="I101" s="60">
        <v>8.2100000000000009</v>
      </c>
      <c r="J101" s="60">
        <v>1.71</v>
      </c>
      <c r="K101" s="60">
        <v>330.76</v>
      </c>
      <c r="L101" s="60">
        <v>43.07</v>
      </c>
      <c r="M101" s="60">
        <v>30.48</v>
      </c>
      <c r="N101" s="60">
        <v>7.40</v>
      </c>
      <c r="O101" s="60">
        <v>0</v>
      </c>
      <c r="P101" s="60">
        <v>2.36</v>
      </c>
      <c r="Q101" s="60">
        <v>88.27</v>
      </c>
      <c r="R101" s="198"/>
      <c r="S101" s="198"/>
      <c r="T101" s="198"/>
      <c r="U101" s="198"/>
    </row>
    <row r="102" spans="1:21" s="12" customFormat="1" ht="15">
      <c r="A102" s="201" t="s">
        <v>1106</v>
      </c>
      <c r="B102" s="60">
        <v>3.26</v>
      </c>
      <c r="C102" s="60">
        <v>42.77</v>
      </c>
      <c r="D102" s="60">
        <v>46.03</v>
      </c>
      <c r="E102" s="60">
        <v>5.16</v>
      </c>
      <c r="F102" s="60">
        <v>1.40</v>
      </c>
      <c r="G102" s="60">
        <v>119.37</v>
      </c>
      <c r="H102" s="60">
        <v>36.03</v>
      </c>
      <c r="I102" s="60">
        <v>7.57</v>
      </c>
      <c r="J102" s="60">
        <v>1.32</v>
      </c>
      <c r="K102" s="60">
        <v>354.74</v>
      </c>
      <c r="L102" s="60">
        <v>44.16</v>
      </c>
      <c r="M102" s="60">
        <v>30.74</v>
      </c>
      <c r="N102" s="60">
        <v>8.1999999999999993</v>
      </c>
      <c r="O102" s="60">
        <v>0</v>
      </c>
      <c r="P102" s="60">
        <v>2.2799999999999998</v>
      </c>
      <c r="Q102" s="60">
        <v>87.76</v>
      </c>
      <c r="R102" s="198"/>
      <c r="S102" s="198"/>
      <c r="T102" s="198"/>
      <c r="U102" s="198"/>
    </row>
    <row r="103" spans="1:21" s="12" customFormat="1" ht="15">
      <c r="A103" s="201" t="s">
        <v>1107</v>
      </c>
      <c r="B103" s="60">
        <v>2.96</v>
      </c>
      <c r="C103" s="60">
        <v>40.880000000000003</v>
      </c>
      <c r="D103" s="60">
        <v>43.84</v>
      </c>
      <c r="E103" s="60">
        <v>5.18</v>
      </c>
      <c r="F103" s="60">
        <v>1.32</v>
      </c>
      <c r="G103" s="60">
        <v>119.37</v>
      </c>
      <c r="H103" s="60">
        <v>36.299999999999997</v>
      </c>
      <c r="I103" s="60">
        <v>7.04</v>
      </c>
      <c r="J103" s="60">
        <v>1.39</v>
      </c>
      <c r="K103" s="60">
        <v>332.46</v>
      </c>
      <c r="L103" s="60">
        <v>44.83</v>
      </c>
      <c r="M103" s="60">
        <v>31.61</v>
      </c>
      <c r="N103" s="60">
        <v>8.40</v>
      </c>
      <c r="O103" s="60">
        <v>0</v>
      </c>
      <c r="P103" s="60">
        <v>2.21</v>
      </c>
      <c r="Q103" s="60">
        <v>87.33</v>
      </c>
      <c r="R103" s="198"/>
      <c r="S103" s="198"/>
      <c r="T103" s="198"/>
      <c r="U103" s="198"/>
    </row>
    <row r="104" spans="1:21" s="12" customFormat="1" ht="15">
      <c r="A104" s="201" t="s">
        <v>1108</v>
      </c>
      <c r="B104" s="60">
        <v>2.56</v>
      </c>
      <c r="C104" s="60">
        <v>39.26</v>
      </c>
      <c r="D104" s="60">
        <v>41.82</v>
      </c>
      <c r="E104" s="60">
        <v>5.36</v>
      </c>
      <c r="F104" s="60">
        <v>1.1299999999999999</v>
      </c>
      <c r="G104" s="60">
        <v>119.37</v>
      </c>
      <c r="H104" s="60">
        <v>36.299999999999997</v>
      </c>
      <c r="I104" s="60">
        <v>6.65</v>
      </c>
      <c r="J104" s="60">
        <v>1.58</v>
      </c>
      <c r="K104" s="60">
        <v>335.09</v>
      </c>
      <c r="L104" s="60">
        <v>44.58</v>
      </c>
      <c r="M104" s="60">
        <v>32.590000000000003</v>
      </c>
      <c r="N104" s="60">
        <v>8.5</v>
      </c>
      <c r="O104" s="60">
        <v>0</v>
      </c>
      <c r="P104" s="60">
        <v>2.17</v>
      </c>
      <c r="Q104" s="60">
        <v>87.20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0.56000000000000005</v>
      </c>
      <c r="C106" s="67">
        <f>MIN(C9:C104)</f>
        <v>32.960000000000001</v>
      </c>
      <c r="D106" s="67">
        <f t="shared" si="0" ref="D106:Q106">MIN(D9:D104)</f>
        <v>33.979999999999997</v>
      </c>
      <c r="E106" s="67">
        <f t="shared" si="0"/>
        <v>2.3999999999999999</v>
      </c>
      <c r="F106" s="67">
        <f t="shared" si="0"/>
        <v>0.059999999999999998</v>
      </c>
      <c r="G106" s="67">
        <f t="shared" si="0"/>
        <v>88.239999999999995</v>
      </c>
      <c r="H106" s="67">
        <f t="shared" si="0"/>
        <v>25.719999999999999</v>
      </c>
      <c r="I106" s="67">
        <f t="shared" si="0"/>
        <v>3.52</v>
      </c>
      <c r="J106" s="67">
        <f t="shared" si="0"/>
        <v>0.080000000000000002</v>
      </c>
      <c r="K106" s="67">
        <f t="shared" si="0"/>
        <v>2.0499999999999998</v>
      </c>
      <c r="L106" s="67">
        <f t="shared" si="0"/>
        <v>33.840000000000003</v>
      </c>
      <c r="M106" s="67">
        <f t="shared" si="0"/>
        <v>16.52</v>
      </c>
      <c r="N106" s="67">
        <f t="shared" si="0"/>
        <v>0.29999999999999999</v>
      </c>
      <c r="O106" s="67">
        <f t="shared" si="0"/>
        <v>0</v>
      </c>
      <c r="P106" s="67">
        <f t="shared" si="0"/>
        <v>1.73</v>
      </c>
      <c r="Q106" s="67">
        <f t="shared" si="0"/>
        <v>65.959999999999994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206.03999999999999</v>
      </c>
      <c r="C107" s="66">
        <f t="shared" si="1" ref="C107:Q107">MAX(C9:C104)</f>
        <v>62.719999999999999</v>
      </c>
      <c r="D107" s="66">
        <f t="shared" si="1"/>
        <v>268.75999999999999</v>
      </c>
      <c r="E107" s="66">
        <f t="shared" si="1"/>
        <v>9.1199999999999992</v>
      </c>
      <c r="F107" s="66">
        <f t="shared" si="1"/>
        <v>7.0999999999999996</v>
      </c>
      <c r="G107" s="66">
        <f t="shared" si="1"/>
        <v>397.43000000000001</v>
      </c>
      <c r="H107" s="66">
        <f t="shared" si="1"/>
        <v>90.870000000000005</v>
      </c>
      <c r="I107" s="66">
        <f t="shared" si="1"/>
        <v>28.829999999999998</v>
      </c>
      <c r="J107" s="66">
        <f t="shared" si="1"/>
        <v>3.5299999999999998</v>
      </c>
      <c r="K107" s="66">
        <f t="shared" si="1"/>
        <v>359.13999999999999</v>
      </c>
      <c r="L107" s="66">
        <f t="shared" si="1"/>
        <v>59.310000000000002</v>
      </c>
      <c r="M107" s="66">
        <f t="shared" si="1"/>
        <v>36.520000000000003</v>
      </c>
      <c r="N107" s="66">
        <f t="shared" si="1"/>
        <v>1017.4</v>
      </c>
      <c r="O107" s="66">
        <f t="shared" si="1"/>
        <v>0</v>
      </c>
      <c r="P107" s="66">
        <f t="shared" si="1"/>
        <v>6.0800000000000001</v>
      </c>
      <c r="Q107" s="66">
        <f t="shared" si="1"/>
        <v>208.05000000000001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22.297083333333333</v>
      </c>
      <c r="C108" s="67">
        <f t="shared" si="2" ref="C108:Q108">AVERAGE(C9:C104)</f>
        <v>44.100104166666675</v>
      </c>
      <c r="D108" s="67">
        <f t="shared" si="2"/>
        <v>66.397499999999994</v>
      </c>
      <c r="E108" s="67">
        <f t="shared" si="2"/>
        <v>5.9170833333333315</v>
      </c>
      <c r="F108" s="67">
        <f t="shared" si="2"/>
        <v>2.0355789473684212</v>
      </c>
      <c r="G108" s="67">
        <f t="shared" si="2"/>
        <v>129.66739583333333</v>
      </c>
      <c r="H108" s="67">
        <f t="shared" si="2"/>
        <v>43.055104166666688</v>
      </c>
      <c r="I108" s="67">
        <f t="shared" si="2"/>
        <v>9.8393750000000022</v>
      </c>
      <c r="J108" s="67">
        <f t="shared" si="2"/>
        <v>1.2656249999999996</v>
      </c>
      <c r="K108" s="67">
        <f t="shared" si="2"/>
        <v>265.16250000000008</v>
      </c>
      <c r="L108" s="67">
        <f t="shared" si="2"/>
        <v>47.020833333333336</v>
      </c>
      <c r="M108" s="67">
        <f t="shared" si="2"/>
        <v>26.572291666666672</v>
      </c>
      <c r="N108" s="67">
        <f t="shared" si="2"/>
        <v>340.78850574712652</v>
      </c>
      <c r="O108" s="67">
        <f t="shared" si="2"/>
        <v>0</v>
      </c>
      <c r="P108" s="67">
        <f t="shared" si="2"/>
        <v>2.5232291666666664</v>
      </c>
      <c r="Q108" s="67">
        <f t="shared" si="2"/>
        <v>100.28604166666669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41.555799187843228</v>
      </c>
      <c r="C109" s="67">
        <f t="shared" si="3" ref="C109:Q109">STDEV(C9:C104)</f>
        <v>8.6381904165887224</v>
      </c>
      <c r="D109" s="67">
        <f t="shared" si="3"/>
        <v>45.658100197929933</v>
      </c>
      <c r="E109" s="67">
        <f t="shared" si="3"/>
        <v>1.484040655328108</v>
      </c>
      <c r="F109" s="67">
        <f t="shared" si="3"/>
        <v>1.6251937467408892</v>
      </c>
      <c r="G109" s="67">
        <f t="shared" si="3"/>
        <v>48.841649121793566</v>
      </c>
      <c r="H109" s="67">
        <f t="shared" si="3"/>
        <v>14.263810149782325</v>
      </c>
      <c r="I109" s="67">
        <f t="shared" si="3"/>
        <v>6.2362079929696819</v>
      </c>
      <c r="J109" s="67">
        <f t="shared" si="3"/>
        <v>0.82058106819112309</v>
      </c>
      <c r="K109" s="67">
        <f t="shared" si="3"/>
        <v>107.28156180424422</v>
      </c>
      <c r="L109" s="67">
        <f t="shared" si="3"/>
        <v>5.9075572771202367</v>
      </c>
      <c r="M109" s="67">
        <f t="shared" si="3"/>
        <v>6.2698400011763002</v>
      </c>
      <c r="N109" s="67">
        <f t="shared" si="3"/>
        <v>369.93112823036097</v>
      </c>
      <c r="O109" s="67">
        <f t="shared" si="3"/>
        <v>0</v>
      </c>
      <c r="P109" s="67">
        <f t="shared" si="3"/>
        <v>0.86873591746758483</v>
      </c>
      <c r="Q109" s="67">
        <f t="shared" si="3"/>
        <v>26.634788706310832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87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f35f48-c709-45e5-9660-c57611694aca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10-06-2022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1110</v>
      </c>
      <c r="B9" s="60">
        <v>2.2599999999999998</v>
      </c>
      <c r="C9" s="60">
        <v>38.19</v>
      </c>
      <c r="D9" s="60">
        <v>40.450000000000003</v>
      </c>
      <c r="E9" s="60">
        <v>4.82</v>
      </c>
      <c r="F9" s="60">
        <v>1.08</v>
      </c>
      <c r="G9" s="60">
        <v>119.37</v>
      </c>
      <c r="H9" s="60">
        <v>36.299999999999997</v>
      </c>
      <c r="I9" s="60">
        <v>6.37</v>
      </c>
      <c r="J9" s="60">
        <v>0.41</v>
      </c>
      <c r="K9" s="60">
        <v>348.23</v>
      </c>
      <c r="L9" s="60">
        <v>44.95</v>
      </c>
      <c r="M9" s="60">
        <v>31.79</v>
      </c>
      <c r="N9" s="60">
        <v>8.8000000000000007</v>
      </c>
      <c r="O9" s="60">
        <v>0</v>
      </c>
      <c r="P9" s="60">
        <v>2.12</v>
      </c>
      <c r="Q9" s="60">
        <v>84.49</v>
      </c>
      <c r="R9" s="198"/>
      <c r="S9" s="198"/>
      <c r="T9" s="198"/>
      <c r="U9" s="198"/>
    </row>
    <row r="10" spans="1:21" s="12" customFormat="1" ht="15">
      <c r="A10" s="201" t="s">
        <v>1111</v>
      </c>
      <c r="B10" s="60">
        <v>2.09</v>
      </c>
      <c r="C10" s="60">
        <v>36.619999999999997</v>
      </c>
      <c r="D10" s="60">
        <v>38.71</v>
      </c>
      <c r="E10" s="60">
        <v>5.22</v>
      </c>
      <c r="F10" s="60">
        <v>1.23</v>
      </c>
      <c r="G10" s="60">
        <v>104.85</v>
      </c>
      <c r="H10" s="60">
        <v>34.130000000000003</v>
      </c>
      <c r="I10" s="60">
        <v>6.12</v>
      </c>
      <c r="J10" s="60">
        <v>0.85</v>
      </c>
      <c r="K10" s="60">
        <v>328.60</v>
      </c>
      <c r="L10" s="60">
        <v>43.36</v>
      </c>
      <c r="M10" s="60">
        <v>33.58</v>
      </c>
      <c r="N10" s="60">
        <v>9.1999999999999993</v>
      </c>
      <c r="O10" s="60">
        <v>0</v>
      </c>
      <c r="P10" s="60">
        <v>2.10</v>
      </c>
      <c r="Q10" s="60">
        <v>80.16</v>
      </c>
      <c r="R10" s="198"/>
      <c r="S10" s="198"/>
      <c r="T10" s="198"/>
      <c r="U10" s="198"/>
    </row>
    <row r="11" spans="1:21" s="12" customFormat="1" ht="15">
      <c r="A11" s="201" t="s">
        <v>1112</v>
      </c>
      <c r="B11" s="60">
        <v>2.08</v>
      </c>
      <c r="C11" s="60">
        <v>36.32</v>
      </c>
      <c r="D11" s="60">
        <v>38.40</v>
      </c>
      <c r="E11" s="60">
        <v>5.67</v>
      </c>
      <c r="F11" s="60">
        <v>1.19</v>
      </c>
      <c r="G11" s="60">
        <v>104.85</v>
      </c>
      <c r="H11" s="60">
        <v>33.659999999999997</v>
      </c>
      <c r="I11" s="60">
        <v>5.92</v>
      </c>
      <c r="J11" s="60">
        <v>0.18</v>
      </c>
      <c r="K11" s="60">
        <v>270.51</v>
      </c>
      <c r="L11" s="60">
        <v>43.99</v>
      </c>
      <c r="M11" s="60">
        <v>33.06</v>
      </c>
      <c r="N11" s="60">
        <v>9.10</v>
      </c>
      <c r="O11" s="60">
        <v>0</v>
      </c>
      <c r="P11" s="60">
        <v>2.09</v>
      </c>
      <c r="Q11" s="60">
        <v>65.709999999999994</v>
      </c>
      <c r="R11" s="198"/>
      <c r="S11" s="198"/>
      <c r="T11" s="198"/>
      <c r="U11" s="198"/>
    </row>
    <row r="12" spans="1:21" s="12" customFormat="1" ht="15">
      <c r="A12" s="201" t="s">
        <v>1113</v>
      </c>
      <c r="B12" s="60">
        <v>2.13</v>
      </c>
      <c r="C12" s="60">
        <v>35.97</v>
      </c>
      <c r="D12" s="60">
        <v>38.10</v>
      </c>
      <c r="E12" s="60">
        <v>5.74</v>
      </c>
      <c r="F12" s="60">
        <v>0.90</v>
      </c>
      <c r="G12" s="60">
        <v>104.85</v>
      </c>
      <c r="H12" s="60">
        <v>33.659999999999997</v>
      </c>
      <c r="I12" s="60">
        <v>5.80</v>
      </c>
      <c r="J12" s="60">
        <v>0.25</v>
      </c>
      <c r="K12" s="60">
        <v>251.38</v>
      </c>
      <c r="L12" s="60">
        <v>44.49</v>
      </c>
      <c r="M12" s="60">
        <v>33.159999999999997</v>
      </c>
      <c r="N12" s="60">
        <v>8.6999999999999993</v>
      </c>
      <c r="O12" s="60">
        <v>0</v>
      </c>
      <c r="P12" s="60">
        <v>2.14</v>
      </c>
      <c r="Q12" s="60">
        <v>70.17</v>
      </c>
      <c r="R12" s="198"/>
      <c r="S12" s="198"/>
      <c r="T12" s="198"/>
      <c r="U12" s="198"/>
    </row>
    <row r="13" spans="1:21" s="12" customFormat="1" ht="15">
      <c r="A13" s="201" t="s">
        <v>1114</v>
      </c>
      <c r="B13" s="60">
        <v>2.11</v>
      </c>
      <c r="C13" s="60">
        <v>34.81</v>
      </c>
      <c r="D13" s="60">
        <v>36.93</v>
      </c>
      <c r="E13" s="60">
        <v>6.15</v>
      </c>
      <c r="F13" s="60">
        <v>1.01</v>
      </c>
      <c r="G13" s="60">
        <v>104.85</v>
      </c>
      <c r="H13" s="60">
        <v>33.659999999999997</v>
      </c>
      <c r="I13" s="60">
        <v>5.85</v>
      </c>
      <c r="J13" s="60">
        <v>1.35</v>
      </c>
      <c r="K13" s="60">
        <v>301.49</v>
      </c>
      <c r="L13" s="60">
        <v>44.55</v>
      </c>
      <c r="M13" s="60">
        <v>35.81</v>
      </c>
      <c r="N13" s="60">
        <v>9.60</v>
      </c>
      <c r="O13" s="60">
        <v>0</v>
      </c>
      <c r="P13" s="60">
        <v>2.15</v>
      </c>
      <c r="Q13" s="60">
        <v>76.84</v>
      </c>
      <c r="R13" s="198"/>
      <c r="S13" s="198"/>
      <c r="T13" s="198"/>
      <c r="U13" s="198"/>
    </row>
    <row r="14" spans="1:21" s="12" customFormat="1" ht="15">
      <c r="A14" s="201" t="s">
        <v>1115</v>
      </c>
      <c r="B14" s="60">
        <v>1.98</v>
      </c>
      <c r="C14" s="60">
        <v>33.520000000000003</v>
      </c>
      <c r="D14" s="60">
        <v>35.49</v>
      </c>
      <c r="E14" s="60">
        <v>5.92</v>
      </c>
      <c r="F14" s="60">
        <v>0.98</v>
      </c>
      <c r="G14" s="60">
        <v>97.10</v>
      </c>
      <c r="H14" s="60">
        <v>33.229999999999997</v>
      </c>
      <c r="I14" s="60">
        <v>6.34</v>
      </c>
      <c r="J14" s="60">
        <v>0.51</v>
      </c>
      <c r="K14" s="60">
        <v>227.41</v>
      </c>
      <c r="L14" s="60">
        <v>45.40</v>
      </c>
      <c r="M14" s="60">
        <v>34.22</v>
      </c>
      <c r="N14" s="60">
        <v>9.10</v>
      </c>
      <c r="O14" s="60">
        <v>0</v>
      </c>
      <c r="P14" s="60">
        <v>2.14</v>
      </c>
      <c r="Q14" s="60">
        <v>76.80</v>
      </c>
      <c r="R14" s="198"/>
      <c r="S14" s="198"/>
      <c r="T14" s="198"/>
      <c r="U14" s="198"/>
    </row>
    <row r="15" spans="1:21" s="12" customFormat="1" ht="15">
      <c r="A15" s="201" t="s">
        <v>1116</v>
      </c>
      <c r="B15" s="60">
        <v>1.74</v>
      </c>
      <c r="C15" s="60">
        <v>32.28</v>
      </c>
      <c r="D15" s="60">
        <v>34.020000000000003</v>
      </c>
      <c r="E15" s="60">
        <v>6.09</v>
      </c>
      <c r="F15" s="60">
        <v>1.19</v>
      </c>
      <c r="G15" s="60">
        <v>97.10</v>
      </c>
      <c r="H15" s="60">
        <v>33.130000000000003</v>
      </c>
      <c r="I15" s="60">
        <v>6.79</v>
      </c>
      <c r="J15" s="60">
        <v>0.09</v>
      </c>
      <c r="K15" s="60">
        <v>229.33</v>
      </c>
      <c r="L15" s="60">
        <v>46.52</v>
      </c>
      <c r="M15" s="60">
        <v>34.729999999999997</v>
      </c>
      <c r="N15" s="60">
        <v>9.40</v>
      </c>
      <c r="O15" s="60">
        <v>0</v>
      </c>
      <c r="P15" s="60">
        <v>2.10</v>
      </c>
      <c r="Q15" s="60">
        <v>76.760000000000005</v>
      </c>
      <c r="R15" s="198"/>
      <c r="S15" s="198"/>
      <c r="T15" s="198"/>
      <c r="U15" s="198"/>
    </row>
    <row r="16" spans="1:21" s="12" customFormat="1" ht="15">
      <c r="A16" s="201" t="s">
        <v>1117</v>
      </c>
      <c r="B16" s="60">
        <v>1.49</v>
      </c>
      <c r="C16" s="60">
        <v>31.79</v>
      </c>
      <c r="D16" s="60">
        <v>33.28</v>
      </c>
      <c r="E16" s="60">
        <v>6.13</v>
      </c>
      <c r="F16" s="60">
        <v>1.41</v>
      </c>
      <c r="G16" s="60">
        <v>97.10</v>
      </c>
      <c r="H16" s="60">
        <v>33.130000000000003</v>
      </c>
      <c r="I16" s="60">
        <v>6.81</v>
      </c>
      <c r="J16" s="60">
        <v>0.38</v>
      </c>
      <c r="K16" s="60">
        <v>17.29</v>
      </c>
      <c r="L16" s="60">
        <v>46.80</v>
      </c>
      <c r="M16" s="60">
        <v>35.770000000000003</v>
      </c>
      <c r="N16" s="60">
        <v>10.30</v>
      </c>
      <c r="O16" s="60">
        <v>0</v>
      </c>
      <c r="P16" s="60">
        <v>2.06</v>
      </c>
      <c r="Q16" s="60">
        <v>76.98</v>
      </c>
      <c r="R16" s="198"/>
      <c r="S16" s="198"/>
      <c r="T16" s="198"/>
      <c r="U16" s="198"/>
    </row>
    <row r="17" spans="1:21" s="12" customFormat="1" ht="15">
      <c r="A17" s="201" t="s">
        <v>1118</v>
      </c>
      <c r="B17" s="60">
        <v>1.33</v>
      </c>
      <c r="C17" s="60">
        <v>30.90</v>
      </c>
      <c r="D17" s="60">
        <v>32.24</v>
      </c>
      <c r="E17" s="60">
        <v>6.12</v>
      </c>
      <c r="F17" s="60">
        <v>1.29</v>
      </c>
      <c r="G17" s="60">
        <v>97.10</v>
      </c>
      <c r="H17" s="60">
        <v>33.130000000000003</v>
      </c>
      <c r="I17" s="60">
        <v>6.59</v>
      </c>
      <c r="J17" s="60">
        <v>0.18</v>
      </c>
      <c r="K17" s="60">
        <v>46.76</v>
      </c>
      <c r="L17" s="60">
        <v>46.77</v>
      </c>
      <c r="M17" s="60">
        <v>35.979999999999997</v>
      </c>
      <c r="N17" s="60">
        <v>10.70</v>
      </c>
      <c r="O17" s="60">
        <v>0</v>
      </c>
      <c r="P17" s="60">
        <v>2.0299999999999998</v>
      </c>
      <c r="Q17" s="60">
        <v>77</v>
      </c>
      <c r="R17" s="198"/>
      <c r="S17" s="198"/>
      <c r="T17" s="198"/>
      <c r="U17" s="198"/>
    </row>
    <row r="18" spans="1:21" s="12" customFormat="1" ht="15">
      <c r="A18" s="201" t="s">
        <v>1119</v>
      </c>
      <c r="B18" s="60">
        <v>1.31</v>
      </c>
      <c r="C18" s="60">
        <v>29.62</v>
      </c>
      <c r="D18" s="60">
        <v>30.93</v>
      </c>
      <c r="E18" s="60">
        <v>5.86</v>
      </c>
      <c r="F18" s="60">
        <v>1.46</v>
      </c>
      <c r="G18" s="60">
        <v>89.15</v>
      </c>
      <c r="H18" s="60">
        <v>35.409999999999997</v>
      </c>
      <c r="I18" s="60">
        <v>6.24</v>
      </c>
      <c r="J18" s="60">
        <v>0.93</v>
      </c>
      <c r="K18" s="60">
        <v>29.44</v>
      </c>
      <c r="L18" s="60">
        <v>45.81</v>
      </c>
      <c r="M18" s="60">
        <v>36.56</v>
      </c>
      <c r="N18" s="60">
        <v>11.20</v>
      </c>
      <c r="O18" s="60">
        <v>0</v>
      </c>
      <c r="P18" s="60">
        <v>1.99</v>
      </c>
      <c r="Q18" s="60">
        <v>78</v>
      </c>
      <c r="R18" s="198"/>
      <c r="S18" s="198"/>
      <c r="T18" s="198"/>
      <c r="U18" s="198"/>
    </row>
    <row r="19" spans="1:21" s="12" customFormat="1" ht="15">
      <c r="A19" s="201" t="s">
        <v>1120</v>
      </c>
      <c r="B19" s="60">
        <v>1.0900000000000001</v>
      </c>
      <c r="C19" s="60">
        <v>28.32</v>
      </c>
      <c r="D19" s="60">
        <v>29.41</v>
      </c>
      <c r="E19" s="60">
        <v>6.49</v>
      </c>
      <c r="F19" s="60">
        <v>1.60</v>
      </c>
      <c r="G19" s="60">
        <v>89.15</v>
      </c>
      <c r="H19" s="60">
        <v>35.94</v>
      </c>
      <c r="I19" s="60">
        <v>6.05</v>
      </c>
      <c r="J19" s="60">
        <v>0.74</v>
      </c>
      <c r="K19" s="60">
        <v>26.98</v>
      </c>
      <c r="L19" s="60">
        <v>45.20</v>
      </c>
      <c r="M19" s="60">
        <v>37.450000000000003</v>
      </c>
      <c r="N19" s="60">
        <v>12.40</v>
      </c>
      <c r="O19" s="60">
        <v>0</v>
      </c>
      <c r="P19" s="60">
        <v>1.96</v>
      </c>
      <c r="Q19" s="60">
        <v>83.68</v>
      </c>
      <c r="R19" s="198"/>
      <c r="S19" s="198"/>
      <c r="T19" s="198"/>
      <c r="U19" s="198"/>
    </row>
    <row r="20" spans="1:21" s="12" customFormat="1" ht="15">
      <c r="A20" s="201" t="s">
        <v>1121</v>
      </c>
      <c r="B20" s="60">
        <v>0.91</v>
      </c>
      <c r="C20" s="60">
        <v>27.04</v>
      </c>
      <c r="D20" s="60">
        <v>27.95</v>
      </c>
      <c r="E20" s="60">
        <v>3.41</v>
      </c>
      <c r="F20" s="60">
        <v>1.47</v>
      </c>
      <c r="G20" s="60">
        <v>89.15</v>
      </c>
      <c r="H20" s="60">
        <v>35.94</v>
      </c>
      <c r="I20" s="60">
        <v>5.95</v>
      </c>
      <c r="J20" s="60">
        <v>0.37</v>
      </c>
      <c r="K20" s="60">
        <v>282.49</v>
      </c>
      <c r="L20" s="60">
        <v>48.82</v>
      </c>
      <c r="M20" s="60">
        <v>37.06</v>
      </c>
      <c r="N20" s="60">
        <v>13.90</v>
      </c>
      <c r="O20" s="60">
        <v>0</v>
      </c>
      <c r="P20" s="60">
        <v>1.93</v>
      </c>
      <c r="Q20" s="60">
        <v>84.45</v>
      </c>
      <c r="R20" s="198"/>
      <c r="S20" s="198"/>
      <c r="T20" s="198"/>
      <c r="U20" s="198"/>
    </row>
    <row r="21" spans="1:21" s="12" customFormat="1" ht="15">
      <c r="A21" s="201" t="s">
        <v>1122</v>
      </c>
      <c r="B21" s="60">
        <v>0.80</v>
      </c>
      <c r="C21" s="60">
        <v>26.18</v>
      </c>
      <c r="D21" s="60">
        <v>26.98</v>
      </c>
      <c r="E21" s="60">
        <v>5.34</v>
      </c>
      <c r="F21" s="60">
        <v>1.25</v>
      </c>
      <c r="G21" s="60">
        <v>89.15</v>
      </c>
      <c r="H21" s="60">
        <v>35.94</v>
      </c>
      <c r="I21" s="60">
        <v>5.77</v>
      </c>
      <c r="J21" s="60">
        <v>0.39</v>
      </c>
      <c r="K21" s="60">
        <v>220.12</v>
      </c>
      <c r="L21" s="60">
        <v>44.96</v>
      </c>
      <c r="M21" s="60">
        <v>36.799999999999997</v>
      </c>
      <c r="N21" s="60">
        <v>28.5</v>
      </c>
      <c r="O21" s="60">
        <v>0</v>
      </c>
      <c r="P21" s="60">
        <v>1.91</v>
      </c>
      <c r="Q21" s="60">
        <v>81.37</v>
      </c>
      <c r="R21" s="198"/>
      <c r="S21" s="198"/>
      <c r="T21" s="198"/>
      <c r="U21" s="198"/>
    </row>
    <row r="22" spans="1:21" s="12" customFormat="1" ht="15">
      <c r="A22" s="201" t="s">
        <v>1123</v>
      </c>
      <c r="B22" s="60">
        <v>0.79</v>
      </c>
      <c r="C22" s="60">
        <v>25.71</v>
      </c>
      <c r="D22" s="60">
        <v>26.5</v>
      </c>
      <c r="E22" s="60">
        <v>5.46</v>
      </c>
      <c r="F22" s="60">
        <v>1.05</v>
      </c>
      <c r="G22" s="60">
        <v>79.20</v>
      </c>
      <c r="H22" s="60">
        <v>32.64</v>
      </c>
      <c r="I22" s="60">
        <v>5.53</v>
      </c>
      <c r="J22" s="60">
        <v>0.87</v>
      </c>
      <c r="K22" s="60">
        <v>220.34</v>
      </c>
      <c r="L22" s="60">
        <v>44.72</v>
      </c>
      <c r="M22" s="60">
        <v>36.869999999999997</v>
      </c>
      <c r="N22" s="60">
        <v>86.80</v>
      </c>
      <c r="O22" s="60">
        <v>0</v>
      </c>
      <c r="P22" s="60">
        <v>1.89</v>
      </c>
      <c r="Q22" s="60">
        <v>80.209999999999994</v>
      </c>
      <c r="R22" s="198"/>
      <c r="S22" s="198"/>
      <c r="T22" s="198"/>
      <c r="U22" s="198"/>
    </row>
    <row r="23" spans="1:21" s="12" customFormat="1" ht="15">
      <c r="A23" s="201" t="s">
        <v>1124</v>
      </c>
      <c r="B23" s="60">
        <v>0.81</v>
      </c>
      <c r="C23" s="60">
        <v>25.34</v>
      </c>
      <c r="D23" s="60">
        <v>26.14</v>
      </c>
      <c r="E23" s="60">
        <v>5.27</v>
      </c>
      <c r="F23" s="60">
        <v>1.1499999999999999</v>
      </c>
      <c r="G23" s="60">
        <v>77.02</v>
      </c>
      <c r="H23" s="60">
        <v>31.87</v>
      </c>
      <c r="I23" s="60">
        <v>5.33</v>
      </c>
      <c r="J23" s="60">
        <v>1.25</v>
      </c>
      <c r="K23" s="60">
        <v>229.41</v>
      </c>
      <c r="L23" s="60">
        <v>44.38</v>
      </c>
      <c r="M23" s="60">
        <v>36.770000000000003</v>
      </c>
      <c r="N23" s="60">
        <v>71.20</v>
      </c>
      <c r="O23" s="60">
        <v>0</v>
      </c>
      <c r="P23" s="60">
        <v>1.85</v>
      </c>
      <c r="Q23" s="60">
        <v>80.489999999999995</v>
      </c>
      <c r="R23" s="198"/>
      <c r="S23" s="198"/>
      <c r="T23" s="198"/>
      <c r="U23" s="198"/>
    </row>
    <row r="24" spans="1:21" s="12" customFormat="1" ht="15">
      <c r="A24" s="201" t="s">
        <v>1125</v>
      </c>
      <c r="B24" s="60">
        <v>0.79</v>
      </c>
      <c r="C24" s="60">
        <v>24.71</v>
      </c>
      <c r="D24" s="60">
        <v>25.49</v>
      </c>
      <c r="E24" s="60">
        <v>5.18</v>
      </c>
      <c r="F24" s="60">
        <v>1.36</v>
      </c>
      <c r="G24" s="60">
        <v>77.02</v>
      </c>
      <c r="H24" s="60">
        <v>31.87</v>
      </c>
      <c r="I24" s="60">
        <v>5.19</v>
      </c>
      <c r="J24" s="60">
        <v>1.28</v>
      </c>
      <c r="K24" s="60">
        <v>215.06</v>
      </c>
      <c r="L24" s="60">
        <v>44.59</v>
      </c>
      <c r="M24" s="60">
        <v>37.14</v>
      </c>
      <c r="N24" s="60">
        <v>89.5</v>
      </c>
      <c r="O24" s="60">
        <v>0</v>
      </c>
      <c r="P24" s="60">
        <v>1.82</v>
      </c>
      <c r="Q24" s="60">
        <v>79.260000000000005</v>
      </c>
      <c r="R24" s="198"/>
      <c r="S24" s="198"/>
      <c r="T24" s="198"/>
      <c r="U24" s="198"/>
    </row>
    <row r="25" spans="1:21" s="12" customFormat="1" ht="15">
      <c r="A25" s="201" t="s">
        <v>1126</v>
      </c>
      <c r="B25" s="60">
        <v>0.81</v>
      </c>
      <c r="C25" s="60">
        <v>24.07</v>
      </c>
      <c r="D25" s="60">
        <v>24.88</v>
      </c>
      <c r="E25" s="60">
        <v>5.47</v>
      </c>
      <c r="F25" s="60">
        <v>1.1100000000000001</v>
      </c>
      <c r="G25" s="60">
        <v>77.02</v>
      </c>
      <c r="H25" s="60">
        <v>31.87</v>
      </c>
      <c r="I25" s="60">
        <v>4.99</v>
      </c>
      <c r="J25" s="60">
        <v>1.18</v>
      </c>
      <c r="K25" s="60">
        <v>209.01</v>
      </c>
      <c r="L25" s="60">
        <v>43.85</v>
      </c>
      <c r="M25" s="60">
        <v>37.51</v>
      </c>
      <c r="N25" s="60">
        <v>81.30</v>
      </c>
      <c r="O25" s="60">
        <v>0</v>
      </c>
      <c r="P25" s="60">
        <v>1.81</v>
      </c>
      <c r="Q25" s="60">
        <v>79.38</v>
      </c>
      <c r="R25" s="198"/>
      <c r="S25" s="198"/>
      <c r="T25" s="198"/>
      <c r="U25" s="198"/>
    </row>
    <row r="26" spans="1:21" s="12" customFormat="1" ht="15">
      <c r="A26" s="201" t="s">
        <v>1127</v>
      </c>
      <c r="B26" s="60">
        <v>0.83</v>
      </c>
      <c r="C26" s="60">
        <v>23.67</v>
      </c>
      <c r="D26" s="60">
        <v>24.5</v>
      </c>
      <c r="E26" s="60">
        <v>5.45</v>
      </c>
      <c r="F26" s="60">
        <v>0.94</v>
      </c>
      <c r="G26" s="60">
        <v>71.38</v>
      </c>
      <c r="H26" s="60">
        <v>29.30</v>
      </c>
      <c r="I26" s="60">
        <v>4.78</v>
      </c>
      <c r="J26" s="60">
        <v>1.0900000000000001</v>
      </c>
      <c r="K26" s="60">
        <v>199.92</v>
      </c>
      <c r="L26" s="60">
        <v>43.64</v>
      </c>
      <c r="M26" s="60">
        <v>37.85</v>
      </c>
      <c r="N26" s="60">
        <v>72.30</v>
      </c>
      <c r="O26" s="60">
        <v>0</v>
      </c>
      <c r="P26" s="60">
        <v>1.79</v>
      </c>
      <c r="Q26" s="60">
        <v>78.5</v>
      </c>
      <c r="R26" s="198"/>
      <c r="S26" s="198"/>
      <c r="T26" s="198"/>
      <c r="U26" s="198"/>
    </row>
    <row r="27" spans="1:21" s="12" customFormat="1" ht="15">
      <c r="A27" s="201" t="s">
        <v>1128</v>
      </c>
      <c r="B27" s="60">
        <v>0.85</v>
      </c>
      <c r="C27" s="60">
        <v>23.56</v>
      </c>
      <c r="D27" s="60">
        <v>24.41</v>
      </c>
      <c r="E27" s="60">
        <v>5.29</v>
      </c>
      <c r="F27" s="60">
        <v>1.0900000000000001</v>
      </c>
      <c r="G27" s="60">
        <v>70.040000000000006</v>
      </c>
      <c r="H27" s="60">
        <v>28.70</v>
      </c>
      <c r="I27" s="60">
        <v>4.53</v>
      </c>
      <c r="J27" s="60">
        <v>1.54</v>
      </c>
      <c r="K27" s="60">
        <v>221.05</v>
      </c>
      <c r="L27" s="60">
        <v>43.28</v>
      </c>
      <c r="M27" s="60">
        <v>37.76</v>
      </c>
      <c r="N27" s="60">
        <v>88.80</v>
      </c>
      <c r="O27" s="60">
        <v>0</v>
      </c>
      <c r="P27" s="60">
        <v>1.77</v>
      </c>
      <c r="Q27" s="60">
        <v>78.099999999999994</v>
      </c>
      <c r="R27" s="198"/>
      <c r="S27" s="198"/>
      <c r="T27" s="198"/>
      <c r="U27" s="198"/>
    </row>
    <row r="28" spans="1:21" s="12" customFormat="1" ht="15">
      <c r="A28" s="201" t="s">
        <v>1129</v>
      </c>
      <c r="B28" s="60">
        <v>0.85</v>
      </c>
      <c r="C28" s="60">
        <v>21.25</v>
      </c>
      <c r="D28" s="60">
        <v>22.10</v>
      </c>
      <c r="E28" s="60">
        <v>5.33</v>
      </c>
      <c r="F28" s="60">
        <v>1.35</v>
      </c>
      <c r="G28" s="60">
        <v>70.040000000000006</v>
      </c>
      <c r="H28" s="60">
        <v>28.70</v>
      </c>
      <c r="I28" s="60">
        <v>4.3499999999999996</v>
      </c>
      <c r="J28" s="60">
        <v>1.33</v>
      </c>
      <c r="K28" s="60">
        <v>203.59</v>
      </c>
      <c r="L28" s="60">
        <v>42.01</v>
      </c>
      <c r="M28" s="60">
        <v>38.130000000000003</v>
      </c>
      <c r="N28" s="60">
        <v>92.5</v>
      </c>
      <c r="O28" s="60">
        <v>0</v>
      </c>
      <c r="P28" s="60">
        <v>1.76</v>
      </c>
      <c r="Q28" s="60">
        <v>68.42</v>
      </c>
      <c r="R28" s="198"/>
      <c r="S28" s="198"/>
      <c r="T28" s="198"/>
      <c r="U28" s="198"/>
    </row>
    <row r="29" spans="1:21" s="12" customFormat="1" ht="15">
      <c r="A29" s="201" t="s">
        <v>1130</v>
      </c>
      <c r="B29" s="60">
        <v>1.04</v>
      </c>
      <c r="C29" s="60">
        <v>21.74</v>
      </c>
      <c r="D29" s="60">
        <v>22.78</v>
      </c>
      <c r="E29" s="60">
        <v>5.15</v>
      </c>
      <c r="F29" s="60">
        <v>0.98</v>
      </c>
      <c r="G29" s="60">
        <v>70.040000000000006</v>
      </c>
      <c r="H29" s="60">
        <v>28.70</v>
      </c>
      <c r="I29" s="60">
        <v>4.18</v>
      </c>
      <c r="J29" s="60">
        <v>1.26</v>
      </c>
      <c r="K29" s="60">
        <v>212.94</v>
      </c>
      <c r="L29" s="60">
        <v>42.60</v>
      </c>
      <c r="M29" s="60">
        <v>38.159999999999997</v>
      </c>
      <c r="N29" s="60">
        <v>96.10</v>
      </c>
      <c r="O29" s="60">
        <v>0</v>
      </c>
      <c r="P29" s="60">
        <v>1.77</v>
      </c>
      <c r="Q29" s="60">
        <v>52.65</v>
      </c>
      <c r="R29" s="198"/>
      <c r="S29" s="198"/>
      <c r="T29" s="198"/>
      <c r="U29" s="198"/>
    </row>
    <row r="30" spans="1:21" s="12" customFormat="1" ht="15">
      <c r="A30" s="201" t="s">
        <v>1131</v>
      </c>
      <c r="B30" s="60">
        <v>1.23</v>
      </c>
      <c r="C30" s="60">
        <v>23.58</v>
      </c>
      <c r="D30" s="60">
        <v>24.81</v>
      </c>
      <c r="E30" s="60">
        <v>5.95</v>
      </c>
      <c r="F30" s="60">
        <v>0.72</v>
      </c>
      <c r="G30" s="60">
        <v>69.55</v>
      </c>
      <c r="H30" s="60">
        <v>27.97</v>
      </c>
      <c r="I30" s="60">
        <v>4.09</v>
      </c>
      <c r="J30" s="60">
        <v>1.38</v>
      </c>
      <c r="K30" s="60">
        <v>224.07</v>
      </c>
      <c r="L30" s="60">
        <v>43.96</v>
      </c>
      <c r="M30" s="60">
        <v>38.18</v>
      </c>
      <c r="N30" s="60">
        <v>101.80</v>
      </c>
      <c r="O30" s="60">
        <v>0</v>
      </c>
      <c r="P30" s="60">
        <v>1.77</v>
      </c>
      <c r="Q30" s="60">
        <v>66.70</v>
      </c>
      <c r="R30" s="198"/>
      <c r="S30" s="198"/>
      <c r="T30" s="198"/>
      <c r="U30" s="198"/>
    </row>
    <row r="31" spans="1:21" s="12" customFormat="1" ht="15">
      <c r="A31" s="201" t="s">
        <v>1132</v>
      </c>
      <c r="B31" s="60">
        <v>1.38</v>
      </c>
      <c r="C31" s="60">
        <v>24.32</v>
      </c>
      <c r="D31" s="60">
        <v>25.70</v>
      </c>
      <c r="E31" s="60">
        <v>5.64</v>
      </c>
      <c r="F31" s="60">
        <v>0.56000000000000005</v>
      </c>
      <c r="G31" s="60">
        <v>69.430000000000007</v>
      </c>
      <c r="H31" s="60">
        <v>27.80</v>
      </c>
      <c r="I31" s="60">
        <v>4.16</v>
      </c>
      <c r="J31" s="60">
        <v>0.60</v>
      </c>
      <c r="K31" s="60">
        <v>236.47</v>
      </c>
      <c r="L31" s="60">
        <v>42.63</v>
      </c>
      <c r="M31" s="60">
        <v>38.67</v>
      </c>
      <c r="N31" s="60">
        <v>81.099999999999994</v>
      </c>
      <c r="O31" s="60">
        <v>0</v>
      </c>
      <c r="P31" s="60">
        <v>1.77</v>
      </c>
      <c r="Q31" s="60">
        <v>67.45</v>
      </c>
      <c r="R31" s="198"/>
      <c r="S31" s="198"/>
      <c r="T31" s="198"/>
      <c r="U31" s="198"/>
    </row>
    <row r="32" spans="1:21" s="12" customFormat="1" ht="15">
      <c r="A32" s="201" t="s">
        <v>1133</v>
      </c>
      <c r="B32" s="60">
        <v>1.60</v>
      </c>
      <c r="C32" s="60">
        <v>24.90</v>
      </c>
      <c r="D32" s="60">
        <v>26.5</v>
      </c>
      <c r="E32" s="60">
        <v>6.23</v>
      </c>
      <c r="F32" s="60">
        <v>0.62</v>
      </c>
      <c r="G32" s="60">
        <v>69.430000000000007</v>
      </c>
      <c r="H32" s="60">
        <v>27.80</v>
      </c>
      <c r="I32" s="60">
        <v>4.1100000000000003</v>
      </c>
      <c r="J32" s="60">
        <v>0.90</v>
      </c>
      <c r="K32" s="60">
        <v>216.23</v>
      </c>
      <c r="L32" s="60">
        <v>40.75</v>
      </c>
      <c r="M32" s="60">
        <v>39.020000000000003</v>
      </c>
      <c r="N32" s="60">
        <v>119.60</v>
      </c>
      <c r="O32" s="60">
        <v>0</v>
      </c>
      <c r="P32" s="60">
        <v>1.76</v>
      </c>
      <c r="Q32" s="60">
        <v>69.150000000000006</v>
      </c>
      <c r="R32" s="198"/>
      <c r="S32" s="198"/>
      <c r="T32" s="198"/>
      <c r="U32" s="198"/>
    </row>
    <row r="33" spans="1:21" s="12" customFormat="1" ht="15">
      <c r="A33" s="201" t="s">
        <v>1134</v>
      </c>
      <c r="B33" s="60">
        <v>1.88</v>
      </c>
      <c r="C33" s="60">
        <v>25.40</v>
      </c>
      <c r="D33" s="60">
        <v>27.27</v>
      </c>
      <c r="E33" s="60">
        <v>6</v>
      </c>
      <c r="F33" s="60">
        <v>0.64</v>
      </c>
      <c r="G33" s="60">
        <v>69.430000000000007</v>
      </c>
      <c r="H33" s="60">
        <v>27.80</v>
      </c>
      <c r="I33" s="60">
        <v>4.07</v>
      </c>
      <c r="J33" s="60">
        <v>0.5</v>
      </c>
      <c r="K33" s="60">
        <v>248.88</v>
      </c>
      <c r="L33" s="60">
        <v>42.14</v>
      </c>
      <c r="M33" s="60">
        <v>39.880000000000003</v>
      </c>
      <c r="N33" s="60">
        <v>102</v>
      </c>
      <c r="O33" s="60">
        <v>0</v>
      </c>
      <c r="P33" s="60">
        <v>1.77</v>
      </c>
      <c r="Q33" s="60">
        <v>68.989999999999995</v>
      </c>
      <c r="R33" s="198"/>
      <c r="S33" s="198"/>
      <c r="T33" s="198"/>
      <c r="U33" s="198"/>
    </row>
    <row r="34" spans="1:21" s="12" customFormat="1" ht="15">
      <c r="A34" s="201" t="s">
        <v>1135</v>
      </c>
      <c r="B34" s="60">
        <v>2.14</v>
      </c>
      <c r="C34" s="60">
        <v>26.44</v>
      </c>
      <c r="D34" s="60">
        <v>28.58</v>
      </c>
      <c r="E34" s="60">
        <v>6.10</v>
      </c>
      <c r="F34" s="60">
        <v>0.35</v>
      </c>
      <c r="G34" s="60">
        <v>78.25</v>
      </c>
      <c r="H34" s="60">
        <v>27.83</v>
      </c>
      <c r="I34" s="60">
        <v>4.13</v>
      </c>
      <c r="J34" s="60">
        <v>0.67</v>
      </c>
      <c r="K34" s="60">
        <v>230.44</v>
      </c>
      <c r="L34" s="60">
        <v>43.39</v>
      </c>
      <c r="M34" s="60">
        <v>39.86</v>
      </c>
      <c r="N34" s="60">
        <v>106.40</v>
      </c>
      <c r="O34" s="60">
        <v>0</v>
      </c>
      <c r="P34" s="60">
        <v>1.77</v>
      </c>
      <c r="Q34" s="60">
        <v>69.930000000000007</v>
      </c>
      <c r="R34" s="198"/>
      <c r="S34" s="198"/>
      <c r="T34" s="198"/>
      <c r="U34" s="198"/>
    </row>
    <row r="35" spans="1:21" s="12" customFormat="1" ht="15">
      <c r="A35" s="201" t="s">
        <v>1136</v>
      </c>
      <c r="B35" s="60">
        <v>2.48</v>
      </c>
      <c r="C35" s="60">
        <v>27.69</v>
      </c>
      <c r="D35" s="60">
        <v>30.17</v>
      </c>
      <c r="E35" s="60">
        <v>6.21</v>
      </c>
      <c r="F35" s="60">
        <v>0.62</v>
      </c>
      <c r="G35" s="60">
        <v>78.25</v>
      </c>
      <c r="H35" s="60">
        <v>27.84</v>
      </c>
      <c r="I35" s="60">
        <v>4.13</v>
      </c>
      <c r="J35" s="60">
        <v>0.09</v>
      </c>
      <c r="K35" s="60">
        <v>275.87</v>
      </c>
      <c r="L35" s="60">
        <v>43.94</v>
      </c>
      <c r="M35" s="60">
        <v>40.07</v>
      </c>
      <c r="N35" s="60">
        <v>114.5</v>
      </c>
      <c r="O35" s="60">
        <v>0</v>
      </c>
      <c r="P35" s="60">
        <v>1.79</v>
      </c>
      <c r="Q35" s="60">
        <v>73.290000000000006</v>
      </c>
      <c r="R35" s="198"/>
      <c r="S35" s="198"/>
      <c r="T35" s="198"/>
      <c r="U35" s="198"/>
    </row>
    <row r="36" spans="1:21" s="12" customFormat="1" ht="15">
      <c r="A36" s="201" t="s">
        <v>1137</v>
      </c>
      <c r="B36" s="60">
        <v>3.35</v>
      </c>
      <c r="C36" s="60">
        <v>29.46</v>
      </c>
      <c r="D36" s="60">
        <v>32.81</v>
      </c>
      <c r="E36" s="60">
        <v>3.33</v>
      </c>
      <c r="F36" s="60">
        <v>0.65</v>
      </c>
      <c r="G36" s="60">
        <v>78.25</v>
      </c>
      <c r="H36" s="60">
        <v>27.84</v>
      </c>
      <c r="I36" s="60">
        <v>4.21</v>
      </c>
      <c r="J36" s="60">
        <v>0.11</v>
      </c>
      <c r="K36" s="60">
        <v>21.25</v>
      </c>
      <c r="L36" s="60">
        <v>43.83</v>
      </c>
      <c r="M36" s="60">
        <v>40.549999999999997</v>
      </c>
      <c r="N36" s="60">
        <v>111.60</v>
      </c>
      <c r="O36" s="60">
        <v>0</v>
      </c>
      <c r="P36" s="60">
        <v>1.82</v>
      </c>
      <c r="Q36" s="60">
        <v>83.04</v>
      </c>
      <c r="R36" s="198"/>
      <c r="S36" s="198"/>
      <c r="T36" s="198"/>
      <c r="U36" s="198"/>
    </row>
    <row r="37" spans="1:21" s="12" customFormat="1" ht="15">
      <c r="A37" s="201" t="s">
        <v>1138</v>
      </c>
      <c r="B37" s="60">
        <v>3.86</v>
      </c>
      <c r="C37" s="60">
        <v>31.28</v>
      </c>
      <c r="D37" s="60">
        <v>35.14</v>
      </c>
      <c r="E37" s="60">
        <v>5.98</v>
      </c>
      <c r="F37" s="60">
        <v>0.38</v>
      </c>
      <c r="G37" s="60">
        <v>78.25</v>
      </c>
      <c r="H37" s="60">
        <v>27.84</v>
      </c>
      <c r="I37" s="60">
        <v>4.30</v>
      </c>
      <c r="J37" s="60">
        <v>0.26</v>
      </c>
      <c r="K37" s="60">
        <v>5.85</v>
      </c>
      <c r="L37" s="60">
        <v>42.46</v>
      </c>
      <c r="M37" s="60">
        <v>41.11</v>
      </c>
      <c r="N37" s="60">
        <v>153.80000000000001</v>
      </c>
      <c r="O37" s="60">
        <v>0</v>
      </c>
      <c r="P37" s="60">
        <v>1.84</v>
      </c>
      <c r="Q37" s="60">
        <v>85.80</v>
      </c>
      <c r="R37" s="198"/>
      <c r="S37" s="198"/>
      <c r="T37" s="198"/>
      <c r="U37" s="198"/>
    </row>
    <row r="38" spans="1:21" s="12" customFormat="1" ht="15">
      <c r="A38" s="201" t="s">
        <v>1139</v>
      </c>
      <c r="B38" s="60">
        <v>4.30</v>
      </c>
      <c r="C38" s="60">
        <v>33.19</v>
      </c>
      <c r="D38" s="60">
        <v>37.5</v>
      </c>
      <c r="E38" s="60">
        <v>5.76</v>
      </c>
      <c r="F38" s="60">
        <v>0.39</v>
      </c>
      <c r="G38" s="60">
        <v>79.87</v>
      </c>
      <c r="H38" s="60">
        <v>31.01</v>
      </c>
      <c r="I38" s="60">
        <v>4.47</v>
      </c>
      <c r="J38" s="60">
        <v>0.38</v>
      </c>
      <c r="K38" s="60">
        <v>25.69</v>
      </c>
      <c r="L38" s="60">
        <v>42.98</v>
      </c>
      <c r="M38" s="60">
        <v>41.59</v>
      </c>
      <c r="N38" s="60">
        <v>213.40</v>
      </c>
      <c r="O38" s="60">
        <v>0</v>
      </c>
      <c r="P38" s="60">
        <v>1.86</v>
      </c>
      <c r="Q38" s="60">
        <v>83.54</v>
      </c>
      <c r="R38" s="198"/>
      <c r="S38" s="198"/>
      <c r="T38" s="198"/>
      <c r="U38" s="198"/>
    </row>
    <row r="39" spans="1:21" s="12" customFormat="1" ht="15">
      <c r="A39" s="201" t="s">
        <v>1140</v>
      </c>
      <c r="B39" s="60">
        <v>4.79</v>
      </c>
      <c r="C39" s="60">
        <v>34.22</v>
      </c>
      <c r="D39" s="60">
        <v>39</v>
      </c>
      <c r="E39" s="60">
        <v>5.98</v>
      </c>
      <c r="F39" s="60">
        <v>0.18</v>
      </c>
      <c r="G39" s="60">
        <v>79.87</v>
      </c>
      <c r="H39" s="60">
        <v>31.75</v>
      </c>
      <c r="I39" s="60">
        <v>4.58</v>
      </c>
      <c r="J39" s="60">
        <v>1.35</v>
      </c>
      <c r="K39" s="60">
        <v>319.58</v>
      </c>
      <c r="L39" s="60">
        <v>43.07</v>
      </c>
      <c r="M39" s="60">
        <v>42.32</v>
      </c>
      <c r="N39" s="60">
        <v>251.20</v>
      </c>
      <c r="O39" s="60">
        <v>0</v>
      </c>
      <c r="P39" s="60">
        <v>1.90</v>
      </c>
      <c r="Q39" s="60">
        <v>80.91</v>
      </c>
      <c r="R39" s="198"/>
      <c r="S39" s="198"/>
      <c r="T39" s="198"/>
      <c r="U39" s="198"/>
    </row>
    <row r="40" spans="1:21" s="12" customFormat="1" ht="15">
      <c r="A40" s="201" t="s">
        <v>1141</v>
      </c>
      <c r="B40" s="60">
        <v>5.72</v>
      </c>
      <c r="C40" s="60">
        <v>35.79</v>
      </c>
      <c r="D40" s="60">
        <v>41.5</v>
      </c>
      <c r="E40" s="60">
        <v>5.51</v>
      </c>
      <c r="F40" s="60">
        <v>0.39</v>
      </c>
      <c r="G40" s="60">
        <v>79.87</v>
      </c>
      <c r="H40" s="60">
        <v>31.75</v>
      </c>
      <c r="I40" s="60">
        <v>4.80</v>
      </c>
      <c r="J40" s="60">
        <v>2.5299999999999998</v>
      </c>
      <c r="K40" s="60">
        <v>310.95999999999998</v>
      </c>
      <c r="L40" s="60">
        <v>43.25</v>
      </c>
      <c r="M40" s="60">
        <v>41.71</v>
      </c>
      <c r="N40" s="60">
        <v>261</v>
      </c>
      <c r="O40" s="60">
        <v>0</v>
      </c>
      <c r="P40" s="60">
        <v>1.93</v>
      </c>
      <c r="Q40" s="60">
        <v>80.14</v>
      </c>
      <c r="R40" s="198"/>
      <c r="S40" s="198"/>
      <c r="T40" s="198"/>
      <c r="U40" s="198"/>
    </row>
    <row r="41" spans="1:21" s="12" customFormat="1" ht="15">
      <c r="A41" s="201" t="s">
        <v>1142</v>
      </c>
      <c r="B41" s="60">
        <v>5.42</v>
      </c>
      <c r="C41" s="60">
        <v>35.99</v>
      </c>
      <c r="D41" s="60">
        <v>41.41</v>
      </c>
      <c r="E41" s="60">
        <v>5.74</v>
      </c>
      <c r="F41" s="60">
        <v>0.71</v>
      </c>
      <c r="G41" s="60">
        <v>79.87</v>
      </c>
      <c r="H41" s="60">
        <v>31.75</v>
      </c>
      <c r="I41" s="60">
        <v>5.23</v>
      </c>
      <c r="J41" s="60">
        <v>2.59</v>
      </c>
      <c r="K41" s="60">
        <v>308.67</v>
      </c>
      <c r="L41" s="60">
        <v>44.96</v>
      </c>
      <c r="M41" s="60">
        <v>40.700000000000003</v>
      </c>
      <c r="N41" s="60">
        <v>286.89999999999998</v>
      </c>
      <c r="O41" s="60">
        <v>0</v>
      </c>
      <c r="P41" s="60">
        <v>1.93</v>
      </c>
      <c r="Q41" s="60">
        <v>80.30</v>
      </c>
      <c r="R41" s="198"/>
      <c r="S41" s="198"/>
      <c r="T41" s="198"/>
      <c r="U41" s="198"/>
    </row>
    <row r="42" spans="1:21" s="12" customFormat="1" ht="15">
      <c r="A42" s="201" t="s">
        <v>1143</v>
      </c>
      <c r="B42" s="60">
        <v>4.5999999999999996</v>
      </c>
      <c r="C42" s="60">
        <v>35.53</v>
      </c>
      <c r="D42" s="60">
        <v>40.130000000000003</v>
      </c>
      <c r="E42" s="60">
        <v>5.47</v>
      </c>
      <c r="F42" s="60">
        <v>1.1000000000000001</v>
      </c>
      <c r="G42" s="60">
        <v>86.93</v>
      </c>
      <c r="H42" s="60">
        <v>28.91</v>
      </c>
      <c r="I42" s="60">
        <v>5.42</v>
      </c>
      <c r="J42" s="60">
        <v>3.18</v>
      </c>
      <c r="K42" s="60">
        <v>312.06</v>
      </c>
      <c r="L42" s="60">
        <v>45.67</v>
      </c>
      <c r="M42" s="60">
        <v>39.950000000000003</v>
      </c>
      <c r="N42" s="60">
        <v>346.20</v>
      </c>
      <c r="O42" s="60">
        <v>0</v>
      </c>
      <c r="P42" s="60">
        <v>1.92</v>
      </c>
      <c r="Q42" s="60">
        <v>76.20</v>
      </c>
      <c r="R42" s="198"/>
      <c r="S42" s="198"/>
      <c r="T42" s="198"/>
      <c r="U42" s="198"/>
    </row>
    <row r="43" spans="1:21" s="12" customFormat="1" ht="15">
      <c r="A43" s="201" t="s">
        <v>1144</v>
      </c>
      <c r="B43" s="60">
        <v>3.78</v>
      </c>
      <c r="C43" s="60">
        <v>34.94</v>
      </c>
      <c r="D43" s="60">
        <v>38.72</v>
      </c>
      <c r="E43" s="60">
        <v>5.5</v>
      </c>
      <c r="F43" s="60">
        <v>1.35</v>
      </c>
      <c r="G43" s="60">
        <v>87.70</v>
      </c>
      <c r="H43" s="60">
        <v>28.24</v>
      </c>
      <c r="I43" s="60">
        <v>5.29</v>
      </c>
      <c r="J43" s="60">
        <v>3.51</v>
      </c>
      <c r="K43" s="60">
        <v>315.98</v>
      </c>
      <c r="L43" s="60">
        <v>44.58</v>
      </c>
      <c r="M43" s="60">
        <v>38.40</v>
      </c>
      <c r="N43" s="60">
        <v>351.40</v>
      </c>
      <c r="O43" s="60">
        <v>0</v>
      </c>
      <c r="P43" s="60">
        <v>1.91</v>
      </c>
      <c r="Q43" s="60">
        <v>77.790000000000006</v>
      </c>
      <c r="R43" s="198"/>
      <c r="S43" s="198"/>
      <c r="T43" s="198"/>
      <c r="U43" s="198"/>
    </row>
    <row r="44" spans="1:21" s="12" customFormat="1" ht="15">
      <c r="A44" s="201" t="s">
        <v>1145</v>
      </c>
      <c r="B44" s="60">
        <v>3.09</v>
      </c>
      <c r="C44" s="60">
        <v>33.82</v>
      </c>
      <c r="D44" s="60">
        <v>36.909999999999997</v>
      </c>
      <c r="E44" s="60">
        <v>5.1100000000000003</v>
      </c>
      <c r="F44" s="60">
        <v>1.81</v>
      </c>
      <c r="G44" s="60">
        <v>87.70</v>
      </c>
      <c r="H44" s="60">
        <v>28.24</v>
      </c>
      <c r="I44" s="60">
        <v>5.09</v>
      </c>
      <c r="J44" s="60">
        <v>3.78</v>
      </c>
      <c r="K44" s="60">
        <v>320.02</v>
      </c>
      <c r="L44" s="60">
        <v>45.30</v>
      </c>
      <c r="M44" s="60">
        <v>36.85</v>
      </c>
      <c r="N44" s="60">
        <v>409.10</v>
      </c>
      <c r="O44" s="60">
        <v>0</v>
      </c>
      <c r="P44" s="60">
        <v>1.91</v>
      </c>
      <c r="Q44" s="60">
        <v>76.73</v>
      </c>
      <c r="R44" s="198"/>
      <c r="S44" s="198"/>
      <c r="T44" s="198"/>
      <c r="U44" s="198"/>
    </row>
    <row r="45" spans="1:21" s="12" customFormat="1" ht="15">
      <c r="A45" s="201" t="s">
        <v>1146</v>
      </c>
      <c r="B45" s="60">
        <v>2.4900000000000002</v>
      </c>
      <c r="C45" s="60">
        <v>32.869999999999997</v>
      </c>
      <c r="D45" s="60">
        <v>35.36</v>
      </c>
      <c r="E45" s="60">
        <v>5.37</v>
      </c>
      <c r="F45" s="60">
        <v>1.99</v>
      </c>
      <c r="G45" s="60">
        <v>87.70</v>
      </c>
      <c r="H45" s="60">
        <v>28.24</v>
      </c>
      <c r="I45" s="60">
        <v>4.88</v>
      </c>
      <c r="J45" s="60">
        <v>3.70</v>
      </c>
      <c r="K45" s="60">
        <v>321.06</v>
      </c>
      <c r="L45" s="60">
        <v>45.47</v>
      </c>
      <c r="M45" s="60">
        <v>34.61</v>
      </c>
      <c r="N45" s="60">
        <v>693.5</v>
      </c>
      <c r="O45" s="60">
        <v>0</v>
      </c>
      <c r="P45" s="60">
        <v>1.91</v>
      </c>
      <c r="Q45" s="60">
        <v>73.84</v>
      </c>
      <c r="R45" s="198"/>
      <c r="S45" s="198"/>
      <c r="T45" s="198"/>
      <c r="U45" s="198"/>
    </row>
    <row r="46" spans="1:21" s="12" customFormat="1" ht="15">
      <c r="A46" s="201" t="s">
        <v>1147</v>
      </c>
      <c r="B46" s="60">
        <v>2.12</v>
      </c>
      <c r="C46" s="60">
        <v>29.17</v>
      </c>
      <c r="D46" s="60">
        <v>31.30</v>
      </c>
      <c r="E46" s="60">
        <v>5.32</v>
      </c>
      <c r="F46" s="60">
        <v>2.33</v>
      </c>
      <c r="G46" s="60">
        <v>81.73</v>
      </c>
      <c r="H46" s="60">
        <v>28.28</v>
      </c>
      <c r="I46" s="60">
        <v>4.6900000000000004</v>
      </c>
      <c r="J46" s="60">
        <v>2.16</v>
      </c>
      <c r="K46" s="60">
        <v>324.83999999999997</v>
      </c>
      <c r="L46" s="60">
        <v>46.89</v>
      </c>
      <c r="M46" s="60">
        <v>32.049999999999997</v>
      </c>
      <c r="N46" s="60">
        <v>674.30</v>
      </c>
      <c r="O46" s="60">
        <v>0</v>
      </c>
      <c r="P46" s="60">
        <v>1.91</v>
      </c>
      <c r="Q46" s="60">
        <v>61.76</v>
      </c>
      <c r="R46" s="198"/>
      <c r="S46" s="198"/>
      <c r="T46" s="198"/>
      <c r="U46" s="198"/>
    </row>
    <row r="47" spans="1:21" s="12" customFormat="1" ht="15">
      <c r="A47" s="201" t="s">
        <v>1148</v>
      </c>
      <c r="B47" s="60">
        <v>2.10</v>
      </c>
      <c r="C47" s="60">
        <v>30.26</v>
      </c>
      <c r="D47" s="60">
        <v>32.36</v>
      </c>
      <c r="E47" s="60">
        <v>4.8499999999999996</v>
      </c>
      <c r="F47" s="60">
        <v>1.81</v>
      </c>
      <c r="G47" s="60">
        <v>81.73</v>
      </c>
      <c r="H47" s="60">
        <v>28.29</v>
      </c>
      <c r="I47" s="60">
        <v>4.59</v>
      </c>
      <c r="J47" s="60">
        <v>2.12</v>
      </c>
      <c r="K47" s="60">
        <v>312.83999999999997</v>
      </c>
      <c r="L47" s="60">
        <v>50.64</v>
      </c>
      <c r="M47" s="60">
        <v>30.63</v>
      </c>
      <c r="N47" s="60">
        <v>855.70</v>
      </c>
      <c r="O47" s="60">
        <v>0</v>
      </c>
      <c r="P47" s="60">
        <v>1.93</v>
      </c>
      <c r="Q47" s="60">
        <v>48.13</v>
      </c>
      <c r="R47" s="198"/>
      <c r="S47" s="198"/>
      <c r="T47" s="198"/>
      <c r="U47" s="198"/>
    </row>
    <row r="48" spans="1:21" s="12" customFormat="1" ht="15">
      <c r="A48" s="201" t="s">
        <v>1149</v>
      </c>
      <c r="B48" s="60">
        <v>2.2599999999999998</v>
      </c>
      <c r="C48" s="60">
        <v>33.25</v>
      </c>
      <c r="D48" s="60">
        <v>35.520000000000003</v>
      </c>
      <c r="E48" s="60">
        <v>5.18</v>
      </c>
      <c r="F48" s="60">
        <v>1.42</v>
      </c>
      <c r="G48" s="60">
        <v>81.73</v>
      </c>
      <c r="H48" s="60">
        <v>28.29</v>
      </c>
      <c r="I48" s="60">
        <v>4.49</v>
      </c>
      <c r="J48" s="60">
        <v>1.63</v>
      </c>
      <c r="K48" s="60">
        <v>338.25</v>
      </c>
      <c r="L48" s="60">
        <v>52.32</v>
      </c>
      <c r="M48" s="60">
        <v>30.31</v>
      </c>
      <c r="N48" s="60">
        <v>869.20</v>
      </c>
      <c r="O48" s="60">
        <v>0</v>
      </c>
      <c r="P48" s="60">
        <v>1.96</v>
      </c>
      <c r="Q48" s="60">
        <v>53.19</v>
      </c>
      <c r="R48" s="198"/>
      <c r="S48" s="198"/>
      <c r="T48" s="198"/>
      <c r="U48" s="198"/>
    </row>
    <row r="49" spans="1:21" s="12" customFormat="1" ht="15">
      <c r="A49" s="201" t="s">
        <v>1150</v>
      </c>
      <c r="B49" s="60">
        <v>2.48</v>
      </c>
      <c r="C49" s="60">
        <v>35.78</v>
      </c>
      <c r="D49" s="60">
        <v>38.26</v>
      </c>
      <c r="E49" s="60">
        <v>5.64</v>
      </c>
      <c r="F49" s="60">
        <v>1.49</v>
      </c>
      <c r="G49" s="60">
        <v>81.73</v>
      </c>
      <c r="H49" s="60">
        <v>28.29</v>
      </c>
      <c r="I49" s="60">
        <v>4.4800000000000004</v>
      </c>
      <c r="J49" s="60">
        <v>2.71</v>
      </c>
      <c r="K49" s="60">
        <v>317.73</v>
      </c>
      <c r="L49" s="60">
        <v>52.64</v>
      </c>
      <c r="M49" s="60">
        <v>28.89</v>
      </c>
      <c r="N49" s="60">
        <v>844.80</v>
      </c>
      <c r="O49" s="60">
        <v>0</v>
      </c>
      <c r="P49" s="60">
        <v>1.98</v>
      </c>
      <c r="Q49" s="60">
        <v>62.21</v>
      </c>
      <c r="R49" s="198"/>
      <c r="S49" s="198"/>
      <c r="T49" s="198"/>
      <c r="U49" s="198"/>
    </row>
    <row r="50" spans="1:21" s="12" customFormat="1" ht="15">
      <c r="A50" s="201" t="s">
        <v>1151</v>
      </c>
      <c r="B50" s="60">
        <v>2.81</v>
      </c>
      <c r="C50" s="60">
        <v>37.020000000000003</v>
      </c>
      <c r="D50" s="60">
        <v>39.83</v>
      </c>
      <c r="E50" s="60">
        <v>5.14</v>
      </c>
      <c r="F50" s="60">
        <v>4.18</v>
      </c>
      <c r="G50" s="60">
        <v>81.11</v>
      </c>
      <c r="H50" s="60">
        <v>28.43</v>
      </c>
      <c r="I50" s="60">
        <v>4.55</v>
      </c>
      <c r="J50" s="60">
        <v>2.2200000000000002</v>
      </c>
      <c r="K50" s="60">
        <v>321.08999999999997</v>
      </c>
      <c r="L50" s="60">
        <v>52.24</v>
      </c>
      <c r="M50" s="60">
        <v>28.66</v>
      </c>
      <c r="N50" s="60">
        <v>853</v>
      </c>
      <c r="O50" s="60">
        <v>0</v>
      </c>
      <c r="P50" s="60">
        <v>2.02</v>
      </c>
      <c r="Q50" s="60">
        <v>63.05</v>
      </c>
      <c r="R50" s="198"/>
      <c r="S50" s="198"/>
      <c r="T50" s="198"/>
      <c r="U50" s="198"/>
    </row>
    <row r="51" spans="1:21" s="12" customFormat="1" ht="15">
      <c r="A51" s="201" t="s">
        <v>1152</v>
      </c>
      <c r="B51" s="60">
        <v>2.75</v>
      </c>
      <c r="C51" s="60">
        <v>35.68</v>
      </c>
      <c r="D51" s="60">
        <v>38.43</v>
      </c>
      <c r="E51" s="60">
        <v>4.07</v>
      </c>
      <c r="F51" s="60">
        <v>3.91</v>
      </c>
      <c r="G51" s="60">
        <v>81.06</v>
      </c>
      <c r="H51" s="60">
        <v>28.47</v>
      </c>
      <c r="I51" s="60">
        <v>4.51</v>
      </c>
      <c r="J51" s="60">
        <v>2.0499999999999998</v>
      </c>
      <c r="K51" s="60">
        <v>333.96</v>
      </c>
      <c r="L51" s="60">
        <v>50.92</v>
      </c>
      <c r="M51" s="60">
        <v>27.55</v>
      </c>
      <c r="N51" s="60">
        <v>583.40</v>
      </c>
      <c r="O51" s="60">
        <v>0</v>
      </c>
      <c r="P51" s="60">
        <v>2.0299999999999998</v>
      </c>
      <c r="Q51" s="60">
        <v>63.58</v>
      </c>
      <c r="R51" s="198"/>
      <c r="S51" s="198"/>
      <c r="T51" s="198"/>
      <c r="U51" s="198"/>
    </row>
    <row r="52" spans="1:21" s="12" customFormat="1" ht="15">
      <c r="A52" s="201" t="s">
        <v>1153</v>
      </c>
      <c r="B52" s="60">
        <v>3.07</v>
      </c>
      <c r="C52" s="60">
        <v>35.19</v>
      </c>
      <c r="D52" s="60">
        <v>38.26</v>
      </c>
      <c r="E52" s="60">
        <v>1.61</v>
      </c>
      <c r="F52" s="60">
        <v>3.90</v>
      </c>
      <c r="G52" s="60">
        <v>81.06</v>
      </c>
      <c r="H52" s="60">
        <v>28.47</v>
      </c>
      <c r="I52" s="60">
        <v>4.3099999999999996</v>
      </c>
      <c r="J52" s="60">
        <v>3.33</v>
      </c>
      <c r="K52" s="60">
        <v>332.90</v>
      </c>
      <c r="L52" s="60">
        <v>51.52</v>
      </c>
      <c r="M52" s="60">
        <v>28.72</v>
      </c>
      <c r="N52" s="60">
        <v>416.90</v>
      </c>
      <c r="O52" s="60">
        <v>0</v>
      </c>
      <c r="P52" s="60">
        <v>2.08</v>
      </c>
      <c r="Q52" s="60">
        <v>65.540000000000006</v>
      </c>
      <c r="R52" s="198"/>
      <c r="S52" s="198"/>
      <c r="T52" s="198"/>
      <c r="U52" s="198"/>
    </row>
    <row r="53" spans="1:21" s="12" customFormat="1" ht="15">
      <c r="A53" s="201" t="s">
        <v>1154</v>
      </c>
      <c r="B53" s="60">
        <v>3.09</v>
      </c>
      <c r="C53" s="60">
        <v>35.19</v>
      </c>
      <c r="D53" s="60">
        <v>38.28</v>
      </c>
      <c r="E53" s="60">
        <v>3.25</v>
      </c>
      <c r="F53" s="60">
        <v>3.99</v>
      </c>
      <c r="G53" s="60">
        <v>81.06</v>
      </c>
      <c r="H53" s="60">
        <v>28.47</v>
      </c>
      <c r="I53" s="60">
        <v>4.1399999999999997</v>
      </c>
      <c r="J53" s="60">
        <v>2.14</v>
      </c>
      <c r="K53" s="60">
        <v>319.22000000000003</v>
      </c>
      <c r="L53" s="60">
        <v>49.84</v>
      </c>
      <c r="M53" s="60">
        <v>29.79</v>
      </c>
      <c r="N53" s="60">
        <v>345.60</v>
      </c>
      <c r="O53" s="60">
        <v>0</v>
      </c>
      <c r="P53" s="60">
        <v>2.08</v>
      </c>
      <c r="Q53" s="60">
        <v>71.61</v>
      </c>
      <c r="R53" s="198"/>
      <c r="S53" s="198"/>
      <c r="T53" s="198"/>
      <c r="U53" s="198"/>
    </row>
    <row r="54" spans="1:21" s="12" customFormat="1" ht="15">
      <c r="A54" s="201" t="s">
        <v>1155</v>
      </c>
      <c r="B54" s="60">
        <v>3.98</v>
      </c>
      <c r="C54" s="60">
        <v>38.94</v>
      </c>
      <c r="D54" s="60">
        <v>42.92</v>
      </c>
      <c r="E54" s="60">
        <v>3.08</v>
      </c>
      <c r="F54" s="60">
        <v>3.10</v>
      </c>
      <c r="G54" s="60">
        <v>77.989999999999995</v>
      </c>
      <c r="H54" s="60">
        <v>28.61</v>
      </c>
      <c r="I54" s="60">
        <v>4.22</v>
      </c>
      <c r="J54" s="60">
        <v>2.13</v>
      </c>
      <c r="K54" s="60">
        <v>322.73</v>
      </c>
      <c r="L54" s="60">
        <v>51.23</v>
      </c>
      <c r="M54" s="60">
        <v>30.92</v>
      </c>
      <c r="N54" s="60">
        <v>634.20000000000005</v>
      </c>
      <c r="O54" s="60">
        <v>0</v>
      </c>
      <c r="P54" s="60">
        <v>2.0699999999999998</v>
      </c>
      <c r="Q54" s="60">
        <v>83.11</v>
      </c>
      <c r="R54" s="198"/>
      <c r="S54" s="198"/>
      <c r="T54" s="198"/>
      <c r="U54" s="198"/>
    </row>
    <row r="55" spans="1:21" s="12" customFormat="1" ht="15">
      <c r="A55" s="201" t="s">
        <v>1156</v>
      </c>
      <c r="B55" s="60">
        <v>3.12</v>
      </c>
      <c r="C55" s="60">
        <v>40.61</v>
      </c>
      <c r="D55" s="60">
        <v>43.73</v>
      </c>
      <c r="E55" s="60">
        <v>3.18</v>
      </c>
      <c r="F55" s="60">
        <v>3.65</v>
      </c>
      <c r="G55" s="60">
        <v>77.45</v>
      </c>
      <c r="H55" s="60">
        <v>28.65</v>
      </c>
      <c r="I55" s="60">
        <v>4.1900000000000004</v>
      </c>
      <c r="J55" s="60">
        <v>2.73</v>
      </c>
      <c r="K55" s="60">
        <v>316.08</v>
      </c>
      <c r="L55" s="60">
        <v>51.77</v>
      </c>
      <c r="M55" s="60">
        <v>30.90</v>
      </c>
      <c r="N55" s="60">
        <v>609.60</v>
      </c>
      <c r="O55" s="60">
        <v>0</v>
      </c>
      <c r="P55" s="60">
        <v>2.0499999999999998</v>
      </c>
      <c r="Q55" s="60">
        <v>84</v>
      </c>
      <c r="R55" s="198"/>
      <c r="S55" s="198"/>
      <c r="T55" s="198"/>
      <c r="U55" s="198"/>
    </row>
    <row r="56" spans="1:21" s="12" customFormat="1" ht="15">
      <c r="A56" s="201" t="s">
        <v>1157</v>
      </c>
      <c r="B56" s="60">
        <v>2.72</v>
      </c>
      <c r="C56" s="60">
        <v>40.32</v>
      </c>
      <c r="D56" s="60">
        <v>43.04</v>
      </c>
      <c r="E56" s="60">
        <v>2.76</v>
      </c>
      <c r="F56" s="60">
        <v>2.35</v>
      </c>
      <c r="G56" s="60">
        <v>77.45</v>
      </c>
      <c r="H56" s="60">
        <v>28.65</v>
      </c>
      <c r="I56" s="60">
        <v>4.17</v>
      </c>
      <c r="J56" s="60">
        <v>2.5</v>
      </c>
      <c r="K56" s="60">
        <v>322.58999999999997</v>
      </c>
      <c r="L56" s="60">
        <v>52.59</v>
      </c>
      <c r="M56" s="60">
        <v>28.46</v>
      </c>
      <c r="N56" s="60">
        <v>1008.60</v>
      </c>
      <c r="O56" s="60">
        <v>0</v>
      </c>
      <c r="P56" s="60">
        <v>2.06</v>
      </c>
      <c r="Q56" s="60">
        <v>92.36</v>
      </c>
      <c r="R56" s="198"/>
      <c r="S56" s="198"/>
      <c r="T56" s="198"/>
      <c r="U56" s="198"/>
    </row>
    <row r="57" spans="1:21" s="12" customFormat="1" ht="15">
      <c r="A57" s="201" t="s">
        <v>1158</v>
      </c>
      <c r="B57" s="60">
        <v>2.4700000000000002</v>
      </c>
      <c r="C57" s="60">
        <v>37.46</v>
      </c>
      <c r="D57" s="60">
        <v>39.93</v>
      </c>
      <c r="E57" s="60">
        <v>2.86</v>
      </c>
      <c r="F57" s="60">
        <v>2.27</v>
      </c>
      <c r="G57" s="60">
        <v>77.45</v>
      </c>
      <c r="H57" s="60">
        <v>28.65</v>
      </c>
      <c r="I57" s="60">
        <v>4.07</v>
      </c>
      <c r="J57" s="60">
        <v>0.82</v>
      </c>
      <c r="K57" s="60">
        <v>291.17</v>
      </c>
      <c r="L57" s="60">
        <v>52.61</v>
      </c>
      <c r="M57" s="60">
        <v>26.85</v>
      </c>
      <c r="N57" s="60">
        <v>751.30</v>
      </c>
      <c r="O57" s="60">
        <v>0</v>
      </c>
      <c r="P57" s="60">
        <v>2.06</v>
      </c>
      <c r="Q57" s="60">
        <v>89.96</v>
      </c>
      <c r="R57" s="198"/>
      <c r="S57" s="198"/>
      <c r="T57" s="198"/>
      <c r="U57" s="198"/>
    </row>
    <row r="58" spans="1:21" s="12" customFormat="1" ht="15">
      <c r="A58" s="201" t="s">
        <v>1159</v>
      </c>
      <c r="B58" s="60">
        <v>1.76</v>
      </c>
      <c r="C58" s="60">
        <v>37.65</v>
      </c>
      <c r="D58" s="60">
        <v>39.409999999999997</v>
      </c>
      <c r="E58" s="60">
        <v>3.33</v>
      </c>
      <c r="F58" s="60">
        <v>2.57</v>
      </c>
      <c r="G58" s="60">
        <v>73.66</v>
      </c>
      <c r="H58" s="60">
        <v>27.60</v>
      </c>
      <c r="I58" s="60">
        <v>4.1399999999999997</v>
      </c>
      <c r="J58" s="60">
        <v>2.5</v>
      </c>
      <c r="K58" s="60">
        <v>332.65</v>
      </c>
      <c r="L58" s="60">
        <v>52.22</v>
      </c>
      <c r="M58" s="60">
        <v>26.90</v>
      </c>
      <c r="N58" s="60">
        <v>906</v>
      </c>
      <c r="O58" s="60">
        <v>0</v>
      </c>
      <c r="P58" s="60">
        <v>2.06</v>
      </c>
      <c r="Q58" s="60">
        <v>88.47</v>
      </c>
      <c r="R58" s="198"/>
      <c r="S58" s="198"/>
      <c r="T58" s="198"/>
      <c r="U58" s="198"/>
    </row>
    <row r="59" spans="1:21" s="12" customFormat="1" ht="15">
      <c r="A59" s="201" t="s">
        <v>1160</v>
      </c>
      <c r="B59" s="60">
        <v>1.58</v>
      </c>
      <c r="C59" s="60">
        <v>33.43</v>
      </c>
      <c r="D59" s="60">
        <v>35</v>
      </c>
      <c r="E59" s="60">
        <v>3.13</v>
      </c>
      <c r="F59" s="60">
        <v>4.05</v>
      </c>
      <c r="G59" s="60">
        <v>72.77</v>
      </c>
      <c r="H59" s="60">
        <v>27.35</v>
      </c>
      <c r="I59" s="60">
        <v>4.1399999999999997</v>
      </c>
      <c r="J59" s="60">
        <v>2.0299999999999998</v>
      </c>
      <c r="K59" s="60">
        <v>330.01</v>
      </c>
      <c r="L59" s="60">
        <v>53.86</v>
      </c>
      <c r="M59" s="60">
        <v>25.87</v>
      </c>
      <c r="N59" s="60">
        <v>784.30</v>
      </c>
      <c r="O59" s="60">
        <v>0</v>
      </c>
      <c r="P59" s="60">
        <v>2.04</v>
      </c>
      <c r="Q59" s="60">
        <v>86.91</v>
      </c>
      <c r="R59" s="198"/>
      <c r="S59" s="198"/>
      <c r="T59" s="198"/>
      <c r="U59" s="198"/>
    </row>
    <row r="60" spans="1:21" s="12" customFormat="1" ht="15">
      <c r="A60" s="201" t="s">
        <v>1161</v>
      </c>
      <c r="B60" s="60">
        <v>1.25</v>
      </c>
      <c r="C60" s="60">
        <v>29.65</v>
      </c>
      <c r="D60" s="60">
        <v>30.90</v>
      </c>
      <c r="E60" s="60">
        <v>3.33</v>
      </c>
      <c r="F60" s="60">
        <v>6.17</v>
      </c>
      <c r="G60" s="60">
        <v>72.77</v>
      </c>
      <c r="H60" s="60">
        <v>27.35</v>
      </c>
      <c r="I60" s="60">
        <v>4.1900000000000004</v>
      </c>
      <c r="J60" s="60">
        <v>2.41</v>
      </c>
      <c r="K60" s="60">
        <v>335.05</v>
      </c>
      <c r="L60" s="60">
        <v>56.03</v>
      </c>
      <c r="M60" s="60">
        <v>24.75</v>
      </c>
      <c r="N60" s="60">
        <v>1004.5</v>
      </c>
      <c r="O60" s="60">
        <v>0</v>
      </c>
      <c r="P60" s="60">
        <v>2.0099999999999998</v>
      </c>
      <c r="Q60" s="60">
        <v>82.30</v>
      </c>
      <c r="R60" s="198"/>
      <c r="S60" s="198"/>
      <c r="T60" s="198"/>
      <c r="U60" s="198"/>
    </row>
    <row r="61" spans="1:21" s="12" customFormat="1" ht="15">
      <c r="A61" s="201" t="s">
        <v>1162</v>
      </c>
      <c r="B61" s="60">
        <v>1.35</v>
      </c>
      <c r="C61" s="60">
        <v>30.93</v>
      </c>
      <c r="D61" s="60">
        <v>32.29</v>
      </c>
      <c r="E61" s="60">
        <v>3.17</v>
      </c>
      <c r="F61" s="60">
        <v>5.73</v>
      </c>
      <c r="G61" s="60">
        <v>72.77</v>
      </c>
      <c r="H61" s="60">
        <v>27.35</v>
      </c>
      <c r="I61" s="60">
        <v>4.04</v>
      </c>
      <c r="J61" s="60">
        <v>2.11</v>
      </c>
      <c r="K61" s="60">
        <v>328.29</v>
      </c>
      <c r="L61" s="60">
        <v>55.80</v>
      </c>
      <c r="M61" s="60">
        <v>23.67</v>
      </c>
      <c r="N61" s="60">
        <v>976.10</v>
      </c>
      <c r="O61" s="60">
        <v>0</v>
      </c>
      <c r="P61" s="60">
        <v>1.98</v>
      </c>
      <c r="Q61" s="60">
        <v>94.88</v>
      </c>
      <c r="R61" s="198"/>
      <c r="S61" s="198"/>
      <c r="T61" s="198"/>
      <c r="U61" s="198"/>
    </row>
    <row r="62" spans="1:21" s="12" customFormat="1" ht="15">
      <c r="A62" s="201" t="s">
        <v>1163</v>
      </c>
      <c r="B62" s="60">
        <v>1.61</v>
      </c>
      <c r="C62" s="60">
        <v>34.369999999999997</v>
      </c>
      <c r="D62" s="60">
        <v>35.97</v>
      </c>
      <c r="E62" s="60">
        <v>3.30</v>
      </c>
      <c r="F62" s="60">
        <v>5.69</v>
      </c>
      <c r="G62" s="60">
        <v>63.78</v>
      </c>
      <c r="H62" s="60">
        <v>28.78</v>
      </c>
      <c r="I62" s="60">
        <v>3.79</v>
      </c>
      <c r="J62" s="60">
        <v>1.08</v>
      </c>
      <c r="K62" s="60">
        <v>317.01</v>
      </c>
      <c r="L62" s="60">
        <v>55.23</v>
      </c>
      <c r="M62" s="60">
        <v>24.93</v>
      </c>
      <c r="N62" s="60">
        <v>866.60</v>
      </c>
      <c r="O62" s="60">
        <v>0</v>
      </c>
      <c r="P62" s="60">
        <v>1.96</v>
      </c>
      <c r="Q62" s="60">
        <v>109.54</v>
      </c>
      <c r="R62" s="198"/>
      <c r="S62" s="198"/>
      <c r="T62" s="198"/>
      <c r="U62" s="198"/>
    </row>
    <row r="63" spans="1:21" s="12" customFormat="1" ht="15">
      <c r="A63" s="201" t="s">
        <v>1164</v>
      </c>
      <c r="B63" s="60">
        <v>1.25</v>
      </c>
      <c r="C63" s="60">
        <v>39.04</v>
      </c>
      <c r="D63" s="60">
        <v>40.29</v>
      </c>
      <c r="E63" s="60">
        <v>3.45</v>
      </c>
      <c r="F63" s="60">
        <v>6.73</v>
      </c>
      <c r="G63" s="60">
        <v>63.04</v>
      </c>
      <c r="H63" s="60">
        <v>29.12</v>
      </c>
      <c r="I63" s="60">
        <v>3.65</v>
      </c>
      <c r="J63" s="60">
        <v>1.84</v>
      </c>
      <c r="K63" s="60">
        <v>316.14</v>
      </c>
      <c r="L63" s="60">
        <v>51.96</v>
      </c>
      <c r="M63" s="60">
        <v>24.84</v>
      </c>
      <c r="N63" s="60">
        <v>752.10</v>
      </c>
      <c r="O63" s="60">
        <v>0</v>
      </c>
      <c r="P63" s="60">
        <v>1.94</v>
      </c>
      <c r="Q63" s="60">
        <v>123.32</v>
      </c>
      <c r="R63" s="198"/>
      <c r="S63" s="198"/>
      <c r="T63" s="198"/>
      <c r="U63" s="198"/>
    </row>
    <row r="64" spans="1:21" s="12" customFormat="1" ht="15">
      <c r="A64" s="201" t="s">
        <v>1165</v>
      </c>
      <c r="B64" s="60">
        <v>0.97</v>
      </c>
      <c r="C64" s="60">
        <v>36.28</v>
      </c>
      <c r="D64" s="60">
        <v>37.26</v>
      </c>
      <c r="E64" s="60">
        <v>2.79</v>
      </c>
      <c r="F64" s="60">
        <v>5.79</v>
      </c>
      <c r="G64" s="60">
        <v>63.04</v>
      </c>
      <c r="H64" s="60">
        <v>29.12</v>
      </c>
      <c r="I64" s="60">
        <v>3.55</v>
      </c>
      <c r="J64" s="60">
        <v>0.79</v>
      </c>
      <c r="K64" s="60">
        <v>319.61</v>
      </c>
      <c r="L64" s="60">
        <v>51.02</v>
      </c>
      <c r="M64" s="60">
        <v>24.27</v>
      </c>
      <c r="N64" s="60">
        <v>780.60</v>
      </c>
      <c r="O64" s="60">
        <v>0</v>
      </c>
      <c r="P64" s="60">
        <v>1.93</v>
      </c>
      <c r="Q64" s="60">
        <v>86.74</v>
      </c>
      <c r="R64" s="198"/>
      <c r="S64" s="198"/>
      <c r="T64" s="198"/>
      <c r="U64" s="198"/>
    </row>
    <row r="65" spans="1:21" s="12" customFormat="1" ht="15">
      <c r="A65" s="201" t="s">
        <v>1166</v>
      </c>
      <c r="B65" s="60">
        <v>1.21</v>
      </c>
      <c r="C65" s="60">
        <v>30.43</v>
      </c>
      <c r="D65" s="60">
        <v>31.64</v>
      </c>
      <c r="E65" s="60">
        <v>2.3199999999999998</v>
      </c>
      <c r="F65" s="60">
        <v>4.38</v>
      </c>
      <c r="G65" s="60">
        <v>63.04</v>
      </c>
      <c r="H65" s="60">
        <v>29.12</v>
      </c>
      <c r="I65" s="60">
        <v>3.39</v>
      </c>
      <c r="J65" s="60">
        <v>1.27</v>
      </c>
      <c r="K65" s="60">
        <v>319.20</v>
      </c>
      <c r="L65" s="60">
        <v>52.74</v>
      </c>
      <c r="M65" s="60">
        <v>24.81</v>
      </c>
      <c r="N65" s="60">
        <v>653.79999999999995</v>
      </c>
      <c r="O65" s="60">
        <v>0</v>
      </c>
      <c r="P65" s="60">
        <v>1.92</v>
      </c>
      <c r="Q65" s="60">
        <v>71.69</v>
      </c>
      <c r="R65" s="198"/>
      <c r="S65" s="198"/>
      <c r="T65" s="198"/>
      <c r="U65" s="198"/>
    </row>
    <row r="66" spans="1:21" s="12" customFormat="1" ht="15">
      <c r="A66" s="201" t="s">
        <v>1167</v>
      </c>
      <c r="B66" s="60">
        <v>1.5</v>
      </c>
      <c r="C66" s="60">
        <v>28.75</v>
      </c>
      <c r="D66" s="60">
        <v>30.25</v>
      </c>
      <c r="E66" s="60">
        <v>3.07</v>
      </c>
      <c r="F66" s="60">
        <v>3.52</v>
      </c>
      <c r="G66" s="60">
        <v>70.010000000000005</v>
      </c>
      <c r="H66" s="60">
        <v>24.09</v>
      </c>
      <c r="I66" s="60">
        <v>3.52</v>
      </c>
      <c r="J66" s="60">
        <v>1.1100000000000001</v>
      </c>
      <c r="K66" s="60">
        <v>310.95</v>
      </c>
      <c r="L66" s="60">
        <v>52.32</v>
      </c>
      <c r="M66" s="60">
        <v>25.32</v>
      </c>
      <c r="N66" s="60">
        <v>586.70000000000005</v>
      </c>
      <c r="O66" s="60">
        <v>0</v>
      </c>
      <c r="P66" s="60">
        <v>1.93</v>
      </c>
      <c r="Q66" s="60">
        <v>73.650000000000006</v>
      </c>
      <c r="R66" s="198"/>
      <c r="S66" s="198"/>
      <c r="T66" s="198"/>
      <c r="U66" s="198"/>
    </row>
    <row r="67" spans="1:21" s="12" customFormat="1" ht="15">
      <c r="A67" s="201" t="s">
        <v>1168</v>
      </c>
      <c r="B67" s="60">
        <v>2.69</v>
      </c>
      <c r="C67" s="60">
        <v>29.68</v>
      </c>
      <c r="D67" s="60">
        <v>32.36</v>
      </c>
      <c r="E67" s="60">
        <v>3.30</v>
      </c>
      <c r="F67" s="60">
        <v>3.73</v>
      </c>
      <c r="G67" s="60">
        <v>70.010000000000005</v>
      </c>
      <c r="H67" s="60">
        <v>22.92</v>
      </c>
      <c r="I67" s="60">
        <v>3.58</v>
      </c>
      <c r="J67" s="60">
        <v>1.30</v>
      </c>
      <c r="K67" s="60">
        <v>307.17</v>
      </c>
      <c r="L67" s="60">
        <v>52.82</v>
      </c>
      <c r="M67" s="60">
        <v>24.43</v>
      </c>
      <c r="N67" s="60">
        <v>644.10</v>
      </c>
      <c r="O67" s="60">
        <v>0</v>
      </c>
      <c r="P67" s="60">
        <v>1.94</v>
      </c>
      <c r="Q67" s="60">
        <v>79.06</v>
      </c>
      <c r="R67" s="198"/>
      <c r="S67" s="198"/>
      <c r="T67" s="198"/>
      <c r="U67" s="198"/>
    </row>
    <row r="68" spans="1:21" s="12" customFormat="1" ht="15">
      <c r="A68" s="201" t="s">
        <v>1169</v>
      </c>
      <c r="B68" s="60">
        <v>1.88</v>
      </c>
      <c r="C68" s="60">
        <v>31.66</v>
      </c>
      <c r="D68" s="60">
        <v>33.54</v>
      </c>
      <c r="E68" s="60">
        <v>1.96</v>
      </c>
      <c r="F68" s="60">
        <v>4.54</v>
      </c>
      <c r="G68" s="60">
        <v>70.010000000000005</v>
      </c>
      <c r="H68" s="60">
        <v>22.92</v>
      </c>
      <c r="I68" s="60">
        <v>3.87</v>
      </c>
      <c r="J68" s="60">
        <v>1.45</v>
      </c>
      <c r="K68" s="60">
        <v>332.01</v>
      </c>
      <c r="L68" s="60">
        <v>52.24</v>
      </c>
      <c r="M68" s="60">
        <v>24.52</v>
      </c>
      <c r="N68" s="60">
        <v>623.60</v>
      </c>
      <c r="O68" s="60">
        <v>0</v>
      </c>
      <c r="P68" s="60">
        <v>1.94</v>
      </c>
      <c r="Q68" s="60">
        <v>84.78</v>
      </c>
      <c r="R68" s="198"/>
      <c r="S68" s="198"/>
      <c r="T68" s="198"/>
      <c r="U68" s="198"/>
    </row>
    <row r="69" spans="1:21" s="12" customFormat="1" ht="15">
      <c r="A69" s="201" t="s">
        <v>1170</v>
      </c>
      <c r="B69" s="60">
        <v>1.39</v>
      </c>
      <c r="C69" s="60">
        <v>32.39</v>
      </c>
      <c r="D69" s="60">
        <v>33.78</v>
      </c>
      <c r="E69" s="60">
        <v>3.79</v>
      </c>
      <c r="F69" s="60">
        <v>3.16</v>
      </c>
      <c r="G69" s="60">
        <v>70.010000000000005</v>
      </c>
      <c r="H69" s="60">
        <v>22.92</v>
      </c>
      <c r="I69" s="60">
        <v>4.1900000000000004</v>
      </c>
      <c r="J69" s="60">
        <v>1.58</v>
      </c>
      <c r="K69" s="60">
        <v>301.30</v>
      </c>
      <c r="L69" s="60">
        <v>52.54</v>
      </c>
      <c r="M69" s="60">
        <v>24.55</v>
      </c>
      <c r="N69" s="60">
        <v>564</v>
      </c>
      <c r="O69" s="60">
        <v>0</v>
      </c>
      <c r="P69" s="60">
        <v>1.95</v>
      </c>
      <c r="Q69" s="60">
        <v>101.82</v>
      </c>
      <c r="R69" s="198"/>
      <c r="S69" s="198"/>
      <c r="T69" s="198"/>
      <c r="U69" s="198"/>
    </row>
    <row r="70" spans="1:21" s="12" customFormat="1" ht="15">
      <c r="A70" s="201" t="s">
        <v>1171</v>
      </c>
      <c r="B70" s="60">
        <v>0.97</v>
      </c>
      <c r="C70" s="60">
        <v>32.04</v>
      </c>
      <c r="D70" s="60">
        <v>33.01</v>
      </c>
      <c r="E70" s="60">
        <v>4.03</v>
      </c>
      <c r="F70" s="60">
        <v>3.82</v>
      </c>
      <c r="G70" s="60">
        <v>80.650000000000006</v>
      </c>
      <c r="H70" s="60">
        <v>28.11</v>
      </c>
      <c r="I70" s="60">
        <v>4.4000000000000004</v>
      </c>
      <c r="J70" s="60">
        <v>0.81</v>
      </c>
      <c r="K70" s="60">
        <v>225.30</v>
      </c>
      <c r="L70" s="60">
        <v>51.56</v>
      </c>
      <c r="M70" s="60">
        <v>24.14</v>
      </c>
      <c r="N70" s="60">
        <v>408.30</v>
      </c>
      <c r="O70" s="60">
        <v>0</v>
      </c>
      <c r="P70" s="60">
        <v>1.93</v>
      </c>
      <c r="Q70" s="60">
        <v>116.19</v>
      </c>
      <c r="R70" s="198"/>
      <c r="S70" s="198"/>
      <c r="T70" s="198"/>
      <c r="U70" s="198"/>
    </row>
    <row r="71" spans="1:21" s="12" customFormat="1" ht="15">
      <c r="A71" s="201" t="s">
        <v>1172</v>
      </c>
      <c r="B71" s="60">
        <v>0.76</v>
      </c>
      <c r="C71" s="60">
        <v>33.340000000000003</v>
      </c>
      <c r="D71" s="60">
        <v>34.11</v>
      </c>
      <c r="E71" s="60">
        <v>4.2300000000000004</v>
      </c>
      <c r="F71" s="60">
        <v>3.39</v>
      </c>
      <c r="G71" s="60">
        <v>80.650000000000006</v>
      </c>
      <c r="H71" s="60">
        <v>29.32</v>
      </c>
      <c r="I71" s="60">
        <v>4.41</v>
      </c>
      <c r="J71" s="60">
        <v>0.64</v>
      </c>
      <c r="K71" s="60">
        <v>315.42</v>
      </c>
      <c r="L71" s="60">
        <v>52.40</v>
      </c>
      <c r="M71" s="60">
        <v>25.34</v>
      </c>
      <c r="N71" s="60">
        <v>349.30</v>
      </c>
      <c r="O71" s="60">
        <v>0</v>
      </c>
      <c r="P71" s="60">
        <v>1.95</v>
      </c>
      <c r="Q71" s="60">
        <v>136.16999999999999</v>
      </c>
      <c r="R71" s="198"/>
      <c r="S71" s="198"/>
      <c r="T71" s="198"/>
      <c r="U71" s="198"/>
    </row>
    <row r="72" spans="1:21" s="12" customFormat="1" ht="15">
      <c r="A72" s="201" t="s">
        <v>1173</v>
      </c>
      <c r="B72" s="60">
        <v>1.20</v>
      </c>
      <c r="C72" s="60">
        <v>30.49</v>
      </c>
      <c r="D72" s="60">
        <v>31.69</v>
      </c>
      <c r="E72" s="60">
        <v>4.54</v>
      </c>
      <c r="F72" s="60">
        <v>3.39</v>
      </c>
      <c r="G72" s="60">
        <v>80.650000000000006</v>
      </c>
      <c r="H72" s="60">
        <v>21.66</v>
      </c>
      <c r="I72" s="60">
        <v>4.3899999999999997</v>
      </c>
      <c r="J72" s="60">
        <v>0.27</v>
      </c>
      <c r="K72" s="60">
        <v>333.29</v>
      </c>
      <c r="L72" s="60">
        <v>54.25</v>
      </c>
      <c r="M72" s="60">
        <v>27.07</v>
      </c>
      <c r="N72" s="60">
        <v>244.20</v>
      </c>
      <c r="O72" s="60">
        <v>0</v>
      </c>
      <c r="P72" s="60">
        <v>2</v>
      </c>
      <c r="Q72" s="60">
        <v>119.16</v>
      </c>
      <c r="R72" s="198"/>
      <c r="S72" s="198"/>
      <c r="T72" s="198"/>
      <c r="U72" s="198"/>
    </row>
    <row r="73" spans="1:21" s="12" customFormat="1" ht="15">
      <c r="A73" s="201" t="s">
        <v>1174</v>
      </c>
      <c r="B73" s="60">
        <v>1.1100000000000001</v>
      </c>
      <c r="C73" s="60">
        <v>29.80</v>
      </c>
      <c r="D73" s="60">
        <v>30.91</v>
      </c>
      <c r="E73" s="60">
        <v>4.20</v>
      </c>
      <c r="F73" s="60">
        <v>4.03</v>
      </c>
      <c r="G73" s="60">
        <v>80.650000000000006</v>
      </c>
      <c r="H73" s="219" t="s">
        <v>36</v>
      </c>
      <c r="I73" s="60">
        <v>4.80</v>
      </c>
      <c r="J73" s="60">
        <v>0.45</v>
      </c>
      <c r="K73" s="60">
        <v>29.88</v>
      </c>
      <c r="L73" s="60">
        <v>55.77</v>
      </c>
      <c r="M73" s="60">
        <v>26.96</v>
      </c>
      <c r="N73" s="60">
        <v>203.10</v>
      </c>
      <c r="O73" s="60">
        <v>0</v>
      </c>
      <c r="P73" s="60">
        <v>2.02</v>
      </c>
      <c r="Q73" s="60">
        <v>110.56</v>
      </c>
      <c r="R73" s="198"/>
      <c r="S73" s="198"/>
      <c r="T73" s="198"/>
      <c r="U73" s="198"/>
    </row>
    <row r="74" spans="1:21" s="12" customFormat="1" ht="15">
      <c r="A74" s="201" t="s">
        <v>1175</v>
      </c>
      <c r="B74" s="60">
        <v>1.1599999999999999</v>
      </c>
      <c r="C74" s="60">
        <v>33.06</v>
      </c>
      <c r="D74" s="60">
        <v>34.21</v>
      </c>
      <c r="E74" s="60">
        <v>4.04</v>
      </c>
      <c r="F74" s="60">
        <v>3.25</v>
      </c>
      <c r="G74" s="60">
        <v>81.44</v>
      </c>
      <c r="H74" s="219" t="s">
        <v>36</v>
      </c>
      <c r="I74" s="60">
        <v>5.29</v>
      </c>
      <c r="J74" s="60">
        <v>0.55000000000000004</v>
      </c>
      <c r="K74" s="60">
        <v>260.77999999999997</v>
      </c>
      <c r="L74" s="60">
        <v>54.44</v>
      </c>
      <c r="M74" s="60">
        <v>26.40</v>
      </c>
      <c r="N74" s="60">
        <v>222.10</v>
      </c>
      <c r="O74" s="60">
        <v>0</v>
      </c>
      <c r="P74" s="60">
        <v>2.0499999999999998</v>
      </c>
      <c r="Q74" s="60">
        <v>125.02</v>
      </c>
      <c r="R74" s="198"/>
      <c r="S74" s="198"/>
      <c r="T74" s="198"/>
      <c r="U74" s="198"/>
    </row>
    <row r="75" spans="1:21" s="12" customFormat="1" ht="15">
      <c r="A75" s="201" t="s">
        <v>1176</v>
      </c>
      <c r="B75" s="60">
        <v>1.17</v>
      </c>
      <c r="C75" s="60">
        <v>37.90</v>
      </c>
      <c r="D75" s="60">
        <v>39.07</v>
      </c>
      <c r="E75" s="60">
        <v>4.17</v>
      </c>
      <c r="F75" s="60">
        <v>14.11</v>
      </c>
      <c r="G75" s="60">
        <v>81.44</v>
      </c>
      <c r="H75" s="219" t="s">
        <v>36</v>
      </c>
      <c r="I75" s="60">
        <v>5.69</v>
      </c>
      <c r="J75" s="60">
        <v>1.25</v>
      </c>
      <c r="K75" s="60">
        <v>353.30</v>
      </c>
      <c r="L75" s="60">
        <v>55.03</v>
      </c>
      <c r="M75" s="60">
        <v>27.10</v>
      </c>
      <c r="N75" s="60">
        <v>216.70</v>
      </c>
      <c r="O75" s="60">
        <v>0</v>
      </c>
      <c r="P75" s="60">
        <v>2.0499999999999998</v>
      </c>
      <c r="Q75" s="60">
        <v>135.63999999999999</v>
      </c>
      <c r="R75" s="198"/>
      <c r="S75" s="198"/>
      <c r="T75" s="198"/>
      <c r="U75" s="198"/>
    </row>
    <row r="76" spans="1:21" s="12" customFormat="1" ht="15">
      <c r="A76" s="201" t="s">
        <v>1177</v>
      </c>
      <c r="B76" s="60">
        <v>0.49</v>
      </c>
      <c r="C76" s="60">
        <v>47.09</v>
      </c>
      <c r="D76" s="60">
        <v>47.58</v>
      </c>
      <c r="E76" s="60">
        <v>3.47</v>
      </c>
      <c r="F76" s="60">
        <v>8.8000000000000007</v>
      </c>
      <c r="G76" s="219" t="s">
        <v>36</v>
      </c>
      <c r="H76" s="219" t="s">
        <v>36</v>
      </c>
      <c r="I76" s="60">
        <v>6</v>
      </c>
      <c r="J76" s="60">
        <v>0.77</v>
      </c>
      <c r="K76" s="60">
        <v>339.95</v>
      </c>
      <c r="L76" s="60">
        <v>55.98</v>
      </c>
      <c r="M76" s="60">
        <v>26.37</v>
      </c>
      <c r="N76" s="60">
        <v>197.10</v>
      </c>
      <c r="O76" s="60">
        <v>0</v>
      </c>
      <c r="P76" s="60">
        <v>2.10</v>
      </c>
      <c r="Q76" s="60">
        <v>127.80</v>
      </c>
      <c r="R76" s="198"/>
      <c r="S76" s="198"/>
      <c r="T76" s="198"/>
      <c r="U76" s="198"/>
    </row>
    <row r="77" spans="1:21" s="12" customFormat="1" ht="15">
      <c r="A77" s="201" t="s">
        <v>1178</v>
      </c>
      <c r="B77" s="60">
        <v>0.81</v>
      </c>
      <c r="C77" s="60">
        <v>49.45</v>
      </c>
      <c r="D77" s="60">
        <v>50.26</v>
      </c>
      <c r="E77" s="60">
        <v>3.30</v>
      </c>
      <c r="F77" s="60">
        <v>4.83</v>
      </c>
      <c r="G77" s="219" t="s">
        <v>36</v>
      </c>
      <c r="H77" s="219" t="s">
        <v>36</v>
      </c>
      <c r="I77" s="60">
        <v>6.14</v>
      </c>
      <c r="J77" s="60">
        <v>0.83</v>
      </c>
      <c r="K77" s="60">
        <v>4.5999999999999996</v>
      </c>
      <c r="L77" s="60">
        <v>54.67</v>
      </c>
      <c r="M77" s="60">
        <v>26.48</v>
      </c>
      <c r="N77" s="60">
        <v>144.10</v>
      </c>
      <c r="O77" s="60">
        <v>0</v>
      </c>
      <c r="P77" s="60">
        <v>2.13</v>
      </c>
      <c r="Q77" s="60">
        <v>132.82</v>
      </c>
      <c r="R77" s="198"/>
      <c r="S77" s="198"/>
      <c r="T77" s="198"/>
      <c r="U77" s="198"/>
    </row>
    <row r="78" spans="1:21" s="12" customFormat="1" ht="15">
      <c r="A78" s="201" t="s">
        <v>1179</v>
      </c>
      <c r="B78" s="60">
        <v>0.83</v>
      </c>
      <c r="C78" s="60">
        <v>49.10</v>
      </c>
      <c r="D78" s="60">
        <v>49.93</v>
      </c>
      <c r="E78" s="60">
        <v>3.18</v>
      </c>
      <c r="F78" s="60">
        <v>3.05</v>
      </c>
      <c r="G78" s="219" t="s">
        <v>36</v>
      </c>
      <c r="H78" s="219" t="s">
        <v>36</v>
      </c>
      <c r="I78" s="60">
        <v>6.36</v>
      </c>
      <c r="J78" s="60">
        <v>0.96</v>
      </c>
      <c r="K78" s="60">
        <v>10.97</v>
      </c>
      <c r="L78" s="60">
        <v>53.10</v>
      </c>
      <c r="M78" s="60">
        <v>27.70</v>
      </c>
      <c r="N78" s="60">
        <v>115.40</v>
      </c>
      <c r="O78" s="60">
        <v>0</v>
      </c>
      <c r="P78" s="60">
        <v>2.14</v>
      </c>
      <c r="Q78" s="60">
        <v>137.69999999999999</v>
      </c>
      <c r="R78" s="198"/>
      <c r="S78" s="198"/>
      <c r="T78" s="198"/>
      <c r="U78" s="198"/>
    </row>
    <row r="79" spans="1:21" s="12" customFormat="1" ht="15">
      <c r="A79" s="201" t="s">
        <v>1180</v>
      </c>
      <c r="B79" s="60">
        <v>1.44</v>
      </c>
      <c r="C79" s="60">
        <v>49.68</v>
      </c>
      <c r="D79" s="60">
        <v>51.12</v>
      </c>
      <c r="E79" s="60">
        <v>3.12</v>
      </c>
      <c r="F79" s="60">
        <v>7.44</v>
      </c>
      <c r="G79" s="219" t="s">
        <v>36</v>
      </c>
      <c r="H79" s="219" t="s">
        <v>36</v>
      </c>
      <c r="I79" s="60">
        <v>6.68</v>
      </c>
      <c r="J79" s="60">
        <v>1.83</v>
      </c>
      <c r="K79" s="60">
        <v>344.74</v>
      </c>
      <c r="L79" s="60">
        <v>50.04</v>
      </c>
      <c r="M79" s="60">
        <v>35.56</v>
      </c>
      <c r="N79" s="60">
        <v>109.20</v>
      </c>
      <c r="O79" s="60">
        <v>0</v>
      </c>
      <c r="P79" s="60">
        <v>2.15</v>
      </c>
      <c r="Q79" s="60">
        <v>132.16</v>
      </c>
      <c r="R79" s="198"/>
      <c r="S79" s="198"/>
      <c r="T79" s="198"/>
      <c r="U79" s="198"/>
    </row>
    <row r="80" spans="1:21" s="12" customFormat="1" ht="15">
      <c r="A80" s="201" t="s">
        <v>1181</v>
      </c>
      <c r="B80" s="60">
        <v>1.44</v>
      </c>
      <c r="C80" s="60">
        <v>51.64</v>
      </c>
      <c r="D80" s="60">
        <v>53.08</v>
      </c>
      <c r="E80" s="60">
        <v>3.02</v>
      </c>
      <c r="F80" s="60">
        <v>3.84</v>
      </c>
      <c r="G80" s="60">
        <v>54.52</v>
      </c>
      <c r="H80" s="60">
        <v>19.649999999999999</v>
      </c>
      <c r="I80" s="60">
        <v>6.92</v>
      </c>
      <c r="J80" s="60">
        <v>1.61</v>
      </c>
      <c r="K80" s="60">
        <v>348.17</v>
      </c>
      <c r="L80" s="60">
        <v>49.05</v>
      </c>
      <c r="M80" s="60">
        <v>34.92</v>
      </c>
      <c r="N80" s="60">
        <v>89.20</v>
      </c>
      <c r="O80" s="60">
        <v>0</v>
      </c>
      <c r="P80" s="60">
        <v>2.16</v>
      </c>
      <c r="Q80" s="60">
        <v>140.38</v>
      </c>
      <c r="R80" s="198"/>
      <c r="S80" s="198"/>
      <c r="T80" s="198"/>
      <c r="U80" s="198"/>
    </row>
    <row r="81" spans="1:21" s="12" customFormat="1" ht="15">
      <c r="A81" s="201" t="s">
        <v>1182</v>
      </c>
      <c r="B81" s="60">
        <v>1.43</v>
      </c>
      <c r="C81" s="60">
        <v>61.47</v>
      </c>
      <c r="D81" s="60">
        <v>62.91</v>
      </c>
      <c r="E81" s="60">
        <v>3.25</v>
      </c>
      <c r="F81" s="60">
        <v>2.80</v>
      </c>
      <c r="G81" s="60">
        <v>71.290000000000006</v>
      </c>
      <c r="H81" s="60">
        <v>33.36</v>
      </c>
      <c r="I81" s="60">
        <v>6.77</v>
      </c>
      <c r="J81" s="60">
        <v>1.46</v>
      </c>
      <c r="K81" s="60">
        <v>357.33</v>
      </c>
      <c r="L81" s="60">
        <v>47.85</v>
      </c>
      <c r="M81" s="60">
        <v>34.770000000000003</v>
      </c>
      <c r="N81" s="60">
        <v>66.5</v>
      </c>
      <c r="O81" s="60">
        <v>0</v>
      </c>
      <c r="P81" s="60">
        <v>2.1800000000000002</v>
      </c>
      <c r="Q81" s="60">
        <v>176.54</v>
      </c>
      <c r="R81" s="198"/>
      <c r="S81" s="198"/>
      <c r="T81" s="198"/>
      <c r="U81" s="198"/>
    </row>
    <row r="82" spans="1:21" s="12" customFormat="1" ht="15">
      <c r="A82" s="201" t="s">
        <v>1183</v>
      </c>
      <c r="B82" s="60">
        <v>2</v>
      </c>
      <c r="C82" s="60">
        <v>70.31</v>
      </c>
      <c r="D82" s="60">
        <v>72.31</v>
      </c>
      <c r="E82" s="60">
        <v>3.36</v>
      </c>
      <c r="F82" s="60">
        <v>1.39</v>
      </c>
      <c r="G82" s="60">
        <v>71.290000000000006</v>
      </c>
      <c r="H82" s="60">
        <v>33.36</v>
      </c>
      <c r="I82" s="60">
        <v>6.29</v>
      </c>
      <c r="J82" s="60">
        <v>1.06</v>
      </c>
      <c r="K82" s="60">
        <v>332.83</v>
      </c>
      <c r="L82" s="60">
        <v>51.20</v>
      </c>
      <c r="M82" s="60">
        <v>32.590000000000003</v>
      </c>
      <c r="N82" s="60">
        <v>78.20</v>
      </c>
      <c r="O82" s="60">
        <v>0</v>
      </c>
      <c r="P82" s="60">
        <v>2.21</v>
      </c>
      <c r="Q82" s="60">
        <v>184.87</v>
      </c>
      <c r="R82" s="198"/>
      <c r="S82" s="198"/>
      <c r="T82" s="198"/>
      <c r="U82" s="198"/>
    </row>
    <row r="83" spans="1:21" s="12" customFormat="1" ht="15">
      <c r="A83" s="201" t="s">
        <v>1184</v>
      </c>
      <c r="B83" s="60">
        <v>2.76</v>
      </c>
      <c r="C83" s="60">
        <v>67.349999999999994</v>
      </c>
      <c r="D83" s="60">
        <v>70.11</v>
      </c>
      <c r="E83" s="60">
        <v>3.79</v>
      </c>
      <c r="F83" s="60">
        <v>0.85</v>
      </c>
      <c r="G83" s="60">
        <v>71.290000000000006</v>
      </c>
      <c r="H83" s="60">
        <v>33.36</v>
      </c>
      <c r="I83" s="60">
        <v>6.25</v>
      </c>
      <c r="J83" s="60">
        <v>0.55000000000000004</v>
      </c>
      <c r="K83" s="60">
        <v>316.11</v>
      </c>
      <c r="L83" s="60">
        <v>48.37</v>
      </c>
      <c r="M83" s="60">
        <v>30.46</v>
      </c>
      <c r="N83" s="60">
        <v>69.30</v>
      </c>
      <c r="O83" s="60">
        <v>0</v>
      </c>
      <c r="P83" s="60">
        <v>2.2400000000000002</v>
      </c>
      <c r="Q83" s="60">
        <v>188.66</v>
      </c>
      <c r="R83" s="198"/>
      <c r="S83" s="198"/>
      <c r="T83" s="198"/>
      <c r="U83" s="198"/>
    </row>
    <row r="84" spans="1:21" s="12" customFormat="1" ht="15">
      <c r="A84" s="201" t="s">
        <v>1185</v>
      </c>
      <c r="B84" s="60">
        <v>4.9800000000000004</v>
      </c>
      <c r="C84" s="60">
        <v>67.20</v>
      </c>
      <c r="D84" s="60">
        <v>72.180000000000007</v>
      </c>
      <c r="E84" s="60">
        <v>2.52</v>
      </c>
      <c r="F84" s="60">
        <v>0.52</v>
      </c>
      <c r="G84" s="60">
        <v>92.64</v>
      </c>
      <c r="H84" s="60">
        <v>34.909999999999997</v>
      </c>
      <c r="I84" s="60">
        <v>6.29</v>
      </c>
      <c r="J84" s="60">
        <v>0.33</v>
      </c>
      <c r="K84" s="60">
        <v>308.87</v>
      </c>
      <c r="L84" s="60">
        <v>51.01</v>
      </c>
      <c r="M84" s="60">
        <v>26.12</v>
      </c>
      <c r="N84" s="60">
        <v>76.599999999999994</v>
      </c>
      <c r="O84" s="60">
        <v>0</v>
      </c>
      <c r="P84" s="60">
        <v>2.29</v>
      </c>
      <c r="Q84" s="60">
        <v>176.34</v>
      </c>
      <c r="R84" s="198"/>
      <c r="S84" s="198"/>
      <c r="T84" s="198"/>
      <c r="U84" s="198"/>
    </row>
    <row r="85" spans="1:21" s="12" customFormat="1" ht="15">
      <c r="A85" s="201" t="s">
        <v>1186</v>
      </c>
      <c r="B85" s="60">
        <v>7.31</v>
      </c>
      <c r="C85" s="60">
        <v>72.72</v>
      </c>
      <c r="D85" s="60">
        <v>80.03</v>
      </c>
      <c r="E85" s="60">
        <v>4.17</v>
      </c>
      <c r="F85" s="60">
        <v>0.44</v>
      </c>
      <c r="G85" s="60">
        <v>99.20</v>
      </c>
      <c r="H85" s="60">
        <v>36.04</v>
      </c>
      <c r="I85" s="60">
        <v>6.34</v>
      </c>
      <c r="J85" s="60">
        <v>0.37</v>
      </c>
      <c r="K85" s="60">
        <v>332.68</v>
      </c>
      <c r="L85" s="60">
        <v>51.08</v>
      </c>
      <c r="M85" s="60">
        <v>25.85</v>
      </c>
      <c r="N85" s="60">
        <v>67.70</v>
      </c>
      <c r="O85" s="60">
        <v>0</v>
      </c>
      <c r="P85" s="60">
        <v>2.34</v>
      </c>
      <c r="Q85" s="60">
        <v>180.84</v>
      </c>
      <c r="R85" s="198"/>
      <c r="S85" s="198"/>
      <c r="T85" s="198"/>
      <c r="U85" s="198"/>
    </row>
    <row r="86" spans="1:21" s="12" customFormat="1" ht="15">
      <c r="A86" s="201" t="s">
        <v>1187</v>
      </c>
      <c r="B86" s="60">
        <v>8.39</v>
      </c>
      <c r="C86" s="60">
        <v>72.98</v>
      </c>
      <c r="D86" s="60">
        <v>81.37</v>
      </c>
      <c r="E86" s="60">
        <v>4.66</v>
      </c>
      <c r="F86" s="60">
        <v>0.56999999999999995</v>
      </c>
      <c r="G86" s="60">
        <v>99.20</v>
      </c>
      <c r="H86" s="60">
        <v>36.04</v>
      </c>
      <c r="I86" s="60">
        <v>6.60</v>
      </c>
      <c r="J86" s="60">
        <v>0.36</v>
      </c>
      <c r="K86" s="60">
        <v>347.58</v>
      </c>
      <c r="L86" s="60">
        <v>49.93</v>
      </c>
      <c r="M86" s="60">
        <v>25.65</v>
      </c>
      <c r="N86" s="60">
        <v>104.80</v>
      </c>
      <c r="O86" s="60">
        <v>0</v>
      </c>
      <c r="P86" s="60">
        <v>2.39</v>
      </c>
      <c r="Q86" s="60">
        <v>202.42</v>
      </c>
      <c r="R86" s="198"/>
      <c r="S86" s="198"/>
      <c r="T86" s="198"/>
      <c r="U86" s="198"/>
    </row>
    <row r="87" spans="1:21" s="12" customFormat="1" ht="15">
      <c r="A87" s="201" t="s">
        <v>1188</v>
      </c>
      <c r="B87" s="60">
        <v>10.029999999999999</v>
      </c>
      <c r="C87" s="60">
        <v>71.67</v>
      </c>
      <c r="D87" s="60">
        <v>81.70</v>
      </c>
      <c r="E87" s="60">
        <v>5.26</v>
      </c>
      <c r="F87" s="60">
        <v>0.56000000000000005</v>
      </c>
      <c r="G87" s="60">
        <v>99.20</v>
      </c>
      <c r="H87" s="60">
        <v>36.04</v>
      </c>
      <c r="I87" s="60">
        <v>6.87</v>
      </c>
      <c r="J87" s="60">
        <v>0.43</v>
      </c>
      <c r="K87" s="60">
        <v>275.57</v>
      </c>
      <c r="L87" s="60">
        <v>49.62</v>
      </c>
      <c r="M87" s="60">
        <v>26.17</v>
      </c>
      <c r="N87" s="60">
        <v>80.400000000000006</v>
      </c>
      <c r="O87" s="60">
        <v>0</v>
      </c>
      <c r="P87" s="60">
        <v>2.4700000000000002</v>
      </c>
      <c r="Q87" s="60">
        <v>191.70</v>
      </c>
      <c r="R87" s="198"/>
      <c r="S87" s="198"/>
      <c r="T87" s="198"/>
      <c r="U87" s="198"/>
    </row>
    <row r="88" spans="1:21" s="12" customFormat="1" ht="15">
      <c r="A88" s="201" t="s">
        <v>1189</v>
      </c>
      <c r="B88" s="60">
        <v>11.68</v>
      </c>
      <c r="C88" s="60">
        <v>70.17</v>
      </c>
      <c r="D88" s="60">
        <v>81.849999999999994</v>
      </c>
      <c r="E88" s="60">
        <v>5.61</v>
      </c>
      <c r="F88" s="60">
        <v>0.83</v>
      </c>
      <c r="G88" s="60">
        <v>104.71</v>
      </c>
      <c r="H88" s="60">
        <v>33.60</v>
      </c>
      <c r="I88" s="60">
        <v>7.14</v>
      </c>
      <c r="J88" s="60">
        <v>0.33</v>
      </c>
      <c r="K88" s="60">
        <v>319.02</v>
      </c>
      <c r="L88" s="60">
        <v>48.73</v>
      </c>
      <c r="M88" s="60">
        <v>26.64</v>
      </c>
      <c r="N88" s="60">
        <v>46.70</v>
      </c>
      <c r="O88" s="60">
        <v>0</v>
      </c>
      <c r="P88" s="60">
        <v>2.56</v>
      </c>
      <c r="Q88" s="60">
        <v>186.54</v>
      </c>
      <c r="R88" s="198"/>
      <c r="S88" s="198"/>
      <c r="T88" s="198"/>
      <c r="U88" s="198"/>
    </row>
    <row r="89" spans="1:21" s="12" customFormat="1" ht="15">
      <c r="A89" s="201" t="s">
        <v>1190</v>
      </c>
      <c r="B89" s="60">
        <v>11.94</v>
      </c>
      <c r="C89" s="60">
        <v>55.98</v>
      </c>
      <c r="D89" s="60">
        <v>67.92</v>
      </c>
      <c r="E89" s="60">
        <v>6.24</v>
      </c>
      <c r="F89" s="60">
        <v>1.23</v>
      </c>
      <c r="G89" s="60">
        <v>106.40</v>
      </c>
      <c r="H89" s="60">
        <v>31.82</v>
      </c>
      <c r="I89" s="60">
        <v>7.61</v>
      </c>
      <c r="J89" s="60">
        <v>0.51</v>
      </c>
      <c r="K89" s="60">
        <v>306.60000000000002</v>
      </c>
      <c r="L89" s="60">
        <v>48.37</v>
      </c>
      <c r="M89" s="60">
        <v>26.19</v>
      </c>
      <c r="N89" s="60">
        <v>47.70</v>
      </c>
      <c r="O89" s="60">
        <v>0</v>
      </c>
      <c r="P89" s="60">
        <v>2.62</v>
      </c>
      <c r="Q89" s="60">
        <v>167.60</v>
      </c>
      <c r="R89" s="198"/>
      <c r="S89" s="198"/>
      <c r="T89" s="198"/>
      <c r="U89" s="198"/>
    </row>
    <row r="90" spans="1:21" s="12" customFormat="1" ht="15">
      <c r="A90" s="201" t="s">
        <v>1191</v>
      </c>
      <c r="B90" s="60">
        <v>11.56</v>
      </c>
      <c r="C90" s="60">
        <v>52.33</v>
      </c>
      <c r="D90" s="60">
        <v>63.89</v>
      </c>
      <c r="E90" s="60">
        <v>5.92</v>
      </c>
      <c r="F90" s="60">
        <v>1.29</v>
      </c>
      <c r="G90" s="60">
        <v>106.40</v>
      </c>
      <c r="H90" s="60">
        <v>31.82</v>
      </c>
      <c r="I90" s="60">
        <v>7.99</v>
      </c>
      <c r="J90" s="60">
        <v>0.84</v>
      </c>
      <c r="K90" s="60">
        <v>326.12</v>
      </c>
      <c r="L90" s="60">
        <v>49.60</v>
      </c>
      <c r="M90" s="60">
        <v>27.82</v>
      </c>
      <c r="N90" s="60">
        <v>62.40</v>
      </c>
      <c r="O90" s="60">
        <v>0</v>
      </c>
      <c r="P90" s="60">
        <v>2.68</v>
      </c>
      <c r="Q90" s="60">
        <v>157.54</v>
      </c>
      <c r="R90" s="198"/>
      <c r="S90" s="198"/>
      <c r="T90" s="198"/>
      <c r="U90" s="198"/>
    </row>
    <row r="91" spans="1:21" s="12" customFormat="1" ht="15">
      <c r="A91" s="201" t="s">
        <v>1192</v>
      </c>
      <c r="B91" s="60">
        <v>14.25</v>
      </c>
      <c r="C91" s="60">
        <v>56.87</v>
      </c>
      <c r="D91" s="60">
        <v>71.12</v>
      </c>
      <c r="E91" s="60">
        <v>5.70</v>
      </c>
      <c r="F91" s="60">
        <v>1.1200000000000001</v>
      </c>
      <c r="G91" s="60">
        <v>106.40</v>
      </c>
      <c r="H91" s="60">
        <v>31.82</v>
      </c>
      <c r="I91" s="60">
        <v>8.18</v>
      </c>
      <c r="J91" s="60">
        <v>0.26</v>
      </c>
      <c r="K91" s="60">
        <v>324.52</v>
      </c>
      <c r="L91" s="60">
        <v>47.75</v>
      </c>
      <c r="M91" s="60">
        <v>28.02</v>
      </c>
      <c r="N91" s="60">
        <v>77</v>
      </c>
      <c r="O91" s="60">
        <v>0</v>
      </c>
      <c r="P91" s="60">
        <v>2.79</v>
      </c>
      <c r="Q91" s="60">
        <v>162.47</v>
      </c>
      <c r="R91" s="198"/>
      <c r="S91" s="198"/>
      <c r="T91" s="198"/>
      <c r="U91" s="198"/>
    </row>
    <row r="92" spans="1:21" s="12" customFormat="1" ht="15">
      <c r="A92" s="201" t="s">
        <v>1193</v>
      </c>
      <c r="B92" s="60">
        <v>16.100000000000001</v>
      </c>
      <c r="C92" s="60">
        <v>61.07</v>
      </c>
      <c r="D92" s="60">
        <v>77.180000000000007</v>
      </c>
      <c r="E92" s="60">
        <v>5.87</v>
      </c>
      <c r="F92" s="60">
        <v>1.44</v>
      </c>
      <c r="G92" s="60">
        <v>115.08</v>
      </c>
      <c r="H92" s="60">
        <v>32.17</v>
      </c>
      <c r="I92" s="60">
        <v>8.5299999999999994</v>
      </c>
      <c r="J92" s="60">
        <v>0.27</v>
      </c>
      <c r="K92" s="60">
        <v>244.88</v>
      </c>
      <c r="L92" s="60">
        <v>47.22</v>
      </c>
      <c r="M92" s="60">
        <v>27.73</v>
      </c>
      <c r="N92" s="60">
        <v>73.900000000000006</v>
      </c>
      <c r="O92" s="60">
        <v>0</v>
      </c>
      <c r="P92" s="60">
        <v>2.85</v>
      </c>
      <c r="Q92" s="60">
        <v>179.69</v>
      </c>
      <c r="R92" s="198"/>
      <c r="S92" s="198"/>
      <c r="T92" s="198"/>
      <c r="U92" s="198"/>
    </row>
    <row r="93" spans="1:21" s="12" customFormat="1" ht="15">
      <c r="A93" s="201" t="s">
        <v>1194</v>
      </c>
      <c r="B93" s="60">
        <v>13.58</v>
      </c>
      <c r="C93" s="60">
        <v>61.03</v>
      </c>
      <c r="D93" s="60">
        <v>74.61</v>
      </c>
      <c r="E93" s="60">
        <v>5.98</v>
      </c>
      <c r="F93" s="60">
        <v>1.47</v>
      </c>
      <c r="G93" s="60">
        <v>117.75</v>
      </c>
      <c r="H93" s="60">
        <v>32.43</v>
      </c>
      <c r="I93" s="60">
        <v>8.99</v>
      </c>
      <c r="J93" s="60">
        <v>0.82</v>
      </c>
      <c r="K93" s="60">
        <v>235.41</v>
      </c>
      <c r="L93" s="60">
        <v>48.59</v>
      </c>
      <c r="M93" s="60">
        <v>27.63</v>
      </c>
      <c r="N93" s="60">
        <v>53.60</v>
      </c>
      <c r="O93" s="60">
        <v>0</v>
      </c>
      <c r="P93" s="60">
        <v>2.78</v>
      </c>
      <c r="Q93" s="60">
        <v>167.48</v>
      </c>
      <c r="R93" s="198"/>
      <c r="S93" s="198"/>
      <c r="T93" s="198"/>
      <c r="U93" s="198"/>
    </row>
    <row r="94" spans="1:21" s="12" customFormat="1" ht="15">
      <c r="A94" s="201" t="s">
        <v>1195</v>
      </c>
      <c r="B94" s="60">
        <v>10.30</v>
      </c>
      <c r="C94" s="60">
        <v>60.73</v>
      </c>
      <c r="D94" s="60">
        <v>71.03</v>
      </c>
      <c r="E94" s="60">
        <v>5.61</v>
      </c>
      <c r="F94" s="60">
        <v>1.29</v>
      </c>
      <c r="G94" s="60">
        <v>117.75</v>
      </c>
      <c r="H94" s="60">
        <v>32.43</v>
      </c>
      <c r="I94" s="60">
        <v>9.08</v>
      </c>
      <c r="J94" s="60">
        <v>1.1000000000000001</v>
      </c>
      <c r="K94" s="60">
        <v>231.95</v>
      </c>
      <c r="L94" s="60">
        <v>49.61</v>
      </c>
      <c r="M94" s="60">
        <v>28.20</v>
      </c>
      <c r="N94" s="60">
        <v>47.10</v>
      </c>
      <c r="O94" s="60">
        <v>0</v>
      </c>
      <c r="P94" s="60">
        <v>2.76</v>
      </c>
      <c r="Q94" s="60">
        <v>165.01</v>
      </c>
      <c r="R94" s="198"/>
      <c r="S94" s="198"/>
      <c r="T94" s="198"/>
      <c r="U94" s="198"/>
    </row>
    <row r="95" spans="1:21" s="12" customFormat="1" ht="15">
      <c r="A95" s="201" t="s">
        <v>1196</v>
      </c>
      <c r="B95" s="60">
        <v>7.44</v>
      </c>
      <c r="C95" s="60">
        <v>59.27</v>
      </c>
      <c r="D95" s="60">
        <v>66.709999999999994</v>
      </c>
      <c r="E95" s="60">
        <v>5.98</v>
      </c>
      <c r="F95" s="60">
        <v>1.34</v>
      </c>
      <c r="G95" s="60">
        <v>117.75</v>
      </c>
      <c r="H95" s="60">
        <v>32.43</v>
      </c>
      <c r="I95" s="60">
        <v>8.85</v>
      </c>
      <c r="J95" s="60">
        <v>1.26</v>
      </c>
      <c r="K95" s="60">
        <v>222.97</v>
      </c>
      <c r="L95" s="60">
        <v>49.42</v>
      </c>
      <c r="M95" s="60">
        <v>28.46</v>
      </c>
      <c r="N95" s="60">
        <v>53.20</v>
      </c>
      <c r="O95" s="60">
        <v>0</v>
      </c>
      <c r="P95" s="60">
        <v>2.67</v>
      </c>
      <c r="Q95" s="60">
        <v>166.38</v>
      </c>
      <c r="R95" s="198"/>
      <c r="S95" s="198"/>
      <c r="T95" s="198"/>
      <c r="U95" s="198"/>
    </row>
    <row r="96" spans="1:26" s="12" customFormat="1" ht="15">
      <c r="A96" s="201" t="s">
        <v>1197</v>
      </c>
      <c r="B96" s="60">
        <v>4.8099999999999996</v>
      </c>
      <c r="C96" s="60">
        <v>56.96</v>
      </c>
      <c r="D96" s="60">
        <v>61.77</v>
      </c>
      <c r="E96" s="60">
        <v>5.52</v>
      </c>
      <c r="F96" s="60">
        <v>1.56</v>
      </c>
      <c r="G96" s="60">
        <v>124.86</v>
      </c>
      <c r="H96" s="60">
        <v>37.28</v>
      </c>
      <c r="I96" s="60">
        <v>8.58</v>
      </c>
      <c r="J96" s="60">
        <v>1.56</v>
      </c>
      <c r="K96" s="60">
        <v>211.29</v>
      </c>
      <c r="L96" s="60">
        <v>49.46</v>
      </c>
      <c r="M96" s="60">
        <v>29.12</v>
      </c>
      <c r="N96" s="60">
        <v>47</v>
      </c>
      <c r="O96" s="60">
        <v>0</v>
      </c>
      <c r="P96" s="60">
        <v>2.59</v>
      </c>
      <c r="Q96" s="60">
        <v>166.55</v>
      </c>
      <c r="R96" s="198"/>
      <c r="S96" s="198"/>
      <c r="T96" s="198"/>
      <c r="U96" s="198"/>
      <c r="Z96" s="109"/>
    </row>
    <row r="97" spans="1:21" s="12" customFormat="1" ht="15">
      <c r="A97" s="201" t="s">
        <v>1198</v>
      </c>
      <c r="B97" s="60">
        <v>3</v>
      </c>
      <c r="C97" s="60">
        <v>53.94</v>
      </c>
      <c r="D97" s="60">
        <v>56.94</v>
      </c>
      <c r="E97" s="60">
        <v>5.84</v>
      </c>
      <c r="F97" s="60">
        <v>1.83</v>
      </c>
      <c r="G97" s="60">
        <v>127.05</v>
      </c>
      <c r="H97" s="60">
        <v>40.82</v>
      </c>
      <c r="I97" s="60">
        <v>8.25</v>
      </c>
      <c r="J97" s="60">
        <v>1.52</v>
      </c>
      <c r="K97" s="60">
        <v>207.13</v>
      </c>
      <c r="L97" s="60">
        <v>48.38</v>
      </c>
      <c r="M97" s="60">
        <v>32.29</v>
      </c>
      <c r="N97" s="60">
        <v>63.60</v>
      </c>
      <c r="O97" s="60">
        <v>0</v>
      </c>
      <c r="P97" s="60">
        <v>2.54</v>
      </c>
      <c r="Q97" s="60">
        <v>162.71</v>
      </c>
      <c r="R97" s="198"/>
      <c r="S97" s="198"/>
      <c r="T97" s="198"/>
      <c r="U97" s="198"/>
    </row>
    <row r="98" spans="1:21" s="12" customFormat="1" ht="15">
      <c r="A98" s="201" t="s">
        <v>1199</v>
      </c>
      <c r="B98" s="60">
        <v>1.87</v>
      </c>
      <c r="C98" s="60">
        <v>49.31</v>
      </c>
      <c r="D98" s="60">
        <v>51.17</v>
      </c>
      <c r="E98" s="60">
        <v>5.72</v>
      </c>
      <c r="F98" s="60">
        <v>2.77</v>
      </c>
      <c r="G98" s="60">
        <v>127.05</v>
      </c>
      <c r="H98" s="60">
        <v>40.82</v>
      </c>
      <c r="I98" s="60">
        <v>7.90</v>
      </c>
      <c r="J98" s="60">
        <v>0.11</v>
      </c>
      <c r="K98" s="60">
        <v>286.27999999999997</v>
      </c>
      <c r="L98" s="60">
        <v>47.27</v>
      </c>
      <c r="M98" s="60">
        <v>35.590000000000003</v>
      </c>
      <c r="N98" s="60">
        <v>64.5</v>
      </c>
      <c r="O98" s="60">
        <v>0</v>
      </c>
      <c r="P98" s="60">
        <v>2.4300000000000002</v>
      </c>
      <c r="Q98" s="60">
        <v>160.19</v>
      </c>
      <c r="R98" s="198"/>
      <c r="S98" s="198"/>
      <c r="T98" s="198"/>
      <c r="U98" s="198"/>
    </row>
    <row r="99" spans="1:21" s="12" customFormat="1" ht="15">
      <c r="A99" s="201" t="s">
        <v>1200</v>
      </c>
      <c r="B99" s="60">
        <v>0.83</v>
      </c>
      <c r="C99" s="60">
        <v>42.97</v>
      </c>
      <c r="D99" s="60">
        <v>43.80</v>
      </c>
      <c r="E99" s="60">
        <v>5.89</v>
      </c>
      <c r="F99" s="60">
        <v>4.37</v>
      </c>
      <c r="G99" s="60">
        <v>127.05</v>
      </c>
      <c r="H99" s="60">
        <v>40.82</v>
      </c>
      <c r="I99" s="60">
        <v>7.74</v>
      </c>
      <c r="J99" s="60">
        <v>0.49</v>
      </c>
      <c r="K99" s="60">
        <v>247.61</v>
      </c>
      <c r="L99" s="60">
        <v>47.24</v>
      </c>
      <c r="M99" s="60">
        <v>38.979999999999997</v>
      </c>
      <c r="N99" s="60">
        <v>84.90</v>
      </c>
      <c r="O99" s="60">
        <v>0</v>
      </c>
      <c r="P99" s="60">
        <v>2.2999999999999998</v>
      </c>
      <c r="Q99" s="60">
        <v>166.61</v>
      </c>
      <c r="R99" s="198"/>
      <c r="S99" s="198"/>
      <c r="T99" s="198"/>
      <c r="U99" s="198"/>
    </row>
    <row r="100" spans="1:33" s="12" customFormat="1" ht="15">
      <c r="A100" s="201" t="s">
        <v>1201</v>
      </c>
      <c r="B100" s="60">
        <v>0.39</v>
      </c>
      <c r="C100" s="60">
        <v>39.54</v>
      </c>
      <c r="D100" s="60">
        <v>39.93</v>
      </c>
      <c r="E100" s="60">
        <v>3.09</v>
      </c>
      <c r="F100" s="60">
        <v>3.45</v>
      </c>
      <c r="G100" s="60">
        <v>150.33000000000001</v>
      </c>
      <c r="H100" s="60">
        <v>38.57</v>
      </c>
      <c r="I100" s="60">
        <v>7.20</v>
      </c>
      <c r="J100" s="60">
        <v>0.77</v>
      </c>
      <c r="K100" s="60">
        <v>243.62</v>
      </c>
      <c r="L100" s="60">
        <v>48.05</v>
      </c>
      <c r="M100" s="60">
        <v>39.72</v>
      </c>
      <c r="N100" s="60">
        <v>80.099999999999994</v>
      </c>
      <c r="O100" s="60">
        <v>0</v>
      </c>
      <c r="P100" s="60">
        <v>2.21</v>
      </c>
      <c r="Q100" s="60">
        <v>158.66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1202</v>
      </c>
      <c r="B101" s="60">
        <v>0.30</v>
      </c>
      <c r="C101" s="60">
        <v>37.909999999999997</v>
      </c>
      <c r="D101" s="60">
        <v>38.21</v>
      </c>
      <c r="E101" s="60">
        <v>4.97</v>
      </c>
      <c r="F101" s="60">
        <v>4.0199999999999996</v>
      </c>
      <c r="G101" s="60">
        <v>166.39</v>
      </c>
      <c r="H101" s="60">
        <v>37</v>
      </c>
      <c r="I101" s="60">
        <v>6.43</v>
      </c>
      <c r="J101" s="60">
        <v>0.22</v>
      </c>
      <c r="K101" s="60">
        <v>348.93</v>
      </c>
      <c r="L101" s="60">
        <v>49.37</v>
      </c>
      <c r="M101" s="60">
        <v>39.35</v>
      </c>
      <c r="N101" s="60">
        <v>65.20</v>
      </c>
      <c r="O101" s="60">
        <v>0</v>
      </c>
      <c r="P101" s="60">
        <v>2.10</v>
      </c>
      <c r="Q101" s="60">
        <v>153.19</v>
      </c>
      <c r="R101" s="198"/>
      <c r="S101" s="198"/>
      <c r="T101" s="198"/>
      <c r="U101" s="198"/>
    </row>
    <row r="102" spans="1:21" s="12" customFormat="1" ht="15">
      <c r="A102" s="201" t="s">
        <v>1203</v>
      </c>
      <c r="B102" s="60">
        <v>0.28999999999999998</v>
      </c>
      <c r="C102" s="60">
        <v>36.65</v>
      </c>
      <c r="D102" s="60">
        <v>36.94</v>
      </c>
      <c r="E102" s="60">
        <v>4.79</v>
      </c>
      <c r="F102" s="60">
        <v>4.03</v>
      </c>
      <c r="G102" s="60">
        <v>166.39</v>
      </c>
      <c r="H102" s="60">
        <v>37</v>
      </c>
      <c r="I102" s="60">
        <v>5.81</v>
      </c>
      <c r="J102" s="60">
        <v>0.47</v>
      </c>
      <c r="K102" s="60">
        <v>348.34</v>
      </c>
      <c r="L102" s="60">
        <v>50.13</v>
      </c>
      <c r="M102" s="60">
        <v>39.03</v>
      </c>
      <c r="N102" s="60">
        <v>67.70</v>
      </c>
      <c r="O102" s="60">
        <v>0</v>
      </c>
      <c r="P102" s="60">
        <v>2.02</v>
      </c>
      <c r="Q102" s="60">
        <v>156.32</v>
      </c>
      <c r="R102" s="198"/>
      <c r="S102" s="198"/>
      <c r="T102" s="198"/>
      <c r="U102" s="198"/>
    </row>
    <row r="103" spans="1:21" s="12" customFormat="1" ht="15">
      <c r="A103" s="201" t="s">
        <v>1204</v>
      </c>
      <c r="B103" s="60">
        <v>0.47</v>
      </c>
      <c r="C103" s="60">
        <v>36.630000000000003</v>
      </c>
      <c r="D103" s="60">
        <v>37.10</v>
      </c>
      <c r="E103" s="60">
        <v>4.97</v>
      </c>
      <c r="F103" s="60">
        <v>3.68</v>
      </c>
      <c r="G103" s="60">
        <v>166.39</v>
      </c>
      <c r="H103" s="60">
        <v>37</v>
      </c>
      <c r="I103" s="60">
        <v>5.20</v>
      </c>
      <c r="J103" s="60">
        <v>0.87</v>
      </c>
      <c r="K103" s="60">
        <v>348.68</v>
      </c>
      <c r="L103" s="60">
        <v>52.30</v>
      </c>
      <c r="M103" s="60">
        <v>39.81</v>
      </c>
      <c r="N103" s="60">
        <v>88.40</v>
      </c>
      <c r="O103" s="60">
        <v>0</v>
      </c>
      <c r="P103" s="60">
        <v>1.95</v>
      </c>
      <c r="Q103" s="60">
        <v>153.59</v>
      </c>
      <c r="R103" s="198"/>
      <c r="S103" s="198"/>
      <c r="T103" s="198"/>
      <c r="U103" s="198"/>
    </row>
    <row r="104" spans="1:21" s="12" customFormat="1" ht="15">
      <c r="A104" s="201" t="s">
        <v>1205</v>
      </c>
      <c r="B104" s="60">
        <v>0.28000000000000003</v>
      </c>
      <c r="C104" s="60">
        <v>35.47</v>
      </c>
      <c r="D104" s="60">
        <v>35.76</v>
      </c>
      <c r="E104" s="60">
        <v>4.70</v>
      </c>
      <c r="F104" s="60">
        <v>5.07</v>
      </c>
      <c r="G104" s="60">
        <v>138.40</v>
      </c>
      <c r="H104" s="60">
        <v>34.5</v>
      </c>
      <c r="I104" s="60">
        <v>4.66</v>
      </c>
      <c r="J104" s="60">
        <v>1.05</v>
      </c>
      <c r="K104" s="60">
        <v>18.45</v>
      </c>
      <c r="L104" s="60">
        <v>56.61</v>
      </c>
      <c r="M104" s="60">
        <v>41.81</v>
      </c>
      <c r="N104" s="60">
        <v>70.5</v>
      </c>
      <c r="O104" s="60">
        <v>0</v>
      </c>
      <c r="P104" s="60">
        <v>1.89</v>
      </c>
      <c r="Q104" s="60">
        <v>147.55000000000001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0.28000000000000003</v>
      </c>
      <c r="C106" s="67">
        <f>MIN(C9:C104)</f>
        <v>21.25</v>
      </c>
      <c r="D106" s="67">
        <f t="shared" si="0" ref="D106:Q106">MIN(D9:D104)</f>
        <v>22.100000000000001</v>
      </c>
      <c r="E106" s="67">
        <f t="shared" si="0"/>
        <v>1.6100000000000001</v>
      </c>
      <c r="F106" s="67">
        <f t="shared" si="0"/>
        <v>0.17999999999999999</v>
      </c>
      <c r="G106" s="67">
        <f t="shared" si="0"/>
        <v>54.520000000000003</v>
      </c>
      <c r="H106" s="67">
        <f t="shared" si="0"/>
        <v>19.649999999999999</v>
      </c>
      <c r="I106" s="67">
        <f t="shared" si="0"/>
        <v>3.3900000000000001</v>
      </c>
      <c r="J106" s="67">
        <f t="shared" si="0"/>
        <v>0.089999999999999997</v>
      </c>
      <c r="K106" s="67">
        <f t="shared" si="0"/>
        <v>4.5999999999999996</v>
      </c>
      <c r="L106" s="67">
        <f t="shared" si="0"/>
        <v>40.75</v>
      </c>
      <c r="M106" s="67">
        <f t="shared" si="0"/>
        <v>23.670000000000002</v>
      </c>
      <c r="N106" s="67">
        <f t="shared" si="0"/>
        <v>8.6999999999999993</v>
      </c>
      <c r="O106" s="67">
        <f t="shared" si="0"/>
        <v>0</v>
      </c>
      <c r="P106" s="67">
        <f t="shared" si="0"/>
        <v>1.76</v>
      </c>
      <c r="Q106" s="67">
        <f t="shared" si="0"/>
        <v>48.130000000000003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16.100000000000001</v>
      </c>
      <c r="C107" s="66">
        <f t="shared" si="1" ref="C107:Q107">MAX(C9:C104)</f>
        <v>72.980000000000004</v>
      </c>
      <c r="D107" s="66">
        <f t="shared" si="1"/>
        <v>81.849999999999994</v>
      </c>
      <c r="E107" s="66">
        <f t="shared" si="1"/>
        <v>6.4900000000000002</v>
      </c>
      <c r="F107" s="66">
        <f t="shared" si="1"/>
        <v>14.109999999999999</v>
      </c>
      <c r="G107" s="66">
        <f t="shared" si="1"/>
        <v>166.38999999999999</v>
      </c>
      <c r="H107" s="66">
        <f t="shared" si="1"/>
        <v>40.82</v>
      </c>
      <c r="I107" s="66">
        <f t="shared" si="1"/>
        <v>9.0800000000000001</v>
      </c>
      <c r="J107" s="66">
        <f t="shared" si="1"/>
        <v>3.7799999999999998</v>
      </c>
      <c r="K107" s="66">
        <f t="shared" si="1"/>
        <v>357.32999999999998</v>
      </c>
      <c r="L107" s="66">
        <f t="shared" si="1"/>
        <v>56.609999999999999</v>
      </c>
      <c r="M107" s="66">
        <f t="shared" si="1"/>
        <v>42.32</v>
      </c>
      <c r="N107" s="66">
        <f t="shared" si="1"/>
        <v>1008.6</v>
      </c>
      <c r="O107" s="66">
        <f t="shared" si="1"/>
        <v>0</v>
      </c>
      <c r="P107" s="66">
        <f t="shared" si="1"/>
        <v>2.8500000000000001</v>
      </c>
      <c r="Q107" s="66">
        <f t="shared" si="1"/>
        <v>202.41999999999999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3.0102083333333329</v>
      </c>
      <c r="C108" s="67">
        <f t="shared" si="2" ref="C108:Q108">AVERAGE(C9:C104)</f>
        <v>38.732083333333328</v>
      </c>
      <c r="D108" s="67">
        <f t="shared" si="2"/>
        <v>41.742291666666667</v>
      </c>
      <c r="E108" s="67">
        <f t="shared" si="2"/>
        <v>4.6878125000000024</v>
      </c>
      <c r="F108" s="67">
        <f t="shared" si="2"/>
        <v>2.4570833333333337</v>
      </c>
      <c r="G108" s="67">
        <f t="shared" si="2"/>
        <v>89.702173913043467</v>
      </c>
      <c r="H108" s="67">
        <f t="shared" si="2"/>
        <v>30.987528089887643</v>
      </c>
      <c r="I108" s="67">
        <f t="shared" si="2"/>
        <v>5.4742708333333328</v>
      </c>
      <c r="J108" s="67">
        <f t="shared" si="2"/>
        <v>1.197395833333333</v>
      </c>
      <c r="K108" s="67">
        <f t="shared" si="2"/>
        <v>260.37906250000003</v>
      </c>
      <c r="L108" s="67">
        <f t="shared" si="2"/>
        <v>48.609479166666667</v>
      </c>
      <c r="M108" s="67">
        <f t="shared" si="2"/>
        <v>32.377708333333331</v>
      </c>
      <c r="N108" s="67">
        <f t="shared" si="2"/>
        <v>271.43333333333322</v>
      </c>
      <c r="O108" s="67">
        <f t="shared" si="2"/>
        <v>0</v>
      </c>
      <c r="P108" s="67">
        <f t="shared" si="2"/>
        <v>2.0740625000000001</v>
      </c>
      <c r="Q108" s="67">
        <f t="shared" si="2"/>
        <v>106.64510416666666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3.2966710415418081</v>
      </c>
      <c r="C109" s="67">
        <f t="shared" si="3" ref="C109:Q109">STDEV(C9:C104)</f>
        <v>13.167666133507069</v>
      </c>
      <c r="D109" s="67">
        <f t="shared" si="3"/>
        <v>15.48654142212836</v>
      </c>
      <c r="E109" s="67">
        <f t="shared" si="3"/>
        <v>1.2298345657894449</v>
      </c>
      <c r="F109" s="67">
        <f t="shared" si="3"/>
        <v>2.1539383349755368</v>
      </c>
      <c r="G109" s="67">
        <f t="shared" si="3"/>
        <v>23.314450163599574</v>
      </c>
      <c r="H109" s="67">
        <f t="shared" si="3"/>
        <v>4.195597877239579</v>
      </c>
      <c r="I109" s="67">
        <f t="shared" si="3"/>
        <v>1.4329907957185322</v>
      </c>
      <c r="J109" s="67">
        <f t="shared" si="3"/>
        <v>0.88622944016436067</v>
      </c>
      <c r="K109" s="67">
        <f t="shared" si="3"/>
        <v>97.443585720452646</v>
      </c>
      <c r="L109" s="67">
        <f t="shared" si="3"/>
        <v>4.0813966571806777</v>
      </c>
      <c r="M109" s="67">
        <f t="shared" si="3"/>
        <v>5.7199198520640318</v>
      </c>
      <c r="N109" s="67">
        <f t="shared" si="3"/>
        <v>299.57133221942223</v>
      </c>
      <c r="O109" s="67">
        <f t="shared" si="3"/>
        <v>0</v>
      </c>
      <c r="P109" s="67">
        <f t="shared" si="3"/>
        <v>0.2589272530430517</v>
      </c>
      <c r="Q109" s="67">
        <f t="shared" si="3"/>
        <v>41.905379255119001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1109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ded417-ce00-4393-98c3-7e631e73d197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11-06-2022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1206</v>
      </c>
      <c r="B9" s="60">
        <v>0.04</v>
      </c>
      <c r="C9" s="60">
        <v>32.15</v>
      </c>
      <c r="D9" s="60">
        <v>32.19</v>
      </c>
      <c r="E9" s="60">
        <v>4.30</v>
      </c>
      <c r="F9" s="60">
        <v>6.59</v>
      </c>
      <c r="G9" s="60">
        <v>129.79</v>
      </c>
      <c r="H9" s="60">
        <v>32.75</v>
      </c>
      <c r="I9" s="60">
        <v>4.2300000000000004</v>
      </c>
      <c r="J9" s="60">
        <v>1.61</v>
      </c>
      <c r="K9" s="60">
        <v>9.6999999999999993</v>
      </c>
      <c r="L9" s="60">
        <v>50.84</v>
      </c>
      <c r="M9" s="60">
        <v>45.31</v>
      </c>
      <c r="N9" s="60">
        <v>67.900000000000006</v>
      </c>
      <c r="O9" s="60">
        <v>0</v>
      </c>
      <c r="P9" s="60">
        <v>1.82</v>
      </c>
      <c r="Q9" s="60">
        <v>140.58000000000001</v>
      </c>
      <c r="R9" s="198"/>
      <c r="S9" s="198"/>
      <c r="T9" s="198"/>
      <c r="U9" s="198"/>
    </row>
    <row r="10" spans="1:21" s="12" customFormat="1" ht="15">
      <c r="A10" s="201" t="s">
        <v>1207</v>
      </c>
      <c r="B10" s="218" t="s">
        <v>47</v>
      </c>
      <c r="C10" s="60">
        <v>28.05</v>
      </c>
      <c r="D10" s="60">
        <v>28.05</v>
      </c>
      <c r="E10" s="60">
        <v>4.38</v>
      </c>
      <c r="F10" s="60">
        <v>7.06</v>
      </c>
      <c r="G10" s="60">
        <v>129.79</v>
      </c>
      <c r="H10" s="60">
        <v>32.75</v>
      </c>
      <c r="I10" s="60">
        <v>3.77</v>
      </c>
      <c r="J10" s="60">
        <v>0.80</v>
      </c>
      <c r="K10" s="60">
        <v>34.31</v>
      </c>
      <c r="L10" s="60">
        <v>45.93</v>
      </c>
      <c r="M10" s="60">
        <v>46.59</v>
      </c>
      <c r="N10" s="60">
        <v>78.900000000000006</v>
      </c>
      <c r="O10" s="60">
        <v>0</v>
      </c>
      <c r="P10" s="60">
        <v>1.75</v>
      </c>
      <c r="Q10" s="60">
        <v>133.97999999999999</v>
      </c>
      <c r="R10" s="198"/>
      <c r="S10" s="198"/>
      <c r="T10" s="198"/>
      <c r="U10" s="198"/>
    </row>
    <row r="11" spans="1:21" s="12" customFormat="1" ht="15">
      <c r="A11" s="201" t="s">
        <v>1208</v>
      </c>
      <c r="B11" s="218" t="s">
        <v>47</v>
      </c>
      <c r="C11" s="60">
        <v>22.75</v>
      </c>
      <c r="D11" s="60">
        <v>22.75</v>
      </c>
      <c r="E11" s="60">
        <v>4.25</v>
      </c>
      <c r="F11" s="60">
        <v>6.27</v>
      </c>
      <c r="G11" s="60">
        <v>129.79</v>
      </c>
      <c r="H11" s="60">
        <v>32.75</v>
      </c>
      <c r="I11" s="60">
        <v>3.33</v>
      </c>
      <c r="J11" s="60">
        <v>0.44</v>
      </c>
      <c r="K11" s="60">
        <v>343.51</v>
      </c>
      <c r="L11" s="60">
        <v>45.63</v>
      </c>
      <c r="M11" s="60">
        <v>47.05</v>
      </c>
      <c r="N11" s="60">
        <v>54.40</v>
      </c>
      <c r="O11" s="60">
        <v>0</v>
      </c>
      <c r="P11" s="60">
        <v>1.74</v>
      </c>
      <c r="Q11" s="60">
        <v>131.30000000000001</v>
      </c>
      <c r="R11" s="198"/>
      <c r="S11" s="198"/>
      <c r="T11" s="198"/>
      <c r="U11" s="198"/>
    </row>
    <row r="12" spans="1:21" s="12" customFormat="1" ht="15">
      <c r="A12" s="201" t="s">
        <v>1209</v>
      </c>
      <c r="B12" s="60">
        <v>0.01</v>
      </c>
      <c r="C12" s="60">
        <v>21.61</v>
      </c>
      <c r="D12" s="60">
        <v>21.62</v>
      </c>
      <c r="E12" s="60">
        <v>4.2300000000000004</v>
      </c>
      <c r="F12" s="60">
        <v>5.72</v>
      </c>
      <c r="G12" s="60">
        <v>116.43</v>
      </c>
      <c r="H12" s="60">
        <v>29.92</v>
      </c>
      <c r="I12" s="60">
        <v>2.91</v>
      </c>
      <c r="J12" s="60">
        <v>0.38</v>
      </c>
      <c r="K12" s="60">
        <v>12.07</v>
      </c>
      <c r="L12" s="60">
        <v>44.32</v>
      </c>
      <c r="M12" s="60">
        <v>47.20</v>
      </c>
      <c r="N12" s="60">
        <v>46</v>
      </c>
      <c r="O12" s="60">
        <v>0</v>
      </c>
      <c r="P12" s="60">
        <v>1.71</v>
      </c>
      <c r="Q12" s="60">
        <v>125.03</v>
      </c>
      <c r="R12" s="198"/>
      <c r="S12" s="198"/>
      <c r="T12" s="198"/>
      <c r="U12" s="198"/>
    </row>
    <row r="13" spans="1:21" s="12" customFormat="1" ht="15">
      <c r="A13" s="201" t="s">
        <v>1210</v>
      </c>
      <c r="B13" s="60">
        <v>0.08</v>
      </c>
      <c r="C13" s="60">
        <v>21.72</v>
      </c>
      <c r="D13" s="60">
        <v>21.80</v>
      </c>
      <c r="E13" s="60">
        <v>3.97</v>
      </c>
      <c r="F13" s="60">
        <v>5.27</v>
      </c>
      <c r="G13" s="60">
        <v>112.33</v>
      </c>
      <c r="H13" s="60">
        <v>27.95</v>
      </c>
      <c r="I13" s="60">
        <v>2.64</v>
      </c>
      <c r="J13" s="60">
        <v>0.59</v>
      </c>
      <c r="K13" s="60">
        <v>251.41</v>
      </c>
      <c r="L13" s="60">
        <v>43.78</v>
      </c>
      <c r="M13" s="60">
        <v>47.21</v>
      </c>
      <c r="N13" s="60">
        <v>72.70</v>
      </c>
      <c r="O13" s="60">
        <v>0</v>
      </c>
      <c r="P13" s="60">
        <v>1.71</v>
      </c>
      <c r="Q13" s="60">
        <v>123.14</v>
      </c>
      <c r="R13" s="198"/>
      <c r="S13" s="198"/>
      <c r="T13" s="198"/>
      <c r="U13" s="198"/>
    </row>
    <row r="14" spans="1:21" s="12" customFormat="1" ht="15">
      <c r="A14" s="201" t="s">
        <v>1211</v>
      </c>
      <c r="B14" s="60">
        <v>0.14000000000000001</v>
      </c>
      <c r="C14" s="60">
        <v>21.69</v>
      </c>
      <c r="D14" s="60">
        <v>21.83</v>
      </c>
      <c r="E14" s="60">
        <v>3.83</v>
      </c>
      <c r="F14" s="60">
        <v>4.25</v>
      </c>
      <c r="G14" s="60">
        <v>112.33</v>
      </c>
      <c r="H14" s="60">
        <v>27.95</v>
      </c>
      <c r="I14" s="60">
        <v>2.52</v>
      </c>
      <c r="J14" s="60">
        <v>0.36</v>
      </c>
      <c r="K14" s="60">
        <v>7.90</v>
      </c>
      <c r="L14" s="60">
        <v>44.23</v>
      </c>
      <c r="M14" s="60">
        <v>47.53</v>
      </c>
      <c r="N14" s="60">
        <v>60.20</v>
      </c>
      <c r="O14" s="60">
        <v>0</v>
      </c>
      <c r="P14" s="60">
        <v>1.69</v>
      </c>
      <c r="Q14" s="60">
        <v>122.65</v>
      </c>
      <c r="R14" s="198"/>
      <c r="S14" s="198"/>
      <c r="T14" s="198"/>
      <c r="U14" s="198"/>
    </row>
    <row r="15" spans="1:21" s="12" customFormat="1" ht="15">
      <c r="A15" s="201" t="s">
        <v>1212</v>
      </c>
      <c r="B15" s="60">
        <v>0.15</v>
      </c>
      <c r="C15" s="60">
        <v>22.09</v>
      </c>
      <c r="D15" s="60">
        <v>22.24</v>
      </c>
      <c r="E15" s="60">
        <v>3.96</v>
      </c>
      <c r="F15" s="60">
        <v>3.62</v>
      </c>
      <c r="G15" s="60">
        <v>112.33</v>
      </c>
      <c r="H15" s="60">
        <v>27.95</v>
      </c>
      <c r="I15" s="60">
        <v>2.4300000000000002</v>
      </c>
      <c r="J15" s="60">
        <v>0.77</v>
      </c>
      <c r="K15" s="60">
        <v>20.49</v>
      </c>
      <c r="L15" s="60">
        <v>44.03</v>
      </c>
      <c r="M15" s="60">
        <v>48.46</v>
      </c>
      <c r="N15" s="60">
        <v>69.400000000000006</v>
      </c>
      <c r="O15" s="60">
        <v>0</v>
      </c>
      <c r="P15" s="60">
        <v>1.66</v>
      </c>
      <c r="Q15" s="60">
        <v>122.45</v>
      </c>
      <c r="R15" s="198"/>
      <c r="S15" s="198"/>
      <c r="T15" s="198"/>
      <c r="U15" s="198"/>
    </row>
    <row r="16" spans="1:21" s="12" customFormat="1" ht="15">
      <c r="A16" s="201" t="s">
        <v>1213</v>
      </c>
      <c r="B16" s="60">
        <v>0.14000000000000001</v>
      </c>
      <c r="C16" s="60">
        <v>22.09</v>
      </c>
      <c r="D16" s="60">
        <v>22.23</v>
      </c>
      <c r="E16" s="60">
        <v>4.16</v>
      </c>
      <c r="F16" s="60">
        <v>3.28</v>
      </c>
      <c r="G16" s="60">
        <v>95.21</v>
      </c>
      <c r="H16" s="60">
        <v>26.36</v>
      </c>
      <c r="I16" s="60">
        <v>2.33</v>
      </c>
      <c r="J16" s="60">
        <v>0.79</v>
      </c>
      <c r="K16" s="60">
        <v>6.23</v>
      </c>
      <c r="L16" s="60">
        <v>42.32</v>
      </c>
      <c r="M16" s="60">
        <v>49.32</v>
      </c>
      <c r="N16" s="60">
        <v>81.20</v>
      </c>
      <c r="O16" s="60">
        <v>0</v>
      </c>
      <c r="P16" s="60">
        <v>1.67</v>
      </c>
      <c r="Q16" s="60">
        <v>121.64</v>
      </c>
      <c r="R16" s="198"/>
      <c r="S16" s="198"/>
      <c r="T16" s="198"/>
      <c r="U16" s="198"/>
    </row>
    <row r="17" spans="1:21" s="12" customFormat="1" ht="15">
      <c r="A17" s="201" t="s">
        <v>1214</v>
      </c>
      <c r="B17" s="60">
        <v>0.11</v>
      </c>
      <c r="C17" s="60">
        <v>21.25</v>
      </c>
      <c r="D17" s="60">
        <v>21.35</v>
      </c>
      <c r="E17" s="60">
        <v>3.90</v>
      </c>
      <c r="F17" s="60">
        <v>3.61</v>
      </c>
      <c r="G17" s="60">
        <v>87.97</v>
      </c>
      <c r="H17" s="60">
        <v>25.20</v>
      </c>
      <c r="I17" s="60">
        <v>2.29</v>
      </c>
      <c r="J17" s="60">
        <v>0.41</v>
      </c>
      <c r="K17" s="60">
        <v>349.66</v>
      </c>
      <c r="L17" s="60">
        <v>40.770000000000003</v>
      </c>
      <c r="M17" s="60">
        <v>49.40</v>
      </c>
      <c r="N17" s="60">
        <v>83.60</v>
      </c>
      <c r="O17" s="60">
        <v>0</v>
      </c>
      <c r="P17" s="60">
        <v>1.65</v>
      </c>
      <c r="Q17" s="60">
        <v>116.27</v>
      </c>
      <c r="R17" s="198"/>
      <c r="S17" s="198"/>
      <c r="T17" s="198"/>
      <c r="U17" s="198"/>
    </row>
    <row r="18" spans="1:21" s="12" customFormat="1" ht="15">
      <c r="A18" s="201" t="s">
        <v>1215</v>
      </c>
      <c r="B18" s="60">
        <v>0.26</v>
      </c>
      <c r="C18" s="60">
        <v>21.16</v>
      </c>
      <c r="D18" s="60">
        <v>21.42</v>
      </c>
      <c r="E18" s="60">
        <v>4.41</v>
      </c>
      <c r="F18" s="60">
        <v>3.15</v>
      </c>
      <c r="G18" s="60">
        <v>87.97</v>
      </c>
      <c r="H18" s="60">
        <v>25.20</v>
      </c>
      <c r="I18" s="60">
        <v>2.2400000000000002</v>
      </c>
      <c r="J18" s="60">
        <v>0.90</v>
      </c>
      <c r="K18" s="60">
        <v>12.71</v>
      </c>
      <c r="L18" s="60">
        <v>40.659999999999997</v>
      </c>
      <c r="M18" s="60">
        <v>50.11</v>
      </c>
      <c r="N18" s="60">
        <v>100.90</v>
      </c>
      <c r="O18" s="60">
        <v>0</v>
      </c>
      <c r="P18" s="60">
        <v>1.65</v>
      </c>
      <c r="Q18" s="60">
        <v>115.67</v>
      </c>
      <c r="R18" s="198"/>
      <c r="S18" s="198"/>
      <c r="T18" s="198"/>
      <c r="U18" s="198"/>
    </row>
    <row r="19" spans="1:21" s="12" customFormat="1" ht="15">
      <c r="A19" s="201" t="s">
        <v>1216</v>
      </c>
      <c r="B19" s="60">
        <v>0.56000000000000005</v>
      </c>
      <c r="C19" s="60">
        <v>21.47</v>
      </c>
      <c r="D19" s="60">
        <v>22.04</v>
      </c>
      <c r="E19" s="60">
        <v>4.72</v>
      </c>
      <c r="F19" s="60">
        <v>3.31</v>
      </c>
      <c r="G19" s="60">
        <v>87.97</v>
      </c>
      <c r="H19" s="60">
        <v>25.20</v>
      </c>
      <c r="I19" s="60">
        <v>2.2000000000000002</v>
      </c>
      <c r="J19" s="60">
        <v>0.56999999999999995</v>
      </c>
      <c r="K19" s="60">
        <v>2.95</v>
      </c>
      <c r="L19" s="60">
        <v>41.78</v>
      </c>
      <c r="M19" s="60">
        <v>48.79</v>
      </c>
      <c r="N19" s="60">
        <v>67</v>
      </c>
      <c r="O19" s="60">
        <v>0</v>
      </c>
      <c r="P19" s="60">
        <v>1.65</v>
      </c>
      <c r="Q19" s="60">
        <v>116.12</v>
      </c>
      <c r="R19" s="198"/>
      <c r="S19" s="198"/>
      <c r="T19" s="198"/>
      <c r="U19" s="198"/>
    </row>
    <row r="20" spans="1:21" s="12" customFormat="1" ht="15">
      <c r="A20" s="201" t="s">
        <v>1217</v>
      </c>
      <c r="B20" s="60">
        <v>0.43</v>
      </c>
      <c r="C20" s="60">
        <v>21.80</v>
      </c>
      <c r="D20" s="60">
        <v>22.23</v>
      </c>
      <c r="E20" s="60">
        <v>2.29</v>
      </c>
      <c r="F20" s="60">
        <v>3.53</v>
      </c>
      <c r="G20" s="60">
        <v>65.84</v>
      </c>
      <c r="H20" s="60">
        <v>23.56</v>
      </c>
      <c r="I20" s="60">
        <v>2.16</v>
      </c>
      <c r="J20" s="60">
        <v>0.48</v>
      </c>
      <c r="K20" s="60">
        <v>56.81</v>
      </c>
      <c r="L20" s="60">
        <v>42.19</v>
      </c>
      <c r="M20" s="60">
        <v>47.72</v>
      </c>
      <c r="N20" s="60">
        <v>62.80</v>
      </c>
      <c r="O20" s="60">
        <v>0</v>
      </c>
      <c r="P20" s="60">
        <v>1.62</v>
      </c>
      <c r="Q20" s="60">
        <v>113.53</v>
      </c>
      <c r="R20" s="198"/>
      <c r="S20" s="198"/>
      <c r="T20" s="198"/>
      <c r="U20" s="198"/>
    </row>
    <row r="21" spans="1:21" s="12" customFormat="1" ht="15">
      <c r="A21" s="201" t="s">
        <v>1218</v>
      </c>
      <c r="B21" s="60">
        <v>0.20</v>
      </c>
      <c r="C21" s="60">
        <v>19.84</v>
      </c>
      <c r="D21" s="60">
        <v>20.04</v>
      </c>
      <c r="E21" s="60">
        <v>4.55</v>
      </c>
      <c r="F21" s="60">
        <v>4.3899999999999997</v>
      </c>
      <c r="G21" s="60">
        <v>58.90</v>
      </c>
      <c r="H21" s="60">
        <v>22.36</v>
      </c>
      <c r="I21" s="60">
        <v>2.14</v>
      </c>
      <c r="J21" s="60">
        <v>0.24</v>
      </c>
      <c r="K21" s="60">
        <v>334.43</v>
      </c>
      <c r="L21" s="60">
        <v>42.63</v>
      </c>
      <c r="M21" s="60">
        <v>47.02</v>
      </c>
      <c r="N21" s="60">
        <v>57.80</v>
      </c>
      <c r="O21" s="60">
        <v>0</v>
      </c>
      <c r="P21" s="60">
        <v>1.65</v>
      </c>
      <c r="Q21" s="60">
        <v>111.31</v>
      </c>
      <c r="R21" s="198"/>
      <c r="S21" s="198"/>
      <c r="T21" s="198"/>
      <c r="U21" s="198"/>
    </row>
    <row r="22" spans="1:21" s="12" customFormat="1" ht="15">
      <c r="A22" s="201" t="s">
        <v>1219</v>
      </c>
      <c r="B22" s="60">
        <v>0.12</v>
      </c>
      <c r="C22" s="60">
        <v>19.87</v>
      </c>
      <c r="D22" s="60">
        <v>20</v>
      </c>
      <c r="E22" s="60">
        <v>4.57</v>
      </c>
      <c r="F22" s="60">
        <v>3.73</v>
      </c>
      <c r="G22" s="60">
        <v>58.90</v>
      </c>
      <c r="H22" s="60">
        <v>22.36</v>
      </c>
      <c r="I22" s="60">
        <v>2.12</v>
      </c>
      <c r="J22" s="60">
        <v>0.34</v>
      </c>
      <c r="K22" s="60">
        <v>20.65</v>
      </c>
      <c r="L22" s="60">
        <v>42.94</v>
      </c>
      <c r="M22" s="60">
        <v>46.95</v>
      </c>
      <c r="N22" s="60">
        <v>93.20</v>
      </c>
      <c r="O22" s="60">
        <v>0</v>
      </c>
      <c r="P22" s="60">
        <v>1.64</v>
      </c>
      <c r="Q22" s="60">
        <v>111.43</v>
      </c>
      <c r="R22" s="198"/>
      <c r="S22" s="198"/>
      <c r="T22" s="198"/>
      <c r="U22" s="198"/>
    </row>
    <row r="23" spans="1:21" s="12" customFormat="1" ht="15">
      <c r="A23" s="201" t="s">
        <v>1220</v>
      </c>
      <c r="B23" s="60">
        <v>0.14000000000000001</v>
      </c>
      <c r="C23" s="60">
        <v>20.18</v>
      </c>
      <c r="D23" s="60">
        <v>20.32</v>
      </c>
      <c r="E23" s="60">
        <v>4.43</v>
      </c>
      <c r="F23" s="60">
        <v>3.11</v>
      </c>
      <c r="G23" s="60">
        <v>58.90</v>
      </c>
      <c r="H23" s="60">
        <v>22.36</v>
      </c>
      <c r="I23" s="60">
        <v>2.08</v>
      </c>
      <c r="J23" s="60">
        <v>0.26</v>
      </c>
      <c r="K23" s="60">
        <v>318.67</v>
      </c>
      <c r="L23" s="60">
        <v>44.85</v>
      </c>
      <c r="M23" s="60">
        <v>47.42</v>
      </c>
      <c r="N23" s="60">
        <v>77.900000000000006</v>
      </c>
      <c r="O23" s="60">
        <v>0</v>
      </c>
      <c r="P23" s="60">
        <v>1.64</v>
      </c>
      <c r="Q23" s="60">
        <v>111.30</v>
      </c>
      <c r="R23" s="198"/>
      <c r="S23" s="198"/>
      <c r="T23" s="198"/>
      <c r="U23" s="198"/>
    </row>
    <row r="24" spans="1:21" s="12" customFormat="1" ht="15">
      <c r="A24" s="201" t="s">
        <v>1221</v>
      </c>
      <c r="B24" s="60">
        <v>0.20</v>
      </c>
      <c r="C24" s="60">
        <v>20.23</v>
      </c>
      <c r="D24" s="60">
        <v>20.43</v>
      </c>
      <c r="E24" s="60">
        <v>4.70</v>
      </c>
      <c r="F24" s="60">
        <v>2.65</v>
      </c>
      <c r="G24" s="60">
        <v>54.27</v>
      </c>
      <c r="H24" s="60">
        <v>22.37</v>
      </c>
      <c r="I24" s="60">
        <v>2.12</v>
      </c>
      <c r="J24" s="60">
        <v>0.14000000000000001</v>
      </c>
      <c r="K24" s="60">
        <v>262.83999999999997</v>
      </c>
      <c r="L24" s="60">
        <v>43.89</v>
      </c>
      <c r="M24" s="60">
        <v>47.11</v>
      </c>
      <c r="N24" s="60">
        <v>79.20</v>
      </c>
      <c r="O24" s="60">
        <v>0</v>
      </c>
      <c r="P24" s="60">
        <v>1.66</v>
      </c>
      <c r="Q24" s="60">
        <v>109.96</v>
      </c>
      <c r="R24" s="198"/>
      <c r="S24" s="198"/>
      <c r="T24" s="198"/>
      <c r="U24" s="198"/>
    </row>
    <row r="25" spans="1:21" s="12" customFormat="1" ht="15">
      <c r="A25" s="201" t="s">
        <v>1222</v>
      </c>
      <c r="B25" s="60">
        <v>0.20</v>
      </c>
      <c r="C25" s="60">
        <v>20.43</v>
      </c>
      <c r="D25" s="60">
        <v>20.63</v>
      </c>
      <c r="E25" s="60">
        <v>4.71</v>
      </c>
      <c r="F25" s="60">
        <v>3.02</v>
      </c>
      <c r="G25" s="60">
        <v>52.81</v>
      </c>
      <c r="H25" s="60">
        <v>22.37</v>
      </c>
      <c r="I25" s="60">
        <v>2.09</v>
      </c>
      <c r="J25" s="60">
        <v>0.22</v>
      </c>
      <c r="K25" s="60">
        <v>197.93</v>
      </c>
      <c r="L25" s="60">
        <v>43.90</v>
      </c>
      <c r="M25" s="60">
        <v>46.96</v>
      </c>
      <c r="N25" s="60">
        <v>80.599999999999994</v>
      </c>
      <c r="O25" s="60">
        <v>0</v>
      </c>
      <c r="P25" s="60">
        <v>1.62</v>
      </c>
      <c r="Q25" s="60">
        <v>107.78</v>
      </c>
      <c r="R25" s="198"/>
      <c r="S25" s="198"/>
      <c r="T25" s="198"/>
      <c r="U25" s="198"/>
    </row>
    <row r="26" spans="1:21" s="12" customFormat="1" ht="15">
      <c r="A26" s="201" t="s">
        <v>1223</v>
      </c>
      <c r="B26" s="60">
        <v>0.27</v>
      </c>
      <c r="C26" s="60">
        <v>21.32</v>
      </c>
      <c r="D26" s="60">
        <v>21.59</v>
      </c>
      <c r="E26" s="60">
        <v>5.0599999999999996</v>
      </c>
      <c r="F26" s="60">
        <v>2.80</v>
      </c>
      <c r="G26" s="60">
        <v>52.81</v>
      </c>
      <c r="H26" s="60">
        <v>22.37</v>
      </c>
      <c r="I26" s="60">
        <v>2.11</v>
      </c>
      <c r="J26" s="60">
        <v>1.08</v>
      </c>
      <c r="K26" s="60">
        <v>222.98</v>
      </c>
      <c r="L26" s="60">
        <v>42.80</v>
      </c>
      <c r="M26" s="60">
        <v>46.74</v>
      </c>
      <c r="N26" s="60">
        <v>94.30</v>
      </c>
      <c r="O26" s="60">
        <v>0</v>
      </c>
      <c r="P26" s="60">
        <v>1.64</v>
      </c>
      <c r="Q26" s="60">
        <v>106.16</v>
      </c>
      <c r="R26" s="198"/>
      <c r="S26" s="198"/>
      <c r="T26" s="198"/>
      <c r="U26" s="198"/>
    </row>
    <row r="27" spans="1:21" s="12" customFormat="1" ht="15">
      <c r="A27" s="201" t="s">
        <v>1224</v>
      </c>
      <c r="B27" s="60">
        <v>0.25</v>
      </c>
      <c r="C27" s="60">
        <v>21.92</v>
      </c>
      <c r="D27" s="60">
        <v>22.17</v>
      </c>
      <c r="E27" s="60">
        <v>5.15</v>
      </c>
      <c r="F27" s="60">
        <v>3.03</v>
      </c>
      <c r="G27" s="60">
        <v>52.81</v>
      </c>
      <c r="H27" s="60">
        <v>22.37</v>
      </c>
      <c r="I27" s="60">
        <v>2.10</v>
      </c>
      <c r="J27" s="60">
        <v>0.24</v>
      </c>
      <c r="K27" s="60">
        <v>215.18</v>
      </c>
      <c r="L27" s="60">
        <v>41.72</v>
      </c>
      <c r="M27" s="60">
        <v>46.73</v>
      </c>
      <c r="N27" s="60">
        <v>108.20</v>
      </c>
      <c r="O27" s="60">
        <v>0</v>
      </c>
      <c r="P27" s="60">
        <v>1.65</v>
      </c>
      <c r="Q27" s="60">
        <v>106.14</v>
      </c>
      <c r="R27" s="198"/>
      <c r="S27" s="198"/>
      <c r="T27" s="198"/>
      <c r="U27" s="198"/>
    </row>
    <row r="28" spans="1:21" s="12" customFormat="1" ht="15">
      <c r="A28" s="201" t="s">
        <v>1225</v>
      </c>
      <c r="B28" s="60">
        <v>0.28000000000000003</v>
      </c>
      <c r="C28" s="60">
        <v>23.25</v>
      </c>
      <c r="D28" s="60">
        <v>23.53</v>
      </c>
      <c r="E28" s="60">
        <v>4.78</v>
      </c>
      <c r="F28" s="60">
        <v>2.94</v>
      </c>
      <c r="G28" s="60">
        <v>37.049999999999997</v>
      </c>
      <c r="H28" s="60">
        <v>21.22</v>
      </c>
      <c r="I28" s="60">
        <v>2.12</v>
      </c>
      <c r="J28" s="60">
        <v>0.09</v>
      </c>
      <c r="K28" s="60">
        <v>210.98</v>
      </c>
      <c r="L28" s="60">
        <v>41.27</v>
      </c>
      <c r="M28" s="60">
        <v>45.92</v>
      </c>
      <c r="N28" s="60">
        <v>99.70</v>
      </c>
      <c r="O28" s="60">
        <v>0</v>
      </c>
      <c r="P28" s="60">
        <v>1.63</v>
      </c>
      <c r="Q28" s="60">
        <v>111.24</v>
      </c>
      <c r="R28" s="198"/>
      <c r="S28" s="198"/>
      <c r="T28" s="198"/>
      <c r="U28" s="198"/>
    </row>
    <row r="29" spans="1:21" s="12" customFormat="1" ht="15">
      <c r="A29" s="201" t="s">
        <v>1226</v>
      </c>
      <c r="B29" s="60">
        <v>0.36</v>
      </c>
      <c r="C29" s="60">
        <v>23.97</v>
      </c>
      <c r="D29" s="60">
        <v>24.33</v>
      </c>
      <c r="E29" s="60">
        <v>5.24</v>
      </c>
      <c r="F29" s="60">
        <v>3.18</v>
      </c>
      <c r="G29" s="60">
        <v>28.35</v>
      </c>
      <c r="H29" s="60">
        <v>20.38</v>
      </c>
      <c r="I29" s="60">
        <v>2.11</v>
      </c>
      <c r="J29" s="60">
        <v>0.55000000000000004</v>
      </c>
      <c r="K29" s="60">
        <v>333.34</v>
      </c>
      <c r="L29" s="60">
        <v>41</v>
      </c>
      <c r="M29" s="60">
        <v>45.83</v>
      </c>
      <c r="N29" s="60">
        <v>70.400000000000006</v>
      </c>
      <c r="O29" s="60">
        <v>0</v>
      </c>
      <c r="P29" s="60">
        <v>1.66</v>
      </c>
      <c r="Q29" s="60">
        <v>119.22</v>
      </c>
      <c r="R29" s="198"/>
      <c r="S29" s="198"/>
      <c r="T29" s="198"/>
      <c r="U29" s="198"/>
    </row>
    <row r="30" spans="1:21" s="12" customFormat="1" ht="15">
      <c r="A30" s="201" t="s">
        <v>1227</v>
      </c>
      <c r="B30" s="60">
        <v>0.34</v>
      </c>
      <c r="C30" s="60">
        <v>23.43</v>
      </c>
      <c r="D30" s="60">
        <v>23.77</v>
      </c>
      <c r="E30" s="60">
        <v>4.6900000000000004</v>
      </c>
      <c r="F30" s="60">
        <v>3.37</v>
      </c>
      <c r="G30" s="60">
        <v>28.35</v>
      </c>
      <c r="H30" s="60">
        <v>20.38</v>
      </c>
      <c r="I30" s="60">
        <v>2.16</v>
      </c>
      <c r="J30" s="60">
        <v>0.34</v>
      </c>
      <c r="K30" s="60">
        <v>38.270000000000003</v>
      </c>
      <c r="L30" s="60">
        <v>41.11</v>
      </c>
      <c r="M30" s="60">
        <v>45.32</v>
      </c>
      <c r="N30" s="60">
        <v>117.10</v>
      </c>
      <c r="O30" s="60">
        <v>0</v>
      </c>
      <c r="P30" s="60">
        <v>1.66</v>
      </c>
      <c r="Q30" s="60">
        <v>114.39</v>
      </c>
      <c r="R30" s="198"/>
      <c r="S30" s="198"/>
      <c r="T30" s="198"/>
      <c r="U30" s="198"/>
    </row>
    <row r="31" spans="1:21" s="12" customFormat="1" ht="15">
      <c r="A31" s="201" t="s">
        <v>1228</v>
      </c>
      <c r="B31" s="60">
        <v>0.37</v>
      </c>
      <c r="C31" s="60">
        <v>23.53</v>
      </c>
      <c r="D31" s="60">
        <v>23.90</v>
      </c>
      <c r="E31" s="60">
        <v>5.0599999999999996</v>
      </c>
      <c r="F31" s="60">
        <v>3.29</v>
      </c>
      <c r="G31" s="60">
        <v>28.35</v>
      </c>
      <c r="H31" s="60">
        <v>20.38</v>
      </c>
      <c r="I31" s="60">
        <v>2.21</v>
      </c>
      <c r="J31" s="60">
        <v>0.18</v>
      </c>
      <c r="K31" s="60">
        <v>327.20999999999998</v>
      </c>
      <c r="L31" s="60">
        <v>41.16</v>
      </c>
      <c r="M31" s="60">
        <v>45.54</v>
      </c>
      <c r="N31" s="60">
        <v>85.20</v>
      </c>
      <c r="O31" s="60">
        <v>0</v>
      </c>
      <c r="P31" s="60">
        <v>1.65</v>
      </c>
      <c r="Q31" s="60">
        <v>115.12</v>
      </c>
      <c r="R31" s="198"/>
      <c r="S31" s="198"/>
      <c r="T31" s="198"/>
      <c r="U31" s="198"/>
    </row>
    <row r="32" spans="1:21" s="12" customFormat="1" ht="15">
      <c r="A32" s="201" t="s">
        <v>1229</v>
      </c>
      <c r="B32" s="60">
        <v>0.48</v>
      </c>
      <c r="C32" s="60">
        <v>24.06</v>
      </c>
      <c r="D32" s="60">
        <v>24.55</v>
      </c>
      <c r="E32" s="60">
        <v>4.78</v>
      </c>
      <c r="F32" s="60">
        <v>3.89</v>
      </c>
      <c r="G32" s="60">
        <v>38.10</v>
      </c>
      <c r="H32" s="60">
        <v>17.760000000000002</v>
      </c>
      <c r="I32" s="60">
        <v>2.17</v>
      </c>
      <c r="J32" s="60">
        <v>0.98</v>
      </c>
      <c r="K32" s="60">
        <v>234.16</v>
      </c>
      <c r="L32" s="60">
        <v>41.26</v>
      </c>
      <c r="M32" s="60">
        <v>46.23</v>
      </c>
      <c r="N32" s="60">
        <v>91.80</v>
      </c>
      <c r="O32" s="60">
        <v>0</v>
      </c>
      <c r="P32" s="60">
        <v>1.67</v>
      </c>
      <c r="Q32" s="60">
        <v>112.72</v>
      </c>
      <c r="R32" s="198"/>
      <c r="S32" s="198"/>
      <c r="T32" s="198"/>
      <c r="U32" s="198"/>
    </row>
    <row r="33" spans="1:21" s="12" customFormat="1" ht="15">
      <c r="A33" s="201" t="s">
        <v>1230</v>
      </c>
      <c r="B33" s="60">
        <v>0.62</v>
      </c>
      <c r="C33" s="60">
        <v>24.87</v>
      </c>
      <c r="D33" s="60">
        <v>25.49</v>
      </c>
      <c r="E33" s="60">
        <v>4.80</v>
      </c>
      <c r="F33" s="60">
        <v>2.44</v>
      </c>
      <c r="G33" s="60">
        <v>41.10</v>
      </c>
      <c r="H33" s="60">
        <v>15.84</v>
      </c>
      <c r="I33" s="60">
        <v>2.1800000000000002</v>
      </c>
      <c r="J33" s="60">
        <v>0.89</v>
      </c>
      <c r="K33" s="60">
        <v>228.72</v>
      </c>
      <c r="L33" s="60">
        <v>41.27</v>
      </c>
      <c r="M33" s="60">
        <v>47.29</v>
      </c>
      <c r="N33" s="60">
        <v>136.40</v>
      </c>
      <c r="O33" s="60">
        <v>0</v>
      </c>
      <c r="P33" s="60">
        <v>1.69</v>
      </c>
      <c r="Q33" s="60">
        <v>111.70</v>
      </c>
      <c r="R33" s="198"/>
      <c r="S33" s="198"/>
      <c r="T33" s="198"/>
      <c r="U33" s="198"/>
    </row>
    <row r="34" spans="1:21" s="12" customFormat="1" ht="15">
      <c r="A34" s="201" t="s">
        <v>1231</v>
      </c>
      <c r="B34" s="60">
        <v>0.59</v>
      </c>
      <c r="C34" s="60">
        <v>24.93</v>
      </c>
      <c r="D34" s="60">
        <v>25.52</v>
      </c>
      <c r="E34" s="60">
        <v>4.87</v>
      </c>
      <c r="F34" s="60">
        <v>2.2599999999999998</v>
      </c>
      <c r="G34" s="60">
        <v>41.10</v>
      </c>
      <c r="H34" s="60">
        <v>15.84</v>
      </c>
      <c r="I34" s="60">
        <v>2.33</v>
      </c>
      <c r="J34" s="60">
        <v>0.69</v>
      </c>
      <c r="K34" s="60">
        <v>233.46</v>
      </c>
      <c r="L34" s="60">
        <v>41.59</v>
      </c>
      <c r="M34" s="60">
        <v>48.03</v>
      </c>
      <c r="N34" s="60">
        <v>214.60</v>
      </c>
      <c r="O34" s="60">
        <v>0</v>
      </c>
      <c r="P34" s="60">
        <v>1.68</v>
      </c>
      <c r="Q34" s="60">
        <v>107.89</v>
      </c>
      <c r="R34" s="198"/>
      <c r="S34" s="198"/>
      <c r="T34" s="198"/>
      <c r="U34" s="198"/>
    </row>
    <row r="35" spans="1:21" s="12" customFormat="1" ht="15">
      <c r="A35" s="201" t="s">
        <v>1232</v>
      </c>
      <c r="B35" s="60">
        <v>0.57999999999999996</v>
      </c>
      <c r="C35" s="60">
        <v>25.44</v>
      </c>
      <c r="D35" s="60">
        <v>26.02</v>
      </c>
      <c r="E35" s="60">
        <v>4.9800000000000004</v>
      </c>
      <c r="F35" s="60">
        <v>2.58</v>
      </c>
      <c r="G35" s="60">
        <v>41.10</v>
      </c>
      <c r="H35" s="60">
        <v>15.84</v>
      </c>
      <c r="I35" s="60">
        <v>2.38</v>
      </c>
      <c r="J35" s="60">
        <v>1.28</v>
      </c>
      <c r="K35" s="60">
        <v>221.79</v>
      </c>
      <c r="L35" s="60">
        <v>42.08</v>
      </c>
      <c r="M35" s="60">
        <v>48.17</v>
      </c>
      <c r="N35" s="60">
        <v>258.80</v>
      </c>
      <c r="O35" s="60">
        <v>0</v>
      </c>
      <c r="P35" s="60">
        <v>1.68</v>
      </c>
      <c r="Q35" s="60">
        <v>108.49</v>
      </c>
      <c r="R35" s="198"/>
      <c r="S35" s="198"/>
      <c r="T35" s="198"/>
      <c r="U35" s="198"/>
    </row>
    <row r="36" spans="1:21" s="12" customFormat="1" ht="15">
      <c r="A36" s="201" t="s">
        <v>1233</v>
      </c>
      <c r="B36" s="60">
        <v>0.62</v>
      </c>
      <c r="C36" s="60">
        <v>25.29</v>
      </c>
      <c r="D36" s="60">
        <v>25.91</v>
      </c>
      <c r="E36" s="60">
        <v>2.65</v>
      </c>
      <c r="F36" s="60">
        <v>2.72</v>
      </c>
      <c r="G36" s="60">
        <v>41.31</v>
      </c>
      <c r="H36" s="60">
        <v>15.37</v>
      </c>
      <c r="I36" s="60">
        <v>2.40</v>
      </c>
      <c r="J36" s="60">
        <v>1.24</v>
      </c>
      <c r="K36" s="60">
        <v>222.30</v>
      </c>
      <c r="L36" s="60">
        <v>42.53</v>
      </c>
      <c r="M36" s="60">
        <v>48.44</v>
      </c>
      <c r="N36" s="60">
        <v>322.20</v>
      </c>
      <c r="O36" s="60">
        <v>0</v>
      </c>
      <c r="P36" s="60">
        <v>1.72</v>
      </c>
      <c r="Q36" s="60">
        <v>103.25</v>
      </c>
      <c r="R36" s="198"/>
      <c r="S36" s="198"/>
      <c r="T36" s="198"/>
      <c r="U36" s="198"/>
    </row>
    <row r="37" spans="1:21" s="12" customFormat="1" ht="15">
      <c r="A37" s="201" t="s">
        <v>1234</v>
      </c>
      <c r="B37" s="60">
        <v>0.60</v>
      </c>
      <c r="C37" s="60">
        <v>25.61</v>
      </c>
      <c r="D37" s="60">
        <v>26.22</v>
      </c>
      <c r="E37" s="60">
        <v>4.6100000000000003</v>
      </c>
      <c r="F37" s="60">
        <v>2.73</v>
      </c>
      <c r="G37" s="60">
        <v>41.38</v>
      </c>
      <c r="H37" s="60">
        <v>15.02</v>
      </c>
      <c r="I37" s="60">
        <v>2.46</v>
      </c>
      <c r="J37" s="60">
        <v>0.95</v>
      </c>
      <c r="K37" s="60">
        <v>240.02</v>
      </c>
      <c r="L37" s="60">
        <v>42.65</v>
      </c>
      <c r="M37" s="60">
        <v>49.45</v>
      </c>
      <c r="N37" s="60">
        <v>257.30</v>
      </c>
      <c r="O37" s="60">
        <v>0</v>
      </c>
      <c r="P37" s="60">
        <v>1.73</v>
      </c>
      <c r="Q37" s="60">
        <v>105.26</v>
      </c>
      <c r="R37" s="198"/>
      <c r="S37" s="198"/>
      <c r="T37" s="198"/>
      <c r="U37" s="198"/>
    </row>
    <row r="38" spans="1:21" s="12" customFormat="1" ht="15">
      <c r="A38" s="201" t="s">
        <v>1235</v>
      </c>
      <c r="B38" s="60">
        <v>0.53</v>
      </c>
      <c r="C38" s="60">
        <v>25.61</v>
      </c>
      <c r="D38" s="60">
        <v>26.14</v>
      </c>
      <c r="E38" s="60">
        <v>5.08</v>
      </c>
      <c r="F38" s="60">
        <v>3.07</v>
      </c>
      <c r="G38" s="60">
        <v>41.38</v>
      </c>
      <c r="H38" s="60">
        <v>15.02</v>
      </c>
      <c r="I38" s="60">
        <v>2.56</v>
      </c>
      <c r="J38" s="60">
        <v>1.05</v>
      </c>
      <c r="K38" s="60">
        <v>229.76</v>
      </c>
      <c r="L38" s="60">
        <v>42.98</v>
      </c>
      <c r="M38" s="60">
        <v>49.29</v>
      </c>
      <c r="N38" s="60">
        <v>391.5</v>
      </c>
      <c r="O38" s="60">
        <v>0</v>
      </c>
      <c r="P38" s="60">
        <v>1.71</v>
      </c>
      <c r="Q38" s="60">
        <v>106.48</v>
      </c>
      <c r="R38" s="198"/>
      <c r="S38" s="198"/>
      <c r="T38" s="198"/>
      <c r="U38" s="198"/>
    </row>
    <row r="39" spans="1:21" s="12" customFormat="1" ht="15">
      <c r="A39" s="201" t="s">
        <v>1236</v>
      </c>
      <c r="B39" s="60">
        <v>0.43</v>
      </c>
      <c r="C39" s="60">
        <v>25.26</v>
      </c>
      <c r="D39" s="60">
        <v>25.68</v>
      </c>
      <c r="E39" s="60">
        <v>4.88</v>
      </c>
      <c r="F39" s="60">
        <v>3.05</v>
      </c>
      <c r="G39" s="60">
        <v>41.38</v>
      </c>
      <c r="H39" s="60">
        <v>15.02</v>
      </c>
      <c r="I39" s="60">
        <v>2.66</v>
      </c>
      <c r="J39" s="60">
        <v>0.63</v>
      </c>
      <c r="K39" s="60">
        <v>222.06</v>
      </c>
      <c r="L39" s="60">
        <v>44.16</v>
      </c>
      <c r="M39" s="60">
        <v>47.11</v>
      </c>
      <c r="N39" s="60">
        <v>560.29999999999995</v>
      </c>
      <c r="O39" s="60">
        <v>0</v>
      </c>
      <c r="P39" s="60">
        <v>1.74</v>
      </c>
      <c r="Q39" s="60">
        <v>94.84</v>
      </c>
      <c r="R39" s="198"/>
      <c r="S39" s="198"/>
      <c r="T39" s="198"/>
      <c r="U39" s="198"/>
    </row>
    <row r="40" spans="1:21" s="12" customFormat="1" ht="15">
      <c r="A40" s="201" t="s">
        <v>1237</v>
      </c>
      <c r="B40" s="60">
        <v>0.41</v>
      </c>
      <c r="C40" s="60">
        <v>25.96</v>
      </c>
      <c r="D40" s="60">
        <v>26.37</v>
      </c>
      <c r="E40" s="60">
        <v>4.71</v>
      </c>
      <c r="F40" s="60">
        <v>3.29</v>
      </c>
      <c r="G40" s="60">
        <v>47.59</v>
      </c>
      <c r="H40" s="60">
        <v>18.20</v>
      </c>
      <c r="I40" s="60">
        <v>2.66</v>
      </c>
      <c r="J40" s="60">
        <v>0.91</v>
      </c>
      <c r="K40" s="60">
        <v>229.49</v>
      </c>
      <c r="L40" s="60">
        <v>44.23</v>
      </c>
      <c r="M40" s="60">
        <v>47.60</v>
      </c>
      <c r="N40" s="60">
        <v>371</v>
      </c>
      <c r="O40" s="60">
        <v>0</v>
      </c>
      <c r="P40" s="60">
        <v>1.77</v>
      </c>
      <c r="Q40" s="60">
        <v>100.46</v>
      </c>
      <c r="R40" s="198"/>
      <c r="S40" s="198"/>
      <c r="T40" s="198"/>
      <c r="U40" s="198"/>
    </row>
    <row r="41" spans="1:21" s="12" customFormat="1" ht="15">
      <c r="A41" s="201" t="s">
        <v>1238</v>
      </c>
      <c r="B41" s="60">
        <v>0.35</v>
      </c>
      <c r="C41" s="60">
        <v>26.44</v>
      </c>
      <c r="D41" s="60">
        <v>26.80</v>
      </c>
      <c r="E41" s="60">
        <v>4.97</v>
      </c>
      <c r="F41" s="60">
        <v>3.95</v>
      </c>
      <c r="G41" s="60">
        <v>50.21</v>
      </c>
      <c r="H41" s="60">
        <v>20.53</v>
      </c>
      <c r="I41" s="60">
        <v>2.74</v>
      </c>
      <c r="J41" s="60">
        <v>0.31</v>
      </c>
      <c r="K41" s="60">
        <v>355.53</v>
      </c>
      <c r="L41" s="60">
        <v>45.65</v>
      </c>
      <c r="M41" s="60">
        <v>47.35</v>
      </c>
      <c r="N41" s="60">
        <v>524</v>
      </c>
      <c r="O41" s="60">
        <v>0</v>
      </c>
      <c r="P41" s="60">
        <v>1.77</v>
      </c>
      <c r="Q41" s="60">
        <v>98.71</v>
      </c>
      <c r="R41" s="198"/>
      <c r="S41" s="198"/>
      <c r="T41" s="198"/>
      <c r="U41" s="198"/>
    </row>
    <row r="42" spans="1:21" s="12" customFormat="1" ht="15">
      <c r="A42" s="201" t="s">
        <v>1239</v>
      </c>
      <c r="B42" s="60">
        <v>0.45</v>
      </c>
      <c r="C42" s="60">
        <v>27.31</v>
      </c>
      <c r="D42" s="60">
        <v>27.76</v>
      </c>
      <c r="E42" s="60">
        <v>4.6100000000000003</v>
      </c>
      <c r="F42" s="60">
        <v>3.66</v>
      </c>
      <c r="G42" s="60">
        <v>50.21</v>
      </c>
      <c r="H42" s="60">
        <v>20.53</v>
      </c>
      <c r="I42" s="60">
        <v>2.76</v>
      </c>
      <c r="J42" s="60">
        <v>0.38</v>
      </c>
      <c r="K42" s="60">
        <v>305.16000000000003</v>
      </c>
      <c r="L42" s="60">
        <v>46.89</v>
      </c>
      <c r="M42" s="60">
        <v>44.86</v>
      </c>
      <c r="N42" s="60">
        <v>601.20000000000005</v>
      </c>
      <c r="O42" s="60">
        <v>0</v>
      </c>
      <c r="P42" s="60">
        <v>1.76</v>
      </c>
      <c r="Q42" s="60">
        <v>94.81</v>
      </c>
      <c r="R42" s="198"/>
      <c r="S42" s="198"/>
      <c r="T42" s="198"/>
      <c r="U42" s="198"/>
    </row>
    <row r="43" spans="1:21" s="12" customFormat="1" ht="15">
      <c r="A43" s="201" t="s">
        <v>1240</v>
      </c>
      <c r="B43" s="60">
        <v>0.51</v>
      </c>
      <c r="C43" s="60">
        <v>27.93</v>
      </c>
      <c r="D43" s="60">
        <v>28.45</v>
      </c>
      <c r="E43" s="60">
        <v>4.45</v>
      </c>
      <c r="F43" s="60">
        <v>3.45</v>
      </c>
      <c r="G43" s="60">
        <v>50.21</v>
      </c>
      <c r="H43" s="60">
        <v>20.53</v>
      </c>
      <c r="I43" s="60">
        <v>2.77</v>
      </c>
      <c r="J43" s="60">
        <v>1.1100000000000001</v>
      </c>
      <c r="K43" s="60">
        <v>242.10</v>
      </c>
      <c r="L43" s="60">
        <v>45.79</v>
      </c>
      <c r="M43" s="60">
        <v>44.05</v>
      </c>
      <c r="N43" s="60">
        <v>676.60</v>
      </c>
      <c r="O43" s="60">
        <v>0</v>
      </c>
      <c r="P43" s="60">
        <v>1.80</v>
      </c>
      <c r="Q43" s="60">
        <v>95.63</v>
      </c>
      <c r="R43" s="198"/>
      <c r="S43" s="198"/>
      <c r="T43" s="198"/>
      <c r="U43" s="198"/>
    </row>
    <row r="44" spans="1:21" s="12" customFormat="1" ht="15">
      <c r="A44" s="201" t="s">
        <v>1241</v>
      </c>
      <c r="B44" s="60">
        <v>0.45</v>
      </c>
      <c r="C44" s="60">
        <v>29.04</v>
      </c>
      <c r="D44" s="60">
        <v>29.49</v>
      </c>
      <c r="E44" s="60">
        <v>4.74</v>
      </c>
      <c r="F44" s="60">
        <v>3.98</v>
      </c>
      <c r="G44" s="60">
        <v>57.21</v>
      </c>
      <c r="H44" s="60">
        <v>23.91</v>
      </c>
      <c r="I44" s="60">
        <v>2.81</v>
      </c>
      <c r="J44" s="60">
        <v>0.43</v>
      </c>
      <c r="K44" s="60">
        <v>11.75</v>
      </c>
      <c r="L44" s="60">
        <v>47.34</v>
      </c>
      <c r="M44" s="60">
        <v>43.22</v>
      </c>
      <c r="N44" s="60">
        <v>741.10</v>
      </c>
      <c r="O44" s="60">
        <v>0</v>
      </c>
      <c r="P44" s="60">
        <v>1.82</v>
      </c>
      <c r="Q44" s="60">
        <v>93.48</v>
      </c>
      <c r="R44" s="198"/>
      <c r="S44" s="198"/>
      <c r="T44" s="198"/>
      <c r="U44" s="198"/>
    </row>
    <row r="45" spans="1:21" s="12" customFormat="1" ht="15">
      <c r="A45" s="201" t="s">
        <v>1242</v>
      </c>
      <c r="B45" s="60">
        <v>0.34</v>
      </c>
      <c r="C45" s="60">
        <v>28.81</v>
      </c>
      <c r="D45" s="60">
        <v>29.16</v>
      </c>
      <c r="E45" s="60">
        <v>4.54</v>
      </c>
      <c r="F45" s="60">
        <v>5.01</v>
      </c>
      <c r="G45" s="60">
        <v>59.40</v>
      </c>
      <c r="H45" s="60">
        <v>26.38</v>
      </c>
      <c r="I45" s="60">
        <v>2.93</v>
      </c>
      <c r="J45" s="60">
        <v>0.41</v>
      </c>
      <c r="K45" s="60">
        <v>354.13</v>
      </c>
      <c r="L45" s="60">
        <v>51.78</v>
      </c>
      <c r="M45" s="60">
        <v>40.340000000000003</v>
      </c>
      <c r="N45" s="60">
        <v>875.5</v>
      </c>
      <c r="O45" s="60">
        <v>0</v>
      </c>
      <c r="P45" s="60">
        <v>1.81</v>
      </c>
      <c r="Q45" s="60">
        <v>93.57</v>
      </c>
      <c r="R45" s="198"/>
      <c r="S45" s="198"/>
      <c r="T45" s="198"/>
      <c r="U45" s="198"/>
    </row>
    <row r="46" spans="1:21" s="12" customFormat="1" ht="15">
      <c r="A46" s="201" t="s">
        <v>1243</v>
      </c>
      <c r="B46" s="60">
        <v>0.38</v>
      </c>
      <c r="C46" s="60">
        <v>26.60</v>
      </c>
      <c r="D46" s="60">
        <v>26.98</v>
      </c>
      <c r="E46" s="60">
        <v>4.30</v>
      </c>
      <c r="F46" s="60">
        <v>5.57</v>
      </c>
      <c r="G46" s="60">
        <v>59.40</v>
      </c>
      <c r="H46" s="60">
        <v>26.38</v>
      </c>
      <c r="I46" s="60">
        <v>2.97</v>
      </c>
      <c r="J46" s="60">
        <v>0.49</v>
      </c>
      <c r="K46" s="60">
        <v>339.52</v>
      </c>
      <c r="L46" s="60">
        <v>50.88</v>
      </c>
      <c r="M46" s="60">
        <v>40.26</v>
      </c>
      <c r="N46" s="60">
        <v>572.5</v>
      </c>
      <c r="O46" s="60">
        <v>0</v>
      </c>
      <c r="P46" s="60">
        <v>1.81</v>
      </c>
      <c r="Q46" s="60">
        <v>88.82</v>
      </c>
      <c r="R46" s="198"/>
      <c r="S46" s="198"/>
      <c r="T46" s="198"/>
      <c r="U46" s="198"/>
    </row>
    <row r="47" spans="1:21" s="12" customFormat="1" ht="15">
      <c r="A47" s="201" t="s">
        <v>1244</v>
      </c>
      <c r="B47" s="60">
        <v>0.39</v>
      </c>
      <c r="C47" s="60">
        <v>24.37</v>
      </c>
      <c r="D47" s="60">
        <v>24.77</v>
      </c>
      <c r="E47" s="60">
        <v>4.1900000000000004</v>
      </c>
      <c r="F47" s="60">
        <v>5.78</v>
      </c>
      <c r="G47" s="60">
        <v>59.40</v>
      </c>
      <c r="H47" s="60">
        <v>26.38</v>
      </c>
      <c r="I47" s="60">
        <v>3.01</v>
      </c>
      <c r="J47" s="60">
        <v>1.1499999999999999</v>
      </c>
      <c r="K47" s="60">
        <v>355.18</v>
      </c>
      <c r="L47" s="60">
        <v>50.17</v>
      </c>
      <c r="M47" s="60">
        <v>40.07</v>
      </c>
      <c r="N47" s="60">
        <v>750</v>
      </c>
      <c r="O47" s="60">
        <v>0</v>
      </c>
      <c r="P47" s="60">
        <v>1.86</v>
      </c>
      <c r="Q47" s="60">
        <v>83.74</v>
      </c>
      <c r="R47" s="198"/>
      <c r="S47" s="198"/>
      <c r="T47" s="198"/>
      <c r="U47" s="198"/>
    </row>
    <row r="48" spans="1:21" s="12" customFormat="1" ht="15">
      <c r="A48" s="201" t="s">
        <v>1245</v>
      </c>
      <c r="B48" s="60">
        <v>0.38</v>
      </c>
      <c r="C48" s="60">
        <v>23.79</v>
      </c>
      <c r="D48" s="60">
        <v>24.17</v>
      </c>
      <c r="E48" s="60">
        <v>4.49</v>
      </c>
      <c r="F48" s="60">
        <v>6.02</v>
      </c>
      <c r="G48" s="60">
        <v>66.97</v>
      </c>
      <c r="H48" s="60">
        <v>24.84</v>
      </c>
      <c r="I48" s="60">
        <v>2.98</v>
      </c>
      <c r="J48" s="60">
        <v>0.56000000000000005</v>
      </c>
      <c r="K48" s="60">
        <v>344.80</v>
      </c>
      <c r="L48" s="60">
        <v>51.38</v>
      </c>
      <c r="M48" s="60">
        <v>39.01</v>
      </c>
      <c r="N48" s="60">
        <v>962</v>
      </c>
      <c r="O48" s="60">
        <v>0</v>
      </c>
      <c r="P48" s="60">
        <v>1.89</v>
      </c>
      <c r="Q48" s="60">
        <v>69.87</v>
      </c>
      <c r="R48" s="198"/>
      <c r="S48" s="198"/>
      <c r="T48" s="198"/>
      <c r="U48" s="198"/>
    </row>
    <row r="49" spans="1:21" s="12" customFormat="1" ht="15">
      <c r="A49" s="201" t="s">
        <v>1246</v>
      </c>
      <c r="B49" s="60">
        <v>0.41</v>
      </c>
      <c r="C49" s="60">
        <v>25.51</v>
      </c>
      <c r="D49" s="60">
        <v>25.93</v>
      </c>
      <c r="E49" s="60">
        <v>4.88</v>
      </c>
      <c r="F49" s="60">
        <v>6.22</v>
      </c>
      <c r="G49" s="60">
        <v>69.30</v>
      </c>
      <c r="H49" s="60">
        <v>23.71</v>
      </c>
      <c r="I49" s="60">
        <v>3.08</v>
      </c>
      <c r="J49" s="60">
        <v>1.19</v>
      </c>
      <c r="K49" s="60">
        <v>334.69</v>
      </c>
      <c r="L49" s="60">
        <v>50.34</v>
      </c>
      <c r="M49" s="60">
        <v>38.46</v>
      </c>
      <c r="N49" s="60">
        <v>811</v>
      </c>
      <c r="O49" s="60">
        <v>0</v>
      </c>
      <c r="P49" s="60">
        <v>1.92</v>
      </c>
      <c r="Q49" s="60">
        <v>70.59</v>
      </c>
      <c r="R49" s="198"/>
      <c r="S49" s="198"/>
      <c r="T49" s="198"/>
      <c r="U49" s="198"/>
    </row>
    <row r="50" spans="1:21" s="12" customFormat="1" ht="15">
      <c r="A50" s="201" t="s">
        <v>1247</v>
      </c>
      <c r="B50" s="60">
        <v>0.36</v>
      </c>
      <c r="C50" s="60">
        <v>25.55</v>
      </c>
      <c r="D50" s="60">
        <v>25.91</v>
      </c>
      <c r="E50" s="60">
        <v>4.3899999999999997</v>
      </c>
      <c r="F50" s="60">
        <v>6.98</v>
      </c>
      <c r="G50" s="60">
        <v>69.30</v>
      </c>
      <c r="H50" s="60">
        <v>23.71</v>
      </c>
      <c r="I50" s="60">
        <v>3.21</v>
      </c>
      <c r="J50" s="60">
        <v>0.56999999999999995</v>
      </c>
      <c r="K50" s="60">
        <v>312.77999999999997</v>
      </c>
      <c r="L50" s="60">
        <v>48.11</v>
      </c>
      <c r="M50" s="60">
        <v>37.97</v>
      </c>
      <c r="N50" s="60">
        <v>847.5</v>
      </c>
      <c r="O50" s="60">
        <v>0</v>
      </c>
      <c r="P50" s="60">
        <v>1.96</v>
      </c>
      <c r="Q50" s="60">
        <v>69.53</v>
      </c>
      <c r="R50" s="198"/>
      <c r="S50" s="198"/>
      <c r="T50" s="198"/>
      <c r="U50" s="198"/>
    </row>
    <row r="51" spans="1:21" s="12" customFormat="1" ht="15">
      <c r="A51" s="201" t="s">
        <v>1248</v>
      </c>
      <c r="B51" s="60">
        <v>0.46</v>
      </c>
      <c r="C51" s="60">
        <v>27.14</v>
      </c>
      <c r="D51" s="60">
        <v>27.61</v>
      </c>
      <c r="E51" s="60">
        <v>4.51</v>
      </c>
      <c r="F51" s="60">
        <v>6.71</v>
      </c>
      <c r="G51" s="60">
        <v>69.30</v>
      </c>
      <c r="H51" s="60">
        <v>23.71</v>
      </c>
      <c r="I51" s="60">
        <v>3.40</v>
      </c>
      <c r="J51" s="60">
        <v>1.20</v>
      </c>
      <c r="K51" s="60">
        <v>321.22000000000003</v>
      </c>
      <c r="L51" s="60">
        <v>50.86</v>
      </c>
      <c r="M51" s="60">
        <v>37.979999999999997</v>
      </c>
      <c r="N51" s="60">
        <v>499.30</v>
      </c>
      <c r="O51" s="60">
        <v>0</v>
      </c>
      <c r="P51" s="60">
        <v>2.02</v>
      </c>
      <c r="Q51" s="60">
        <v>68.20</v>
      </c>
      <c r="R51" s="198"/>
      <c r="S51" s="198"/>
      <c r="T51" s="198"/>
      <c r="U51" s="198"/>
    </row>
    <row r="52" spans="1:21" s="12" customFormat="1" ht="15">
      <c r="A52" s="201" t="s">
        <v>1249</v>
      </c>
      <c r="B52" s="60">
        <v>0.43</v>
      </c>
      <c r="C52" s="60">
        <v>29.62</v>
      </c>
      <c r="D52" s="60">
        <v>30.05</v>
      </c>
      <c r="E52" s="60">
        <v>1.86</v>
      </c>
      <c r="F52" s="60">
        <v>6.53</v>
      </c>
      <c r="G52" s="60">
        <v>74.80</v>
      </c>
      <c r="H52" s="60">
        <v>23.71</v>
      </c>
      <c r="I52" s="60">
        <v>3.64</v>
      </c>
      <c r="J52" s="60">
        <v>1.02</v>
      </c>
      <c r="K52" s="60">
        <v>326.32</v>
      </c>
      <c r="L52" s="60">
        <v>50.06</v>
      </c>
      <c r="M52" s="60">
        <v>36.31</v>
      </c>
      <c r="N52" s="60">
        <v>906.40</v>
      </c>
      <c r="O52" s="60">
        <v>0</v>
      </c>
      <c r="P52" s="60">
        <v>2.10</v>
      </c>
      <c r="Q52" s="60">
        <v>63.32</v>
      </c>
      <c r="R52" s="198"/>
      <c r="S52" s="198"/>
      <c r="T52" s="198"/>
      <c r="U52" s="198"/>
    </row>
    <row r="53" spans="1:21" s="12" customFormat="1" ht="15">
      <c r="A53" s="201" t="s">
        <v>1250</v>
      </c>
      <c r="B53" s="60">
        <v>0.52</v>
      </c>
      <c r="C53" s="60">
        <v>32.18</v>
      </c>
      <c r="D53" s="60">
        <v>32.700000000000003</v>
      </c>
      <c r="E53" s="60">
        <v>3.82</v>
      </c>
      <c r="F53" s="60">
        <v>7.64</v>
      </c>
      <c r="G53" s="60">
        <v>77.83</v>
      </c>
      <c r="H53" s="60">
        <v>23.72</v>
      </c>
      <c r="I53" s="60">
        <v>4.22</v>
      </c>
      <c r="J53" s="60">
        <v>0.88</v>
      </c>
      <c r="K53" s="60">
        <v>353.90</v>
      </c>
      <c r="L53" s="60">
        <v>50.07</v>
      </c>
      <c r="M53" s="60">
        <v>35.57</v>
      </c>
      <c r="N53" s="60">
        <v>802.5</v>
      </c>
      <c r="O53" s="60">
        <v>0</v>
      </c>
      <c r="P53" s="60">
        <v>2.1800000000000002</v>
      </c>
      <c r="Q53" s="60">
        <v>67.30</v>
      </c>
      <c r="R53" s="198"/>
      <c r="S53" s="198"/>
      <c r="T53" s="198"/>
      <c r="U53" s="198"/>
    </row>
    <row r="54" spans="1:21" s="12" customFormat="1" ht="15">
      <c r="A54" s="201" t="s">
        <v>1251</v>
      </c>
      <c r="B54" s="60">
        <v>0.49</v>
      </c>
      <c r="C54" s="60">
        <v>32.57</v>
      </c>
      <c r="D54" s="60">
        <v>33.049999999999997</v>
      </c>
      <c r="E54" s="60">
        <v>3.62</v>
      </c>
      <c r="F54" s="60">
        <v>7.47</v>
      </c>
      <c r="G54" s="60">
        <v>77.83</v>
      </c>
      <c r="H54" s="60">
        <v>23.72</v>
      </c>
      <c r="I54" s="60">
        <v>5.07</v>
      </c>
      <c r="J54" s="60">
        <v>0.86</v>
      </c>
      <c r="K54" s="60">
        <v>357.96</v>
      </c>
      <c r="L54" s="60">
        <v>50.34</v>
      </c>
      <c r="M54" s="60">
        <v>35.71</v>
      </c>
      <c r="N54" s="60">
        <v>938</v>
      </c>
      <c r="O54" s="60">
        <v>0</v>
      </c>
      <c r="P54" s="60">
        <v>2.21</v>
      </c>
      <c r="Q54" s="60">
        <v>62.57</v>
      </c>
      <c r="R54" s="198"/>
      <c r="S54" s="198"/>
      <c r="T54" s="198"/>
      <c r="U54" s="198"/>
    </row>
    <row r="55" spans="1:21" s="12" customFormat="1" ht="15">
      <c r="A55" s="201" t="s">
        <v>1252</v>
      </c>
      <c r="B55" s="60">
        <v>0.45</v>
      </c>
      <c r="C55" s="60">
        <v>33.21</v>
      </c>
      <c r="D55" s="60">
        <v>33.65</v>
      </c>
      <c r="E55" s="60">
        <v>3.5</v>
      </c>
      <c r="F55" s="60">
        <v>6.72</v>
      </c>
      <c r="G55" s="60">
        <v>77.83</v>
      </c>
      <c r="H55" s="60">
        <v>23.72</v>
      </c>
      <c r="I55" s="60">
        <v>5.75</v>
      </c>
      <c r="J55" s="60">
        <v>0.77</v>
      </c>
      <c r="K55" s="60">
        <v>327.05</v>
      </c>
      <c r="L55" s="60">
        <v>50.79</v>
      </c>
      <c r="M55" s="60">
        <v>35.659999999999997</v>
      </c>
      <c r="N55" s="60">
        <v>612.70000000000005</v>
      </c>
      <c r="O55" s="60">
        <v>0</v>
      </c>
      <c r="P55" s="60">
        <v>2.23</v>
      </c>
      <c r="Q55" s="60">
        <v>63.70</v>
      </c>
      <c r="R55" s="198"/>
      <c r="S55" s="198"/>
      <c r="T55" s="198"/>
      <c r="U55" s="198"/>
    </row>
    <row r="56" spans="1:21" s="12" customFormat="1" ht="15">
      <c r="A56" s="201" t="s">
        <v>1253</v>
      </c>
      <c r="B56" s="60">
        <v>0.39</v>
      </c>
      <c r="C56" s="60">
        <v>35.33</v>
      </c>
      <c r="D56" s="60">
        <v>35.729999999999997</v>
      </c>
      <c r="E56" s="60">
        <v>3.92</v>
      </c>
      <c r="F56" s="60">
        <v>6.94</v>
      </c>
      <c r="G56" s="60">
        <v>90.54</v>
      </c>
      <c r="H56" s="60">
        <v>24.37</v>
      </c>
      <c r="I56" s="60">
        <v>6.13</v>
      </c>
      <c r="J56" s="60">
        <v>0.76</v>
      </c>
      <c r="K56" s="60">
        <v>255.19</v>
      </c>
      <c r="L56" s="60">
        <v>49.48</v>
      </c>
      <c r="M56" s="60">
        <v>36.26</v>
      </c>
      <c r="N56" s="60">
        <v>708.10</v>
      </c>
      <c r="O56" s="60">
        <v>0</v>
      </c>
      <c r="P56" s="60">
        <v>2.2200000000000002</v>
      </c>
      <c r="Q56" s="60">
        <v>71.61</v>
      </c>
      <c r="R56" s="198"/>
      <c r="S56" s="198"/>
      <c r="T56" s="198"/>
      <c r="U56" s="198"/>
    </row>
    <row r="57" spans="1:21" s="12" customFormat="1" ht="15">
      <c r="A57" s="201" t="s">
        <v>1254</v>
      </c>
      <c r="B57" s="60">
        <v>0.21</v>
      </c>
      <c r="C57" s="60">
        <v>32.85</v>
      </c>
      <c r="D57" s="60">
        <v>33.06</v>
      </c>
      <c r="E57" s="60">
        <v>3.72</v>
      </c>
      <c r="F57" s="60">
        <v>8.11</v>
      </c>
      <c r="G57" s="60">
        <v>94.45</v>
      </c>
      <c r="H57" s="60">
        <v>24.85</v>
      </c>
      <c r="I57" s="60">
        <v>6.27</v>
      </c>
      <c r="J57" s="60">
        <v>1.1000000000000001</v>
      </c>
      <c r="K57" s="60">
        <v>320.70999999999998</v>
      </c>
      <c r="L57" s="60">
        <v>48.01</v>
      </c>
      <c r="M57" s="60">
        <v>37.299999999999997</v>
      </c>
      <c r="N57" s="60">
        <v>571.60</v>
      </c>
      <c r="O57" s="60">
        <v>0</v>
      </c>
      <c r="P57" s="60">
        <v>2.2200000000000002</v>
      </c>
      <c r="Q57" s="60">
        <v>64.55</v>
      </c>
      <c r="R57" s="198"/>
      <c r="S57" s="198"/>
      <c r="T57" s="198"/>
      <c r="U57" s="198"/>
    </row>
    <row r="58" spans="1:21" s="12" customFormat="1" ht="15">
      <c r="A58" s="201" t="s">
        <v>1255</v>
      </c>
      <c r="B58" s="60">
        <v>0.26</v>
      </c>
      <c r="C58" s="60">
        <v>31.85</v>
      </c>
      <c r="D58" s="60">
        <v>32.11</v>
      </c>
      <c r="E58" s="60">
        <v>3.65</v>
      </c>
      <c r="F58" s="60">
        <v>7.21</v>
      </c>
      <c r="G58" s="60">
        <v>94.45</v>
      </c>
      <c r="H58" s="60">
        <v>24.85</v>
      </c>
      <c r="I58" s="60">
        <v>6.17</v>
      </c>
      <c r="J58" s="60">
        <v>1.22</v>
      </c>
      <c r="K58" s="60">
        <v>324.16000000000003</v>
      </c>
      <c r="L58" s="60">
        <v>49.58</v>
      </c>
      <c r="M58" s="60">
        <v>36.93</v>
      </c>
      <c r="N58" s="60">
        <v>741.5</v>
      </c>
      <c r="O58" s="60">
        <v>0</v>
      </c>
      <c r="P58" s="60">
        <v>2.25</v>
      </c>
      <c r="Q58" s="60">
        <v>66.37</v>
      </c>
      <c r="R58" s="198"/>
      <c r="S58" s="198"/>
      <c r="T58" s="198"/>
      <c r="U58" s="198"/>
    </row>
    <row r="59" spans="1:21" s="12" customFormat="1" ht="15">
      <c r="A59" s="201" t="s">
        <v>1256</v>
      </c>
      <c r="B59" s="60">
        <v>0.26</v>
      </c>
      <c r="C59" s="60">
        <v>32.22</v>
      </c>
      <c r="D59" s="60">
        <v>32.479999999999997</v>
      </c>
      <c r="E59" s="60">
        <v>3.81</v>
      </c>
      <c r="F59" s="60">
        <v>5.96</v>
      </c>
      <c r="G59" s="60">
        <v>94.45</v>
      </c>
      <c r="H59" s="60">
        <v>24.85</v>
      </c>
      <c r="I59" s="60">
        <v>6.05</v>
      </c>
      <c r="J59" s="60">
        <v>1.23</v>
      </c>
      <c r="K59" s="60">
        <v>336.35</v>
      </c>
      <c r="L59" s="60">
        <v>50.84</v>
      </c>
      <c r="M59" s="60">
        <v>36.51</v>
      </c>
      <c r="N59" s="60">
        <v>608.29999999999995</v>
      </c>
      <c r="O59" s="60">
        <v>0</v>
      </c>
      <c r="P59" s="60">
        <v>2.2000000000000002</v>
      </c>
      <c r="Q59" s="60">
        <v>61.79</v>
      </c>
      <c r="R59" s="198"/>
      <c r="S59" s="198"/>
      <c r="T59" s="198"/>
      <c r="U59" s="198"/>
    </row>
    <row r="60" spans="1:21" s="12" customFormat="1" ht="15">
      <c r="A60" s="201" t="s">
        <v>1257</v>
      </c>
      <c r="B60" s="60">
        <v>0.28000000000000003</v>
      </c>
      <c r="C60" s="60">
        <v>32.15</v>
      </c>
      <c r="D60" s="60">
        <v>32.44</v>
      </c>
      <c r="E60" s="60">
        <v>3.51</v>
      </c>
      <c r="F60" s="60">
        <v>5.97</v>
      </c>
      <c r="G60" s="60">
        <v>92.63</v>
      </c>
      <c r="H60" s="60">
        <v>25.01</v>
      </c>
      <c r="I60" s="60">
        <v>5.95</v>
      </c>
      <c r="J60" s="60">
        <v>0.61</v>
      </c>
      <c r="K60" s="60">
        <v>259.91000000000003</v>
      </c>
      <c r="L60" s="60">
        <v>48.92</v>
      </c>
      <c r="M60" s="60">
        <v>36.25</v>
      </c>
      <c r="N60" s="60">
        <v>498.30</v>
      </c>
      <c r="O60" s="60">
        <v>0</v>
      </c>
      <c r="P60" s="60">
        <v>2.17</v>
      </c>
      <c r="Q60" s="60">
        <v>63.71</v>
      </c>
      <c r="R60" s="198"/>
      <c r="S60" s="198"/>
      <c r="T60" s="198"/>
      <c r="U60" s="198"/>
    </row>
    <row r="61" spans="1:21" s="12" customFormat="1" ht="15">
      <c r="A61" s="201" t="s">
        <v>1258</v>
      </c>
      <c r="B61" s="60">
        <v>0.19</v>
      </c>
      <c r="C61" s="60">
        <v>30.99</v>
      </c>
      <c r="D61" s="60">
        <v>31.18</v>
      </c>
      <c r="E61" s="60">
        <v>3.31</v>
      </c>
      <c r="F61" s="60">
        <v>6.69</v>
      </c>
      <c r="G61" s="60">
        <v>92.07</v>
      </c>
      <c r="H61" s="60">
        <v>25.14</v>
      </c>
      <c r="I61" s="60">
        <v>5.81</v>
      </c>
      <c r="J61" s="60">
        <v>0.84</v>
      </c>
      <c r="K61" s="60">
        <v>350.28</v>
      </c>
      <c r="L61" s="60">
        <v>48.72</v>
      </c>
      <c r="M61" s="60">
        <v>36.44</v>
      </c>
      <c r="N61" s="60">
        <v>446.20</v>
      </c>
      <c r="O61" s="60">
        <v>0</v>
      </c>
      <c r="P61" s="60">
        <v>2.19</v>
      </c>
      <c r="Q61" s="60">
        <v>63.19</v>
      </c>
      <c r="R61" s="198"/>
      <c r="S61" s="198"/>
      <c r="T61" s="198"/>
      <c r="U61" s="198"/>
    </row>
    <row r="62" spans="1:21" s="12" customFormat="1" ht="15">
      <c r="A62" s="201" t="s">
        <v>1259</v>
      </c>
      <c r="B62" s="60">
        <v>0.11</v>
      </c>
      <c r="C62" s="60">
        <v>29.43</v>
      </c>
      <c r="D62" s="60">
        <v>29.54</v>
      </c>
      <c r="E62" s="60">
        <v>3.37</v>
      </c>
      <c r="F62" s="60">
        <v>8.11</v>
      </c>
      <c r="G62" s="60">
        <v>92.07</v>
      </c>
      <c r="H62" s="60">
        <v>25.14</v>
      </c>
      <c r="I62" s="60">
        <v>5.69</v>
      </c>
      <c r="J62" s="60">
        <v>0.69</v>
      </c>
      <c r="K62" s="60">
        <v>356.87</v>
      </c>
      <c r="L62" s="60">
        <v>48.94</v>
      </c>
      <c r="M62" s="60">
        <v>36.090000000000003</v>
      </c>
      <c r="N62" s="60">
        <v>592.90</v>
      </c>
      <c r="O62" s="60">
        <v>0</v>
      </c>
      <c r="P62" s="60">
        <v>2.15</v>
      </c>
      <c r="Q62" s="60">
        <v>62.87</v>
      </c>
      <c r="R62" s="198"/>
      <c r="S62" s="198"/>
      <c r="T62" s="198"/>
      <c r="U62" s="198"/>
    </row>
    <row r="63" spans="1:21" s="12" customFormat="1" ht="15">
      <c r="A63" s="201" t="s">
        <v>1260</v>
      </c>
      <c r="B63" s="60">
        <v>0.15</v>
      </c>
      <c r="C63" s="60">
        <v>30.48</v>
      </c>
      <c r="D63" s="60">
        <v>30.63</v>
      </c>
      <c r="E63" s="60">
        <v>3.54</v>
      </c>
      <c r="F63" s="60">
        <v>7.76</v>
      </c>
      <c r="G63" s="60">
        <v>92.07</v>
      </c>
      <c r="H63" s="60">
        <v>25.14</v>
      </c>
      <c r="I63" s="60">
        <v>5.53</v>
      </c>
      <c r="J63" s="60">
        <v>0.30</v>
      </c>
      <c r="K63" s="60">
        <v>298.94</v>
      </c>
      <c r="L63" s="60">
        <v>49.92</v>
      </c>
      <c r="M63" s="60">
        <v>34.200000000000003</v>
      </c>
      <c r="N63" s="60">
        <v>750.70</v>
      </c>
      <c r="O63" s="60">
        <v>0</v>
      </c>
      <c r="P63" s="60">
        <v>2.10</v>
      </c>
      <c r="Q63" s="60">
        <v>58.66</v>
      </c>
      <c r="R63" s="198"/>
      <c r="S63" s="198"/>
      <c r="T63" s="198"/>
      <c r="U63" s="198"/>
    </row>
    <row r="64" spans="1:21" s="12" customFormat="1" ht="15">
      <c r="A64" s="201" t="s">
        <v>1261</v>
      </c>
      <c r="B64" s="60">
        <v>0.34</v>
      </c>
      <c r="C64" s="60">
        <v>32.99</v>
      </c>
      <c r="D64" s="60">
        <v>33.33</v>
      </c>
      <c r="E64" s="60">
        <v>3.61</v>
      </c>
      <c r="F64" s="60">
        <v>7.34</v>
      </c>
      <c r="G64" s="60">
        <v>90.40</v>
      </c>
      <c r="H64" s="60">
        <v>26.70</v>
      </c>
      <c r="I64" s="60">
        <v>5.32</v>
      </c>
      <c r="J64" s="60">
        <v>0.54</v>
      </c>
      <c r="K64" s="60">
        <v>301.83</v>
      </c>
      <c r="L64" s="60">
        <v>49.25</v>
      </c>
      <c r="M64" s="60">
        <v>34.479999999999997</v>
      </c>
      <c r="N64" s="60">
        <v>451.5</v>
      </c>
      <c r="O64" s="60">
        <v>0</v>
      </c>
      <c r="P64" s="60">
        <v>2.12</v>
      </c>
      <c r="Q64" s="60">
        <v>67.62</v>
      </c>
      <c r="R64" s="198"/>
      <c r="S64" s="198"/>
      <c r="T64" s="198"/>
      <c r="U64" s="198"/>
    </row>
    <row r="65" spans="1:21" s="12" customFormat="1" ht="15">
      <c r="A65" s="201" t="s">
        <v>1262</v>
      </c>
      <c r="B65" s="60">
        <v>0.56999999999999995</v>
      </c>
      <c r="C65" s="60">
        <v>31.18</v>
      </c>
      <c r="D65" s="60">
        <v>31.74</v>
      </c>
      <c r="E65" s="60">
        <v>3.95</v>
      </c>
      <c r="F65" s="60">
        <v>7.42</v>
      </c>
      <c r="G65" s="60">
        <v>89.89</v>
      </c>
      <c r="H65" s="60">
        <v>27.85</v>
      </c>
      <c r="I65" s="60">
        <v>5.28</v>
      </c>
      <c r="J65" s="60">
        <v>1.04</v>
      </c>
      <c r="K65" s="60">
        <v>335.86</v>
      </c>
      <c r="L65" s="60">
        <v>50.61</v>
      </c>
      <c r="M65" s="60">
        <v>34.28</v>
      </c>
      <c r="N65" s="60">
        <v>458.80</v>
      </c>
      <c r="O65" s="60">
        <v>0</v>
      </c>
      <c r="P65" s="60">
        <v>2.15</v>
      </c>
      <c r="Q65" s="60">
        <v>68.040000000000006</v>
      </c>
      <c r="R65" s="198"/>
      <c r="S65" s="198"/>
      <c r="T65" s="198"/>
      <c r="U65" s="198"/>
    </row>
    <row r="66" spans="1:21" s="12" customFormat="1" ht="15">
      <c r="A66" s="201" t="s">
        <v>1263</v>
      </c>
      <c r="B66" s="60">
        <v>0.66</v>
      </c>
      <c r="C66" s="60">
        <v>31.56</v>
      </c>
      <c r="D66" s="60">
        <v>32.22</v>
      </c>
      <c r="E66" s="60">
        <v>3.37</v>
      </c>
      <c r="F66" s="60">
        <v>6.86</v>
      </c>
      <c r="G66" s="60">
        <v>89.89</v>
      </c>
      <c r="H66" s="60">
        <v>27.85</v>
      </c>
      <c r="I66" s="60">
        <v>5.27</v>
      </c>
      <c r="J66" s="60">
        <v>0.47</v>
      </c>
      <c r="K66" s="60">
        <v>308.12</v>
      </c>
      <c r="L66" s="60">
        <v>49.29</v>
      </c>
      <c r="M66" s="60">
        <v>33.159999999999997</v>
      </c>
      <c r="N66" s="60">
        <v>442.90</v>
      </c>
      <c r="O66" s="60">
        <v>0</v>
      </c>
      <c r="P66" s="60">
        <v>2.15</v>
      </c>
      <c r="Q66" s="60">
        <v>59.11</v>
      </c>
      <c r="R66" s="198"/>
      <c r="S66" s="198"/>
      <c r="T66" s="198"/>
      <c r="U66" s="198"/>
    </row>
    <row r="67" spans="1:21" s="12" customFormat="1" ht="15">
      <c r="A67" s="201" t="s">
        <v>1264</v>
      </c>
      <c r="B67" s="60">
        <v>0.49</v>
      </c>
      <c r="C67" s="60">
        <v>32.58</v>
      </c>
      <c r="D67" s="60">
        <v>33.07</v>
      </c>
      <c r="E67" s="60">
        <v>3.74</v>
      </c>
      <c r="F67" s="60">
        <v>6.49</v>
      </c>
      <c r="G67" s="60">
        <v>89.89</v>
      </c>
      <c r="H67" s="60">
        <v>27.85</v>
      </c>
      <c r="I67" s="60">
        <v>5.42</v>
      </c>
      <c r="J67" s="60">
        <v>0.61</v>
      </c>
      <c r="K67" s="60">
        <v>312.93</v>
      </c>
      <c r="L67" s="60">
        <v>49.67</v>
      </c>
      <c r="M67" s="60">
        <v>32.07</v>
      </c>
      <c r="N67" s="60">
        <v>725.80</v>
      </c>
      <c r="O67" s="60">
        <v>0</v>
      </c>
      <c r="P67" s="60">
        <v>2.15</v>
      </c>
      <c r="Q67" s="60">
        <v>59.01</v>
      </c>
      <c r="R67" s="198"/>
      <c r="S67" s="198"/>
      <c r="T67" s="198"/>
      <c r="U67" s="198"/>
    </row>
    <row r="68" spans="1:21" s="12" customFormat="1" ht="15">
      <c r="A68" s="201" t="s">
        <v>1265</v>
      </c>
      <c r="B68" s="60">
        <v>0.48</v>
      </c>
      <c r="C68" s="60">
        <v>31.46</v>
      </c>
      <c r="D68" s="60">
        <v>31.94</v>
      </c>
      <c r="E68" s="60">
        <v>2.54</v>
      </c>
      <c r="F68" s="60">
        <v>6.42</v>
      </c>
      <c r="G68" s="60">
        <v>90.81</v>
      </c>
      <c r="H68" s="60">
        <v>28.55</v>
      </c>
      <c r="I68" s="60">
        <v>5.60</v>
      </c>
      <c r="J68" s="60">
        <v>1.1499999999999999</v>
      </c>
      <c r="K68" s="60">
        <v>334.67</v>
      </c>
      <c r="L68" s="60">
        <v>50.17</v>
      </c>
      <c r="M68" s="60">
        <v>32.299999999999997</v>
      </c>
      <c r="N68" s="60">
        <v>642.70000000000005</v>
      </c>
      <c r="O68" s="60">
        <v>0</v>
      </c>
      <c r="P68" s="60">
        <v>2.16</v>
      </c>
      <c r="Q68" s="60">
        <v>56.24</v>
      </c>
      <c r="R68" s="198"/>
      <c r="S68" s="198"/>
      <c r="T68" s="198"/>
      <c r="U68" s="198"/>
    </row>
    <row r="69" spans="1:21" s="12" customFormat="1" ht="15">
      <c r="A69" s="201" t="s">
        <v>1266</v>
      </c>
      <c r="B69" s="60">
        <v>0.34</v>
      </c>
      <c r="C69" s="60">
        <v>32.5</v>
      </c>
      <c r="D69" s="60">
        <v>32.840000000000003</v>
      </c>
      <c r="E69" s="60">
        <v>4.1399999999999997</v>
      </c>
      <c r="F69" s="60">
        <v>6.72</v>
      </c>
      <c r="G69" s="60">
        <v>91.09</v>
      </c>
      <c r="H69" s="60">
        <v>29.06</v>
      </c>
      <c r="I69" s="60">
        <v>5.61</v>
      </c>
      <c r="J69" s="60">
        <v>0.05</v>
      </c>
      <c r="K69" s="60">
        <v>273.87</v>
      </c>
      <c r="L69" s="60">
        <v>52.46</v>
      </c>
      <c r="M69" s="60">
        <v>30.57</v>
      </c>
      <c r="N69" s="60">
        <v>608.79999999999995</v>
      </c>
      <c r="O69" s="60">
        <v>0</v>
      </c>
      <c r="P69" s="60">
        <v>2.16</v>
      </c>
      <c r="Q69" s="60">
        <v>54.16</v>
      </c>
      <c r="R69" s="198"/>
      <c r="S69" s="198"/>
      <c r="T69" s="198"/>
      <c r="U69" s="198"/>
    </row>
    <row r="70" spans="1:21" s="12" customFormat="1" ht="15">
      <c r="A70" s="201" t="s">
        <v>1267</v>
      </c>
      <c r="B70" s="60">
        <v>0.28000000000000003</v>
      </c>
      <c r="C70" s="60">
        <v>30.91</v>
      </c>
      <c r="D70" s="60">
        <v>31.19</v>
      </c>
      <c r="E70" s="60">
        <v>4.41</v>
      </c>
      <c r="F70" s="60">
        <v>7.10</v>
      </c>
      <c r="G70" s="60">
        <v>91.09</v>
      </c>
      <c r="H70" s="60">
        <v>29.06</v>
      </c>
      <c r="I70" s="60">
        <v>5.84</v>
      </c>
      <c r="J70" s="60">
        <v>0.42</v>
      </c>
      <c r="K70" s="60">
        <v>282.51</v>
      </c>
      <c r="L70" s="60">
        <v>55.77</v>
      </c>
      <c r="M70" s="60">
        <v>30.63</v>
      </c>
      <c r="N70" s="60">
        <v>537.10</v>
      </c>
      <c r="O70" s="60">
        <v>0</v>
      </c>
      <c r="P70" s="60">
        <v>2.15</v>
      </c>
      <c r="Q70" s="60">
        <v>55.48</v>
      </c>
      <c r="R70" s="198"/>
      <c r="S70" s="198"/>
      <c r="T70" s="198"/>
      <c r="U70" s="198"/>
    </row>
    <row r="71" spans="1:21" s="12" customFormat="1" ht="15">
      <c r="A71" s="201" t="s">
        <v>1268</v>
      </c>
      <c r="B71" s="60">
        <v>0.18</v>
      </c>
      <c r="C71" s="60">
        <v>31.19</v>
      </c>
      <c r="D71" s="60">
        <v>31.36</v>
      </c>
      <c r="E71" s="60">
        <v>4.42</v>
      </c>
      <c r="F71" s="60">
        <v>7.38</v>
      </c>
      <c r="G71" s="60">
        <v>91.09</v>
      </c>
      <c r="H71" s="60">
        <v>29.06</v>
      </c>
      <c r="I71" s="60">
        <v>5.93</v>
      </c>
      <c r="J71" s="60">
        <v>1.42</v>
      </c>
      <c r="K71" s="60">
        <v>223.09</v>
      </c>
      <c r="L71" s="60">
        <v>51.41</v>
      </c>
      <c r="M71" s="60">
        <v>30.31</v>
      </c>
      <c r="N71" s="60">
        <v>450.40</v>
      </c>
      <c r="O71" s="60">
        <v>0</v>
      </c>
      <c r="P71" s="60">
        <v>2.13</v>
      </c>
      <c r="Q71" s="60">
        <v>53.39</v>
      </c>
      <c r="R71" s="198"/>
      <c r="S71" s="198"/>
      <c r="T71" s="198"/>
      <c r="U71" s="198"/>
    </row>
    <row r="72" spans="1:21" s="12" customFormat="1" ht="15">
      <c r="A72" s="201" t="s">
        <v>1269</v>
      </c>
      <c r="B72" s="60">
        <v>0.09</v>
      </c>
      <c r="C72" s="60">
        <v>29.54</v>
      </c>
      <c r="D72" s="60">
        <v>29.63</v>
      </c>
      <c r="E72" s="60">
        <v>4.21</v>
      </c>
      <c r="F72" s="60">
        <v>7.32</v>
      </c>
      <c r="G72" s="60">
        <v>90.14</v>
      </c>
      <c r="H72" s="60">
        <v>30.08</v>
      </c>
      <c r="I72" s="60">
        <v>5.93</v>
      </c>
      <c r="J72" s="60">
        <v>0.47</v>
      </c>
      <c r="K72" s="60">
        <v>266.70</v>
      </c>
      <c r="L72" s="60">
        <v>50.73</v>
      </c>
      <c r="M72" s="60">
        <v>30.59</v>
      </c>
      <c r="N72" s="60">
        <v>379.60</v>
      </c>
      <c r="O72" s="60">
        <v>0</v>
      </c>
      <c r="P72" s="60">
        <v>2.11</v>
      </c>
      <c r="Q72" s="60">
        <v>55.73</v>
      </c>
      <c r="R72" s="198"/>
      <c r="S72" s="198"/>
      <c r="T72" s="198"/>
      <c r="U72" s="198"/>
    </row>
    <row r="73" spans="1:21" s="12" customFormat="1" ht="15">
      <c r="A73" s="201" t="s">
        <v>1270</v>
      </c>
      <c r="B73" s="60">
        <v>0.18</v>
      </c>
      <c r="C73" s="60">
        <v>28.77</v>
      </c>
      <c r="D73" s="60">
        <v>28.94</v>
      </c>
      <c r="E73" s="60">
        <v>4.4000000000000004</v>
      </c>
      <c r="F73" s="60">
        <v>6.70</v>
      </c>
      <c r="G73" s="60">
        <v>89.84</v>
      </c>
      <c r="H73" s="60">
        <v>30.83</v>
      </c>
      <c r="I73" s="60">
        <v>5.82</v>
      </c>
      <c r="J73" s="60">
        <v>0.21</v>
      </c>
      <c r="K73" s="60">
        <v>11.25</v>
      </c>
      <c r="L73" s="60">
        <v>54.19</v>
      </c>
      <c r="M73" s="60">
        <v>30.20</v>
      </c>
      <c r="N73" s="60">
        <v>296.80</v>
      </c>
      <c r="O73" s="60">
        <v>0</v>
      </c>
      <c r="P73" s="60">
        <v>2.10</v>
      </c>
      <c r="Q73" s="60">
        <v>52.61</v>
      </c>
      <c r="R73" s="198"/>
      <c r="S73" s="198"/>
      <c r="T73" s="198"/>
      <c r="U73" s="198"/>
    </row>
    <row r="74" spans="1:21" s="12" customFormat="1" ht="15">
      <c r="A74" s="201" t="s">
        <v>1271</v>
      </c>
      <c r="B74" s="60">
        <v>0.34</v>
      </c>
      <c r="C74" s="60">
        <v>33.57</v>
      </c>
      <c r="D74" s="60">
        <v>33.92</v>
      </c>
      <c r="E74" s="60">
        <v>4.24</v>
      </c>
      <c r="F74" s="60">
        <v>5.76</v>
      </c>
      <c r="G74" s="60">
        <v>89.84</v>
      </c>
      <c r="H74" s="60">
        <v>30.83</v>
      </c>
      <c r="I74" s="60">
        <v>5.60</v>
      </c>
      <c r="J74" s="60">
        <v>0.76</v>
      </c>
      <c r="K74" s="60">
        <v>239.04</v>
      </c>
      <c r="L74" s="60">
        <v>50.75</v>
      </c>
      <c r="M74" s="60">
        <v>30.25</v>
      </c>
      <c r="N74" s="60">
        <v>226.30</v>
      </c>
      <c r="O74" s="60">
        <v>0</v>
      </c>
      <c r="P74" s="60">
        <v>2.10</v>
      </c>
      <c r="Q74" s="60">
        <v>69.05</v>
      </c>
      <c r="R74" s="198"/>
      <c r="S74" s="198"/>
      <c r="T74" s="198"/>
      <c r="U74" s="198"/>
    </row>
    <row r="75" spans="1:21" s="12" customFormat="1" ht="15">
      <c r="A75" s="201" t="s">
        <v>1272</v>
      </c>
      <c r="B75" s="60">
        <v>0.36</v>
      </c>
      <c r="C75" s="60">
        <v>30.34</v>
      </c>
      <c r="D75" s="60">
        <v>30.70</v>
      </c>
      <c r="E75" s="60">
        <v>4.3499999999999996</v>
      </c>
      <c r="F75" s="60">
        <v>4.8499999999999996</v>
      </c>
      <c r="G75" s="60">
        <v>89.84</v>
      </c>
      <c r="H75" s="60">
        <v>30.83</v>
      </c>
      <c r="I75" s="60">
        <v>5.48</v>
      </c>
      <c r="J75" s="60">
        <v>0.61</v>
      </c>
      <c r="K75" s="60">
        <v>346.61</v>
      </c>
      <c r="L75" s="60">
        <v>49.22</v>
      </c>
      <c r="M75" s="60">
        <v>30.19</v>
      </c>
      <c r="N75" s="60">
        <v>148.60</v>
      </c>
      <c r="O75" s="60">
        <v>0</v>
      </c>
      <c r="P75" s="60">
        <v>2.11</v>
      </c>
      <c r="Q75" s="60">
        <v>57.90</v>
      </c>
      <c r="R75" s="198"/>
      <c r="S75" s="198"/>
      <c r="T75" s="198"/>
      <c r="U75" s="198"/>
    </row>
    <row r="76" spans="1:21" s="12" customFormat="1" ht="15">
      <c r="A76" s="201" t="s">
        <v>1273</v>
      </c>
      <c r="B76" s="60">
        <v>0.59</v>
      </c>
      <c r="C76" s="60">
        <v>32.39</v>
      </c>
      <c r="D76" s="60">
        <v>32.979999999999997</v>
      </c>
      <c r="E76" s="60">
        <v>4.38</v>
      </c>
      <c r="F76" s="60">
        <v>4.08</v>
      </c>
      <c r="G76" s="60">
        <v>93.06</v>
      </c>
      <c r="H76" s="60">
        <v>25.65</v>
      </c>
      <c r="I76" s="60">
        <v>5.43</v>
      </c>
      <c r="J76" s="60">
        <v>2.89</v>
      </c>
      <c r="K76" s="60">
        <v>332.56</v>
      </c>
      <c r="L76" s="60">
        <v>48.25</v>
      </c>
      <c r="M76" s="60">
        <v>31.16</v>
      </c>
      <c r="N76" s="60">
        <v>77</v>
      </c>
      <c r="O76" s="60">
        <v>0</v>
      </c>
      <c r="P76" s="60">
        <v>2.13</v>
      </c>
      <c r="Q76" s="60">
        <v>51.23</v>
      </c>
      <c r="R76" s="198"/>
      <c r="S76" s="198"/>
      <c r="T76" s="198"/>
      <c r="U76" s="198"/>
    </row>
    <row r="77" spans="1:21" s="12" customFormat="1" ht="15">
      <c r="A77" s="201" t="s">
        <v>1274</v>
      </c>
      <c r="B77" s="60">
        <v>0.90</v>
      </c>
      <c r="C77" s="60">
        <v>36.35</v>
      </c>
      <c r="D77" s="60">
        <v>37.26</v>
      </c>
      <c r="E77" s="60">
        <v>4.6500000000000004</v>
      </c>
      <c r="F77" s="60">
        <v>3.69</v>
      </c>
      <c r="G77" s="60">
        <v>94.81</v>
      </c>
      <c r="H77" s="60">
        <v>21.86</v>
      </c>
      <c r="I77" s="60">
        <v>5.40</v>
      </c>
      <c r="J77" s="60">
        <v>4.37</v>
      </c>
      <c r="K77" s="60">
        <v>323.07</v>
      </c>
      <c r="L77" s="60">
        <v>43.61</v>
      </c>
      <c r="M77" s="60">
        <v>44.83</v>
      </c>
      <c r="N77" s="60">
        <v>37.40</v>
      </c>
      <c r="O77" s="60">
        <v>0</v>
      </c>
      <c r="P77" s="60">
        <v>2.11</v>
      </c>
      <c r="Q77" s="60">
        <v>65.38</v>
      </c>
      <c r="R77" s="198"/>
      <c r="S77" s="198"/>
      <c r="T77" s="198"/>
      <c r="U77" s="198"/>
    </row>
    <row r="78" spans="1:21" s="12" customFormat="1" ht="15">
      <c r="A78" s="201" t="s">
        <v>1275</v>
      </c>
      <c r="B78" s="60">
        <v>1.1200000000000001</v>
      </c>
      <c r="C78" s="60">
        <v>36.58</v>
      </c>
      <c r="D78" s="60">
        <v>37.700000000000003</v>
      </c>
      <c r="E78" s="60">
        <v>4.99</v>
      </c>
      <c r="F78" s="60">
        <v>2.96</v>
      </c>
      <c r="G78" s="60">
        <v>94.81</v>
      </c>
      <c r="H78" s="60">
        <v>21.86</v>
      </c>
      <c r="I78" s="60">
        <v>5.43</v>
      </c>
      <c r="J78" s="60">
        <v>3.39</v>
      </c>
      <c r="K78" s="60">
        <v>325.19</v>
      </c>
      <c r="L78" s="60">
        <v>41.62</v>
      </c>
      <c r="M78" s="60">
        <v>49</v>
      </c>
      <c r="N78" s="60">
        <v>18.600000000000001</v>
      </c>
      <c r="O78" s="60">
        <v>0</v>
      </c>
      <c r="P78" s="60">
        <v>2.12</v>
      </c>
      <c r="Q78" s="60">
        <v>68.91</v>
      </c>
      <c r="R78" s="198"/>
      <c r="S78" s="198"/>
      <c r="T78" s="198"/>
      <c r="U78" s="198"/>
    </row>
    <row r="79" spans="1:21" s="12" customFormat="1" ht="15">
      <c r="A79" s="201" t="s">
        <v>1276</v>
      </c>
      <c r="B79" s="60">
        <v>1.46</v>
      </c>
      <c r="C79" s="60">
        <v>36.08</v>
      </c>
      <c r="D79" s="60">
        <v>37.549999999999997</v>
      </c>
      <c r="E79" s="60">
        <v>5.23</v>
      </c>
      <c r="F79" s="60">
        <v>2.4900000000000002</v>
      </c>
      <c r="G79" s="60">
        <v>94.81</v>
      </c>
      <c r="H79" s="60">
        <v>21.86</v>
      </c>
      <c r="I79" s="60">
        <v>5.41</v>
      </c>
      <c r="J79" s="60">
        <v>2.68</v>
      </c>
      <c r="K79" s="60">
        <v>325.14999999999998</v>
      </c>
      <c r="L79" s="60">
        <v>41.45</v>
      </c>
      <c r="M79" s="60">
        <v>50.29</v>
      </c>
      <c r="N79" s="60">
        <v>15.40</v>
      </c>
      <c r="O79" s="60">
        <v>0</v>
      </c>
      <c r="P79" s="60">
        <v>2.14</v>
      </c>
      <c r="Q79" s="60">
        <v>69.16</v>
      </c>
      <c r="R79" s="198"/>
      <c r="S79" s="198"/>
      <c r="T79" s="198"/>
      <c r="U79" s="198"/>
    </row>
    <row r="80" spans="1:21" s="12" customFormat="1" ht="15">
      <c r="A80" s="201" t="s">
        <v>1277</v>
      </c>
      <c r="B80" s="60">
        <v>1.90</v>
      </c>
      <c r="C80" s="60">
        <v>37.229999999999997</v>
      </c>
      <c r="D80" s="60">
        <v>39.130000000000003</v>
      </c>
      <c r="E80" s="60">
        <v>5.72</v>
      </c>
      <c r="F80" s="60">
        <v>1.82</v>
      </c>
      <c r="G80" s="60">
        <v>101.33</v>
      </c>
      <c r="H80" s="60">
        <v>23.46</v>
      </c>
      <c r="I80" s="60">
        <v>5.38</v>
      </c>
      <c r="J80" s="60">
        <v>1.88</v>
      </c>
      <c r="K80" s="60">
        <v>328.48</v>
      </c>
      <c r="L80" s="60">
        <v>43.99</v>
      </c>
      <c r="M80" s="60">
        <v>50.91</v>
      </c>
      <c r="N80" s="60">
        <v>9.3000000000000007</v>
      </c>
      <c r="O80" s="60">
        <v>0</v>
      </c>
      <c r="P80" s="60">
        <v>2.17</v>
      </c>
      <c r="Q80" s="60">
        <v>68.98</v>
      </c>
      <c r="R80" s="198"/>
      <c r="S80" s="198"/>
      <c r="T80" s="198"/>
      <c r="U80" s="198"/>
    </row>
    <row r="81" spans="1:21" s="12" customFormat="1" ht="15">
      <c r="A81" s="201" t="s">
        <v>1278</v>
      </c>
      <c r="B81" s="60">
        <v>2.37</v>
      </c>
      <c r="C81" s="60">
        <v>38.880000000000003</v>
      </c>
      <c r="D81" s="60">
        <v>41.25</v>
      </c>
      <c r="E81" s="60">
        <v>5.68</v>
      </c>
      <c r="F81" s="60">
        <v>2.35</v>
      </c>
      <c r="G81" s="60">
        <v>103.34</v>
      </c>
      <c r="H81" s="60">
        <v>24.63</v>
      </c>
      <c r="I81" s="60">
        <v>5.40</v>
      </c>
      <c r="J81" s="60">
        <v>2.09</v>
      </c>
      <c r="K81" s="60">
        <v>333.48</v>
      </c>
      <c r="L81" s="60">
        <v>46.63</v>
      </c>
      <c r="M81" s="60">
        <v>49.47</v>
      </c>
      <c r="N81" s="60">
        <v>1.30</v>
      </c>
      <c r="O81" s="60">
        <v>0</v>
      </c>
      <c r="P81" s="60">
        <v>2.1800000000000002</v>
      </c>
      <c r="Q81" s="60">
        <v>72.34</v>
      </c>
      <c r="R81" s="198"/>
      <c r="S81" s="198"/>
      <c r="T81" s="198"/>
      <c r="U81" s="198"/>
    </row>
    <row r="82" spans="1:21" s="12" customFormat="1" ht="15">
      <c r="A82" s="201" t="s">
        <v>1279</v>
      </c>
      <c r="B82" s="60">
        <v>2.56</v>
      </c>
      <c r="C82" s="60">
        <v>38.590000000000003</v>
      </c>
      <c r="D82" s="60">
        <v>41.15</v>
      </c>
      <c r="E82" s="60">
        <v>5.99</v>
      </c>
      <c r="F82" s="60">
        <v>3.01</v>
      </c>
      <c r="G82" s="60">
        <v>103.34</v>
      </c>
      <c r="H82" s="60">
        <v>24.63</v>
      </c>
      <c r="I82" s="60">
        <v>5.56</v>
      </c>
      <c r="J82" s="60">
        <v>1.87</v>
      </c>
      <c r="K82" s="60">
        <v>343.80</v>
      </c>
      <c r="L82" s="60">
        <v>44.33</v>
      </c>
      <c r="M82" s="60">
        <v>49.23</v>
      </c>
      <c r="N82" s="219" t="s">
        <v>36</v>
      </c>
      <c r="O82" s="60">
        <v>0</v>
      </c>
      <c r="P82" s="60">
        <v>2.2000000000000002</v>
      </c>
      <c r="Q82" s="60">
        <v>87.93</v>
      </c>
      <c r="R82" s="198"/>
      <c r="S82" s="198"/>
      <c r="T82" s="198"/>
      <c r="U82" s="198"/>
    </row>
    <row r="83" spans="1:21" s="12" customFormat="1" ht="15">
      <c r="A83" s="201" t="s">
        <v>1280</v>
      </c>
      <c r="B83" s="60">
        <v>2.40</v>
      </c>
      <c r="C83" s="60">
        <v>37.799999999999997</v>
      </c>
      <c r="D83" s="60">
        <v>40.200000000000003</v>
      </c>
      <c r="E83" s="60">
        <v>5.87</v>
      </c>
      <c r="F83" s="60">
        <v>2.59</v>
      </c>
      <c r="G83" s="60">
        <v>103.34</v>
      </c>
      <c r="H83" s="60">
        <v>24.63</v>
      </c>
      <c r="I83" s="60">
        <v>5.60</v>
      </c>
      <c r="J83" s="60">
        <v>0.47</v>
      </c>
      <c r="K83" s="60">
        <v>292.38</v>
      </c>
      <c r="L83" s="60">
        <v>45.14</v>
      </c>
      <c r="M83" s="60">
        <v>39.61</v>
      </c>
      <c r="N83" s="219" t="s">
        <v>36</v>
      </c>
      <c r="O83" s="60">
        <v>0</v>
      </c>
      <c r="P83" s="60">
        <v>2.21</v>
      </c>
      <c r="Q83" s="60">
        <v>75.010000000000005</v>
      </c>
      <c r="R83" s="198"/>
      <c r="S83" s="198"/>
      <c r="T83" s="198"/>
      <c r="U83" s="198"/>
    </row>
    <row r="84" spans="1:21" s="12" customFormat="1" ht="15">
      <c r="A84" s="201" t="s">
        <v>1281</v>
      </c>
      <c r="B84" s="60">
        <v>3.12</v>
      </c>
      <c r="C84" s="60">
        <v>41.63</v>
      </c>
      <c r="D84" s="60">
        <v>44.75</v>
      </c>
      <c r="E84" s="60">
        <v>3.42</v>
      </c>
      <c r="F84" s="60">
        <v>1.98</v>
      </c>
      <c r="G84" s="60">
        <v>104.22</v>
      </c>
      <c r="H84" s="60">
        <v>27.70</v>
      </c>
      <c r="I84" s="60">
        <v>5.62</v>
      </c>
      <c r="J84" s="60">
        <v>1.32</v>
      </c>
      <c r="K84" s="60">
        <v>334.09</v>
      </c>
      <c r="L84" s="60">
        <v>45.53</v>
      </c>
      <c r="M84" s="60">
        <v>40.11</v>
      </c>
      <c r="N84" s="219" t="s">
        <v>36</v>
      </c>
      <c r="O84" s="60">
        <v>0</v>
      </c>
      <c r="P84" s="60">
        <v>2.2599999999999998</v>
      </c>
      <c r="Q84" s="60">
        <v>75.040000000000006</v>
      </c>
      <c r="R84" s="198"/>
      <c r="S84" s="198"/>
      <c r="T84" s="198"/>
      <c r="U84" s="198"/>
    </row>
    <row r="85" spans="1:21" s="12" customFormat="1" ht="15">
      <c r="A85" s="201" t="s">
        <v>1282</v>
      </c>
      <c r="B85" s="60">
        <v>6.75</v>
      </c>
      <c r="C85" s="60">
        <v>45.39</v>
      </c>
      <c r="D85" s="60">
        <v>52.14</v>
      </c>
      <c r="E85" s="60">
        <v>6.22</v>
      </c>
      <c r="F85" s="60">
        <v>1.37</v>
      </c>
      <c r="G85" s="60">
        <v>104.47</v>
      </c>
      <c r="H85" s="60">
        <v>29.94</v>
      </c>
      <c r="I85" s="60">
        <v>5.66</v>
      </c>
      <c r="J85" s="60">
        <v>0.27</v>
      </c>
      <c r="K85" s="60">
        <v>186.37</v>
      </c>
      <c r="L85" s="60">
        <v>44.27</v>
      </c>
      <c r="M85" s="60">
        <v>40.46</v>
      </c>
      <c r="N85" s="219" t="s">
        <v>36</v>
      </c>
      <c r="O85" s="60">
        <v>0</v>
      </c>
      <c r="P85" s="60">
        <v>2.39</v>
      </c>
      <c r="Q85" s="60">
        <v>77.34</v>
      </c>
      <c r="R85" s="198"/>
      <c r="S85" s="198"/>
      <c r="T85" s="198"/>
      <c r="U85" s="198"/>
    </row>
    <row r="86" spans="1:21" s="12" customFormat="1" ht="15">
      <c r="A86" s="201" t="s">
        <v>1283</v>
      </c>
      <c r="B86" s="60">
        <v>7.71</v>
      </c>
      <c r="C86" s="60">
        <v>46.96</v>
      </c>
      <c r="D86" s="60">
        <v>54.66</v>
      </c>
      <c r="E86" s="60">
        <v>6.35</v>
      </c>
      <c r="F86" s="60">
        <v>1.28</v>
      </c>
      <c r="G86" s="60">
        <v>104.47</v>
      </c>
      <c r="H86" s="60">
        <v>29.94</v>
      </c>
      <c r="I86" s="60">
        <v>5.99</v>
      </c>
      <c r="J86" s="60">
        <v>1.87</v>
      </c>
      <c r="K86" s="60">
        <v>27.35</v>
      </c>
      <c r="L86" s="60">
        <v>43.64</v>
      </c>
      <c r="M86" s="60">
        <v>41.85</v>
      </c>
      <c r="N86" s="219" t="s">
        <v>36</v>
      </c>
      <c r="O86" s="60">
        <v>0</v>
      </c>
      <c r="P86" s="60">
        <v>2.4900000000000002</v>
      </c>
      <c r="Q86" s="60">
        <v>77.819999999999993</v>
      </c>
      <c r="R86" s="198"/>
      <c r="S86" s="198"/>
      <c r="T86" s="198"/>
      <c r="U86" s="198"/>
    </row>
    <row r="87" spans="1:21" s="12" customFormat="1" ht="15">
      <c r="A87" s="201" t="s">
        <v>1284</v>
      </c>
      <c r="B87" s="60">
        <v>8.52</v>
      </c>
      <c r="C87" s="60">
        <v>48.73</v>
      </c>
      <c r="D87" s="60">
        <v>57.26</v>
      </c>
      <c r="E87" s="60">
        <v>6.59</v>
      </c>
      <c r="F87" s="60">
        <v>1.1299999999999999</v>
      </c>
      <c r="G87" s="60">
        <v>104.47</v>
      </c>
      <c r="H87" s="60">
        <v>29.94</v>
      </c>
      <c r="I87" s="60">
        <v>6.54</v>
      </c>
      <c r="J87" s="60">
        <v>3.62</v>
      </c>
      <c r="K87" s="60">
        <v>321.66000000000003</v>
      </c>
      <c r="L87" s="60">
        <v>43.80</v>
      </c>
      <c r="M87" s="60">
        <v>40.67</v>
      </c>
      <c r="N87" s="219" t="s">
        <v>36</v>
      </c>
      <c r="O87" s="60">
        <v>0</v>
      </c>
      <c r="P87" s="60">
        <v>2.57</v>
      </c>
      <c r="Q87" s="60">
        <v>78.11</v>
      </c>
      <c r="R87" s="198"/>
      <c r="S87" s="198"/>
      <c r="T87" s="198"/>
      <c r="U87" s="198"/>
    </row>
    <row r="88" spans="1:21" s="12" customFormat="1" ht="15">
      <c r="A88" s="201" t="s">
        <v>1285</v>
      </c>
      <c r="B88" s="60">
        <v>6.89</v>
      </c>
      <c r="C88" s="60">
        <v>48.75</v>
      </c>
      <c r="D88" s="60">
        <v>55.64</v>
      </c>
      <c r="E88" s="60">
        <v>6.80</v>
      </c>
      <c r="F88" s="60">
        <v>2.02</v>
      </c>
      <c r="G88" s="60">
        <v>115.27</v>
      </c>
      <c r="H88" s="60">
        <v>30.58</v>
      </c>
      <c r="I88" s="60">
        <v>7.13</v>
      </c>
      <c r="J88" s="60">
        <v>4.75</v>
      </c>
      <c r="K88" s="60">
        <v>336.84</v>
      </c>
      <c r="L88" s="60">
        <v>41.23</v>
      </c>
      <c r="M88" s="60">
        <v>50.49</v>
      </c>
      <c r="N88" s="60">
        <v>7.10</v>
      </c>
      <c r="O88" s="60">
        <v>1.40</v>
      </c>
      <c r="P88" s="60">
        <v>2.5299999999999998</v>
      </c>
      <c r="Q88" s="60">
        <v>78.37</v>
      </c>
      <c r="R88" s="198"/>
      <c r="S88" s="198"/>
      <c r="T88" s="198"/>
      <c r="U88" s="198"/>
    </row>
    <row r="89" spans="1:21" s="12" customFormat="1" ht="15">
      <c r="A89" s="201" t="s">
        <v>1286</v>
      </c>
      <c r="B89" s="60">
        <v>4.26</v>
      </c>
      <c r="C89" s="60">
        <v>46.77</v>
      </c>
      <c r="D89" s="60">
        <v>51.02</v>
      </c>
      <c r="E89" s="60">
        <v>6.34</v>
      </c>
      <c r="F89" s="60">
        <v>2.02</v>
      </c>
      <c r="G89" s="60">
        <v>118.59</v>
      </c>
      <c r="H89" s="60">
        <v>31.04</v>
      </c>
      <c r="I89" s="60">
        <v>7.64</v>
      </c>
      <c r="J89" s="60">
        <v>1.63</v>
      </c>
      <c r="K89" s="60">
        <v>159.66</v>
      </c>
      <c r="L89" s="60">
        <v>39.31</v>
      </c>
      <c r="M89" s="60">
        <v>61.49</v>
      </c>
      <c r="N89" s="219" t="s">
        <v>36</v>
      </c>
      <c r="O89" s="60">
        <v>0.20</v>
      </c>
      <c r="P89" s="60">
        <v>2.46</v>
      </c>
      <c r="Q89" s="60">
        <v>78.80</v>
      </c>
      <c r="R89" s="198"/>
      <c r="S89" s="198"/>
      <c r="T89" s="198"/>
      <c r="U89" s="198"/>
    </row>
    <row r="90" spans="1:21" s="12" customFormat="1" ht="15">
      <c r="A90" s="201" t="s">
        <v>1287</v>
      </c>
      <c r="B90" s="60">
        <v>2.5</v>
      </c>
      <c r="C90" s="60">
        <v>42.60</v>
      </c>
      <c r="D90" s="60">
        <v>45.10</v>
      </c>
      <c r="E90" s="60">
        <v>6.57</v>
      </c>
      <c r="F90" s="60">
        <v>2.39</v>
      </c>
      <c r="G90" s="60">
        <v>118.59</v>
      </c>
      <c r="H90" s="60">
        <v>31.04</v>
      </c>
      <c r="I90" s="60">
        <v>7.37</v>
      </c>
      <c r="J90" s="60">
        <v>3.69</v>
      </c>
      <c r="K90" s="60">
        <v>196.45</v>
      </c>
      <c r="L90" s="60">
        <v>37.42</v>
      </c>
      <c r="M90" s="60">
        <v>75.16</v>
      </c>
      <c r="N90" s="219" t="s">
        <v>36</v>
      </c>
      <c r="O90" s="60">
        <v>0.80</v>
      </c>
      <c r="P90" s="60">
        <v>2.38</v>
      </c>
      <c r="Q90" s="60">
        <v>76.72</v>
      </c>
      <c r="R90" s="198"/>
      <c r="S90" s="198"/>
      <c r="T90" s="198"/>
      <c r="U90" s="198"/>
    </row>
    <row r="91" spans="1:21" s="12" customFormat="1" ht="15">
      <c r="A91" s="201" t="s">
        <v>1288</v>
      </c>
      <c r="B91" s="60">
        <v>1.0900000000000001</v>
      </c>
      <c r="C91" s="60">
        <v>37.08</v>
      </c>
      <c r="D91" s="60">
        <v>38.18</v>
      </c>
      <c r="E91" s="60">
        <v>5.84</v>
      </c>
      <c r="F91" s="60">
        <v>3.38</v>
      </c>
      <c r="G91" s="60">
        <v>118.59</v>
      </c>
      <c r="H91" s="60">
        <v>31.04</v>
      </c>
      <c r="I91" s="60">
        <v>6.84</v>
      </c>
      <c r="J91" s="60">
        <v>1.21</v>
      </c>
      <c r="K91" s="60">
        <v>217.44</v>
      </c>
      <c r="L91" s="60">
        <v>34.979999999999997</v>
      </c>
      <c r="M91" s="60">
        <v>86.39</v>
      </c>
      <c r="N91" s="219" t="s">
        <v>36</v>
      </c>
      <c r="O91" s="60">
        <v>0.40</v>
      </c>
      <c r="P91" s="60">
        <v>2.2799999999999998</v>
      </c>
      <c r="Q91" s="60">
        <v>73.34</v>
      </c>
      <c r="R91" s="198"/>
      <c r="S91" s="198"/>
      <c r="T91" s="198"/>
      <c r="U91" s="198"/>
    </row>
    <row r="92" spans="1:21" s="12" customFormat="1" ht="15">
      <c r="A92" s="201" t="s">
        <v>1289</v>
      </c>
      <c r="B92" s="60">
        <v>0.49</v>
      </c>
      <c r="C92" s="60">
        <v>35.049999999999997</v>
      </c>
      <c r="D92" s="60">
        <v>35.53</v>
      </c>
      <c r="E92" s="60">
        <v>5.76</v>
      </c>
      <c r="F92" s="60">
        <v>3.94</v>
      </c>
      <c r="G92" s="60">
        <v>105</v>
      </c>
      <c r="H92" s="60">
        <v>31.74</v>
      </c>
      <c r="I92" s="60">
        <v>6.37</v>
      </c>
      <c r="J92" s="60">
        <v>0.45</v>
      </c>
      <c r="K92" s="60">
        <v>220.67</v>
      </c>
      <c r="L92" s="60">
        <v>34.61</v>
      </c>
      <c r="M92" s="60">
        <v>90.32</v>
      </c>
      <c r="N92" s="219" t="s">
        <v>36</v>
      </c>
      <c r="O92" s="60">
        <v>4</v>
      </c>
      <c r="P92" s="60">
        <v>2.17</v>
      </c>
      <c r="Q92" s="60">
        <v>77.05</v>
      </c>
      <c r="R92" s="198"/>
      <c r="S92" s="198"/>
      <c r="T92" s="198"/>
      <c r="U92" s="198"/>
    </row>
    <row r="93" spans="1:21" s="12" customFormat="1" ht="15">
      <c r="A93" s="201" t="s">
        <v>1290</v>
      </c>
      <c r="B93" s="60">
        <v>0.24</v>
      </c>
      <c r="C93" s="60">
        <v>30.85</v>
      </c>
      <c r="D93" s="60">
        <v>31.10</v>
      </c>
      <c r="E93" s="60">
        <v>5.52</v>
      </c>
      <c r="F93" s="60">
        <v>4.78</v>
      </c>
      <c r="G93" s="60">
        <v>101.08</v>
      </c>
      <c r="H93" s="60">
        <v>32.25</v>
      </c>
      <c r="I93" s="60">
        <v>5.87</v>
      </c>
      <c r="J93" s="60">
        <v>2.19</v>
      </c>
      <c r="K93" s="60">
        <v>217.37</v>
      </c>
      <c r="L93" s="60">
        <v>33.08</v>
      </c>
      <c r="M93" s="60">
        <v>95</v>
      </c>
      <c r="N93" s="219" t="s">
        <v>36</v>
      </c>
      <c r="O93" s="60">
        <v>2.40</v>
      </c>
      <c r="P93" s="60">
        <v>2.10</v>
      </c>
      <c r="Q93" s="60">
        <v>65.38</v>
      </c>
      <c r="R93" s="198"/>
      <c r="S93" s="198"/>
      <c r="T93" s="198"/>
      <c r="U93" s="198"/>
    </row>
    <row r="94" spans="1:21" s="12" customFormat="1" ht="15">
      <c r="A94" s="201" t="s">
        <v>1291</v>
      </c>
      <c r="B94" s="60">
        <v>0.10</v>
      </c>
      <c r="C94" s="60">
        <v>26.60</v>
      </c>
      <c r="D94" s="60">
        <v>26.70</v>
      </c>
      <c r="E94" s="60">
        <v>4.97</v>
      </c>
      <c r="F94" s="60">
        <v>5.0199999999999996</v>
      </c>
      <c r="G94" s="60">
        <v>101.08</v>
      </c>
      <c r="H94" s="60">
        <v>32.25</v>
      </c>
      <c r="I94" s="60">
        <v>5.39</v>
      </c>
      <c r="J94" s="60">
        <v>2.4500000000000002</v>
      </c>
      <c r="K94" s="60">
        <v>214.54</v>
      </c>
      <c r="L94" s="60">
        <v>32.39</v>
      </c>
      <c r="M94" s="60">
        <v>93.36</v>
      </c>
      <c r="N94" s="219" t="s">
        <v>36</v>
      </c>
      <c r="O94" s="60">
        <v>0.20</v>
      </c>
      <c r="P94" s="60">
        <v>2.0299999999999998</v>
      </c>
      <c r="Q94" s="60">
        <v>61.14</v>
      </c>
      <c r="R94" s="198"/>
      <c r="S94" s="198"/>
      <c r="T94" s="198"/>
      <c r="U94" s="198"/>
    </row>
    <row r="95" spans="1:21" s="12" customFormat="1" ht="15">
      <c r="A95" s="201" t="s">
        <v>1292</v>
      </c>
      <c r="B95" s="60">
        <v>0.09</v>
      </c>
      <c r="C95" s="60">
        <v>23.48</v>
      </c>
      <c r="D95" s="60">
        <v>23.57</v>
      </c>
      <c r="E95" s="60">
        <v>4.8099999999999996</v>
      </c>
      <c r="F95" s="60">
        <v>3.95</v>
      </c>
      <c r="G95" s="60">
        <v>101.08</v>
      </c>
      <c r="H95" s="60">
        <v>32.25</v>
      </c>
      <c r="I95" s="60">
        <v>4.87</v>
      </c>
      <c r="J95" s="60">
        <v>1.54</v>
      </c>
      <c r="K95" s="60">
        <v>212.26</v>
      </c>
      <c r="L95" s="60">
        <v>32.69</v>
      </c>
      <c r="M95" s="60">
        <v>88.62</v>
      </c>
      <c r="N95" s="219" t="s">
        <v>36</v>
      </c>
      <c r="O95" s="60">
        <v>0</v>
      </c>
      <c r="P95" s="60">
        <v>1.98</v>
      </c>
      <c r="Q95" s="60">
        <v>59.04</v>
      </c>
      <c r="R95" s="198"/>
      <c r="S95" s="198"/>
      <c r="T95" s="198"/>
      <c r="U95" s="198"/>
    </row>
    <row r="96" spans="1:26" s="12" customFormat="1" ht="15">
      <c r="A96" s="201" t="s">
        <v>1293</v>
      </c>
      <c r="B96" s="60">
        <v>0.22</v>
      </c>
      <c r="C96" s="60">
        <v>22.05</v>
      </c>
      <c r="D96" s="60">
        <v>22.27</v>
      </c>
      <c r="E96" s="60">
        <v>4.99</v>
      </c>
      <c r="F96" s="60">
        <v>3.09</v>
      </c>
      <c r="G96" s="60">
        <v>82.06</v>
      </c>
      <c r="H96" s="60">
        <v>30.56</v>
      </c>
      <c r="I96" s="60">
        <v>4.4000000000000004</v>
      </c>
      <c r="J96" s="60">
        <v>1.41</v>
      </c>
      <c r="K96" s="60">
        <v>219.87</v>
      </c>
      <c r="L96" s="60">
        <v>31.78</v>
      </c>
      <c r="M96" s="60">
        <v>89.47</v>
      </c>
      <c r="N96" s="219" t="s">
        <v>36</v>
      </c>
      <c r="O96" s="60">
        <v>0</v>
      </c>
      <c r="P96" s="60">
        <v>1.95</v>
      </c>
      <c r="Q96" s="60">
        <v>57.57</v>
      </c>
      <c r="R96" s="198"/>
      <c r="S96" s="198"/>
      <c r="T96" s="198"/>
      <c r="U96" s="198"/>
      <c r="Z96" s="109"/>
    </row>
    <row r="97" spans="1:21" s="12" customFormat="1" ht="15">
      <c r="A97" s="201" t="s">
        <v>1294</v>
      </c>
      <c r="B97" s="60">
        <v>0.28000000000000003</v>
      </c>
      <c r="C97" s="60">
        <v>21.15</v>
      </c>
      <c r="D97" s="60">
        <v>21.42</v>
      </c>
      <c r="E97" s="60">
        <v>5.0599999999999996</v>
      </c>
      <c r="F97" s="60">
        <v>2.4900000000000002</v>
      </c>
      <c r="G97" s="60">
        <v>76.58</v>
      </c>
      <c r="H97" s="60">
        <v>29.32</v>
      </c>
      <c r="I97" s="60">
        <v>4.17</v>
      </c>
      <c r="J97" s="60">
        <v>1.51</v>
      </c>
      <c r="K97" s="60">
        <v>216.52</v>
      </c>
      <c r="L97" s="60">
        <v>31.79</v>
      </c>
      <c r="M97" s="60">
        <v>86.06</v>
      </c>
      <c r="N97" s="219" t="s">
        <v>36</v>
      </c>
      <c r="O97" s="60">
        <v>0</v>
      </c>
      <c r="P97" s="60">
        <v>1.92</v>
      </c>
      <c r="Q97" s="60">
        <v>57.27</v>
      </c>
      <c r="R97" s="198"/>
      <c r="S97" s="198"/>
      <c r="T97" s="198"/>
      <c r="U97" s="198"/>
    </row>
    <row r="98" spans="1:21" s="12" customFormat="1" ht="15">
      <c r="A98" s="201" t="s">
        <v>1295</v>
      </c>
      <c r="B98" s="60">
        <v>0.43</v>
      </c>
      <c r="C98" s="60">
        <v>20.94</v>
      </c>
      <c r="D98" s="60">
        <v>21.37</v>
      </c>
      <c r="E98" s="60">
        <v>4.75</v>
      </c>
      <c r="F98" s="60">
        <v>2.71</v>
      </c>
      <c r="G98" s="60">
        <v>76.58</v>
      </c>
      <c r="H98" s="60">
        <v>29.32</v>
      </c>
      <c r="I98" s="60">
        <v>4.03</v>
      </c>
      <c r="J98" s="60">
        <v>0.38</v>
      </c>
      <c r="K98" s="60">
        <v>257.62</v>
      </c>
      <c r="L98" s="60">
        <v>32.5</v>
      </c>
      <c r="M98" s="60">
        <v>82.18</v>
      </c>
      <c r="N98" s="219" t="s">
        <v>36</v>
      </c>
      <c r="O98" s="60">
        <v>0</v>
      </c>
      <c r="P98" s="60">
        <v>1.88</v>
      </c>
      <c r="Q98" s="60">
        <v>57.08</v>
      </c>
      <c r="R98" s="198"/>
      <c r="S98" s="198"/>
      <c r="T98" s="198"/>
      <c r="U98" s="198"/>
    </row>
    <row r="99" spans="1:21" s="12" customFormat="1" ht="15">
      <c r="A99" s="201" t="s">
        <v>1296</v>
      </c>
      <c r="B99" s="60">
        <v>0.61</v>
      </c>
      <c r="C99" s="60">
        <v>22.75</v>
      </c>
      <c r="D99" s="60">
        <v>23.36</v>
      </c>
      <c r="E99" s="60">
        <v>5.19</v>
      </c>
      <c r="F99" s="60">
        <v>3.16</v>
      </c>
      <c r="G99" s="60">
        <v>76.58</v>
      </c>
      <c r="H99" s="60">
        <v>29.32</v>
      </c>
      <c r="I99" s="60">
        <v>3.87</v>
      </c>
      <c r="J99" s="60">
        <v>0.47</v>
      </c>
      <c r="K99" s="60">
        <v>221.52</v>
      </c>
      <c r="L99" s="60">
        <v>32.619999999999997</v>
      </c>
      <c r="M99" s="60">
        <v>82.53</v>
      </c>
      <c r="N99" s="219" t="s">
        <v>36</v>
      </c>
      <c r="O99" s="60">
        <v>0.40</v>
      </c>
      <c r="P99" s="60">
        <v>1.87</v>
      </c>
      <c r="Q99" s="60">
        <v>56.62</v>
      </c>
      <c r="R99" s="198"/>
      <c r="S99" s="198"/>
      <c r="T99" s="198"/>
      <c r="U99" s="198"/>
    </row>
    <row r="100" spans="1:33" s="12" customFormat="1" ht="15">
      <c r="A100" s="201" t="s">
        <v>1297</v>
      </c>
      <c r="B100" s="60">
        <v>0.44</v>
      </c>
      <c r="C100" s="60">
        <v>22.48</v>
      </c>
      <c r="D100" s="60">
        <v>22.92</v>
      </c>
      <c r="E100" s="60">
        <v>3.07</v>
      </c>
      <c r="F100" s="60">
        <v>3.32</v>
      </c>
      <c r="G100" s="60">
        <v>55.44</v>
      </c>
      <c r="H100" s="60">
        <v>24.60</v>
      </c>
      <c r="I100" s="60">
        <v>3.67</v>
      </c>
      <c r="J100" s="60">
        <v>1.17</v>
      </c>
      <c r="K100" s="60">
        <v>231.22</v>
      </c>
      <c r="L100" s="60">
        <v>32.42</v>
      </c>
      <c r="M100" s="60">
        <v>84.63</v>
      </c>
      <c r="N100" s="219" t="s">
        <v>36</v>
      </c>
      <c r="O100" s="60">
        <v>0</v>
      </c>
      <c r="P100" s="60">
        <v>1.84</v>
      </c>
      <c r="Q100" s="60">
        <v>69.540000000000006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1298</v>
      </c>
      <c r="B101" s="60">
        <v>0.45</v>
      </c>
      <c r="C101" s="60">
        <v>21.86</v>
      </c>
      <c r="D101" s="60">
        <v>22.31</v>
      </c>
      <c r="E101" s="60">
        <v>4.8099999999999996</v>
      </c>
      <c r="F101" s="60">
        <v>3.17</v>
      </c>
      <c r="G101" s="60">
        <v>45.54</v>
      </c>
      <c r="H101" s="60">
        <v>21.15</v>
      </c>
      <c r="I101" s="60">
        <v>3.45</v>
      </c>
      <c r="J101" s="60">
        <v>0.95</v>
      </c>
      <c r="K101" s="60">
        <v>241.27</v>
      </c>
      <c r="L101" s="60">
        <v>32.659999999999997</v>
      </c>
      <c r="M101" s="60">
        <v>82.88</v>
      </c>
      <c r="N101" s="219" t="s">
        <v>36</v>
      </c>
      <c r="O101" s="60">
        <v>0</v>
      </c>
      <c r="P101" s="60">
        <v>1.85</v>
      </c>
      <c r="Q101" s="60">
        <v>66.39</v>
      </c>
      <c r="R101" s="198"/>
      <c r="S101" s="198"/>
      <c r="T101" s="198"/>
      <c r="U101" s="198"/>
    </row>
    <row r="102" spans="1:21" s="12" customFormat="1" ht="15">
      <c r="A102" s="201" t="s">
        <v>1299</v>
      </c>
      <c r="B102" s="60">
        <v>0.45</v>
      </c>
      <c r="C102" s="60">
        <v>20.97</v>
      </c>
      <c r="D102" s="60">
        <v>21.42</v>
      </c>
      <c r="E102" s="60">
        <v>5.04</v>
      </c>
      <c r="F102" s="60">
        <v>2.73</v>
      </c>
      <c r="G102" s="60">
        <v>45.54</v>
      </c>
      <c r="H102" s="60">
        <v>21.15</v>
      </c>
      <c r="I102" s="60">
        <v>3.32</v>
      </c>
      <c r="J102" s="60">
        <v>0.97</v>
      </c>
      <c r="K102" s="60">
        <v>292.32</v>
      </c>
      <c r="L102" s="60">
        <v>32.96</v>
      </c>
      <c r="M102" s="60">
        <v>81.96</v>
      </c>
      <c r="N102" s="219" t="s">
        <v>36</v>
      </c>
      <c r="O102" s="60">
        <v>0</v>
      </c>
      <c r="P102" s="60">
        <v>1.83</v>
      </c>
      <c r="Q102" s="60">
        <v>64.22</v>
      </c>
      <c r="R102" s="198"/>
      <c r="S102" s="198"/>
      <c r="T102" s="198"/>
      <c r="U102" s="198"/>
    </row>
    <row r="103" spans="1:21" s="12" customFormat="1" ht="15">
      <c r="A103" s="201" t="s">
        <v>1300</v>
      </c>
      <c r="B103" s="60">
        <v>0.55000000000000004</v>
      </c>
      <c r="C103" s="60">
        <v>20.57</v>
      </c>
      <c r="D103" s="60">
        <v>21.12</v>
      </c>
      <c r="E103" s="60">
        <v>5.03</v>
      </c>
      <c r="F103" s="60">
        <v>2.44</v>
      </c>
      <c r="G103" s="60">
        <v>45.54</v>
      </c>
      <c r="H103" s="60">
        <v>21.15</v>
      </c>
      <c r="I103" s="60">
        <v>3.20</v>
      </c>
      <c r="J103" s="60">
        <v>1.37</v>
      </c>
      <c r="K103" s="60">
        <v>194.33</v>
      </c>
      <c r="L103" s="60">
        <v>33.49</v>
      </c>
      <c r="M103" s="60">
        <v>76.20</v>
      </c>
      <c r="N103" s="219" t="s">
        <v>36</v>
      </c>
      <c r="O103" s="60">
        <v>0</v>
      </c>
      <c r="P103" s="60">
        <v>1.83</v>
      </c>
      <c r="Q103" s="60">
        <v>61.61</v>
      </c>
      <c r="R103" s="198"/>
      <c r="S103" s="198"/>
      <c r="T103" s="198"/>
      <c r="U103" s="198"/>
    </row>
    <row r="104" spans="1:21" s="12" customFormat="1" ht="15">
      <c r="A104" s="201" t="s">
        <v>1301</v>
      </c>
      <c r="B104" s="60">
        <v>0.57999999999999996</v>
      </c>
      <c r="C104" s="60">
        <v>20.04</v>
      </c>
      <c r="D104" s="60">
        <v>20.63</v>
      </c>
      <c r="E104" s="60">
        <v>5.08</v>
      </c>
      <c r="F104" s="60">
        <v>2.27</v>
      </c>
      <c r="G104" s="60">
        <v>26.51</v>
      </c>
      <c r="H104" s="60">
        <v>17.82</v>
      </c>
      <c r="I104" s="60">
        <v>3.13</v>
      </c>
      <c r="J104" s="60">
        <v>1.38</v>
      </c>
      <c r="K104" s="60">
        <v>204.62</v>
      </c>
      <c r="L104" s="60">
        <v>33.82</v>
      </c>
      <c r="M104" s="60">
        <v>75.95</v>
      </c>
      <c r="N104" s="219" t="s">
        <v>36</v>
      </c>
      <c r="O104" s="60">
        <v>0</v>
      </c>
      <c r="P104" s="60">
        <v>1.81</v>
      </c>
      <c r="Q104" s="60">
        <v>59.08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0.01</v>
      </c>
      <c r="C106" s="67">
        <f>MIN(C9:C104)</f>
        <v>19.84</v>
      </c>
      <c r="D106" s="67">
        <f t="shared" si="0" ref="D106:Q106">MIN(D9:D104)</f>
        <v>20</v>
      </c>
      <c r="E106" s="67">
        <f t="shared" si="0"/>
        <v>1.8600000000000001</v>
      </c>
      <c r="F106" s="67">
        <f t="shared" si="0"/>
        <v>1.1299999999999999</v>
      </c>
      <c r="G106" s="67">
        <f t="shared" si="0"/>
        <v>26.510000000000002</v>
      </c>
      <c r="H106" s="67">
        <f t="shared" si="0"/>
        <v>15.02</v>
      </c>
      <c r="I106" s="67">
        <f t="shared" si="0"/>
        <v>2.0800000000000001</v>
      </c>
      <c r="J106" s="67">
        <f t="shared" si="0"/>
        <v>0.050000000000000003</v>
      </c>
      <c r="K106" s="67">
        <f t="shared" si="0"/>
        <v>2.9500000000000002</v>
      </c>
      <c r="L106" s="67">
        <f t="shared" si="0"/>
        <v>31.780000000000001</v>
      </c>
      <c r="M106" s="67">
        <f t="shared" si="0"/>
        <v>30.190000000000001</v>
      </c>
      <c r="N106" s="67">
        <f t="shared" si="0"/>
        <v>1.3</v>
      </c>
      <c r="O106" s="67">
        <f t="shared" si="0"/>
        <v>0</v>
      </c>
      <c r="P106" s="67">
        <f t="shared" si="0"/>
        <v>1.6200000000000001</v>
      </c>
      <c r="Q106" s="67">
        <f t="shared" si="0"/>
        <v>51.229999999999997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8.5199999999999996</v>
      </c>
      <c r="C107" s="66">
        <f t="shared" si="1" ref="C107:Q107">MAX(C9:C104)</f>
        <v>48.75</v>
      </c>
      <c r="D107" s="66">
        <f t="shared" si="1"/>
        <v>57.259999999999998</v>
      </c>
      <c r="E107" s="66">
        <f t="shared" si="1"/>
        <v>6.7999999999999998</v>
      </c>
      <c r="F107" s="66">
        <f t="shared" si="1"/>
        <v>8.1099999999999994</v>
      </c>
      <c r="G107" s="66">
        <f t="shared" si="1"/>
        <v>129.78999999999999</v>
      </c>
      <c r="H107" s="66">
        <f t="shared" si="1"/>
        <v>32.75</v>
      </c>
      <c r="I107" s="66">
        <f t="shared" si="1"/>
        <v>7.6399999999999997</v>
      </c>
      <c r="J107" s="66">
        <f t="shared" si="1"/>
        <v>4.75</v>
      </c>
      <c r="K107" s="66">
        <f t="shared" si="1"/>
        <v>357.95999999999998</v>
      </c>
      <c r="L107" s="66">
        <f t="shared" si="1"/>
        <v>55.770000000000003</v>
      </c>
      <c r="M107" s="66">
        <f t="shared" si="1"/>
        <v>95</v>
      </c>
      <c r="N107" s="66">
        <f t="shared" si="1"/>
        <v>962</v>
      </c>
      <c r="O107" s="66">
        <f t="shared" si="1"/>
        <v>4</v>
      </c>
      <c r="P107" s="66">
        <f t="shared" si="1"/>
        <v>2.5699999999999998</v>
      </c>
      <c r="Q107" s="66">
        <f t="shared" si="1"/>
        <v>140.58000000000001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0.86287234042553196</v>
      </c>
      <c r="C108" s="67">
        <f t="shared" si="2" ref="C108:Q108">AVERAGE(C9:C104)</f>
        <v>28.701979166666671</v>
      </c>
      <c r="D108" s="67">
        <f t="shared" si="2"/>
        <v>29.547708333333329</v>
      </c>
      <c r="E108" s="67">
        <f t="shared" si="2"/>
        <v>4.5468750000000009</v>
      </c>
      <c r="F108" s="67">
        <f t="shared" si="2"/>
        <v>4.3919791666666654</v>
      </c>
      <c r="G108" s="67">
        <f t="shared" si="2"/>
        <v>78.807812500000054</v>
      </c>
      <c r="H108" s="67">
        <f t="shared" si="2"/>
        <v>25.06697916666667</v>
      </c>
      <c r="I108" s="67">
        <f t="shared" si="2"/>
        <v>4.1290624999999999</v>
      </c>
      <c r="J108" s="67">
        <f t="shared" si="2"/>
        <v>1.0465624999999996</v>
      </c>
      <c r="K108" s="67">
        <f t="shared" si="2"/>
        <v>243.34447916666667</v>
      </c>
      <c r="L108" s="67">
        <f t="shared" si="2"/>
        <v>44.134270833333325</v>
      </c>
      <c r="M108" s="67">
        <f t="shared" si="2"/>
        <v>48.895312499999996</v>
      </c>
      <c r="N108" s="67">
        <f t="shared" si="2"/>
        <v>351.15945945945941</v>
      </c>
      <c r="O108" s="67">
        <f t="shared" si="2"/>
        <v>0.10208333333333332</v>
      </c>
      <c r="P108" s="67">
        <f t="shared" si="2"/>
        <v>1.9554166666666661</v>
      </c>
      <c r="Q108" s="67">
        <f t="shared" si="2"/>
        <v>83.842708333333277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1.5653826509013222</v>
      </c>
      <c r="C109" s="67">
        <f t="shared" si="3" ref="C109:Q109">STDEV(C9:C104)</f>
        <v>7.1073104869180908</v>
      </c>
      <c r="D109" s="67">
        <f t="shared" si="3"/>
        <v>8.3292772769394983</v>
      </c>
      <c r="E109" s="67">
        <f t="shared" si="3"/>
        <v>0.90563884110958104</v>
      </c>
      <c r="F109" s="67">
        <f t="shared" si="3"/>
        <v>1.9161164780503679</v>
      </c>
      <c r="G109" s="67">
        <f t="shared" si="3"/>
        <v>26.641282417493947</v>
      </c>
      <c r="H109" s="67">
        <f t="shared" si="3"/>
        <v>4.6328736381353712</v>
      </c>
      <c r="I109" s="67">
        <f t="shared" si="3"/>
        <v>1.6266446434463291</v>
      </c>
      <c r="J109" s="67">
        <f t="shared" si="3"/>
        <v>0.89969214398446817</v>
      </c>
      <c r="K109" s="67">
        <f t="shared" si="3"/>
        <v>106.46887910874833</v>
      </c>
      <c r="L109" s="67">
        <f t="shared" si="3"/>
        <v>5.9452467957789779</v>
      </c>
      <c r="M109" s="67">
        <f t="shared" si="3"/>
        <v>16.880328255297012</v>
      </c>
      <c r="N109" s="67">
        <f t="shared" si="3"/>
        <v>294.85502540262621</v>
      </c>
      <c r="O109" s="67">
        <f t="shared" si="3"/>
        <v>0.50010086701882694</v>
      </c>
      <c r="P109" s="67">
        <f t="shared" si="3"/>
        <v>0.25134131403403498</v>
      </c>
      <c r="Q109" s="67">
        <f t="shared" si="3"/>
        <v>24.222831356047532</v>
      </c>
      <c r="R109" s="199"/>
      <c r="S109" s="199"/>
      <c r="T109" s="199"/>
      <c r="U109" s="199"/>
    </row>
    <row r="110" spans="1:22" ht="15">
      <c r="A110" s="65" t="s">
        <v>62</v>
      </c>
      <c r="B110" s="66"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COUNT(N9:N104)+22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1109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984153-33be-46ce-bd65-842b8b873c06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12-06-2022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1302</v>
      </c>
      <c r="B9" s="60">
        <v>0.46</v>
      </c>
      <c r="C9" s="60">
        <v>19.559999999999999</v>
      </c>
      <c r="D9" s="60">
        <v>20.02</v>
      </c>
      <c r="E9" s="60">
        <v>5.0599999999999996</v>
      </c>
      <c r="F9" s="60">
        <v>2.95</v>
      </c>
      <c r="G9" s="60">
        <v>21.03</v>
      </c>
      <c r="H9" s="60">
        <v>15.39</v>
      </c>
      <c r="I9" s="60">
        <v>3.07</v>
      </c>
      <c r="J9" s="60">
        <v>0.32</v>
      </c>
      <c r="K9" s="60">
        <v>311.37</v>
      </c>
      <c r="L9" s="60">
        <v>34.229999999999997</v>
      </c>
      <c r="M9" s="60">
        <v>75.540000000000006</v>
      </c>
      <c r="N9" s="219" t="s">
        <v>36</v>
      </c>
      <c r="O9" s="60">
        <v>0</v>
      </c>
      <c r="P9" s="60">
        <v>1.79</v>
      </c>
      <c r="Q9" s="60">
        <v>58.57</v>
      </c>
      <c r="R9" s="198"/>
      <c r="S9" s="198"/>
      <c r="T9" s="198"/>
      <c r="U9" s="198"/>
    </row>
    <row r="10" spans="1:21" s="12" customFormat="1" ht="15">
      <c r="A10" s="201" t="s">
        <v>1303</v>
      </c>
      <c r="B10" s="60">
        <v>0.26</v>
      </c>
      <c r="C10" s="60">
        <v>18.72</v>
      </c>
      <c r="D10" s="60">
        <v>18.97</v>
      </c>
      <c r="E10" s="60">
        <v>4.9400000000000004</v>
      </c>
      <c r="F10" s="60">
        <v>4.37</v>
      </c>
      <c r="G10" s="60">
        <v>21.03</v>
      </c>
      <c r="H10" s="60">
        <v>15.39</v>
      </c>
      <c r="I10" s="60">
        <v>2.99</v>
      </c>
      <c r="J10" s="60">
        <v>0.65</v>
      </c>
      <c r="K10" s="60">
        <v>358.65</v>
      </c>
      <c r="L10" s="60">
        <v>34.869999999999997</v>
      </c>
      <c r="M10" s="60">
        <v>73.569999999999993</v>
      </c>
      <c r="N10" s="219" t="s">
        <v>36</v>
      </c>
      <c r="O10" s="60">
        <v>0</v>
      </c>
      <c r="P10" s="60">
        <v>1.75</v>
      </c>
      <c r="Q10" s="60">
        <v>57.63</v>
      </c>
      <c r="R10" s="198"/>
      <c r="S10" s="198"/>
      <c r="T10" s="198"/>
      <c r="U10" s="198"/>
    </row>
    <row r="11" spans="1:21" s="12" customFormat="1" ht="15">
      <c r="A11" s="201" t="s">
        <v>1304</v>
      </c>
      <c r="B11" s="60">
        <v>0.16</v>
      </c>
      <c r="C11" s="60">
        <v>17.93</v>
      </c>
      <c r="D11" s="60">
        <v>18.09</v>
      </c>
      <c r="E11" s="60">
        <v>4.9800000000000004</v>
      </c>
      <c r="F11" s="60">
        <v>4.59</v>
      </c>
      <c r="G11" s="60">
        <v>21.03</v>
      </c>
      <c r="H11" s="60">
        <v>15.39</v>
      </c>
      <c r="I11" s="60">
        <v>2.84</v>
      </c>
      <c r="J11" s="60">
        <v>1.30</v>
      </c>
      <c r="K11" s="60">
        <v>357</v>
      </c>
      <c r="L11" s="60">
        <v>35.31</v>
      </c>
      <c r="M11" s="60">
        <v>71.61</v>
      </c>
      <c r="N11" s="219" t="s">
        <v>36</v>
      </c>
      <c r="O11" s="60">
        <v>0</v>
      </c>
      <c r="P11" s="60">
        <v>1.75</v>
      </c>
      <c r="Q11" s="60">
        <v>55.94</v>
      </c>
      <c r="R11" s="198"/>
      <c r="S11" s="198"/>
      <c r="T11" s="198"/>
      <c r="U11" s="198"/>
    </row>
    <row r="12" spans="1:21" s="12" customFormat="1" ht="15">
      <c r="A12" s="201" t="s">
        <v>1305</v>
      </c>
      <c r="B12" s="60">
        <v>0.12</v>
      </c>
      <c r="C12" s="60">
        <v>17.27</v>
      </c>
      <c r="D12" s="60">
        <v>17.399999999999999</v>
      </c>
      <c r="E12" s="60">
        <v>5.01</v>
      </c>
      <c r="F12" s="60">
        <v>4.72</v>
      </c>
      <c r="G12" s="60">
        <v>21</v>
      </c>
      <c r="H12" s="60">
        <v>12.82</v>
      </c>
      <c r="I12" s="60">
        <v>2.66</v>
      </c>
      <c r="J12" s="60">
        <v>0.78</v>
      </c>
      <c r="K12" s="60">
        <v>15.63</v>
      </c>
      <c r="L12" s="60">
        <v>37.99</v>
      </c>
      <c r="M12" s="60">
        <v>72.209999999999994</v>
      </c>
      <c r="N12" s="219" t="s">
        <v>36</v>
      </c>
      <c r="O12" s="60">
        <v>0</v>
      </c>
      <c r="P12" s="60">
        <v>1.73</v>
      </c>
      <c r="Q12" s="60">
        <v>54.29</v>
      </c>
      <c r="R12" s="198"/>
      <c r="S12" s="198"/>
      <c r="T12" s="198"/>
      <c r="U12" s="198"/>
    </row>
    <row r="13" spans="1:21" s="12" customFormat="1" ht="15">
      <c r="A13" s="201" t="s">
        <v>1306</v>
      </c>
      <c r="B13" s="60">
        <v>0.13</v>
      </c>
      <c r="C13" s="60">
        <v>16.93</v>
      </c>
      <c r="D13" s="60">
        <v>17.059999999999999</v>
      </c>
      <c r="E13" s="60">
        <v>4.54</v>
      </c>
      <c r="F13" s="60">
        <v>4.43</v>
      </c>
      <c r="G13" s="60">
        <v>21</v>
      </c>
      <c r="H13" s="60">
        <v>10.94</v>
      </c>
      <c r="I13" s="60">
        <v>2.4900000000000002</v>
      </c>
      <c r="J13" s="60">
        <v>0.65</v>
      </c>
      <c r="K13" s="60">
        <v>336.52</v>
      </c>
      <c r="L13" s="60">
        <v>38.71</v>
      </c>
      <c r="M13" s="60">
        <v>73.709999999999994</v>
      </c>
      <c r="N13" s="60">
        <v>0.40</v>
      </c>
      <c r="O13" s="60">
        <v>0</v>
      </c>
      <c r="P13" s="60">
        <v>1.70</v>
      </c>
      <c r="Q13" s="60">
        <v>53.16</v>
      </c>
      <c r="R13" s="198"/>
      <c r="S13" s="198"/>
      <c r="T13" s="198"/>
      <c r="U13" s="198"/>
    </row>
    <row r="14" spans="1:21" s="12" customFormat="1" ht="15">
      <c r="A14" s="201" t="s">
        <v>1307</v>
      </c>
      <c r="B14" s="60">
        <v>0.20</v>
      </c>
      <c r="C14" s="60">
        <v>16.97</v>
      </c>
      <c r="D14" s="60">
        <v>17.170000000000002</v>
      </c>
      <c r="E14" s="60">
        <v>4.6900000000000004</v>
      </c>
      <c r="F14" s="60">
        <v>2.23</v>
      </c>
      <c r="G14" s="60">
        <v>21</v>
      </c>
      <c r="H14" s="60">
        <v>10.94</v>
      </c>
      <c r="I14" s="60">
        <v>2.34</v>
      </c>
      <c r="J14" s="60">
        <v>0.79</v>
      </c>
      <c r="K14" s="60">
        <v>343.42</v>
      </c>
      <c r="L14" s="60">
        <v>38.28</v>
      </c>
      <c r="M14" s="60">
        <v>74.17</v>
      </c>
      <c r="N14" s="60">
        <v>3.30</v>
      </c>
      <c r="O14" s="60">
        <v>0</v>
      </c>
      <c r="P14" s="60">
        <v>1.68</v>
      </c>
      <c r="Q14" s="60">
        <v>53.37</v>
      </c>
      <c r="R14" s="198"/>
      <c r="S14" s="198"/>
      <c r="T14" s="198"/>
      <c r="U14" s="198"/>
    </row>
    <row r="15" spans="1:21" s="12" customFormat="1" ht="15">
      <c r="A15" s="201" t="s">
        <v>1308</v>
      </c>
      <c r="B15" s="60">
        <v>0.38</v>
      </c>
      <c r="C15" s="60">
        <v>17.13</v>
      </c>
      <c r="D15" s="60">
        <v>17.5</v>
      </c>
      <c r="E15" s="60">
        <v>5.09</v>
      </c>
      <c r="F15" s="60">
        <v>1.37</v>
      </c>
      <c r="G15" s="60">
        <v>21</v>
      </c>
      <c r="H15" s="60">
        <v>10.94</v>
      </c>
      <c r="I15" s="60">
        <v>2.2599999999999998</v>
      </c>
      <c r="J15" s="60">
        <v>1.33</v>
      </c>
      <c r="K15" s="60">
        <v>332.84</v>
      </c>
      <c r="L15" s="60">
        <v>38.72</v>
      </c>
      <c r="M15" s="60">
        <v>74.53</v>
      </c>
      <c r="N15" s="60">
        <v>0.70</v>
      </c>
      <c r="O15" s="60">
        <v>0</v>
      </c>
      <c r="P15" s="60">
        <v>1.70</v>
      </c>
      <c r="Q15" s="60">
        <v>49.81</v>
      </c>
      <c r="R15" s="198"/>
      <c r="S15" s="198"/>
      <c r="T15" s="198"/>
      <c r="U15" s="198"/>
    </row>
    <row r="16" spans="1:21" s="12" customFormat="1" ht="15">
      <c r="A16" s="201" t="s">
        <v>1309</v>
      </c>
      <c r="B16" s="60">
        <v>0.5</v>
      </c>
      <c r="C16" s="60">
        <v>18.39</v>
      </c>
      <c r="D16" s="60">
        <v>18.88</v>
      </c>
      <c r="E16" s="60">
        <v>4.91</v>
      </c>
      <c r="F16" s="60">
        <v>2.34</v>
      </c>
      <c r="G16" s="60">
        <v>23.39</v>
      </c>
      <c r="H16" s="60">
        <v>12.42</v>
      </c>
      <c r="I16" s="60">
        <v>2.2599999999999998</v>
      </c>
      <c r="J16" s="60">
        <v>1.59</v>
      </c>
      <c r="K16" s="60">
        <v>347.97</v>
      </c>
      <c r="L16" s="60">
        <v>37.57</v>
      </c>
      <c r="M16" s="60">
        <v>75.61</v>
      </c>
      <c r="N16" s="60">
        <v>3.60</v>
      </c>
      <c r="O16" s="60">
        <v>0</v>
      </c>
      <c r="P16" s="60">
        <v>1.79</v>
      </c>
      <c r="Q16" s="60">
        <v>50.77</v>
      </c>
      <c r="R16" s="198"/>
      <c r="S16" s="198"/>
      <c r="T16" s="198"/>
      <c r="U16" s="198"/>
    </row>
    <row r="17" spans="1:21" s="12" customFormat="1" ht="15">
      <c r="A17" s="201" t="s">
        <v>1310</v>
      </c>
      <c r="B17" s="60">
        <v>0.46</v>
      </c>
      <c r="C17" s="60">
        <v>19.53</v>
      </c>
      <c r="D17" s="60">
        <v>19.989999999999998</v>
      </c>
      <c r="E17" s="60">
        <v>5.35</v>
      </c>
      <c r="F17" s="60">
        <v>2.5299999999999998</v>
      </c>
      <c r="G17" s="60">
        <v>24.14</v>
      </c>
      <c r="H17" s="60">
        <v>13.51</v>
      </c>
      <c r="I17" s="60">
        <v>2.42</v>
      </c>
      <c r="J17" s="60">
        <v>2.02</v>
      </c>
      <c r="K17" s="60">
        <v>326.30</v>
      </c>
      <c r="L17" s="60">
        <v>36.51</v>
      </c>
      <c r="M17" s="60">
        <v>79.39</v>
      </c>
      <c r="N17" s="60">
        <v>4.9000000000000004</v>
      </c>
      <c r="O17" s="60">
        <v>0</v>
      </c>
      <c r="P17" s="60">
        <v>1.80</v>
      </c>
      <c r="Q17" s="60">
        <v>52.48</v>
      </c>
      <c r="R17" s="198"/>
      <c r="S17" s="198"/>
      <c r="T17" s="198"/>
      <c r="U17" s="198"/>
    </row>
    <row r="18" spans="1:21" s="12" customFormat="1" ht="15">
      <c r="A18" s="201" t="s">
        <v>1311</v>
      </c>
      <c r="B18" s="60">
        <v>0.46</v>
      </c>
      <c r="C18" s="60">
        <v>19.59</v>
      </c>
      <c r="D18" s="60">
        <v>20.04</v>
      </c>
      <c r="E18" s="60">
        <v>5.92</v>
      </c>
      <c r="F18" s="60">
        <v>1.81</v>
      </c>
      <c r="G18" s="60">
        <v>24.14</v>
      </c>
      <c r="H18" s="60">
        <v>13.51</v>
      </c>
      <c r="I18" s="60">
        <v>3.19</v>
      </c>
      <c r="J18" s="60">
        <v>2.95</v>
      </c>
      <c r="K18" s="60">
        <v>311.89999999999998</v>
      </c>
      <c r="L18" s="60">
        <v>38.43</v>
      </c>
      <c r="M18" s="60">
        <v>81.42</v>
      </c>
      <c r="N18" s="60">
        <v>7.90</v>
      </c>
      <c r="O18" s="60">
        <v>0</v>
      </c>
      <c r="P18" s="60">
        <v>1.79</v>
      </c>
      <c r="Q18" s="60">
        <v>52.91</v>
      </c>
      <c r="R18" s="198"/>
      <c r="S18" s="198"/>
      <c r="T18" s="198"/>
      <c r="U18" s="198"/>
    </row>
    <row r="19" spans="1:21" s="12" customFormat="1" ht="15">
      <c r="A19" s="201" t="s">
        <v>1312</v>
      </c>
      <c r="B19" s="60">
        <v>0.69</v>
      </c>
      <c r="C19" s="60">
        <v>20.66</v>
      </c>
      <c r="D19" s="60">
        <v>21.35</v>
      </c>
      <c r="E19" s="60">
        <v>6.55</v>
      </c>
      <c r="F19" s="60">
        <v>0.92</v>
      </c>
      <c r="G19" s="60">
        <v>24.14</v>
      </c>
      <c r="H19" s="60">
        <v>13.51</v>
      </c>
      <c r="I19" s="60">
        <v>3.28</v>
      </c>
      <c r="J19" s="60">
        <v>3.20</v>
      </c>
      <c r="K19" s="60">
        <v>310.66000000000003</v>
      </c>
      <c r="L19" s="60">
        <v>37.17</v>
      </c>
      <c r="M19" s="60">
        <v>82.20</v>
      </c>
      <c r="N19" s="60">
        <v>10.199999999999999</v>
      </c>
      <c r="O19" s="60">
        <v>0</v>
      </c>
      <c r="P19" s="60">
        <v>1.78</v>
      </c>
      <c r="Q19" s="60">
        <v>53.08</v>
      </c>
      <c r="R19" s="198"/>
      <c r="S19" s="198"/>
      <c r="T19" s="198"/>
      <c r="U19" s="198"/>
    </row>
    <row r="20" spans="1:21" s="12" customFormat="1" ht="15">
      <c r="A20" s="201" t="s">
        <v>1313</v>
      </c>
      <c r="B20" s="60">
        <v>0.89</v>
      </c>
      <c r="C20" s="60">
        <v>22.53</v>
      </c>
      <c r="D20" s="60">
        <v>23.41</v>
      </c>
      <c r="E20" s="60">
        <v>3.26</v>
      </c>
      <c r="F20" s="60">
        <v>0.68</v>
      </c>
      <c r="G20" s="60">
        <v>32.89</v>
      </c>
      <c r="H20" s="60">
        <v>15.55</v>
      </c>
      <c r="I20" s="60">
        <v>3.32</v>
      </c>
      <c r="J20" s="60">
        <v>1.70</v>
      </c>
      <c r="K20" s="60">
        <v>331.37</v>
      </c>
      <c r="L20" s="60">
        <v>35.799999999999997</v>
      </c>
      <c r="M20" s="60">
        <v>81.040000000000006</v>
      </c>
      <c r="N20" s="60">
        <v>17.70</v>
      </c>
      <c r="O20" s="60">
        <v>0</v>
      </c>
      <c r="P20" s="60">
        <v>1.77</v>
      </c>
      <c r="Q20" s="60">
        <v>52.36</v>
      </c>
      <c r="R20" s="198"/>
      <c r="S20" s="198"/>
      <c r="T20" s="198"/>
      <c r="U20" s="198"/>
    </row>
    <row r="21" spans="1:21" s="12" customFormat="1" ht="15">
      <c r="A21" s="201" t="s">
        <v>1314</v>
      </c>
      <c r="B21" s="60">
        <v>1.36</v>
      </c>
      <c r="C21" s="60">
        <v>22.99</v>
      </c>
      <c r="D21" s="60">
        <v>24.35</v>
      </c>
      <c r="E21" s="60">
        <v>5.81</v>
      </c>
      <c r="F21" s="60">
        <v>1.56</v>
      </c>
      <c r="G21" s="60">
        <v>35.64</v>
      </c>
      <c r="H21" s="60">
        <v>17.05</v>
      </c>
      <c r="I21" s="60">
        <v>3.29</v>
      </c>
      <c r="J21" s="60">
        <v>1.64</v>
      </c>
      <c r="K21" s="60">
        <v>333.29</v>
      </c>
      <c r="L21" s="60">
        <v>35.60</v>
      </c>
      <c r="M21" s="60">
        <v>80.42</v>
      </c>
      <c r="N21" s="60">
        <v>3.70</v>
      </c>
      <c r="O21" s="60">
        <v>0</v>
      </c>
      <c r="P21" s="60">
        <v>1.76</v>
      </c>
      <c r="Q21" s="60">
        <v>53.68</v>
      </c>
      <c r="R21" s="198"/>
      <c r="S21" s="198"/>
      <c r="T21" s="198"/>
      <c r="U21" s="198"/>
    </row>
    <row r="22" spans="1:21" s="12" customFormat="1" ht="15">
      <c r="A22" s="201" t="s">
        <v>1315</v>
      </c>
      <c r="B22" s="60">
        <v>1.31</v>
      </c>
      <c r="C22" s="60">
        <v>21.79</v>
      </c>
      <c r="D22" s="60">
        <v>23.10</v>
      </c>
      <c r="E22" s="60">
        <v>5.70</v>
      </c>
      <c r="F22" s="60">
        <v>2.12</v>
      </c>
      <c r="G22" s="60">
        <v>35.64</v>
      </c>
      <c r="H22" s="60">
        <v>17.05</v>
      </c>
      <c r="I22" s="60">
        <v>3.21</v>
      </c>
      <c r="J22" s="60">
        <v>1.81</v>
      </c>
      <c r="K22" s="60">
        <v>325.68</v>
      </c>
      <c r="L22" s="60">
        <v>36.15</v>
      </c>
      <c r="M22" s="60">
        <v>79.83</v>
      </c>
      <c r="N22" s="60">
        <v>17.30</v>
      </c>
      <c r="O22" s="60">
        <v>0</v>
      </c>
      <c r="P22" s="60">
        <v>1.75</v>
      </c>
      <c r="Q22" s="60">
        <v>61.91</v>
      </c>
      <c r="R22" s="198"/>
      <c r="S22" s="198"/>
      <c r="T22" s="198"/>
      <c r="U22" s="198"/>
    </row>
    <row r="23" spans="1:21" s="12" customFormat="1" ht="15">
      <c r="A23" s="201" t="s">
        <v>1316</v>
      </c>
      <c r="B23" s="60">
        <v>1.52</v>
      </c>
      <c r="C23" s="60">
        <v>20.87</v>
      </c>
      <c r="D23" s="60">
        <v>22.39</v>
      </c>
      <c r="E23" s="60">
        <v>5.65</v>
      </c>
      <c r="F23" s="60">
        <v>2.13</v>
      </c>
      <c r="G23" s="60">
        <v>35.64</v>
      </c>
      <c r="H23" s="60">
        <v>17.05</v>
      </c>
      <c r="I23" s="60">
        <v>3.11</v>
      </c>
      <c r="J23" s="60">
        <v>1.43</v>
      </c>
      <c r="K23" s="60">
        <v>337.55</v>
      </c>
      <c r="L23" s="60">
        <v>36.119999999999997</v>
      </c>
      <c r="M23" s="60">
        <v>79.08</v>
      </c>
      <c r="N23" s="60">
        <v>13.60</v>
      </c>
      <c r="O23" s="60">
        <v>0</v>
      </c>
      <c r="P23" s="60">
        <v>1.74</v>
      </c>
      <c r="Q23" s="60">
        <v>59.74</v>
      </c>
      <c r="R23" s="198"/>
      <c r="S23" s="198"/>
      <c r="T23" s="198"/>
      <c r="U23" s="198"/>
    </row>
    <row r="24" spans="1:21" s="12" customFormat="1" ht="15">
      <c r="A24" s="201" t="s">
        <v>1317</v>
      </c>
      <c r="B24" s="60">
        <v>1.20</v>
      </c>
      <c r="C24" s="60">
        <v>20.48</v>
      </c>
      <c r="D24" s="60">
        <v>21.67</v>
      </c>
      <c r="E24" s="60">
        <v>5.88</v>
      </c>
      <c r="F24" s="60">
        <v>2.14</v>
      </c>
      <c r="G24" s="60">
        <v>23.04</v>
      </c>
      <c r="H24" s="60">
        <v>14.41</v>
      </c>
      <c r="I24" s="60">
        <v>3.03</v>
      </c>
      <c r="J24" s="60">
        <v>1.1200000000000001</v>
      </c>
      <c r="K24" s="60">
        <v>344.88</v>
      </c>
      <c r="L24" s="60">
        <v>35.08</v>
      </c>
      <c r="M24" s="60">
        <v>78.41</v>
      </c>
      <c r="N24" s="60">
        <v>12.30</v>
      </c>
      <c r="O24" s="60">
        <v>0</v>
      </c>
      <c r="P24" s="60">
        <v>1.74</v>
      </c>
      <c r="Q24" s="60">
        <v>56.23</v>
      </c>
      <c r="R24" s="198"/>
      <c r="S24" s="198"/>
      <c r="T24" s="198"/>
      <c r="U24" s="198"/>
    </row>
    <row r="25" spans="1:21" s="12" customFormat="1" ht="15">
      <c r="A25" s="201" t="s">
        <v>1318</v>
      </c>
      <c r="B25" s="60">
        <v>0.98</v>
      </c>
      <c r="C25" s="60">
        <v>20.49</v>
      </c>
      <c r="D25" s="60">
        <v>21.47</v>
      </c>
      <c r="E25" s="60">
        <v>5.70</v>
      </c>
      <c r="F25" s="60">
        <v>2.11</v>
      </c>
      <c r="G25" s="60">
        <v>19.09</v>
      </c>
      <c r="H25" s="60">
        <v>12.48</v>
      </c>
      <c r="I25" s="60">
        <v>2.93</v>
      </c>
      <c r="J25" s="60">
        <v>0.28000000000000003</v>
      </c>
      <c r="K25" s="60">
        <v>52.69</v>
      </c>
      <c r="L25" s="60">
        <v>35.74</v>
      </c>
      <c r="M25" s="60">
        <v>78.44</v>
      </c>
      <c r="N25" s="60">
        <v>13.60</v>
      </c>
      <c r="O25" s="60">
        <v>0</v>
      </c>
      <c r="P25" s="60">
        <v>1.74</v>
      </c>
      <c r="Q25" s="60">
        <v>53.82</v>
      </c>
      <c r="R25" s="198"/>
      <c r="S25" s="198"/>
      <c r="T25" s="198"/>
      <c r="U25" s="198"/>
    </row>
    <row r="26" spans="1:21" s="12" customFormat="1" ht="15">
      <c r="A26" s="201" t="s">
        <v>1319</v>
      </c>
      <c r="B26" s="60">
        <v>0.95</v>
      </c>
      <c r="C26" s="60">
        <v>20.440000000000001</v>
      </c>
      <c r="D26" s="60">
        <v>21.38</v>
      </c>
      <c r="E26" s="60">
        <v>5.57</v>
      </c>
      <c r="F26" s="60">
        <v>1.70</v>
      </c>
      <c r="G26" s="60">
        <v>19.09</v>
      </c>
      <c r="H26" s="60">
        <v>12.48</v>
      </c>
      <c r="I26" s="60">
        <v>2.86</v>
      </c>
      <c r="J26" s="60">
        <v>1.73</v>
      </c>
      <c r="K26" s="60">
        <v>189.06</v>
      </c>
      <c r="L26" s="60">
        <v>35.299999999999997</v>
      </c>
      <c r="M26" s="60">
        <v>80.48</v>
      </c>
      <c r="N26" s="60">
        <v>16.20</v>
      </c>
      <c r="O26" s="60">
        <v>0</v>
      </c>
      <c r="P26" s="60">
        <v>1.74</v>
      </c>
      <c r="Q26" s="60">
        <v>52.76</v>
      </c>
      <c r="R26" s="198"/>
      <c r="S26" s="198"/>
      <c r="T26" s="198"/>
      <c r="U26" s="198"/>
    </row>
    <row r="27" spans="1:21" s="12" customFormat="1" ht="15">
      <c r="A27" s="201" t="s">
        <v>1320</v>
      </c>
      <c r="B27" s="60">
        <v>1.08</v>
      </c>
      <c r="C27" s="60">
        <v>20.98</v>
      </c>
      <c r="D27" s="60">
        <v>22.06</v>
      </c>
      <c r="E27" s="60">
        <v>5.69</v>
      </c>
      <c r="F27" s="60">
        <v>1.1200000000000001</v>
      </c>
      <c r="G27" s="60">
        <v>19.09</v>
      </c>
      <c r="H27" s="60">
        <v>12.48</v>
      </c>
      <c r="I27" s="60">
        <v>2.91</v>
      </c>
      <c r="J27" s="60">
        <v>1.95</v>
      </c>
      <c r="K27" s="60">
        <v>193.30</v>
      </c>
      <c r="L27" s="60">
        <v>34.82</v>
      </c>
      <c r="M27" s="60">
        <v>82.95</v>
      </c>
      <c r="N27" s="60">
        <v>20.20</v>
      </c>
      <c r="O27" s="60">
        <v>0</v>
      </c>
      <c r="P27" s="60">
        <v>1.76</v>
      </c>
      <c r="Q27" s="60">
        <v>51.83</v>
      </c>
      <c r="R27" s="198"/>
      <c r="S27" s="198"/>
      <c r="T27" s="198"/>
      <c r="U27" s="198"/>
    </row>
    <row r="28" spans="1:21" s="12" customFormat="1" ht="15">
      <c r="A28" s="201" t="s">
        <v>1321</v>
      </c>
      <c r="B28" s="60">
        <v>1.23</v>
      </c>
      <c r="C28" s="60">
        <v>21.17</v>
      </c>
      <c r="D28" s="60">
        <v>22.40</v>
      </c>
      <c r="E28" s="60">
        <v>5.70</v>
      </c>
      <c r="F28" s="60">
        <v>1.07</v>
      </c>
      <c r="G28" s="60">
        <v>27.03</v>
      </c>
      <c r="H28" s="60">
        <v>14.94</v>
      </c>
      <c r="I28" s="60">
        <v>2.93</v>
      </c>
      <c r="J28" s="60">
        <v>1.93</v>
      </c>
      <c r="K28" s="60">
        <v>208.46</v>
      </c>
      <c r="L28" s="60">
        <v>35.229999999999997</v>
      </c>
      <c r="M28" s="60">
        <v>85.09</v>
      </c>
      <c r="N28" s="60">
        <v>24</v>
      </c>
      <c r="O28" s="60">
        <v>0</v>
      </c>
      <c r="P28" s="60">
        <v>1.82</v>
      </c>
      <c r="Q28" s="60">
        <v>50.76</v>
      </c>
      <c r="R28" s="198"/>
      <c r="S28" s="198"/>
      <c r="T28" s="198"/>
      <c r="U28" s="198"/>
    </row>
    <row r="29" spans="1:21" s="12" customFormat="1" ht="15">
      <c r="A29" s="201" t="s">
        <v>1322</v>
      </c>
      <c r="B29" s="60">
        <v>1.42</v>
      </c>
      <c r="C29" s="60">
        <v>21.35</v>
      </c>
      <c r="D29" s="60">
        <v>22.77</v>
      </c>
      <c r="E29" s="60">
        <v>5.68</v>
      </c>
      <c r="F29" s="60">
        <v>0.99</v>
      </c>
      <c r="G29" s="60">
        <v>31.41</v>
      </c>
      <c r="H29" s="60">
        <v>16.739999999999998</v>
      </c>
      <c r="I29" s="60">
        <v>3.06</v>
      </c>
      <c r="J29" s="60">
        <v>1.87</v>
      </c>
      <c r="K29" s="60">
        <v>205.65</v>
      </c>
      <c r="L29" s="60">
        <v>35.19</v>
      </c>
      <c r="M29" s="60">
        <v>84.61</v>
      </c>
      <c r="N29" s="60">
        <v>21.60</v>
      </c>
      <c r="O29" s="60">
        <v>0</v>
      </c>
      <c r="P29" s="60">
        <v>1.89</v>
      </c>
      <c r="Q29" s="60">
        <v>49.97</v>
      </c>
      <c r="R29" s="198"/>
      <c r="S29" s="198"/>
      <c r="T29" s="198"/>
      <c r="U29" s="198"/>
    </row>
    <row r="30" spans="1:21" s="12" customFormat="1" ht="15">
      <c r="A30" s="201" t="s">
        <v>1323</v>
      </c>
      <c r="B30" s="60">
        <v>1.81</v>
      </c>
      <c r="C30" s="60">
        <v>20.76</v>
      </c>
      <c r="D30" s="60">
        <v>22.57</v>
      </c>
      <c r="E30" s="60">
        <v>5.55</v>
      </c>
      <c r="F30" s="60">
        <v>1.1000000000000001</v>
      </c>
      <c r="G30" s="60">
        <v>31.41</v>
      </c>
      <c r="H30" s="60">
        <v>16.739999999999998</v>
      </c>
      <c r="I30" s="60">
        <v>3.63</v>
      </c>
      <c r="J30" s="60">
        <v>1.93</v>
      </c>
      <c r="K30" s="60">
        <v>214.37</v>
      </c>
      <c r="L30" s="60">
        <v>35.08</v>
      </c>
      <c r="M30" s="60">
        <v>83.75</v>
      </c>
      <c r="N30" s="60">
        <v>23.20</v>
      </c>
      <c r="O30" s="60">
        <v>0</v>
      </c>
      <c r="P30" s="60">
        <v>1.90</v>
      </c>
      <c r="Q30" s="60">
        <v>50.53</v>
      </c>
      <c r="R30" s="198"/>
      <c r="S30" s="198"/>
      <c r="T30" s="198"/>
      <c r="U30" s="198"/>
    </row>
    <row r="31" spans="1:21" s="12" customFormat="1" ht="15">
      <c r="A31" s="201" t="s">
        <v>1324</v>
      </c>
      <c r="B31" s="60">
        <v>1.69</v>
      </c>
      <c r="C31" s="60">
        <v>20.88</v>
      </c>
      <c r="D31" s="60">
        <v>22.57</v>
      </c>
      <c r="E31" s="60">
        <v>6.02</v>
      </c>
      <c r="F31" s="60">
        <v>1.32</v>
      </c>
      <c r="G31" s="60">
        <v>31.41</v>
      </c>
      <c r="H31" s="60">
        <v>16.739999999999998</v>
      </c>
      <c r="I31" s="60">
        <v>4.26</v>
      </c>
      <c r="J31" s="60">
        <v>1.24</v>
      </c>
      <c r="K31" s="60">
        <v>223.62</v>
      </c>
      <c r="L31" s="60">
        <v>34.94</v>
      </c>
      <c r="M31" s="60">
        <v>83.63</v>
      </c>
      <c r="N31" s="60">
        <v>35.10</v>
      </c>
      <c r="O31" s="60">
        <v>0</v>
      </c>
      <c r="P31" s="60">
        <v>1.89</v>
      </c>
      <c r="Q31" s="60">
        <v>49.15</v>
      </c>
      <c r="R31" s="198"/>
      <c r="S31" s="198"/>
      <c r="T31" s="198"/>
      <c r="U31" s="198"/>
    </row>
    <row r="32" spans="1:21" s="12" customFormat="1" ht="15">
      <c r="A32" s="201" t="s">
        <v>1325</v>
      </c>
      <c r="B32" s="60">
        <v>1.48</v>
      </c>
      <c r="C32" s="60">
        <v>20.76</v>
      </c>
      <c r="D32" s="60">
        <v>22.23</v>
      </c>
      <c r="E32" s="60">
        <v>5.87</v>
      </c>
      <c r="F32" s="60">
        <v>1.23</v>
      </c>
      <c r="G32" s="60">
        <v>29.21</v>
      </c>
      <c r="H32" s="60">
        <v>18.11</v>
      </c>
      <c r="I32" s="60">
        <v>4.4000000000000004</v>
      </c>
      <c r="J32" s="60">
        <v>1.65</v>
      </c>
      <c r="K32" s="60">
        <v>213.36</v>
      </c>
      <c r="L32" s="60">
        <v>35.630000000000003</v>
      </c>
      <c r="M32" s="60">
        <v>84.28</v>
      </c>
      <c r="N32" s="60">
        <v>34.299999999999997</v>
      </c>
      <c r="O32" s="60">
        <v>0</v>
      </c>
      <c r="P32" s="60">
        <v>1.88</v>
      </c>
      <c r="Q32" s="60">
        <v>47.93</v>
      </c>
      <c r="R32" s="198"/>
      <c r="S32" s="198"/>
      <c r="T32" s="198"/>
      <c r="U32" s="198"/>
    </row>
    <row r="33" spans="1:21" s="12" customFormat="1" ht="15">
      <c r="A33" s="201" t="s">
        <v>1326</v>
      </c>
      <c r="B33" s="60">
        <v>1.45</v>
      </c>
      <c r="C33" s="60">
        <v>20.55</v>
      </c>
      <c r="D33" s="60">
        <v>21.99</v>
      </c>
      <c r="E33" s="60">
        <v>5.87</v>
      </c>
      <c r="F33" s="60">
        <v>0.98</v>
      </c>
      <c r="G33" s="60">
        <v>28.53</v>
      </c>
      <c r="H33" s="60">
        <v>19.12</v>
      </c>
      <c r="I33" s="60">
        <v>4.32</v>
      </c>
      <c r="J33" s="60">
        <v>0.92</v>
      </c>
      <c r="K33" s="60">
        <v>213.07</v>
      </c>
      <c r="L33" s="60">
        <v>35.520000000000003</v>
      </c>
      <c r="M33" s="60">
        <v>83.46</v>
      </c>
      <c r="N33" s="60">
        <v>45.70</v>
      </c>
      <c r="O33" s="60">
        <v>0</v>
      </c>
      <c r="P33" s="60">
        <v>1.87</v>
      </c>
      <c r="Q33" s="60">
        <v>46.03</v>
      </c>
      <c r="R33" s="198"/>
      <c r="S33" s="198"/>
      <c r="T33" s="198"/>
      <c r="U33" s="198"/>
    </row>
    <row r="34" spans="1:21" s="12" customFormat="1" ht="15">
      <c r="A34" s="201" t="s">
        <v>1327</v>
      </c>
      <c r="B34" s="60">
        <v>1.60</v>
      </c>
      <c r="C34" s="60">
        <v>20.96</v>
      </c>
      <c r="D34" s="60">
        <v>22.56</v>
      </c>
      <c r="E34" s="60">
        <v>6.03</v>
      </c>
      <c r="F34" s="60">
        <v>0.84</v>
      </c>
      <c r="G34" s="60">
        <v>28.53</v>
      </c>
      <c r="H34" s="60">
        <v>19.12</v>
      </c>
      <c r="I34" s="60">
        <v>4.17</v>
      </c>
      <c r="J34" s="60">
        <v>0.51</v>
      </c>
      <c r="K34" s="60">
        <v>45.88</v>
      </c>
      <c r="L34" s="60">
        <v>36.17</v>
      </c>
      <c r="M34" s="60">
        <v>82.41</v>
      </c>
      <c r="N34" s="60">
        <v>72.599999999999994</v>
      </c>
      <c r="O34" s="60">
        <v>0</v>
      </c>
      <c r="P34" s="60">
        <v>1.87</v>
      </c>
      <c r="Q34" s="60">
        <v>46.90</v>
      </c>
      <c r="R34" s="198"/>
      <c r="S34" s="198"/>
      <c r="T34" s="198"/>
      <c r="U34" s="198"/>
    </row>
    <row r="35" spans="1:21" s="12" customFormat="1" ht="15">
      <c r="A35" s="201" t="s">
        <v>1328</v>
      </c>
      <c r="B35" s="60">
        <v>1.80</v>
      </c>
      <c r="C35" s="60">
        <v>22</v>
      </c>
      <c r="D35" s="60">
        <v>23.80</v>
      </c>
      <c r="E35" s="60">
        <v>6.25</v>
      </c>
      <c r="F35" s="60">
        <v>0.95</v>
      </c>
      <c r="G35" s="60">
        <v>28.53</v>
      </c>
      <c r="H35" s="60">
        <v>19.12</v>
      </c>
      <c r="I35" s="60">
        <v>4.08</v>
      </c>
      <c r="J35" s="60">
        <v>0.18</v>
      </c>
      <c r="K35" s="60">
        <v>354.08</v>
      </c>
      <c r="L35" s="60">
        <v>36.18</v>
      </c>
      <c r="M35" s="60">
        <v>80.09</v>
      </c>
      <c r="N35" s="60">
        <v>90</v>
      </c>
      <c r="O35" s="60">
        <v>0</v>
      </c>
      <c r="P35" s="60">
        <v>1.89</v>
      </c>
      <c r="Q35" s="60">
        <v>47.67</v>
      </c>
      <c r="R35" s="198"/>
      <c r="S35" s="198"/>
      <c r="T35" s="198"/>
      <c r="U35" s="198"/>
    </row>
    <row r="36" spans="1:21" s="12" customFormat="1" ht="15">
      <c r="A36" s="201" t="s">
        <v>1329</v>
      </c>
      <c r="B36" s="60">
        <v>1.62</v>
      </c>
      <c r="C36" s="60">
        <v>22.86</v>
      </c>
      <c r="D36" s="60">
        <v>24.49</v>
      </c>
      <c r="E36" s="60">
        <v>2.39</v>
      </c>
      <c r="F36" s="60">
        <v>1.27</v>
      </c>
      <c r="G36" s="60">
        <v>38.33</v>
      </c>
      <c r="H36" s="60">
        <v>16.95</v>
      </c>
      <c r="I36" s="60">
        <v>4.08</v>
      </c>
      <c r="J36" s="60">
        <v>0.34</v>
      </c>
      <c r="K36" s="60">
        <v>2.71</v>
      </c>
      <c r="L36" s="60">
        <v>36.92</v>
      </c>
      <c r="M36" s="60">
        <v>79.459999999999994</v>
      </c>
      <c r="N36" s="60">
        <v>118.90</v>
      </c>
      <c r="O36" s="60">
        <v>0</v>
      </c>
      <c r="P36" s="60">
        <v>1.88</v>
      </c>
      <c r="Q36" s="60">
        <v>47.54</v>
      </c>
      <c r="R36" s="198"/>
      <c r="S36" s="198"/>
      <c r="T36" s="198"/>
      <c r="U36" s="198"/>
    </row>
    <row r="37" spans="1:21" s="12" customFormat="1" ht="15">
      <c r="A37" s="201" t="s">
        <v>1330</v>
      </c>
      <c r="B37" s="60">
        <v>1.62</v>
      </c>
      <c r="C37" s="60">
        <v>23.18</v>
      </c>
      <c r="D37" s="60">
        <v>24.80</v>
      </c>
      <c r="E37" s="60">
        <v>4.9800000000000004</v>
      </c>
      <c r="F37" s="60">
        <v>1.17</v>
      </c>
      <c r="G37" s="60">
        <v>41.41</v>
      </c>
      <c r="H37" s="60">
        <v>15.37</v>
      </c>
      <c r="I37" s="60">
        <v>4.0599999999999996</v>
      </c>
      <c r="J37" s="60">
        <v>0.5</v>
      </c>
      <c r="K37" s="60">
        <v>18.350000000000001</v>
      </c>
      <c r="L37" s="60">
        <v>36.67</v>
      </c>
      <c r="M37" s="60">
        <v>79.14</v>
      </c>
      <c r="N37" s="60">
        <v>111.5</v>
      </c>
      <c r="O37" s="60">
        <v>0</v>
      </c>
      <c r="P37" s="60">
        <v>1.89</v>
      </c>
      <c r="Q37" s="60">
        <v>47.55</v>
      </c>
      <c r="R37" s="198"/>
      <c r="S37" s="198"/>
      <c r="T37" s="198"/>
      <c r="U37" s="198"/>
    </row>
    <row r="38" spans="1:21" s="12" customFormat="1" ht="15">
      <c r="A38" s="201" t="s">
        <v>1331</v>
      </c>
      <c r="B38" s="60">
        <v>1.94</v>
      </c>
      <c r="C38" s="60">
        <v>23.55</v>
      </c>
      <c r="D38" s="60">
        <v>25.49</v>
      </c>
      <c r="E38" s="60">
        <v>5.15</v>
      </c>
      <c r="F38" s="60">
        <v>1.23</v>
      </c>
      <c r="G38" s="60">
        <v>41.41</v>
      </c>
      <c r="H38" s="60">
        <v>15.37</v>
      </c>
      <c r="I38" s="60">
        <v>3.90</v>
      </c>
      <c r="J38" s="60">
        <v>0.92</v>
      </c>
      <c r="K38" s="60">
        <v>10.5</v>
      </c>
      <c r="L38" s="60">
        <v>36.200000000000003</v>
      </c>
      <c r="M38" s="60">
        <v>79.040000000000006</v>
      </c>
      <c r="N38" s="60">
        <v>112.10</v>
      </c>
      <c r="O38" s="60">
        <v>0</v>
      </c>
      <c r="P38" s="60">
        <v>1.90</v>
      </c>
      <c r="Q38" s="60">
        <v>47.19</v>
      </c>
      <c r="R38" s="198"/>
      <c r="S38" s="198"/>
      <c r="T38" s="198"/>
      <c r="U38" s="198"/>
    </row>
    <row r="39" spans="1:21" s="12" customFormat="1" ht="15">
      <c r="A39" s="201" t="s">
        <v>1332</v>
      </c>
      <c r="B39" s="60">
        <v>2.83</v>
      </c>
      <c r="C39" s="60">
        <v>25.29</v>
      </c>
      <c r="D39" s="60">
        <v>28.12</v>
      </c>
      <c r="E39" s="60">
        <v>5.24</v>
      </c>
      <c r="F39" s="60">
        <v>0.83</v>
      </c>
      <c r="G39" s="60">
        <v>41.41</v>
      </c>
      <c r="H39" s="60">
        <v>15.37</v>
      </c>
      <c r="I39" s="60">
        <v>3.89</v>
      </c>
      <c r="J39" s="60">
        <v>0.28999999999999998</v>
      </c>
      <c r="K39" s="60">
        <v>252.05</v>
      </c>
      <c r="L39" s="60">
        <v>37.08</v>
      </c>
      <c r="M39" s="60">
        <v>77.989999999999995</v>
      </c>
      <c r="N39" s="60">
        <v>127.60</v>
      </c>
      <c r="O39" s="60">
        <v>0</v>
      </c>
      <c r="P39" s="60">
        <v>1.91</v>
      </c>
      <c r="Q39" s="60">
        <v>50.62</v>
      </c>
      <c r="R39" s="198"/>
      <c r="S39" s="198"/>
      <c r="T39" s="198"/>
      <c r="U39" s="198"/>
    </row>
    <row r="40" spans="1:21" s="12" customFormat="1" ht="15">
      <c r="A40" s="201" t="s">
        <v>1333</v>
      </c>
      <c r="B40" s="60">
        <v>3.07</v>
      </c>
      <c r="C40" s="60">
        <v>24.94</v>
      </c>
      <c r="D40" s="60">
        <v>28.01</v>
      </c>
      <c r="E40" s="60">
        <v>5.22</v>
      </c>
      <c r="F40" s="60">
        <v>1.1200000000000001</v>
      </c>
      <c r="G40" s="60">
        <v>46.40</v>
      </c>
      <c r="H40" s="60">
        <v>18.100000000000001</v>
      </c>
      <c r="I40" s="60">
        <v>3.88</v>
      </c>
      <c r="J40" s="60">
        <v>0.39</v>
      </c>
      <c r="K40" s="60">
        <v>7.40</v>
      </c>
      <c r="L40" s="60">
        <v>36.92</v>
      </c>
      <c r="M40" s="60">
        <v>77.75</v>
      </c>
      <c r="N40" s="60">
        <v>142.69999999999999</v>
      </c>
      <c r="O40" s="60">
        <v>0</v>
      </c>
      <c r="P40" s="60">
        <v>1.92</v>
      </c>
      <c r="Q40" s="60">
        <v>57.39</v>
      </c>
      <c r="R40" s="198"/>
      <c r="S40" s="198"/>
      <c r="T40" s="198"/>
      <c r="U40" s="198"/>
    </row>
    <row r="41" spans="1:21" s="12" customFormat="1" ht="15">
      <c r="A41" s="201" t="s">
        <v>1334</v>
      </c>
      <c r="B41" s="60">
        <v>3.18</v>
      </c>
      <c r="C41" s="60">
        <v>24.90</v>
      </c>
      <c r="D41" s="60">
        <v>28.08</v>
      </c>
      <c r="E41" s="60">
        <v>4.6500000000000004</v>
      </c>
      <c r="F41" s="60">
        <v>1.37</v>
      </c>
      <c r="G41" s="60">
        <v>47.96</v>
      </c>
      <c r="H41" s="60">
        <v>20.100000000000001</v>
      </c>
      <c r="I41" s="60">
        <v>3.89</v>
      </c>
      <c r="J41" s="60">
        <v>0.80</v>
      </c>
      <c r="K41" s="60">
        <v>332.97</v>
      </c>
      <c r="L41" s="60">
        <v>36.64</v>
      </c>
      <c r="M41" s="60">
        <v>77</v>
      </c>
      <c r="N41" s="60">
        <v>159.30000000000001</v>
      </c>
      <c r="O41" s="60">
        <v>0</v>
      </c>
      <c r="P41" s="60">
        <v>1.95</v>
      </c>
      <c r="Q41" s="60">
        <v>54</v>
      </c>
      <c r="R41" s="198"/>
      <c r="S41" s="198"/>
      <c r="T41" s="198"/>
      <c r="U41" s="198"/>
    </row>
    <row r="42" spans="1:21" s="12" customFormat="1" ht="15">
      <c r="A42" s="201" t="s">
        <v>1335</v>
      </c>
      <c r="B42" s="60">
        <v>3.70</v>
      </c>
      <c r="C42" s="60">
        <v>25.46</v>
      </c>
      <c r="D42" s="60">
        <v>29.16</v>
      </c>
      <c r="E42" s="60">
        <v>4.4800000000000004</v>
      </c>
      <c r="F42" s="60">
        <v>1.0900000000000001</v>
      </c>
      <c r="G42" s="60">
        <v>47.96</v>
      </c>
      <c r="H42" s="60">
        <v>20.100000000000001</v>
      </c>
      <c r="I42" s="60">
        <v>3.94</v>
      </c>
      <c r="J42" s="60">
        <v>1.51</v>
      </c>
      <c r="K42" s="60">
        <v>326.83999999999997</v>
      </c>
      <c r="L42" s="60">
        <v>37.270000000000003</v>
      </c>
      <c r="M42" s="60">
        <v>76.42</v>
      </c>
      <c r="N42" s="60">
        <v>200.70</v>
      </c>
      <c r="O42" s="60">
        <v>0</v>
      </c>
      <c r="P42" s="60">
        <v>1.98</v>
      </c>
      <c r="Q42" s="60">
        <v>50.78</v>
      </c>
      <c r="R42" s="198"/>
      <c r="S42" s="198"/>
      <c r="T42" s="198"/>
      <c r="U42" s="198"/>
    </row>
    <row r="43" spans="1:21" s="12" customFormat="1" ht="15">
      <c r="A43" s="201" t="s">
        <v>1336</v>
      </c>
      <c r="B43" s="60">
        <v>4.43</v>
      </c>
      <c r="C43" s="60">
        <v>26.17</v>
      </c>
      <c r="D43" s="60">
        <v>30.60</v>
      </c>
      <c r="E43" s="60">
        <v>4.8600000000000003</v>
      </c>
      <c r="F43" s="60">
        <v>0.81</v>
      </c>
      <c r="G43" s="60">
        <v>47.96</v>
      </c>
      <c r="H43" s="60">
        <v>20.100000000000001</v>
      </c>
      <c r="I43" s="60">
        <v>4.03</v>
      </c>
      <c r="J43" s="60">
        <v>1.65</v>
      </c>
      <c r="K43" s="60">
        <v>316.55</v>
      </c>
      <c r="L43" s="60">
        <v>38.61</v>
      </c>
      <c r="M43" s="60">
        <v>73.62</v>
      </c>
      <c r="N43" s="60">
        <v>269</v>
      </c>
      <c r="O43" s="60">
        <v>0</v>
      </c>
      <c r="P43" s="60">
        <v>2.04</v>
      </c>
      <c r="Q43" s="60">
        <v>49.03</v>
      </c>
      <c r="R43" s="198"/>
      <c r="S43" s="198"/>
      <c r="T43" s="198"/>
      <c r="U43" s="198"/>
    </row>
    <row r="44" spans="1:21" s="12" customFormat="1" ht="15">
      <c r="A44" s="201" t="s">
        <v>1337</v>
      </c>
      <c r="B44" s="60">
        <v>5.45</v>
      </c>
      <c r="C44" s="60">
        <v>27.24</v>
      </c>
      <c r="D44" s="60">
        <v>32.69</v>
      </c>
      <c r="E44" s="60">
        <v>4.95</v>
      </c>
      <c r="F44" s="60">
        <v>0.88</v>
      </c>
      <c r="G44" s="60">
        <v>48.36</v>
      </c>
      <c r="H44" s="60">
        <v>19.12</v>
      </c>
      <c r="I44" s="60">
        <v>4.2300000000000004</v>
      </c>
      <c r="J44" s="60">
        <v>1.25</v>
      </c>
      <c r="K44" s="60">
        <v>335.36</v>
      </c>
      <c r="L44" s="60">
        <v>38.51</v>
      </c>
      <c r="M44" s="60">
        <v>70.61</v>
      </c>
      <c r="N44" s="60">
        <v>337.80</v>
      </c>
      <c r="O44" s="60">
        <v>0</v>
      </c>
      <c r="P44" s="60">
        <v>2.11</v>
      </c>
      <c r="Q44" s="60">
        <v>47.71</v>
      </c>
      <c r="R44" s="198"/>
      <c r="S44" s="198"/>
      <c r="T44" s="198"/>
      <c r="U44" s="198"/>
    </row>
    <row r="45" spans="1:21" s="12" customFormat="1" ht="15">
      <c r="A45" s="201" t="s">
        <v>1338</v>
      </c>
      <c r="B45" s="60">
        <v>5.68</v>
      </c>
      <c r="C45" s="60">
        <v>27.79</v>
      </c>
      <c r="D45" s="60">
        <v>33.47</v>
      </c>
      <c r="E45" s="60">
        <v>5.0199999999999996</v>
      </c>
      <c r="F45" s="60">
        <v>1.29</v>
      </c>
      <c r="G45" s="60">
        <v>48.48</v>
      </c>
      <c r="H45" s="60">
        <v>18.41</v>
      </c>
      <c r="I45" s="60">
        <v>4.7699999999999996</v>
      </c>
      <c r="J45" s="60">
        <v>1.28</v>
      </c>
      <c r="K45" s="60">
        <v>323.94</v>
      </c>
      <c r="L45" s="60">
        <v>38.79</v>
      </c>
      <c r="M45" s="60">
        <v>68.34</v>
      </c>
      <c r="N45" s="60">
        <v>492</v>
      </c>
      <c r="O45" s="60">
        <v>0</v>
      </c>
      <c r="P45" s="60">
        <v>2.12</v>
      </c>
      <c r="Q45" s="60">
        <v>46.54</v>
      </c>
      <c r="R45" s="198"/>
      <c r="S45" s="198"/>
      <c r="T45" s="198"/>
      <c r="U45" s="198"/>
    </row>
    <row r="46" spans="1:21" s="12" customFormat="1" ht="15">
      <c r="A46" s="201" t="s">
        <v>1339</v>
      </c>
      <c r="B46" s="60">
        <v>5.48</v>
      </c>
      <c r="C46" s="60">
        <v>28.52</v>
      </c>
      <c r="D46" s="60">
        <v>33.99</v>
      </c>
      <c r="E46" s="60">
        <v>5.41</v>
      </c>
      <c r="F46" s="60">
        <v>1.1299999999999999</v>
      </c>
      <c r="G46" s="60">
        <v>48.48</v>
      </c>
      <c r="H46" s="60">
        <v>18.41</v>
      </c>
      <c r="I46" s="60">
        <v>5.36</v>
      </c>
      <c r="J46" s="60">
        <v>0.85</v>
      </c>
      <c r="K46" s="60">
        <v>324.26</v>
      </c>
      <c r="L46" s="60">
        <v>39.880000000000003</v>
      </c>
      <c r="M46" s="60">
        <v>65.930000000000007</v>
      </c>
      <c r="N46" s="60">
        <v>585.40</v>
      </c>
      <c r="O46" s="60">
        <v>0</v>
      </c>
      <c r="P46" s="60">
        <v>2.14</v>
      </c>
      <c r="Q46" s="60">
        <v>45.65</v>
      </c>
      <c r="R46" s="198"/>
      <c r="S46" s="198"/>
      <c r="T46" s="198"/>
      <c r="U46" s="198"/>
    </row>
    <row r="47" spans="1:21" s="12" customFormat="1" ht="15">
      <c r="A47" s="201" t="s">
        <v>1340</v>
      </c>
      <c r="B47" s="60">
        <v>5.14</v>
      </c>
      <c r="C47" s="60">
        <v>28.90</v>
      </c>
      <c r="D47" s="60">
        <v>34.04</v>
      </c>
      <c r="E47" s="60">
        <v>5.40</v>
      </c>
      <c r="F47" s="60">
        <v>1.05</v>
      </c>
      <c r="G47" s="60">
        <v>48.48</v>
      </c>
      <c r="H47" s="60">
        <v>18.41</v>
      </c>
      <c r="I47" s="60">
        <v>5.38</v>
      </c>
      <c r="J47" s="60">
        <v>0.88</v>
      </c>
      <c r="K47" s="60">
        <v>315.61</v>
      </c>
      <c r="L47" s="60">
        <v>40.47</v>
      </c>
      <c r="M47" s="60">
        <v>64.13</v>
      </c>
      <c r="N47" s="60">
        <v>685</v>
      </c>
      <c r="O47" s="60">
        <v>0</v>
      </c>
      <c r="P47" s="60">
        <v>2.13</v>
      </c>
      <c r="Q47" s="60">
        <v>44.81</v>
      </c>
      <c r="R47" s="198"/>
      <c r="S47" s="198"/>
      <c r="T47" s="198"/>
      <c r="U47" s="198"/>
    </row>
    <row r="48" spans="1:21" s="12" customFormat="1" ht="15">
      <c r="A48" s="201" t="s">
        <v>1341</v>
      </c>
      <c r="B48" s="60">
        <v>4.47</v>
      </c>
      <c r="C48" s="60">
        <v>29.36</v>
      </c>
      <c r="D48" s="60">
        <v>33.82</v>
      </c>
      <c r="E48" s="60">
        <v>5.12</v>
      </c>
      <c r="F48" s="60">
        <v>1.36</v>
      </c>
      <c r="G48" s="60">
        <v>52.67</v>
      </c>
      <c r="H48" s="60">
        <v>17.440000000000001</v>
      </c>
      <c r="I48" s="60">
        <v>5.30</v>
      </c>
      <c r="J48" s="60">
        <v>0.27</v>
      </c>
      <c r="K48" s="60">
        <v>317.89999999999998</v>
      </c>
      <c r="L48" s="60">
        <v>40.74</v>
      </c>
      <c r="M48" s="60">
        <v>63.42</v>
      </c>
      <c r="N48" s="60">
        <v>470.5</v>
      </c>
      <c r="O48" s="60">
        <v>0</v>
      </c>
      <c r="P48" s="60">
        <v>2.13</v>
      </c>
      <c r="Q48" s="60">
        <v>43.67</v>
      </c>
      <c r="R48" s="198"/>
      <c r="S48" s="198"/>
      <c r="T48" s="198"/>
      <c r="U48" s="198"/>
    </row>
    <row r="49" spans="1:21" s="12" customFormat="1" ht="15">
      <c r="A49" s="201" t="s">
        <v>1342</v>
      </c>
      <c r="B49" s="60">
        <v>3.76</v>
      </c>
      <c r="C49" s="60">
        <v>30.48</v>
      </c>
      <c r="D49" s="60">
        <v>34.229999999999997</v>
      </c>
      <c r="E49" s="60">
        <v>4.91</v>
      </c>
      <c r="F49" s="60">
        <v>1.69</v>
      </c>
      <c r="G49" s="60">
        <v>53.96</v>
      </c>
      <c r="H49" s="60">
        <v>16.73</v>
      </c>
      <c r="I49" s="60">
        <v>5.17</v>
      </c>
      <c r="J49" s="60">
        <v>0.52</v>
      </c>
      <c r="K49" s="60">
        <v>207.98</v>
      </c>
      <c r="L49" s="60">
        <v>40.479999999999997</v>
      </c>
      <c r="M49" s="60">
        <v>63.37</v>
      </c>
      <c r="N49" s="60">
        <v>427</v>
      </c>
      <c r="O49" s="60">
        <v>0</v>
      </c>
      <c r="P49" s="60">
        <v>2.13</v>
      </c>
      <c r="Q49" s="60">
        <v>43.05</v>
      </c>
      <c r="R49" s="198"/>
      <c r="S49" s="198"/>
      <c r="T49" s="198"/>
      <c r="U49" s="198"/>
    </row>
    <row r="50" spans="1:21" s="12" customFormat="1" ht="15">
      <c r="A50" s="201" t="s">
        <v>1343</v>
      </c>
      <c r="B50" s="60">
        <v>3.21</v>
      </c>
      <c r="C50" s="60">
        <v>31.99</v>
      </c>
      <c r="D50" s="60">
        <v>35.200000000000003</v>
      </c>
      <c r="E50" s="60">
        <v>5.07</v>
      </c>
      <c r="F50" s="60">
        <v>1.54</v>
      </c>
      <c r="G50" s="60">
        <v>53.96</v>
      </c>
      <c r="H50" s="60">
        <v>16.73</v>
      </c>
      <c r="I50" s="60">
        <v>5.16</v>
      </c>
      <c r="J50" s="60">
        <v>1.80</v>
      </c>
      <c r="K50" s="60">
        <v>191.63</v>
      </c>
      <c r="L50" s="60">
        <v>39.10</v>
      </c>
      <c r="M50" s="60">
        <v>66.010000000000005</v>
      </c>
      <c r="N50" s="60">
        <v>360.60</v>
      </c>
      <c r="O50" s="60">
        <v>0</v>
      </c>
      <c r="P50" s="60">
        <v>2.1800000000000002</v>
      </c>
      <c r="Q50" s="60">
        <v>44.42</v>
      </c>
      <c r="R50" s="198"/>
      <c r="S50" s="198"/>
      <c r="T50" s="198"/>
      <c r="U50" s="198"/>
    </row>
    <row r="51" spans="1:21" s="12" customFormat="1" ht="15">
      <c r="A51" s="201" t="s">
        <v>1344</v>
      </c>
      <c r="B51" s="60">
        <v>2.62</v>
      </c>
      <c r="C51" s="60">
        <v>31.89</v>
      </c>
      <c r="D51" s="60">
        <v>34.51</v>
      </c>
      <c r="E51" s="60">
        <v>5.53</v>
      </c>
      <c r="F51" s="60">
        <v>1.35</v>
      </c>
      <c r="G51" s="60">
        <v>53.96</v>
      </c>
      <c r="H51" s="60">
        <v>16.73</v>
      </c>
      <c r="I51" s="60">
        <v>5.15</v>
      </c>
      <c r="J51" s="60">
        <v>1.64</v>
      </c>
      <c r="K51" s="60">
        <v>194.80</v>
      </c>
      <c r="L51" s="60">
        <v>39.229999999999997</v>
      </c>
      <c r="M51" s="60">
        <v>67.209999999999994</v>
      </c>
      <c r="N51" s="60">
        <v>342.90</v>
      </c>
      <c r="O51" s="60">
        <v>0</v>
      </c>
      <c r="P51" s="60">
        <v>2.2200000000000002</v>
      </c>
      <c r="Q51" s="60">
        <v>46.29</v>
      </c>
      <c r="R51" s="198"/>
      <c r="S51" s="198"/>
      <c r="T51" s="198"/>
      <c r="U51" s="198"/>
    </row>
    <row r="52" spans="1:21" s="12" customFormat="1" ht="15">
      <c r="A52" s="201" t="s">
        <v>1345</v>
      </c>
      <c r="B52" s="60">
        <v>2.29</v>
      </c>
      <c r="C52" s="60">
        <v>30.86</v>
      </c>
      <c r="D52" s="60">
        <v>33.159999999999997</v>
      </c>
      <c r="E52" s="60">
        <v>3.56</v>
      </c>
      <c r="F52" s="60">
        <v>1.36</v>
      </c>
      <c r="G52" s="60">
        <v>57</v>
      </c>
      <c r="H52" s="60">
        <v>18.93</v>
      </c>
      <c r="I52" s="60">
        <v>5.32</v>
      </c>
      <c r="J52" s="60">
        <v>0.5</v>
      </c>
      <c r="K52" s="60">
        <v>339.19</v>
      </c>
      <c r="L52" s="60">
        <v>40.159999999999997</v>
      </c>
      <c r="M52" s="60">
        <v>66.58</v>
      </c>
      <c r="N52" s="60">
        <v>370.10</v>
      </c>
      <c r="O52" s="60">
        <v>0</v>
      </c>
      <c r="P52" s="60">
        <v>2.25</v>
      </c>
      <c r="Q52" s="60">
        <v>48.05</v>
      </c>
      <c r="R52" s="198"/>
      <c r="S52" s="198"/>
      <c r="T52" s="198"/>
      <c r="U52" s="198"/>
    </row>
    <row r="53" spans="1:21" s="12" customFormat="1" ht="15">
      <c r="A53" s="201" t="s">
        <v>1346</v>
      </c>
      <c r="B53" s="60">
        <v>2.41</v>
      </c>
      <c r="C53" s="60">
        <v>30.72</v>
      </c>
      <c r="D53" s="60">
        <v>33.119999999999997</v>
      </c>
      <c r="E53" s="60">
        <v>6.37</v>
      </c>
      <c r="F53" s="60">
        <v>1.1200000000000001</v>
      </c>
      <c r="G53" s="60">
        <v>58.67</v>
      </c>
      <c r="H53" s="60">
        <v>20.54</v>
      </c>
      <c r="I53" s="60">
        <v>5.64</v>
      </c>
      <c r="J53" s="60">
        <v>0.37</v>
      </c>
      <c r="K53" s="60">
        <v>322.67</v>
      </c>
      <c r="L53" s="60">
        <v>40.90</v>
      </c>
      <c r="M53" s="60">
        <v>64.489999999999995</v>
      </c>
      <c r="N53" s="60">
        <v>426.5</v>
      </c>
      <c r="O53" s="60">
        <v>0</v>
      </c>
      <c r="P53" s="60">
        <v>2.2999999999999998</v>
      </c>
      <c r="Q53" s="60">
        <v>48.77</v>
      </c>
      <c r="R53" s="198"/>
      <c r="S53" s="198"/>
      <c r="T53" s="198"/>
      <c r="U53" s="198"/>
    </row>
    <row r="54" spans="1:21" s="12" customFormat="1" ht="15">
      <c r="A54" s="201" t="s">
        <v>1347</v>
      </c>
      <c r="B54" s="60">
        <v>3.05</v>
      </c>
      <c r="C54" s="60">
        <v>31.69</v>
      </c>
      <c r="D54" s="60">
        <v>34.74</v>
      </c>
      <c r="E54" s="60">
        <v>6.22</v>
      </c>
      <c r="F54" s="60">
        <v>0.90</v>
      </c>
      <c r="G54" s="60">
        <v>58.67</v>
      </c>
      <c r="H54" s="60">
        <v>20.54</v>
      </c>
      <c r="I54" s="60">
        <v>6.02</v>
      </c>
      <c r="J54" s="60">
        <v>1</v>
      </c>
      <c r="K54" s="60">
        <v>326.95</v>
      </c>
      <c r="L54" s="60">
        <v>41.60</v>
      </c>
      <c r="M54" s="60">
        <v>64.61</v>
      </c>
      <c r="N54" s="60">
        <v>406.80</v>
      </c>
      <c r="O54" s="60">
        <v>0</v>
      </c>
      <c r="P54" s="60">
        <v>2.37</v>
      </c>
      <c r="Q54" s="60">
        <v>49.60</v>
      </c>
      <c r="R54" s="198"/>
      <c r="S54" s="198"/>
      <c r="T54" s="198"/>
      <c r="U54" s="198"/>
    </row>
    <row r="55" spans="1:21" s="12" customFormat="1" ht="15">
      <c r="A55" s="201" t="s">
        <v>1348</v>
      </c>
      <c r="B55" s="60">
        <v>3.21</v>
      </c>
      <c r="C55" s="60">
        <v>32.450000000000003</v>
      </c>
      <c r="D55" s="60">
        <v>35.67</v>
      </c>
      <c r="E55" s="60">
        <v>6.53</v>
      </c>
      <c r="F55" s="60">
        <v>1.32</v>
      </c>
      <c r="G55" s="60">
        <v>58.67</v>
      </c>
      <c r="H55" s="60">
        <v>20.54</v>
      </c>
      <c r="I55" s="60">
        <v>6.49</v>
      </c>
      <c r="J55" s="60">
        <v>0.26</v>
      </c>
      <c r="K55" s="60">
        <v>252.08</v>
      </c>
      <c r="L55" s="60">
        <v>41.61</v>
      </c>
      <c r="M55" s="60">
        <v>64.02</v>
      </c>
      <c r="N55" s="60">
        <v>433.10</v>
      </c>
      <c r="O55" s="60">
        <v>0</v>
      </c>
      <c r="P55" s="60">
        <v>2.44</v>
      </c>
      <c r="Q55" s="60">
        <v>48.73</v>
      </c>
      <c r="R55" s="198"/>
      <c r="S55" s="198"/>
      <c r="T55" s="198"/>
      <c r="U55" s="198"/>
    </row>
    <row r="56" spans="1:21" s="12" customFormat="1" ht="15">
      <c r="A56" s="201" t="s">
        <v>1349</v>
      </c>
      <c r="B56" s="60">
        <v>2.42</v>
      </c>
      <c r="C56" s="60">
        <v>33.130000000000003</v>
      </c>
      <c r="D56" s="60">
        <v>35.549999999999997</v>
      </c>
      <c r="E56" s="60">
        <v>6.42</v>
      </c>
      <c r="F56" s="60">
        <v>1.61</v>
      </c>
      <c r="G56" s="60">
        <v>66.010000000000005</v>
      </c>
      <c r="H56" s="60">
        <v>21.55</v>
      </c>
      <c r="I56" s="60">
        <v>7.07</v>
      </c>
      <c r="J56" s="60">
        <v>0.57999999999999996</v>
      </c>
      <c r="K56" s="60">
        <v>225.54</v>
      </c>
      <c r="L56" s="60">
        <v>41.52</v>
      </c>
      <c r="M56" s="60">
        <v>63.79</v>
      </c>
      <c r="N56" s="60">
        <v>471.10</v>
      </c>
      <c r="O56" s="60">
        <v>0</v>
      </c>
      <c r="P56" s="60">
        <v>2.48</v>
      </c>
      <c r="Q56" s="60">
        <v>46.87</v>
      </c>
      <c r="R56" s="198"/>
      <c r="S56" s="198"/>
      <c r="T56" s="198"/>
      <c r="U56" s="198"/>
    </row>
    <row r="57" spans="1:21" s="12" customFormat="1" ht="15">
      <c r="A57" s="201" t="s">
        <v>1350</v>
      </c>
      <c r="B57" s="60">
        <v>1.92</v>
      </c>
      <c r="C57" s="60">
        <v>33.40</v>
      </c>
      <c r="D57" s="60">
        <v>35.32</v>
      </c>
      <c r="E57" s="60">
        <v>6.31</v>
      </c>
      <c r="F57" s="60">
        <v>2.13</v>
      </c>
      <c r="G57" s="60">
        <v>68.27</v>
      </c>
      <c r="H57" s="60">
        <v>22.29</v>
      </c>
      <c r="I57" s="60">
        <v>7.64</v>
      </c>
      <c r="J57" s="60">
        <v>0.66</v>
      </c>
      <c r="K57" s="60">
        <v>311.18</v>
      </c>
      <c r="L57" s="60">
        <v>42.71</v>
      </c>
      <c r="M57" s="60">
        <v>61.83</v>
      </c>
      <c r="N57" s="60">
        <v>472.30</v>
      </c>
      <c r="O57" s="60">
        <v>0</v>
      </c>
      <c r="P57" s="60">
        <v>2.58</v>
      </c>
      <c r="Q57" s="60">
        <v>49.19</v>
      </c>
      <c r="R57" s="198"/>
      <c r="S57" s="198"/>
      <c r="T57" s="198"/>
      <c r="U57" s="198"/>
    </row>
    <row r="58" spans="1:21" s="12" customFormat="1" ht="15">
      <c r="A58" s="201" t="s">
        <v>1351</v>
      </c>
      <c r="B58" s="60">
        <v>1.74</v>
      </c>
      <c r="C58" s="60">
        <v>32.82</v>
      </c>
      <c r="D58" s="60">
        <v>34.549999999999997</v>
      </c>
      <c r="E58" s="60">
        <v>6.22</v>
      </c>
      <c r="F58" s="60">
        <v>2.91</v>
      </c>
      <c r="G58" s="60">
        <v>68.27</v>
      </c>
      <c r="H58" s="60">
        <v>22.29</v>
      </c>
      <c r="I58" s="60">
        <v>7.95</v>
      </c>
      <c r="J58" s="60">
        <v>0.86</v>
      </c>
      <c r="K58" s="60">
        <v>329.11</v>
      </c>
      <c r="L58" s="60">
        <v>42.90</v>
      </c>
      <c r="M58" s="60">
        <v>59.56</v>
      </c>
      <c r="N58" s="60">
        <v>528.60</v>
      </c>
      <c r="O58" s="60">
        <v>0</v>
      </c>
      <c r="P58" s="60">
        <v>2.70</v>
      </c>
      <c r="Q58" s="60">
        <v>51.47</v>
      </c>
      <c r="R58" s="198"/>
      <c r="S58" s="198"/>
      <c r="T58" s="198"/>
      <c r="U58" s="198"/>
    </row>
    <row r="59" spans="1:21" s="12" customFormat="1" ht="15">
      <c r="A59" s="201" t="s">
        <v>1352</v>
      </c>
      <c r="B59" s="60">
        <v>1.17</v>
      </c>
      <c r="C59" s="60">
        <v>32.03</v>
      </c>
      <c r="D59" s="60">
        <v>33.200000000000003</v>
      </c>
      <c r="E59" s="60">
        <v>6.70</v>
      </c>
      <c r="F59" s="60">
        <v>4.12</v>
      </c>
      <c r="G59" s="60">
        <v>68.27</v>
      </c>
      <c r="H59" s="60">
        <v>22.29</v>
      </c>
      <c r="I59" s="60">
        <v>8.2899999999999991</v>
      </c>
      <c r="J59" s="60">
        <v>0.59</v>
      </c>
      <c r="K59" s="60">
        <v>270.66000000000003</v>
      </c>
      <c r="L59" s="60">
        <v>41.98</v>
      </c>
      <c r="M59" s="60">
        <v>59.57</v>
      </c>
      <c r="N59" s="60">
        <v>675.80</v>
      </c>
      <c r="O59" s="60">
        <v>0</v>
      </c>
      <c r="P59" s="60">
        <v>2.67</v>
      </c>
      <c r="Q59" s="60">
        <v>46.93</v>
      </c>
      <c r="R59" s="198"/>
      <c r="S59" s="198"/>
      <c r="T59" s="198"/>
      <c r="U59" s="198"/>
    </row>
    <row r="60" spans="1:21" s="12" customFormat="1" ht="15">
      <c r="A60" s="201" t="s">
        <v>1353</v>
      </c>
      <c r="B60" s="60">
        <v>0.77</v>
      </c>
      <c r="C60" s="60">
        <v>30.98</v>
      </c>
      <c r="D60" s="60">
        <v>31.75</v>
      </c>
      <c r="E60" s="60">
        <v>6.24</v>
      </c>
      <c r="F60" s="60">
        <v>4.80</v>
      </c>
      <c r="G60" s="60">
        <v>65.61</v>
      </c>
      <c r="H60" s="60">
        <v>24.22</v>
      </c>
      <c r="I60" s="60">
        <v>8.43</v>
      </c>
      <c r="J60" s="60">
        <v>0.61</v>
      </c>
      <c r="K60" s="60">
        <v>241.24</v>
      </c>
      <c r="L60" s="60">
        <v>42.47</v>
      </c>
      <c r="M60" s="60">
        <v>58.14</v>
      </c>
      <c r="N60" s="60">
        <v>767</v>
      </c>
      <c r="O60" s="60">
        <v>0</v>
      </c>
      <c r="P60" s="60">
        <v>2.62</v>
      </c>
      <c r="Q60" s="60">
        <v>42.23</v>
      </c>
      <c r="R60" s="198"/>
      <c r="S60" s="198"/>
      <c r="T60" s="198"/>
      <c r="U60" s="198"/>
    </row>
    <row r="61" spans="1:21" s="12" customFormat="1" ht="15">
      <c r="A61" s="201" t="s">
        <v>1354</v>
      </c>
      <c r="B61" s="60">
        <v>0.83</v>
      </c>
      <c r="C61" s="60">
        <v>31.74</v>
      </c>
      <c r="D61" s="60">
        <v>32.56</v>
      </c>
      <c r="E61" s="60">
        <v>5.94</v>
      </c>
      <c r="F61" s="60">
        <v>5.17</v>
      </c>
      <c r="G61" s="60">
        <v>64.790000000000006</v>
      </c>
      <c r="H61" s="60">
        <v>25.63</v>
      </c>
      <c r="I61" s="60">
        <v>8.24</v>
      </c>
      <c r="J61" s="60">
        <v>0.52</v>
      </c>
      <c r="K61" s="60">
        <v>25.46</v>
      </c>
      <c r="L61" s="60">
        <v>42.47</v>
      </c>
      <c r="M61" s="60">
        <v>58.82</v>
      </c>
      <c r="N61" s="60">
        <v>549.20000000000005</v>
      </c>
      <c r="O61" s="60">
        <v>0</v>
      </c>
      <c r="P61" s="60">
        <v>2.65</v>
      </c>
      <c r="Q61" s="60">
        <v>39.89</v>
      </c>
      <c r="R61" s="198"/>
      <c r="S61" s="198"/>
      <c r="T61" s="198"/>
      <c r="U61" s="198"/>
    </row>
    <row r="62" spans="1:21" s="12" customFormat="1" ht="15">
      <c r="A62" s="201" t="s">
        <v>1355</v>
      </c>
      <c r="B62" s="60">
        <v>0.92</v>
      </c>
      <c r="C62" s="60">
        <v>33.01</v>
      </c>
      <c r="D62" s="60">
        <v>33.92</v>
      </c>
      <c r="E62" s="60">
        <v>6.02</v>
      </c>
      <c r="F62" s="60">
        <v>4.80</v>
      </c>
      <c r="G62" s="60">
        <v>64.790000000000006</v>
      </c>
      <c r="H62" s="60">
        <v>25.63</v>
      </c>
      <c r="I62" s="60">
        <v>8.18</v>
      </c>
      <c r="J62" s="60">
        <v>0.84</v>
      </c>
      <c r="K62" s="60">
        <v>359.30</v>
      </c>
      <c r="L62" s="60">
        <v>43.65</v>
      </c>
      <c r="M62" s="60">
        <v>57.12</v>
      </c>
      <c r="N62" s="60">
        <v>819.70</v>
      </c>
      <c r="O62" s="60">
        <v>0</v>
      </c>
      <c r="P62" s="60">
        <v>2.65</v>
      </c>
      <c r="Q62" s="60">
        <v>38.950000000000003</v>
      </c>
      <c r="R62" s="198"/>
      <c r="S62" s="198"/>
      <c r="T62" s="198"/>
      <c r="U62" s="198"/>
    </row>
    <row r="63" spans="1:21" s="12" customFormat="1" ht="15">
      <c r="A63" s="201" t="s">
        <v>1356</v>
      </c>
      <c r="B63" s="60">
        <v>0.79</v>
      </c>
      <c r="C63" s="60">
        <v>32.67</v>
      </c>
      <c r="D63" s="60">
        <v>33.46</v>
      </c>
      <c r="E63" s="60">
        <v>8.75</v>
      </c>
      <c r="F63" s="60">
        <v>5.12</v>
      </c>
      <c r="G63" s="60">
        <v>64.790000000000006</v>
      </c>
      <c r="H63" s="60">
        <v>25.63</v>
      </c>
      <c r="I63" s="60">
        <v>9.0500000000000007</v>
      </c>
      <c r="J63" s="60">
        <v>1.03</v>
      </c>
      <c r="K63" s="60">
        <v>314.06</v>
      </c>
      <c r="L63" s="60">
        <v>44.47</v>
      </c>
      <c r="M63" s="60">
        <v>55.13</v>
      </c>
      <c r="N63" s="60">
        <v>992.5</v>
      </c>
      <c r="O63" s="60">
        <v>0</v>
      </c>
      <c r="P63" s="60">
        <v>2.65</v>
      </c>
      <c r="Q63" s="60">
        <v>37.5</v>
      </c>
      <c r="R63" s="198"/>
      <c r="S63" s="198"/>
      <c r="T63" s="198"/>
      <c r="U63" s="198"/>
    </row>
    <row r="64" spans="1:21" s="12" customFormat="1" ht="15">
      <c r="A64" s="201" t="s">
        <v>1357</v>
      </c>
      <c r="B64" s="60">
        <v>0.60</v>
      </c>
      <c r="C64" s="60">
        <v>32.25</v>
      </c>
      <c r="D64" s="60">
        <v>32.85</v>
      </c>
      <c r="E64" s="60">
        <v>5.59</v>
      </c>
      <c r="F64" s="60">
        <v>5.46</v>
      </c>
      <c r="G64" s="60">
        <v>72.62</v>
      </c>
      <c r="H64" s="60">
        <v>26.43</v>
      </c>
      <c r="I64" s="60">
        <v>9.4600000000000009</v>
      </c>
      <c r="J64" s="60">
        <v>0.56999999999999995</v>
      </c>
      <c r="K64" s="60">
        <v>279.31</v>
      </c>
      <c r="L64" s="60">
        <v>45.91</v>
      </c>
      <c r="M64" s="60">
        <v>51.82</v>
      </c>
      <c r="N64" s="60">
        <v>951.30</v>
      </c>
      <c r="O64" s="60">
        <v>0</v>
      </c>
      <c r="P64" s="60">
        <v>2.60</v>
      </c>
      <c r="Q64" s="60">
        <v>35.590000000000003</v>
      </c>
      <c r="R64" s="198"/>
      <c r="S64" s="198"/>
      <c r="T64" s="198"/>
      <c r="U64" s="198"/>
    </row>
    <row r="65" spans="1:21" s="12" customFormat="1" ht="15">
      <c r="A65" s="201" t="s">
        <v>1358</v>
      </c>
      <c r="B65" s="60">
        <v>0.60</v>
      </c>
      <c r="C65" s="60">
        <v>31.57</v>
      </c>
      <c r="D65" s="60">
        <v>32.17</v>
      </c>
      <c r="E65" s="60">
        <v>5.56</v>
      </c>
      <c r="F65" s="60">
        <v>5.87</v>
      </c>
      <c r="G65" s="60">
        <v>75.180000000000007</v>
      </c>
      <c r="H65" s="60">
        <v>27.01</v>
      </c>
      <c r="I65" s="60">
        <v>9.32</v>
      </c>
      <c r="J65" s="60">
        <v>1.30</v>
      </c>
      <c r="K65" s="60">
        <v>326.24</v>
      </c>
      <c r="L65" s="60">
        <v>46.62</v>
      </c>
      <c r="M65" s="60">
        <v>50</v>
      </c>
      <c r="N65" s="60">
        <v>878.30</v>
      </c>
      <c r="O65" s="60">
        <v>0</v>
      </c>
      <c r="P65" s="60">
        <v>2.58</v>
      </c>
      <c r="Q65" s="60">
        <v>34.18</v>
      </c>
      <c r="R65" s="198"/>
      <c r="S65" s="198"/>
      <c r="T65" s="198"/>
      <c r="U65" s="198"/>
    </row>
    <row r="66" spans="1:21" s="12" customFormat="1" ht="15">
      <c r="A66" s="201" t="s">
        <v>1359</v>
      </c>
      <c r="B66" s="60">
        <v>0.49</v>
      </c>
      <c r="C66" s="60">
        <v>31.33</v>
      </c>
      <c r="D66" s="60">
        <v>31.82</v>
      </c>
      <c r="E66" s="60">
        <v>5.16</v>
      </c>
      <c r="F66" s="60">
        <v>6.54</v>
      </c>
      <c r="G66" s="60">
        <v>75.180000000000007</v>
      </c>
      <c r="H66" s="60">
        <v>27.01</v>
      </c>
      <c r="I66" s="60">
        <v>9.11</v>
      </c>
      <c r="J66" s="60">
        <v>0.65</v>
      </c>
      <c r="K66" s="60">
        <v>268.33999999999997</v>
      </c>
      <c r="L66" s="60">
        <v>45.78</v>
      </c>
      <c r="M66" s="60">
        <v>47.87</v>
      </c>
      <c r="N66" s="60">
        <v>801.40</v>
      </c>
      <c r="O66" s="60">
        <v>0</v>
      </c>
      <c r="P66" s="60">
        <v>2.57</v>
      </c>
      <c r="Q66" s="60">
        <v>33.5</v>
      </c>
      <c r="R66" s="198"/>
      <c r="S66" s="198"/>
      <c r="T66" s="198"/>
      <c r="U66" s="198"/>
    </row>
    <row r="67" spans="1:21" s="12" customFormat="1" ht="15">
      <c r="A67" s="201" t="s">
        <v>1360</v>
      </c>
      <c r="B67" s="60">
        <v>0.31</v>
      </c>
      <c r="C67" s="60">
        <v>32.44</v>
      </c>
      <c r="D67" s="60">
        <v>32.75</v>
      </c>
      <c r="E67" s="60">
        <v>5.08</v>
      </c>
      <c r="F67" s="60">
        <v>7.46</v>
      </c>
      <c r="G67" s="60">
        <v>75.180000000000007</v>
      </c>
      <c r="H67" s="60">
        <v>27.01</v>
      </c>
      <c r="I67" s="60">
        <v>9.10</v>
      </c>
      <c r="J67" s="60">
        <v>0.37</v>
      </c>
      <c r="K67" s="60">
        <v>331.11</v>
      </c>
      <c r="L67" s="60">
        <v>47.45</v>
      </c>
      <c r="M67" s="60">
        <v>47.08</v>
      </c>
      <c r="N67" s="60">
        <v>769.40</v>
      </c>
      <c r="O67" s="60">
        <v>0</v>
      </c>
      <c r="P67" s="60">
        <v>2.52</v>
      </c>
      <c r="Q67" s="60">
        <v>32.54</v>
      </c>
      <c r="R67" s="198"/>
      <c r="S67" s="198"/>
      <c r="T67" s="198"/>
      <c r="U67" s="198"/>
    </row>
    <row r="68" spans="1:21" s="12" customFormat="1" ht="15">
      <c r="A68" s="201" t="s">
        <v>1361</v>
      </c>
      <c r="B68" s="60">
        <v>0.30</v>
      </c>
      <c r="C68" s="60">
        <v>34.01</v>
      </c>
      <c r="D68" s="60">
        <v>34.31</v>
      </c>
      <c r="E68" s="60">
        <v>2.61</v>
      </c>
      <c r="F68" s="60">
        <v>7.28</v>
      </c>
      <c r="G68" s="60">
        <v>73.56</v>
      </c>
      <c r="H68" s="60">
        <v>26.5</v>
      </c>
      <c r="I68" s="60">
        <v>9.16</v>
      </c>
      <c r="J68" s="60">
        <v>0.88</v>
      </c>
      <c r="K68" s="60">
        <v>330.82</v>
      </c>
      <c r="L68" s="60">
        <v>48.47</v>
      </c>
      <c r="M68" s="60">
        <v>45.94</v>
      </c>
      <c r="N68" s="60">
        <v>732</v>
      </c>
      <c r="O68" s="60">
        <v>0</v>
      </c>
      <c r="P68" s="60">
        <v>2.4900000000000002</v>
      </c>
      <c r="Q68" s="60">
        <v>31.51</v>
      </c>
      <c r="R68" s="198"/>
      <c r="S68" s="198"/>
      <c r="T68" s="198"/>
      <c r="U68" s="198"/>
    </row>
    <row r="69" spans="1:21" s="12" customFormat="1" ht="15">
      <c r="A69" s="201" t="s">
        <v>1362</v>
      </c>
      <c r="B69" s="60">
        <v>0.37</v>
      </c>
      <c r="C69" s="60">
        <v>35.119999999999997</v>
      </c>
      <c r="D69" s="60">
        <v>35.479999999999997</v>
      </c>
      <c r="E69" s="60">
        <v>4.63</v>
      </c>
      <c r="F69" s="60">
        <v>7.56</v>
      </c>
      <c r="G69" s="60">
        <v>73.069999999999993</v>
      </c>
      <c r="H69" s="60">
        <v>26.13</v>
      </c>
      <c r="I69" s="60">
        <v>9.10</v>
      </c>
      <c r="J69" s="60">
        <v>0.85</v>
      </c>
      <c r="K69" s="60">
        <v>251.66</v>
      </c>
      <c r="L69" s="60">
        <v>48.45</v>
      </c>
      <c r="M69" s="60">
        <v>43.86</v>
      </c>
      <c r="N69" s="60">
        <v>697.90</v>
      </c>
      <c r="O69" s="60">
        <v>0</v>
      </c>
      <c r="P69" s="60">
        <v>2.48</v>
      </c>
      <c r="Q69" s="60">
        <v>34.24</v>
      </c>
      <c r="R69" s="198"/>
      <c r="S69" s="198"/>
      <c r="T69" s="198"/>
      <c r="U69" s="198"/>
    </row>
    <row r="70" spans="1:21" s="12" customFormat="1" ht="15">
      <c r="A70" s="201" t="s">
        <v>1363</v>
      </c>
      <c r="B70" s="60">
        <v>0.27</v>
      </c>
      <c r="C70" s="60">
        <v>34.42</v>
      </c>
      <c r="D70" s="60">
        <v>34.69</v>
      </c>
      <c r="E70" s="60">
        <v>4.5</v>
      </c>
      <c r="F70" s="60">
        <v>7.42</v>
      </c>
      <c r="G70" s="60">
        <v>73.069999999999993</v>
      </c>
      <c r="H70" s="60">
        <v>26.13</v>
      </c>
      <c r="I70" s="60">
        <v>8.91</v>
      </c>
      <c r="J70" s="60">
        <v>0.98</v>
      </c>
      <c r="K70" s="60">
        <v>236.65</v>
      </c>
      <c r="L70" s="60">
        <v>47.88</v>
      </c>
      <c r="M70" s="60">
        <v>43.55</v>
      </c>
      <c r="N70" s="60">
        <v>625.40</v>
      </c>
      <c r="O70" s="60">
        <v>0</v>
      </c>
      <c r="P70" s="60">
        <v>2.4500000000000002</v>
      </c>
      <c r="Q70" s="60">
        <v>36.10</v>
      </c>
      <c r="R70" s="198"/>
      <c r="S70" s="198"/>
      <c r="T70" s="198"/>
      <c r="U70" s="198"/>
    </row>
    <row r="71" spans="1:21" s="12" customFormat="1" ht="15">
      <c r="A71" s="201" t="s">
        <v>1364</v>
      </c>
      <c r="B71" s="60">
        <v>0.39</v>
      </c>
      <c r="C71" s="60">
        <v>33.549999999999997</v>
      </c>
      <c r="D71" s="60">
        <v>33.950000000000003</v>
      </c>
      <c r="E71" s="60">
        <v>4.51</v>
      </c>
      <c r="F71" s="60">
        <v>7.38</v>
      </c>
      <c r="G71" s="60">
        <v>73.069999999999993</v>
      </c>
      <c r="H71" s="60">
        <v>26.13</v>
      </c>
      <c r="I71" s="60">
        <v>8.7799999999999994</v>
      </c>
      <c r="J71" s="60">
        <v>0.56000000000000005</v>
      </c>
      <c r="K71" s="60">
        <v>234.12</v>
      </c>
      <c r="L71" s="60">
        <v>48.86</v>
      </c>
      <c r="M71" s="60">
        <v>43.46</v>
      </c>
      <c r="N71" s="60">
        <v>558.10</v>
      </c>
      <c r="O71" s="60">
        <v>0</v>
      </c>
      <c r="P71" s="60">
        <v>2.40</v>
      </c>
      <c r="Q71" s="60">
        <v>36.67</v>
      </c>
      <c r="R71" s="198"/>
      <c r="S71" s="198"/>
      <c r="T71" s="198"/>
      <c r="U71" s="198"/>
    </row>
    <row r="72" spans="1:21" s="12" customFormat="1" ht="15">
      <c r="A72" s="201" t="s">
        <v>1365</v>
      </c>
      <c r="B72" s="60">
        <v>0.37</v>
      </c>
      <c r="C72" s="60">
        <v>32.950000000000003</v>
      </c>
      <c r="D72" s="60">
        <v>33.32</v>
      </c>
      <c r="E72" s="60">
        <v>4.7300000000000004</v>
      </c>
      <c r="F72" s="60">
        <v>6.36</v>
      </c>
      <c r="G72" s="60">
        <v>69.41</v>
      </c>
      <c r="H72" s="60">
        <v>23.22</v>
      </c>
      <c r="I72" s="60">
        <v>8.6300000000000008</v>
      </c>
      <c r="J72" s="60">
        <v>0.06</v>
      </c>
      <c r="K72" s="60">
        <v>55.61</v>
      </c>
      <c r="L72" s="60">
        <v>50.43</v>
      </c>
      <c r="M72" s="60">
        <v>42.22</v>
      </c>
      <c r="N72" s="60">
        <v>489.70</v>
      </c>
      <c r="O72" s="60">
        <v>0</v>
      </c>
      <c r="P72" s="60">
        <v>2.36</v>
      </c>
      <c r="Q72" s="60">
        <v>36.380000000000003</v>
      </c>
      <c r="R72" s="198"/>
      <c r="S72" s="198"/>
      <c r="T72" s="198"/>
      <c r="U72" s="198"/>
    </row>
    <row r="73" spans="1:21" s="12" customFormat="1" ht="15">
      <c r="A73" s="201" t="s">
        <v>1366</v>
      </c>
      <c r="B73" s="60">
        <v>0.30</v>
      </c>
      <c r="C73" s="60">
        <v>32.96</v>
      </c>
      <c r="D73" s="60">
        <v>33.26</v>
      </c>
      <c r="E73" s="60">
        <v>4.5999999999999996</v>
      </c>
      <c r="F73" s="60">
        <v>6.09</v>
      </c>
      <c r="G73" s="60">
        <v>68.36</v>
      </c>
      <c r="H73" s="60">
        <v>21.10</v>
      </c>
      <c r="I73" s="60">
        <v>8.51</v>
      </c>
      <c r="J73" s="60">
        <v>0.42</v>
      </c>
      <c r="K73" s="60">
        <v>3.07</v>
      </c>
      <c r="L73" s="60">
        <v>50.27</v>
      </c>
      <c r="M73" s="60">
        <v>42.91</v>
      </c>
      <c r="N73" s="60">
        <v>434.70</v>
      </c>
      <c r="O73" s="60">
        <v>0</v>
      </c>
      <c r="P73" s="60">
        <v>2.36</v>
      </c>
      <c r="Q73" s="60">
        <v>35.97</v>
      </c>
      <c r="R73" s="198"/>
      <c r="S73" s="198"/>
      <c r="T73" s="198"/>
      <c r="U73" s="198"/>
    </row>
    <row r="74" spans="1:21" s="12" customFormat="1" ht="15">
      <c r="A74" s="201" t="s">
        <v>1367</v>
      </c>
      <c r="B74" s="60">
        <v>0.35</v>
      </c>
      <c r="C74" s="60">
        <v>33</v>
      </c>
      <c r="D74" s="60">
        <v>33.35</v>
      </c>
      <c r="E74" s="60">
        <v>4.75</v>
      </c>
      <c r="F74" s="60">
        <v>5.82</v>
      </c>
      <c r="G74" s="60">
        <v>68.36</v>
      </c>
      <c r="H74" s="60">
        <v>21.10</v>
      </c>
      <c r="I74" s="60">
        <v>8.2799999999999994</v>
      </c>
      <c r="J74" s="60">
        <v>0.28000000000000003</v>
      </c>
      <c r="K74" s="60">
        <v>235.53</v>
      </c>
      <c r="L74" s="60">
        <v>47.60</v>
      </c>
      <c r="M74" s="60">
        <v>44.03</v>
      </c>
      <c r="N74" s="60">
        <v>377.20</v>
      </c>
      <c r="O74" s="60">
        <v>0</v>
      </c>
      <c r="P74" s="60">
        <v>2.37</v>
      </c>
      <c r="Q74" s="60">
        <v>36.22</v>
      </c>
      <c r="R74" s="198"/>
      <c r="S74" s="198"/>
      <c r="T74" s="198"/>
      <c r="U74" s="198"/>
    </row>
    <row r="75" spans="1:21" s="12" customFormat="1" ht="15">
      <c r="A75" s="201" t="s">
        <v>1368</v>
      </c>
      <c r="B75" s="60">
        <v>0.33</v>
      </c>
      <c r="C75" s="60">
        <v>31.11</v>
      </c>
      <c r="D75" s="60">
        <v>31.44</v>
      </c>
      <c r="E75" s="60">
        <v>4.42</v>
      </c>
      <c r="F75" s="60">
        <v>6.44</v>
      </c>
      <c r="G75" s="60">
        <v>68.36</v>
      </c>
      <c r="H75" s="60">
        <v>21.10</v>
      </c>
      <c r="I75" s="60">
        <v>8.18</v>
      </c>
      <c r="J75" s="60">
        <v>0.11</v>
      </c>
      <c r="K75" s="60">
        <v>247.12</v>
      </c>
      <c r="L75" s="60">
        <v>48.53</v>
      </c>
      <c r="M75" s="60">
        <v>44.28</v>
      </c>
      <c r="N75" s="60">
        <v>128.80000000000001</v>
      </c>
      <c r="O75" s="60">
        <v>0</v>
      </c>
      <c r="P75" s="60">
        <v>2.33</v>
      </c>
      <c r="Q75" s="60">
        <v>37.75</v>
      </c>
      <c r="R75" s="198"/>
      <c r="S75" s="198"/>
      <c r="T75" s="198"/>
      <c r="U75" s="198"/>
    </row>
    <row r="76" spans="1:21" s="12" customFormat="1" ht="15">
      <c r="A76" s="201" t="s">
        <v>1369</v>
      </c>
      <c r="B76" s="60">
        <v>0.33</v>
      </c>
      <c r="C76" s="60">
        <v>29.42</v>
      </c>
      <c r="D76" s="60">
        <v>29.75</v>
      </c>
      <c r="E76" s="60">
        <v>4.53</v>
      </c>
      <c r="F76" s="60">
        <v>6.43</v>
      </c>
      <c r="G76" s="60">
        <v>63.16</v>
      </c>
      <c r="H76" s="60">
        <v>22.58</v>
      </c>
      <c r="I76" s="60">
        <v>8</v>
      </c>
      <c r="J76" s="60">
        <v>0.15</v>
      </c>
      <c r="K76" s="60">
        <v>227.66</v>
      </c>
      <c r="L76" s="60">
        <v>49.63</v>
      </c>
      <c r="M76" s="60">
        <v>43.72</v>
      </c>
      <c r="N76" s="60">
        <v>168.30</v>
      </c>
      <c r="O76" s="60">
        <v>0</v>
      </c>
      <c r="P76" s="60">
        <v>2.31</v>
      </c>
      <c r="Q76" s="60">
        <v>38.24</v>
      </c>
      <c r="R76" s="198"/>
      <c r="S76" s="198"/>
      <c r="T76" s="198"/>
      <c r="U76" s="198"/>
    </row>
    <row r="77" spans="1:21" s="12" customFormat="1" ht="15">
      <c r="A77" s="201" t="s">
        <v>1370</v>
      </c>
      <c r="B77" s="60">
        <v>0.41</v>
      </c>
      <c r="C77" s="60">
        <v>29.13</v>
      </c>
      <c r="D77" s="60">
        <v>29.54</v>
      </c>
      <c r="E77" s="60">
        <v>4.13</v>
      </c>
      <c r="F77" s="60">
        <v>6.24</v>
      </c>
      <c r="G77" s="60">
        <v>60.18</v>
      </c>
      <c r="H77" s="60">
        <v>23.66</v>
      </c>
      <c r="I77" s="60">
        <v>7.65</v>
      </c>
      <c r="J77" s="60">
        <v>0.48</v>
      </c>
      <c r="K77" s="60">
        <v>281.05</v>
      </c>
      <c r="L77" s="60">
        <v>48.87</v>
      </c>
      <c r="M77" s="60">
        <v>42.61</v>
      </c>
      <c r="N77" s="60">
        <v>56.60</v>
      </c>
      <c r="O77" s="60">
        <v>0</v>
      </c>
      <c r="P77" s="60">
        <v>2.2999999999999998</v>
      </c>
      <c r="Q77" s="60">
        <v>34.630000000000003</v>
      </c>
      <c r="R77" s="198"/>
      <c r="S77" s="198"/>
      <c r="T77" s="198"/>
      <c r="U77" s="198"/>
    </row>
    <row r="78" spans="1:21" s="12" customFormat="1" ht="15">
      <c r="A78" s="201" t="s">
        <v>1371</v>
      </c>
      <c r="B78" s="60">
        <v>0.60</v>
      </c>
      <c r="C78" s="60">
        <v>30.08</v>
      </c>
      <c r="D78" s="60">
        <v>30.68</v>
      </c>
      <c r="E78" s="60">
        <v>4.33</v>
      </c>
      <c r="F78" s="60">
        <v>5.19</v>
      </c>
      <c r="G78" s="60">
        <v>60.18</v>
      </c>
      <c r="H78" s="60">
        <v>23.66</v>
      </c>
      <c r="I78" s="60">
        <v>7.48</v>
      </c>
      <c r="J78" s="60">
        <v>0.85</v>
      </c>
      <c r="K78" s="60">
        <v>221.68</v>
      </c>
      <c r="L78" s="60">
        <v>50.59</v>
      </c>
      <c r="M78" s="60">
        <v>42.60</v>
      </c>
      <c r="N78" s="60">
        <v>52.5</v>
      </c>
      <c r="O78" s="60">
        <v>0</v>
      </c>
      <c r="P78" s="60">
        <v>2.29</v>
      </c>
      <c r="Q78" s="60">
        <v>33.450000000000003</v>
      </c>
      <c r="R78" s="198"/>
      <c r="S78" s="198"/>
      <c r="T78" s="198"/>
      <c r="U78" s="198"/>
    </row>
    <row r="79" spans="1:21" s="12" customFormat="1" ht="15">
      <c r="A79" s="201" t="s">
        <v>1372</v>
      </c>
      <c r="B79" s="60">
        <v>0.49</v>
      </c>
      <c r="C79" s="60">
        <v>30.19</v>
      </c>
      <c r="D79" s="60">
        <v>30.68</v>
      </c>
      <c r="E79" s="60">
        <v>4.6900000000000004</v>
      </c>
      <c r="F79" s="60">
        <v>4.97</v>
      </c>
      <c r="G79" s="60">
        <v>60.18</v>
      </c>
      <c r="H79" s="60">
        <v>23.66</v>
      </c>
      <c r="I79" s="60">
        <v>7.13</v>
      </c>
      <c r="J79" s="60">
        <v>0.77</v>
      </c>
      <c r="K79" s="60">
        <v>223.52</v>
      </c>
      <c r="L79" s="60">
        <v>50.36</v>
      </c>
      <c r="M79" s="60">
        <v>45.26</v>
      </c>
      <c r="N79" s="60">
        <v>39.10</v>
      </c>
      <c r="O79" s="60">
        <v>0</v>
      </c>
      <c r="P79" s="60">
        <v>2.2599999999999998</v>
      </c>
      <c r="Q79" s="60">
        <v>32.380000000000003</v>
      </c>
      <c r="R79" s="198"/>
      <c r="S79" s="198"/>
      <c r="T79" s="198"/>
      <c r="U79" s="198"/>
    </row>
    <row r="80" spans="1:21" s="12" customFormat="1" ht="15">
      <c r="A80" s="201" t="s">
        <v>1373</v>
      </c>
      <c r="B80" s="60">
        <v>0.40</v>
      </c>
      <c r="C80" s="60">
        <v>29.75</v>
      </c>
      <c r="D80" s="60">
        <v>30.16</v>
      </c>
      <c r="E80" s="60">
        <v>4.9000000000000004</v>
      </c>
      <c r="F80" s="60">
        <v>4.76</v>
      </c>
      <c r="G80" s="60">
        <v>56.55</v>
      </c>
      <c r="H80" s="60">
        <v>22.87</v>
      </c>
      <c r="I80" s="60">
        <v>6.95</v>
      </c>
      <c r="J80" s="60">
        <v>0.52</v>
      </c>
      <c r="K80" s="60">
        <v>258.33999999999997</v>
      </c>
      <c r="L80" s="60">
        <v>54.96</v>
      </c>
      <c r="M80" s="60">
        <v>46.91</v>
      </c>
      <c r="N80" s="60">
        <v>20.90</v>
      </c>
      <c r="O80" s="60">
        <v>0</v>
      </c>
      <c r="P80" s="60">
        <v>2.2599999999999998</v>
      </c>
      <c r="Q80" s="60">
        <v>31.75</v>
      </c>
      <c r="R80" s="198"/>
      <c r="S80" s="198"/>
      <c r="T80" s="198"/>
      <c r="U80" s="198"/>
    </row>
    <row r="81" spans="1:21" s="12" customFormat="1" ht="15">
      <c r="A81" s="201" t="s">
        <v>1374</v>
      </c>
      <c r="B81" s="60">
        <v>0.46</v>
      </c>
      <c r="C81" s="60">
        <v>29.15</v>
      </c>
      <c r="D81" s="60">
        <v>29.61</v>
      </c>
      <c r="E81" s="60">
        <v>5.01</v>
      </c>
      <c r="F81" s="60">
        <v>4.5</v>
      </c>
      <c r="G81" s="60">
        <v>55.5</v>
      </c>
      <c r="H81" s="60">
        <v>22.29</v>
      </c>
      <c r="I81" s="60">
        <v>6.78</v>
      </c>
      <c r="J81" s="60">
        <v>0.81</v>
      </c>
      <c r="K81" s="60">
        <v>305.93</v>
      </c>
      <c r="L81" s="60">
        <v>49.27</v>
      </c>
      <c r="M81" s="60">
        <v>50.01</v>
      </c>
      <c r="N81" s="60">
        <v>6.60</v>
      </c>
      <c r="O81" s="60">
        <v>0</v>
      </c>
      <c r="P81" s="60">
        <v>2.25</v>
      </c>
      <c r="Q81" s="60">
        <v>30.90</v>
      </c>
      <c r="R81" s="198"/>
      <c r="S81" s="198"/>
      <c r="T81" s="198"/>
      <c r="U81" s="198"/>
    </row>
    <row r="82" spans="1:21" s="12" customFormat="1" ht="15">
      <c r="A82" s="201" t="s">
        <v>1375</v>
      </c>
      <c r="B82" s="60">
        <v>0.67</v>
      </c>
      <c r="C82" s="60">
        <v>29.71</v>
      </c>
      <c r="D82" s="60">
        <v>30.38</v>
      </c>
      <c r="E82" s="60">
        <v>5.05</v>
      </c>
      <c r="F82" s="60">
        <v>3.78</v>
      </c>
      <c r="G82" s="60">
        <v>55.5</v>
      </c>
      <c r="H82" s="60">
        <v>22.29</v>
      </c>
      <c r="I82" s="60">
        <v>6.76</v>
      </c>
      <c r="J82" s="60">
        <v>0.77</v>
      </c>
      <c r="K82" s="60">
        <v>310.56</v>
      </c>
      <c r="L82" s="60">
        <v>47.53</v>
      </c>
      <c r="M82" s="60">
        <v>50.79</v>
      </c>
      <c r="N82" s="219" t="s">
        <v>36</v>
      </c>
      <c r="O82" s="60">
        <v>0</v>
      </c>
      <c r="P82" s="60">
        <v>2.25</v>
      </c>
      <c r="Q82" s="60">
        <v>30.67</v>
      </c>
      <c r="R82" s="198"/>
      <c r="S82" s="198"/>
      <c r="T82" s="198"/>
      <c r="U82" s="198"/>
    </row>
    <row r="83" spans="1:21" s="12" customFormat="1" ht="15">
      <c r="A83" s="201" t="s">
        <v>1376</v>
      </c>
      <c r="B83" s="60">
        <v>0.64</v>
      </c>
      <c r="C83" s="60">
        <v>29.81</v>
      </c>
      <c r="D83" s="60">
        <v>30.46</v>
      </c>
      <c r="E83" s="60">
        <v>4.79</v>
      </c>
      <c r="F83" s="60">
        <v>3.33</v>
      </c>
      <c r="G83" s="60">
        <v>55.5</v>
      </c>
      <c r="H83" s="60">
        <v>22.29</v>
      </c>
      <c r="I83" s="60">
        <v>6.63</v>
      </c>
      <c r="J83" s="60">
        <v>0.97</v>
      </c>
      <c r="K83" s="60">
        <v>242.22</v>
      </c>
      <c r="L83" s="60">
        <v>46.02</v>
      </c>
      <c r="M83" s="60">
        <v>47.49</v>
      </c>
      <c r="N83" s="219" t="s">
        <v>36</v>
      </c>
      <c r="O83" s="60">
        <v>0</v>
      </c>
      <c r="P83" s="60">
        <v>2.25</v>
      </c>
      <c r="Q83" s="60">
        <v>30.29</v>
      </c>
      <c r="R83" s="198"/>
      <c r="S83" s="198"/>
      <c r="T83" s="198"/>
      <c r="U83" s="198"/>
    </row>
    <row r="84" spans="1:21" s="12" customFormat="1" ht="15">
      <c r="A84" s="201" t="s">
        <v>1377</v>
      </c>
      <c r="B84" s="60">
        <v>0.57999999999999996</v>
      </c>
      <c r="C84" s="60">
        <v>30.31</v>
      </c>
      <c r="D84" s="60">
        <v>30.89</v>
      </c>
      <c r="E84" s="60">
        <v>2.94</v>
      </c>
      <c r="F84" s="60">
        <v>2.95</v>
      </c>
      <c r="G84" s="60">
        <v>55.65</v>
      </c>
      <c r="H84" s="60">
        <v>19.93</v>
      </c>
      <c r="I84" s="60">
        <v>6.54</v>
      </c>
      <c r="J84" s="60">
        <v>0.89</v>
      </c>
      <c r="K84" s="60">
        <v>273.52</v>
      </c>
      <c r="L84" s="60">
        <v>48.70</v>
      </c>
      <c r="M84" s="60">
        <v>52.46</v>
      </c>
      <c r="N84" s="219" t="s">
        <v>36</v>
      </c>
      <c r="O84" s="60">
        <v>0</v>
      </c>
      <c r="P84" s="60">
        <v>2.23</v>
      </c>
      <c r="Q84" s="60">
        <v>29.66</v>
      </c>
      <c r="R84" s="198"/>
      <c r="S84" s="198"/>
      <c r="T84" s="198"/>
      <c r="U84" s="198"/>
    </row>
    <row r="85" spans="1:21" s="12" customFormat="1" ht="15">
      <c r="A85" s="201" t="s">
        <v>1378</v>
      </c>
      <c r="B85" s="60">
        <v>0.60</v>
      </c>
      <c r="C85" s="60">
        <v>32.97</v>
      </c>
      <c r="D85" s="60">
        <v>33.57</v>
      </c>
      <c r="E85" s="60">
        <v>5.31</v>
      </c>
      <c r="F85" s="60">
        <v>2.4300000000000002</v>
      </c>
      <c r="G85" s="60">
        <v>55.69</v>
      </c>
      <c r="H85" s="60">
        <v>18.20</v>
      </c>
      <c r="I85" s="60">
        <v>6.38</v>
      </c>
      <c r="J85" s="60">
        <v>1.26</v>
      </c>
      <c r="K85" s="60">
        <v>244.61</v>
      </c>
      <c r="L85" s="60">
        <v>47.34</v>
      </c>
      <c r="M85" s="60">
        <v>51.10</v>
      </c>
      <c r="N85" s="219" t="s">
        <v>36</v>
      </c>
      <c r="O85" s="60">
        <v>0</v>
      </c>
      <c r="P85" s="60">
        <v>2.2400000000000002</v>
      </c>
      <c r="Q85" s="60">
        <v>29.10</v>
      </c>
      <c r="R85" s="198"/>
      <c r="S85" s="198"/>
      <c r="T85" s="198"/>
      <c r="U85" s="198"/>
    </row>
    <row r="86" spans="1:21" s="12" customFormat="1" ht="15">
      <c r="A86" s="201" t="s">
        <v>1379</v>
      </c>
      <c r="B86" s="60">
        <v>0.74</v>
      </c>
      <c r="C86" s="60">
        <v>33.56</v>
      </c>
      <c r="D86" s="60">
        <v>34.29</v>
      </c>
      <c r="E86" s="60">
        <v>5.48</v>
      </c>
      <c r="F86" s="60">
        <v>1.90</v>
      </c>
      <c r="G86" s="60">
        <v>55.69</v>
      </c>
      <c r="H86" s="60">
        <v>18.20</v>
      </c>
      <c r="I86" s="60">
        <v>6.26</v>
      </c>
      <c r="J86" s="60">
        <v>1.29</v>
      </c>
      <c r="K86" s="60">
        <v>234.46</v>
      </c>
      <c r="L86" s="60">
        <v>47.30</v>
      </c>
      <c r="M86" s="60">
        <v>48.73</v>
      </c>
      <c r="N86" s="219" t="s">
        <v>36</v>
      </c>
      <c r="O86" s="60">
        <v>0</v>
      </c>
      <c r="P86" s="60">
        <v>2.25</v>
      </c>
      <c r="Q86" s="60">
        <v>31.08</v>
      </c>
      <c r="R86" s="198"/>
      <c r="S86" s="198"/>
      <c r="T86" s="198"/>
      <c r="U86" s="198"/>
    </row>
    <row r="87" spans="1:21" s="12" customFormat="1" ht="15">
      <c r="A87" s="201" t="s">
        <v>1380</v>
      </c>
      <c r="B87" s="60">
        <v>1.0900000000000001</v>
      </c>
      <c r="C87" s="60">
        <v>34.21</v>
      </c>
      <c r="D87" s="60">
        <v>35.299999999999997</v>
      </c>
      <c r="E87" s="60">
        <v>5.72</v>
      </c>
      <c r="F87" s="60">
        <v>1.63</v>
      </c>
      <c r="G87" s="60">
        <v>55.69</v>
      </c>
      <c r="H87" s="60">
        <v>18.20</v>
      </c>
      <c r="I87" s="60">
        <v>6.26</v>
      </c>
      <c r="J87" s="60">
        <v>0.96</v>
      </c>
      <c r="K87" s="60">
        <v>318.36</v>
      </c>
      <c r="L87" s="60">
        <v>45.79</v>
      </c>
      <c r="M87" s="60">
        <v>50.83</v>
      </c>
      <c r="N87" s="219" t="s">
        <v>36</v>
      </c>
      <c r="O87" s="60">
        <v>0</v>
      </c>
      <c r="P87" s="60">
        <v>2.31</v>
      </c>
      <c r="Q87" s="60">
        <v>34.950000000000003</v>
      </c>
      <c r="R87" s="198"/>
      <c r="S87" s="198"/>
      <c r="T87" s="198"/>
      <c r="U87" s="198"/>
    </row>
    <row r="88" spans="1:21" s="12" customFormat="1" ht="15">
      <c r="A88" s="201" t="s">
        <v>1381</v>
      </c>
      <c r="B88" s="60">
        <v>2.5299999999999998</v>
      </c>
      <c r="C88" s="60">
        <v>35.90</v>
      </c>
      <c r="D88" s="60">
        <v>38.43</v>
      </c>
      <c r="E88" s="60">
        <v>6.04</v>
      </c>
      <c r="F88" s="60">
        <v>1.1299999999999999</v>
      </c>
      <c r="G88" s="60">
        <v>63.17</v>
      </c>
      <c r="H88" s="60">
        <v>21.74</v>
      </c>
      <c r="I88" s="60">
        <v>6.40</v>
      </c>
      <c r="J88" s="60">
        <v>1.21</v>
      </c>
      <c r="K88" s="60">
        <v>311.49</v>
      </c>
      <c r="L88" s="60">
        <v>47.29</v>
      </c>
      <c r="M88" s="60">
        <v>53.56</v>
      </c>
      <c r="N88" s="219" t="s">
        <v>36</v>
      </c>
      <c r="O88" s="60">
        <v>0</v>
      </c>
      <c r="P88" s="60">
        <v>2.4300000000000002</v>
      </c>
      <c r="Q88" s="60">
        <v>37.92</v>
      </c>
      <c r="R88" s="198"/>
      <c r="S88" s="198"/>
      <c r="T88" s="198"/>
      <c r="U88" s="198"/>
    </row>
    <row r="89" spans="1:21" s="12" customFormat="1" ht="15">
      <c r="A89" s="201" t="s">
        <v>1382</v>
      </c>
      <c r="B89" s="60">
        <v>4.5599999999999996</v>
      </c>
      <c r="C89" s="60">
        <v>37.340000000000003</v>
      </c>
      <c r="D89" s="60">
        <v>41.89</v>
      </c>
      <c r="E89" s="60">
        <v>6.25</v>
      </c>
      <c r="F89" s="60">
        <v>0.68</v>
      </c>
      <c r="G89" s="60">
        <v>65.37</v>
      </c>
      <c r="H89" s="60">
        <v>24.33</v>
      </c>
      <c r="I89" s="60">
        <v>6.64</v>
      </c>
      <c r="J89" s="60">
        <v>1.66</v>
      </c>
      <c r="K89" s="60">
        <v>335.21</v>
      </c>
      <c r="L89" s="60">
        <v>46.71</v>
      </c>
      <c r="M89" s="60">
        <v>58.81</v>
      </c>
      <c r="N89" s="219" t="s">
        <v>36</v>
      </c>
      <c r="O89" s="60">
        <v>0</v>
      </c>
      <c r="P89" s="60">
        <v>2.54</v>
      </c>
      <c r="Q89" s="60">
        <v>40.46</v>
      </c>
      <c r="R89" s="198"/>
      <c r="S89" s="198"/>
      <c r="T89" s="198"/>
      <c r="U89" s="198"/>
    </row>
    <row r="90" spans="1:21" s="12" customFormat="1" ht="15">
      <c r="A90" s="201" t="s">
        <v>1383</v>
      </c>
      <c r="B90" s="60">
        <v>7.01</v>
      </c>
      <c r="C90" s="60">
        <v>38.31</v>
      </c>
      <c r="D90" s="60">
        <v>45.32</v>
      </c>
      <c r="E90" s="60">
        <v>6.40</v>
      </c>
      <c r="F90" s="60">
        <v>0.60</v>
      </c>
      <c r="G90" s="60">
        <v>65.37</v>
      </c>
      <c r="H90" s="60">
        <v>24.33</v>
      </c>
      <c r="I90" s="60">
        <v>7.16</v>
      </c>
      <c r="J90" s="60">
        <v>1.46</v>
      </c>
      <c r="K90" s="60">
        <v>333.30</v>
      </c>
      <c r="L90" s="60">
        <v>45.55</v>
      </c>
      <c r="M90" s="60">
        <v>58.12</v>
      </c>
      <c r="N90" s="219" t="s">
        <v>36</v>
      </c>
      <c r="O90" s="60">
        <v>0</v>
      </c>
      <c r="P90" s="60">
        <v>2.66</v>
      </c>
      <c r="Q90" s="60">
        <v>42.59</v>
      </c>
      <c r="R90" s="198"/>
      <c r="S90" s="198"/>
      <c r="T90" s="198"/>
      <c r="U90" s="198"/>
    </row>
    <row r="91" spans="1:21" s="12" customFormat="1" ht="15">
      <c r="A91" s="201" t="s">
        <v>1384</v>
      </c>
      <c r="B91" s="60">
        <v>8.56</v>
      </c>
      <c r="C91" s="60">
        <v>39.200000000000003</v>
      </c>
      <c r="D91" s="60">
        <v>47.76</v>
      </c>
      <c r="E91" s="60">
        <v>7.06</v>
      </c>
      <c r="F91" s="60">
        <v>0.61</v>
      </c>
      <c r="G91" s="60">
        <v>65.37</v>
      </c>
      <c r="H91" s="60">
        <v>24.33</v>
      </c>
      <c r="I91" s="60">
        <v>7.66</v>
      </c>
      <c r="J91" s="60">
        <v>0.28999999999999998</v>
      </c>
      <c r="K91" s="60">
        <v>233.21</v>
      </c>
      <c r="L91" s="60">
        <v>47.33</v>
      </c>
      <c r="M91" s="60">
        <v>56.03</v>
      </c>
      <c r="N91" s="219" t="s">
        <v>36</v>
      </c>
      <c r="O91" s="60">
        <v>0</v>
      </c>
      <c r="P91" s="60">
        <v>2.74</v>
      </c>
      <c r="Q91" s="60">
        <v>43.55</v>
      </c>
      <c r="R91" s="198"/>
      <c r="S91" s="198"/>
      <c r="T91" s="198"/>
      <c r="U91" s="198"/>
    </row>
    <row r="92" spans="1:21" s="12" customFormat="1" ht="15">
      <c r="A92" s="201" t="s">
        <v>1385</v>
      </c>
      <c r="B92" s="60">
        <v>10.35</v>
      </c>
      <c r="C92" s="60">
        <v>40.78</v>
      </c>
      <c r="D92" s="60">
        <v>51.13</v>
      </c>
      <c r="E92" s="60">
        <v>7.56</v>
      </c>
      <c r="F92" s="60">
        <v>0.28000000000000003</v>
      </c>
      <c r="G92" s="60">
        <v>86.68</v>
      </c>
      <c r="H92" s="60">
        <v>27</v>
      </c>
      <c r="I92" s="60">
        <v>8.08</v>
      </c>
      <c r="J92" s="60">
        <v>1.35</v>
      </c>
      <c r="K92" s="60">
        <v>312.08999999999997</v>
      </c>
      <c r="L92" s="60">
        <v>43.44</v>
      </c>
      <c r="M92" s="60">
        <v>57.20</v>
      </c>
      <c r="N92" s="219" t="s">
        <v>36</v>
      </c>
      <c r="O92" s="60">
        <v>0</v>
      </c>
      <c r="P92" s="60">
        <v>2.86</v>
      </c>
      <c r="Q92" s="60">
        <v>44.41</v>
      </c>
      <c r="R92" s="198"/>
      <c r="S92" s="198"/>
      <c r="T92" s="198"/>
      <c r="U92" s="198"/>
    </row>
    <row r="93" spans="1:21" s="12" customFormat="1" ht="15">
      <c r="A93" s="201" t="s">
        <v>1386</v>
      </c>
      <c r="B93" s="60">
        <v>14.35</v>
      </c>
      <c r="C93" s="60">
        <v>40.299999999999997</v>
      </c>
      <c r="D93" s="60">
        <v>54.64</v>
      </c>
      <c r="E93" s="60">
        <v>7.48</v>
      </c>
      <c r="F93" s="60">
        <v>0.81</v>
      </c>
      <c r="G93" s="60">
        <v>92.83</v>
      </c>
      <c r="H93" s="60">
        <v>28.95</v>
      </c>
      <c r="I93" s="60">
        <v>8.43</v>
      </c>
      <c r="J93" s="60">
        <v>0.45</v>
      </c>
      <c r="K93" s="60">
        <v>178.94</v>
      </c>
      <c r="L93" s="60">
        <v>42.18</v>
      </c>
      <c r="M93" s="60">
        <v>56.98</v>
      </c>
      <c r="N93" s="219" t="s">
        <v>36</v>
      </c>
      <c r="O93" s="60">
        <v>0</v>
      </c>
      <c r="P93" s="60">
        <v>3.02</v>
      </c>
      <c r="Q93" s="60">
        <v>51.17</v>
      </c>
      <c r="R93" s="198"/>
      <c r="S93" s="198"/>
      <c r="T93" s="198"/>
      <c r="U93" s="198"/>
    </row>
    <row r="94" spans="1:21" s="12" customFormat="1" ht="15">
      <c r="A94" s="201" t="s">
        <v>1387</v>
      </c>
      <c r="B94" s="60">
        <v>16.54</v>
      </c>
      <c r="C94" s="60">
        <v>40.81</v>
      </c>
      <c r="D94" s="60">
        <v>57.35</v>
      </c>
      <c r="E94" s="60">
        <v>7.5</v>
      </c>
      <c r="F94" s="60">
        <v>0.93</v>
      </c>
      <c r="G94" s="60">
        <v>92.83</v>
      </c>
      <c r="H94" s="60">
        <v>28.95</v>
      </c>
      <c r="I94" s="60">
        <v>8.86</v>
      </c>
      <c r="J94" s="60">
        <v>1.47</v>
      </c>
      <c r="K94" s="60">
        <v>251.49</v>
      </c>
      <c r="L94" s="60">
        <v>43.68</v>
      </c>
      <c r="M94" s="60">
        <v>55.35</v>
      </c>
      <c r="N94" s="219" t="s">
        <v>36</v>
      </c>
      <c r="O94" s="60">
        <v>0</v>
      </c>
      <c r="P94" s="60">
        <v>3.12</v>
      </c>
      <c r="Q94" s="60">
        <v>51.40</v>
      </c>
      <c r="R94" s="198"/>
      <c r="S94" s="198"/>
      <c r="T94" s="198"/>
      <c r="U94" s="198"/>
    </row>
    <row r="95" spans="1:21" s="12" customFormat="1" ht="15">
      <c r="A95" s="201" t="s">
        <v>1388</v>
      </c>
      <c r="B95" s="60">
        <v>17.47</v>
      </c>
      <c r="C95" s="60">
        <v>41.60</v>
      </c>
      <c r="D95" s="60">
        <v>59.08</v>
      </c>
      <c r="E95" s="60">
        <v>7.61</v>
      </c>
      <c r="F95" s="60">
        <v>0.89</v>
      </c>
      <c r="G95" s="60">
        <v>92.83</v>
      </c>
      <c r="H95" s="60">
        <v>28.95</v>
      </c>
      <c r="I95" s="60">
        <v>9.43</v>
      </c>
      <c r="J95" s="60">
        <v>1.18</v>
      </c>
      <c r="K95" s="60">
        <v>216.84</v>
      </c>
      <c r="L95" s="60">
        <v>44.78</v>
      </c>
      <c r="M95" s="60">
        <v>57.66</v>
      </c>
      <c r="N95" s="219" t="s">
        <v>36</v>
      </c>
      <c r="O95" s="60">
        <v>0</v>
      </c>
      <c r="P95" s="60">
        <v>3.20</v>
      </c>
      <c r="Q95" s="60">
        <v>48.47</v>
      </c>
      <c r="R95" s="198"/>
      <c r="S95" s="198"/>
      <c r="T95" s="198"/>
      <c r="U95" s="198"/>
    </row>
    <row r="96" spans="1:26" s="12" customFormat="1" ht="15">
      <c r="A96" s="201" t="s">
        <v>1389</v>
      </c>
      <c r="B96" s="60">
        <v>18.22</v>
      </c>
      <c r="C96" s="60">
        <v>42.09</v>
      </c>
      <c r="D96" s="60">
        <v>60.31</v>
      </c>
      <c r="E96" s="60">
        <v>7.43</v>
      </c>
      <c r="F96" s="60">
        <v>0.67</v>
      </c>
      <c r="G96" s="60">
        <v>107.72</v>
      </c>
      <c r="H96" s="60">
        <v>29.14</v>
      </c>
      <c r="I96" s="60">
        <v>9.92</v>
      </c>
      <c r="J96" s="60">
        <v>1.83</v>
      </c>
      <c r="K96" s="60">
        <v>221.62</v>
      </c>
      <c r="L96" s="60">
        <v>46.35</v>
      </c>
      <c r="M96" s="60">
        <v>60.20</v>
      </c>
      <c r="N96" s="219" t="s">
        <v>36</v>
      </c>
      <c r="O96" s="60">
        <v>0</v>
      </c>
      <c r="P96" s="60">
        <v>3.19</v>
      </c>
      <c r="Q96" s="60">
        <v>45.92</v>
      </c>
      <c r="R96" s="198"/>
      <c r="S96" s="198"/>
      <c r="T96" s="198"/>
      <c r="U96" s="198"/>
      <c r="Z96" s="109"/>
    </row>
    <row r="97" spans="1:21" s="12" customFormat="1" ht="15">
      <c r="A97" s="201" t="s">
        <v>1390</v>
      </c>
      <c r="B97" s="60">
        <v>16.579999999999998</v>
      </c>
      <c r="C97" s="60">
        <v>41.60</v>
      </c>
      <c r="D97" s="60">
        <v>58.18</v>
      </c>
      <c r="E97" s="60">
        <v>7.25</v>
      </c>
      <c r="F97" s="60">
        <v>0.43</v>
      </c>
      <c r="G97" s="60">
        <v>112.10</v>
      </c>
      <c r="H97" s="60">
        <v>29.27</v>
      </c>
      <c r="I97" s="60">
        <v>10.29</v>
      </c>
      <c r="J97" s="60">
        <v>1.78</v>
      </c>
      <c r="K97" s="60">
        <v>226.14</v>
      </c>
      <c r="L97" s="60">
        <v>45.42</v>
      </c>
      <c r="M97" s="60">
        <v>61.83</v>
      </c>
      <c r="N97" s="219" t="s">
        <v>36</v>
      </c>
      <c r="O97" s="60">
        <v>0</v>
      </c>
      <c r="P97" s="60">
        <v>3.12</v>
      </c>
      <c r="Q97" s="60">
        <v>43.24</v>
      </c>
      <c r="R97" s="198"/>
      <c r="S97" s="198"/>
      <c r="T97" s="198"/>
      <c r="U97" s="198"/>
    </row>
    <row r="98" spans="1:21" s="12" customFormat="1" ht="15">
      <c r="A98" s="201" t="s">
        <v>1391</v>
      </c>
      <c r="B98" s="60">
        <v>14.64</v>
      </c>
      <c r="C98" s="60">
        <v>40.89</v>
      </c>
      <c r="D98" s="60">
        <v>55.54</v>
      </c>
      <c r="E98" s="60">
        <v>7.30</v>
      </c>
      <c r="F98" s="60">
        <v>0.41</v>
      </c>
      <c r="G98" s="60">
        <v>112.10</v>
      </c>
      <c r="H98" s="60">
        <v>29.27</v>
      </c>
      <c r="I98" s="60">
        <v>10.34</v>
      </c>
      <c r="J98" s="60">
        <v>1.1000000000000001</v>
      </c>
      <c r="K98" s="60">
        <v>231.51</v>
      </c>
      <c r="L98" s="60">
        <v>45.20</v>
      </c>
      <c r="M98" s="60">
        <v>61.65</v>
      </c>
      <c r="N98" s="219" t="s">
        <v>36</v>
      </c>
      <c r="O98" s="60">
        <v>0</v>
      </c>
      <c r="P98" s="60">
        <v>3.05</v>
      </c>
      <c r="Q98" s="60">
        <v>41.71</v>
      </c>
      <c r="R98" s="198"/>
      <c r="S98" s="198"/>
      <c r="T98" s="198"/>
      <c r="U98" s="198"/>
    </row>
    <row r="99" spans="1:21" s="12" customFormat="1" ht="15">
      <c r="A99" s="201" t="s">
        <v>1392</v>
      </c>
      <c r="B99" s="60">
        <v>13.32</v>
      </c>
      <c r="C99" s="60">
        <v>40.17</v>
      </c>
      <c r="D99" s="60">
        <v>53.49</v>
      </c>
      <c r="E99" s="60">
        <v>6.78</v>
      </c>
      <c r="F99" s="60">
        <v>0.70</v>
      </c>
      <c r="G99" s="60">
        <v>112.10</v>
      </c>
      <c r="H99" s="60">
        <v>29.27</v>
      </c>
      <c r="I99" s="60">
        <v>10.15</v>
      </c>
      <c r="J99" s="60">
        <v>0.78</v>
      </c>
      <c r="K99" s="60">
        <v>340.85</v>
      </c>
      <c r="L99" s="60">
        <v>43.45</v>
      </c>
      <c r="M99" s="60">
        <v>63.32</v>
      </c>
      <c r="N99" s="219" t="s">
        <v>36</v>
      </c>
      <c r="O99" s="60">
        <v>0</v>
      </c>
      <c r="P99" s="60">
        <v>3.01</v>
      </c>
      <c r="Q99" s="60">
        <v>40.43</v>
      </c>
      <c r="R99" s="198"/>
      <c r="S99" s="198"/>
      <c r="T99" s="198"/>
      <c r="U99" s="198"/>
    </row>
    <row r="100" spans="1:33" s="12" customFormat="1" ht="15">
      <c r="A100" s="201" t="s">
        <v>1393</v>
      </c>
      <c r="B100" s="60">
        <v>12.78</v>
      </c>
      <c r="C100" s="60">
        <v>39.82</v>
      </c>
      <c r="D100" s="60">
        <v>52.59</v>
      </c>
      <c r="E100" s="60">
        <v>3.14</v>
      </c>
      <c r="F100" s="60">
        <v>0.57999999999999996</v>
      </c>
      <c r="G100" s="60">
        <v>115.43</v>
      </c>
      <c r="H100" s="60">
        <v>33.39</v>
      </c>
      <c r="I100" s="60">
        <v>9.8800000000000008</v>
      </c>
      <c r="J100" s="60">
        <v>0.93</v>
      </c>
      <c r="K100" s="60">
        <v>201.78</v>
      </c>
      <c r="L100" s="60">
        <v>45.53</v>
      </c>
      <c r="M100" s="60">
        <v>61</v>
      </c>
      <c r="N100" s="219" t="s">
        <v>36</v>
      </c>
      <c r="O100" s="60">
        <v>0</v>
      </c>
      <c r="P100" s="60">
        <v>2.99</v>
      </c>
      <c r="Q100" s="60">
        <v>39.299999999999997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1394</v>
      </c>
      <c r="B101" s="60">
        <v>11.10</v>
      </c>
      <c r="C101" s="60">
        <v>38.58</v>
      </c>
      <c r="D101" s="60">
        <v>49.68</v>
      </c>
      <c r="E101" s="60">
        <v>5.71</v>
      </c>
      <c r="F101" s="60">
        <v>0.52</v>
      </c>
      <c r="G101" s="60">
        <v>117.15</v>
      </c>
      <c r="H101" s="60">
        <v>36.40</v>
      </c>
      <c r="I101" s="60">
        <v>9.7100000000000009</v>
      </c>
      <c r="J101" s="60">
        <v>1.72</v>
      </c>
      <c r="K101" s="60">
        <v>188</v>
      </c>
      <c r="L101" s="60">
        <v>43.21</v>
      </c>
      <c r="M101" s="60">
        <v>63.89</v>
      </c>
      <c r="N101" s="219" t="s">
        <v>36</v>
      </c>
      <c r="O101" s="60">
        <v>0</v>
      </c>
      <c r="P101" s="60">
        <v>2.91</v>
      </c>
      <c r="Q101" s="60">
        <v>37.200000000000003</v>
      </c>
      <c r="R101" s="198"/>
      <c r="S101" s="198"/>
      <c r="T101" s="198"/>
      <c r="U101" s="198"/>
    </row>
    <row r="102" spans="1:21" s="12" customFormat="1" ht="15">
      <c r="A102" s="201" t="s">
        <v>1395</v>
      </c>
      <c r="B102" s="60">
        <v>9.7899999999999991</v>
      </c>
      <c r="C102" s="60">
        <v>38.270000000000003</v>
      </c>
      <c r="D102" s="60">
        <v>48.06</v>
      </c>
      <c r="E102" s="60">
        <v>6.03</v>
      </c>
      <c r="F102" s="60">
        <v>0.54</v>
      </c>
      <c r="G102" s="60">
        <v>117.15</v>
      </c>
      <c r="H102" s="60">
        <v>36.40</v>
      </c>
      <c r="I102" s="60">
        <v>9.51</v>
      </c>
      <c r="J102" s="60">
        <v>1.51</v>
      </c>
      <c r="K102" s="60">
        <v>218.37</v>
      </c>
      <c r="L102" s="60">
        <v>42.75</v>
      </c>
      <c r="M102" s="60">
        <v>65.5</v>
      </c>
      <c r="N102" s="219" t="s">
        <v>36</v>
      </c>
      <c r="O102" s="60">
        <v>0</v>
      </c>
      <c r="P102" s="60">
        <v>2.83</v>
      </c>
      <c r="Q102" s="60">
        <v>36.700000000000003</v>
      </c>
      <c r="R102" s="198"/>
      <c r="S102" s="198"/>
      <c r="T102" s="198"/>
      <c r="U102" s="198"/>
    </row>
    <row r="103" spans="1:21" s="12" customFormat="1" ht="15">
      <c r="A103" s="201" t="s">
        <v>1396</v>
      </c>
      <c r="B103" s="60">
        <v>9.06</v>
      </c>
      <c r="C103" s="60">
        <v>36.51</v>
      </c>
      <c r="D103" s="60">
        <v>45.58</v>
      </c>
      <c r="E103" s="60">
        <v>6.19</v>
      </c>
      <c r="F103" s="60">
        <v>0.70</v>
      </c>
      <c r="G103" s="60">
        <v>117.15</v>
      </c>
      <c r="H103" s="60">
        <v>36.40</v>
      </c>
      <c r="I103" s="60">
        <v>9.19</v>
      </c>
      <c r="J103" s="60">
        <v>1.21</v>
      </c>
      <c r="K103" s="60">
        <v>217.31</v>
      </c>
      <c r="L103" s="60">
        <v>41.38</v>
      </c>
      <c r="M103" s="60">
        <v>65.47</v>
      </c>
      <c r="N103" s="219" t="s">
        <v>36</v>
      </c>
      <c r="O103" s="60">
        <v>0</v>
      </c>
      <c r="P103" s="60">
        <v>2.78</v>
      </c>
      <c r="Q103" s="60">
        <v>36.25</v>
      </c>
      <c r="R103" s="198"/>
      <c r="S103" s="198"/>
      <c r="T103" s="198"/>
      <c r="U103" s="198"/>
    </row>
    <row r="104" spans="1:21" s="12" customFormat="1" ht="15">
      <c r="A104" s="201" t="s">
        <v>1397</v>
      </c>
      <c r="B104" s="60">
        <v>8.44</v>
      </c>
      <c r="C104" s="60">
        <v>34.94</v>
      </c>
      <c r="D104" s="60">
        <v>43.38</v>
      </c>
      <c r="E104" s="60">
        <v>6.45</v>
      </c>
      <c r="F104" s="60">
        <v>0.55000000000000004</v>
      </c>
      <c r="G104" s="60">
        <v>102.20</v>
      </c>
      <c r="H104" s="60">
        <v>37.799999999999997</v>
      </c>
      <c r="I104" s="60">
        <v>8.92</v>
      </c>
      <c r="J104" s="60">
        <v>1.37</v>
      </c>
      <c r="K104" s="60">
        <v>195.44</v>
      </c>
      <c r="L104" s="60">
        <v>45.38</v>
      </c>
      <c r="M104" s="60">
        <v>64.5</v>
      </c>
      <c r="N104" s="219" t="s">
        <v>36</v>
      </c>
      <c r="O104" s="60">
        <v>0</v>
      </c>
      <c r="P104" s="60">
        <v>2.74</v>
      </c>
      <c r="Q104" s="60">
        <v>34.92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0.12</v>
      </c>
      <c r="C106" s="67">
        <f>MIN(C9:C104)</f>
        <v>16.93</v>
      </c>
      <c r="D106" s="67">
        <f t="shared" si="0" ref="D106:Q106">MIN(D9:D104)</f>
        <v>17.059999999999999</v>
      </c>
      <c r="E106" s="67">
        <f t="shared" si="0"/>
        <v>2.3900000000000001</v>
      </c>
      <c r="F106" s="67">
        <f t="shared" si="0"/>
        <v>0.28000000000000003</v>
      </c>
      <c r="G106" s="67">
        <f t="shared" si="0"/>
        <v>19.09</v>
      </c>
      <c r="H106" s="67">
        <f t="shared" si="0"/>
        <v>10.94</v>
      </c>
      <c r="I106" s="67">
        <f t="shared" si="0"/>
        <v>2.2599999999999998</v>
      </c>
      <c r="J106" s="67">
        <f t="shared" si="0"/>
        <v>0.059999999999999998</v>
      </c>
      <c r="K106" s="67">
        <f t="shared" si="0"/>
        <v>2.71</v>
      </c>
      <c r="L106" s="67">
        <f t="shared" si="0"/>
        <v>34.229999999999997</v>
      </c>
      <c r="M106" s="67">
        <f t="shared" si="0"/>
        <v>42.219999999999999</v>
      </c>
      <c r="N106" s="67">
        <f t="shared" si="0"/>
        <v>0.40000000000000002</v>
      </c>
      <c r="O106" s="67">
        <f t="shared" si="0"/>
        <v>0</v>
      </c>
      <c r="P106" s="67">
        <f t="shared" si="0"/>
        <v>1.6799999999999999</v>
      </c>
      <c r="Q106" s="67">
        <f t="shared" si="0"/>
        <v>29.100000000000001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18.219999999999999</v>
      </c>
      <c r="C107" s="66">
        <f t="shared" si="1" ref="C107:Q107">MAX(C9:C104)</f>
        <v>42.090000000000003</v>
      </c>
      <c r="D107" s="66">
        <f t="shared" si="1"/>
        <v>60.310000000000002</v>
      </c>
      <c r="E107" s="66">
        <f t="shared" si="1"/>
        <v>8.75</v>
      </c>
      <c r="F107" s="66">
        <f t="shared" si="1"/>
        <v>7.5599999999999996</v>
      </c>
      <c r="G107" s="66">
        <f t="shared" si="1"/>
        <v>117.15000000000001</v>
      </c>
      <c r="H107" s="66">
        <f t="shared" si="1"/>
        <v>37.799999999999997</v>
      </c>
      <c r="I107" s="66">
        <f t="shared" si="1"/>
        <v>10.34</v>
      </c>
      <c r="J107" s="66">
        <f t="shared" si="1"/>
        <v>3.2000000000000002</v>
      </c>
      <c r="K107" s="66">
        <f t="shared" si="1"/>
        <v>359.30000000000001</v>
      </c>
      <c r="L107" s="66">
        <f t="shared" si="1"/>
        <v>54.960000000000001</v>
      </c>
      <c r="M107" s="66">
        <f t="shared" si="1"/>
        <v>85.090000000000003</v>
      </c>
      <c r="N107" s="66">
        <f t="shared" si="1"/>
        <v>992.5</v>
      </c>
      <c r="O107" s="66">
        <f t="shared" si="1"/>
        <v>0</v>
      </c>
      <c r="P107" s="66">
        <f t="shared" si="1"/>
        <v>3.2000000000000002</v>
      </c>
      <c r="Q107" s="66">
        <f t="shared" si="1"/>
        <v>61.909999999999997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3.2531249999999994</v>
      </c>
      <c r="C108" s="67">
        <f t="shared" si="2" ref="C108:Q108">AVERAGE(C9:C104)</f>
        <v>29.060520833333342</v>
      </c>
      <c r="D108" s="67">
        <f t="shared" si="2"/>
        <v>32.312499999999993</v>
      </c>
      <c r="E108" s="67">
        <f t="shared" si="2"/>
        <v>5.4805208333333342</v>
      </c>
      <c r="F108" s="67">
        <f t="shared" si="2"/>
        <v>2.5797916666666669</v>
      </c>
      <c r="G108" s="67">
        <f t="shared" si="2"/>
        <v>56.422083333333326</v>
      </c>
      <c r="H108" s="67">
        <f t="shared" si="2"/>
        <v>21.042500000000004</v>
      </c>
      <c r="I108" s="67">
        <f t="shared" si="2"/>
        <v>6.1015625000000009</v>
      </c>
      <c r="J108" s="67">
        <f t="shared" si="2"/>
        <v>1.0232291666666666</v>
      </c>
      <c r="K108" s="67">
        <f t="shared" si="2"/>
        <v>250.93687499999996</v>
      </c>
      <c r="L108" s="67">
        <f t="shared" si="2"/>
        <v>41.8596875</v>
      </c>
      <c r="M108" s="67">
        <f t="shared" si="2"/>
        <v>64.225312499999987</v>
      </c>
      <c r="N108" s="67">
        <f t="shared" si="2"/>
        <v>291.82608695652175</v>
      </c>
      <c r="O108" s="67">
        <f t="shared" si="2"/>
        <v>0</v>
      </c>
      <c r="P108" s="67">
        <f t="shared" si="2"/>
        <v>2.2620833333333343</v>
      </c>
      <c r="Q108" s="67">
        <f t="shared" si="2"/>
        <v>44.386354166666649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4.4553745929111157</v>
      </c>
      <c r="C109" s="67">
        <f t="shared" si="3" ref="C109:Q109">STDEV(C9:C104)</f>
        <v>7.0154310172259269</v>
      </c>
      <c r="D109" s="67">
        <f t="shared" si="3"/>
        <v>10.460649471635195</v>
      </c>
      <c r="E109" s="67">
        <f t="shared" si="3"/>
        <v>1.0904063653825002</v>
      </c>
      <c r="F109" s="67">
        <f t="shared" si="3"/>
        <v>2.138054196135831</v>
      </c>
      <c r="G109" s="67">
        <f t="shared" si="3"/>
        <v>26.210663636115996</v>
      </c>
      <c r="H109" s="67">
        <f t="shared" si="3"/>
        <v>6.0172955981727698</v>
      </c>
      <c r="I109" s="67">
        <f t="shared" si="3"/>
        <v>2.4839786964613175</v>
      </c>
      <c r="J109" s="67">
        <f t="shared" si="3"/>
        <v>0.60035690225708205</v>
      </c>
      <c r="K109" s="67">
        <f t="shared" si="3"/>
        <v>93.769459345359721</v>
      </c>
      <c r="L109" s="67">
        <f t="shared" si="3"/>
        <v>5.1234836941746291</v>
      </c>
      <c r="M109" s="67">
        <f t="shared" si="3"/>
        <v>13.204683136804997</v>
      </c>
      <c r="N109" s="67">
        <f t="shared" si="3"/>
        <v>293.01763932658002</v>
      </c>
      <c r="O109" s="67">
        <f t="shared" si="3"/>
        <v>0</v>
      </c>
      <c r="P109" s="67">
        <f t="shared" si="3"/>
        <v>0.41650909301166472</v>
      </c>
      <c r="Q109" s="67">
        <f t="shared" si="3"/>
        <v>8.1815155100792794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COUNT(N9:N104)+27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1109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7d5bd0-30cb-48e6-b319-002b159be3f7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13-06-2022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1398</v>
      </c>
      <c r="B9" s="60">
        <v>7.81</v>
      </c>
      <c r="C9" s="60">
        <v>33.49</v>
      </c>
      <c r="D9" s="60">
        <v>41.29</v>
      </c>
      <c r="E9" s="60">
        <v>6.45</v>
      </c>
      <c r="F9" s="60">
        <v>0.31</v>
      </c>
      <c r="G9" s="60">
        <v>97.81</v>
      </c>
      <c r="H9" s="60">
        <v>38.82</v>
      </c>
      <c r="I9" s="60">
        <v>8.7100000000000009</v>
      </c>
      <c r="J9" s="60">
        <v>2.41</v>
      </c>
      <c r="K9" s="60">
        <v>172.71</v>
      </c>
      <c r="L9" s="60">
        <v>42.94</v>
      </c>
      <c r="M9" s="60">
        <v>64.599999999999994</v>
      </c>
      <c r="N9" s="219" t="s">
        <v>36</v>
      </c>
      <c r="O9" s="60">
        <v>0</v>
      </c>
      <c r="P9" s="60">
        <v>2.68</v>
      </c>
      <c r="Q9" s="60">
        <v>35.450000000000003</v>
      </c>
      <c r="R9" s="198"/>
      <c r="S9" s="198"/>
      <c r="T9" s="198"/>
      <c r="U9" s="198"/>
    </row>
    <row r="10" spans="1:21" s="12" customFormat="1" ht="15">
      <c r="A10" s="201" t="s">
        <v>1399</v>
      </c>
      <c r="B10" s="60">
        <v>6.94</v>
      </c>
      <c r="C10" s="60">
        <v>32.049999999999997</v>
      </c>
      <c r="D10" s="60">
        <v>38.99</v>
      </c>
      <c r="E10" s="60">
        <v>6.56</v>
      </c>
      <c r="F10" s="60">
        <v>0.56000000000000005</v>
      </c>
      <c r="G10" s="60">
        <v>97.81</v>
      </c>
      <c r="H10" s="60">
        <v>38.82</v>
      </c>
      <c r="I10" s="60">
        <v>8.5299999999999994</v>
      </c>
      <c r="J10" s="60">
        <v>2.72</v>
      </c>
      <c r="K10" s="60">
        <v>169.70</v>
      </c>
      <c r="L10" s="60">
        <v>44.68</v>
      </c>
      <c r="M10" s="60">
        <v>64.34</v>
      </c>
      <c r="N10" s="219" t="s">
        <v>36</v>
      </c>
      <c r="O10" s="60">
        <v>0</v>
      </c>
      <c r="P10" s="60">
        <v>2.63</v>
      </c>
      <c r="Q10" s="60">
        <v>36.729999999999997</v>
      </c>
      <c r="R10" s="198"/>
      <c r="S10" s="198"/>
      <c r="T10" s="198"/>
      <c r="U10" s="198"/>
    </row>
    <row r="11" spans="1:21" s="12" customFormat="1" ht="15">
      <c r="A11" s="201" t="s">
        <v>1400</v>
      </c>
      <c r="B11" s="60">
        <v>5.93</v>
      </c>
      <c r="C11" s="60">
        <v>31.07</v>
      </c>
      <c r="D11" s="60">
        <v>37.01</v>
      </c>
      <c r="E11" s="60">
        <v>6.98</v>
      </c>
      <c r="F11" s="60">
        <v>0.28000000000000003</v>
      </c>
      <c r="G11" s="60">
        <v>97.81</v>
      </c>
      <c r="H11" s="60">
        <v>38.82</v>
      </c>
      <c r="I11" s="60">
        <v>8.36</v>
      </c>
      <c r="J11" s="60">
        <v>2.23</v>
      </c>
      <c r="K11" s="60">
        <v>172.45</v>
      </c>
      <c r="L11" s="60">
        <v>42.46</v>
      </c>
      <c r="M11" s="60">
        <v>64.02</v>
      </c>
      <c r="N11" s="219" t="s">
        <v>36</v>
      </c>
      <c r="O11" s="60">
        <v>0</v>
      </c>
      <c r="P11" s="60">
        <v>2.57</v>
      </c>
      <c r="Q11" s="60">
        <v>36.85</v>
      </c>
      <c r="R11" s="198"/>
      <c r="S11" s="198"/>
      <c r="T11" s="198"/>
      <c r="U11" s="198"/>
    </row>
    <row r="12" spans="1:21" s="12" customFormat="1" ht="15">
      <c r="A12" s="201" t="s">
        <v>1401</v>
      </c>
      <c r="B12" s="60">
        <v>5.18</v>
      </c>
      <c r="C12" s="60">
        <v>29.68</v>
      </c>
      <c r="D12" s="60">
        <v>34.86</v>
      </c>
      <c r="E12" s="60">
        <v>6.80</v>
      </c>
      <c r="F12" s="60">
        <v>0.57999999999999996</v>
      </c>
      <c r="G12" s="60">
        <v>82.71</v>
      </c>
      <c r="H12" s="60">
        <v>36.659999999999997</v>
      </c>
      <c r="I12" s="60">
        <v>8.18</v>
      </c>
      <c r="J12" s="60">
        <v>2.23</v>
      </c>
      <c r="K12" s="60">
        <v>178.18</v>
      </c>
      <c r="L12" s="60">
        <v>41.03</v>
      </c>
      <c r="M12" s="60">
        <v>63.85</v>
      </c>
      <c r="N12" s="219" t="s">
        <v>36</v>
      </c>
      <c r="O12" s="60">
        <v>0</v>
      </c>
      <c r="P12" s="60">
        <v>2.52</v>
      </c>
      <c r="Q12" s="60">
        <v>36.39</v>
      </c>
      <c r="R12" s="198"/>
      <c r="S12" s="198"/>
      <c r="T12" s="198"/>
      <c r="U12" s="198"/>
    </row>
    <row r="13" spans="1:21" s="12" customFormat="1" ht="15">
      <c r="A13" s="201" t="s">
        <v>1402</v>
      </c>
      <c r="B13" s="60">
        <v>4.59</v>
      </c>
      <c r="C13" s="60">
        <v>28.29</v>
      </c>
      <c r="D13" s="60">
        <v>32.880000000000003</v>
      </c>
      <c r="E13" s="60">
        <v>6.88</v>
      </c>
      <c r="F13" s="60">
        <v>0.57999999999999996</v>
      </c>
      <c r="G13" s="60">
        <v>78.349999999999994</v>
      </c>
      <c r="H13" s="60">
        <v>35.08</v>
      </c>
      <c r="I13" s="60">
        <v>7.95</v>
      </c>
      <c r="J13" s="60">
        <v>3.36</v>
      </c>
      <c r="K13" s="60">
        <v>158.83000000000001</v>
      </c>
      <c r="L13" s="60">
        <v>41.49</v>
      </c>
      <c r="M13" s="60">
        <v>64.44</v>
      </c>
      <c r="N13" s="219" t="s">
        <v>36</v>
      </c>
      <c r="O13" s="60">
        <v>0</v>
      </c>
      <c r="P13" s="60">
        <v>2.4700000000000002</v>
      </c>
      <c r="Q13" s="60">
        <v>35.799999999999997</v>
      </c>
      <c r="R13" s="198"/>
      <c r="S13" s="198"/>
      <c r="T13" s="198"/>
      <c r="U13" s="198"/>
    </row>
    <row r="14" spans="1:21" s="12" customFormat="1" ht="15">
      <c r="A14" s="201" t="s">
        <v>1403</v>
      </c>
      <c r="B14" s="60">
        <v>4.0999999999999996</v>
      </c>
      <c r="C14" s="60">
        <v>27.10</v>
      </c>
      <c r="D14" s="60">
        <v>31.20</v>
      </c>
      <c r="E14" s="60">
        <v>7.11</v>
      </c>
      <c r="F14" s="60">
        <v>1.02</v>
      </c>
      <c r="G14" s="60">
        <v>78.349999999999994</v>
      </c>
      <c r="H14" s="60">
        <v>35.08</v>
      </c>
      <c r="I14" s="60">
        <v>7.72</v>
      </c>
      <c r="J14" s="60">
        <v>2.41</v>
      </c>
      <c r="K14" s="60">
        <v>172.87</v>
      </c>
      <c r="L14" s="60">
        <v>41.14</v>
      </c>
      <c r="M14" s="60">
        <v>64.78</v>
      </c>
      <c r="N14" s="219" t="s">
        <v>36</v>
      </c>
      <c r="O14" s="60">
        <v>0</v>
      </c>
      <c r="P14" s="60">
        <v>2.41</v>
      </c>
      <c r="Q14" s="60">
        <v>36.270000000000003</v>
      </c>
      <c r="R14" s="198"/>
      <c r="S14" s="198"/>
      <c r="T14" s="198"/>
      <c r="U14" s="198"/>
    </row>
    <row r="15" spans="1:21" s="12" customFormat="1" ht="15">
      <c r="A15" s="201" t="s">
        <v>1404</v>
      </c>
      <c r="B15" s="60">
        <v>3.55</v>
      </c>
      <c r="C15" s="60">
        <v>24.53</v>
      </c>
      <c r="D15" s="60">
        <v>28.09</v>
      </c>
      <c r="E15" s="60">
        <v>7.09</v>
      </c>
      <c r="F15" s="60">
        <v>1.51</v>
      </c>
      <c r="G15" s="60">
        <v>78.349999999999994</v>
      </c>
      <c r="H15" s="60">
        <v>35.08</v>
      </c>
      <c r="I15" s="60">
        <v>7.52</v>
      </c>
      <c r="J15" s="60">
        <v>2.85</v>
      </c>
      <c r="K15" s="60">
        <v>163.24</v>
      </c>
      <c r="L15" s="60">
        <v>40.61</v>
      </c>
      <c r="M15" s="60">
        <v>65.63</v>
      </c>
      <c r="N15" s="219" t="s">
        <v>36</v>
      </c>
      <c r="O15" s="60">
        <v>0</v>
      </c>
      <c r="P15" s="60">
        <v>2.34</v>
      </c>
      <c r="Q15" s="60">
        <v>39.479999999999997</v>
      </c>
      <c r="R15" s="198"/>
      <c r="S15" s="198"/>
      <c r="T15" s="198"/>
      <c r="U15" s="198"/>
    </row>
    <row r="16" spans="1:21" s="12" customFormat="1" ht="15">
      <c r="A16" s="201" t="s">
        <v>1405</v>
      </c>
      <c r="B16" s="60">
        <v>2.93</v>
      </c>
      <c r="C16" s="60">
        <v>23.39</v>
      </c>
      <c r="D16" s="60">
        <v>26.32</v>
      </c>
      <c r="E16" s="60">
        <v>6.97</v>
      </c>
      <c r="F16" s="60">
        <v>1.23</v>
      </c>
      <c r="G16" s="60">
        <v>68.260000000000005</v>
      </c>
      <c r="H16" s="60">
        <v>30.83</v>
      </c>
      <c r="I16" s="60">
        <v>7.14</v>
      </c>
      <c r="J16" s="60">
        <v>2.1800000000000002</v>
      </c>
      <c r="K16" s="60">
        <v>174.49</v>
      </c>
      <c r="L16" s="60">
        <v>39.950000000000003</v>
      </c>
      <c r="M16" s="60">
        <v>65.400000000000006</v>
      </c>
      <c r="N16" s="219" t="s">
        <v>36</v>
      </c>
      <c r="O16" s="60">
        <v>0</v>
      </c>
      <c r="P16" s="60">
        <v>2.27</v>
      </c>
      <c r="Q16" s="60">
        <v>38.56</v>
      </c>
      <c r="R16" s="198"/>
      <c r="S16" s="198"/>
      <c r="T16" s="198"/>
      <c r="U16" s="198"/>
    </row>
    <row r="17" spans="1:21" s="12" customFormat="1" ht="15">
      <c r="A17" s="201" t="s">
        <v>1406</v>
      </c>
      <c r="B17" s="60">
        <v>2.4900000000000002</v>
      </c>
      <c r="C17" s="60">
        <v>22.28</v>
      </c>
      <c r="D17" s="60">
        <v>24.77</v>
      </c>
      <c r="E17" s="60">
        <v>6.96</v>
      </c>
      <c r="F17" s="60">
        <v>1.81</v>
      </c>
      <c r="G17" s="60">
        <v>65.150000000000006</v>
      </c>
      <c r="H17" s="60">
        <v>27.73</v>
      </c>
      <c r="I17" s="60">
        <v>6.73</v>
      </c>
      <c r="J17" s="60">
        <v>2.67</v>
      </c>
      <c r="K17" s="60">
        <v>166.04</v>
      </c>
      <c r="L17" s="60">
        <v>39.86</v>
      </c>
      <c r="M17" s="60">
        <v>65.12</v>
      </c>
      <c r="N17" s="219" t="s">
        <v>36</v>
      </c>
      <c r="O17" s="60">
        <v>0</v>
      </c>
      <c r="P17" s="60">
        <v>2.2200000000000002</v>
      </c>
      <c r="Q17" s="60">
        <v>35.82</v>
      </c>
      <c r="R17" s="198"/>
      <c r="S17" s="198"/>
      <c r="T17" s="198"/>
      <c r="U17" s="198"/>
    </row>
    <row r="18" spans="1:21" s="12" customFormat="1" ht="15">
      <c r="A18" s="201" t="s">
        <v>1407</v>
      </c>
      <c r="B18" s="60">
        <v>2.16</v>
      </c>
      <c r="C18" s="60">
        <v>21.41</v>
      </c>
      <c r="D18" s="60">
        <v>23.57</v>
      </c>
      <c r="E18" s="60">
        <v>6.94</v>
      </c>
      <c r="F18" s="60">
        <v>1.07</v>
      </c>
      <c r="G18" s="60">
        <v>65.150000000000006</v>
      </c>
      <c r="H18" s="60">
        <v>27.73</v>
      </c>
      <c r="I18" s="60">
        <v>6.33</v>
      </c>
      <c r="J18" s="60">
        <v>1.79</v>
      </c>
      <c r="K18" s="60">
        <v>185.23</v>
      </c>
      <c r="L18" s="60">
        <v>39.840000000000003</v>
      </c>
      <c r="M18" s="60">
        <v>65.67</v>
      </c>
      <c r="N18" s="219" t="s">
        <v>36</v>
      </c>
      <c r="O18" s="60">
        <v>0</v>
      </c>
      <c r="P18" s="60">
        <v>2.16</v>
      </c>
      <c r="Q18" s="60">
        <v>33.979999999999997</v>
      </c>
      <c r="R18" s="198"/>
      <c r="S18" s="198"/>
      <c r="T18" s="198"/>
      <c r="U18" s="198"/>
    </row>
    <row r="19" spans="1:21" s="12" customFormat="1" ht="15">
      <c r="A19" s="201" t="s">
        <v>1408</v>
      </c>
      <c r="B19" s="60">
        <v>1.97</v>
      </c>
      <c r="C19" s="60">
        <v>21.01</v>
      </c>
      <c r="D19" s="60">
        <v>22.98</v>
      </c>
      <c r="E19" s="60">
        <v>6.98</v>
      </c>
      <c r="F19" s="60">
        <v>0.99</v>
      </c>
      <c r="G19" s="60">
        <v>65.150000000000006</v>
      </c>
      <c r="H19" s="60">
        <v>27.73</v>
      </c>
      <c r="I19" s="60">
        <v>5.97</v>
      </c>
      <c r="J19" s="60">
        <v>2.19</v>
      </c>
      <c r="K19" s="60">
        <v>166.13</v>
      </c>
      <c r="L19" s="60">
        <v>39.229999999999997</v>
      </c>
      <c r="M19" s="60">
        <v>65.89</v>
      </c>
      <c r="N19" s="219" t="s">
        <v>36</v>
      </c>
      <c r="O19" s="60">
        <v>0</v>
      </c>
      <c r="P19" s="60">
        <v>2.11</v>
      </c>
      <c r="Q19" s="60">
        <v>32.619999999999997</v>
      </c>
      <c r="R19" s="198"/>
      <c r="S19" s="198"/>
      <c r="T19" s="198"/>
      <c r="U19" s="198"/>
    </row>
    <row r="20" spans="1:21" s="12" customFormat="1" ht="15">
      <c r="A20" s="201" t="s">
        <v>1409</v>
      </c>
      <c r="B20" s="60">
        <v>1.85</v>
      </c>
      <c r="C20" s="60">
        <v>20</v>
      </c>
      <c r="D20" s="60">
        <v>21.85</v>
      </c>
      <c r="E20" s="60">
        <v>4</v>
      </c>
      <c r="F20" s="60">
        <v>1.40</v>
      </c>
      <c r="G20" s="60">
        <v>55.32</v>
      </c>
      <c r="H20" s="60">
        <v>24.53</v>
      </c>
      <c r="I20" s="60">
        <v>5.63</v>
      </c>
      <c r="J20" s="60">
        <v>2.14</v>
      </c>
      <c r="K20" s="60">
        <v>155.12</v>
      </c>
      <c r="L20" s="60">
        <v>39.57</v>
      </c>
      <c r="M20" s="60">
        <v>66.47</v>
      </c>
      <c r="N20" s="219" t="s">
        <v>36</v>
      </c>
      <c r="O20" s="60">
        <v>0</v>
      </c>
      <c r="P20" s="60">
        <v>2.0699999999999998</v>
      </c>
      <c r="Q20" s="60">
        <v>31.57</v>
      </c>
      <c r="R20" s="198"/>
      <c r="S20" s="198"/>
      <c r="T20" s="198"/>
      <c r="U20" s="198"/>
    </row>
    <row r="21" spans="1:21" s="12" customFormat="1" ht="15">
      <c r="A21" s="201" t="s">
        <v>1410</v>
      </c>
      <c r="B21" s="60">
        <v>1.83</v>
      </c>
      <c r="C21" s="60">
        <v>19.73</v>
      </c>
      <c r="D21" s="60">
        <v>21.56</v>
      </c>
      <c r="E21" s="60">
        <v>7.33</v>
      </c>
      <c r="F21" s="60">
        <v>0.92</v>
      </c>
      <c r="G21" s="60">
        <v>52.23</v>
      </c>
      <c r="H21" s="60">
        <v>22.18</v>
      </c>
      <c r="I21" s="60">
        <v>5.37</v>
      </c>
      <c r="J21" s="60">
        <v>2.5299999999999998</v>
      </c>
      <c r="K21" s="60">
        <v>167.28</v>
      </c>
      <c r="L21" s="60">
        <v>39.65</v>
      </c>
      <c r="M21" s="60">
        <v>65.62</v>
      </c>
      <c r="N21" s="219" t="s">
        <v>36</v>
      </c>
      <c r="O21" s="60">
        <v>0</v>
      </c>
      <c r="P21" s="60">
        <v>2.04</v>
      </c>
      <c r="Q21" s="60">
        <v>30.30</v>
      </c>
      <c r="R21" s="198"/>
      <c r="S21" s="198"/>
      <c r="T21" s="198"/>
      <c r="U21" s="198"/>
    </row>
    <row r="22" spans="1:21" s="12" customFormat="1" ht="15">
      <c r="A22" s="201" t="s">
        <v>1411</v>
      </c>
      <c r="B22" s="60">
        <v>1.75</v>
      </c>
      <c r="C22" s="60">
        <v>19.41</v>
      </c>
      <c r="D22" s="60">
        <v>21.16</v>
      </c>
      <c r="E22" s="60">
        <v>7.17</v>
      </c>
      <c r="F22" s="60">
        <v>0.83</v>
      </c>
      <c r="G22" s="60">
        <v>52.23</v>
      </c>
      <c r="H22" s="60">
        <v>22.18</v>
      </c>
      <c r="I22" s="60">
        <v>5.14</v>
      </c>
      <c r="J22" s="60">
        <v>0.92</v>
      </c>
      <c r="K22" s="60">
        <v>204.76</v>
      </c>
      <c r="L22" s="60">
        <v>39.22</v>
      </c>
      <c r="M22" s="60">
        <v>66.510000000000005</v>
      </c>
      <c r="N22" s="219" t="s">
        <v>36</v>
      </c>
      <c r="O22" s="60">
        <v>0</v>
      </c>
      <c r="P22" s="60">
        <v>2</v>
      </c>
      <c r="Q22" s="60">
        <v>30</v>
      </c>
      <c r="R22" s="198"/>
      <c r="S22" s="198"/>
      <c r="T22" s="198"/>
      <c r="U22" s="198"/>
    </row>
    <row r="23" spans="1:21" s="12" customFormat="1" ht="15">
      <c r="A23" s="201" t="s">
        <v>1412</v>
      </c>
      <c r="B23" s="60">
        <v>1.80</v>
      </c>
      <c r="C23" s="60">
        <v>19</v>
      </c>
      <c r="D23" s="60">
        <v>20.80</v>
      </c>
      <c r="E23" s="60">
        <v>7.37</v>
      </c>
      <c r="F23" s="60">
        <v>1.02</v>
      </c>
      <c r="G23" s="60">
        <v>52.23</v>
      </c>
      <c r="H23" s="60">
        <v>22.18</v>
      </c>
      <c r="I23" s="60">
        <v>4.8899999999999997</v>
      </c>
      <c r="J23" s="60">
        <v>1.1299999999999999</v>
      </c>
      <c r="K23" s="60">
        <v>260.27</v>
      </c>
      <c r="L23" s="60">
        <v>38.99</v>
      </c>
      <c r="M23" s="60">
        <v>66.66</v>
      </c>
      <c r="N23" s="219" t="s">
        <v>36</v>
      </c>
      <c r="O23" s="60">
        <v>0</v>
      </c>
      <c r="P23" s="60">
        <v>1.96</v>
      </c>
      <c r="Q23" s="60">
        <v>29.68</v>
      </c>
      <c r="R23" s="198"/>
      <c r="S23" s="198"/>
      <c r="T23" s="198"/>
      <c r="U23" s="198"/>
    </row>
    <row r="24" spans="1:21" s="12" customFormat="1" ht="15">
      <c r="A24" s="201" t="s">
        <v>1413</v>
      </c>
      <c r="B24" s="60">
        <v>1.93</v>
      </c>
      <c r="C24" s="60">
        <v>20.12</v>
      </c>
      <c r="D24" s="60">
        <v>22.04</v>
      </c>
      <c r="E24" s="60">
        <v>7.60</v>
      </c>
      <c r="F24" s="60">
        <v>0.91</v>
      </c>
      <c r="G24" s="60">
        <v>44.54</v>
      </c>
      <c r="H24" s="60">
        <v>21.32</v>
      </c>
      <c r="I24" s="60">
        <v>4.67</v>
      </c>
      <c r="J24" s="60">
        <v>1.30</v>
      </c>
      <c r="K24" s="60">
        <v>276.27</v>
      </c>
      <c r="L24" s="60">
        <v>38.40</v>
      </c>
      <c r="M24" s="60">
        <v>67.02</v>
      </c>
      <c r="N24" s="219" t="s">
        <v>36</v>
      </c>
      <c r="O24" s="60">
        <v>0</v>
      </c>
      <c r="P24" s="60">
        <v>1.95</v>
      </c>
      <c r="Q24" s="60">
        <v>29.11</v>
      </c>
      <c r="R24" s="198"/>
      <c r="S24" s="198"/>
      <c r="T24" s="198"/>
      <c r="U24" s="198"/>
    </row>
    <row r="25" spans="1:21" s="12" customFormat="1" ht="15">
      <c r="A25" s="201" t="s">
        <v>1414</v>
      </c>
      <c r="B25" s="60">
        <v>2.21</v>
      </c>
      <c r="C25" s="60">
        <v>19.98</v>
      </c>
      <c r="D25" s="60">
        <v>22.19</v>
      </c>
      <c r="E25" s="60">
        <v>7.89</v>
      </c>
      <c r="F25" s="60">
        <v>0.40</v>
      </c>
      <c r="G25" s="60">
        <v>42.12</v>
      </c>
      <c r="H25" s="60">
        <v>20.70</v>
      </c>
      <c r="I25" s="60">
        <v>4.4800000000000004</v>
      </c>
      <c r="J25" s="60">
        <v>0.98</v>
      </c>
      <c r="K25" s="60">
        <v>238.88</v>
      </c>
      <c r="L25" s="60">
        <v>39.090000000000003</v>
      </c>
      <c r="M25" s="60">
        <v>66.180000000000007</v>
      </c>
      <c r="N25" s="219" t="s">
        <v>36</v>
      </c>
      <c r="O25" s="60">
        <v>0</v>
      </c>
      <c r="P25" s="60">
        <v>1.94</v>
      </c>
      <c r="Q25" s="60">
        <v>27.69</v>
      </c>
      <c r="R25" s="198"/>
      <c r="S25" s="198"/>
      <c r="T25" s="198"/>
      <c r="U25" s="198"/>
    </row>
    <row r="26" spans="1:21" s="12" customFormat="1" ht="15">
      <c r="A26" s="201" t="s">
        <v>1415</v>
      </c>
      <c r="B26" s="60">
        <v>2.5499999999999998</v>
      </c>
      <c r="C26" s="60">
        <v>20.05</v>
      </c>
      <c r="D26" s="60">
        <v>22.60</v>
      </c>
      <c r="E26" s="60">
        <v>7.78</v>
      </c>
      <c r="F26" s="60">
        <v>0.21</v>
      </c>
      <c r="G26" s="60">
        <v>42.12</v>
      </c>
      <c r="H26" s="60">
        <v>20.70</v>
      </c>
      <c r="I26" s="60">
        <v>4.42</v>
      </c>
      <c r="J26" s="60">
        <v>0.57999999999999996</v>
      </c>
      <c r="K26" s="60">
        <v>21.09</v>
      </c>
      <c r="L26" s="60">
        <v>39.42</v>
      </c>
      <c r="M26" s="60">
        <v>67.040000000000006</v>
      </c>
      <c r="N26" s="219" t="s">
        <v>36</v>
      </c>
      <c r="O26" s="60">
        <v>0</v>
      </c>
      <c r="P26" s="60">
        <v>1.93</v>
      </c>
      <c r="Q26" s="60">
        <v>27.35</v>
      </c>
      <c r="R26" s="198"/>
      <c r="S26" s="198"/>
      <c r="T26" s="198"/>
      <c r="U26" s="198"/>
    </row>
    <row r="27" spans="1:21" s="12" customFormat="1" ht="15">
      <c r="A27" s="201" t="s">
        <v>1416</v>
      </c>
      <c r="B27" s="60">
        <v>3.08</v>
      </c>
      <c r="C27" s="60">
        <v>20.23</v>
      </c>
      <c r="D27" s="60">
        <v>23.31</v>
      </c>
      <c r="E27" s="60">
        <v>8.31</v>
      </c>
      <c r="F27" s="60">
        <v>0.04</v>
      </c>
      <c r="G27" s="60">
        <v>42.12</v>
      </c>
      <c r="H27" s="60">
        <v>20.70</v>
      </c>
      <c r="I27" s="60">
        <v>4.37</v>
      </c>
      <c r="J27" s="60">
        <v>0.51</v>
      </c>
      <c r="K27" s="60">
        <v>295.38</v>
      </c>
      <c r="L27" s="60">
        <v>41.06</v>
      </c>
      <c r="M27" s="60">
        <v>67.89</v>
      </c>
      <c r="N27" s="219" t="s">
        <v>36</v>
      </c>
      <c r="O27" s="60">
        <v>0</v>
      </c>
      <c r="P27" s="60">
        <v>1.93</v>
      </c>
      <c r="Q27" s="60">
        <v>28.38</v>
      </c>
      <c r="R27" s="198"/>
      <c r="S27" s="198"/>
      <c r="T27" s="198"/>
      <c r="U27" s="198"/>
    </row>
    <row r="28" spans="1:21" s="12" customFormat="1" ht="15">
      <c r="A28" s="201" t="s">
        <v>1417</v>
      </c>
      <c r="B28" s="60">
        <v>3.62</v>
      </c>
      <c r="C28" s="60">
        <v>20.61</v>
      </c>
      <c r="D28" s="60">
        <v>24.23</v>
      </c>
      <c r="E28" s="60">
        <v>8.40</v>
      </c>
      <c r="F28" s="60">
        <v>0.070000000000000007</v>
      </c>
      <c r="G28" s="60">
        <v>39.19</v>
      </c>
      <c r="H28" s="60">
        <v>19.940000000000001</v>
      </c>
      <c r="I28" s="60">
        <v>4.37</v>
      </c>
      <c r="J28" s="60">
        <v>1.5</v>
      </c>
      <c r="K28" s="60">
        <v>191.12</v>
      </c>
      <c r="L28" s="60">
        <v>41.96</v>
      </c>
      <c r="M28" s="60">
        <v>68.27</v>
      </c>
      <c r="N28" s="219" t="s">
        <v>36</v>
      </c>
      <c r="O28" s="60">
        <v>0</v>
      </c>
      <c r="P28" s="60">
        <v>1.92</v>
      </c>
      <c r="Q28" s="60">
        <v>29.45</v>
      </c>
      <c r="R28" s="198"/>
      <c r="S28" s="198"/>
      <c r="T28" s="198"/>
      <c r="U28" s="198"/>
    </row>
    <row r="29" spans="1:21" s="12" customFormat="1" ht="15">
      <c r="A29" s="201" t="s">
        <v>1418</v>
      </c>
      <c r="B29" s="60">
        <v>4.1500000000000004</v>
      </c>
      <c r="C29" s="60">
        <v>20.85</v>
      </c>
      <c r="D29" s="60">
        <v>25</v>
      </c>
      <c r="E29" s="60">
        <v>8.66</v>
      </c>
      <c r="F29" s="60">
        <v>0.17</v>
      </c>
      <c r="G29" s="60">
        <v>37.520000000000003</v>
      </c>
      <c r="H29" s="60">
        <v>19.39</v>
      </c>
      <c r="I29" s="60">
        <v>4.38</v>
      </c>
      <c r="J29" s="60">
        <v>1.55</v>
      </c>
      <c r="K29" s="60">
        <v>194.49</v>
      </c>
      <c r="L29" s="60">
        <v>40.85</v>
      </c>
      <c r="M29" s="60">
        <v>69.39</v>
      </c>
      <c r="N29" s="219" t="s">
        <v>36</v>
      </c>
      <c r="O29" s="60">
        <v>0</v>
      </c>
      <c r="P29" s="60">
        <v>1.91</v>
      </c>
      <c r="Q29" s="60">
        <v>30.11</v>
      </c>
      <c r="R29" s="198"/>
      <c r="S29" s="198"/>
      <c r="T29" s="198"/>
      <c r="U29" s="198"/>
    </row>
    <row r="30" spans="1:21" s="12" customFormat="1" ht="15">
      <c r="A30" s="201" t="s">
        <v>1419</v>
      </c>
      <c r="B30" s="60">
        <v>4.92</v>
      </c>
      <c r="C30" s="60">
        <v>20.92</v>
      </c>
      <c r="D30" s="60">
        <v>25.83</v>
      </c>
      <c r="E30" s="60">
        <v>8.94</v>
      </c>
      <c r="F30" s="60">
        <v>0.12</v>
      </c>
      <c r="G30" s="60">
        <v>37.520000000000003</v>
      </c>
      <c r="H30" s="60">
        <v>19.39</v>
      </c>
      <c r="I30" s="60">
        <v>4.3899999999999997</v>
      </c>
      <c r="J30" s="60">
        <v>2.08</v>
      </c>
      <c r="K30" s="60">
        <v>169.01</v>
      </c>
      <c r="L30" s="60">
        <v>39.270000000000003</v>
      </c>
      <c r="M30" s="60">
        <v>69.989999999999995</v>
      </c>
      <c r="N30" s="219" t="s">
        <v>36</v>
      </c>
      <c r="O30" s="60">
        <v>0</v>
      </c>
      <c r="P30" s="60">
        <v>1.92</v>
      </c>
      <c r="Q30" s="60">
        <v>31.49</v>
      </c>
      <c r="R30" s="198"/>
      <c r="S30" s="198"/>
      <c r="T30" s="198"/>
      <c r="U30" s="198"/>
    </row>
    <row r="31" spans="1:21" s="12" customFormat="1" ht="15">
      <c r="A31" s="201" t="s">
        <v>1420</v>
      </c>
      <c r="B31" s="60">
        <v>5.82</v>
      </c>
      <c r="C31" s="60">
        <v>21.18</v>
      </c>
      <c r="D31" s="60">
        <v>27</v>
      </c>
      <c r="E31" s="60">
        <v>9.0399999999999991</v>
      </c>
      <c r="F31" s="60">
        <v>0.03</v>
      </c>
      <c r="G31" s="60">
        <v>37.520000000000003</v>
      </c>
      <c r="H31" s="60">
        <v>19.39</v>
      </c>
      <c r="I31" s="60">
        <v>4.41</v>
      </c>
      <c r="J31" s="60">
        <v>2.4900000000000002</v>
      </c>
      <c r="K31" s="60">
        <v>163.95</v>
      </c>
      <c r="L31" s="60">
        <v>37.909999999999997</v>
      </c>
      <c r="M31" s="60">
        <v>70.180000000000007</v>
      </c>
      <c r="N31" s="60">
        <v>7</v>
      </c>
      <c r="O31" s="60">
        <v>0</v>
      </c>
      <c r="P31" s="60">
        <v>1.91</v>
      </c>
      <c r="Q31" s="60">
        <v>32.33</v>
      </c>
      <c r="R31" s="198"/>
      <c r="S31" s="198"/>
      <c r="T31" s="198"/>
      <c r="U31" s="198"/>
    </row>
    <row r="32" spans="1:21" s="12" customFormat="1" ht="15">
      <c r="A32" s="201" t="s">
        <v>1421</v>
      </c>
      <c r="B32" s="60">
        <v>6.74</v>
      </c>
      <c r="C32" s="60">
        <v>22.23</v>
      </c>
      <c r="D32" s="60">
        <v>28.98</v>
      </c>
      <c r="E32" s="60">
        <v>9.17</v>
      </c>
      <c r="F32" s="60">
        <v>0.21</v>
      </c>
      <c r="G32" s="60">
        <v>44.88</v>
      </c>
      <c r="H32" s="60">
        <v>18.04</v>
      </c>
      <c r="I32" s="60">
        <v>4.42</v>
      </c>
      <c r="J32" s="60">
        <v>2.27</v>
      </c>
      <c r="K32" s="60">
        <v>166.89</v>
      </c>
      <c r="L32" s="60">
        <v>38.090000000000003</v>
      </c>
      <c r="M32" s="60">
        <v>69.75</v>
      </c>
      <c r="N32" s="60">
        <v>39.700000000000003</v>
      </c>
      <c r="O32" s="60">
        <v>0</v>
      </c>
      <c r="P32" s="60">
        <v>1.91</v>
      </c>
      <c r="Q32" s="60">
        <v>34.61</v>
      </c>
      <c r="R32" s="198"/>
      <c r="S32" s="198"/>
      <c r="T32" s="198"/>
      <c r="U32" s="198"/>
    </row>
    <row r="33" spans="1:21" s="12" customFormat="1" ht="15">
      <c r="A33" s="201" t="s">
        <v>1422</v>
      </c>
      <c r="B33" s="60">
        <v>7.33</v>
      </c>
      <c r="C33" s="60">
        <v>22.10</v>
      </c>
      <c r="D33" s="60">
        <v>29.44</v>
      </c>
      <c r="E33" s="60">
        <v>8.94</v>
      </c>
      <c r="F33" s="60">
        <v>1.03</v>
      </c>
      <c r="G33" s="60">
        <v>47.18</v>
      </c>
      <c r="H33" s="60">
        <v>17.059999999999999</v>
      </c>
      <c r="I33" s="60">
        <v>4.54</v>
      </c>
      <c r="J33" s="60">
        <v>2.57</v>
      </c>
      <c r="K33" s="60">
        <v>159.56</v>
      </c>
      <c r="L33" s="60">
        <v>37.83</v>
      </c>
      <c r="M33" s="60">
        <v>67.319999999999993</v>
      </c>
      <c r="N33" s="60">
        <v>88.10</v>
      </c>
      <c r="O33" s="60">
        <v>0</v>
      </c>
      <c r="P33" s="60">
        <v>1.92</v>
      </c>
      <c r="Q33" s="60">
        <v>38.799999999999997</v>
      </c>
      <c r="R33" s="198"/>
      <c r="S33" s="198"/>
      <c r="T33" s="198"/>
      <c r="U33" s="198"/>
    </row>
    <row r="34" spans="1:21" s="12" customFormat="1" ht="15">
      <c r="A34" s="201" t="s">
        <v>1423</v>
      </c>
      <c r="B34" s="60">
        <v>7.45</v>
      </c>
      <c r="C34" s="60">
        <v>22.60</v>
      </c>
      <c r="D34" s="60">
        <v>30.06</v>
      </c>
      <c r="E34" s="60">
        <v>8.76</v>
      </c>
      <c r="F34" s="60">
        <v>0.62</v>
      </c>
      <c r="G34" s="60">
        <v>47.18</v>
      </c>
      <c r="H34" s="60">
        <v>17.059999999999999</v>
      </c>
      <c r="I34" s="60">
        <v>4.5999999999999996</v>
      </c>
      <c r="J34" s="60">
        <v>2.41</v>
      </c>
      <c r="K34" s="60">
        <v>165.85</v>
      </c>
      <c r="L34" s="60">
        <v>37.57</v>
      </c>
      <c r="M34" s="60">
        <v>65.84</v>
      </c>
      <c r="N34" s="60">
        <v>128.19999999999999</v>
      </c>
      <c r="O34" s="60">
        <v>0</v>
      </c>
      <c r="P34" s="60">
        <v>1.92</v>
      </c>
      <c r="Q34" s="60">
        <v>39.28</v>
      </c>
      <c r="R34" s="198"/>
      <c r="S34" s="198"/>
      <c r="T34" s="198"/>
      <c r="U34" s="198"/>
    </row>
    <row r="35" spans="1:21" s="12" customFormat="1" ht="15">
      <c r="A35" s="201" t="s">
        <v>1424</v>
      </c>
      <c r="B35" s="60">
        <v>7.44</v>
      </c>
      <c r="C35" s="60">
        <v>23.18</v>
      </c>
      <c r="D35" s="60">
        <v>30.63</v>
      </c>
      <c r="E35" s="60">
        <v>8.6199999999999992</v>
      </c>
      <c r="F35" s="60">
        <v>0.84</v>
      </c>
      <c r="G35" s="60">
        <v>47.18</v>
      </c>
      <c r="H35" s="60">
        <v>17.059999999999999</v>
      </c>
      <c r="I35" s="60">
        <v>4.59</v>
      </c>
      <c r="J35" s="60">
        <v>2.19</v>
      </c>
      <c r="K35" s="60">
        <v>180.78</v>
      </c>
      <c r="L35" s="60">
        <v>37.549999999999997</v>
      </c>
      <c r="M35" s="60">
        <v>63.44</v>
      </c>
      <c r="N35" s="60">
        <v>178.30</v>
      </c>
      <c r="O35" s="60">
        <v>0</v>
      </c>
      <c r="P35" s="60">
        <v>1.92</v>
      </c>
      <c r="Q35" s="60">
        <v>38.26</v>
      </c>
      <c r="R35" s="198"/>
      <c r="S35" s="198"/>
      <c r="T35" s="198"/>
      <c r="U35" s="198"/>
    </row>
    <row r="36" spans="1:21" s="12" customFormat="1" ht="15">
      <c r="A36" s="201" t="s">
        <v>1425</v>
      </c>
      <c r="B36" s="60">
        <v>6.93</v>
      </c>
      <c r="C36" s="60">
        <v>23.94</v>
      </c>
      <c r="D36" s="60">
        <v>30.87</v>
      </c>
      <c r="E36" s="60">
        <v>3.93</v>
      </c>
      <c r="F36" s="60">
        <v>0.42</v>
      </c>
      <c r="G36" s="60">
        <v>49.66</v>
      </c>
      <c r="H36" s="60">
        <v>17.899999999999999</v>
      </c>
      <c r="I36" s="60">
        <v>4.62</v>
      </c>
      <c r="J36" s="60">
        <v>2.21</v>
      </c>
      <c r="K36" s="60">
        <v>188.5</v>
      </c>
      <c r="L36" s="60">
        <v>37.68</v>
      </c>
      <c r="M36" s="60">
        <v>63.65</v>
      </c>
      <c r="N36" s="60">
        <v>233.60</v>
      </c>
      <c r="O36" s="60">
        <v>0</v>
      </c>
      <c r="P36" s="60">
        <v>1.91</v>
      </c>
      <c r="Q36" s="60">
        <v>36.68</v>
      </c>
      <c r="R36" s="198"/>
      <c r="S36" s="198"/>
      <c r="T36" s="198"/>
      <c r="U36" s="198"/>
    </row>
    <row r="37" spans="1:21" s="12" customFormat="1" ht="15">
      <c r="A37" s="201" t="s">
        <v>1426</v>
      </c>
      <c r="B37" s="60">
        <v>6.11</v>
      </c>
      <c r="C37" s="60">
        <v>23.95</v>
      </c>
      <c r="D37" s="60">
        <v>30.05</v>
      </c>
      <c r="E37" s="60">
        <v>7.32</v>
      </c>
      <c r="F37" s="60">
        <v>0.32</v>
      </c>
      <c r="G37" s="60">
        <v>50.75</v>
      </c>
      <c r="H37" s="60">
        <v>18.510000000000002</v>
      </c>
      <c r="I37" s="60">
        <v>4.6100000000000003</v>
      </c>
      <c r="J37" s="60">
        <v>2.66</v>
      </c>
      <c r="K37" s="60">
        <v>170.24</v>
      </c>
      <c r="L37" s="60">
        <v>38.19</v>
      </c>
      <c r="M37" s="60">
        <v>62.60</v>
      </c>
      <c r="N37" s="60">
        <v>293.80</v>
      </c>
      <c r="O37" s="60">
        <v>0</v>
      </c>
      <c r="P37" s="60">
        <v>1.91</v>
      </c>
      <c r="Q37" s="60">
        <v>35</v>
      </c>
      <c r="R37" s="198"/>
      <c r="S37" s="198"/>
      <c r="T37" s="198"/>
      <c r="U37" s="198"/>
    </row>
    <row r="38" spans="1:21" s="12" customFormat="1" ht="15">
      <c r="A38" s="201" t="s">
        <v>1427</v>
      </c>
      <c r="B38" s="60">
        <v>5.25</v>
      </c>
      <c r="C38" s="60">
        <v>23.97</v>
      </c>
      <c r="D38" s="60">
        <v>29.21</v>
      </c>
      <c r="E38" s="60">
        <v>6.89</v>
      </c>
      <c r="F38" s="60">
        <v>0.75</v>
      </c>
      <c r="G38" s="60">
        <v>50.75</v>
      </c>
      <c r="H38" s="60">
        <v>18.510000000000002</v>
      </c>
      <c r="I38" s="60">
        <v>4.59</v>
      </c>
      <c r="J38" s="60">
        <v>1.79</v>
      </c>
      <c r="K38" s="60">
        <v>196.12</v>
      </c>
      <c r="L38" s="60">
        <v>38.630000000000003</v>
      </c>
      <c r="M38" s="60">
        <v>60.29</v>
      </c>
      <c r="N38" s="60">
        <v>363.80</v>
      </c>
      <c r="O38" s="60">
        <v>0</v>
      </c>
      <c r="P38" s="60">
        <v>1.90</v>
      </c>
      <c r="Q38" s="60">
        <v>33.86</v>
      </c>
      <c r="R38" s="198"/>
      <c r="S38" s="198"/>
      <c r="T38" s="198"/>
      <c r="U38" s="198"/>
    </row>
    <row r="39" spans="1:21" s="12" customFormat="1" ht="15">
      <c r="A39" s="201" t="s">
        <v>1428</v>
      </c>
      <c r="B39" s="60">
        <v>4.1500000000000004</v>
      </c>
      <c r="C39" s="60">
        <v>23.97</v>
      </c>
      <c r="D39" s="60">
        <v>28.12</v>
      </c>
      <c r="E39" s="60">
        <v>6.79</v>
      </c>
      <c r="F39" s="60">
        <v>1.18</v>
      </c>
      <c r="G39" s="60">
        <v>50.75</v>
      </c>
      <c r="H39" s="60">
        <v>18.510000000000002</v>
      </c>
      <c r="I39" s="60">
        <v>4.53</v>
      </c>
      <c r="J39" s="60">
        <v>1.66</v>
      </c>
      <c r="K39" s="60">
        <v>205.61</v>
      </c>
      <c r="L39" s="60">
        <v>39.229999999999997</v>
      </c>
      <c r="M39" s="60">
        <v>58.32</v>
      </c>
      <c r="N39" s="60">
        <v>429</v>
      </c>
      <c r="O39" s="60">
        <v>0</v>
      </c>
      <c r="P39" s="60">
        <v>1.90</v>
      </c>
      <c r="Q39" s="60">
        <v>32.89</v>
      </c>
      <c r="R39" s="198"/>
      <c r="S39" s="198"/>
      <c r="T39" s="198"/>
      <c r="U39" s="198"/>
    </row>
    <row r="40" spans="1:21" s="12" customFormat="1" ht="15">
      <c r="A40" s="201" t="s">
        <v>1429</v>
      </c>
      <c r="B40" s="60">
        <v>3.04</v>
      </c>
      <c r="C40" s="60">
        <v>23.73</v>
      </c>
      <c r="D40" s="60">
        <v>26.78</v>
      </c>
      <c r="E40" s="60">
        <v>7.15</v>
      </c>
      <c r="F40" s="60">
        <v>1.25</v>
      </c>
      <c r="G40" s="60">
        <v>44.53</v>
      </c>
      <c r="H40" s="60">
        <v>18.329999999999998</v>
      </c>
      <c r="I40" s="60">
        <v>4.46</v>
      </c>
      <c r="J40" s="60">
        <v>2.02</v>
      </c>
      <c r="K40" s="60">
        <v>212.60</v>
      </c>
      <c r="L40" s="60">
        <v>39.75</v>
      </c>
      <c r="M40" s="60">
        <v>56.97</v>
      </c>
      <c r="N40" s="60">
        <v>488</v>
      </c>
      <c r="O40" s="60">
        <v>0</v>
      </c>
      <c r="P40" s="60">
        <v>1.89</v>
      </c>
      <c r="Q40" s="60">
        <v>31.52</v>
      </c>
      <c r="R40" s="198"/>
      <c r="S40" s="198"/>
      <c r="T40" s="198"/>
      <c r="U40" s="198"/>
    </row>
    <row r="41" spans="1:21" s="12" customFormat="1" ht="15">
      <c r="A41" s="201" t="s">
        <v>1430</v>
      </c>
      <c r="B41" s="60">
        <v>2.21</v>
      </c>
      <c r="C41" s="60">
        <v>23.46</v>
      </c>
      <c r="D41" s="60">
        <v>25.67</v>
      </c>
      <c r="E41" s="60">
        <v>7.06</v>
      </c>
      <c r="F41" s="60">
        <v>1.70</v>
      </c>
      <c r="G41" s="60">
        <v>41.72</v>
      </c>
      <c r="H41" s="60">
        <v>18.20</v>
      </c>
      <c r="I41" s="60">
        <v>4.3600000000000003</v>
      </c>
      <c r="J41" s="60">
        <v>0.87</v>
      </c>
      <c r="K41" s="60">
        <v>229.63</v>
      </c>
      <c r="L41" s="60">
        <v>40.479999999999997</v>
      </c>
      <c r="M41" s="60">
        <v>54.52</v>
      </c>
      <c r="N41" s="60">
        <v>550.79999999999995</v>
      </c>
      <c r="O41" s="60">
        <v>0</v>
      </c>
      <c r="P41" s="60">
        <v>1.88</v>
      </c>
      <c r="Q41" s="60">
        <v>30.21</v>
      </c>
      <c r="R41" s="198"/>
      <c r="S41" s="198"/>
      <c r="T41" s="198"/>
      <c r="U41" s="198"/>
    </row>
    <row r="42" spans="1:21" s="12" customFormat="1" ht="15">
      <c r="A42" s="201" t="s">
        <v>1431</v>
      </c>
      <c r="B42" s="60">
        <v>1.54</v>
      </c>
      <c r="C42" s="60">
        <v>24.89</v>
      </c>
      <c r="D42" s="60">
        <v>26.43</v>
      </c>
      <c r="E42" s="60">
        <v>6.75</v>
      </c>
      <c r="F42" s="60">
        <v>2.4700000000000002</v>
      </c>
      <c r="G42" s="60">
        <v>41.72</v>
      </c>
      <c r="H42" s="60">
        <v>18.20</v>
      </c>
      <c r="I42" s="60">
        <v>4.24</v>
      </c>
      <c r="J42" s="60">
        <v>1.07</v>
      </c>
      <c r="K42" s="60">
        <v>213.02</v>
      </c>
      <c r="L42" s="60">
        <v>41.03</v>
      </c>
      <c r="M42" s="60">
        <v>52.60</v>
      </c>
      <c r="N42" s="60">
        <v>599</v>
      </c>
      <c r="O42" s="60">
        <v>0</v>
      </c>
      <c r="P42" s="60">
        <v>1.88</v>
      </c>
      <c r="Q42" s="60">
        <v>29.20</v>
      </c>
      <c r="R42" s="198"/>
      <c r="S42" s="198"/>
      <c r="T42" s="198"/>
      <c r="U42" s="198"/>
    </row>
    <row r="43" spans="1:21" s="12" customFormat="1" ht="15">
      <c r="A43" s="201" t="s">
        <v>1432</v>
      </c>
      <c r="B43" s="60">
        <v>1.05</v>
      </c>
      <c r="C43" s="60">
        <v>25.17</v>
      </c>
      <c r="D43" s="60">
        <v>26.22</v>
      </c>
      <c r="E43" s="60">
        <v>6.33</v>
      </c>
      <c r="F43" s="60">
        <v>2.72</v>
      </c>
      <c r="G43" s="60">
        <v>41.72</v>
      </c>
      <c r="H43" s="60">
        <v>18.20</v>
      </c>
      <c r="I43" s="60">
        <v>4.18</v>
      </c>
      <c r="J43" s="60">
        <v>0.49</v>
      </c>
      <c r="K43" s="60">
        <v>40.86</v>
      </c>
      <c r="L43" s="60">
        <v>42.29</v>
      </c>
      <c r="M43" s="60">
        <v>51.17</v>
      </c>
      <c r="N43" s="60">
        <v>652.60</v>
      </c>
      <c r="O43" s="60">
        <v>0</v>
      </c>
      <c r="P43" s="60">
        <v>1.89</v>
      </c>
      <c r="Q43" s="60">
        <v>27.12</v>
      </c>
      <c r="R43" s="198"/>
      <c r="S43" s="198"/>
      <c r="T43" s="198"/>
      <c r="U43" s="198"/>
    </row>
    <row r="44" spans="1:21" s="12" customFormat="1" ht="15">
      <c r="A44" s="201" t="s">
        <v>1433</v>
      </c>
      <c r="B44" s="60">
        <v>1.1100000000000001</v>
      </c>
      <c r="C44" s="60">
        <v>26.37</v>
      </c>
      <c r="D44" s="60">
        <v>27.48</v>
      </c>
      <c r="E44" s="60">
        <v>6.12</v>
      </c>
      <c r="F44" s="60">
        <v>2.81</v>
      </c>
      <c r="G44" s="60">
        <v>50.32</v>
      </c>
      <c r="H44" s="60">
        <v>18.38</v>
      </c>
      <c r="I44" s="60">
        <v>4.0599999999999996</v>
      </c>
      <c r="J44" s="60">
        <v>0.33</v>
      </c>
      <c r="K44" s="60">
        <v>285.07</v>
      </c>
      <c r="L44" s="60">
        <v>42.34</v>
      </c>
      <c r="M44" s="60">
        <v>50.16</v>
      </c>
      <c r="N44" s="60">
        <v>711.40</v>
      </c>
      <c r="O44" s="60">
        <v>0</v>
      </c>
      <c r="P44" s="60">
        <v>1.90</v>
      </c>
      <c r="Q44" s="60">
        <v>26.39</v>
      </c>
      <c r="R44" s="198"/>
      <c r="S44" s="198"/>
      <c r="T44" s="198"/>
      <c r="U44" s="198"/>
    </row>
    <row r="45" spans="1:21" s="12" customFormat="1" ht="15">
      <c r="A45" s="201" t="s">
        <v>1434</v>
      </c>
      <c r="B45" s="60">
        <v>1.06</v>
      </c>
      <c r="C45" s="60">
        <v>27.54</v>
      </c>
      <c r="D45" s="60">
        <v>28.60</v>
      </c>
      <c r="E45" s="60">
        <v>5.69</v>
      </c>
      <c r="F45" s="60">
        <v>3.15</v>
      </c>
      <c r="G45" s="60">
        <v>52.97</v>
      </c>
      <c r="H45" s="60">
        <v>18.510000000000002</v>
      </c>
      <c r="I45" s="60">
        <v>3.97</v>
      </c>
      <c r="J45" s="60">
        <v>1.59</v>
      </c>
      <c r="K45" s="60">
        <v>205.19</v>
      </c>
      <c r="L45" s="60">
        <v>41.94</v>
      </c>
      <c r="M45" s="60">
        <v>50.48</v>
      </c>
      <c r="N45" s="60">
        <v>770.60</v>
      </c>
      <c r="O45" s="60">
        <v>0</v>
      </c>
      <c r="P45" s="60">
        <v>1.90</v>
      </c>
      <c r="Q45" s="60">
        <v>27.26</v>
      </c>
      <c r="R45" s="198"/>
      <c r="S45" s="198"/>
      <c r="T45" s="198"/>
      <c r="U45" s="198"/>
    </row>
    <row r="46" spans="1:21" s="12" customFormat="1" ht="15">
      <c r="A46" s="201" t="s">
        <v>1435</v>
      </c>
      <c r="B46" s="60">
        <v>0.71</v>
      </c>
      <c r="C46" s="60">
        <v>26.56</v>
      </c>
      <c r="D46" s="60">
        <v>27.27</v>
      </c>
      <c r="E46" s="60">
        <v>5.71</v>
      </c>
      <c r="F46" s="60">
        <v>3.17</v>
      </c>
      <c r="G46" s="60">
        <v>52.97</v>
      </c>
      <c r="H46" s="60">
        <v>18.510000000000002</v>
      </c>
      <c r="I46" s="60">
        <v>3.95</v>
      </c>
      <c r="J46" s="60">
        <v>0.49</v>
      </c>
      <c r="K46" s="60">
        <v>215.17</v>
      </c>
      <c r="L46" s="60">
        <v>42.92</v>
      </c>
      <c r="M46" s="60">
        <v>49.55</v>
      </c>
      <c r="N46" s="60">
        <v>815.70</v>
      </c>
      <c r="O46" s="60">
        <v>0</v>
      </c>
      <c r="P46" s="60">
        <v>1.89</v>
      </c>
      <c r="Q46" s="60">
        <v>28.11</v>
      </c>
      <c r="R46" s="198"/>
      <c r="S46" s="198"/>
      <c r="T46" s="198"/>
      <c r="U46" s="198"/>
    </row>
    <row r="47" spans="1:21" s="12" customFormat="1" ht="15">
      <c r="A47" s="201" t="s">
        <v>1436</v>
      </c>
      <c r="B47" s="60">
        <v>0.66</v>
      </c>
      <c r="C47" s="60">
        <v>26.03</v>
      </c>
      <c r="D47" s="60">
        <v>26.69</v>
      </c>
      <c r="E47" s="60">
        <v>6.01</v>
      </c>
      <c r="F47" s="60">
        <v>3.5</v>
      </c>
      <c r="G47" s="60">
        <v>52.97</v>
      </c>
      <c r="H47" s="60">
        <v>18.510000000000002</v>
      </c>
      <c r="I47" s="60">
        <v>3.87</v>
      </c>
      <c r="J47" s="60">
        <v>0.55000000000000004</v>
      </c>
      <c r="K47" s="60">
        <v>259.58999999999997</v>
      </c>
      <c r="L47" s="60">
        <v>43.12</v>
      </c>
      <c r="M47" s="60">
        <v>49.41</v>
      </c>
      <c r="N47" s="60">
        <v>862.90</v>
      </c>
      <c r="O47" s="60">
        <v>0</v>
      </c>
      <c r="P47" s="60">
        <v>1.91</v>
      </c>
      <c r="Q47" s="60">
        <v>28.02</v>
      </c>
      <c r="R47" s="198"/>
      <c r="S47" s="198"/>
      <c r="T47" s="198"/>
      <c r="U47" s="198"/>
    </row>
    <row r="48" spans="1:21" s="12" customFormat="1" ht="15">
      <c r="A48" s="201" t="s">
        <v>1437</v>
      </c>
      <c r="B48" s="60">
        <v>0.52</v>
      </c>
      <c r="C48" s="60">
        <v>26.04</v>
      </c>
      <c r="D48" s="60">
        <v>26.56</v>
      </c>
      <c r="E48" s="60">
        <v>5.87</v>
      </c>
      <c r="F48" s="60">
        <v>4.43</v>
      </c>
      <c r="G48" s="60">
        <v>56.25</v>
      </c>
      <c r="H48" s="60">
        <v>18.73</v>
      </c>
      <c r="I48" s="60">
        <v>3.79</v>
      </c>
      <c r="J48" s="60">
        <v>0.89</v>
      </c>
      <c r="K48" s="60">
        <v>221.46</v>
      </c>
      <c r="L48" s="60">
        <v>42.92</v>
      </c>
      <c r="M48" s="60">
        <v>48.95</v>
      </c>
      <c r="N48" s="60">
        <v>904.40</v>
      </c>
      <c r="O48" s="60">
        <v>0</v>
      </c>
      <c r="P48" s="60">
        <v>1.93</v>
      </c>
      <c r="Q48" s="60">
        <v>27.38</v>
      </c>
      <c r="R48" s="198"/>
      <c r="S48" s="198"/>
      <c r="T48" s="198"/>
      <c r="U48" s="198"/>
    </row>
    <row r="49" spans="1:21" s="12" customFormat="1" ht="15">
      <c r="A49" s="201" t="s">
        <v>1438</v>
      </c>
      <c r="B49" s="60">
        <v>0.36</v>
      </c>
      <c r="C49" s="60">
        <v>25.49</v>
      </c>
      <c r="D49" s="60">
        <v>25.85</v>
      </c>
      <c r="E49" s="60">
        <v>5.28</v>
      </c>
      <c r="F49" s="60">
        <v>6.32</v>
      </c>
      <c r="G49" s="60">
        <v>57.28</v>
      </c>
      <c r="H49" s="60">
        <v>18.89</v>
      </c>
      <c r="I49" s="60">
        <v>3.80</v>
      </c>
      <c r="J49" s="60">
        <v>1.08</v>
      </c>
      <c r="K49" s="60">
        <v>218.19</v>
      </c>
      <c r="L49" s="60">
        <v>42.76</v>
      </c>
      <c r="M49" s="60">
        <v>49.06</v>
      </c>
      <c r="N49" s="60">
        <v>945.5</v>
      </c>
      <c r="O49" s="60">
        <v>0</v>
      </c>
      <c r="P49" s="60">
        <v>1.94</v>
      </c>
      <c r="Q49" s="60">
        <v>26.74</v>
      </c>
      <c r="R49" s="198"/>
      <c r="S49" s="198"/>
      <c r="T49" s="198"/>
      <c r="U49" s="198"/>
    </row>
    <row r="50" spans="1:21" s="12" customFormat="1" ht="15">
      <c r="A50" s="201" t="s">
        <v>1439</v>
      </c>
      <c r="B50" s="60">
        <v>0.28000000000000003</v>
      </c>
      <c r="C50" s="60">
        <v>24.26</v>
      </c>
      <c r="D50" s="60">
        <v>24.54</v>
      </c>
      <c r="E50" s="60">
        <v>4.91</v>
      </c>
      <c r="F50" s="60">
        <v>6.81</v>
      </c>
      <c r="G50" s="60">
        <v>57.28</v>
      </c>
      <c r="H50" s="60">
        <v>18.89</v>
      </c>
      <c r="I50" s="60">
        <v>3.85</v>
      </c>
      <c r="J50" s="60">
        <v>0.63</v>
      </c>
      <c r="K50" s="60">
        <v>264.79000000000002</v>
      </c>
      <c r="L50" s="60">
        <v>43.39</v>
      </c>
      <c r="M50" s="60">
        <v>48.01</v>
      </c>
      <c r="N50" s="60">
        <v>892</v>
      </c>
      <c r="O50" s="60">
        <v>0</v>
      </c>
      <c r="P50" s="60">
        <v>1.96</v>
      </c>
      <c r="Q50" s="60">
        <v>27.96</v>
      </c>
      <c r="R50" s="198"/>
      <c r="S50" s="198"/>
      <c r="T50" s="198"/>
      <c r="U50" s="198"/>
    </row>
    <row r="51" spans="1:21" s="12" customFormat="1" ht="15">
      <c r="A51" s="201" t="s">
        <v>1440</v>
      </c>
      <c r="B51" s="60">
        <v>0.35</v>
      </c>
      <c r="C51" s="60">
        <v>21.60</v>
      </c>
      <c r="D51" s="60">
        <v>21.96</v>
      </c>
      <c r="E51" s="60">
        <v>4.87</v>
      </c>
      <c r="F51" s="60">
        <v>7.03</v>
      </c>
      <c r="G51" s="60">
        <v>57.28</v>
      </c>
      <c r="H51" s="60">
        <v>18.89</v>
      </c>
      <c r="I51" s="60">
        <v>3.80</v>
      </c>
      <c r="J51" s="60">
        <v>0.54</v>
      </c>
      <c r="K51" s="60">
        <v>266.01</v>
      </c>
      <c r="L51" s="60">
        <v>43.83</v>
      </c>
      <c r="M51" s="60">
        <v>47.83</v>
      </c>
      <c r="N51" s="60">
        <v>885</v>
      </c>
      <c r="O51" s="60">
        <v>0</v>
      </c>
      <c r="P51" s="60">
        <v>1.98</v>
      </c>
      <c r="Q51" s="60">
        <v>31.25</v>
      </c>
      <c r="R51" s="198"/>
      <c r="S51" s="198"/>
      <c r="T51" s="198"/>
      <c r="U51" s="198"/>
    </row>
    <row r="52" spans="1:21" s="12" customFormat="1" ht="15">
      <c r="A52" s="201" t="s">
        <v>1441</v>
      </c>
      <c r="B52" s="60">
        <v>0.37</v>
      </c>
      <c r="C52" s="60">
        <v>22.11</v>
      </c>
      <c r="D52" s="60">
        <v>22.48</v>
      </c>
      <c r="E52" s="60">
        <v>2.31</v>
      </c>
      <c r="F52" s="60">
        <v>8.35</v>
      </c>
      <c r="G52" s="60">
        <v>54.56</v>
      </c>
      <c r="H52" s="60">
        <v>18.28</v>
      </c>
      <c r="I52" s="60">
        <v>3.80</v>
      </c>
      <c r="J52" s="60">
        <v>0.60</v>
      </c>
      <c r="K52" s="60">
        <v>299.38</v>
      </c>
      <c r="L52" s="60">
        <v>44.44</v>
      </c>
      <c r="M52" s="60">
        <v>47.09</v>
      </c>
      <c r="N52" s="60">
        <v>934.5</v>
      </c>
      <c r="O52" s="60">
        <v>0</v>
      </c>
      <c r="P52" s="60">
        <v>2</v>
      </c>
      <c r="Q52" s="60">
        <v>31.08</v>
      </c>
      <c r="R52" s="198"/>
      <c r="S52" s="198"/>
      <c r="T52" s="198"/>
      <c r="U52" s="198"/>
    </row>
    <row r="53" spans="1:21" s="12" customFormat="1" ht="15">
      <c r="A53" s="201" t="s">
        <v>1442</v>
      </c>
      <c r="B53" s="60">
        <v>0.34</v>
      </c>
      <c r="C53" s="60">
        <v>21.31</v>
      </c>
      <c r="D53" s="60">
        <v>21.65</v>
      </c>
      <c r="E53" s="60">
        <v>3.89</v>
      </c>
      <c r="F53" s="60">
        <v>7.61</v>
      </c>
      <c r="G53" s="60">
        <v>53.11</v>
      </c>
      <c r="H53" s="60">
        <v>17.84</v>
      </c>
      <c r="I53" s="60">
        <v>3.81</v>
      </c>
      <c r="J53" s="60">
        <v>0.56999999999999995</v>
      </c>
      <c r="K53" s="60">
        <v>21.27</v>
      </c>
      <c r="L53" s="60">
        <v>45.22</v>
      </c>
      <c r="M53" s="60">
        <v>45.85</v>
      </c>
      <c r="N53" s="60">
        <v>923.20</v>
      </c>
      <c r="O53" s="60">
        <v>0</v>
      </c>
      <c r="P53" s="60">
        <v>2.0099999999999998</v>
      </c>
      <c r="Q53" s="60">
        <v>31.42</v>
      </c>
      <c r="R53" s="198"/>
      <c r="S53" s="198"/>
      <c r="T53" s="198"/>
      <c r="U53" s="198"/>
    </row>
    <row r="54" spans="1:21" s="12" customFormat="1" ht="15">
      <c r="A54" s="201" t="s">
        <v>1443</v>
      </c>
      <c r="B54" s="60">
        <v>0.41</v>
      </c>
      <c r="C54" s="60">
        <v>21.47</v>
      </c>
      <c r="D54" s="60">
        <v>21.88</v>
      </c>
      <c r="E54" s="60">
        <v>4.3899999999999997</v>
      </c>
      <c r="F54" s="60">
        <v>7.74</v>
      </c>
      <c r="G54" s="60">
        <v>53.11</v>
      </c>
      <c r="H54" s="60">
        <v>17.84</v>
      </c>
      <c r="I54" s="60">
        <v>3.85</v>
      </c>
      <c r="J54" s="60">
        <v>0.44</v>
      </c>
      <c r="K54" s="60">
        <v>326.37</v>
      </c>
      <c r="L54" s="60">
        <v>45.02</v>
      </c>
      <c r="M54" s="60">
        <v>46.36</v>
      </c>
      <c r="N54" s="60">
        <v>957.5</v>
      </c>
      <c r="O54" s="60">
        <v>0</v>
      </c>
      <c r="P54" s="60">
        <v>2.0299999999999998</v>
      </c>
      <c r="Q54" s="60">
        <v>29.61</v>
      </c>
      <c r="R54" s="198"/>
      <c r="S54" s="198"/>
      <c r="T54" s="198"/>
      <c r="U54" s="198"/>
    </row>
    <row r="55" spans="1:21" s="12" customFormat="1" ht="15">
      <c r="A55" s="201" t="s">
        <v>1444</v>
      </c>
      <c r="B55" s="60">
        <v>0.28000000000000003</v>
      </c>
      <c r="C55" s="60">
        <v>21.68</v>
      </c>
      <c r="D55" s="60">
        <v>21.96</v>
      </c>
      <c r="E55" s="60">
        <v>4.26</v>
      </c>
      <c r="F55" s="60">
        <v>12.04</v>
      </c>
      <c r="G55" s="60">
        <v>53.11</v>
      </c>
      <c r="H55" s="60">
        <v>17.84</v>
      </c>
      <c r="I55" s="60">
        <v>3.89</v>
      </c>
      <c r="J55" s="60">
        <v>1.25</v>
      </c>
      <c r="K55" s="60">
        <v>222.96</v>
      </c>
      <c r="L55" s="60">
        <v>44.83</v>
      </c>
      <c r="M55" s="60">
        <v>45.48</v>
      </c>
      <c r="N55" s="60">
        <v>967.80</v>
      </c>
      <c r="O55" s="60">
        <v>0</v>
      </c>
      <c r="P55" s="60">
        <v>2.0099999999999998</v>
      </c>
      <c r="Q55" s="60">
        <v>28.44</v>
      </c>
      <c r="R55" s="198"/>
      <c r="S55" s="198"/>
      <c r="T55" s="198"/>
      <c r="U55" s="198"/>
    </row>
    <row r="56" spans="1:21" s="12" customFormat="1" ht="15">
      <c r="A56" s="201" t="s">
        <v>1445</v>
      </c>
      <c r="B56" s="60">
        <v>0.17</v>
      </c>
      <c r="C56" s="60">
        <v>19.760000000000002</v>
      </c>
      <c r="D56" s="60">
        <v>19.93</v>
      </c>
      <c r="E56" s="60">
        <v>4.21</v>
      </c>
      <c r="F56" s="60">
        <v>13.32</v>
      </c>
      <c r="G56" s="60">
        <v>60.16</v>
      </c>
      <c r="H56" s="60">
        <v>16.170000000000002</v>
      </c>
      <c r="I56" s="60">
        <v>3.93</v>
      </c>
      <c r="J56" s="60">
        <v>0.48</v>
      </c>
      <c r="K56" s="60">
        <v>289.66000000000003</v>
      </c>
      <c r="L56" s="60">
        <v>45.14</v>
      </c>
      <c r="M56" s="60">
        <v>45.54</v>
      </c>
      <c r="N56" s="60">
        <v>997</v>
      </c>
      <c r="O56" s="60">
        <v>0</v>
      </c>
      <c r="P56" s="60">
        <v>2.0099999999999998</v>
      </c>
      <c r="Q56" s="60">
        <v>30.15</v>
      </c>
      <c r="R56" s="198"/>
      <c r="S56" s="198"/>
      <c r="T56" s="198"/>
      <c r="U56" s="198"/>
    </row>
    <row r="57" spans="1:21" s="12" customFormat="1" ht="15">
      <c r="A57" s="201" t="s">
        <v>1446</v>
      </c>
      <c r="B57" s="60">
        <v>0.06</v>
      </c>
      <c r="C57" s="60">
        <v>19.989999999999998</v>
      </c>
      <c r="D57" s="60">
        <v>20.059999999999999</v>
      </c>
      <c r="E57" s="60">
        <v>3.93</v>
      </c>
      <c r="F57" s="60">
        <v>22.32</v>
      </c>
      <c r="G57" s="60">
        <v>62.33</v>
      </c>
      <c r="H57" s="60">
        <v>14.95</v>
      </c>
      <c r="I57" s="60">
        <v>3.84</v>
      </c>
      <c r="J57" s="60">
        <v>0.39</v>
      </c>
      <c r="K57" s="60">
        <v>290.20999999999998</v>
      </c>
      <c r="L57" s="60">
        <v>45.56</v>
      </c>
      <c r="M57" s="60">
        <v>44.96</v>
      </c>
      <c r="N57" s="60">
        <v>1004.40</v>
      </c>
      <c r="O57" s="60">
        <v>0</v>
      </c>
      <c r="P57" s="60">
        <v>2.0099999999999998</v>
      </c>
      <c r="Q57" s="60">
        <v>28.82</v>
      </c>
      <c r="R57" s="198"/>
      <c r="S57" s="198"/>
      <c r="T57" s="198"/>
      <c r="U57" s="198"/>
    </row>
    <row r="58" spans="1:21" s="12" customFormat="1" ht="15">
      <c r="A58" s="201" t="s">
        <v>1447</v>
      </c>
      <c r="B58" s="60">
        <v>0.11</v>
      </c>
      <c r="C58" s="60">
        <v>21.41</v>
      </c>
      <c r="D58" s="60">
        <v>21.52</v>
      </c>
      <c r="E58" s="60">
        <v>3.17</v>
      </c>
      <c r="F58" s="60">
        <v>20</v>
      </c>
      <c r="G58" s="60">
        <v>62.33</v>
      </c>
      <c r="H58" s="60">
        <v>14.95</v>
      </c>
      <c r="I58" s="60">
        <v>3.94</v>
      </c>
      <c r="J58" s="60">
        <v>0.67</v>
      </c>
      <c r="K58" s="60">
        <v>320.89</v>
      </c>
      <c r="L58" s="60">
        <v>45.81</v>
      </c>
      <c r="M58" s="60">
        <v>44.73</v>
      </c>
      <c r="N58" s="60">
        <v>993.5</v>
      </c>
      <c r="O58" s="60">
        <v>0</v>
      </c>
      <c r="P58" s="60">
        <v>2.02</v>
      </c>
      <c r="Q58" s="60">
        <v>27.36</v>
      </c>
      <c r="R58" s="198"/>
      <c r="S58" s="198"/>
      <c r="T58" s="198"/>
      <c r="U58" s="198"/>
    </row>
    <row r="59" spans="1:21" s="12" customFormat="1" ht="15">
      <c r="A59" s="201" t="s">
        <v>1448</v>
      </c>
      <c r="B59" s="60">
        <v>0.06</v>
      </c>
      <c r="C59" s="60">
        <v>23.77</v>
      </c>
      <c r="D59" s="60">
        <v>23.83</v>
      </c>
      <c r="E59" s="60">
        <v>3.27</v>
      </c>
      <c r="F59" s="60">
        <v>22.95</v>
      </c>
      <c r="G59" s="60">
        <v>62.33</v>
      </c>
      <c r="H59" s="60">
        <v>14.95</v>
      </c>
      <c r="I59" s="60">
        <v>4</v>
      </c>
      <c r="J59" s="60">
        <v>1</v>
      </c>
      <c r="K59" s="60">
        <v>245.31</v>
      </c>
      <c r="L59" s="60">
        <v>45.41</v>
      </c>
      <c r="M59" s="60">
        <v>43.80</v>
      </c>
      <c r="N59" s="60">
        <v>995.10</v>
      </c>
      <c r="O59" s="60">
        <v>0</v>
      </c>
      <c r="P59" s="60">
        <v>2.10</v>
      </c>
      <c r="Q59" s="60">
        <v>27.76</v>
      </c>
      <c r="R59" s="198"/>
      <c r="S59" s="198"/>
      <c r="T59" s="198"/>
      <c r="U59" s="198"/>
    </row>
    <row r="60" spans="1:21" s="12" customFormat="1" ht="15">
      <c r="A60" s="201" t="s">
        <v>1449</v>
      </c>
      <c r="B60" s="218" t="s">
        <v>47</v>
      </c>
      <c r="C60" s="60">
        <v>25.91</v>
      </c>
      <c r="D60" s="60">
        <v>25.91</v>
      </c>
      <c r="E60" s="60">
        <v>3.08</v>
      </c>
      <c r="F60" s="60">
        <v>23.13</v>
      </c>
      <c r="G60" s="60">
        <v>60.37</v>
      </c>
      <c r="H60" s="60">
        <v>18.54</v>
      </c>
      <c r="I60" s="60">
        <v>3.89</v>
      </c>
      <c r="J60" s="60">
        <v>0.73</v>
      </c>
      <c r="K60" s="60">
        <v>240.02</v>
      </c>
      <c r="L60" s="60">
        <v>46.06</v>
      </c>
      <c r="M60" s="60">
        <v>43.21</v>
      </c>
      <c r="N60" s="60">
        <v>963.30</v>
      </c>
      <c r="O60" s="60">
        <v>0</v>
      </c>
      <c r="P60" s="60">
        <v>2.11</v>
      </c>
      <c r="Q60" s="60">
        <v>28.16</v>
      </c>
      <c r="R60" s="198"/>
      <c r="S60" s="198"/>
      <c r="T60" s="198"/>
      <c r="U60" s="198"/>
    </row>
    <row r="61" spans="1:21" s="12" customFormat="1" ht="15">
      <c r="A61" s="201" t="s">
        <v>1450</v>
      </c>
      <c r="B61" s="60">
        <v>0.05</v>
      </c>
      <c r="C61" s="60">
        <v>24.65</v>
      </c>
      <c r="D61" s="60">
        <v>24.70</v>
      </c>
      <c r="E61" s="60">
        <v>2.54</v>
      </c>
      <c r="F61" s="60">
        <v>19.09</v>
      </c>
      <c r="G61" s="60">
        <v>59.81</v>
      </c>
      <c r="H61" s="60">
        <v>21.16</v>
      </c>
      <c r="I61" s="60">
        <v>3.91</v>
      </c>
      <c r="J61" s="60">
        <v>0.80</v>
      </c>
      <c r="K61" s="60">
        <v>341.42</v>
      </c>
      <c r="L61" s="60">
        <v>47.02</v>
      </c>
      <c r="M61" s="60">
        <v>42.24</v>
      </c>
      <c r="N61" s="60">
        <v>958</v>
      </c>
      <c r="O61" s="60">
        <v>0</v>
      </c>
      <c r="P61" s="60">
        <v>2.0699999999999998</v>
      </c>
      <c r="Q61" s="60">
        <v>27.83</v>
      </c>
      <c r="R61" s="198"/>
      <c r="S61" s="198"/>
      <c r="T61" s="198"/>
      <c r="U61" s="198"/>
    </row>
    <row r="62" spans="1:21" s="12" customFormat="1" ht="15">
      <c r="A62" s="201" t="s">
        <v>1451</v>
      </c>
      <c r="B62" s="60">
        <v>0.13</v>
      </c>
      <c r="C62" s="60">
        <v>23.56</v>
      </c>
      <c r="D62" s="60">
        <v>23.68</v>
      </c>
      <c r="E62" s="60">
        <v>2.4500000000000002</v>
      </c>
      <c r="F62" s="60">
        <v>14.35</v>
      </c>
      <c r="G62" s="60">
        <v>59.81</v>
      </c>
      <c r="H62" s="60">
        <v>21.16</v>
      </c>
      <c r="I62" s="60">
        <v>4.12</v>
      </c>
      <c r="J62" s="60">
        <v>0.72</v>
      </c>
      <c r="K62" s="60">
        <v>288.87</v>
      </c>
      <c r="L62" s="60">
        <v>47.02</v>
      </c>
      <c r="M62" s="60">
        <v>41.98</v>
      </c>
      <c r="N62" s="60">
        <v>870.10</v>
      </c>
      <c r="O62" s="60">
        <v>0</v>
      </c>
      <c r="P62" s="60">
        <v>2.09</v>
      </c>
      <c r="Q62" s="60">
        <v>28.74</v>
      </c>
      <c r="R62" s="198"/>
      <c r="S62" s="198"/>
      <c r="T62" s="198"/>
      <c r="U62" s="198"/>
    </row>
    <row r="63" spans="1:21" s="12" customFormat="1" ht="15">
      <c r="A63" s="201" t="s">
        <v>1452</v>
      </c>
      <c r="B63" s="60">
        <v>0.08</v>
      </c>
      <c r="C63" s="60">
        <v>23.79</v>
      </c>
      <c r="D63" s="60">
        <v>23.88</v>
      </c>
      <c r="E63" s="60">
        <v>3.08</v>
      </c>
      <c r="F63" s="60">
        <v>18.78</v>
      </c>
      <c r="G63" s="60">
        <v>59.81</v>
      </c>
      <c r="H63" s="60">
        <v>21.16</v>
      </c>
      <c r="I63" s="60">
        <v>4.13</v>
      </c>
      <c r="J63" s="60">
        <v>1.95</v>
      </c>
      <c r="K63" s="60">
        <v>318.99</v>
      </c>
      <c r="L63" s="60">
        <v>48.45</v>
      </c>
      <c r="M63" s="60">
        <v>41.41</v>
      </c>
      <c r="N63" s="60">
        <v>801.60</v>
      </c>
      <c r="O63" s="60">
        <v>0</v>
      </c>
      <c r="P63" s="60">
        <v>2.10</v>
      </c>
      <c r="Q63" s="60">
        <v>39.770000000000003</v>
      </c>
      <c r="R63" s="198"/>
      <c r="S63" s="198"/>
      <c r="T63" s="198"/>
      <c r="U63" s="198"/>
    </row>
    <row r="64" spans="1:21" s="12" customFormat="1" ht="15">
      <c r="A64" s="201" t="s">
        <v>1453</v>
      </c>
      <c r="B64" s="60">
        <v>0.17</v>
      </c>
      <c r="C64" s="60">
        <v>26.47</v>
      </c>
      <c r="D64" s="60">
        <v>26.64</v>
      </c>
      <c r="E64" s="60">
        <v>3.34</v>
      </c>
      <c r="F64" s="60">
        <v>23.90</v>
      </c>
      <c r="G64" s="60">
        <v>62.32</v>
      </c>
      <c r="H64" s="60">
        <v>20.82</v>
      </c>
      <c r="I64" s="60">
        <v>4.3899999999999997</v>
      </c>
      <c r="J64" s="60">
        <v>1.22</v>
      </c>
      <c r="K64" s="60">
        <v>306.98</v>
      </c>
      <c r="L64" s="60">
        <v>49.03</v>
      </c>
      <c r="M64" s="60">
        <v>40.31</v>
      </c>
      <c r="N64" s="60">
        <v>782.10</v>
      </c>
      <c r="O64" s="60">
        <v>0</v>
      </c>
      <c r="P64" s="60">
        <v>2.12</v>
      </c>
      <c r="Q64" s="60">
        <v>44.75</v>
      </c>
      <c r="R64" s="198"/>
      <c r="S64" s="198"/>
      <c r="T64" s="198"/>
      <c r="U64" s="198"/>
    </row>
    <row r="65" spans="1:21" s="12" customFormat="1" ht="15">
      <c r="A65" s="201" t="s">
        <v>1454</v>
      </c>
      <c r="B65" s="60">
        <v>0.36</v>
      </c>
      <c r="C65" s="60">
        <v>26.31</v>
      </c>
      <c r="D65" s="60">
        <v>26.67</v>
      </c>
      <c r="E65" s="60">
        <v>2.2400000000000002</v>
      </c>
      <c r="F65" s="60">
        <v>11.40</v>
      </c>
      <c r="G65" s="60">
        <v>63.05</v>
      </c>
      <c r="H65" s="60">
        <v>20.56</v>
      </c>
      <c r="I65" s="60">
        <v>4.51</v>
      </c>
      <c r="J65" s="60">
        <v>1.63</v>
      </c>
      <c r="K65" s="60">
        <v>314.95</v>
      </c>
      <c r="L65" s="60">
        <v>49.31</v>
      </c>
      <c r="M65" s="60">
        <v>40.07</v>
      </c>
      <c r="N65" s="60">
        <v>748.40</v>
      </c>
      <c r="O65" s="60">
        <v>0</v>
      </c>
      <c r="P65" s="60">
        <v>2.08</v>
      </c>
      <c r="Q65" s="60">
        <v>49.56</v>
      </c>
      <c r="R65" s="198"/>
      <c r="S65" s="198"/>
      <c r="T65" s="198"/>
      <c r="U65" s="198"/>
    </row>
    <row r="66" spans="1:21" s="12" customFormat="1" ht="15">
      <c r="A66" s="201" t="s">
        <v>1455</v>
      </c>
      <c r="B66" s="60">
        <v>0.33</v>
      </c>
      <c r="C66" s="60">
        <v>25.86</v>
      </c>
      <c r="D66" s="60">
        <v>26.19</v>
      </c>
      <c r="E66" s="60">
        <v>2.75</v>
      </c>
      <c r="F66" s="60">
        <v>17.55</v>
      </c>
      <c r="G66" s="60">
        <v>63.05</v>
      </c>
      <c r="H66" s="60">
        <v>20.56</v>
      </c>
      <c r="I66" s="60">
        <v>4.47</v>
      </c>
      <c r="J66" s="60">
        <v>0.99</v>
      </c>
      <c r="K66" s="60">
        <v>270.07</v>
      </c>
      <c r="L66" s="60">
        <v>51.15</v>
      </c>
      <c r="M66" s="60">
        <v>39.71</v>
      </c>
      <c r="N66" s="60">
        <v>653.5</v>
      </c>
      <c r="O66" s="60">
        <v>0</v>
      </c>
      <c r="P66" s="60">
        <v>2.06</v>
      </c>
      <c r="Q66" s="60">
        <v>64.63</v>
      </c>
      <c r="R66" s="198"/>
      <c r="S66" s="198"/>
      <c r="T66" s="198"/>
      <c r="U66" s="198"/>
    </row>
    <row r="67" spans="1:21" s="12" customFormat="1" ht="15">
      <c r="A67" s="201" t="s">
        <v>1456</v>
      </c>
      <c r="B67" s="60">
        <v>0.32</v>
      </c>
      <c r="C67" s="60">
        <v>26.28</v>
      </c>
      <c r="D67" s="60">
        <v>26.60</v>
      </c>
      <c r="E67" s="60">
        <v>2.38</v>
      </c>
      <c r="F67" s="60">
        <v>14.76</v>
      </c>
      <c r="G67" s="60">
        <v>63.05</v>
      </c>
      <c r="H67" s="60">
        <v>20.56</v>
      </c>
      <c r="I67" s="60">
        <v>4.57</v>
      </c>
      <c r="J67" s="60">
        <v>0.85</v>
      </c>
      <c r="K67" s="60">
        <v>295.33999999999997</v>
      </c>
      <c r="L67" s="60">
        <v>50.83</v>
      </c>
      <c r="M67" s="60">
        <v>38.86</v>
      </c>
      <c r="N67" s="60">
        <v>719.70</v>
      </c>
      <c r="O67" s="60">
        <v>0</v>
      </c>
      <c r="P67" s="60">
        <v>2.04</v>
      </c>
      <c r="Q67" s="60">
        <v>75.36</v>
      </c>
      <c r="R67" s="198"/>
      <c r="S67" s="198"/>
      <c r="T67" s="198"/>
      <c r="U67" s="198"/>
    </row>
    <row r="68" spans="1:21" s="12" customFormat="1" ht="15">
      <c r="A68" s="201" t="s">
        <v>1457</v>
      </c>
      <c r="B68" s="60">
        <v>0.62</v>
      </c>
      <c r="C68" s="60">
        <v>29.16</v>
      </c>
      <c r="D68" s="60">
        <v>29.77</v>
      </c>
      <c r="E68" s="60">
        <v>2.13</v>
      </c>
      <c r="F68" s="60">
        <v>14.83</v>
      </c>
      <c r="G68" s="60">
        <v>60.71</v>
      </c>
      <c r="H68" s="60">
        <v>19.059999999999999</v>
      </c>
      <c r="I68" s="60">
        <v>4.34</v>
      </c>
      <c r="J68" s="60">
        <v>0.59</v>
      </c>
      <c r="K68" s="60">
        <v>235.20</v>
      </c>
      <c r="L68" s="60">
        <v>53.37</v>
      </c>
      <c r="M68" s="60">
        <v>37.96</v>
      </c>
      <c r="N68" s="60">
        <v>650.79999999999995</v>
      </c>
      <c r="O68" s="60">
        <v>0</v>
      </c>
      <c r="P68" s="60">
        <v>2.0099999999999998</v>
      </c>
      <c r="Q68" s="60">
        <v>88.60</v>
      </c>
      <c r="R68" s="198"/>
      <c r="S68" s="198"/>
      <c r="T68" s="198"/>
      <c r="U68" s="198"/>
    </row>
    <row r="69" spans="1:21" s="12" customFormat="1" ht="15">
      <c r="A69" s="201" t="s">
        <v>1458</v>
      </c>
      <c r="B69" s="60">
        <v>0.5</v>
      </c>
      <c r="C69" s="60">
        <v>29.20</v>
      </c>
      <c r="D69" s="60">
        <v>29.70</v>
      </c>
      <c r="E69" s="60">
        <v>3.93</v>
      </c>
      <c r="F69" s="60">
        <v>13.77</v>
      </c>
      <c r="G69" s="60">
        <v>60.03</v>
      </c>
      <c r="H69" s="60">
        <v>17.97</v>
      </c>
      <c r="I69" s="60">
        <v>4.25</v>
      </c>
      <c r="J69" s="60">
        <v>0.94</v>
      </c>
      <c r="K69" s="60">
        <v>334.10</v>
      </c>
      <c r="L69" s="60">
        <v>51.08</v>
      </c>
      <c r="M69" s="60">
        <v>38.130000000000003</v>
      </c>
      <c r="N69" s="60">
        <v>601.5</v>
      </c>
      <c r="O69" s="60">
        <v>0</v>
      </c>
      <c r="P69" s="60">
        <v>2.0299999999999998</v>
      </c>
      <c r="Q69" s="60">
        <v>77.55</v>
      </c>
      <c r="R69" s="198"/>
      <c r="S69" s="198"/>
      <c r="T69" s="198"/>
      <c r="U69" s="198"/>
    </row>
    <row r="70" spans="1:21" s="12" customFormat="1" ht="15">
      <c r="A70" s="201" t="s">
        <v>1459</v>
      </c>
      <c r="B70" s="60">
        <v>0.47</v>
      </c>
      <c r="C70" s="60">
        <v>29.23</v>
      </c>
      <c r="D70" s="60">
        <v>29.70</v>
      </c>
      <c r="E70" s="60">
        <v>3.84</v>
      </c>
      <c r="F70" s="60">
        <v>12.68</v>
      </c>
      <c r="G70" s="60">
        <v>60.03</v>
      </c>
      <c r="H70" s="60">
        <v>17.97</v>
      </c>
      <c r="I70" s="60">
        <v>4.03</v>
      </c>
      <c r="J70" s="60">
        <v>1.32</v>
      </c>
      <c r="K70" s="60">
        <v>224.19</v>
      </c>
      <c r="L70" s="60">
        <v>49.91</v>
      </c>
      <c r="M70" s="60">
        <v>37.25</v>
      </c>
      <c r="N70" s="60">
        <v>545</v>
      </c>
      <c r="O70" s="60">
        <v>0</v>
      </c>
      <c r="P70" s="60">
        <v>2.08</v>
      </c>
      <c r="Q70" s="60">
        <v>81.02</v>
      </c>
      <c r="R70" s="198"/>
      <c r="S70" s="198"/>
      <c r="T70" s="198"/>
      <c r="U70" s="198"/>
    </row>
    <row r="71" spans="1:21" s="12" customFormat="1" ht="15">
      <c r="A71" s="201" t="s">
        <v>1460</v>
      </c>
      <c r="B71" s="60">
        <v>0.22</v>
      </c>
      <c r="C71" s="60">
        <v>25.99</v>
      </c>
      <c r="D71" s="60">
        <v>26.21</v>
      </c>
      <c r="E71" s="60">
        <v>3.68</v>
      </c>
      <c r="F71" s="60">
        <v>13.13</v>
      </c>
      <c r="G71" s="60">
        <v>60.03</v>
      </c>
      <c r="H71" s="60">
        <v>17.97</v>
      </c>
      <c r="I71" s="60">
        <v>4.0199999999999996</v>
      </c>
      <c r="J71" s="60">
        <v>0.62</v>
      </c>
      <c r="K71" s="60">
        <v>215.67</v>
      </c>
      <c r="L71" s="60">
        <v>49.06</v>
      </c>
      <c r="M71" s="60">
        <v>37.24</v>
      </c>
      <c r="N71" s="60">
        <v>495.60</v>
      </c>
      <c r="O71" s="60">
        <v>0</v>
      </c>
      <c r="P71" s="60">
        <v>2.06</v>
      </c>
      <c r="Q71" s="60">
        <v>84.91</v>
      </c>
      <c r="R71" s="198"/>
      <c r="S71" s="198"/>
      <c r="T71" s="198"/>
      <c r="U71" s="198"/>
    </row>
    <row r="72" spans="1:21" s="12" customFormat="1" ht="15">
      <c r="A72" s="201" t="s">
        <v>1461</v>
      </c>
      <c r="B72" s="60">
        <v>0.32</v>
      </c>
      <c r="C72" s="60">
        <v>26.46</v>
      </c>
      <c r="D72" s="60">
        <v>26.77</v>
      </c>
      <c r="E72" s="60">
        <v>4.04</v>
      </c>
      <c r="F72" s="60">
        <v>16.36</v>
      </c>
      <c r="G72" s="60">
        <v>52.93</v>
      </c>
      <c r="H72" s="60">
        <v>17.79</v>
      </c>
      <c r="I72" s="60">
        <v>4.34</v>
      </c>
      <c r="J72" s="60">
        <v>0.54</v>
      </c>
      <c r="K72" s="60">
        <v>42.41</v>
      </c>
      <c r="L72" s="60">
        <v>49.10</v>
      </c>
      <c r="M72" s="60">
        <v>36.64</v>
      </c>
      <c r="N72" s="60">
        <v>442.70</v>
      </c>
      <c r="O72" s="60">
        <v>0</v>
      </c>
      <c r="P72" s="60">
        <v>2.0699999999999998</v>
      </c>
      <c r="Q72" s="60">
        <v>84.43</v>
      </c>
      <c r="R72" s="198"/>
      <c r="S72" s="198"/>
      <c r="T72" s="198"/>
      <c r="U72" s="198"/>
    </row>
    <row r="73" spans="1:21" s="12" customFormat="1" ht="15">
      <c r="A73" s="201" t="s">
        <v>1462</v>
      </c>
      <c r="B73" s="60">
        <v>0.16</v>
      </c>
      <c r="C73" s="60">
        <v>26.63</v>
      </c>
      <c r="D73" s="60">
        <v>26.79</v>
      </c>
      <c r="E73" s="60">
        <v>3.59</v>
      </c>
      <c r="F73" s="60">
        <v>16.16</v>
      </c>
      <c r="G73" s="60">
        <v>50.88</v>
      </c>
      <c r="H73" s="60">
        <v>17.670000000000002</v>
      </c>
      <c r="I73" s="60">
        <v>4.5999999999999996</v>
      </c>
      <c r="J73" s="60">
        <v>1.25</v>
      </c>
      <c r="K73" s="60">
        <v>200.90</v>
      </c>
      <c r="L73" s="60">
        <v>48.58</v>
      </c>
      <c r="M73" s="60">
        <v>36.61</v>
      </c>
      <c r="N73" s="60">
        <v>378.90</v>
      </c>
      <c r="O73" s="60">
        <v>0</v>
      </c>
      <c r="P73" s="60">
        <v>2.06</v>
      </c>
      <c r="Q73" s="60">
        <v>82.51</v>
      </c>
      <c r="R73" s="198"/>
      <c r="S73" s="198"/>
      <c r="T73" s="198"/>
      <c r="U73" s="198"/>
    </row>
    <row r="74" spans="1:21" s="12" customFormat="1" ht="15">
      <c r="A74" s="201" t="s">
        <v>1463</v>
      </c>
      <c r="B74" s="60">
        <v>0.41</v>
      </c>
      <c r="C74" s="60">
        <v>25.98</v>
      </c>
      <c r="D74" s="60">
        <v>26.38</v>
      </c>
      <c r="E74" s="60">
        <v>3.59</v>
      </c>
      <c r="F74" s="60">
        <v>13.45</v>
      </c>
      <c r="G74" s="60">
        <v>50.88</v>
      </c>
      <c r="H74" s="60">
        <v>17.670000000000002</v>
      </c>
      <c r="I74" s="60">
        <v>4.84</v>
      </c>
      <c r="J74" s="60">
        <v>0.37</v>
      </c>
      <c r="K74" s="60">
        <v>214.46</v>
      </c>
      <c r="L74" s="60">
        <v>48.31</v>
      </c>
      <c r="M74" s="60">
        <v>37.090000000000003</v>
      </c>
      <c r="N74" s="60">
        <v>322</v>
      </c>
      <c r="O74" s="60">
        <v>0</v>
      </c>
      <c r="P74" s="60">
        <v>2.02</v>
      </c>
      <c r="Q74" s="60">
        <v>85.5</v>
      </c>
      <c r="R74" s="198"/>
      <c r="S74" s="198"/>
      <c r="T74" s="198"/>
      <c r="U74" s="198"/>
    </row>
    <row r="75" spans="1:21" s="12" customFormat="1" ht="15">
      <c r="A75" s="201" t="s">
        <v>1464</v>
      </c>
      <c r="B75" s="60">
        <v>0.41</v>
      </c>
      <c r="C75" s="60">
        <v>26.23</v>
      </c>
      <c r="D75" s="60">
        <v>26.64</v>
      </c>
      <c r="E75" s="60">
        <v>3.09</v>
      </c>
      <c r="F75" s="60">
        <v>13.14</v>
      </c>
      <c r="G75" s="60">
        <v>50.88</v>
      </c>
      <c r="H75" s="60">
        <v>17.670000000000002</v>
      </c>
      <c r="I75" s="60">
        <v>4.87</v>
      </c>
      <c r="J75" s="60">
        <v>0.67</v>
      </c>
      <c r="K75" s="60">
        <v>245.65</v>
      </c>
      <c r="L75" s="60">
        <v>51.51</v>
      </c>
      <c r="M75" s="60">
        <v>37.880000000000003</v>
      </c>
      <c r="N75" s="60">
        <v>132.60</v>
      </c>
      <c r="O75" s="60">
        <v>0</v>
      </c>
      <c r="P75" s="60">
        <v>1.96</v>
      </c>
      <c r="Q75" s="60">
        <v>87.92</v>
      </c>
      <c r="R75" s="198"/>
      <c r="S75" s="198"/>
      <c r="T75" s="198"/>
      <c r="U75" s="198"/>
    </row>
    <row r="76" spans="1:21" s="12" customFormat="1" ht="15">
      <c r="A76" s="201" t="s">
        <v>1465</v>
      </c>
      <c r="B76" s="60">
        <v>0.71</v>
      </c>
      <c r="C76" s="60">
        <v>29.85</v>
      </c>
      <c r="D76" s="60">
        <v>30.56</v>
      </c>
      <c r="E76" s="60">
        <v>3.89</v>
      </c>
      <c r="F76" s="60">
        <v>19.260000000000002</v>
      </c>
      <c r="G76" s="60">
        <v>51.37</v>
      </c>
      <c r="H76" s="60">
        <v>19.28</v>
      </c>
      <c r="I76" s="60">
        <v>5</v>
      </c>
      <c r="J76" s="60">
        <v>0.77</v>
      </c>
      <c r="K76" s="60">
        <v>289.06</v>
      </c>
      <c r="L76" s="60">
        <v>49.82</v>
      </c>
      <c r="M76" s="60">
        <v>37.909999999999997</v>
      </c>
      <c r="N76" s="60">
        <v>151.69999999999999</v>
      </c>
      <c r="O76" s="60">
        <v>0</v>
      </c>
      <c r="P76" s="60">
        <v>2.0499999999999998</v>
      </c>
      <c r="Q76" s="60">
        <v>87.66</v>
      </c>
      <c r="R76" s="198"/>
      <c r="S76" s="198"/>
      <c r="T76" s="198"/>
      <c r="U76" s="198"/>
    </row>
    <row r="77" spans="1:21" s="12" customFormat="1" ht="15">
      <c r="A77" s="201" t="s">
        <v>1466</v>
      </c>
      <c r="B77" s="60">
        <v>0.23</v>
      </c>
      <c r="C77" s="60">
        <v>32.869999999999997</v>
      </c>
      <c r="D77" s="60">
        <v>33.10</v>
      </c>
      <c r="E77" s="60">
        <v>3.35</v>
      </c>
      <c r="F77" s="60">
        <v>17.82</v>
      </c>
      <c r="G77" s="60">
        <v>51.63</v>
      </c>
      <c r="H77" s="60">
        <v>20.46</v>
      </c>
      <c r="I77" s="60">
        <v>4.43</v>
      </c>
      <c r="J77" s="60">
        <v>0.28999999999999998</v>
      </c>
      <c r="K77" s="60">
        <v>237.87</v>
      </c>
      <c r="L77" s="60">
        <v>50.05</v>
      </c>
      <c r="M77" s="60">
        <v>38.299999999999997</v>
      </c>
      <c r="N77" s="60">
        <v>70.20</v>
      </c>
      <c r="O77" s="60">
        <v>0</v>
      </c>
      <c r="P77" s="60">
        <v>2.11</v>
      </c>
      <c r="Q77" s="60">
        <v>81</v>
      </c>
      <c r="R77" s="198"/>
      <c r="S77" s="198"/>
      <c r="T77" s="198"/>
      <c r="U77" s="198"/>
    </row>
    <row r="78" spans="1:21" s="12" customFormat="1" ht="15">
      <c r="A78" s="201" t="s">
        <v>1467</v>
      </c>
      <c r="B78" s="60">
        <v>0.49</v>
      </c>
      <c r="C78" s="60">
        <v>31.29</v>
      </c>
      <c r="D78" s="60">
        <v>31.78</v>
      </c>
      <c r="E78" s="60">
        <v>3</v>
      </c>
      <c r="F78" s="60">
        <v>9.98</v>
      </c>
      <c r="G78" s="60">
        <v>51.63</v>
      </c>
      <c r="H78" s="60">
        <v>20.46</v>
      </c>
      <c r="I78" s="60">
        <v>4.32</v>
      </c>
      <c r="J78" s="60">
        <v>0.32</v>
      </c>
      <c r="K78" s="60">
        <v>335.83</v>
      </c>
      <c r="L78" s="60">
        <v>49.05</v>
      </c>
      <c r="M78" s="60">
        <v>37.799999999999997</v>
      </c>
      <c r="N78" s="60">
        <v>60</v>
      </c>
      <c r="O78" s="60">
        <v>0</v>
      </c>
      <c r="P78" s="60">
        <v>2.11</v>
      </c>
      <c r="Q78" s="60">
        <v>85.25</v>
      </c>
      <c r="R78" s="198"/>
      <c r="S78" s="198"/>
      <c r="T78" s="198"/>
      <c r="U78" s="198"/>
    </row>
    <row r="79" spans="1:21" s="12" customFormat="1" ht="15">
      <c r="A79" s="201" t="s">
        <v>1468</v>
      </c>
      <c r="B79" s="60">
        <v>1</v>
      </c>
      <c r="C79" s="60">
        <v>32.94</v>
      </c>
      <c r="D79" s="60">
        <v>33.94</v>
      </c>
      <c r="E79" s="60">
        <v>3.02</v>
      </c>
      <c r="F79" s="60">
        <v>9.0500000000000007</v>
      </c>
      <c r="G79" s="60">
        <v>51.63</v>
      </c>
      <c r="H79" s="60">
        <v>20.46</v>
      </c>
      <c r="I79" s="60">
        <v>4.22</v>
      </c>
      <c r="J79" s="60">
        <v>0.64</v>
      </c>
      <c r="K79" s="60">
        <v>227.43</v>
      </c>
      <c r="L79" s="60">
        <v>47.39</v>
      </c>
      <c r="M79" s="60">
        <v>38.67</v>
      </c>
      <c r="N79" s="60">
        <v>45.90</v>
      </c>
      <c r="O79" s="60">
        <v>0</v>
      </c>
      <c r="P79" s="60">
        <v>2.09</v>
      </c>
      <c r="Q79" s="60">
        <v>78.23</v>
      </c>
      <c r="R79" s="198"/>
      <c r="S79" s="198"/>
      <c r="T79" s="198"/>
      <c r="U79" s="198"/>
    </row>
    <row r="80" spans="1:21" s="12" customFormat="1" ht="15">
      <c r="A80" s="201" t="s">
        <v>1469</v>
      </c>
      <c r="B80" s="60">
        <v>0.35</v>
      </c>
      <c r="C80" s="60">
        <v>30.72</v>
      </c>
      <c r="D80" s="60">
        <v>31.07</v>
      </c>
      <c r="E80" s="60">
        <v>3.65</v>
      </c>
      <c r="F80" s="60">
        <v>7.20</v>
      </c>
      <c r="G80" s="60">
        <v>48.19</v>
      </c>
      <c r="H80" s="60">
        <v>18.62</v>
      </c>
      <c r="I80" s="60">
        <v>4.18</v>
      </c>
      <c r="J80" s="60">
        <v>0.5</v>
      </c>
      <c r="K80" s="60">
        <v>301.56</v>
      </c>
      <c r="L80" s="60">
        <v>46.70</v>
      </c>
      <c r="M80" s="60">
        <v>41.46</v>
      </c>
      <c r="N80" s="60">
        <v>25.10</v>
      </c>
      <c r="O80" s="60">
        <v>0</v>
      </c>
      <c r="P80" s="60">
        <v>2.09</v>
      </c>
      <c r="Q80" s="60">
        <v>76.819999999999993</v>
      </c>
      <c r="R80" s="198"/>
      <c r="S80" s="198"/>
      <c r="T80" s="198"/>
      <c r="U80" s="198"/>
    </row>
    <row r="81" spans="1:21" s="12" customFormat="1" ht="15">
      <c r="A81" s="201" t="s">
        <v>1470</v>
      </c>
      <c r="B81" s="60">
        <v>0.27</v>
      </c>
      <c r="C81" s="60">
        <v>28.07</v>
      </c>
      <c r="D81" s="60">
        <v>28.34</v>
      </c>
      <c r="E81" s="60">
        <v>3.74</v>
      </c>
      <c r="F81" s="60">
        <v>4.4800000000000004</v>
      </c>
      <c r="G81" s="60">
        <v>47.20</v>
      </c>
      <c r="H81" s="60">
        <v>17.28</v>
      </c>
      <c r="I81" s="60">
        <v>4.09</v>
      </c>
      <c r="J81" s="60">
        <v>0.56999999999999995</v>
      </c>
      <c r="K81" s="60">
        <v>288.74</v>
      </c>
      <c r="L81" s="60">
        <v>46.17</v>
      </c>
      <c r="M81" s="60">
        <v>44.12</v>
      </c>
      <c r="N81" s="60">
        <v>6.90</v>
      </c>
      <c r="O81" s="60">
        <v>0</v>
      </c>
      <c r="P81" s="60">
        <v>2.08</v>
      </c>
      <c r="Q81" s="60">
        <v>82.30</v>
      </c>
      <c r="R81" s="198"/>
      <c r="S81" s="198"/>
      <c r="T81" s="198"/>
      <c r="U81" s="198"/>
    </row>
    <row r="82" spans="1:21" s="12" customFormat="1" ht="15">
      <c r="A82" s="201" t="s">
        <v>1471</v>
      </c>
      <c r="B82" s="60">
        <v>0.44</v>
      </c>
      <c r="C82" s="60">
        <v>26.01</v>
      </c>
      <c r="D82" s="60">
        <v>26.45</v>
      </c>
      <c r="E82" s="60">
        <v>4.2300000000000004</v>
      </c>
      <c r="F82" s="60">
        <v>3.09</v>
      </c>
      <c r="G82" s="60">
        <v>47.20</v>
      </c>
      <c r="H82" s="60">
        <v>17.28</v>
      </c>
      <c r="I82" s="60">
        <v>4.04</v>
      </c>
      <c r="J82" s="60">
        <v>1.1399999999999999</v>
      </c>
      <c r="K82" s="60">
        <v>330.31</v>
      </c>
      <c r="L82" s="60">
        <v>45.29</v>
      </c>
      <c r="M82" s="60">
        <v>46.63</v>
      </c>
      <c r="N82" s="219" t="s">
        <v>36</v>
      </c>
      <c r="O82" s="60">
        <v>0</v>
      </c>
      <c r="P82" s="60">
        <v>2.14</v>
      </c>
      <c r="Q82" s="60">
        <v>72.150000000000006</v>
      </c>
      <c r="R82" s="198"/>
      <c r="S82" s="198"/>
      <c r="T82" s="198"/>
      <c r="U82" s="198"/>
    </row>
    <row r="83" spans="1:21" s="12" customFormat="1" ht="15">
      <c r="A83" s="201" t="s">
        <v>1472</v>
      </c>
      <c r="B83" s="60">
        <v>0.89</v>
      </c>
      <c r="C83" s="60">
        <v>25.17</v>
      </c>
      <c r="D83" s="60">
        <v>26.07</v>
      </c>
      <c r="E83" s="60">
        <v>4.18</v>
      </c>
      <c r="F83" s="60">
        <v>2.40</v>
      </c>
      <c r="G83" s="60">
        <v>47.20</v>
      </c>
      <c r="H83" s="60">
        <v>17.28</v>
      </c>
      <c r="I83" s="60">
        <v>4.1500000000000004</v>
      </c>
      <c r="J83" s="60">
        <v>0.74</v>
      </c>
      <c r="K83" s="60">
        <v>331.14</v>
      </c>
      <c r="L83" s="60">
        <v>45.15</v>
      </c>
      <c r="M83" s="60">
        <v>46.77</v>
      </c>
      <c r="N83" s="219" t="s">
        <v>36</v>
      </c>
      <c r="O83" s="60">
        <v>0</v>
      </c>
      <c r="P83" s="60">
        <v>2.17</v>
      </c>
      <c r="Q83" s="60">
        <v>79.290000000000006</v>
      </c>
      <c r="R83" s="198"/>
      <c r="S83" s="198"/>
      <c r="T83" s="198"/>
      <c r="U83" s="198"/>
    </row>
    <row r="84" spans="1:21" s="12" customFormat="1" ht="15">
      <c r="A84" s="201" t="s">
        <v>1473</v>
      </c>
      <c r="B84" s="60">
        <v>1.33</v>
      </c>
      <c r="C84" s="60">
        <v>24.86</v>
      </c>
      <c r="D84" s="60">
        <v>26.19</v>
      </c>
      <c r="E84" s="60">
        <v>2.37</v>
      </c>
      <c r="F84" s="60">
        <v>0.53</v>
      </c>
      <c r="G84" s="60">
        <v>61.27</v>
      </c>
      <c r="H84" s="60">
        <v>20.63</v>
      </c>
      <c r="I84" s="60">
        <v>4.3600000000000003</v>
      </c>
      <c r="J84" s="60">
        <v>1.55</v>
      </c>
      <c r="K84" s="60">
        <v>339.83</v>
      </c>
      <c r="L84" s="60">
        <v>44.14</v>
      </c>
      <c r="M84" s="60">
        <v>51.44</v>
      </c>
      <c r="N84" s="219" t="s">
        <v>36</v>
      </c>
      <c r="O84" s="60">
        <v>0</v>
      </c>
      <c r="P84" s="60">
        <v>2.2000000000000002</v>
      </c>
      <c r="Q84" s="60">
        <v>70.67</v>
      </c>
      <c r="R84" s="198"/>
      <c r="S84" s="198"/>
      <c r="T84" s="198"/>
      <c r="U84" s="198"/>
    </row>
    <row r="85" spans="1:21" s="12" customFormat="1" ht="15">
      <c r="A85" s="201" t="s">
        <v>1474</v>
      </c>
      <c r="B85" s="60">
        <v>2.89</v>
      </c>
      <c r="C85" s="60">
        <v>27.61</v>
      </c>
      <c r="D85" s="60">
        <v>30.5</v>
      </c>
      <c r="E85" s="60">
        <v>4.26</v>
      </c>
      <c r="F85" s="60">
        <v>1.27</v>
      </c>
      <c r="G85" s="60">
        <v>65.33</v>
      </c>
      <c r="H85" s="60">
        <v>23.08</v>
      </c>
      <c r="I85" s="60">
        <v>4.53</v>
      </c>
      <c r="J85" s="60">
        <v>1.57</v>
      </c>
      <c r="K85" s="60">
        <v>340.24</v>
      </c>
      <c r="L85" s="60">
        <v>43.57</v>
      </c>
      <c r="M85" s="60">
        <v>52.74</v>
      </c>
      <c r="N85" s="219" t="s">
        <v>36</v>
      </c>
      <c r="O85" s="60">
        <v>0</v>
      </c>
      <c r="P85" s="60">
        <v>2.2799999999999998</v>
      </c>
      <c r="Q85" s="60">
        <v>74.33</v>
      </c>
      <c r="R85" s="198"/>
      <c r="S85" s="198"/>
      <c r="T85" s="198"/>
      <c r="U85" s="198"/>
    </row>
    <row r="86" spans="1:21" s="12" customFormat="1" ht="15">
      <c r="A86" s="201" t="s">
        <v>1475</v>
      </c>
      <c r="B86" s="60">
        <v>5.57</v>
      </c>
      <c r="C86" s="60">
        <v>30.91</v>
      </c>
      <c r="D86" s="60">
        <v>36.479999999999997</v>
      </c>
      <c r="E86" s="60">
        <v>4.4400000000000004</v>
      </c>
      <c r="F86" s="60">
        <v>1.48</v>
      </c>
      <c r="G86" s="60">
        <v>65.33</v>
      </c>
      <c r="H86" s="60">
        <v>23.08</v>
      </c>
      <c r="I86" s="60">
        <v>4.82</v>
      </c>
      <c r="J86" s="60">
        <v>0.87</v>
      </c>
      <c r="K86" s="60">
        <v>295.49</v>
      </c>
      <c r="L86" s="60">
        <v>45.20</v>
      </c>
      <c r="M86" s="60">
        <v>47.79</v>
      </c>
      <c r="N86" s="219" t="s">
        <v>36</v>
      </c>
      <c r="O86" s="60">
        <v>0</v>
      </c>
      <c r="P86" s="60">
        <v>2.39</v>
      </c>
      <c r="Q86" s="60">
        <v>99.42</v>
      </c>
      <c r="R86" s="198"/>
      <c r="S86" s="198"/>
      <c r="T86" s="198"/>
      <c r="U86" s="198"/>
    </row>
    <row r="87" spans="1:21" s="12" customFormat="1" ht="15">
      <c r="A87" s="201" t="s">
        <v>1476</v>
      </c>
      <c r="B87" s="60">
        <v>5.65</v>
      </c>
      <c r="C87" s="60">
        <v>33.15</v>
      </c>
      <c r="D87" s="60">
        <v>38.79</v>
      </c>
      <c r="E87" s="60">
        <v>4.88</v>
      </c>
      <c r="F87" s="60">
        <v>1.44</v>
      </c>
      <c r="G87" s="60">
        <v>65.33</v>
      </c>
      <c r="H87" s="60">
        <v>23.08</v>
      </c>
      <c r="I87" s="60">
        <v>5.1100000000000003</v>
      </c>
      <c r="J87" s="60">
        <v>0.74</v>
      </c>
      <c r="K87" s="60">
        <v>255.40</v>
      </c>
      <c r="L87" s="60">
        <v>48.42</v>
      </c>
      <c r="M87" s="60">
        <v>43.22</v>
      </c>
      <c r="N87" s="219" t="s">
        <v>36</v>
      </c>
      <c r="O87" s="60">
        <v>0</v>
      </c>
      <c r="P87" s="60">
        <v>2.4900000000000002</v>
      </c>
      <c r="Q87" s="60">
        <v>84.61</v>
      </c>
      <c r="R87" s="198"/>
      <c r="S87" s="198"/>
      <c r="T87" s="198"/>
      <c r="U87" s="198"/>
    </row>
    <row r="88" spans="1:21" s="12" customFormat="1" ht="15">
      <c r="A88" s="201" t="s">
        <v>1477</v>
      </c>
      <c r="B88" s="60">
        <v>6.11</v>
      </c>
      <c r="C88" s="60">
        <v>34.119999999999997</v>
      </c>
      <c r="D88" s="60">
        <v>40.24</v>
      </c>
      <c r="E88" s="60">
        <v>4.79</v>
      </c>
      <c r="F88" s="60">
        <v>1.47</v>
      </c>
      <c r="G88" s="60">
        <v>71.27</v>
      </c>
      <c r="H88" s="60">
        <v>24.08</v>
      </c>
      <c r="I88" s="60">
        <v>5.55</v>
      </c>
      <c r="J88" s="60">
        <v>1.1299999999999999</v>
      </c>
      <c r="K88" s="60">
        <v>246.10</v>
      </c>
      <c r="L88" s="60">
        <v>47.97</v>
      </c>
      <c r="M88" s="60">
        <v>44.10</v>
      </c>
      <c r="N88" s="219" t="s">
        <v>36</v>
      </c>
      <c r="O88" s="60">
        <v>0</v>
      </c>
      <c r="P88" s="60">
        <v>2.60</v>
      </c>
      <c r="Q88" s="60">
        <v>86.61</v>
      </c>
      <c r="R88" s="198"/>
      <c r="S88" s="198"/>
      <c r="T88" s="198"/>
      <c r="U88" s="198"/>
    </row>
    <row r="89" spans="1:21" s="12" customFormat="1" ht="15">
      <c r="A89" s="201" t="s">
        <v>1478</v>
      </c>
      <c r="B89" s="60">
        <v>5.83</v>
      </c>
      <c r="C89" s="60">
        <v>36.020000000000003</v>
      </c>
      <c r="D89" s="60">
        <v>41.85</v>
      </c>
      <c r="E89" s="60">
        <v>4.93</v>
      </c>
      <c r="F89" s="60">
        <v>1.19</v>
      </c>
      <c r="G89" s="60">
        <v>73.02</v>
      </c>
      <c r="H89" s="60">
        <v>24.80</v>
      </c>
      <c r="I89" s="60">
        <v>6</v>
      </c>
      <c r="J89" s="60">
        <v>1.72</v>
      </c>
      <c r="K89" s="60">
        <v>183.82</v>
      </c>
      <c r="L89" s="60">
        <v>47.11</v>
      </c>
      <c r="M89" s="60">
        <v>45.54</v>
      </c>
      <c r="N89" s="219" t="s">
        <v>36</v>
      </c>
      <c r="O89" s="60">
        <v>0</v>
      </c>
      <c r="P89" s="60">
        <v>2.67</v>
      </c>
      <c r="Q89" s="60">
        <v>82.27</v>
      </c>
      <c r="R89" s="198"/>
      <c r="S89" s="198"/>
      <c r="T89" s="198"/>
      <c r="U89" s="198"/>
    </row>
    <row r="90" spans="1:21" s="12" customFormat="1" ht="15">
      <c r="A90" s="201" t="s">
        <v>1479</v>
      </c>
      <c r="B90" s="60">
        <v>5.32</v>
      </c>
      <c r="C90" s="60">
        <v>34.770000000000003</v>
      </c>
      <c r="D90" s="60">
        <v>40.090000000000003</v>
      </c>
      <c r="E90" s="60">
        <v>5.30</v>
      </c>
      <c r="F90" s="60">
        <v>1.28</v>
      </c>
      <c r="G90" s="60">
        <v>73.02</v>
      </c>
      <c r="H90" s="60">
        <v>24.80</v>
      </c>
      <c r="I90" s="60">
        <v>6.54</v>
      </c>
      <c r="J90" s="60">
        <v>1.71</v>
      </c>
      <c r="K90" s="60">
        <v>186.78</v>
      </c>
      <c r="L90" s="60">
        <v>46.29</v>
      </c>
      <c r="M90" s="60">
        <v>47.73</v>
      </c>
      <c r="N90" s="219" t="s">
        <v>36</v>
      </c>
      <c r="O90" s="60">
        <v>0</v>
      </c>
      <c r="P90" s="60">
        <v>2.66</v>
      </c>
      <c r="Q90" s="60">
        <v>76.45</v>
      </c>
      <c r="R90" s="198"/>
      <c r="S90" s="198"/>
      <c r="T90" s="198"/>
      <c r="U90" s="198"/>
    </row>
    <row r="91" spans="1:21" s="12" customFormat="1" ht="15">
      <c r="A91" s="201" t="s">
        <v>1480</v>
      </c>
      <c r="B91" s="60">
        <v>4.88</v>
      </c>
      <c r="C91" s="60">
        <v>33.549999999999997</v>
      </c>
      <c r="D91" s="60">
        <v>38.42</v>
      </c>
      <c r="E91" s="60">
        <v>5.34</v>
      </c>
      <c r="F91" s="60">
        <v>1.29</v>
      </c>
      <c r="G91" s="60">
        <v>73.02</v>
      </c>
      <c r="H91" s="60">
        <v>24.80</v>
      </c>
      <c r="I91" s="60">
        <v>6.97</v>
      </c>
      <c r="J91" s="60">
        <v>0.97</v>
      </c>
      <c r="K91" s="60">
        <v>305.08999999999997</v>
      </c>
      <c r="L91" s="60">
        <v>45.66</v>
      </c>
      <c r="M91" s="60">
        <v>49.85</v>
      </c>
      <c r="N91" s="219" t="s">
        <v>36</v>
      </c>
      <c r="O91" s="60">
        <v>0</v>
      </c>
      <c r="P91" s="60">
        <v>2.64</v>
      </c>
      <c r="Q91" s="60">
        <v>75.849999999999994</v>
      </c>
      <c r="R91" s="198"/>
      <c r="S91" s="198"/>
      <c r="T91" s="198"/>
      <c r="U91" s="198"/>
    </row>
    <row r="92" spans="1:21" s="12" customFormat="1" ht="15">
      <c r="A92" s="201" t="s">
        <v>1481</v>
      </c>
      <c r="B92" s="60">
        <v>6.04</v>
      </c>
      <c r="C92" s="60">
        <v>33.86</v>
      </c>
      <c r="D92" s="60">
        <v>39.909999999999997</v>
      </c>
      <c r="E92" s="60">
        <v>5.01</v>
      </c>
      <c r="F92" s="60">
        <v>1.19</v>
      </c>
      <c r="G92" s="60">
        <v>86.93</v>
      </c>
      <c r="H92" s="60">
        <v>26.73</v>
      </c>
      <c r="I92" s="60">
        <v>7.05</v>
      </c>
      <c r="J92" s="60">
        <v>2.3199999999999998</v>
      </c>
      <c r="K92" s="60">
        <v>347.81</v>
      </c>
      <c r="L92" s="60">
        <v>45.43</v>
      </c>
      <c r="M92" s="60">
        <v>50.68</v>
      </c>
      <c r="N92" s="219" t="s">
        <v>36</v>
      </c>
      <c r="O92" s="60">
        <v>0</v>
      </c>
      <c r="P92" s="60">
        <v>2.72</v>
      </c>
      <c r="Q92" s="60">
        <v>71.260000000000005</v>
      </c>
      <c r="R92" s="198"/>
      <c r="S92" s="198"/>
      <c r="T92" s="198"/>
      <c r="U92" s="198"/>
    </row>
    <row r="93" spans="1:21" s="12" customFormat="1" ht="15">
      <c r="A93" s="201" t="s">
        <v>1482</v>
      </c>
      <c r="B93" s="60">
        <v>8.06</v>
      </c>
      <c r="C93" s="60">
        <v>33.22</v>
      </c>
      <c r="D93" s="60">
        <v>41.28</v>
      </c>
      <c r="E93" s="60">
        <v>5.55</v>
      </c>
      <c r="F93" s="60">
        <v>1.30</v>
      </c>
      <c r="G93" s="60">
        <v>90.94</v>
      </c>
      <c r="H93" s="60">
        <v>28.13</v>
      </c>
      <c r="I93" s="60">
        <v>7.04</v>
      </c>
      <c r="J93" s="60">
        <v>2.98</v>
      </c>
      <c r="K93" s="60">
        <v>8.65</v>
      </c>
      <c r="L93" s="60">
        <v>45.33</v>
      </c>
      <c r="M93" s="60">
        <v>46.58</v>
      </c>
      <c r="N93" s="219" t="s">
        <v>36</v>
      </c>
      <c r="O93" s="60">
        <v>0</v>
      </c>
      <c r="P93" s="60">
        <v>2.80</v>
      </c>
      <c r="Q93" s="60">
        <v>69.36</v>
      </c>
      <c r="R93" s="198"/>
      <c r="S93" s="198"/>
      <c r="T93" s="198"/>
      <c r="U93" s="198"/>
    </row>
    <row r="94" spans="1:21" s="12" customFormat="1" ht="15">
      <c r="A94" s="201" t="s">
        <v>1483</v>
      </c>
      <c r="B94" s="60">
        <v>9.89</v>
      </c>
      <c r="C94" s="60">
        <v>33.840000000000003</v>
      </c>
      <c r="D94" s="60">
        <v>43.73</v>
      </c>
      <c r="E94" s="60">
        <v>6.02</v>
      </c>
      <c r="F94" s="60">
        <v>1.28</v>
      </c>
      <c r="G94" s="60">
        <v>90.94</v>
      </c>
      <c r="H94" s="60">
        <v>28.13</v>
      </c>
      <c r="I94" s="60">
        <v>7.31</v>
      </c>
      <c r="J94" s="60">
        <v>2.65</v>
      </c>
      <c r="K94" s="60">
        <v>19.57</v>
      </c>
      <c r="L94" s="60">
        <v>45.21</v>
      </c>
      <c r="M94" s="60">
        <v>47.09</v>
      </c>
      <c r="N94" s="219" t="s">
        <v>36</v>
      </c>
      <c r="O94" s="60">
        <v>0</v>
      </c>
      <c r="P94" s="60">
        <v>2.92</v>
      </c>
      <c r="Q94" s="60">
        <v>73.42</v>
      </c>
      <c r="R94" s="198"/>
      <c r="S94" s="198"/>
      <c r="T94" s="198"/>
      <c r="U94" s="198"/>
    </row>
    <row r="95" spans="1:21" s="12" customFormat="1" ht="15">
      <c r="A95" s="201" t="s">
        <v>1484</v>
      </c>
      <c r="B95" s="60">
        <v>10.73</v>
      </c>
      <c r="C95" s="60">
        <v>33.61</v>
      </c>
      <c r="D95" s="60">
        <v>44.34</v>
      </c>
      <c r="E95" s="60">
        <v>5.95</v>
      </c>
      <c r="F95" s="60">
        <v>0.73</v>
      </c>
      <c r="G95" s="60">
        <v>90.94</v>
      </c>
      <c r="H95" s="60">
        <v>28.13</v>
      </c>
      <c r="I95" s="60">
        <v>7.63</v>
      </c>
      <c r="J95" s="60">
        <v>1.88</v>
      </c>
      <c r="K95" s="60">
        <v>65.95</v>
      </c>
      <c r="L95" s="60">
        <v>45.10</v>
      </c>
      <c r="M95" s="60">
        <v>48.23</v>
      </c>
      <c r="N95" s="219" t="s">
        <v>36</v>
      </c>
      <c r="O95" s="60">
        <v>0</v>
      </c>
      <c r="P95" s="60">
        <v>3.01</v>
      </c>
      <c r="Q95" s="60">
        <v>69.84</v>
      </c>
      <c r="R95" s="198"/>
      <c r="S95" s="198"/>
      <c r="T95" s="198"/>
      <c r="U95" s="198"/>
    </row>
    <row r="96" spans="1:26" s="12" customFormat="1" ht="15">
      <c r="A96" s="201" t="s">
        <v>1485</v>
      </c>
      <c r="B96" s="60">
        <v>10.75</v>
      </c>
      <c r="C96" s="60">
        <v>29.5</v>
      </c>
      <c r="D96" s="60">
        <v>40.25</v>
      </c>
      <c r="E96" s="60">
        <v>6.32</v>
      </c>
      <c r="F96" s="60">
        <v>1.07</v>
      </c>
      <c r="G96" s="60">
        <v>96.79</v>
      </c>
      <c r="H96" s="60">
        <v>27.85</v>
      </c>
      <c r="I96" s="60">
        <v>7.74</v>
      </c>
      <c r="J96" s="60">
        <v>2.29</v>
      </c>
      <c r="K96" s="60">
        <v>69.86</v>
      </c>
      <c r="L96" s="60">
        <v>43.76</v>
      </c>
      <c r="M96" s="60">
        <v>49.14</v>
      </c>
      <c r="N96" s="219" t="s">
        <v>36</v>
      </c>
      <c r="O96" s="60">
        <v>0</v>
      </c>
      <c r="P96" s="60">
        <v>3.01</v>
      </c>
      <c r="Q96" s="60">
        <v>66.84</v>
      </c>
      <c r="R96" s="198"/>
      <c r="S96" s="198"/>
      <c r="T96" s="198"/>
      <c r="U96" s="198"/>
      <c r="Z96" s="109"/>
    </row>
    <row r="97" spans="1:21" s="12" customFormat="1" ht="15">
      <c r="A97" s="201" t="s">
        <v>1486</v>
      </c>
      <c r="B97" s="60">
        <v>10.69</v>
      </c>
      <c r="C97" s="60">
        <v>26.20</v>
      </c>
      <c r="D97" s="60">
        <v>36.89</v>
      </c>
      <c r="E97" s="60">
        <v>6.05</v>
      </c>
      <c r="F97" s="60">
        <v>1.1399999999999999</v>
      </c>
      <c r="G97" s="60">
        <v>98.48</v>
      </c>
      <c r="H97" s="60">
        <v>27.65</v>
      </c>
      <c r="I97" s="60">
        <v>7.76</v>
      </c>
      <c r="J97" s="60">
        <v>1.63</v>
      </c>
      <c r="K97" s="60">
        <v>69.569999999999993</v>
      </c>
      <c r="L97" s="60">
        <v>43.02</v>
      </c>
      <c r="M97" s="60">
        <v>50.30</v>
      </c>
      <c r="N97" s="219" t="s">
        <v>36</v>
      </c>
      <c r="O97" s="60">
        <v>0</v>
      </c>
      <c r="P97" s="60">
        <v>3</v>
      </c>
      <c r="Q97" s="60">
        <v>57.43</v>
      </c>
      <c r="R97" s="198"/>
      <c r="S97" s="198"/>
      <c r="T97" s="198"/>
      <c r="U97" s="198"/>
    </row>
    <row r="98" spans="1:21" s="12" customFormat="1" ht="15">
      <c r="A98" s="201" t="s">
        <v>1487</v>
      </c>
      <c r="B98" s="60">
        <v>10.77</v>
      </c>
      <c r="C98" s="60">
        <v>24.49</v>
      </c>
      <c r="D98" s="60">
        <v>35.26</v>
      </c>
      <c r="E98" s="60">
        <v>6.70</v>
      </c>
      <c r="F98" s="60">
        <v>0.75</v>
      </c>
      <c r="G98" s="60">
        <v>98.48</v>
      </c>
      <c r="H98" s="60">
        <v>27.65</v>
      </c>
      <c r="I98" s="60">
        <v>7.75</v>
      </c>
      <c r="J98" s="60">
        <v>0.92</v>
      </c>
      <c r="K98" s="60">
        <v>61.04</v>
      </c>
      <c r="L98" s="60">
        <v>43.11</v>
      </c>
      <c r="M98" s="60">
        <v>52.54</v>
      </c>
      <c r="N98" s="219" t="s">
        <v>36</v>
      </c>
      <c r="O98" s="60">
        <v>0</v>
      </c>
      <c r="P98" s="60">
        <v>2.98</v>
      </c>
      <c r="Q98" s="60">
        <v>56.62</v>
      </c>
      <c r="R98" s="198"/>
      <c r="S98" s="198"/>
      <c r="T98" s="198"/>
      <c r="U98" s="198"/>
    </row>
    <row r="99" spans="1:21" s="12" customFormat="1" ht="15">
      <c r="A99" s="201" t="s">
        <v>1488</v>
      </c>
      <c r="B99" s="60">
        <v>10.76</v>
      </c>
      <c r="C99" s="60">
        <v>23.25</v>
      </c>
      <c r="D99" s="60">
        <v>34.01</v>
      </c>
      <c r="E99" s="60">
        <v>6.72</v>
      </c>
      <c r="F99" s="60">
        <v>0.57999999999999996</v>
      </c>
      <c r="G99" s="60">
        <v>98.48</v>
      </c>
      <c r="H99" s="60">
        <v>27.65</v>
      </c>
      <c r="I99" s="60">
        <v>7.70</v>
      </c>
      <c r="J99" s="60">
        <v>1.46</v>
      </c>
      <c r="K99" s="60">
        <v>119.05</v>
      </c>
      <c r="L99" s="60">
        <v>42.36</v>
      </c>
      <c r="M99" s="60">
        <v>54.28</v>
      </c>
      <c r="N99" s="219" t="s">
        <v>36</v>
      </c>
      <c r="O99" s="60">
        <v>0</v>
      </c>
      <c r="P99" s="60">
        <v>2.99</v>
      </c>
      <c r="Q99" s="60">
        <v>57.05</v>
      </c>
      <c r="R99" s="198"/>
      <c r="S99" s="198"/>
      <c r="T99" s="198"/>
      <c r="U99" s="198"/>
    </row>
    <row r="100" spans="1:33" s="12" customFormat="1" ht="15">
      <c r="A100" s="201" t="s">
        <v>1489</v>
      </c>
      <c r="B100" s="60">
        <v>10.72</v>
      </c>
      <c r="C100" s="60">
        <v>22.52</v>
      </c>
      <c r="D100" s="60">
        <v>33.25</v>
      </c>
      <c r="E100" s="60">
        <v>3.39</v>
      </c>
      <c r="F100" s="60">
        <v>0.97</v>
      </c>
      <c r="G100" s="60">
        <v>102.25</v>
      </c>
      <c r="H100" s="60">
        <v>30.25</v>
      </c>
      <c r="I100" s="60">
        <v>7.75</v>
      </c>
      <c r="J100" s="60">
        <v>0.90</v>
      </c>
      <c r="K100" s="60">
        <v>224.90</v>
      </c>
      <c r="L100" s="60">
        <v>44.74</v>
      </c>
      <c r="M100" s="60">
        <v>54.48</v>
      </c>
      <c r="N100" s="219" t="s">
        <v>36</v>
      </c>
      <c r="O100" s="60">
        <v>0</v>
      </c>
      <c r="P100" s="60">
        <v>2.98</v>
      </c>
      <c r="Q100" s="60">
        <v>56.60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1490</v>
      </c>
      <c r="B101" s="60">
        <v>12.57</v>
      </c>
      <c r="C101" s="60">
        <v>21.97</v>
      </c>
      <c r="D101" s="60">
        <v>34.549999999999997</v>
      </c>
      <c r="E101" s="60">
        <v>6.57</v>
      </c>
      <c r="F101" s="60">
        <v>0.45</v>
      </c>
      <c r="G101" s="60">
        <v>103.87</v>
      </c>
      <c r="H101" s="60">
        <v>32.15</v>
      </c>
      <c r="I101" s="60">
        <v>7.77</v>
      </c>
      <c r="J101" s="60">
        <v>1.51</v>
      </c>
      <c r="K101" s="60">
        <v>254.05</v>
      </c>
      <c r="L101" s="60">
        <v>48.03</v>
      </c>
      <c r="M101" s="60">
        <v>55.97</v>
      </c>
      <c r="N101" s="219" t="s">
        <v>36</v>
      </c>
      <c r="O101" s="60">
        <v>0</v>
      </c>
      <c r="P101" s="60">
        <v>2.99</v>
      </c>
      <c r="Q101" s="60">
        <v>58.90</v>
      </c>
      <c r="R101" s="198"/>
      <c r="S101" s="198"/>
      <c r="T101" s="198"/>
      <c r="U101" s="198"/>
    </row>
    <row r="102" spans="1:21" s="12" customFormat="1" ht="15">
      <c r="A102" s="201" t="s">
        <v>1491</v>
      </c>
      <c r="B102" s="60">
        <v>13.79</v>
      </c>
      <c r="C102" s="60">
        <v>21.30</v>
      </c>
      <c r="D102" s="60">
        <v>35.10</v>
      </c>
      <c r="E102" s="60">
        <v>6.41</v>
      </c>
      <c r="F102" s="60">
        <v>0.76</v>
      </c>
      <c r="G102" s="60">
        <v>103.87</v>
      </c>
      <c r="H102" s="60">
        <v>32.15</v>
      </c>
      <c r="I102" s="60">
        <v>7.90</v>
      </c>
      <c r="J102" s="60">
        <v>1.57</v>
      </c>
      <c r="K102" s="60">
        <v>214.17</v>
      </c>
      <c r="L102" s="60">
        <v>45.63</v>
      </c>
      <c r="M102" s="60">
        <v>54.36</v>
      </c>
      <c r="N102" s="219" t="s">
        <v>36</v>
      </c>
      <c r="O102" s="60">
        <v>0</v>
      </c>
      <c r="P102" s="60">
        <v>2.97</v>
      </c>
      <c r="Q102" s="60">
        <v>59.75</v>
      </c>
      <c r="R102" s="198"/>
      <c r="S102" s="198"/>
      <c r="T102" s="198"/>
      <c r="U102" s="198"/>
    </row>
    <row r="103" spans="1:21" s="12" customFormat="1" ht="15">
      <c r="A103" s="201" t="s">
        <v>1492</v>
      </c>
      <c r="B103" s="60">
        <v>13.34</v>
      </c>
      <c r="C103" s="60">
        <v>24.95</v>
      </c>
      <c r="D103" s="60">
        <v>38.29</v>
      </c>
      <c r="E103" s="60">
        <v>6.87</v>
      </c>
      <c r="F103" s="60">
        <v>1.0900000000000001</v>
      </c>
      <c r="G103" s="60">
        <v>103.87</v>
      </c>
      <c r="H103" s="60">
        <v>32.15</v>
      </c>
      <c r="I103" s="60">
        <v>8.02</v>
      </c>
      <c r="J103" s="60">
        <v>1.52</v>
      </c>
      <c r="K103" s="60">
        <v>220.29</v>
      </c>
      <c r="L103" s="60">
        <v>43.42</v>
      </c>
      <c r="M103" s="60">
        <v>56.01</v>
      </c>
      <c r="N103" s="219" t="s">
        <v>36</v>
      </c>
      <c r="O103" s="60">
        <v>0</v>
      </c>
      <c r="P103" s="60">
        <v>2.89</v>
      </c>
      <c r="Q103" s="60">
        <v>70.180000000000007</v>
      </c>
      <c r="R103" s="198"/>
      <c r="S103" s="198"/>
      <c r="T103" s="198"/>
      <c r="U103" s="198"/>
    </row>
    <row r="104" spans="1:21" s="12" customFormat="1" ht="15">
      <c r="A104" s="201" t="s">
        <v>1493</v>
      </c>
      <c r="B104" s="60">
        <v>12.11</v>
      </c>
      <c r="C104" s="60">
        <v>26.04</v>
      </c>
      <c r="D104" s="60">
        <v>38.14</v>
      </c>
      <c r="E104" s="60">
        <v>7.01</v>
      </c>
      <c r="F104" s="60">
        <v>1.17</v>
      </c>
      <c r="G104" s="60">
        <v>103.22</v>
      </c>
      <c r="H104" s="60">
        <v>30.95</v>
      </c>
      <c r="I104" s="60">
        <v>7.93</v>
      </c>
      <c r="J104" s="60">
        <v>1.64</v>
      </c>
      <c r="K104" s="60">
        <v>230.34</v>
      </c>
      <c r="L104" s="60">
        <v>46.18</v>
      </c>
      <c r="M104" s="60">
        <v>55.70</v>
      </c>
      <c r="N104" s="219" t="s">
        <v>36</v>
      </c>
      <c r="O104" s="60">
        <v>0</v>
      </c>
      <c r="P104" s="60">
        <v>2.81</v>
      </c>
      <c r="Q104" s="60">
        <v>79.760000000000005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0.050000000000000003</v>
      </c>
      <c r="C106" s="67">
        <f>MIN(C9:C104)</f>
        <v>19</v>
      </c>
      <c r="D106" s="67">
        <f t="shared" si="0" ref="D106:Q106">MIN(D9:D104)</f>
        <v>19.93</v>
      </c>
      <c r="E106" s="67">
        <f t="shared" si="0"/>
        <v>2.1299999999999999</v>
      </c>
      <c r="F106" s="67">
        <f t="shared" si="0"/>
        <v>0.029999999999999999</v>
      </c>
      <c r="G106" s="67">
        <f t="shared" si="0"/>
        <v>37.520000000000003</v>
      </c>
      <c r="H106" s="67">
        <f t="shared" si="0"/>
        <v>14.949999999999999</v>
      </c>
      <c r="I106" s="67">
        <f t="shared" si="0"/>
        <v>3.79</v>
      </c>
      <c r="J106" s="67">
        <f t="shared" si="0"/>
        <v>0.28999999999999998</v>
      </c>
      <c r="K106" s="67">
        <f t="shared" si="0"/>
        <v>8.6500000000000004</v>
      </c>
      <c r="L106" s="67">
        <f t="shared" si="0"/>
        <v>37.549999999999997</v>
      </c>
      <c r="M106" s="67">
        <f t="shared" si="0"/>
        <v>36.609999999999999</v>
      </c>
      <c r="N106" s="67">
        <f t="shared" si="0"/>
        <v>6.9000000000000004</v>
      </c>
      <c r="O106" s="67">
        <f t="shared" si="0"/>
        <v>0</v>
      </c>
      <c r="P106" s="67">
        <f t="shared" si="0"/>
        <v>1.8799999999999999</v>
      </c>
      <c r="Q106" s="67">
        <f t="shared" si="0"/>
        <v>26.390000000000001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13.789999999999999</v>
      </c>
      <c r="C107" s="66">
        <f t="shared" si="1" ref="C107:Q107">MAX(C9:C104)</f>
        <v>36.020000000000003</v>
      </c>
      <c r="D107" s="66">
        <f t="shared" si="1"/>
        <v>44.340000000000003</v>
      </c>
      <c r="E107" s="66">
        <f t="shared" si="1"/>
        <v>9.1699999999999999</v>
      </c>
      <c r="F107" s="66">
        <f t="shared" si="1"/>
        <v>23.899999999999999</v>
      </c>
      <c r="G107" s="66">
        <f t="shared" si="1"/>
        <v>103.87</v>
      </c>
      <c r="H107" s="66">
        <f t="shared" si="1"/>
        <v>38.82</v>
      </c>
      <c r="I107" s="66">
        <f t="shared" si="1"/>
        <v>8.7100000000000009</v>
      </c>
      <c r="J107" s="66">
        <f t="shared" si="1"/>
        <v>3.3599999999999999</v>
      </c>
      <c r="K107" s="66">
        <f t="shared" si="1"/>
        <v>347.81</v>
      </c>
      <c r="L107" s="66">
        <f t="shared" si="1"/>
        <v>53.369999999999997</v>
      </c>
      <c r="M107" s="66">
        <f t="shared" si="1"/>
        <v>70.180000000000007</v>
      </c>
      <c r="N107" s="66">
        <f t="shared" si="1"/>
        <v>1004.4</v>
      </c>
      <c r="O107" s="66">
        <f t="shared" si="1"/>
        <v>0</v>
      </c>
      <c r="P107" s="66">
        <f t="shared" si="1"/>
        <v>3.0099999999999998</v>
      </c>
      <c r="Q107" s="66">
        <f t="shared" si="1"/>
        <v>99.420000000000002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3.536631578947369</v>
      </c>
      <c r="C108" s="67">
        <f t="shared" si="2" ref="C108:Q108">AVERAGE(C9:C104)</f>
        <v>25.6596875</v>
      </c>
      <c r="D108" s="67">
        <f t="shared" si="2"/>
        <v>29.159895833333341</v>
      </c>
      <c r="E108" s="67">
        <f t="shared" si="2"/>
        <v>5.4531249999999973</v>
      </c>
      <c r="F108" s="67">
        <f t="shared" si="2"/>
        <v>5.5553125000000003</v>
      </c>
      <c r="G108" s="67">
        <f t="shared" si="2"/>
        <v>62.669583333333343</v>
      </c>
      <c r="H108" s="67">
        <f t="shared" si="2"/>
        <v>22.396041666666665</v>
      </c>
      <c r="I108" s="67">
        <f t="shared" si="2"/>
        <v>5.2342708333333334</v>
      </c>
      <c r="J108" s="67">
        <f t="shared" si="2"/>
        <v>1.3765624999999995</v>
      </c>
      <c r="K108" s="67">
        <f t="shared" si="2"/>
        <v>216.53989583333339</v>
      </c>
      <c r="L108" s="67">
        <f t="shared" si="2"/>
        <v>43.96541666666667</v>
      </c>
      <c r="M108" s="67">
        <f t="shared" si="2"/>
        <v>52.340729166666677</v>
      </c>
      <c r="N108" s="67">
        <f t="shared" si="2"/>
        <v>569.37254901960773</v>
      </c>
      <c r="O108" s="67">
        <f t="shared" si="2"/>
        <v>0</v>
      </c>
      <c r="P108" s="67">
        <f t="shared" si="2"/>
        <v>2.2092708333333331</v>
      </c>
      <c r="Q108" s="67">
        <f t="shared" si="2"/>
        <v>49.914062500000021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3.7330458189293885</v>
      </c>
      <c r="C109" s="67">
        <f t="shared" si="3" ref="C109:Q109">STDEV(C9:C104)</f>
        <v>4.3360431764030833</v>
      </c>
      <c r="D109" s="67">
        <f t="shared" si="3"/>
        <v>6.154485312576389</v>
      </c>
      <c r="E109" s="67">
        <f t="shared" si="3"/>
        <v>1.917314631127834</v>
      </c>
      <c r="F109" s="67">
        <f t="shared" si="3"/>
        <v>6.8826904092612544</v>
      </c>
      <c r="G109" s="67">
        <f t="shared" si="3"/>
        <v>18.414311706225522</v>
      </c>
      <c r="H109" s="67">
        <f t="shared" si="3"/>
        <v>5.9059556879237585</v>
      </c>
      <c r="I109" s="67">
        <f t="shared" si="3"/>
        <v>1.5046676463183444</v>
      </c>
      <c r="J109" s="67">
        <f t="shared" si="3"/>
        <v>0.76606146259532382</v>
      </c>
      <c r="K109" s="67">
        <f t="shared" si="3"/>
        <v>81.683924805116405</v>
      </c>
      <c r="L109" s="67">
        <f t="shared" si="3"/>
        <v>3.882230481150228</v>
      </c>
      <c r="M109" s="67">
        <f t="shared" si="3"/>
        <v>10.519878851092663</v>
      </c>
      <c r="N109" s="67">
        <f t="shared" si="3"/>
        <v>342.13315131885815</v>
      </c>
      <c r="O109" s="67">
        <f t="shared" si="3"/>
        <v>0</v>
      </c>
      <c r="P109" s="67">
        <f t="shared" si="3"/>
        <v>0.35252545945137931</v>
      </c>
      <c r="Q109" s="67">
        <f t="shared" si="3"/>
        <v>22.737938738135615</v>
      </c>
      <c r="R109" s="199"/>
      <c r="S109" s="199"/>
      <c r="T109" s="199"/>
      <c r="U109" s="199"/>
    </row>
    <row r="110" spans="1:22" ht="15">
      <c r="A110" s="65" t="s">
        <v>62</v>
      </c>
      <c r="B110" s="66">
        <f>COUNT(B9:B104)+1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1109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610f4d-9591-47d4-be5b-ca690672b8c4}">
  <sheetPr codeName=""/>
  <dimension ref="A1:AG117"/>
  <sheetViews>
    <sheetView workbookViewId="0" topLeftCell="A1">
      <pane xSplit="1" ySplit="8" topLeftCell="B93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4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14-06-2022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1494</v>
      </c>
      <c r="B9" s="60">
        <v>10.63</v>
      </c>
      <c r="C9" s="60">
        <v>25.47</v>
      </c>
      <c r="D9" s="60">
        <v>36.090000000000003</v>
      </c>
      <c r="E9" s="60">
        <v>6.63</v>
      </c>
      <c r="F9" s="60">
        <v>0.96</v>
      </c>
      <c r="G9" s="60">
        <v>103.03</v>
      </c>
      <c r="H9" s="60">
        <v>30.12</v>
      </c>
      <c r="I9" s="60">
        <v>7.68</v>
      </c>
      <c r="J9" s="60">
        <v>1.55</v>
      </c>
      <c r="K9" s="60">
        <v>276.14999999999998</v>
      </c>
      <c r="L9" s="60">
        <v>47</v>
      </c>
      <c r="M9" s="60">
        <v>57.14</v>
      </c>
      <c r="N9" s="9" t="s">
        <v>36</v>
      </c>
      <c r="O9" s="60">
        <v>0</v>
      </c>
      <c r="P9" s="60">
        <v>2.73</v>
      </c>
      <c r="Q9" s="60">
        <v>74.209999999999994</v>
      </c>
      <c r="R9" s="198"/>
      <c r="S9" s="198"/>
      <c r="T9" s="198"/>
      <c r="U9" s="198"/>
    </row>
    <row r="10" spans="1:21" s="12" customFormat="1" ht="15">
      <c r="A10" s="201" t="s">
        <v>1495</v>
      </c>
      <c r="B10" s="60">
        <v>9.02</v>
      </c>
      <c r="C10" s="60">
        <v>24.67</v>
      </c>
      <c r="D10" s="60">
        <v>33.68</v>
      </c>
      <c r="E10" s="60">
        <v>6.42</v>
      </c>
      <c r="F10" s="60">
        <v>1.07</v>
      </c>
      <c r="G10" s="60">
        <v>103.03</v>
      </c>
      <c r="H10" s="60">
        <v>30.12</v>
      </c>
      <c r="I10" s="60">
        <v>7.36</v>
      </c>
      <c r="J10" s="60">
        <v>1.66</v>
      </c>
      <c r="K10" s="60">
        <v>265.14999999999998</v>
      </c>
      <c r="L10" s="60">
        <v>46.83</v>
      </c>
      <c r="M10" s="60">
        <v>58.01</v>
      </c>
      <c r="N10" s="9" t="s">
        <v>36</v>
      </c>
      <c r="O10" s="60">
        <v>0</v>
      </c>
      <c r="P10" s="60">
        <v>2.65</v>
      </c>
      <c r="Q10" s="60">
        <v>71.069999999999993</v>
      </c>
      <c r="R10" s="198"/>
      <c r="S10" s="198"/>
      <c r="T10" s="198"/>
      <c r="U10" s="198"/>
    </row>
    <row r="11" spans="1:21" s="12" customFormat="1" ht="15">
      <c r="A11" s="201" t="s">
        <v>1496</v>
      </c>
      <c r="B11" s="60">
        <v>7.66</v>
      </c>
      <c r="C11" s="60">
        <v>24.5</v>
      </c>
      <c r="D11" s="60">
        <v>32.17</v>
      </c>
      <c r="E11" s="60">
        <v>6.28</v>
      </c>
      <c r="F11" s="60">
        <v>0.93</v>
      </c>
      <c r="G11" s="60">
        <v>103.03</v>
      </c>
      <c r="H11" s="60">
        <v>30.12</v>
      </c>
      <c r="I11" s="60">
        <v>6.97</v>
      </c>
      <c r="J11" s="60">
        <v>1.33</v>
      </c>
      <c r="K11" s="60">
        <v>286.95</v>
      </c>
      <c r="L11" s="60">
        <v>33.340000000000003</v>
      </c>
      <c r="M11" s="60">
        <v>59.11</v>
      </c>
      <c r="N11" s="9" t="s">
        <v>36</v>
      </c>
      <c r="O11" s="60">
        <v>0</v>
      </c>
      <c r="P11" s="60">
        <v>2.59</v>
      </c>
      <c r="Q11" s="60">
        <v>67.739999999999995</v>
      </c>
      <c r="R11" s="198"/>
      <c r="S11" s="198"/>
      <c r="T11" s="198"/>
      <c r="U11" s="198"/>
    </row>
    <row r="12" spans="1:21" s="12" customFormat="1" ht="15">
      <c r="A12" s="201" t="s">
        <v>1497</v>
      </c>
      <c r="B12" s="60">
        <v>6.62</v>
      </c>
      <c r="C12" s="60">
        <v>24.69</v>
      </c>
      <c r="D12" s="60">
        <v>31.31</v>
      </c>
      <c r="E12" s="60">
        <v>6.30</v>
      </c>
      <c r="F12" s="60">
        <v>0.52</v>
      </c>
      <c r="G12" s="60">
        <v>97.03</v>
      </c>
      <c r="H12" s="60">
        <v>30.49</v>
      </c>
      <c r="I12" s="60">
        <v>6.67</v>
      </c>
      <c r="J12" s="60">
        <v>1.26</v>
      </c>
      <c r="K12" s="60">
        <v>240.94</v>
      </c>
      <c r="L12" s="60">
        <v>33.450000000000003</v>
      </c>
      <c r="M12" s="60">
        <v>57.57</v>
      </c>
      <c r="N12" s="9" t="s">
        <v>36</v>
      </c>
      <c r="O12" s="60">
        <v>0</v>
      </c>
      <c r="P12" s="60">
        <v>2.5299999999999998</v>
      </c>
      <c r="Q12" s="60">
        <v>63.64</v>
      </c>
      <c r="R12" s="198"/>
      <c r="S12" s="198"/>
      <c r="T12" s="198"/>
      <c r="U12" s="198"/>
    </row>
    <row r="13" spans="1:21" s="12" customFormat="1" ht="15">
      <c r="A13" s="201" t="s">
        <v>1498</v>
      </c>
      <c r="B13" s="60">
        <v>5.35</v>
      </c>
      <c r="C13" s="60">
        <v>23.26</v>
      </c>
      <c r="D13" s="60">
        <v>28.62</v>
      </c>
      <c r="E13" s="60">
        <v>6.36</v>
      </c>
      <c r="F13" s="60">
        <v>0.94</v>
      </c>
      <c r="G13" s="60">
        <v>95.30</v>
      </c>
      <c r="H13" s="60">
        <v>30.75</v>
      </c>
      <c r="I13" s="60">
        <v>6.42</v>
      </c>
      <c r="J13" s="60">
        <v>1.83</v>
      </c>
      <c r="K13" s="60">
        <v>214.90</v>
      </c>
      <c r="L13" s="60">
        <v>33.72</v>
      </c>
      <c r="M13" s="60">
        <v>57.45</v>
      </c>
      <c r="N13" s="9" t="s">
        <v>36</v>
      </c>
      <c r="O13" s="60">
        <v>0</v>
      </c>
      <c r="P13" s="60">
        <v>2.4700000000000002</v>
      </c>
      <c r="Q13" s="60">
        <v>61.77</v>
      </c>
      <c r="R13" s="198"/>
      <c r="S13" s="198"/>
      <c r="T13" s="198"/>
      <c r="U13" s="198"/>
    </row>
    <row r="14" spans="1:21" s="12" customFormat="1" ht="15">
      <c r="A14" s="201" t="s">
        <v>1499</v>
      </c>
      <c r="B14" s="60">
        <v>4.16</v>
      </c>
      <c r="C14" s="60">
        <v>21.72</v>
      </c>
      <c r="D14" s="60">
        <v>25.88</v>
      </c>
      <c r="E14" s="60">
        <v>6.19</v>
      </c>
      <c r="F14" s="60">
        <v>1.07</v>
      </c>
      <c r="G14" s="60">
        <v>95.30</v>
      </c>
      <c r="H14" s="60">
        <v>30.75</v>
      </c>
      <c r="I14" s="60">
        <v>6.19</v>
      </c>
      <c r="J14" s="60">
        <v>1.79</v>
      </c>
      <c r="K14" s="60">
        <v>197.19</v>
      </c>
      <c r="L14" s="60">
        <v>33.32</v>
      </c>
      <c r="M14" s="60">
        <v>59.26</v>
      </c>
      <c r="N14" s="9" t="s">
        <v>36</v>
      </c>
      <c r="O14" s="60">
        <v>0</v>
      </c>
      <c r="P14" s="60">
        <v>2.4300000000000002</v>
      </c>
      <c r="Q14" s="60">
        <v>57.30</v>
      </c>
      <c r="R14" s="198"/>
      <c r="S14" s="198"/>
      <c r="T14" s="198"/>
      <c r="U14" s="198"/>
    </row>
    <row r="15" spans="1:21" s="12" customFormat="1" ht="15">
      <c r="A15" s="201" t="s">
        <v>1500</v>
      </c>
      <c r="B15" s="60">
        <v>3.30</v>
      </c>
      <c r="C15" s="60">
        <v>20.48</v>
      </c>
      <c r="D15" s="60">
        <v>23.78</v>
      </c>
      <c r="E15" s="60">
        <v>6.54</v>
      </c>
      <c r="F15" s="60">
        <v>1.0900000000000001</v>
      </c>
      <c r="G15" s="60">
        <v>95.30</v>
      </c>
      <c r="H15" s="60">
        <v>30.75</v>
      </c>
      <c r="I15" s="60">
        <v>5.97</v>
      </c>
      <c r="J15" s="60">
        <v>1.66</v>
      </c>
      <c r="K15" s="60">
        <v>207.96</v>
      </c>
      <c r="L15" s="60">
        <v>32.880000000000003</v>
      </c>
      <c r="M15" s="60">
        <v>61.65</v>
      </c>
      <c r="N15" s="9" t="s">
        <v>36</v>
      </c>
      <c r="O15" s="60">
        <v>0</v>
      </c>
      <c r="P15" s="60">
        <v>2.38</v>
      </c>
      <c r="Q15" s="60">
        <v>56.96</v>
      </c>
      <c r="R15" s="198"/>
      <c r="S15" s="198"/>
      <c r="T15" s="198"/>
      <c r="U15" s="198"/>
    </row>
    <row r="16" spans="1:21" s="12" customFormat="1" ht="15">
      <c r="A16" s="201" t="s">
        <v>1501</v>
      </c>
      <c r="B16" s="60">
        <v>2.82</v>
      </c>
      <c r="C16" s="60">
        <v>20.05</v>
      </c>
      <c r="D16" s="60">
        <v>22.87</v>
      </c>
      <c r="E16" s="60">
        <v>6.5</v>
      </c>
      <c r="F16" s="60">
        <v>0.60</v>
      </c>
      <c r="G16" s="60">
        <v>87.27</v>
      </c>
      <c r="H16" s="60">
        <v>29.96</v>
      </c>
      <c r="I16" s="60">
        <v>5.73</v>
      </c>
      <c r="J16" s="60">
        <v>1.58</v>
      </c>
      <c r="K16" s="60">
        <v>183.57</v>
      </c>
      <c r="L16" s="60">
        <v>32.479999999999997</v>
      </c>
      <c r="M16" s="60">
        <v>63.14</v>
      </c>
      <c r="N16" s="9" t="s">
        <v>36</v>
      </c>
      <c r="O16" s="60">
        <v>0</v>
      </c>
      <c r="P16" s="60">
        <v>2.34</v>
      </c>
      <c r="Q16" s="60">
        <v>54.51</v>
      </c>
      <c r="R16" s="198"/>
      <c r="S16" s="198"/>
      <c r="T16" s="198"/>
      <c r="U16" s="198"/>
    </row>
    <row r="17" spans="1:21" s="12" customFormat="1" ht="15">
      <c r="A17" s="201" t="s">
        <v>1502</v>
      </c>
      <c r="B17" s="60">
        <v>2.64</v>
      </c>
      <c r="C17" s="60">
        <v>19.86</v>
      </c>
      <c r="D17" s="60">
        <v>22.5</v>
      </c>
      <c r="E17" s="60">
        <v>5.80</v>
      </c>
      <c r="F17" s="60">
        <v>0.44</v>
      </c>
      <c r="G17" s="60">
        <v>84.75</v>
      </c>
      <c r="H17" s="60">
        <v>29.38</v>
      </c>
      <c r="I17" s="60">
        <v>5.53</v>
      </c>
      <c r="J17" s="60">
        <v>1.56</v>
      </c>
      <c r="K17" s="60">
        <v>185.32</v>
      </c>
      <c r="L17" s="60">
        <v>32.5</v>
      </c>
      <c r="M17" s="60">
        <v>62.84</v>
      </c>
      <c r="N17" s="9" t="s">
        <v>36</v>
      </c>
      <c r="O17" s="60">
        <v>0</v>
      </c>
      <c r="P17" s="60">
        <v>2.3199999999999998</v>
      </c>
      <c r="Q17" s="60">
        <v>57</v>
      </c>
      <c r="R17" s="198"/>
      <c r="S17" s="198"/>
      <c r="T17" s="198"/>
      <c r="U17" s="198"/>
    </row>
    <row r="18" spans="1:21" s="12" customFormat="1" ht="15">
      <c r="A18" s="201" t="s">
        <v>1503</v>
      </c>
      <c r="B18" s="60">
        <v>2.84</v>
      </c>
      <c r="C18" s="60">
        <v>15.63</v>
      </c>
      <c r="D18" s="60">
        <v>18.47</v>
      </c>
      <c r="E18" s="60">
        <v>6.55</v>
      </c>
      <c r="F18" s="60">
        <v>1</v>
      </c>
      <c r="G18" s="60">
        <v>84.75</v>
      </c>
      <c r="H18" s="60">
        <v>29.38</v>
      </c>
      <c r="I18" s="60">
        <v>5.42</v>
      </c>
      <c r="J18" s="60">
        <v>2.2599999999999998</v>
      </c>
      <c r="K18" s="60">
        <v>166.58</v>
      </c>
      <c r="L18" s="60">
        <v>40.880000000000003</v>
      </c>
      <c r="M18" s="60">
        <v>63.17</v>
      </c>
      <c r="N18" s="9" t="s">
        <v>36</v>
      </c>
      <c r="O18" s="60">
        <v>0</v>
      </c>
      <c r="P18" s="60">
        <v>2.31</v>
      </c>
      <c r="Q18" s="60">
        <v>51.22</v>
      </c>
      <c r="R18" s="198"/>
      <c r="S18" s="198"/>
      <c r="T18" s="198"/>
      <c r="U18" s="198"/>
    </row>
    <row r="19" spans="1:21" s="12" customFormat="1" ht="15">
      <c r="A19" s="201" t="s">
        <v>1504</v>
      </c>
      <c r="B19" s="60">
        <v>3.10</v>
      </c>
      <c r="C19" s="60">
        <v>14.22</v>
      </c>
      <c r="D19" s="60">
        <v>17.32</v>
      </c>
      <c r="E19" s="60">
        <v>6.97</v>
      </c>
      <c r="F19" s="60">
        <v>0.96</v>
      </c>
      <c r="G19" s="60">
        <v>84.75</v>
      </c>
      <c r="H19" s="60">
        <v>29.38</v>
      </c>
      <c r="I19" s="60">
        <v>5.32</v>
      </c>
      <c r="J19" s="60">
        <v>1.81</v>
      </c>
      <c r="K19" s="60">
        <v>182.94</v>
      </c>
      <c r="L19" s="60">
        <v>41.98</v>
      </c>
      <c r="M19" s="60">
        <v>63.57</v>
      </c>
      <c r="N19" s="9" t="s">
        <v>36</v>
      </c>
      <c r="O19" s="60">
        <v>0</v>
      </c>
      <c r="P19" s="60">
        <v>2.2999999999999998</v>
      </c>
      <c r="Q19" s="60">
        <v>42.88</v>
      </c>
      <c r="R19" s="198"/>
      <c r="S19" s="198"/>
      <c r="T19" s="198"/>
      <c r="U19" s="198"/>
    </row>
    <row r="20" spans="1:21" s="12" customFormat="1" ht="15">
      <c r="A20" s="201" t="s">
        <v>1505</v>
      </c>
      <c r="B20" s="60">
        <v>3.30</v>
      </c>
      <c r="C20" s="60">
        <v>13.80</v>
      </c>
      <c r="D20" s="60">
        <v>17.100000000000001</v>
      </c>
      <c r="E20" s="60">
        <v>3.5</v>
      </c>
      <c r="F20" s="60">
        <v>0.84</v>
      </c>
      <c r="G20" s="60">
        <v>77.22</v>
      </c>
      <c r="H20" s="60">
        <v>29.36</v>
      </c>
      <c r="I20" s="60">
        <v>5.35</v>
      </c>
      <c r="J20" s="60">
        <v>1.63</v>
      </c>
      <c r="K20" s="60">
        <v>193.14</v>
      </c>
      <c r="L20" s="60">
        <v>41.71</v>
      </c>
      <c r="M20" s="60">
        <v>63.83</v>
      </c>
      <c r="N20" s="9" t="s">
        <v>36</v>
      </c>
      <c r="O20" s="60">
        <v>0</v>
      </c>
      <c r="P20" s="60">
        <v>2.29</v>
      </c>
      <c r="Q20" s="60">
        <v>41.79</v>
      </c>
      <c r="R20" s="198"/>
      <c r="S20" s="198"/>
      <c r="T20" s="198"/>
      <c r="U20" s="198"/>
    </row>
    <row r="21" spans="1:21" s="12" customFormat="1" ht="15">
      <c r="A21" s="201" t="s">
        <v>1506</v>
      </c>
      <c r="B21" s="60">
        <v>3.51</v>
      </c>
      <c r="C21" s="60">
        <v>13.29</v>
      </c>
      <c r="D21" s="60">
        <v>16.80</v>
      </c>
      <c r="E21" s="60">
        <v>6.82</v>
      </c>
      <c r="F21" s="60">
        <v>0.84</v>
      </c>
      <c r="G21" s="60">
        <v>74.849999999999994</v>
      </c>
      <c r="H21" s="60">
        <v>29.33</v>
      </c>
      <c r="I21" s="60">
        <v>5.39</v>
      </c>
      <c r="J21" s="60">
        <v>1.18</v>
      </c>
      <c r="K21" s="60">
        <v>230.11</v>
      </c>
      <c r="L21" s="60">
        <v>41.15</v>
      </c>
      <c r="M21" s="60">
        <v>64.45</v>
      </c>
      <c r="N21" s="9" t="s">
        <v>36</v>
      </c>
      <c r="O21" s="60">
        <v>0</v>
      </c>
      <c r="P21" s="60">
        <v>2.27</v>
      </c>
      <c r="Q21" s="60">
        <v>43.61</v>
      </c>
      <c r="R21" s="198"/>
      <c r="S21" s="198"/>
      <c r="T21" s="198"/>
      <c r="U21" s="198"/>
    </row>
    <row r="22" spans="1:21" s="12" customFormat="1" ht="15">
      <c r="A22" s="201" t="s">
        <v>1507</v>
      </c>
      <c r="B22" s="60">
        <v>3.69</v>
      </c>
      <c r="C22" s="60">
        <v>13.11</v>
      </c>
      <c r="D22" s="60">
        <v>16.809999999999999</v>
      </c>
      <c r="E22" s="60">
        <v>7.26</v>
      </c>
      <c r="F22" s="60">
        <v>0.94</v>
      </c>
      <c r="G22" s="60">
        <v>74.849999999999994</v>
      </c>
      <c r="H22" s="60">
        <v>29.33</v>
      </c>
      <c r="I22" s="60">
        <v>5.39</v>
      </c>
      <c r="J22" s="60">
        <v>1.74</v>
      </c>
      <c r="K22" s="60">
        <v>175.88</v>
      </c>
      <c r="L22" s="60">
        <v>41.85</v>
      </c>
      <c r="M22" s="60">
        <v>65.23</v>
      </c>
      <c r="N22" s="9" t="s">
        <v>36</v>
      </c>
      <c r="O22" s="60">
        <v>0</v>
      </c>
      <c r="P22" s="60">
        <v>2.2599999999999998</v>
      </c>
      <c r="Q22" s="60">
        <v>43.97</v>
      </c>
      <c r="R22" s="198"/>
      <c r="S22" s="198"/>
      <c r="T22" s="198"/>
      <c r="U22" s="198"/>
    </row>
    <row r="23" spans="1:21" s="12" customFormat="1" ht="15">
      <c r="A23" s="201" t="s">
        <v>1508</v>
      </c>
      <c r="B23" s="60">
        <v>3.82</v>
      </c>
      <c r="C23" s="60">
        <v>12.88</v>
      </c>
      <c r="D23" s="60">
        <v>16.70</v>
      </c>
      <c r="E23" s="60">
        <v>7.43</v>
      </c>
      <c r="F23" s="60">
        <v>0.94</v>
      </c>
      <c r="G23" s="60">
        <v>74.849999999999994</v>
      </c>
      <c r="H23" s="60">
        <v>29.33</v>
      </c>
      <c r="I23" s="60">
        <v>5.37</v>
      </c>
      <c r="J23" s="60">
        <v>2.04</v>
      </c>
      <c r="K23" s="60">
        <v>171.82</v>
      </c>
      <c r="L23" s="60">
        <v>42.45</v>
      </c>
      <c r="M23" s="60">
        <v>65.540000000000006</v>
      </c>
      <c r="N23" s="9" t="s">
        <v>36</v>
      </c>
      <c r="O23" s="60">
        <v>0</v>
      </c>
      <c r="P23" s="60">
        <v>2.23</v>
      </c>
      <c r="Q23" s="60">
        <v>44.13</v>
      </c>
      <c r="R23" s="198"/>
      <c r="S23" s="198"/>
      <c r="T23" s="198"/>
      <c r="U23" s="198"/>
    </row>
    <row r="24" spans="1:21" s="12" customFormat="1" ht="15">
      <c r="A24" s="201" t="s">
        <v>1509</v>
      </c>
      <c r="B24" s="60">
        <v>3.91</v>
      </c>
      <c r="C24" s="60">
        <v>12.77</v>
      </c>
      <c r="D24" s="60">
        <v>16.68</v>
      </c>
      <c r="E24" s="60">
        <v>7.60</v>
      </c>
      <c r="F24" s="60">
        <v>0.45</v>
      </c>
      <c r="G24" s="60">
        <v>66.680000000000007</v>
      </c>
      <c r="H24" s="60">
        <v>26.75</v>
      </c>
      <c r="I24" s="60">
        <v>5.39</v>
      </c>
      <c r="J24" s="60">
        <v>1.46</v>
      </c>
      <c r="K24" s="60">
        <v>232.99</v>
      </c>
      <c r="L24" s="60">
        <v>41.75</v>
      </c>
      <c r="M24" s="60">
        <v>66.12</v>
      </c>
      <c r="N24" s="9" t="s">
        <v>36</v>
      </c>
      <c r="O24" s="60">
        <v>0</v>
      </c>
      <c r="P24" s="60">
        <v>2.21</v>
      </c>
      <c r="Q24" s="60">
        <v>44.24</v>
      </c>
      <c r="R24" s="198"/>
      <c r="S24" s="198"/>
      <c r="T24" s="198"/>
      <c r="U24" s="198"/>
    </row>
    <row r="25" spans="1:21" s="12" customFormat="1" ht="15">
      <c r="A25" s="201" t="s">
        <v>1510</v>
      </c>
      <c r="B25" s="60">
        <v>3.75</v>
      </c>
      <c r="C25" s="60">
        <v>15.42</v>
      </c>
      <c r="D25" s="60">
        <v>19.170000000000002</v>
      </c>
      <c r="E25" s="60">
        <v>7.71</v>
      </c>
      <c r="F25" s="60">
        <v>0.51</v>
      </c>
      <c r="G25" s="60">
        <v>64.11</v>
      </c>
      <c r="H25" s="60">
        <v>24.86</v>
      </c>
      <c r="I25" s="60">
        <v>5.38</v>
      </c>
      <c r="J25" s="60">
        <v>1.51</v>
      </c>
      <c r="K25" s="60">
        <v>209.02</v>
      </c>
      <c r="L25" s="60">
        <v>41.69</v>
      </c>
      <c r="M25" s="60">
        <v>66.70</v>
      </c>
      <c r="N25" s="9" t="s">
        <v>36</v>
      </c>
      <c r="O25" s="60">
        <v>0</v>
      </c>
      <c r="P25" s="60">
        <v>2.19</v>
      </c>
      <c r="Q25" s="60">
        <v>51.34</v>
      </c>
      <c r="R25" s="198"/>
      <c r="S25" s="198"/>
      <c r="T25" s="198"/>
      <c r="U25" s="198"/>
    </row>
    <row r="26" spans="1:21" s="12" customFormat="1" ht="15">
      <c r="A26" s="201" t="s">
        <v>1511</v>
      </c>
      <c r="B26" s="60">
        <v>3.37</v>
      </c>
      <c r="C26" s="60">
        <v>16.829999999999998</v>
      </c>
      <c r="D26" s="60">
        <v>20.20</v>
      </c>
      <c r="E26" s="60">
        <v>7.5</v>
      </c>
      <c r="F26" s="60">
        <v>0.64</v>
      </c>
      <c r="G26" s="60">
        <v>64.11</v>
      </c>
      <c r="H26" s="60">
        <v>24.86</v>
      </c>
      <c r="I26" s="60">
        <v>5.32</v>
      </c>
      <c r="J26" s="60">
        <v>0.85</v>
      </c>
      <c r="K26" s="60">
        <v>249.88</v>
      </c>
      <c r="L26" s="60">
        <v>40.99</v>
      </c>
      <c r="M26" s="60">
        <v>67.709999999999994</v>
      </c>
      <c r="N26" s="9" t="s">
        <v>36</v>
      </c>
      <c r="O26" s="60">
        <v>0</v>
      </c>
      <c r="P26" s="60">
        <v>2.15</v>
      </c>
      <c r="Q26" s="60">
        <v>57.98</v>
      </c>
      <c r="R26" s="198"/>
      <c r="S26" s="198"/>
      <c r="T26" s="198"/>
      <c r="U26" s="198"/>
    </row>
    <row r="27" spans="1:21" s="12" customFormat="1" ht="15">
      <c r="A27" s="201" t="s">
        <v>1512</v>
      </c>
      <c r="B27" s="60">
        <v>2.90</v>
      </c>
      <c r="C27" s="60">
        <v>16.239999999999998</v>
      </c>
      <c r="D27" s="60">
        <v>19.14</v>
      </c>
      <c r="E27" s="60">
        <v>7.41</v>
      </c>
      <c r="F27" s="60">
        <v>1.1200000000000001</v>
      </c>
      <c r="G27" s="60">
        <v>64.11</v>
      </c>
      <c r="H27" s="60">
        <v>24.86</v>
      </c>
      <c r="I27" s="60">
        <v>5.18</v>
      </c>
      <c r="J27" s="60">
        <v>1.38</v>
      </c>
      <c r="K27" s="60">
        <v>229.62</v>
      </c>
      <c r="L27" s="60">
        <v>42.12</v>
      </c>
      <c r="M27" s="60">
        <v>67.62</v>
      </c>
      <c r="N27" s="9" t="s">
        <v>36</v>
      </c>
      <c r="O27" s="60">
        <v>0</v>
      </c>
      <c r="P27" s="60">
        <v>2.12</v>
      </c>
      <c r="Q27" s="60">
        <v>58.69</v>
      </c>
      <c r="R27" s="198"/>
      <c r="S27" s="198"/>
      <c r="T27" s="198"/>
      <c r="U27" s="198"/>
    </row>
    <row r="28" spans="1:21" s="12" customFormat="1" ht="15">
      <c r="A28" s="201" t="s">
        <v>1513</v>
      </c>
      <c r="B28" s="60">
        <v>2.48</v>
      </c>
      <c r="C28" s="60">
        <v>16.75</v>
      </c>
      <c r="D28" s="60">
        <v>19.23</v>
      </c>
      <c r="E28" s="60">
        <v>7</v>
      </c>
      <c r="F28" s="60">
        <v>0.76</v>
      </c>
      <c r="G28" s="60">
        <v>61.63</v>
      </c>
      <c r="H28" s="60">
        <v>24.97</v>
      </c>
      <c r="I28" s="60">
        <v>4.99</v>
      </c>
      <c r="J28" s="60">
        <v>0.90</v>
      </c>
      <c r="K28" s="60">
        <v>235.13</v>
      </c>
      <c r="L28" s="60">
        <v>43.18</v>
      </c>
      <c r="M28" s="60">
        <v>69</v>
      </c>
      <c r="N28" s="9" t="s">
        <v>36</v>
      </c>
      <c r="O28" s="60">
        <v>0</v>
      </c>
      <c r="P28" s="60">
        <v>2.09</v>
      </c>
      <c r="Q28" s="60">
        <v>53.66</v>
      </c>
      <c r="R28" s="198"/>
      <c r="S28" s="198"/>
      <c r="T28" s="198"/>
      <c r="U28" s="198"/>
    </row>
    <row r="29" spans="1:21" s="12" customFormat="1" ht="15">
      <c r="A29" s="201" t="s">
        <v>1514</v>
      </c>
      <c r="B29" s="60">
        <v>2.38</v>
      </c>
      <c r="C29" s="60">
        <v>17.52</v>
      </c>
      <c r="D29" s="60">
        <v>19.899999999999999</v>
      </c>
      <c r="E29" s="60">
        <v>7.20</v>
      </c>
      <c r="F29" s="60">
        <v>0.74</v>
      </c>
      <c r="G29" s="60">
        <v>60.21</v>
      </c>
      <c r="H29" s="60">
        <v>25.06</v>
      </c>
      <c r="I29" s="60">
        <v>4.76</v>
      </c>
      <c r="J29" s="60">
        <v>1.34</v>
      </c>
      <c r="K29" s="60">
        <v>228.07</v>
      </c>
      <c r="L29" s="60">
        <v>42.01</v>
      </c>
      <c r="M29" s="60">
        <v>69.239999999999995</v>
      </c>
      <c r="N29" s="9" t="s">
        <v>36</v>
      </c>
      <c r="O29" s="60">
        <v>0</v>
      </c>
      <c r="P29" s="60">
        <v>2.0699999999999998</v>
      </c>
      <c r="Q29" s="60">
        <v>51.88</v>
      </c>
      <c r="R29" s="198"/>
      <c r="S29" s="198"/>
      <c r="T29" s="198"/>
      <c r="U29" s="198"/>
    </row>
    <row r="30" spans="1:21" s="12" customFormat="1" ht="15">
      <c r="A30" s="201" t="s">
        <v>1515</v>
      </c>
      <c r="B30" s="60">
        <v>2.25</v>
      </c>
      <c r="C30" s="60">
        <v>17.21</v>
      </c>
      <c r="D30" s="60">
        <v>19.46</v>
      </c>
      <c r="E30" s="60">
        <v>6.77</v>
      </c>
      <c r="F30" s="60">
        <v>0.46</v>
      </c>
      <c r="G30" s="60">
        <v>60.21</v>
      </c>
      <c r="H30" s="60">
        <v>25.06</v>
      </c>
      <c r="I30" s="60">
        <v>4.5999999999999996</v>
      </c>
      <c r="J30" s="60">
        <v>1.59</v>
      </c>
      <c r="K30" s="60">
        <v>204.63</v>
      </c>
      <c r="L30" s="60">
        <v>41.67</v>
      </c>
      <c r="M30" s="60">
        <v>69.78</v>
      </c>
      <c r="N30" s="9" t="s">
        <v>36</v>
      </c>
      <c r="O30" s="60">
        <v>0</v>
      </c>
      <c r="P30" s="60">
        <v>2.0499999999999998</v>
      </c>
      <c r="Q30" s="60">
        <v>52.12</v>
      </c>
      <c r="R30" s="198"/>
      <c r="S30" s="198"/>
      <c r="T30" s="198"/>
      <c r="U30" s="198"/>
    </row>
    <row r="31" spans="1:21" s="12" customFormat="1" ht="15">
      <c r="A31" s="201" t="s">
        <v>1516</v>
      </c>
      <c r="B31" s="60">
        <v>2.29</v>
      </c>
      <c r="C31" s="60">
        <v>16.04</v>
      </c>
      <c r="D31" s="60">
        <v>18.329999999999998</v>
      </c>
      <c r="E31" s="60">
        <v>6.77</v>
      </c>
      <c r="F31" s="60">
        <v>0.99</v>
      </c>
      <c r="G31" s="60">
        <v>60.21</v>
      </c>
      <c r="H31" s="60">
        <v>25.06</v>
      </c>
      <c r="I31" s="60">
        <v>4.5</v>
      </c>
      <c r="J31" s="60">
        <v>1.05</v>
      </c>
      <c r="K31" s="60">
        <v>232.95</v>
      </c>
      <c r="L31" s="60">
        <v>41.73</v>
      </c>
      <c r="M31" s="60">
        <v>70.30</v>
      </c>
      <c r="N31" s="60">
        <v>1.70</v>
      </c>
      <c r="O31" s="60">
        <v>0</v>
      </c>
      <c r="P31" s="60">
        <v>2.04</v>
      </c>
      <c r="Q31" s="60">
        <v>50.27</v>
      </c>
      <c r="R31" s="198"/>
      <c r="S31" s="198"/>
      <c r="T31" s="198"/>
      <c r="U31" s="198"/>
    </row>
    <row r="32" spans="1:21" s="12" customFormat="1" ht="15">
      <c r="A32" s="201" t="s">
        <v>1517</v>
      </c>
      <c r="B32" s="60">
        <v>2.5499999999999998</v>
      </c>
      <c r="C32" s="60">
        <v>17.690000000000001</v>
      </c>
      <c r="D32" s="60">
        <v>20.239999999999998</v>
      </c>
      <c r="E32" s="60">
        <v>6.56</v>
      </c>
      <c r="F32" s="60">
        <v>0.92</v>
      </c>
      <c r="G32" s="60">
        <v>55.10</v>
      </c>
      <c r="H32" s="60">
        <v>22.55</v>
      </c>
      <c r="I32" s="60">
        <v>4.37</v>
      </c>
      <c r="J32" s="60">
        <v>0.90</v>
      </c>
      <c r="K32" s="60">
        <v>233.48</v>
      </c>
      <c r="L32" s="60">
        <v>42.61</v>
      </c>
      <c r="M32" s="60">
        <v>69.64</v>
      </c>
      <c r="N32" s="60">
        <v>26.60</v>
      </c>
      <c r="O32" s="60">
        <v>0</v>
      </c>
      <c r="P32" s="60">
        <v>2.04</v>
      </c>
      <c r="Q32" s="60">
        <v>46.21</v>
      </c>
      <c r="R32" s="198"/>
      <c r="S32" s="198"/>
      <c r="T32" s="198"/>
      <c r="U32" s="198"/>
    </row>
    <row r="33" spans="1:21" s="12" customFormat="1" ht="15">
      <c r="A33" s="201" t="s">
        <v>1518</v>
      </c>
      <c r="B33" s="60">
        <v>2.65</v>
      </c>
      <c r="C33" s="60">
        <v>17.899999999999999</v>
      </c>
      <c r="D33" s="60">
        <v>20.54</v>
      </c>
      <c r="E33" s="60">
        <v>6.46</v>
      </c>
      <c r="F33" s="60">
        <v>0.51</v>
      </c>
      <c r="G33" s="60">
        <v>53.63</v>
      </c>
      <c r="H33" s="60">
        <v>20.71</v>
      </c>
      <c r="I33" s="60">
        <v>4.32</v>
      </c>
      <c r="J33" s="60">
        <v>1.01</v>
      </c>
      <c r="K33" s="60">
        <v>232.5</v>
      </c>
      <c r="L33" s="60">
        <v>41.99</v>
      </c>
      <c r="M33" s="60">
        <v>68.73</v>
      </c>
      <c r="N33" s="60">
        <v>65.099999999999994</v>
      </c>
      <c r="O33" s="60">
        <v>0</v>
      </c>
      <c r="P33" s="60">
        <v>2.0299999999999998</v>
      </c>
      <c r="Q33" s="60">
        <v>46.94</v>
      </c>
      <c r="R33" s="198"/>
      <c r="S33" s="198"/>
      <c r="T33" s="198"/>
      <c r="U33" s="198"/>
    </row>
    <row r="34" spans="1:21" s="12" customFormat="1" ht="15">
      <c r="A34" s="201" t="s">
        <v>1519</v>
      </c>
      <c r="B34" s="60">
        <v>2.4700000000000002</v>
      </c>
      <c r="C34" s="60">
        <v>18.64</v>
      </c>
      <c r="D34" s="60">
        <v>21.11</v>
      </c>
      <c r="E34" s="60">
        <v>6.55</v>
      </c>
      <c r="F34" s="60">
        <v>0.19</v>
      </c>
      <c r="G34" s="60">
        <v>53.63</v>
      </c>
      <c r="H34" s="60">
        <v>20.71</v>
      </c>
      <c r="I34" s="60">
        <v>4.30</v>
      </c>
      <c r="J34" s="60">
        <v>0.48</v>
      </c>
      <c r="K34" s="60">
        <v>215.66</v>
      </c>
      <c r="L34" s="60">
        <v>42.11</v>
      </c>
      <c r="M34" s="60">
        <v>67.80</v>
      </c>
      <c r="N34" s="60">
        <v>100.80</v>
      </c>
      <c r="O34" s="60">
        <v>0</v>
      </c>
      <c r="P34" s="60">
        <v>2.02</v>
      </c>
      <c r="Q34" s="60">
        <v>45.90</v>
      </c>
      <c r="R34" s="198"/>
      <c r="S34" s="198"/>
      <c r="T34" s="198"/>
      <c r="U34" s="198"/>
    </row>
    <row r="35" spans="1:21" s="12" customFormat="1" ht="15">
      <c r="A35" s="201" t="s">
        <v>1520</v>
      </c>
      <c r="B35" s="60">
        <v>2.33</v>
      </c>
      <c r="C35" s="60">
        <v>18.05</v>
      </c>
      <c r="D35" s="60">
        <v>20.38</v>
      </c>
      <c r="E35" s="60">
        <v>6.25</v>
      </c>
      <c r="F35" s="60">
        <v>0.90</v>
      </c>
      <c r="G35" s="60">
        <v>53.63</v>
      </c>
      <c r="H35" s="60">
        <v>20.71</v>
      </c>
      <c r="I35" s="60">
        <v>4.32</v>
      </c>
      <c r="J35" s="60">
        <v>0.91</v>
      </c>
      <c r="K35" s="60">
        <v>233.47</v>
      </c>
      <c r="L35" s="60">
        <v>42.24</v>
      </c>
      <c r="M35" s="60">
        <v>66.69</v>
      </c>
      <c r="N35" s="60">
        <v>148.60</v>
      </c>
      <c r="O35" s="60">
        <v>0</v>
      </c>
      <c r="P35" s="60">
        <v>2.0099999999999998</v>
      </c>
      <c r="Q35" s="60">
        <v>46.90</v>
      </c>
      <c r="R35" s="198"/>
      <c r="S35" s="198"/>
      <c r="T35" s="198"/>
      <c r="U35" s="198"/>
    </row>
    <row r="36" spans="1:21" s="12" customFormat="1" ht="15">
      <c r="A36" s="201" t="s">
        <v>1521</v>
      </c>
      <c r="B36" s="60">
        <v>2.77</v>
      </c>
      <c r="C36" s="60">
        <v>16.96</v>
      </c>
      <c r="D36" s="60">
        <v>19.73</v>
      </c>
      <c r="E36" s="60">
        <v>2.88</v>
      </c>
      <c r="F36" s="60">
        <v>1.18</v>
      </c>
      <c r="G36" s="60">
        <v>53.97</v>
      </c>
      <c r="H36" s="60">
        <v>22.66</v>
      </c>
      <c r="I36" s="60">
        <v>4.29</v>
      </c>
      <c r="J36" s="60">
        <v>0.37</v>
      </c>
      <c r="K36" s="60">
        <v>330.42</v>
      </c>
      <c r="L36" s="60">
        <v>42.32</v>
      </c>
      <c r="M36" s="60">
        <v>64.72</v>
      </c>
      <c r="N36" s="60">
        <v>198.5</v>
      </c>
      <c r="O36" s="60">
        <v>0</v>
      </c>
      <c r="P36" s="60">
        <v>2.0099999999999998</v>
      </c>
      <c r="Q36" s="60">
        <v>40.090000000000003</v>
      </c>
      <c r="R36" s="198"/>
      <c r="S36" s="198"/>
      <c r="T36" s="198"/>
      <c r="U36" s="198"/>
    </row>
    <row r="37" spans="1:21" s="12" customFormat="1" ht="15">
      <c r="A37" s="201" t="s">
        <v>1522</v>
      </c>
      <c r="B37" s="60">
        <v>3.25</v>
      </c>
      <c r="C37" s="60">
        <v>17.809999999999999</v>
      </c>
      <c r="D37" s="60">
        <v>21.06</v>
      </c>
      <c r="E37" s="60">
        <v>5.74</v>
      </c>
      <c r="F37" s="60">
        <v>0.94</v>
      </c>
      <c r="G37" s="60">
        <v>54.13</v>
      </c>
      <c r="H37" s="60">
        <v>24.08</v>
      </c>
      <c r="I37" s="60">
        <v>4.29</v>
      </c>
      <c r="J37" s="60">
        <v>0.18</v>
      </c>
      <c r="K37" s="60">
        <v>321.52</v>
      </c>
      <c r="L37" s="60">
        <v>42.49</v>
      </c>
      <c r="M37" s="60">
        <v>62.19</v>
      </c>
      <c r="N37" s="60">
        <v>237.20</v>
      </c>
      <c r="O37" s="60">
        <v>0</v>
      </c>
      <c r="P37" s="60">
        <v>2.02</v>
      </c>
      <c r="Q37" s="60">
        <v>36.57</v>
      </c>
      <c r="R37" s="198"/>
      <c r="S37" s="198"/>
      <c r="T37" s="198"/>
      <c r="U37" s="198"/>
    </row>
    <row r="38" spans="1:21" s="12" customFormat="1" ht="15">
      <c r="A38" s="201" t="s">
        <v>1523</v>
      </c>
      <c r="B38" s="60">
        <v>2.88</v>
      </c>
      <c r="C38" s="60">
        <v>18.87</v>
      </c>
      <c r="D38" s="60">
        <v>21.75</v>
      </c>
      <c r="E38" s="60">
        <v>5.62</v>
      </c>
      <c r="F38" s="60">
        <v>1.48</v>
      </c>
      <c r="G38" s="60">
        <v>54.13</v>
      </c>
      <c r="H38" s="60">
        <v>24.08</v>
      </c>
      <c r="I38" s="60">
        <v>4.3600000000000003</v>
      </c>
      <c r="J38" s="60">
        <v>0.32</v>
      </c>
      <c r="K38" s="60">
        <v>66.62</v>
      </c>
      <c r="L38" s="60">
        <v>41.26</v>
      </c>
      <c r="M38" s="60">
        <v>60.66</v>
      </c>
      <c r="N38" s="60">
        <v>295.39999999999998</v>
      </c>
      <c r="O38" s="60">
        <v>0</v>
      </c>
      <c r="P38" s="60">
        <v>2.02</v>
      </c>
      <c r="Q38" s="60">
        <v>36.83</v>
      </c>
      <c r="R38" s="198"/>
      <c r="S38" s="198"/>
      <c r="T38" s="198"/>
      <c r="U38" s="198"/>
    </row>
    <row r="39" spans="1:21" s="12" customFormat="1" ht="15">
      <c r="A39" s="201" t="s">
        <v>1524</v>
      </c>
      <c r="B39" s="60">
        <v>2.04</v>
      </c>
      <c r="C39" s="60">
        <v>19.309999999999999</v>
      </c>
      <c r="D39" s="60">
        <v>21.35</v>
      </c>
      <c r="E39" s="60">
        <v>5.47</v>
      </c>
      <c r="F39" s="60">
        <v>2.13</v>
      </c>
      <c r="G39" s="60">
        <v>54.13</v>
      </c>
      <c r="H39" s="60">
        <v>24.08</v>
      </c>
      <c r="I39" s="60">
        <v>4.51</v>
      </c>
      <c r="J39" s="60">
        <v>0.28000000000000003</v>
      </c>
      <c r="K39" s="60">
        <v>41.05</v>
      </c>
      <c r="L39" s="60">
        <v>41.89</v>
      </c>
      <c r="M39" s="60">
        <v>58.29</v>
      </c>
      <c r="N39" s="60">
        <v>384.70</v>
      </c>
      <c r="O39" s="60">
        <v>0</v>
      </c>
      <c r="P39" s="60">
        <v>2</v>
      </c>
      <c r="Q39" s="60">
        <v>36.18</v>
      </c>
      <c r="R39" s="198"/>
      <c r="S39" s="198"/>
      <c r="T39" s="198"/>
      <c r="U39" s="198"/>
    </row>
    <row r="40" spans="1:21" s="12" customFormat="1" ht="15">
      <c r="A40" s="201" t="s">
        <v>1525</v>
      </c>
      <c r="B40" s="60">
        <v>1.48</v>
      </c>
      <c r="C40" s="60">
        <v>19.63</v>
      </c>
      <c r="D40" s="60">
        <v>21.11</v>
      </c>
      <c r="E40" s="60">
        <v>5.09</v>
      </c>
      <c r="F40" s="60">
        <v>2.54</v>
      </c>
      <c r="G40" s="60">
        <v>55.93</v>
      </c>
      <c r="H40" s="60">
        <v>23.45</v>
      </c>
      <c r="I40" s="60">
        <v>4.32</v>
      </c>
      <c r="J40" s="60">
        <v>0.18</v>
      </c>
      <c r="K40" s="60">
        <v>0.70</v>
      </c>
      <c r="L40" s="60">
        <v>42.55</v>
      </c>
      <c r="M40" s="60">
        <v>55.75</v>
      </c>
      <c r="N40" s="60">
        <v>441.5</v>
      </c>
      <c r="O40" s="60">
        <v>0</v>
      </c>
      <c r="P40" s="60">
        <v>1.99</v>
      </c>
      <c r="Q40" s="60">
        <v>34.68</v>
      </c>
      <c r="R40" s="198"/>
      <c r="S40" s="198"/>
      <c r="T40" s="198"/>
      <c r="U40" s="198"/>
    </row>
    <row r="41" spans="1:21" s="12" customFormat="1" ht="15">
      <c r="A41" s="201" t="s">
        <v>1526</v>
      </c>
      <c r="B41" s="60">
        <v>1.06</v>
      </c>
      <c r="C41" s="60">
        <v>19.71</v>
      </c>
      <c r="D41" s="60">
        <v>20.78</v>
      </c>
      <c r="E41" s="60">
        <v>4.62</v>
      </c>
      <c r="F41" s="60">
        <v>3.33</v>
      </c>
      <c r="G41" s="60">
        <v>56.46</v>
      </c>
      <c r="H41" s="60">
        <v>22.98</v>
      </c>
      <c r="I41" s="60">
        <v>4.16</v>
      </c>
      <c r="J41" s="60">
        <v>0.43</v>
      </c>
      <c r="K41" s="60">
        <v>288.37</v>
      </c>
      <c r="L41" s="60">
        <v>42.53</v>
      </c>
      <c r="M41" s="60">
        <v>56.07</v>
      </c>
      <c r="N41" s="60">
        <v>387.10</v>
      </c>
      <c r="O41" s="60">
        <v>0</v>
      </c>
      <c r="P41" s="60">
        <v>1.98</v>
      </c>
      <c r="Q41" s="60">
        <v>33.06</v>
      </c>
      <c r="R41" s="198"/>
      <c r="S41" s="198"/>
      <c r="T41" s="198"/>
      <c r="U41" s="198"/>
    </row>
    <row r="42" spans="1:21" s="12" customFormat="1" ht="15">
      <c r="A42" s="201" t="s">
        <v>1527</v>
      </c>
      <c r="B42" s="60">
        <v>0.83</v>
      </c>
      <c r="C42" s="60">
        <v>21.03</v>
      </c>
      <c r="D42" s="60">
        <v>21.86</v>
      </c>
      <c r="E42" s="60">
        <v>4.7699999999999996</v>
      </c>
      <c r="F42" s="60">
        <v>3.84</v>
      </c>
      <c r="G42" s="60">
        <v>56.46</v>
      </c>
      <c r="H42" s="60">
        <v>22.98</v>
      </c>
      <c r="I42" s="60">
        <v>4.03</v>
      </c>
      <c r="J42" s="60">
        <v>1.19</v>
      </c>
      <c r="K42" s="60">
        <v>338.54</v>
      </c>
      <c r="L42" s="60">
        <v>45.25</v>
      </c>
      <c r="M42" s="60">
        <v>54</v>
      </c>
      <c r="N42" s="60">
        <v>561.20000000000005</v>
      </c>
      <c r="O42" s="60">
        <v>0</v>
      </c>
      <c r="P42" s="60">
        <v>1.97</v>
      </c>
      <c r="Q42" s="60">
        <v>32.979999999999997</v>
      </c>
      <c r="R42" s="198"/>
      <c r="S42" s="198"/>
      <c r="T42" s="198"/>
      <c r="U42" s="198"/>
    </row>
    <row r="43" spans="1:21" s="12" customFormat="1" ht="15">
      <c r="A43" s="201" t="s">
        <v>1528</v>
      </c>
      <c r="B43" s="60">
        <v>0.93</v>
      </c>
      <c r="C43" s="60">
        <v>23.70</v>
      </c>
      <c r="D43" s="60">
        <v>24.63</v>
      </c>
      <c r="E43" s="60">
        <v>4.42</v>
      </c>
      <c r="F43" s="60">
        <v>3.36</v>
      </c>
      <c r="G43" s="60">
        <v>56.46</v>
      </c>
      <c r="H43" s="60">
        <v>22.98</v>
      </c>
      <c r="I43" s="60">
        <v>3.82</v>
      </c>
      <c r="J43" s="60">
        <v>1.45</v>
      </c>
      <c r="K43" s="60">
        <v>350.68</v>
      </c>
      <c r="L43" s="60">
        <v>46.96</v>
      </c>
      <c r="M43" s="60">
        <v>51.16</v>
      </c>
      <c r="N43" s="60">
        <v>603.40</v>
      </c>
      <c r="O43" s="60">
        <v>0</v>
      </c>
      <c r="P43" s="60">
        <v>1.99</v>
      </c>
      <c r="Q43" s="60">
        <v>37.03</v>
      </c>
      <c r="R43" s="198"/>
      <c r="S43" s="198"/>
      <c r="T43" s="198"/>
      <c r="U43" s="198"/>
    </row>
    <row r="44" spans="1:21" s="12" customFormat="1" ht="15">
      <c r="A44" s="201" t="s">
        <v>1529</v>
      </c>
      <c r="B44" s="60">
        <v>1.1000000000000001</v>
      </c>
      <c r="C44" s="60">
        <v>23.64</v>
      </c>
      <c r="D44" s="60">
        <v>24.74</v>
      </c>
      <c r="E44" s="60">
        <v>4.07</v>
      </c>
      <c r="F44" s="60">
        <v>3.53</v>
      </c>
      <c r="G44" s="60">
        <v>57.05</v>
      </c>
      <c r="H44" s="60">
        <v>19.14</v>
      </c>
      <c r="I44" s="60">
        <v>3.68</v>
      </c>
      <c r="J44" s="60">
        <v>0.98</v>
      </c>
      <c r="K44" s="60">
        <v>323.52999999999997</v>
      </c>
      <c r="L44" s="60">
        <v>47</v>
      </c>
      <c r="M44" s="60">
        <v>50.31</v>
      </c>
      <c r="N44" s="60">
        <v>665.90</v>
      </c>
      <c r="O44" s="60">
        <v>0</v>
      </c>
      <c r="P44" s="60">
        <v>1.99</v>
      </c>
      <c r="Q44" s="60">
        <v>43.37</v>
      </c>
      <c r="R44" s="198"/>
      <c r="S44" s="198"/>
      <c r="T44" s="198"/>
      <c r="U44" s="198"/>
    </row>
    <row r="45" spans="1:21" s="12" customFormat="1" ht="15">
      <c r="A45" s="201" t="s">
        <v>1530</v>
      </c>
      <c r="B45" s="60">
        <v>0.94</v>
      </c>
      <c r="C45" s="60">
        <v>23.08</v>
      </c>
      <c r="D45" s="60">
        <v>24.02</v>
      </c>
      <c r="E45" s="60">
        <v>3.84</v>
      </c>
      <c r="F45" s="60">
        <v>4.37</v>
      </c>
      <c r="G45" s="60">
        <v>57.23</v>
      </c>
      <c r="H45" s="60">
        <v>16.32</v>
      </c>
      <c r="I45" s="60">
        <v>3.69</v>
      </c>
      <c r="J45" s="60">
        <v>0.43</v>
      </c>
      <c r="K45" s="60">
        <v>349.73</v>
      </c>
      <c r="L45" s="60">
        <v>47.34</v>
      </c>
      <c r="M45" s="60">
        <v>49.18</v>
      </c>
      <c r="N45" s="60">
        <v>718.60</v>
      </c>
      <c r="O45" s="60">
        <v>0</v>
      </c>
      <c r="P45" s="60">
        <v>2</v>
      </c>
      <c r="Q45" s="60">
        <v>44.40</v>
      </c>
      <c r="R45" s="198"/>
      <c r="S45" s="198"/>
      <c r="T45" s="198"/>
      <c r="U45" s="198"/>
    </row>
    <row r="46" spans="1:21" s="12" customFormat="1" ht="15">
      <c r="A46" s="201" t="s">
        <v>1531</v>
      </c>
      <c r="B46" s="60">
        <v>0.82</v>
      </c>
      <c r="C46" s="60">
        <v>23.80</v>
      </c>
      <c r="D46" s="60">
        <v>24.61</v>
      </c>
      <c r="E46" s="60">
        <v>3.85</v>
      </c>
      <c r="F46" s="60">
        <v>3.78</v>
      </c>
      <c r="G46" s="60">
        <v>57.23</v>
      </c>
      <c r="H46" s="60">
        <v>16.32</v>
      </c>
      <c r="I46" s="60">
        <v>3.81</v>
      </c>
      <c r="J46" s="60">
        <v>0.36</v>
      </c>
      <c r="K46" s="60">
        <v>338.23</v>
      </c>
      <c r="L46" s="60">
        <v>50.15</v>
      </c>
      <c r="M46" s="60">
        <v>46.98</v>
      </c>
      <c r="N46" s="60">
        <v>764.90</v>
      </c>
      <c r="O46" s="60">
        <v>0</v>
      </c>
      <c r="P46" s="60">
        <v>2.0299999999999998</v>
      </c>
      <c r="Q46" s="60">
        <v>41.98</v>
      </c>
      <c r="R46" s="198"/>
      <c r="S46" s="198"/>
      <c r="T46" s="198"/>
      <c r="U46" s="198"/>
    </row>
    <row r="47" spans="1:21" s="12" customFormat="1" ht="15">
      <c r="A47" s="201" t="s">
        <v>1532</v>
      </c>
      <c r="B47" s="60">
        <v>0.71</v>
      </c>
      <c r="C47" s="60">
        <v>22.20</v>
      </c>
      <c r="D47" s="60">
        <v>22.92</v>
      </c>
      <c r="E47" s="60">
        <v>3.67</v>
      </c>
      <c r="F47" s="60">
        <v>4.63</v>
      </c>
      <c r="G47" s="60">
        <v>57.23</v>
      </c>
      <c r="H47" s="60">
        <v>16.32</v>
      </c>
      <c r="I47" s="60">
        <v>3.99</v>
      </c>
      <c r="J47" s="60">
        <v>0.69</v>
      </c>
      <c r="K47" s="60">
        <v>3.52</v>
      </c>
      <c r="L47" s="60">
        <v>52.87</v>
      </c>
      <c r="M47" s="60">
        <v>46.21</v>
      </c>
      <c r="N47" s="60">
        <v>818.60</v>
      </c>
      <c r="O47" s="60">
        <v>0</v>
      </c>
      <c r="P47" s="60">
        <v>2.0499999999999998</v>
      </c>
      <c r="Q47" s="60">
        <v>40.549999999999997</v>
      </c>
      <c r="R47" s="198"/>
      <c r="S47" s="198"/>
      <c r="T47" s="198"/>
      <c r="U47" s="198"/>
    </row>
    <row r="48" spans="1:21" s="12" customFormat="1" ht="15">
      <c r="A48" s="201" t="s">
        <v>1533</v>
      </c>
      <c r="B48" s="60">
        <v>0.67</v>
      </c>
      <c r="C48" s="60">
        <v>23.03</v>
      </c>
      <c r="D48" s="60">
        <v>23.69</v>
      </c>
      <c r="E48" s="60">
        <v>3.78</v>
      </c>
      <c r="F48" s="60">
        <v>4.43</v>
      </c>
      <c r="G48" s="60">
        <v>56.85</v>
      </c>
      <c r="H48" s="60">
        <v>18.760000000000002</v>
      </c>
      <c r="I48" s="60">
        <v>4.5</v>
      </c>
      <c r="J48" s="60">
        <v>0.32</v>
      </c>
      <c r="K48" s="60">
        <v>276.85000000000002</v>
      </c>
      <c r="L48" s="60">
        <v>52.24</v>
      </c>
      <c r="M48" s="60">
        <v>44.86</v>
      </c>
      <c r="N48" s="60">
        <v>856.30</v>
      </c>
      <c r="O48" s="60">
        <v>0</v>
      </c>
      <c r="P48" s="60">
        <v>2.08</v>
      </c>
      <c r="Q48" s="60">
        <v>35.94</v>
      </c>
      <c r="R48" s="198"/>
      <c r="S48" s="198"/>
      <c r="T48" s="198"/>
      <c r="U48" s="198"/>
    </row>
    <row r="49" spans="1:21" s="12" customFormat="1" ht="15">
      <c r="A49" s="201" t="s">
        <v>1534</v>
      </c>
      <c r="B49" s="60">
        <v>0.59</v>
      </c>
      <c r="C49" s="60">
        <v>22.25</v>
      </c>
      <c r="D49" s="60">
        <v>22.84</v>
      </c>
      <c r="E49" s="60">
        <v>3.70</v>
      </c>
      <c r="F49" s="60">
        <v>4.80</v>
      </c>
      <c r="G49" s="60">
        <v>56.72</v>
      </c>
      <c r="H49" s="60">
        <v>20.53</v>
      </c>
      <c r="I49" s="60">
        <v>5.12</v>
      </c>
      <c r="J49" s="60">
        <v>1.26</v>
      </c>
      <c r="K49" s="60">
        <v>323.87</v>
      </c>
      <c r="L49" s="60">
        <v>51.68</v>
      </c>
      <c r="M49" s="60">
        <v>43.87</v>
      </c>
      <c r="N49" s="60">
        <v>890.20</v>
      </c>
      <c r="O49" s="60">
        <v>0</v>
      </c>
      <c r="P49" s="60">
        <v>2.13</v>
      </c>
      <c r="Q49" s="60">
        <v>34.159999999999997</v>
      </c>
      <c r="R49" s="198"/>
      <c r="S49" s="198"/>
      <c r="T49" s="198"/>
      <c r="U49" s="198"/>
    </row>
    <row r="50" spans="1:21" s="12" customFormat="1" ht="15">
      <c r="A50" s="201" t="s">
        <v>1535</v>
      </c>
      <c r="B50" s="60">
        <v>0.64</v>
      </c>
      <c r="C50" s="60">
        <v>23.40</v>
      </c>
      <c r="D50" s="60">
        <v>24.03</v>
      </c>
      <c r="E50" s="60">
        <v>4.0199999999999996</v>
      </c>
      <c r="F50" s="60">
        <v>5.37</v>
      </c>
      <c r="G50" s="60">
        <v>56.72</v>
      </c>
      <c r="H50" s="60">
        <v>20.53</v>
      </c>
      <c r="I50" s="60">
        <v>5.43</v>
      </c>
      <c r="J50" s="60">
        <v>0.72</v>
      </c>
      <c r="K50" s="60">
        <v>246.5</v>
      </c>
      <c r="L50" s="60">
        <v>51.48</v>
      </c>
      <c r="M50" s="60">
        <v>43.86</v>
      </c>
      <c r="N50" s="60">
        <v>943.10</v>
      </c>
      <c r="O50" s="60">
        <v>0</v>
      </c>
      <c r="P50" s="60">
        <v>2.21</v>
      </c>
      <c r="Q50" s="60">
        <v>32.53</v>
      </c>
      <c r="R50" s="198"/>
      <c r="S50" s="198"/>
      <c r="T50" s="198"/>
      <c r="U50" s="198"/>
    </row>
    <row r="51" spans="1:21" s="12" customFormat="1" ht="15">
      <c r="A51" s="201" t="s">
        <v>1536</v>
      </c>
      <c r="B51" s="60">
        <v>0.68</v>
      </c>
      <c r="C51" s="60">
        <v>23.08</v>
      </c>
      <c r="D51" s="60">
        <v>23.76</v>
      </c>
      <c r="E51" s="60">
        <v>4.3099999999999996</v>
      </c>
      <c r="F51" s="60">
        <v>6.34</v>
      </c>
      <c r="G51" s="60">
        <v>56.72</v>
      </c>
      <c r="H51" s="60">
        <v>20.53</v>
      </c>
      <c r="I51" s="60">
        <v>5.77</v>
      </c>
      <c r="J51" s="60">
        <v>0.63</v>
      </c>
      <c r="K51" s="60">
        <v>270.01</v>
      </c>
      <c r="L51" s="60">
        <v>52.29</v>
      </c>
      <c r="M51" s="60">
        <v>43.41</v>
      </c>
      <c r="N51" s="60">
        <v>1124.9000000000001</v>
      </c>
      <c r="O51" s="60">
        <v>0</v>
      </c>
      <c r="P51" s="60">
        <v>2.27</v>
      </c>
      <c r="Q51" s="60">
        <v>34.36</v>
      </c>
      <c r="R51" s="198"/>
      <c r="S51" s="198"/>
      <c r="T51" s="198"/>
      <c r="U51" s="198"/>
    </row>
    <row r="52" spans="1:21" s="12" customFormat="1" ht="15">
      <c r="A52" s="201" t="s">
        <v>1537</v>
      </c>
      <c r="B52" s="60">
        <v>0.57999999999999996</v>
      </c>
      <c r="C52" s="60">
        <v>23.95</v>
      </c>
      <c r="D52" s="60">
        <v>24.53</v>
      </c>
      <c r="E52" s="60">
        <v>1.72</v>
      </c>
      <c r="F52" s="60">
        <v>6.43</v>
      </c>
      <c r="G52" s="60">
        <v>61.33</v>
      </c>
      <c r="H52" s="60">
        <v>21.98</v>
      </c>
      <c r="I52" s="60">
        <v>6.29</v>
      </c>
      <c r="J52" s="60">
        <v>0.39</v>
      </c>
      <c r="K52" s="60">
        <v>308.77</v>
      </c>
      <c r="L52" s="60">
        <v>50.94</v>
      </c>
      <c r="M52" s="60">
        <v>42.16</v>
      </c>
      <c r="N52" s="60">
        <v>1068.5</v>
      </c>
      <c r="O52" s="60">
        <v>0</v>
      </c>
      <c r="P52" s="60">
        <v>2.27</v>
      </c>
      <c r="Q52" s="60">
        <v>33.65</v>
      </c>
      <c r="R52" s="198"/>
      <c r="S52" s="198"/>
      <c r="T52" s="198"/>
      <c r="U52" s="198"/>
    </row>
    <row r="53" spans="1:21" s="12" customFormat="1" ht="15">
      <c r="A53" s="201" t="s">
        <v>1538</v>
      </c>
      <c r="B53" s="60">
        <v>0.49</v>
      </c>
      <c r="C53" s="60">
        <v>24.19</v>
      </c>
      <c r="D53" s="60">
        <v>24.68</v>
      </c>
      <c r="E53" s="60">
        <v>3.60</v>
      </c>
      <c r="F53" s="60">
        <v>6.07</v>
      </c>
      <c r="G53" s="60">
        <v>63.30</v>
      </c>
      <c r="H53" s="60">
        <v>23.03</v>
      </c>
      <c r="I53" s="60">
        <v>7.11</v>
      </c>
      <c r="J53" s="60">
        <v>1.57</v>
      </c>
      <c r="K53" s="60">
        <v>322.56</v>
      </c>
      <c r="L53" s="60">
        <v>52.26</v>
      </c>
      <c r="M53" s="60">
        <v>41.65</v>
      </c>
      <c r="N53" s="60">
        <v>1049.70</v>
      </c>
      <c r="O53" s="60">
        <v>0</v>
      </c>
      <c r="P53" s="60">
        <v>2.29</v>
      </c>
      <c r="Q53" s="60">
        <v>32.729999999999997</v>
      </c>
      <c r="R53" s="198"/>
      <c r="S53" s="198"/>
      <c r="T53" s="198"/>
      <c r="U53" s="198"/>
    </row>
    <row r="54" spans="1:21" s="12" customFormat="1" ht="15">
      <c r="A54" s="201" t="s">
        <v>1539</v>
      </c>
      <c r="B54" s="60">
        <v>0.59</v>
      </c>
      <c r="C54" s="60">
        <v>22.60</v>
      </c>
      <c r="D54" s="60">
        <v>23.19</v>
      </c>
      <c r="E54" s="60">
        <v>3.33</v>
      </c>
      <c r="F54" s="60">
        <v>5.89</v>
      </c>
      <c r="G54" s="60">
        <v>63.30</v>
      </c>
      <c r="H54" s="60">
        <v>23.03</v>
      </c>
      <c r="I54" s="60">
        <v>7.62</v>
      </c>
      <c r="J54" s="60">
        <v>0.85</v>
      </c>
      <c r="K54" s="60">
        <v>310.39999999999998</v>
      </c>
      <c r="L54" s="60">
        <v>54.39</v>
      </c>
      <c r="M54" s="60">
        <v>39.24</v>
      </c>
      <c r="N54" s="60">
        <v>1011.90</v>
      </c>
      <c r="O54" s="60">
        <v>0</v>
      </c>
      <c r="P54" s="60">
        <v>2.29</v>
      </c>
      <c r="Q54" s="60">
        <v>33.36</v>
      </c>
      <c r="R54" s="198"/>
      <c r="S54" s="198"/>
      <c r="T54" s="198"/>
      <c r="U54" s="198"/>
    </row>
    <row r="55" spans="1:21" s="12" customFormat="1" ht="15">
      <c r="A55" s="201" t="s">
        <v>1540</v>
      </c>
      <c r="B55" s="60">
        <v>0.59</v>
      </c>
      <c r="C55" s="60">
        <v>21.65</v>
      </c>
      <c r="D55" s="60">
        <v>22.24</v>
      </c>
      <c r="E55" s="60">
        <v>3.37</v>
      </c>
      <c r="F55" s="60">
        <v>5.29</v>
      </c>
      <c r="G55" s="60">
        <v>63.30</v>
      </c>
      <c r="H55" s="60">
        <v>23.03</v>
      </c>
      <c r="I55" s="60">
        <v>7.89</v>
      </c>
      <c r="J55" s="60">
        <v>1.65</v>
      </c>
      <c r="K55" s="60">
        <v>302.32</v>
      </c>
      <c r="L55" s="60">
        <v>55.62</v>
      </c>
      <c r="M55" s="60">
        <v>38.619999999999997</v>
      </c>
      <c r="N55" s="60">
        <v>1123.4000000000001</v>
      </c>
      <c r="O55" s="60">
        <v>0</v>
      </c>
      <c r="P55" s="60">
        <v>2.2799999999999998</v>
      </c>
      <c r="Q55" s="60">
        <v>34.5</v>
      </c>
      <c r="R55" s="198"/>
      <c r="S55" s="198"/>
      <c r="T55" s="198"/>
      <c r="U55" s="198"/>
    </row>
    <row r="56" spans="1:21" s="12" customFormat="1" ht="15">
      <c r="A56" s="201" t="s">
        <v>1541</v>
      </c>
      <c r="B56" s="60">
        <v>0.49</v>
      </c>
      <c r="C56" s="60">
        <v>21.15</v>
      </c>
      <c r="D56" s="60">
        <v>21.64</v>
      </c>
      <c r="E56" s="60">
        <v>3.74</v>
      </c>
      <c r="F56" s="60">
        <v>6.65</v>
      </c>
      <c r="G56" s="60">
        <v>64.599999999999994</v>
      </c>
      <c r="H56" s="60">
        <v>22.11</v>
      </c>
      <c r="I56" s="60">
        <v>7.60</v>
      </c>
      <c r="J56" s="60">
        <v>1.95</v>
      </c>
      <c r="K56" s="60">
        <v>310.27999999999997</v>
      </c>
      <c r="L56" s="60">
        <v>55.5</v>
      </c>
      <c r="M56" s="60">
        <v>37.72</v>
      </c>
      <c r="N56" s="60">
        <v>1231.9000000000001</v>
      </c>
      <c r="O56" s="60">
        <v>0</v>
      </c>
      <c r="P56" s="60">
        <v>2.27</v>
      </c>
      <c r="Q56" s="60">
        <v>34.18</v>
      </c>
      <c r="R56" s="198"/>
      <c r="S56" s="198"/>
      <c r="T56" s="198"/>
      <c r="U56" s="198"/>
    </row>
    <row r="57" spans="1:21" s="12" customFormat="1" ht="15">
      <c r="A57" s="201" t="s">
        <v>1542</v>
      </c>
      <c r="B57" s="60">
        <v>0.27</v>
      </c>
      <c r="C57" s="60">
        <v>20.48</v>
      </c>
      <c r="D57" s="60">
        <v>20.74</v>
      </c>
      <c r="E57" s="60">
        <v>3.68</v>
      </c>
      <c r="F57" s="60">
        <v>12.27</v>
      </c>
      <c r="G57" s="60">
        <v>65</v>
      </c>
      <c r="H57" s="60">
        <v>21.44</v>
      </c>
      <c r="I57" s="60">
        <v>7.35</v>
      </c>
      <c r="J57" s="60">
        <v>2.59</v>
      </c>
      <c r="K57" s="60">
        <v>314.61</v>
      </c>
      <c r="L57" s="60">
        <v>56.43</v>
      </c>
      <c r="M57" s="60">
        <v>36.78</v>
      </c>
      <c r="N57" s="60">
        <v>1187</v>
      </c>
      <c r="O57" s="60">
        <v>0</v>
      </c>
      <c r="P57" s="60">
        <v>2.2400000000000002</v>
      </c>
      <c r="Q57" s="60">
        <v>33.72</v>
      </c>
      <c r="R57" s="198"/>
      <c r="S57" s="198"/>
      <c r="T57" s="198"/>
      <c r="U57" s="198"/>
    </row>
    <row r="58" spans="1:21" s="12" customFormat="1" ht="15">
      <c r="A58" s="201" t="s">
        <v>1543</v>
      </c>
      <c r="B58" s="60">
        <v>0.38</v>
      </c>
      <c r="C58" s="60">
        <v>19.93</v>
      </c>
      <c r="D58" s="60">
        <v>20.309999999999999</v>
      </c>
      <c r="E58" s="60">
        <v>3.41</v>
      </c>
      <c r="F58" s="60">
        <v>8.27</v>
      </c>
      <c r="G58" s="60">
        <v>65</v>
      </c>
      <c r="H58" s="60">
        <v>21.44</v>
      </c>
      <c r="I58" s="60">
        <v>6.97</v>
      </c>
      <c r="J58" s="60">
        <v>2.86</v>
      </c>
      <c r="K58" s="60">
        <v>314.85000000000002</v>
      </c>
      <c r="L58" s="60">
        <v>57.59</v>
      </c>
      <c r="M58" s="60">
        <v>35.93</v>
      </c>
      <c r="N58" s="60">
        <v>1204.5</v>
      </c>
      <c r="O58" s="60">
        <v>0</v>
      </c>
      <c r="P58" s="60">
        <v>2.2400000000000002</v>
      </c>
      <c r="Q58" s="60">
        <v>34.10</v>
      </c>
      <c r="R58" s="198"/>
      <c r="S58" s="198"/>
      <c r="T58" s="198"/>
      <c r="U58" s="198"/>
    </row>
    <row r="59" spans="1:21" s="12" customFormat="1" ht="15">
      <c r="A59" s="201" t="s">
        <v>1544</v>
      </c>
      <c r="B59" s="60">
        <v>0.83</v>
      </c>
      <c r="C59" s="60">
        <v>23.27</v>
      </c>
      <c r="D59" s="60">
        <v>24.10</v>
      </c>
      <c r="E59" s="60">
        <v>3.5</v>
      </c>
      <c r="F59" s="60">
        <v>7.95</v>
      </c>
      <c r="G59" s="60">
        <v>65</v>
      </c>
      <c r="H59" s="60">
        <v>21.44</v>
      </c>
      <c r="I59" s="60">
        <v>6.43</v>
      </c>
      <c r="J59" s="60">
        <v>1.37</v>
      </c>
      <c r="K59" s="60">
        <v>313.63</v>
      </c>
      <c r="L59" s="60">
        <v>56.96</v>
      </c>
      <c r="M59" s="60">
        <v>34.58</v>
      </c>
      <c r="N59" s="60">
        <v>1239.70</v>
      </c>
      <c r="O59" s="60">
        <v>0</v>
      </c>
      <c r="P59" s="60">
        <v>2.25</v>
      </c>
      <c r="Q59" s="60">
        <v>38.200000000000003</v>
      </c>
      <c r="R59" s="198"/>
      <c r="S59" s="198"/>
      <c r="T59" s="198"/>
      <c r="U59" s="198"/>
    </row>
    <row r="60" spans="1:21" s="12" customFormat="1" ht="15">
      <c r="A60" s="201" t="s">
        <v>1545</v>
      </c>
      <c r="B60" s="60">
        <v>0.46</v>
      </c>
      <c r="C60" s="60">
        <v>27.70</v>
      </c>
      <c r="D60" s="60">
        <v>28.16</v>
      </c>
      <c r="E60" s="60">
        <v>3.41</v>
      </c>
      <c r="F60" s="60">
        <v>5.98</v>
      </c>
      <c r="G60" s="60">
        <v>65.819999999999993</v>
      </c>
      <c r="H60" s="60">
        <v>23.63</v>
      </c>
      <c r="I60" s="60">
        <v>6.38</v>
      </c>
      <c r="J60" s="60">
        <v>1.60</v>
      </c>
      <c r="K60" s="60">
        <v>323.63</v>
      </c>
      <c r="L60" s="60">
        <v>54.79</v>
      </c>
      <c r="M60" s="60">
        <v>34.22</v>
      </c>
      <c r="N60" s="60">
        <v>969.20</v>
      </c>
      <c r="O60" s="60">
        <v>0</v>
      </c>
      <c r="P60" s="60">
        <v>2.2599999999999998</v>
      </c>
      <c r="Q60" s="60">
        <v>40.28</v>
      </c>
      <c r="R60" s="198"/>
      <c r="S60" s="198"/>
      <c r="T60" s="198"/>
      <c r="U60" s="198"/>
    </row>
    <row r="61" spans="1:21" s="12" customFormat="1" ht="15">
      <c r="A61" s="201" t="s">
        <v>1546</v>
      </c>
      <c r="B61" s="60">
        <v>0.44</v>
      </c>
      <c r="C61" s="60">
        <v>26.53</v>
      </c>
      <c r="D61" s="60">
        <v>26.96</v>
      </c>
      <c r="E61" s="60">
        <v>3.38</v>
      </c>
      <c r="F61" s="60">
        <v>6.88</v>
      </c>
      <c r="G61" s="60">
        <v>66.06</v>
      </c>
      <c r="H61" s="60">
        <v>25.24</v>
      </c>
      <c r="I61" s="60">
        <v>6.57</v>
      </c>
      <c r="J61" s="60">
        <v>1.62</v>
      </c>
      <c r="K61" s="60">
        <v>325.04000000000002</v>
      </c>
      <c r="L61" s="60">
        <v>55.19</v>
      </c>
      <c r="M61" s="60">
        <v>33.5</v>
      </c>
      <c r="N61" s="60">
        <v>978.60</v>
      </c>
      <c r="O61" s="60">
        <v>0</v>
      </c>
      <c r="P61" s="60">
        <v>2.25</v>
      </c>
      <c r="Q61" s="60">
        <v>49.57</v>
      </c>
      <c r="R61" s="198"/>
      <c r="S61" s="198"/>
      <c r="T61" s="198"/>
      <c r="U61" s="198"/>
    </row>
    <row r="62" spans="1:21" s="12" customFormat="1" ht="15">
      <c r="A62" s="201" t="s">
        <v>1547</v>
      </c>
      <c r="B62" s="60">
        <v>0.41</v>
      </c>
      <c r="C62" s="60">
        <v>23.87</v>
      </c>
      <c r="D62" s="60">
        <v>24.27</v>
      </c>
      <c r="E62" s="60">
        <v>3.39</v>
      </c>
      <c r="F62" s="60">
        <v>6.74</v>
      </c>
      <c r="G62" s="60">
        <v>66.06</v>
      </c>
      <c r="H62" s="60">
        <v>25.24</v>
      </c>
      <c r="I62" s="60">
        <v>6.73</v>
      </c>
      <c r="J62" s="60">
        <v>0.85</v>
      </c>
      <c r="K62" s="60">
        <v>318.22000000000003</v>
      </c>
      <c r="L62" s="60">
        <v>56.71</v>
      </c>
      <c r="M62" s="60">
        <v>33.31</v>
      </c>
      <c r="N62" s="60">
        <v>935.10</v>
      </c>
      <c r="O62" s="60">
        <v>0</v>
      </c>
      <c r="P62" s="60">
        <v>2.2599999999999998</v>
      </c>
      <c r="Q62" s="60">
        <v>60.01</v>
      </c>
      <c r="R62" s="198"/>
      <c r="S62" s="198"/>
      <c r="T62" s="198"/>
      <c r="U62" s="198"/>
    </row>
    <row r="63" spans="1:21" s="12" customFormat="1" ht="15">
      <c r="A63" s="201" t="s">
        <v>1548</v>
      </c>
      <c r="B63" s="60">
        <v>0.36</v>
      </c>
      <c r="C63" s="60">
        <v>21.64</v>
      </c>
      <c r="D63" s="60">
        <v>22</v>
      </c>
      <c r="E63" s="60">
        <v>4.47</v>
      </c>
      <c r="F63" s="60">
        <v>6.10</v>
      </c>
      <c r="G63" s="60">
        <v>66.06</v>
      </c>
      <c r="H63" s="60">
        <v>25.24</v>
      </c>
      <c r="I63" s="60">
        <v>6.85</v>
      </c>
      <c r="J63" s="60">
        <v>0.52</v>
      </c>
      <c r="K63" s="60">
        <v>238.38</v>
      </c>
      <c r="L63" s="60">
        <v>58.40</v>
      </c>
      <c r="M63" s="60">
        <v>32.659999999999997</v>
      </c>
      <c r="N63" s="60">
        <v>862.30</v>
      </c>
      <c r="O63" s="60">
        <v>0</v>
      </c>
      <c r="P63" s="60">
        <v>2.2400000000000002</v>
      </c>
      <c r="Q63" s="60">
        <v>65.95</v>
      </c>
      <c r="R63" s="198"/>
      <c r="S63" s="198"/>
      <c r="T63" s="198"/>
      <c r="U63" s="198"/>
    </row>
    <row r="64" spans="1:21" s="12" customFormat="1" ht="15">
      <c r="A64" s="201" t="s">
        <v>1549</v>
      </c>
      <c r="B64" s="60">
        <v>0.30</v>
      </c>
      <c r="C64" s="60">
        <v>20.13</v>
      </c>
      <c r="D64" s="60">
        <v>20.43</v>
      </c>
      <c r="E64" s="60">
        <v>3.60</v>
      </c>
      <c r="F64" s="60">
        <v>8.2799999999999994</v>
      </c>
      <c r="G64" s="60">
        <v>72.33</v>
      </c>
      <c r="H64" s="60">
        <v>26.02</v>
      </c>
      <c r="I64" s="60">
        <v>6.82</v>
      </c>
      <c r="J64" s="60">
        <v>0.56000000000000005</v>
      </c>
      <c r="K64" s="60">
        <v>264.27999999999997</v>
      </c>
      <c r="L64" s="60">
        <v>56.97</v>
      </c>
      <c r="M64" s="60">
        <v>33.380000000000003</v>
      </c>
      <c r="N64" s="60">
        <v>859</v>
      </c>
      <c r="O64" s="60">
        <v>0</v>
      </c>
      <c r="P64" s="60">
        <v>2.23</v>
      </c>
      <c r="Q64" s="60">
        <v>67.47</v>
      </c>
      <c r="R64" s="198"/>
      <c r="S64" s="198"/>
      <c r="T64" s="198"/>
      <c r="U64" s="198"/>
    </row>
    <row r="65" spans="1:21" s="12" customFormat="1" ht="15">
      <c r="A65" s="201" t="s">
        <v>1550</v>
      </c>
      <c r="B65" s="60">
        <v>0.05</v>
      </c>
      <c r="C65" s="60">
        <v>19.32</v>
      </c>
      <c r="D65" s="60">
        <v>19.38</v>
      </c>
      <c r="E65" s="60">
        <v>3.43</v>
      </c>
      <c r="F65" s="60">
        <v>13.37</v>
      </c>
      <c r="G65" s="60">
        <v>74.17</v>
      </c>
      <c r="H65" s="60">
        <v>26.59</v>
      </c>
      <c r="I65" s="60">
        <v>6.76</v>
      </c>
      <c r="J65" s="60">
        <v>0.60</v>
      </c>
      <c r="K65" s="60">
        <v>221.76</v>
      </c>
      <c r="L65" s="60">
        <v>56.86</v>
      </c>
      <c r="M65" s="60">
        <v>33.26</v>
      </c>
      <c r="N65" s="60">
        <v>804.60</v>
      </c>
      <c r="O65" s="60">
        <v>0</v>
      </c>
      <c r="P65" s="60">
        <v>2.23</v>
      </c>
      <c r="Q65" s="60">
        <v>62.93</v>
      </c>
      <c r="R65" s="198"/>
      <c r="S65" s="198"/>
      <c r="T65" s="198"/>
      <c r="U65" s="198"/>
    </row>
    <row r="66" spans="1:21" s="12" customFormat="1" ht="15">
      <c r="A66" s="201" t="s">
        <v>1551</v>
      </c>
      <c r="B66" s="60">
        <v>0.01</v>
      </c>
      <c r="C66" s="60">
        <v>19.170000000000002</v>
      </c>
      <c r="D66" s="60">
        <v>19.18</v>
      </c>
      <c r="E66" s="60">
        <v>3.25</v>
      </c>
      <c r="F66" s="60">
        <v>13.5</v>
      </c>
      <c r="G66" s="60">
        <v>74.17</v>
      </c>
      <c r="H66" s="60">
        <v>26.59</v>
      </c>
      <c r="I66" s="60">
        <v>6.91</v>
      </c>
      <c r="J66" s="60">
        <v>0.57999999999999996</v>
      </c>
      <c r="K66" s="60">
        <v>244.40</v>
      </c>
      <c r="L66" s="60">
        <v>57.61</v>
      </c>
      <c r="M66" s="60">
        <v>31.44</v>
      </c>
      <c r="N66" s="60">
        <v>712.60</v>
      </c>
      <c r="O66" s="60">
        <v>0</v>
      </c>
      <c r="P66" s="60">
        <v>2.2200000000000002</v>
      </c>
      <c r="Q66" s="60">
        <v>59.29</v>
      </c>
      <c r="R66" s="198"/>
      <c r="S66" s="198"/>
      <c r="T66" s="198"/>
      <c r="U66" s="198"/>
    </row>
    <row r="67" spans="1:21" s="12" customFormat="1" ht="15">
      <c r="A67" s="201" t="s">
        <v>1552</v>
      </c>
      <c r="B67" s="60">
        <v>0.070000000000000007</v>
      </c>
      <c r="C67" s="60">
        <v>19.37</v>
      </c>
      <c r="D67" s="60">
        <v>19.440000000000001</v>
      </c>
      <c r="E67" s="60">
        <v>3.36</v>
      </c>
      <c r="F67" s="60">
        <v>14.10</v>
      </c>
      <c r="G67" s="60">
        <v>74.17</v>
      </c>
      <c r="H67" s="60">
        <v>26.59</v>
      </c>
      <c r="I67" s="60">
        <v>7.16</v>
      </c>
      <c r="J67" s="60">
        <v>0.19</v>
      </c>
      <c r="K67" s="60">
        <v>251.43</v>
      </c>
      <c r="L67" s="60">
        <v>57.12</v>
      </c>
      <c r="M67" s="60">
        <v>32.14</v>
      </c>
      <c r="N67" s="60">
        <v>699.10</v>
      </c>
      <c r="O67" s="60">
        <v>0</v>
      </c>
      <c r="P67" s="60">
        <v>2.19</v>
      </c>
      <c r="Q67" s="60">
        <v>57.37</v>
      </c>
      <c r="R67" s="198"/>
      <c r="S67" s="198"/>
      <c r="T67" s="198"/>
      <c r="U67" s="198"/>
    </row>
    <row r="68" spans="1:21" s="12" customFormat="1" ht="15">
      <c r="A68" s="201" t="s">
        <v>1553</v>
      </c>
      <c r="B68" s="9" t="s">
        <v>36</v>
      </c>
      <c r="C68" s="60">
        <v>20.51</v>
      </c>
      <c r="D68" s="60">
        <v>20.51</v>
      </c>
      <c r="E68" s="60">
        <v>1.98</v>
      </c>
      <c r="F68" s="60">
        <v>19.38</v>
      </c>
      <c r="G68" s="60">
        <v>76.20</v>
      </c>
      <c r="H68" s="60">
        <v>27.5</v>
      </c>
      <c r="I68" s="60">
        <v>7.18</v>
      </c>
      <c r="J68" s="60">
        <v>0.57999999999999996</v>
      </c>
      <c r="K68" s="60">
        <v>195.88</v>
      </c>
      <c r="L68" s="60">
        <v>56.45</v>
      </c>
      <c r="M68" s="60">
        <v>31.44</v>
      </c>
      <c r="N68" s="60">
        <v>666.20</v>
      </c>
      <c r="O68" s="60">
        <v>0</v>
      </c>
      <c r="P68" s="60">
        <v>2.15</v>
      </c>
      <c r="Q68" s="60">
        <v>57.75</v>
      </c>
      <c r="R68" s="198"/>
      <c r="S68" s="198"/>
      <c r="T68" s="198"/>
      <c r="U68" s="198"/>
    </row>
    <row r="69" spans="1:21" s="12" customFormat="1" ht="15">
      <c r="A69" s="201" t="s">
        <v>1554</v>
      </c>
      <c r="B69" s="9" t="s">
        <v>36</v>
      </c>
      <c r="C69" s="60">
        <v>19.579999999999998</v>
      </c>
      <c r="D69" s="60">
        <v>19.579999999999998</v>
      </c>
      <c r="E69" s="60">
        <v>2.2599999999999998</v>
      </c>
      <c r="F69" s="60">
        <v>14.70</v>
      </c>
      <c r="G69" s="60">
        <v>76.80</v>
      </c>
      <c r="H69" s="60">
        <v>28.17</v>
      </c>
      <c r="I69" s="60">
        <v>7.20</v>
      </c>
      <c r="J69" s="60">
        <v>0.42</v>
      </c>
      <c r="K69" s="60">
        <v>217.45</v>
      </c>
      <c r="L69" s="60">
        <v>57.61</v>
      </c>
      <c r="M69" s="60">
        <v>31.72</v>
      </c>
      <c r="N69" s="60">
        <v>612.40</v>
      </c>
      <c r="O69" s="60">
        <v>0</v>
      </c>
      <c r="P69" s="60">
        <v>2.11</v>
      </c>
      <c r="Q69" s="60">
        <v>59.44</v>
      </c>
      <c r="R69" s="198"/>
      <c r="S69" s="198"/>
      <c r="T69" s="198"/>
      <c r="U69" s="198"/>
    </row>
    <row r="70" spans="1:21" s="12" customFormat="1" ht="15">
      <c r="A70" s="201" t="s">
        <v>1555</v>
      </c>
      <c r="B70" s="9" t="s">
        <v>36</v>
      </c>
      <c r="C70" s="60">
        <v>19.399999999999999</v>
      </c>
      <c r="D70" s="60">
        <v>19.399999999999999</v>
      </c>
      <c r="E70" s="60">
        <v>2.33</v>
      </c>
      <c r="F70" s="60">
        <v>7.24</v>
      </c>
      <c r="G70" s="60">
        <v>76.80</v>
      </c>
      <c r="H70" s="60">
        <v>28.17</v>
      </c>
      <c r="I70" s="60">
        <v>7</v>
      </c>
      <c r="J70" s="60">
        <v>1.26</v>
      </c>
      <c r="K70" s="60">
        <v>188.57</v>
      </c>
      <c r="L70" s="60">
        <v>55.81</v>
      </c>
      <c r="M70" s="60">
        <v>30.93</v>
      </c>
      <c r="N70" s="60">
        <v>631.60</v>
      </c>
      <c r="O70" s="60">
        <v>0</v>
      </c>
      <c r="P70" s="60">
        <v>2.10</v>
      </c>
      <c r="Q70" s="60">
        <v>63.56</v>
      </c>
      <c r="R70" s="198"/>
      <c r="S70" s="198"/>
      <c r="T70" s="198"/>
      <c r="U70" s="198"/>
    </row>
    <row r="71" spans="1:21" s="12" customFormat="1" ht="15">
      <c r="A71" s="201" t="s">
        <v>1556</v>
      </c>
      <c r="B71" s="9" t="s">
        <v>36</v>
      </c>
      <c r="C71" s="60">
        <v>17.80</v>
      </c>
      <c r="D71" s="60">
        <v>17.80</v>
      </c>
      <c r="E71" s="60">
        <v>2.79</v>
      </c>
      <c r="F71" s="60">
        <v>12.04</v>
      </c>
      <c r="G71" s="60">
        <v>76.80</v>
      </c>
      <c r="H71" s="60">
        <v>28.17</v>
      </c>
      <c r="I71" s="60">
        <v>6.67</v>
      </c>
      <c r="J71" s="60">
        <v>1.28</v>
      </c>
      <c r="K71" s="60">
        <v>222.90</v>
      </c>
      <c r="L71" s="60">
        <v>55.99</v>
      </c>
      <c r="M71" s="60">
        <v>30.87</v>
      </c>
      <c r="N71" s="60">
        <v>558.40</v>
      </c>
      <c r="O71" s="60">
        <v>0</v>
      </c>
      <c r="P71" s="60">
        <v>2.08</v>
      </c>
      <c r="Q71" s="60">
        <v>60.95</v>
      </c>
      <c r="R71" s="198"/>
      <c r="S71" s="198"/>
      <c r="T71" s="198"/>
      <c r="U71" s="198"/>
    </row>
    <row r="72" spans="1:21" s="12" customFormat="1" ht="15">
      <c r="A72" s="201" t="s">
        <v>1557</v>
      </c>
      <c r="B72" s="9" t="s">
        <v>36</v>
      </c>
      <c r="C72" s="60">
        <v>16.989999999999998</v>
      </c>
      <c r="D72" s="60">
        <v>16.989999999999998</v>
      </c>
      <c r="E72" s="60">
        <v>2.71</v>
      </c>
      <c r="F72" s="60">
        <v>16.02</v>
      </c>
      <c r="G72" s="60">
        <v>58.09</v>
      </c>
      <c r="H72" s="60">
        <v>25.16</v>
      </c>
      <c r="I72" s="60">
        <v>6.57</v>
      </c>
      <c r="J72" s="60">
        <v>1.59</v>
      </c>
      <c r="K72" s="60">
        <v>213.63</v>
      </c>
      <c r="L72" s="60">
        <v>57.41</v>
      </c>
      <c r="M72" s="60">
        <v>31.19</v>
      </c>
      <c r="N72" s="60">
        <v>441.60</v>
      </c>
      <c r="O72" s="60">
        <v>0</v>
      </c>
      <c r="P72" s="60">
        <v>2.04</v>
      </c>
      <c r="Q72" s="60">
        <v>48.52</v>
      </c>
      <c r="R72" s="198"/>
      <c r="S72" s="198"/>
      <c r="T72" s="198"/>
      <c r="U72" s="198"/>
    </row>
    <row r="73" spans="1:21" s="12" customFormat="1" ht="15">
      <c r="A73" s="201" t="s">
        <v>1558</v>
      </c>
      <c r="B73" s="9" t="s">
        <v>36</v>
      </c>
      <c r="C73" s="60">
        <v>15.63</v>
      </c>
      <c r="D73" s="60">
        <v>15.63</v>
      </c>
      <c r="E73" s="60">
        <v>2.4900000000000002</v>
      </c>
      <c r="F73" s="60">
        <v>9.51</v>
      </c>
      <c r="G73" s="60">
        <v>51.07</v>
      </c>
      <c r="H73" s="60">
        <v>22.89</v>
      </c>
      <c r="I73" s="60">
        <v>6.57</v>
      </c>
      <c r="J73" s="60">
        <v>1.1299999999999999</v>
      </c>
      <c r="K73" s="60">
        <v>189.99</v>
      </c>
      <c r="L73" s="60">
        <v>55.08</v>
      </c>
      <c r="M73" s="60">
        <v>31.73</v>
      </c>
      <c r="N73" s="60">
        <v>193.80</v>
      </c>
      <c r="O73" s="60">
        <v>0</v>
      </c>
      <c r="P73" s="60">
        <v>2.0299999999999998</v>
      </c>
      <c r="Q73" s="60">
        <v>43.56</v>
      </c>
      <c r="R73" s="198"/>
      <c r="S73" s="198"/>
      <c r="T73" s="198"/>
      <c r="U73" s="198"/>
    </row>
    <row r="74" spans="1:21" s="12" customFormat="1" ht="15">
      <c r="A74" s="201" t="s">
        <v>1559</v>
      </c>
      <c r="B74" s="9" t="s">
        <v>36</v>
      </c>
      <c r="C74" s="60">
        <v>15.03</v>
      </c>
      <c r="D74" s="60">
        <v>15.03</v>
      </c>
      <c r="E74" s="60">
        <v>2.52</v>
      </c>
      <c r="F74" s="60">
        <v>6.12</v>
      </c>
      <c r="G74" s="60">
        <v>51.07</v>
      </c>
      <c r="H74" s="60">
        <v>22.89</v>
      </c>
      <c r="I74" s="60">
        <v>6.57</v>
      </c>
      <c r="J74" s="60">
        <v>2.35</v>
      </c>
      <c r="K74" s="60">
        <v>189.37</v>
      </c>
      <c r="L74" s="60">
        <v>54.90</v>
      </c>
      <c r="M74" s="60">
        <v>32.58</v>
      </c>
      <c r="N74" s="60">
        <v>92.80</v>
      </c>
      <c r="O74" s="60">
        <v>0</v>
      </c>
      <c r="P74" s="60">
        <v>2.0299999999999998</v>
      </c>
      <c r="Q74" s="60">
        <v>42.13</v>
      </c>
      <c r="R74" s="198"/>
      <c r="S74" s="198"/>
      <c r="T74" s="198"/>
      <c r="U74" s="198"/>
    </row>
    <row r="75" spans="1:21" s="12" customFormat="1" ht="15">
      <c r="A75" s="201" t="s">
        <v>1560</v>
      </c>
      <c r="B75" s="60">
        <v>0.05</v>
      </c>
      <c r="C75" s="60">
        <v>14.59</v>
      </c>
      <c r="D75" s="60">
        <v>14.64</v>
      </c>
      <c r="E75" s="60">
        <v>2.72</v>
      </c>
      <c r="F75" s="60">
        <v>4.5599999999999996</v>
      </c>
      <c r="G75" s="60">
        <v>51.07</v>
      </c>
      <c r="H75" s="60">
        <v>22.89</v>
      </c>
      <c r="I75" s="60">
        <v>6.57</v>
      </c>
      <c r="J75" s="60">
        <v>1.78</v>
      </c>
      <c r="K75" s="60">
        <v>199.99</v>
      </c>
      <c r="L75" s="60">
        <v>53.68</v>
      </c>
      <c r="M75" s="60">
        <v>33.60</v>
      </c>
      <c r="N75" s="60">
        <v>85.5</v>
      </c>
      <c r="O75" s="60">
        <v>0</v>
      </c>
      <c r="P75" s="60">
        <v>2.0299999999999998</v>
      </c>
      <c r="Q75" s="60">
        <v>44.37</v>
      </c>
      <c r="R75" s="198"/>
      <c r="S75" s="198"/>
      <c r="T75" s="198"/>
      <c r="U75" s="198"/>
    </row>
    <row r="76" spans="1:21" s="12" customFormat="1" ht="15">
      <c r="A76" s="201" t="s">
        <v>1561</v>
      </c>
      <c r="B76" s="60">
        <v>0.09</v>
      </c>
      <c r="C76" s="60">
        <v>13.79</v>
      </c>
      <c r="D76" s="60">
        <v>13.88</v>
      </c>
      <c r="E76" s="60">
        <v>3.39</v>
      </c>
      <c r="F76" s="60">
        <v>4.43</v>
      </c>
      <c r="G76" s="60">
        <v>51.07</v>
      </c>
      <c r="H76" s="60">
        <v>22.89</v>
      </c>
      <c r="I76" s="60">
        <v>6.53</v>
      </c>
      <c r="J76" s="60">
        <v>1.72</v>
      </c>
      <c r="K76" s="60">
        <v>217.14</v>
      </c>
      <c r="L76" s="60">
        <v>54.74</v>
      </c>
      <c r="M76" s="60">
        <v>34.159999999999997</v>
      </c>
      <c r="N76" s="60">
        <v>76.400000000000006</v>
      </c>
      <c r="O76" s="60">
        <v>0</v>
      </c>
      <c r="P76" s="60">
        <v>2.02</v>
      </c>
      <c r="Q76" s="60">
        <v>44.37</v>
      </c>
      <c r="R76" s="198"/>
      <c r="S76" s="198"/>
      <c r="T76" s="198"/>
      <c r="U76" s="198"/>
    </row>
    <row r="77" spans="1:21" s="12" customFormat="1" ht="15">
      <c r="A77" s="201" t="s">
        <v>1562</v>
      </c>
      <c r="B77" s="60">
        <v>0.12</v>
      </c>
      <c r="C77" s="60">
        <v>13.37</v>
      </c>
      <c r="D77" s="60">
        <v>13.48</v>
      </c>
      <c r="E77" s="60">
        <v>3.54</v>
      </c>
      <c r="F77" s="60">
        <v>4.41</v>
      </c>
      <c r="G77" s="60">
        <v>51.07</v>
      </c>
      <c r="H77" s="60">
        <v>22.89</v>
      </c>
      <c r="I77" s="60">
        <v>8.7200000000000006</v>
      </c>
      <c r="J77" s="60">
        <v>2.04</v>
      </c>
      <c r="K77" s="60">
        <v>195.13</v>
      </c>
      <c r="L77" s="60">
        <v>53.89</v>
      </c>
      <c r="M77" s="60">
        <v>35.01</v>
      </c>
      <c r="N77" s="60">
        <v>73.599999999999994</v>
      </c>
      <c r="O77" s="60">
        <v>0</v>
      </c>
      <c r="P77" s="60">
        <v>2.0099999999999998</v>
      </c>
      <c r="Q77" s="60">
        <v>41.49</v>
      </c>
      <c r="R77" s="198"/>
      <c r="S77" s="198"/>
      <c r="T77" s="198"/>
      <c r="U77" s="198"/>
    </row>
    <row r="78" spans="1:21" s="12" customFormat="1" ht="15">
      <c r="A78" s="201" t="s">
        <v>1563</v>
      </c>
      <c r="B78" s="60">
        <v>0.15</v>
      </c>
      <c r="C78" s="60">
        <v>17.34</v>
      </c>
      <c r="D78" s="60">
        <v>17.489999999999998</v>
      </c>
      <c r="E78" s="60">
        <v>3.66</v>
      </c>
      <c r="F78" s="60">
        <v>4.30</v>
      </c>
      <c r="G78" s="60">
        <v>51.07</v>
      </c>
      <c r="H78" s="60">
        <v>22.89</v>
      </c>
      <c r="I78" s="60">
        <v>22.05</v>
      </c>
      <c r="J78" s="60">
        <v>1.52</v>
      </c>
      <c r="K78" s="60">
        <v>209.40</v>
      </c>
      <c r="L78" s="60">
        <v>51.49</v>
      </c>
      <c r="M78" s="60">
        <v>36.68</v>
      </c>
      <c r="N78" s="60">
        <v>66.80</v>
      </c>
      <c r="O78" s="60">
        <v>0</v>
      </c>
      <c r="P78" s="60">
        <v>2.02</v>
      </c>
      <c r="Q78" s="60">
        <v>47.22</v>
      </c>
      <c r="R78" s="198"/>
      <c r="S78" s="198"/>
      <c r="T78" s="198"/>
      <c r="U78" s="198"/>
    </row>
    <row r="79" spans="1:21" s="12" customFormat="1" ht="15">
      <c r="A79" s="201" t="s">
        <v>1564</v>
      </c>
      <c r="B79" s="60">
        <v>0.12</v>
      </c>
      <c r="C79" s="60">
        <v>15.47</v>
      </c>
      <c r="D79" s="60">
        <v>15.58</v>
      </c>
      <c r="E79" s="60">
        <v>4.0199999999999996</v>
      </c>
      <c r="F79" s="60">
        <v>5.1100000000000003</v>
      </c>
      <c r="G79" s="60">
        <v>51.07</v>
      </c>
      <c r="H79" s="60">
        <v>22.89</v>
      </c>
      <c r="I79" s="60">
        <v>5.59</v>
      </c>
      <c r="J79" s="60">
        <v>1.07</v>
      </c>
      <c r="K79" s="60">
        <v>233.65</v>
      </c>
      <c r="L79" s="60">
        <v>48.85</v>
      </c>
      <c r="M79" s="60">
        <v>37.909999999999997</v>
      </c>
      <c r="N79" s="60">
        <v>49.10</v>
      </c>
      <c r="O79" s="60">
        <v>0</v>
      </c>
      <c r="P79" s="60">
        <v>2</v>
      </c>
      <c r="Q79" s="60">
        <v>59.07</v>
      </c>
      <c r="R79" s="198"/>
      <c r="S79" s="198"/>
      <c r="T79" s="198"/>
      <c r="U79" s="198"/>
    </row>
    <row r="80" spans="1:21" s="12" customFormat="1" ht="15">
      <c r="A80" s="201" t="s">
        <v>1565</v>
      </c>
      <c r="B80" s="60">
        <v>0.10</v>
      </c>
      <c r="C80" s="60">
        <v>16.47</v>
      </c>
      <c r="D80" s="60">
        <v>16.57</v>
      </c>
      <c r="E80" s="60">
        <v>3.77</v>
      </c>
      <c r="F80" s="60">
        <v>4.51</v>
      </c>
      <c r="G80" s="60">
        <v>55.15</v>
      </c>
      <c r="H80" s="60">
        <v>21.39</v>
      </c>
      <c r="I80" s="60">
        <v>5.31</v>
      </c>
      <c r="J80" s="60">
        <v>1.59</v>
      </c>
      <c r="K80" s="60">
        <v>205.44</v>
      </c>
      <c r="L80" s="60">
        <v>50.09</v>
      </c>
      <c r="M80" s="60">
        <v>37.54</v>
      </c>
      <c r="N80" s="60">
        <v>35.40</v>
      </c>
      <c r="O80" s="60">
        <v>0</v>
      </c>
      <c r="P80" s="60">
        <v>2.0099999999999998</v>
      </c>
      <c r="Q80" s="60">
        <v>52.56</v>
      </c>
      <c r="R80" s="198"/>
      <c r="S80" s="198"/>
      <c r="T80" s="198"/>
      <c r="U80" s="198"/>
    </row>
    <row r="81" spans="1:21" s="12" customFormat="1" ht="15">
      <c r="A81" s="201" t="s">
        <v>1566</v>
      </c>
      <c r="B81" s="60">
        <v>0.15</v>
      </c>
      <c r="C81" s="60">
        <v>17.11</v>
      </c>
      <c r="D81" s="60">
        <v>17.260000000000002</v>
      </c>
      <c r="E81" s="60">
        <v>3.68</v>
      </c>
      <c r="F81" s="60">
        <v>4.05</v>
      </c>
      <c r="G81" s="60">
        <v>57.34</v>
      </c>
      <c r="H81" s="60">
        <v>20.30</v>
      </c>
      <c r="I81" s="60">
        <v>5.03</v>
      </c>
      <c r="J81" s="60">
        <v>0.63</v>
      </c>
      <c r="K81" s="60">
        <v>259.5</v>
      </c>
      <c r="L81" s="60">
        <v>48.66</v>
      </c>
      <c r="M81" s="60">
        <v>40.5</v>
      </c>
      <c r="N81" s="60">
        <v>17.100000000000001</v>
      </c>
      <c r="O81" s="60">
        <v>0</v>
      </c>
      <c r="P81" s="60">
        <v>2.0099999999999998</v>
      </c>
      <c r="Q81" s="60">
        <v>58.79</v>
      </c>
      <c r="R81" s="198"/>
      <c r="S81" s="198"/>
      <c r="T81" s="198"/>
      <c r="U81" s="198"/>
    </row>
    <row r="82" spans="1:21" s="12" customFormat="1" ht="15">
      <c r="A82" s="201" t="s">
        <v>1567</v>
      </c>
      <c r="B82" s="60">
        <v>0.21</v>
      </c>
      <c r="C82" s="60">
        <v>16.09</v>
      </c>
      <c r="D82" s="60">
        <v>16.30</v>
      </c>
      <c r="E82" s="60">
        <v>3.84</v>
      </c>
      <c r="F82" s="60">
        <v>3.69</v>
      </c>
      <c r="G82" s="60">
        <v>57.34</v>
      </c>
      <c r="H82" s="60">
        <v>20.30</v>
      </c>
      <c r="I82" s="60">
        <v>4.96</v>
      </c>
      <c r="J82" s="60">
        <v>1.04</v>
      </c>
      <c r="K82" s="60">
        <v>224.77</v>
      </c>
      <c r="L82" s="60">
        <v>47.92</v>
      </c>
      <c r="M82" s="60">
        <v>40.61</v>
      </c>
      <c r="N82" s="9" t="s">
        <v>36</v>
      </c>
      <c r="O82" s="60">
        <v>0</v>
      </c>
      <c r="P82" s="60">
        <v>2.0299999999999998</v>
      </c>
      <c r="Q82" s="60">
        <v>53.28</v>
      </c>
      <c r="R82" s="198"/>
      <c r="S82" s="198"/>
      <c r="T82" s="198"/>
      <c r="U82" s="198"/>
    </row>
    <row r="83" spans="1:21" s="12" customFormat="1" ht="15">
      <c r="A83" s="201" t="s">
        <v>1568</v>
      </c>
      <c r="B83" s="60">
        <v>0.25</v>
      </c>
      <c r="C83" s="60">
        <v>18.04</v>
      </c>
      <c r="D83" s="60">
        <v>18.29</v>
      </c>
      <c r="E83" s="60">
        <v>4.01</v>
      </c>
      <c r="F83" s="60">
        <v>3.40</v>
      </c>
      <c r="G83" s="60">
        <v>57.34</v>
      </c>
      <c r="H83" s="60">
        <v>20.30</v>
      </c>
      <c r="I83" s="60">
        <v>5.0199999999999996</v>
      </c>
      <c r="J83" s="60">
        <v>1.21</v>
      </c>
      <c r="K83" s="60">
        <v>224.13</v>
      </c>
      <c r="L83" s="60">
        <v>49.12</v>
      </c>
      <c r="M83" s="60">
        <v>40.950000000000003</v>
      </c>
      <c r="N83" s="9" t="s">
        <v>36</v>
      </c>
      <c r="O83" s="60">
        <v>0</v>
      </c>
      <c r="P83" s="60">
        <v>2.04</v>
      </c>
      <c r="Q83" s="60">
        <v>50.88</v>
      </c>
      <c r="R83" s="198"/>
      <c r="S83" s="198"/>
      <c r="T83" s="198"/>
      <c r="U83" s="198"/>
    </row>
    <row r="84" spans="1:21" s="12" customFormat="1" ht="15">
      <c r="A84" s="201" t="s">
        <v>1569</v>
      </c>
      <c r="B84" s="60">
        <v>0.42</v>
      </c>
      <c r="C84" s="60">
        <v>17.87</v>
      </c>
      <c r="D84" s="60">
        <v>18.29</v>
      </c>
      <c r="E84" s="60">
        <v>4.09</v>
      </c>
      <c r="F84" s="60">
        <v>3.03</v>
      </c>
      <c r="G84" s="60">
        <v>57.53</v>
      </c>
      <c r="H84" s="60">
        <v>21.29</v>
      </c>
      <c r="I84" s="60">
        <v>4.96</v>
      </c>
      <c r="J84" s="60">
        <v>1.54</v>
      </c>
      <c r="K84" s="60">
        <v>310.47000000000003</v>
      </c>
      <c r="L84" s="60">
        <v>46.39</v>
      </c>
      <c r="M84" s="60">
        <v>45.40</v>
      </c>
      <c r="N84" s="9" t="s">
        <v>36</v>
      </c>
      <c r="O84" s="60">
        <v>0</v>
      </c>
      <c r="P84" s="60">
        <v>2.0499999999999998</v>
      </c>
      <c r="Q84" s="60">
        <v>50.40</v>
      </c>
      <c r="R84" s="198"/>
      <c r="S84" s="198"/>
      <c r="T84" s="198"/>
      <c r="U84" s="198"/>
    </row>
    <row r="85" spans="1:21" s="12" customFormat="1" ht="15">
      <c r="A85" s="201" t="s">
        <v>1570</v>
      </c>
      <c r="B85" s="60">
        <v>1.31</v>
      </c>
      <c r="C85" s="60">
        <v>20.52</v>
      </c>
      <c r="D85" s="60">
        <v>21.83</v>
      </c>
      <c r="E85" s="60">
        <v>4.45</v>
      </c>
      <c r="F85" s="60">
        <v>3.20</v>
      </c>
      <c r="G85" s="60">
        <v>57.59</v>
      </c>
      <c r="H85" s="60">
        <v>22.02</v>
      </c>
      <c r="I85" s="60">
        <v>4.88</v>
      </c>
      <c r="J85" s="60">
        <v>3.11</v>
      </c>
      <c r="K85" s="60">
        <v>334.35</v>
      </c>
      <c r="L85" s="60">
        <v>43.78</v>
      </c>
      <c r="M85" s="60">
        <v>51.03</v>
      </c>
      <c r="N85" s="9" t="s">
        <v>36</v>
      </c>
      <c r="O85" s="60">
        <v>0</v>
      </c>
      <c r="P85" s="60">
        <v>2.11</v>
      </c>
      <c r="Q85" s="60">
        <v>50.5</v>
      </c>
      <c r="R85" s="198"/>
      <c r="S85" s="198"/>
      <c r="T85" s="198"/>
      <c r="U85" s="198"/>
    </row>
    <row r="86" spans="1:21" s="12" customFormat="1" ht="15">
      <c r="A86" s="201" t="s">
        <v>1571</v>
      </c>
      <c r="B86" s="60">
        <v>1.85</v>
      </c>
      <c r="C86" s="60">
        <v>22.64</v>
      </c>
      <c r="D86" s="60">
        <v>24.49</v>
      </c>
      <c r="E86" s="60">
        <v>4.4000000000000004</v>
      </c>
      <c r="F86" s="60">
        <v>2.94</v>
      </c>
      <c r="G86" s="60">
        <v>57.59</v>
      </c>
      <c r="H86" s="60">
        <v>22.02</v>
      </c>
      <c r="I86" s="60">
        <v>4.8600000000000003</v>
      </c>
      <c r="J86" s="60">
        <v>2.4900000000000002</v>
      </c>
      <c r="K86" s="60">
        <v>349.71</v>
      </c>
      <c r="L86" s="60">
        <v>44.93</v>
      </c>
      <c r="M86" s="60">
        <v>46.22</v>
      </c>
      <c r="N86" s="9" t="s">
        <v>36</v>
      </c>
      <c r="O86" s="60">
        <v>0</v>
      </c>
      <c r="P86" s="60">
        <v>2.2000000000000002</v>
      </c>
      <c r="Q86" s="60">
        <v>49.80</v>
      </c>
      <c r="R86" s="198"/>
      <c r="S86" s="198"/>
      <c r="T86" s="198"/>
      <c r="U86" s="198"/>
    </row>
    <row r="87" spans="1:21" s="12" customFormat="1" ht="15">
      <c r="A87" s="201" t="s">
        <v>1572</v>
      </c>
      <c r="B87" s="60">
        <v>2.66</v>
      </c>
      <c r="C87" s="60">
        <v>24.30</v>
      </c>
      <c r="D87" s="60">
        <v>26.96</v>
      </c>
      <c r="E87" s="60">
        <v>4.6500000000000004</v>
      </c>
      <c r="F87" s="60">
        <v>2.10</v>
      </c>
      <c r="G87" s="60">
        <v>57.59</v>
      </c>
      <c r="H87" s="60">
        <v>22.02</v>
      </c>
      <c r="I87" s="60">
        <v>4.92</v>
      </c>
      <c r="J87" s="60">
        <v>2.82</v>
      </c>
      <c r="K87" s="60">
        <v>328.22</v>
      </c>
      <c r="L87" s="60">
        <v>44.46</v>
      </c>
      <c r="M87" s="60">
        <v>47.76</v>
      </c>
      <c r="N87" s="9" t="s">
        <v>36</v>
      </c>
      <c r="O87" s="60">
        <v>0</v>
      </c>
      <c r="P87" s="60">
        <v>2.2799999999999998</v>
      </c>
      <c r="Q87" s="60">
        <v>52.48</v>
      </c>
      <c r="R87" s="198"/>
      <c r="S87" s="198"/>
      <c r="T87" s="198"/>
      <c r="U87" s="198"/>
    </row>
    <row r="88" spans="1:21" s="12" customFormat="1" ht="15">
      <c r="A88" s="201" t="s">
        <v>1573</v>
      </c>
      <c r="B88" s="60">
        <v>3.07</v>
      </c>
      <c r="C88" s="60">
        <v>25.39</v>
      </c>
      <c r="D88" s="60">
        <v>28.47</v>
      </c>
      <c r="E88" s="60">
        <v>2.40</v>
      </c>
      <c r="F88" s="60">
        <v>1.52</v>
      </c>
      <c r="G88" s="60">
        <v>70.41</v>
      </c>
      <c r="H88" s="60">
        <v>23.17</v>
      </c>
      <c r="I88" s="60">
        <v>5.13</v>
      </c>
      <c r="J88" s="60">
        <v>3.28</v>
      </c>
      <c r="K88" s="60">
        <v>342.82</v>
      </c>
      <c r="L88" s="60">
        <v>43.13</v>
      </c>
      <c r="M88" s="60">
        <v>48.07</v>
      </c>
      <c r="N88" s="9" t="s">
        <v>36</v>
      </c>
      <c r="O88" s="60">
        <v>0</v>
      </c>
      <c r="P88" s="60">
        <v>2.34</v>
      </c>
      <c r="Q88" s="60">
        <v>49.68</v>
      </c>
      <c r="R88" s="198"/>
      <c r="S88" s="198"/>
      <c r="T88" s="198"/>
      <c r="U88" s="198"/>
    </row>
    <row r="89" spans="1:21" s="12" customFormat="1" ht="15">
      <c r="A89" s="201" t="s">
        <v>1574</v>
      </c>
      <c r="B89" s="60">
        <v>3.16</v>
      </c>
      <c r="C89" s="60">
        <v>23.12</v>
      </c>
      <c r="D89" s="60">
        <v>26.28</v>
      </c>
      <c r="E89" s="60">
        <v>4.96</v>
      </c>
      <c r="F89" s="60">
        <v>1.69</v>
      </c>
      <c r="G89" s="60">
        <v>74.430000000000007</v>
      </c>
      <c r="H89" s="60">
        <v>24.01</v>
      </c>
      <c r="I89" s="60">
        <v>5.34</v>
      </c>
      <c r="J89" s="60">
        <v>3.28</v>
      </c>
      <c r="K89" s="60">
        <v>329.28</v>
      </c>
      <c r="L89" s="60">
        <v>42.97</v>
      </c>
      <c r="M89" s="60">
        <v>48.88</v>
      </c>
      <c r="N89" s="9" t="s">
        <v>36</v>
      </c>
      <c r="O89" s="60">
        <v>0</v>
      </c>
      <c r="P89" s="60">
        <v>2.38</v>
      </c>
      <c r="Q89" s="60">
        <v>45.99</v>
      </c>
      <c r="R89" s="198"/>
      <c r="S89" s="198"/>
      <c r="T89" s="198"/>
      <c r="U89" s="198"/>
    </row>
    <row r="90" spans="1:21" s="12" customFormat="1" ht="15">
      <c r="A90" s="201" t="s">
        <v>1575</v>
      </c>
      <c r="B90" s="60">
        <v>3.06</v>
      </c>
      <c r="C90" s="60">
        <v>22.72</v>
      </c>
      <c r="D90" s="60">
        <v>25.79</v>
      </c>
      <c r="E90" s="60">
        <v>5.38</v>
      </c>
      <c r="F90" s="60">
        <v>1.73</v>
      </c>
      <c r="G90" s="60">
        <v>74.430000000000007</v>
      </c>
      <c r="H90" s="60">
        <v>24.01</v>
      </c>
      <c r="I90" s="60">
        <v>5.49</v>
      </c>
      <c r="J90" s="60">
        <v>3.42</v>
      </c>
      <c r="K90" s="60">
        <v>350.01</v>
      </c>
      <c r="L90" s="60">
        <v>42.73</v>
      </c>
      <c r="M90" s="60">
        <v>49.31</v>
      </c>
      <c r="N90" s="9" t="s">
        <v>36</v>
      </c>
      <c r="O90" s="60">
        <v>0</v>
      </c>
      <c r="P90" s="60">
        <v>2.40</v>
      </c>
      <c r="Q90" s="60">
        <v>39.299999999999997</v>
      </c>
      <c r="R90" s="198"/>
      <c r="S90" s="198"/>
      <c r="T90" s="198"/>
      <c r="U90" s="198"/>
    </row>
    <row r="91" spans="1:21" s="12" customFormat="1" ht="15">
      <c r="A91" s="201" t="s">
        <v>1576</v>
      </c>
      <c r="B91" s="60">
        <v>3.20</v>
      </c>
      <c r="C91" s="60">
        <v>23.07</v>
      </c>
      <c r="D91" s="60">
        <v>26.27</v>
      </c>
      <c r="E91" s="60">
        <v>5.62</v>
      </c>
      <c r="F91" s="60">
        <v>1.86</v>
      </c>
      <c r="G91" s="60">
        <v>74.430000000000007</v>
      </c>
      <c r="H91" s="60">
        <v>24.01</v>
      </c>
      <c r="I91" s="60">
        <v>5.59</v>
      </c>
      <c r="J91" s="60">
        <v>2.68</v>
      </c>
      <c r="K91" s="60">
        <v>27.87</v>
      </c>
      <c r="L91" s="60">
        <v>42.22</v>
      </c>
      <c r="M91" s="60">
        <v>49.19</v>
      </c>
      <c r="N91" s="9" t="s">
        <v>36</v>
      </c>
      <c r="O91" s="60">
        <v>0</v>
      </c>
      <c r="P91" s="60">
        <v>2.44</v>
      </c>
      <c r="Q91" s="60">
        <v>39.10</v>
      </c>
      <c r="R91" s="198"/>
      <c r="S91" s="198"/>
      <c r="T91" s="198"/>
      <c r="U91" s="198"/>
    </row>
    <row r="92" spans="1:21" s="12" customFormat="1" ht="15">
      <c r="A92" s="201" t="s">
        <v>1577</v>
      </c>
      <c r="B92" s="60">
        <v>3.23</v>
      </c>
      <c r="C92" s="60">
        <v>23.28</v>
      </c>
      <c r="D92" s="60">
        <v>26.51</v>
      </c>
      <c r="E92" s="60">
        <v>5.52</v>
      </c>
      <c r="F92" s="60">
        <v>1.85</v>
      </c>
      <c r="G92" s="60">
        <v>80.47</v>
      </c>
      <c r="H92" s="60">
        <v>25.16</v>
      </c>
      <c r="I92" s="60">
        <v>5.70</v>
      </c>
      <c r="J92" s="60">
        <v>2.48</v>
      </c>
      <c r="K92" s="60">
        <v>51.08</v>
      </c>
      <c r="L92" s="60">
        <v>41.55</v>
      </c>
      <c r="M92" s="60">
        <v>50.41</v>
      </c>
      <c r="N92" s="9" t="s">
        <v>36</v>
      </c>
      <c r="O92" s="60">
        <v>0</v>
      </c>
      <c r="P92" s="60">
        <v>2.46</v>
      </c>
      <c r="Q92" s="60">
        <v>39.32</v>
      </c>
      <c r="R92" s="198"/>
      <c r="S92" s="198"/>
      <c r="T92" s="198"/>
      <c r="U92" s="198"/>
    </row>
    <row r="93" spans="1:21" s="12" customFormat="1" ht="15">
      <c r="A93" s="201" t="s">
        <v>1578</v>
      </c>
      <c r="B93" s="60">
        <v>3.17</v>
      </c>
      <c r="C93" s="60">
        <v>22.91</v>
      </c>
      <c r="D93" s="60">
        <v>26.08</v>
      </c>
      <c r="E93" s="60">
        <v>6.37</v>
      </c>
      <c r="F93" s="60">
        <v>1.74</v>
      </c>
      <c r="G93" s="60">
        <v>82.25</v>
      </c>
      <c r="H93" s="60">
        <v>26</v>
      </c>
      <c r="I93" s="60">
        <v>5.87</v>
      </c>
      <c r="J93" s="60">
        <v>2.25</v>
      </c>
      <c r="K93" s="60">
        <v>52.33</v>
      </c>
      <c r="L93" s="60">
        <v>41.38</v>
      </c>
      <c r="M93" s="60">
        <v>49.53</v>
      </c>
      <c r="N93" s="9" t="s">
        <v>36</v>
      </c>
      <c r="O93" s="60">
        <v>0</v>
      </c>
      <c r="P93" s="60">
        <v>2.4700000000000002</v>
      </c>
      <c r="Q93" s="60">
        <v>39.25</v>
      </c>
      <c r="R93" s="198"/>
      <c r="S93" s="198"/>
      <c r="T93" s="198"/>
      <c r="U93" s="198"/>
    </row>
    <row r="94" spans="1:21" s="12" customFormat="1" ht="15">
      <c r="A94" s="201" t="s">
        <v>1579</v>
      </c>
      <c r="B94" s="60">
        <v>3.28</v>
      </c>
      <c r="C94" s="60">
        <v>22.45</v>
      </c>
      <c r="D94" s="60">
        <v>25.73</v>
      </c>
      <c r="E94" s="60">
        <v>6.31</v>
      </c>
      <c r="F94" s="60">
        <v>1.33</v>
      </c>
      <c r="G94" s="60">
        <v>82.25</v>
      </c>
      <c r="H94" s="60">
        <v>26</v>
      </c>
      <c r="I94" s="60">
        <v>5.94</v>
      </c>
      <c r="J94" s="60">
        <v>2.23</v>
      </c>
      <c r="K94" s="60">
        <v>31.94</v>
      </c>
      <c r="L94" s="60">
        <v>41.49</v>
      </c>
      <c r="M94" s="60">
        <v>49.70</v>
      </c>
      <c r="N94" s="9" t="s">
        <v>36</v>
      </c>
      <c r="O94" s="60">
        <v>0</v>
      </c>
      <c r="P94" s="60">
        <v>2.48</v>
      </c>
      <c r="Q94" s="60">
        <v>39.93</v>
      </c>
      <c r="R94" s="198"/>
      <c r="S94" s="198"/>
      <c r="T94" s="198"/>
      <c r="U94" s="198"/>
    </row>
    <row r="95" spans="1:21" s="12" customFormat="1" ht="15">
      <c r="A95" s="201" t="s">
        <v>1580</v>
      </c>
      <c r="B95" s="60">
        <v>3.68</v>
      </c>
      <c r="C95" s="60">
        <v>23.11</v>
      </c>
      <c r="D95" s="60">
        <v>26.79</v>
      </c>
      <c r="E95" s="60">
        <v>6.68</v>
      </c>
      <c r="F95" s="60">
        <v>1.28</v>
      </c>
      <c r="G95" s="60">
        <v>82.25</v>
      </c>
      <c r="H95" s="60">
        <v>26</v>
      </c>
      <c r="I95" s="60">
        <v>5.98</v>
      </c>
      <c r="J95" s="60">
        <v>1.18</v>
      </c>
      <c r="K95" s="60">
        <v>15.24</v>
      </c>
      <c r="L95" s="60">
        <v>41.38</v>
      </c>
      <c r="M95" s="60">
        <v>51.95</v>
      </c>
      <c r="N95" s="9" t="s">
        <v>36</v>
      </c>
      <c r="O95" s="60">
        <v>0</v>
      </c>
      <c r="P95" s="60">
        <v>2.5</v>
      </c>
      <c r="Q95" s="60">
        <v>40.409999999999997</v>
      </c>
      <c r="R95" s="198"/>
      <c r="S95" s="198"/>
      <c r="T95" s="198"/>
      <c r="U95" s="198"/>
    </row>
    <row r="96" spans="1:26" s="12" customFormat="1" ht="15">
      <c r="A96" s="201" t="s">
        <v>1581</v>
      </c>
      <c r="B96" s="60">
        <v>4.38</v>
      </c>
      <c r="C96" s="60">
        <v>26.5</v>
      </c>
      <c r="D96" s="60">
        <v>30.88</v>
      </c>
      <c r="E96" s="60">
        <v>6.65</v>
      </c>
      <c r="F96" s="60">
        <v>1.33</v>
      </c>
      <c r="G96" s="60">
        <v>83.55</v>
      </c>
      <c r="H96" s="60">
        <v>26.66</v>
      </c>
      <c r="I96" s="60">
        <v>6.05</v>
      </c>
      <c r="J96" s="60">
        <v>1.49</v>
      </c>
      <c r="K96" s="60">
        <v>337.33</v>
      </c>
      <c r="L96" s="60">
        <v>41.13</v>
      </c>
      <c r="M96" s="60">
        <v>55.08</v>
      </c>
      <c r="N96" s="9" t="s">
        <v>36</v>
      </c>
      <c r="O96" s="60">
        <v>0</v>
      </c>
      <c r="P96" s="60">
        <v>2.54</v>
      </c>
      <c r="Q96" s="60">
        <v>48.94</v>
      </c>
      <c r="R96" s="198"/>
      <c r="S96" s="198"/>
      <c r="T96" s="198"/>
      <c r="U96" s="198"/>
      <c r="Z96" s="109"/>
    </row>
    <row r="97" spans="1:21" s="12" customFormat="1" ht="15">
      <c r="A97" s="201" t="s">
        <v>1582</v>
      </c>
      <c r="B97" s="60">
        <v>4.8099999999999996</v>
      </c>
      <c r="C97" s="60">
        <v>27.40</v>
      </c>
      <c r="D97" s="60">
        <v>32.21</v>
      </c>
      <c r="E97" s="60">
        <v>6.87</v>
      </c>
      <c r="F97" s="60">
        <v>1.31</v>
      </c>
      <c r="G97" s="60">
        <v>83.93</v>
      </c>
      <c r="H97" s="60">
        <v>27.13</v>
      </c>
      <c r="I97" s="60">
        <v>6.11</v>
      </c>
      <c r="J97" s="60">
        <v>1.34</v>
      </c>
      <c r="K97" s="60">
        <v>276.64</v>
      </c>
      <c r="L97" s="60">
        <v>41.25</v>
      </c>
      <c r="M97" s="60">
        <v>54.13</v>
      </c>
      <c r="N97" s="9" t="s">
        <v>36</v>
      </c>
      <c r="O97" s="60">
        <v>0</v>
      </c>
      <c r="P97" s="60">
        <v>2.59</v>
      </c>
      <c r="Q97" s="60">
        <v>57.71</v>
      </c>
      <c r="R97" s="198"/>
      <c r="S97" s="198"/>
      <c r="T97" s="198"/>
      <c r="U97" s="198"/>
    </row>
    <row r="98" spans="1:21" s="12" customFormat="1" ht="15">
      <c r="A98" s="201" t="s">
        <v>1583</v>
      </c>
      <c r="B98" s="60">
        <v>4.82</v>
      </c>
      <c r="C98" s="60">
        <v>28.34</v>
      </c>
      <c r="D98" s="60">
        <v>33.159999999999997</v>
      </c>
      <c r="E98" s="60">
        <v>6.52</v>
      </c>
      <c r="F98" s="60">
        <v>1.20</v>
      </c>
      <c r="G98" s="60">
        <v>83.93</v>
      </c>
      <c r="H98" s="60">
        <v>27.13</v>
      </c>
      <c r="I98" s="60">
        <v>6.25</v>
      </c>
      <c r="J98" s="60">
        <v>1.63</v>
      </c>
      <c r="K98" s="60">
        <v>322.64999999999998</v>
      </c>
      <c r="L98" s="60">
        <v>41.45</v>
      </c>
      <c r="M98" s="60">
        <v>55.30</v>
      </c>
      <c r="N98" s="9" t="s">
        <v>36</v>
      </c>
      <c r="O98" s="60">
        <v>0</v>
      </c>
      <c r="P98" s="60">
        <v>2.62</v>
      </c>
      <c r="Q98" s="60">
        <v>58.01</v>
      </c>
      <c r="R98" s="198"/>
      <c r="S98" s="198"/>
      <c r="T98" s="198"/>
      <c r="U98" s="198"/>
    </row>
    <row r="99" spans="1:21" s="12" customFormat="1" ht="15">
      <c r="A99" s="201" t="s">
        <v>1584</v>
      </c>
      <c r="B99" s="60">
        <v>4.30</v>
      </c>
      <c r="C99" s="60">
        <v>29.21</v>
      </c>
      <c r="D99" s="60">
        <v>33.5</v>
      </c>
      <c r="E99" s="60">
        <v>6.57</v>
      </c>
      <c r="F99" s="60">
        <v>1.07</v>
      </c>
      <c r="G99" s="60">
        <v>83.93</v>
      </c>
      <c r="H99" s="60">
        <v>27.13</v>
      </c>
      <c r="I99" s="60">
        <v>6.36</v>
      </c>
      <c r="J99" s="60">
        <v>1</v>
      </c>
      <c r="K99" s="60">
        <v>308.60000000000002</v>
      </c>
      <c r="L99" s="60">
        <v>43.57</v>
      </c>
      <c r="M99" s="60">
        <v>51.68</v>
      </c>
      <c r="N99" s="9" t="s">
        <v>36</v>
      </c>
      <c r="O99" s="60">
        <v>0</v>
      </c>
      <c r="P99" s="60">
        <v>2.62</v>
      </c>
      <c r="Q99" s="60">
        <v>55.35</v>
      </c>
      <c r="R99" s="198"/>
      <c r="S99" s="198"/>
      <c r="T99" s="198"/>
      <c r="U99" s="198"/>
    </row>
    <row r="100" spans="1:33" s="12" customFormat="1" ht="15">
      <c r="A100" s="201" t="s">
        <v>1585</v>
      </c>
      <c r="B100" s="60">
        <v>3.88</v>
      </c>
      <c r="C100" s="60">
        <v>27.72</v>
      </c>
      <c r="D100" s="60">
        <v>31.60</v>
      </c>
      <c r="E100" s="60">
        <v>6.02</v>
      </c>
      <c r="F100" s="60">
        <v>1.35</v>
      </c>
      <c r="G100" s="60">
        <v>89.36</v>
      </c>
      <c r="H100" s="60">
        <v>26.72</v>
      </c>
      <c r="I100" s="60">
        <v>6.42</v>
      </c>
      <c r="J100" s="60">
        <v>1.80</v>
      </c>
      <c r="K100" s="60">
        <v>315.62</v>
      </c>
      <c r="L100" s="60">
        <v>44.74</v>
      </c>
      <c r="M100" s="60">
        <v>52.64</v>
      </c>
      <c r="N100" s="9" t="s">
        <v>36</v>
      </c>
      <c r="O100" s="60">
        <v>0</v>
      </c>
      <c r="P100" s="60">
        <v>2.60</v>
      </c>
      <c r="Q100" s="60">
        <v>53.84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1586</v>
      </c>
      <c r="B101" s="60">
        <v>3.44</v>
      </c>
      <c r="C101" s="60">
        <v>27.65</v>
      </c>
      <c r="D101" s="60">
        <v>31.09</v>
      </c>
      <c r="E101" s="60">
        <v>5.87</v>
      </c>
      <c r="F101" s="60">
        <v>1.41</v>
      </c>
      <c r="G101" s="60">
        <v>90.96</v>
      </c>
      <c r="H101" s="60">
        <v>26.42</v>
      </c>
      <c r="I101" s="60">
        <v>6.39</v>
      </c>
      <c r="J101" s="60">
        <v>-0.68</v>
      </c>
      <c r="K101" s="60">
        <v>-0.79</v>
      </c>
      <c r="L101" s="60">
        <v>43.30</v>
      </c>
      <c r="M101" s="60">
        <v>50.74</v>
      </c>
      <c r="N101" s="9" t="s">
        <v>36</v>
      </c>
      <c r="O101" s="60">
        <v>0</v>
      </c>
      <c r="P101" s="60">
        <v>2.58</v>
      </c>
      <c r="Q101" s="60">
        <v>49.96</v>
      </c>
      <c r="R101" s="198"/>
      <c r="S101" s="198"/>
      <c r="T101" s="198"/>
      <c r="U101" s="198"/>
    </row>
    <row r="102" spans="1:21" s="12" customFormat="1" ht="15">
      <c r="A102" s="201" t="s">
        <v>1587</v>
      </c>
      <c r="B102" s="60">
        <v>2.75</v>
      </c>
      <c r="C102" s="60">
        <v>27.38</v>
      </c>
      <c r="D102" s="60">
        <v>30.13</v>
      </c>
      <c r="E102" s="60">
        <v>6.25</v>
      </c>
      <c r="F102" s="60">
        <v>1.33</v>
      </c>
      <c r="G102" s="60">
        <v>90.96</v>
      </c>
      <c r="H102" s="60">
        <v>26.42</v>
      </c>
      <c r="I102" s="60">
        <v>6.27</v>
      </c>
      <c r="J102" s="60">
        <v>0.60</v>
      </c>
      <c r="K102" s="60">
        <v>242.69</v>
      </c>
      <c r="L102" s="60">
        <v>46.45</v>
      </c>
      <c r="M102" s="60">
        <v>48.71</v>
      </c>
      <c r="N102" s="9" t="s">
        <v>36</v>
      </c>
      <c r="O102" s="60">
        <v>0</v>
      </c>
      <c r="P102" s="60">
        <v>2.5299999999999998</v>
      </c>
      <c r="Q102" s="60">
        <v>48.55</v>
      </c>
      <c r="R102" s="198"/>
      <c r="S102" s="198"/>
      <c r="T102" s="198"/>
      <c r="U102" s="198"/>
    </row>
    <row r="103" spans="1:21" s="12" customFormat="1" ht="15">
      <c r="A103" s="201" t="s">
        <v>1588</v>
      </c>
      <c r="B103" s="60">
        <v>1.93</v>
      </c>
      <c r="C103" s="60">
        <v>25.57</v>
      </c>
      <c r="D103" s="60">
        <v>27.49</v>
      </c>
      <c r="E103" s="60">
        <v>6.20</v>
      </c>
      <c r="F103" s="60">
        <v>1.38</v>
      </c>
      <c r="G103" s="60">
        <v>90.96</v>
      </c>
      <c r="H103" s="60">
        <v>26.42</v>
      </c>
      <c r="I103" s="60">
        <v>6.09</v>
      </c>
      <c r="J103" s="60">
        <v>1.63</v>
      </c>
      <c r="K103" s="60">
        <v>207.07</v>
      </c>
      <c r="L103" s="60">
        <v>42.93</v>
      </c>
      <c r="M103" s="60">
        <v>49.37</v>
      </c>
      <c r="N103" s="9" t="s">
        <v>36</v>
      </c>
      <c r="O103" s="60">
        <v>0</v>
      </c>
      <c r="P103" s="60">
        <v>2.4900000000000002</v>
      </c>
      <c r="Q103" s="60">
        <v>47.21</v>
      </c>
      <c r="R103" s="198"/>
      <c r="S103" s="198"/>
      <c r="T103" s="198"/>
      <c r="U103" s="198"/>
    </row>
    <row r="104" spans="1:21" s="12" customFormat="1" ht="15">
      <c r="A104" s="201" t="s">
        <v>1589</v>
      </c>
      <c r="B104" s="60">
        <v>1.47</v>
      </c>
      <c r="C104" s="60">
        <v>24.05</v>
      </c>
      <c r="D104" s="60">
        <v>25.52</v>
      </c>
      <c r="E104" s="60">
        <v>3.71</v>
      </c>
      <c r="F104" s="60">
        <v>1.5</v>
      </c>
      <c r="G104" s="60">
        <v>88.93</v>
      </c>
      <c r="H104" s="60">
        <v>27.83</v>
      </c>
      <c r="I104" s="60">
        <v>5.91</v>
      </c>
      <c r="J104" s="60">
        <v>1.64</v>
      </c>
      <c r="K104" s="60">
        <v>192.47</v>
      </c>
      <c r="L104" s="60">
        <v>41.36</v>
      </c>
      <c r="M104" s="60">
        <v>51.20</v>
      </c>
      <c r="N104" s="9" t="s">
        <v>36</v>
      </c>
      <c r="O104" s="60">
        <v>0</v>
      </c>
      <c r="P104" s="60">
        <v>2.44</v>
      </c>
      <c r="Q104" s="60">
        <v>46.30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0.01</v>
      </c>
      <c r="C106" s="67">
        <f>MIN(C9:C104)</f>
        <v>12.77</v>
      </c>
      <c r="D106" s="67">
        <f t="shared" si="0" ref="D106:Q106">MIN(D9:D104)</f>
        <v>13.48</v>
      </c>
      <c r="E106" s="67">
        <f t="shared" si="0"/>
        <v>1.72</v>
      </c>
      <c r="F106" s="67">
        <f t="shared" si="0"/>
        <v>0.19</v>
      </c>
      <c r="G106" s="67">
        <f t="shared" si="0"/>
        <v>51.07</v>
      </c>
      <c r="H106" s="67">
        <f t="shared" si="0"/>
        <v>16.32</v>
      </c>
      <c r="I106" s="67">
        <f t="shared" si="0"/>
        <v>3.6800000000000002</v>
      </c>
      <c r="J106" s="67">
        <f t="shared" si="0"/>
        <v>-0.68000000000000005</v>
      </c>
      <c r="K106" s="67">
        <f t="shared" si="0"/>
        <v>-0.79000000000000004</v>
      </c>
      <c r="L106" s="67">
        <f t="shared" si="0"/>
        <v>32.479999999999997</v>
      </c>
      <c r="M106" s="67">
        <f t="shared" si="0"/>
        <v>30.870000000000001</v>
      </c>
      <c r="N106" s="67">
        <f t="shared" si="0"/>
        <v>1.7</v>
      </c>
      <c r="O106" s="67">
        <f t="shared" si="0"/>
        <v>0</v>
      </c>
      <c r="P106" s="67">
        <f t="shared" si="0"/>
        <v>1.97</v>
      </c>
      <c r="Q106" s="67">
        <f t="shared" si="0"/>
        <v>32.530000000000001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10.630000000000001</v>
      </c>
      <c r="C107" s="66">
        <f t="shared" si="1" ref="C107:Q107">MAX(C9:C104)</f>
        <v>29.210000000000001</v>
      </c>
      <c r="D107" s="66">
        <f t="shared" si="1"/>
        <v>36.090000000000003</v>
      </c>
      <c r="E107" s="66">
        <f t="shared" si="1"/>
        <v>7.71</v>
      </c>
      <c r="F107" s="66">
        <f t="shared" si="1"/>
        <v>19.379999999999999</v>
      </c>
      <c r="G107" s="66">
        <f t="shared" si="1"/>
        <v>103.03</v>
      </c>
      <c r="H107" s="66">
        <f t="shared" si="1"/>
        <v>30.75</v>
      </c>
      <c r="I107" s="66">
        <f t="shared" si="1"/>
        <v>22.050000000000001</v>
      </c>
      <c r="J107" s="66">
        <f t="shared" si="1"/>
        <v>3.4199999999999999</v>
      </c>
      <c r="K107" s="66">
        <f t="shared" si="1"/>
        <v>350.68000000000001</v>
      </c>
      <c r="L107" s="66">
        <f t="shared" si="1"/>
        <v>58.399999999999999</v>
      </c>
      <c r="M107" s="66">
        <f t="shared" si="1"/>
        <v>70.299999999999997</v>
      </c>
      <c r="N107" s="66">
        <f t="shared" si="1"/>
        <v>1239.7</v>
      </c>
      <c r="O107" s="66">
        <f t="shared" si="1"/>
        <v>0</v>
      </c>
      <c r="P107" s="66">
        <f t="shared" si="1"/>
        <v>2.73</v>
      </c>
      <c r="Q107" s="66">
        <f t="shared" si="1"/>
        <v>74.209999999999994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2.2315730337078659</v>
      </c>
      <c r="C108" s="67">
        <f t="shared" si="2" ref="C108:Q108">AVERAGE(C9:C104)</f>
        <v>20.495312499999994</v>
      </c>
      <c r="D108" s="67">
        <f t="shared" si="2"/>
        <v>22.563645833333339</v>
      </c>
      <c r="E108" s="67">
        <f t="shared" si="2"/>
        <v>4.8856249999999983</v>
      </c>
      <c r="F108" s="67">
        <f t="shared" si="2"/>
        <v>3.8621874999999997</v>
      </c>
      <c r="G108" s="67">
        <f t="shared" si="2"/>
        <v>68.820208333333341</v>
      </c>
      <c r="H108" s="67">
        <f t="shared" si="2"/>
        <v>24.58697916666668</v>
      </c>
      <c r="I108" s="67">
        <f t="shared" si="2"/>
        <v>5.9109374999999993</v>
      </c>
      <c r="J108" s="67">
        <f t="shared" si="2"/>
        <v>1.3564583333333327</v>
      </c>
      <c r="K108" s="67">
        <f t="shared" si="2"/>
        <v>235.24208333333334</v>
      </c>
      <c r="L108" s="67">
        <f t="shared" si="2"/>
        <v>46.641145833333304</v>
      </c>
      <c r="M108" s="67">
        <f t="shared" si="2"/>
        <v>49.55333333333332</v>
      </c>
      <c r="N108" s="67">
        <f t="shared" si="2"/>
        <v>583.76666666666654</v>
      </c>
      <c r="O108" s="67">
        <f t="shared" si="2"/>
        <v>0</v>
      </c>
      <c r="P108" s="67">
        <f t="shared" si="2"/>
        <v>2.2260416666666667</v>
      </c>
      <c r="Q108" s="67">
        <f t="shared" si="2"/>
        <v>47.915833333333332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2.0092337406880025</v>
      </c>
      <c r="C109" s="67">
        <f t="shared" si="3" ref="C109:Q109">STDEV(C9:C104)</f>
        <v>4.0853221101182884</v>
      </c>
      <c r="D109" s="67">
        <f t="shared" si="3"/>
        <v>5.0068237898611301</v>
      </c>
      <c r="E109" s="67">
        <f t="shared" si="3"/>
        <v>1.6096843839055812</v>
      </c>
      <c r="F109" s="67">
        <f t="shared" si="3"/>
        <v>3.9591591885478854</v>
      </c>
      <c r="G109" s="67">
        <f t="shared" si="3"/>
        <v>14.326834518642318</v>
      </c>
      <c r="H109" s="67">
        <f t="shared" si="3"/>
        <v>3.4075171142301599</v>
      </c>
      <c r="I109" s="67">
        <f t="shared" si="3"/>
        <v>1.9904874188182389</v>
      </c>
      <c r="J109" s="67">
        <f t="shared" si="3"/>
        <v>0.7795261437385741</v>
      </c>
      <c r="K109" s="67">
        <f t="shared" si="3"/>
        <v>88.246644664606961</v>
      </c>
      <c r="L109" s="67">
        <f t="shared" si="3"/>
        <v>6.9545077951820886</v>
      </c>
      <c r="M109" s="67">
        <f t="shared" si="3"/>
        <v>12.308919287861457</v>
      </c>
      <c r="N109" s="67">
        <f t="shared" si="3"/>
        <v>401.14270810606405</v>
      </c>
      <c r="O109" s="67">
        <f t="shared" si="3"/>
        <v>0</v>
      </c>
      <c r="P109" s="67">
        <f t="shared" si="3"/>
        <v>0.19862940454745664</v>
      </c>
      <c r="Q109" s="67">
        <f t="shared" si="3"/>
        <v>10.027970111712705</v>
      </c>
      <c r="R109" s="199"/>
      <c r="S109" s="199"/>
      <c r="T109" s="199"/>
      <c r="U109" s="199"/>
    </row>
    <row r="110" spans="1:22" ht="15">
      <c r="A110" s="65" t="s">
        <v>62</v>
      </c>
      <c r="B110" s="66">
        <f>COUNT(B9:B104)+7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218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5df54b-211b-4310-8970-3014160a39b8}">
  <sheetPr codeName=""/>
  <dimension ref="A1:AG117"/>
  <sheetViews>
    <sheetView workbookViewId="0" topLeftCell="A1">
      <pane xSplit="1" ySplit="8" topLeftCell="B84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15-06-2022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1590</v>
      </c>
      <c r="B9" s="60">
        <v>1.30</v>
      </c>
      <c r="C9" s="60">
        <v>23.86</v>
      </c>
      <c r="D9" s="60">
        <v>25.16</v>
      </c>
      <c r="E9" s="60">
        <v>5.91</v>
      </c>
      <c r="F9" s="60">
        <v>1.28</v>
      </c>
      <c r="G9" s="60">
        <v>87.73</v>
      </c>
      <c r="H9" s="60">
        <v>28.86</v>
      </c>
      <c r="I9" s="60">
        <v>5.71</v>
      </c>
      <c r="J9" s="60">
        <v>1.98</v>
      </c>
      <c r="K9" s="60">
        <v>194.70</v>
      </c>
      <c r="L9" s="60">
        <v>40.97</v>
      </c>
      <c r="M9" s="60">
        <v>52.21</v>
      </c>
      <c r="N9" s="9" t="s">
        <v>36</v>
      </c>
      <c r="O9" s="60">
        <v>0</v>
      </c>
      <c r="P9" s="60">
        <v>2.41</v>
      </c>
      <c r="Q9" s="60">
        <v>44.74</v>
      </c>
      <c r="R9" s="198"/>
      <c r="S9" s="198"/>
      <c r="T9" s="198"/>
      <c r="U9" s="198"/>
    </row>
    <row r="10" spans="1:21" s="12" customFormat="1" ht="15">
      <c r="A10" s="201" t="s">
        <v>1591</v>
      </c>
      <c r="B10" s="60">
        <v>1.17</v>
      </c>
      <c r="C10" s="60">
        <v>20.52</v>
      </c>
      <c r="D10" s="60">
        <v>21.68</v>
      </c>
      <c r="E10" s="60">
        <v>5.95</v>
      </c>
      <c r="F10" s="60">
        <v>1.38</v>
      </c>
      <c r="G10" s="60">
        <v>87.73</v>
      </c>
      <c r="H10" s="60">
        <v>28.86</v>
      </c>
      <c r="I10" s="60">
        <v>5.56</v>
      </c>
      <c r="J10" s="60">
        <v>1.70</v>
      </c>
      <c r="K10" s="60">
        <v>201.66</v>
      </c>
      <c r="L10" s="60">
        <v>40.60</v>
      </c>
      <c r="M10" s="60">
        <v>53.46</v>
      </c>
      <c r="N10" s="9" t="s">
        <v>36</v>
      </c>
      <c r="O10" s="60">
        <v>0</v>
      </c>
      <c r="P10" s="60">
        <v>2.38</v>
      </c>
      <c r="Q10" s="60">
        <v>46.59</v>
      </c>
      <c r="R10" s="198"/>
      <c r="S10" s="198"/>
      <c r="T10" s="198"/>
      <c r="U10" s="198"/>
    </row>
    <row r="11" spans="1:21" s="12" customFormat="1" ht="15">
      <c r="A11" s="201" t="s">
        <v>1592</v>
      </c>
      <c r="B11" s="60">
        <v>1.22</v>
      </c>
      <c r="C11" s="60">
        <v>17.32</v>
      </c>
      <c r="D11" s="60">
        <v>18.54</v>
      </c>
      <c r="E11" s="60">
        <v>6.19</v>
      </c>
      <c r="F11" s="60">
        <v>0.98</v>
      </c>
      <c r="G11" s="60">
        <v>87.73</v>
      </c>
      <c r="H11" s="60">
        <v>28.86</v>
      </c>
      <c r="I11" s="60">
        <v>5.42</v>
      </c>
      <c r="J11" s="60">
        <v>1.1599999999999999</v>
      </c>
      <c r="K11" s="60">
        <v>193.09</v>
      </c>
      <c r="L11" s="60">
        <v>40.43</v>
      </c>
      <c r="M11" s="60">
        <v>54.73</v>
      </c>
      <c r="N11" s="9" t="s">
        <v>36</v>
      </c>
      <c r="O11" s="60">
        <v>0</v>
      </c>
      <c r="P11" s="60">
        <v>2.36</v>
      </c>
      <c r="Q11" s="60">
        <v>39.99</v>
      </c>
      <c r="R11" s="198"/>
      <c r="S11" s="198"/>
      <c r="T11" s="198"/>
      <c r="U11" s="198"/>
    </row>
    <row r="12" spans="1:21" s="12" customFormat="1" ht="15">
      <c r="A12" s="201" t="s">
        <v>1593</v>
      </c>
      <c r="B12" s="60">
        <v>1.33</v>
      </c>
      <c r="C12" s="60">
        <v>16.13</v>
      </c>
      <c r="D12" s="60">
        <v>17.46</v>
      </c>
      <c r="E12" s="60">
        <v>6.16</v>
      </c>
      <c r="F12" s="60">
        <v>1.21</v>
      </c>
      <c r="G12" s="60">
        <v>85.07</v>
      </c>
      <c r="H12" s="60">
        <v>28.92</v>
      </c>
      <c r="I12" s="60">
        <v>5.29</v>
      </c>
      <c r="J12" s="60">
        <v>1.1100000000000001</v>
      </c>
      <c r="K12" s="60">
        <v>214.98</v>
      </c>
      <c r="L12" s="60">
        <v>40.60</v>
      </c>
      <c r="M12" s="60">
        <v>55.22</v>
      </c>
      <c r="N12" s="9" t="s">
        <v>36</v>
      </c>
      <c r="O12" s="60">
        <v>0</v>
      </c>
      <c r="P12" s="60">
        <v>2.33</v>
      </c>
      <c r="Q12" s="60">
        <v>34.21</v>
      </c>
      <c r="R12" s="198"/>
      <c r="S12" s="198"/>
      <c r="T12" s="198"/>
      <c r="U12" s="198"/>
    </row>
    <row r="13" spans="1:21" s="12" customFormat="1" ht="15">
      <c r="A13" s="201" t="s">
        <v>1594</v>
      </c>
      <c r="B13" s="60">
        <v>1.33</v>
      </c>
      <c r="C13" s="60">
        <v>15.57</v>
      </c>
      <c r="D13" s="60">
        <v>16.89</v>
      </c>
      <c r="E13" s="60">
        <v>6.61</v>
      </c>
      <c r="F13" s="60">
        <v>1.27</v>
      </c>
      <c r="G13" s="60">
        <v>84.29</v>
      </c>
      <c r="H13" s="60">
        <v>28.96</v>
      </c>
      <c r="I13" s="60">
        <v>5.32</v>
      </c>
      <c r="J13" s="60">
        <v>1.70</v>
      </c>
      <c r="K13" s="60">
        <v>181.13</v>
      </c>
      <c r="L13" s="60">
        <v>40.44</v>
      </c>
      <c r="M13" s="60">
        <v>56.66</v>
      </c>
      <c r="N13" s="9" t="s">
        <v>36</v>
      </c>
      <c r="O13" s="60">
        <v>0</v>
      </c>
      <c r="P13" s="60">
        <v>2.31</v>
      </c>
      <c r="Q13" s="60">
        <v>33.200000000000003</v>
      </c>
      <c r="R13" s="198"/>
      <c r="S13" s="198"/>
      <c r="T13" s="198"/>
      <c r="U13" s="198"/>
    </row>
    <row r="14" spans="1:21" s="12" customFormat="1" ht="15">
      <c r="A14" s="201" t="s">
        <v>1595</v>
      </c>
      <c r="B14" s="60">
        <v>1.34</v>
      </c>
      <c r="C14" s="60">
        <v>14.76</v>
      </c>
      <c r="D14" s="60">
        <v>16.100000000000001</v>
      </c>
      <c r="E14" s="60">
        <v>6.78</v>
      </c>
      <c r="F14" s="60">
        <v>1.21</v>
      </c>
      <c r="G14" s="60">
        <v>84.29</v>
      </c>
      <c r="H14" s="60">
        <v>28.96</v>
      </c>
      <c r="I14" s="60">
        <v>5.29</v>
      </c>
      <c r="J14" s="60">
        <v>0.61</v>
      </c>
      <c r="K14" s="60">
        <v>209.67</v>
      </c>
      <c r="L14" s="60">
        <v>40.67</v>
      </c>
      <c r="M14" s="60">
        <v>56.48</v>
      </c>
      <c r="N14" s="9" t="s">
        <v>36</v>
      </c>
      <c r="O14" s="60">
        <v>0</v>
      </c>
      <c r="P14" s="60">
        <v>2.27</v>
      </c>
      <c r="Q14" s="60">
        <v>34.29</v>
      </c>
      <c r="R14" s="198"/>
      <c r="S14" s="198"/>
      <c r="T14" s="198"/>
      <c r="U14" s="198"/>
    </row>
    <row r="15" spans="1:21" s="12" customFormat="1" ht="15">
      <c r="A15" s="201" t="s">
        <v>1596</v>
      </c>
      <c r="B15" s="60">
        <v>1.38</v>
      </c>
      <c r="C15" s="60">
        <v>14.02</v>
      </c>
      <c r="D15" s="60">
        <v>15.40</v>
      </c>
      <c r="E15" s="60">
        <v>6.85</v>
      </c>
      <c r="F15" s="60">
        <v>1.38</v>
      </c>
      <c r="G15" s="60">
        <v>84.29</v>
      </c>
      <c r="H15" s="60">
        <v>28.96</v>
      </c>
      <c r="I15" s="60">
        <v>5.20</v>
      </c>
      <c r="J15" s="60">
        <v>2.13</v>
      </c>
      <c r="K15" s="60">
        <v>174.93</v>
      </c>
      <c r="L15" s="60">
        <v>40.61</v>
      </c>
      <c r="M15" s="60">
        <v>57.27</v>
      </c>
      <c r="N15" s="9" t="s">
        <v>36</v>
      </c>
      <c r="O15" s="60">
        <v>0</v>
      </c>
      <c r="P15" s="60">
        <v>2.2400000000000002</v>
      </c>
      <c r="Q15" s="60">
        <v>34.58</v>
      </c>
      <c r="R15" s="198"/>
      <c r="S15" s="198"/>
      <c r="T15" s="198"/>
      <c r="U15" s="198"/>
    </row>
    <row r="16" spans="1:21" s="12" customFormat="1" ht="15">
      <c r="A16" s="201" t="s">
        <v>1597</v>
      </c>
      <c r="B16" s="60">
        <v>1.41</v>
      </c>
      <c r="C16" s="60">
        <v>13.78</v>
      </c>
      <c r="D16" s="60">
        <v>15.19</v>
      </c>
      <c r="E16" s="60">
        <v>7.03</v>
      </c>
      <c r="F16" s="60">
        <v>0.90</v>
      </c>
      <c r="G16" s="60">
        <v>72.73</v>
      </c>
      <c r="H16" s="60">
        <v>27.96</v>
      </c>
      <c r="I16" s="60">
        <v>5.17</v>
      </c>
      <c r="J16" s="60">
        <v>1.66</v>
      </c>
      <c r="K16" s="60">
        <v>221.67</v>
      </c>
      <c r="L16" s="60">
        <v>40.229999999999997</v>
      </c>
      <c r="M16" s="60">
        <v>57.33</v>
      </c>
      <c r="N16" s="9" t="s">
        <v>36</v>
      </c>
      <c r="O16" s="60">
        <v>0</v>
      </c>
      <c r="P16" s="60">
        <v>2.23</v>
      </c>
      <c r="Q16" s="60">
        <v>34.24</v>
      </c>
      <c r="R16" s="198"/>
      <c r="S16" s="198"/>
      <c r="T16" s="198"/>
      <c r="U16" s="198"/>
    </row>
    <row r="17" spans="1:21" s="12" customFormat="1" ht="15">
      <c r="A17" s="201" t="s">
        <v>1598</v>
      </c>
      <c r="B17" s="60">
        <v>1.5</v>
      </c>
      <c r="C17" s="60">
        <v>14.09</v>
      </c>
      <c r="D17" s="60">
        <v>15.59</v>
      </c>
      <c r="E17" s="60">
        <v>7.14</v>
      </c>
      <c r="F17" s="60">
        <v>1.1000000000000001</v>
      </c>
      <c r="G17" s="60">
        <v>69.099999999999994</v>
      </c>
      <c r="H17" s="60">
        <v>27.24</v>
      </c>
      <c r="I17" s="60">
        <v>5.0999999999999996</v>
      </c>
      <c r="J17" s="60">
        <v>1.33</v>
      </c>
      <c r="K17" s="60">
        <v>205.56</v>
      </c>
      <c r="L17" s="60">
        <v>39.869999999999997</v>
      </c>
      <c r="M17" s="60">
        <v>58.64</v>
      </c>
      <c r="N17" s="9" t="s">
        <v>36</v>
      </c>
      <c r="O17" s="60">
        <v>0</v>
      </c>
      <c r="P17" s="60">
        <v>2.2000000000000002</v>
      </c>
      <c r="Q17" s="60">
        <v>35.18</v>
      </c>
      <c r="R17" s="198"/>
      <c r="S17" s="198"/>
      <c r="T17" s="198"/>
      <c r="U17" s="198"/>
    </row>
    <row r="18" spans="1:21" s="12" customFormat="1" ht="15">
      <c r="A18" s="201" t="s">
        <v>1599</v>
      </c>
      <c r="B18" s="60">
        <v>1.37</v>
      </c>
      <c r="C18" s="60">
        <v>16.04</v>
      </c>
      <c r="D18" s="60">
        <v>17.41</v>
      </c>
      <c r="E18" s="60">
        <v>7</v>
      </c>
      <c r="F18" s="60">
        <v>1.58</v>
      </c>
      <c r="G18" s="60">
        <v>69.099999999999994</v>
      </c>
      <c r="H18" s="60">
        <v>27.24</v>
      </c>
      <c r="I18" s="60">
        <v>5.05</v>
      </c>
      <c r="J18" s="60">
        <v>1.77</v>
      </c>
      <c r="K18" s="60">
        <v>175.26</v>
      </c>
      <c r="L18" s="60">
        <v>39.58</v>
      </c>
      <c r="M18" s="60">
        <v>59.70</v>
      </c>
      <c r="N18" s="9" t="s">
        <v>36</v>
      </c>
      <c r="O18" s="60">
        <v>0</v>
      </c>
      <c r="P18" s="60">
        <v>2.17</v>
      </c>
      <c r="Q18" s="60">
        <v>40.96</v>
      </c>
      <c r="R18" s="198"/>
      <c r="S18" s="198"/>
      <c r="T18" s="198"/>
      <c r="U18" s="198"/>
    </row>
    <row r="19" spans="1:21" s="12" customFormat="1" ht="15">
      <c r="A19" s="201" t="s">
        <v>1600</v>
      </c>
      <c r="B19" s="60">
        <v>1.1299999999999999</v>
      </c>
      <c r="C19" s="60">
        <v>15.60</v>
      </c>
      <c r="D19" s="60">
        <v>16.739999999999998</v>
      </c>
      <c r="E19" s="60">
        <v>7.37</v>
      </c>
      <c r="F19" s="60">
        <v>1.63</v>
      </c>
      <c r="G19" s="60">
        <v>69.099999999999994</v>
      </c>
      <c r="H19" s="60">
        <v>27.24</v>
      </c>
      <c r="I19" s="60">
        <v>4.9800000000000004</v>
      </c>
      <c r="J19" s="60">
        <v>1.80</v>
      </c>
      <c r="K19" s="60">
        <v>199.77</v>
      </c>
      <c r="L19" s="60">
        <v>39.340000000000003</v>
      </c>
      <c r="M19" s="60">
        <v>60.73</v>
      </c>
      <c r="N19" s="9" t="s">
        <v>36</v>
      </c>
      <c r="O19" s="60">
        <v>0</v>
      </c>
      <c r="P19" s="60">
        <v>2.13</v>
      </c>
      <c r="Q19" s="60">
        <v>47.01</v>
      </c>
      <c r="R19" s="198"/>
      <c r="S19" s="198"/>
      <c r="T19" s="198"/>
      <c r="U19" s="198"/>
    </row>
    <row r="20" spans="1:21" s="12" customFormat="1" ht="15">
      <c r="A20" s="201" t="s">
        <v>1601</v>
      </c>
      <c r="B20" s="60">
        <v>0.96</v>
      </c>
      <c r="C20" s="60">
        <v>15.59</v>
      </c>
      <c r="D20" s="60">
        <v>16.559999999999999</v>
      </c>
      <c r="E20" s="60">
        <v>6.70</v>
      </c>
      <c r="F20" s="60">
        <v>1.40</v>
      </c>
      <c r="G20" s="60">
        <v>64.97</v>
      </c>
      <c r="H20" s="60">
        <v>25.14</v>
      </c>
      <c r="I20" s="60">
        <v>4.78</v>
      </c>
      <c r="J20" s="60">
        <v>1.41</v>
      </c>
      <c r="K20" s="60">
        <v>204.77</v>
      </c>
      <c r="L20" s="60">
        <v>39.450000000000003</v>
      </c>
      <c r="M20" s="60">
        <v>61.18</v>
      </c>
      <c r="N20" s="9" t="s">
        <v>36</v>
      </c>
      <c r="O20" s="60">
        <v>0</v>
      </c>
      <c r="P20" s="60">
        <v>2.10</v>
      </c>
      <c r="Q20" s="60">
        <v>46.68</v>
      </c>
      <c r="R20" s="198"/>
      <c r="S20" s="198"/>
      <c r="T20" s="198"/>
      <c r="U20" s="198"/>
    </row>
    <row r="21" spans="1:21" s="12" customFormat="1" ht="15">
      <c r="A21" s="201" t="s">
        <v>1602</v>
      </c>
      <c r="B21" s="60">
        <v>0.85</v>
      </c>
      <c r="C21" s="60">
        <v>15.02</v>
      </c>
      <c r="D21" s="60">
        <v>15.87</v>
      </c>
      <c r="E21" s="60">
        <v>6.92</v>
      </c>
      <c r="F21" s="60">
        <v>1.69</v>
      </c>
      <c r="G21" s="60">
        <v>63.75</v>
      </c>
      <c r="H21" s="60">
        <v>23.61</v>
      </c>
      <c r="I21" s="60">
        <v>4.58</v>
      </c>
      <c r="J21" s="60">
        <v>1.67</v>
      </c>
      <c r="K21" s="60">
        <v>196.93</v>
      </c>
      <c r="L21" s="60">
        <v>39.14</v>
      </c>
      <c r="M21" s="60">
        <v>62.48</v>
      </c>
      <c r="N21" s="9" t="s">
        <v>36</v>
      </c>
      <c r="O21" s="60">
        <v>0</v>
      </c>
      <c r="P21" s="60">
        <v>2.0699999999999998</v>
      </c>
      <c r="Q21" s="60">
        <v>46.32</v>
      </c>
      <c r="R21" s="198"/>
      <c r="S21" s="198"/>
      <c r="T21" s="198"/>
      <c r="U21" s="198"/>
    </row>
    <row r="22" spans="1:21" s="12" customFormat="1" ht="15">
      <c r="A22" s="201" t="s">
        <v>1603</v>
      </c>
      <c r="B22" s="60">
        <v>0.78</v>
      </c>
      <c r="C22" s="60">
        <v>15.09</v>
      </c>
      <c r="D22" s="60">
        <v>15.87</v>
      </c>
      <c r="E22" s="60">
        <v>7.08</v>
      </c>
      <c r="F22" s="60">
        <v>1.47</v>
      </c>
      <c r="G22" s="60">
        <v>63.75</v>
      </c>
      <c r="H22" s="60">
        <v>23.61</v>
      </c>
      <c r="I22" s="60">
        <v>4.4000000000000004</v>
      </c>
      <c r="J22" s="60">
        <v>1.46</v>
      </c>
      <c r="K22" s="60">
        <v>201.27</v>
      </c>
      <c r="L22" s="60">
        <v>39.04</v>
      </c>
      <c r="M22" s="60">
        <v>63.05</v>
      </c>
      <c r="N22" s="9" t="s">
        <v>36</v>
      </c>
      <c r="O22" s="60">
        <v>0</v>
      </c>
      <c r="P22" s="60">
        <v>2.04</v>
      </c>
      <c r="Q22" s="60">
        <v>45.44</v>
      </c>
      <c r="R22" s="198"/>
      <c r="S22" s="198"/>
      <c r="T22" s="198"/>
      <c r="U22" s="198"/>
    </row>
    <row r="23" spans="1:21" s="12" customFormat="1" ht="15">
      <c r="A23" s="201" t="s">
        <v>1604</v>
      </c>
      <c r="B23" s="60">
        <v>0.74</v>
      </c>
      <c r="C23" s="60">
        <v>15.09</v>
      </c>
      <c r="D23" s="60">
        <v>15.83</v>
      </c>
      <c r="E23" s="60">
        <v>6.52</v>
      </c>
      <c r="F23" s="60">
        <v>1.1100000000000001</v>
      </c>
      <c r="G23" s="60">
        <v>63.75</v>
      </c>
      <c r="H23" s="60">
        <v>23.61</v>
      </c>
      <c r="I23" s="60">
        <v>4.22</v>
      </c>
      <c r="J23" s="60">
        <v>1.54</v>
      </c>
      <c r="K23" s="60">
        <v>224.67</v>
      </c>
      <c r="L23" s="60">
        <v>39.090000000000003</v>
      </c>
      <c r="M23" s="60">
        <v>63.27</v>
      </c>
      <c r="N23" s="9" t="s">
        <v>36</v>
      </c>
      <c r="O23" s="60">
        <v>0</v>
      </c>
      <c r="P23" s="60">
        <v>2.02</v>
      </c>
      <c r="Q23" s="60">
        <v>45.71</v>
      </c>
      <c r="R23" s="198"/>
      <c r="S23" s="198"/>
      <c r="T23" s="198"/>
      <c r="U23" s="198"/>
    </row>
    <row r="24" spans="1:21" s="12" customFormat="1" ht="15">
      <c r="A24" s="201" t="s">
        <v>1605</v>
      </c>
      <c r="B24" s="60">
        <v>0.70</v>
      </c>
      <c r="C24" s="60">
        <v>14.46</v>
      </c>
      <c r="D24" s="60">
        <v>15.16</v>
      </c>
      <c r="E24" s="60">
        <v>3.61</v>
      </c>
      <c r="F24" s="60">
        <v>1.05</v>
      </c>
      <c r="G24" s="60">
        <v>51.94</v>
      </c>
      <c r="H24" s="60">
        <v>20.66</v>
      </c>
      <c r="I24" s="60">
        <v>4.0999999999999996</v>
      </c>
      <c r="J24" s="60">
        <v>1.87</v>
      </c>
      <c r="K24" s="60">
        <v>188.91</v>
      </c>
      <c r="L24" s="60">
        <v>39.22</v>
      </c>
      <c r="M24" s="60">
        <v>63.65</v>
      </c>
      <c r="N24" s="9" t="s">
        <v>36</v>
      </c>
      <c r="O24" s="60">
        <v>0</v>
      </c>
      <c r="P24" s="60">
        <v>2</v>
      </c>
      <c r="Q24" s="60">
        <v>46.11</v>
      </c>
      <c r="R24" s="198"/>
      <c r="S24" s="198"/>
      <c r="T24" s="198"/>
      <c r="U24" s="198"/>
    </row>
    <row r="25" spans="1:21" s="12" customFormat="1" ht="15">
      <c r="A25" s="201" t="s">
        <v>1606</v>
      </c>
      <c r="B25" s="60">
        <v>0.72</v>
      </c>
      <c r="C25" s="60">
        <v>13.88</v>
      </c>
      <c r="D25" s="60">
        <v>14.59</v>
      </c>
      <c r="E25" s="60">
        <v>6.27</v>
      </c>
      <c r="F25" s="60">
        <v>1.1599999999999999</v>
      </c>
      <c r="G25" s="60">
        <v>48.23</v>
      </c>
      <c r="H25" s="60">
        <v>18.510000000000002</v>
      </c>
      <c r="I25" s="60">
        <v>3.97</v>
      </c>
      <c r="J25" s="60">
        <v>1.25</v>
      </c>
      <c r="K25" s="60">
        <v>209.97</v>
      </c>
      <c r="L25" s="60">
        <v>38.96</v>
      </c>
      <c r="M25" s="60">
        <v>64.39</v>
      </c>
      <c r="N25" s="9" t="s">
        <v>36</v>
      </c>
      <c r="O25" s="60">
        <v>0</v>
      </c>
      <c r="P25" s="60">
        <v>1.98</v>
      </c>
      <c r="Q25" s="60">
        <v>45.19</v>
      </c>
      <c r="R25" s="198"/>
      <c r="S25" s="198"/>
      <c r="T25" s="198"/>
      <c r="U25" s="198"/>
    </row>
    <row r="26" spans="1:21" s="12" customFormat="1" ht="15">
      <c r="A26" s="201" t="s">
        <v>1607</v>
      </c>
      <c r="B26" s="60">
        <v>0.77</v>
      </c>
      <c r="C26" s="60">
        <v>13.38</v>
      </c>
      <c r="D26" s="60">
        <v>14.15</v>
      </c>
      <c r="E26" s="60">
        <v>6.51</v>
      </c>
      <c r="F26" s="60">
        <v>1.31</v>
      </c>
      <c r="G26" s="60">
        <v>48.23</v>
      </c>
      <c r="H26" s="60">
        <v>18.510000000000002</v>
      </c>
      <c r="I26" s="60">
        <v>3.84</v>
      </c>
      <c r="J26" s="60">
        <v>1.1399999999999999</v>
      </c>
      <c r="K26" s="60">
        <v>180.71</v>
      </c>
      <c r="L26" s="60">
        <v>39.15</v>
      </c>
      <c r="M26" s="60">
        <v>64.25</v>
      </c>
      <c r="N26" s="9" t="s">
        <v>36</v>
      </c>
      <c r="O26" s="60">
        <v>0</v>
      </c>
      <c r="P26" s="60">
        <v>1.96</v>
      </c>
      <c r="Q26" s="60">
        <v>43.86</v>
      </c>
      <c r="R26" s="198"/>
      <c r="S26" s="198"/>
      <c r="T26" s="198"/>
      <c r="U26" s="198"/>
    </row>
    <row r="27" spans="1:21" s="12" customFormat="1" ht="15">
      <c r="A27" s="201" t="s">
        <v>1608</v>
      </c>
      <c r="B27" s="60">
        <v>0.78</v>
      </c>
      <c r="C27" s="60">
        <v>15.06</v>
      </c>
      <c r="D27" s="60">
        <v>15.84</v>
      </c>
      <c r="E27" s="60">
        <v>6.28</v>
      </c>
      <c r="F27" s="60">
        <v>1.01</v>
      </c>
      <c r="G27" s="60">
        <v>48.23</v>
      </c>
      <c r="H27" s="60">
        <v>18.510000000000002</v>
      </c>
      <c r="I27" s="60">
        <v>3.74</v>
      </c>
      <c r="J27" s="60">
        <v>2.29</v>
      </c>
      <c r="K27" s="60">
        <v>163.19</v>
      </c>
      <c r="L27" s="60">
        <v>38.869999999999997</v>
      </c>
      <c r="M27" s="60">
        <v>65.41</v>
      </c>
      <c r="N27" s="9" t="s">
        <v>36</v>
      </c>
      <c r="O27" s="60">
        <v>0</v>
      </c>
      <c r="P27" s="60">
        <v>1.96</v>
      </c>
      <c r="Q27" s="60">
        <v>41.25</v>
      </c>
      <c r="R27" s="198"/>
      <c r="S27" s="198"/>
      <c r="T27" s="198"/>
      <c r="U27" s="198"/>
    </row>
    <row r="28" spans="1:21" s="12" customFormat="1" ht="15">
      <c r="A28" s="201" t="s">
        <v>1609</v>
      </c>
      <c r="B28" s="60">
        <v>0.94</v>
      </c>
      <c r="C28" s="60">
        <v>13.65</v>
      </c>
      <c r="D28" s="60">
        <v>14.59</v>
      </c>
      <c r="E28" s="60">
        <v>6.40</v>
      </c>
      <c r="F28" s="60">
        <v>1.03</v>
      </c>
      <c r="G28" s="60">
        <v>48.99</v>
      </c>
      <c r="H28" s="60">
        <v>23.11</v>
      </c>
      <c r="I28" s="60">
        <v>3.63</v>
      </c>
      <c r="J28" s="60">
        <v>1.77</v>
      </c>
      <c r="K28" s="60">
        <v>197.27</v>
      </c>
      <c r="L28" s="60">
        <v>38.770000000000003</v>
      </c>
      <c r="M28" s="60">
        <v>65.42</v>
      </c>
      <c r="N28" s="9" t="s">
        <v>36</v>
      </c>
      <c r="O28" s="60">
        <v>0</v>
      </c>
      <c r="P28" s="60">
        <v>1.95</v>
      </c>
      <c r="Q28" s="60">
        <v>41</v>
      </c>
      <c r="R28" s="198"/>
      <c r="S28" s="198"/>
      <c r="T28" s="198"/>
      <c r="U28" s="198"/>
    </row>
    <row r="29" spans="1:21" s="12" customFormat="1" ht="15">
      <c r="A29" s="201" t="s">
        <v>1610</v>
      </c>
      <c r="B29" s="60">
        <v>1.31</v>
      </c>
      <c r="C29" s="60">
        <v>13.11</v>
      </c>
      <c r="D29" s="60">
        <v>14.42</v>
      </c>
      <c r="E29" s="60">
        <v>6.95</v>
      </c>
      <c r="F29" s="60">
        <v>0.66</v>
      </c>
      <c r="G29" s="60">
        <v>49.21</v>
      </c>
      <c r="H29" s="60">
        <v>26.47</v>
      </c>
      <c r="I29" s="60">
        <v>3.53</v>
      </c>
      <c r="J29" s="60">
        <v>1.87</v>
      </c>
      <c r="K29" s="60">
        <v>191.16</v>
      </c>
      <c r="L29" s="60">
        <v>38.72</v>
      </c>
      <c r="M29" s="60">
        <v>65.70</v>
      </c>
      <c r="N29" s="9" t="s">
        <v>36</v>
      </c>
      <c r="O29" s="60">
        <v>0</v>
      </c>
      <c r="P29" s="60">
        <v>1.95</v>
      </c>
      <c r="Q29" s="60">
        <v>35.159999999999997</v>
      </c>
      <c r="R29" s="198"/>
      <c r="S29" s="198"/>
      <c r="T29" s="198"/>
      <c r="U29" s="198"/>
    </row>
    <row r="30" spans="1:21" s="12" customFormat="1" ht="15">
      <c r="A30" s="201" t="s">
        <v>1611</v>
      </c>
      <c r="B30" s="60">
        <v>1.75</v>
      </c>
      <c r="C30" s="60">
        <v>13.11</v>
      </c>
      <c r="D30" s="60">
        <v>14.87</v>
      </c>
      <c r="E30" s="60">
        <v>7.18</v>
      </c>
      <c r="F30" s="60">
        <v>0.63</v>
      </c>
      <c r="G30" s="60">
        <v>49.21</v>
      </c>
      <c r="H30" s="60">
        <v>26.47</v>
      </c>
      <c r="I30" s="60">
        <v>3.58</v>
      </c>
      <c r="J30" s="60">
        <v>1.91</v>
      </c>
      <c r="K30" s="60">
        <v>210.32</v>
      </c>
      <c r="L30" s="60">
        <v>38.49</v>
      </c>
      <c r="M30" s="60">
        <v>65.819999999999993</v>
      </c>
      <c r="N30" s="9" t="s">
        <v>36</v>
      </c>
      <c r="O30" s="60">
        <v>0</v>
      </c>
      <c r="P30" s="60">
        <v>1.94</v>
      </c>
      <c r="Q30" s="60">
        <v>32.880000000000003</v>
      </c>
      <c r="R30" s="198"/>
      <c r="S30" s="198"/>
      <c r="T30" s="198"/>
      <c r="U30" s="198"/>
    </row>
    <row r="31" spans="1:21" s="12" customFormat="1" ht="15">
      <c r="A31" s="201" t="s">
        <v>1612</v>
      </c>
      <c r="B31" s="60">
        <v>1.99</v>
      </c>
      <c r="C31" s="60">
        <v>13.14</v>
      </c>
      <c r="D31" s="60">
        <v>15.13</v>
      </c>
      <c r="E31" s="60">
        <v>7.49</v>
      </c>
      <c r="F31" s="60">
        <v>0.66</v>
      </c>
      <c r="G31" s="60">
        <v>49.21</v>
      </c>
      <c r="H31" s="60">
        <v>26.47</v>
      </c>
      <c r="I31" s="60">
        <v>3.64</v>
      </c>
      <c r="J31" s="60">
        <v>1.31</v>
      </c>
      <c r="K31" s="60">
        <v>214.56</v>
      </c>
      <c r="L31" s="60">
        <v>38.700000000000003</v>
      </c>
      <c r="M31" s="60">
        <v>66.02</v>
      </c>
      <c r="N31" s="60">
        <v>4.0999999999999996</v>
      </c>
      <c r="O31" s="60">
        <v>0</v>
      </c>
      <c r="P31" s="60">
        <v>1.94</v>
      </c>
      <c r="Q31" s="60">
        <v>32.409999999999997</v>
      </c>
      <c r="R31" s="198"/>
      <c r="S31" s="198"/>
      <c r="T31" s="198"/>
      <c r="U31" s="198"/>
    </row>
    <row r="32" spans="1:21" s="12" customFormat="1" ht="15">
      <c r="A32" s="201" t="s">
        <v>1613</v>
      </c>
      <c r="B32" s="60">
        <v>2.17</v>
      </c>
      <c r="C32" s="60">
        <v>13.26</v>
      </c>
      <c r="D32" s="60">
        <v>15.43</v>
      </c>
      <c r="E32" s="60">
        <v>7.27</v>
      </c>
      <c r="F32" s="60">
        <v>0.65</v>
      </c>
      <c r="G32" s="60">
        <v>47.43</v>
      </c>
      <c r="H32" s="60">
        <v>21.96</v>
      </c>
      <c r="I32" s="60">
        <v>3.66</v>
      </c>
      <c r="J32" s="60">
        <v>1.02</v>
      </c>
      <c r="K32" s="60">
        <v>224.37</v>
      </c>
      <c r="L32" s="60">
        <v>38.81</v>
      </c>
      <c r="M32" s="60">
        <v>65.56</v>
      </c>
      <c r="N32" s="60">
        <v>19</v>
      </c>
      <c r="O32" s="60">
        <v>0</v>
      </c>
      <c r="P32" s="60">
        <v>1.95</v>
      </c>
      <c r="Q32" s="60">
        <v>32.380000000000003</v>
      </c>
      <c r="R32" s="198"/>
      <c r="S32" s="198"/>
      <c r="T32" s="198"/>
      <c r="U32" s="198"/>
    </row>
    <row r="33" spans="1:21" s="12" customFormat="1" ht="15">
      <c r="A33" s="201" t="s">
        <v>1614</v>
      </c>
      <c r="B33" s="60">
        <v>2.44</v>
      </c>
      <c r="C33" s="60">
        <v>13.83</v>
      </c>
      <c r="D33" s="60">
        <v>16.28</v>
      </c>
      <c r="E33" s="60">
        <v>7.83</v>
      </c>
      <c r="F33" s="60">
        <v>0.56000000000000005</v>
      </c>
      <c r="G33" s="60">
        <v>46.47</v>
      </c>
      <c r="H33" s="60">
        <v>18.670000000000002</v>
      </c>
      <c r="I33" s="60">
        <v>3.69</v>
      </c>
      <c r="J33" s="60">
        <v>0.82</v>
      </c>
      <c r="K33" s="60">
        <v>311.19</v>
      </c>
      <c r="L33" s="60">
        <v>39.10</v>
      </c>
      <c r="M33" s="60">
        <v>64.87</v>
      </c>
      <c r="N33" s="60">
        <v>38.40</v>
      </c>
      <c r="O33" s="60">
        <v>0</v>
      </c>
      <c r="P33" s="60">
        <v>1.95</v>
      </c>
      <c r="Q33" s="60">
        <v>31.90</v>
      </c>
      <c r="R33" s="198"/>
      <c r="S33" s="198"/>
      <c r="T33" s="198"/>
      <c r="U33" s="198"/>
    </row>
    <row r="34" spans="1:21" s="12" customFormat="1" ht="15">
      <c r="A34" s="201" t="s">
        <v>1615</v>
      </c>
      <c r="B34" s="60">
        <v>3.02</v>
      </c>
      <c r="C34" s="60">
        <v>14.18</v>
      </c>
      <c r="D34" s="60">
        <v>17.190000000000001</v>
      </c>
      <c r="E34" s="60">
        <v>7.80</v>
      </c>
      <c r="F34" s="60">
        <v>0.60</v>
      </c>
      <c r="G34" s="60">
        <v>46.47</v>
      </c>
      <c r="H34" s="60">
        <v>18.670000000000002</v>
      </c>
      <c r="I34" s="60">
        <v>3.80</v>
      </c>
      <c r="J34" s="60">
        <v>0.83</v>
      </c>
      <c r="K34" s="60">
        <v>300.74</v>
      </c>
      <c r="L34" s="60">
        <v>39.229999999999997</v>
      </c>
      <c r="M34" s="60">
        <v>64.56</v>
      </c>
      <c r="N34" s="60">
        <v>74.70</v>
      </c>
      <c r="O34" s="60">
        <v>0</v>
      </c>
      <c r="P34" s="60">
        <v>1.97</v>
      </c>
      <c r="Q34" s="60">
        <v>32.49</v>
      </c>
      <c r="R34" s="198"/>
      <c r="S34" s="198"/>
      <c r="T34" s="198"/>
      <c r="U34" s="198"/>
    </row>
    <row r="35" spans="1:21" s="12" customFormat="1" ht="15">
      <c r="A35" s="201" t="s">
        <v>1616</v>
      </c>
      <c r="B35" s="60">
        <v>3.62</v>
      </c>
      <c r="C35" s="60">
        <v>16.420000000000002</v>
      </c>
      <c r="D35" s="60">
        <v>20.04</v>
      </c>
      <c r="E35" s="60">
        <v>7.88</v>
      </c>
      <c r="F35" s="60">
        <v>0.93</v>
      </c>
      <c r="G35" s="60">
        <v>46.47</v>
      </c>
      <c r="H35" s="60">
        <v>18.670000000000002</v>
      </c>
      <c r="I35" s="60">
        <v>3.88</v>
      </c>
      <c r="J35" s="60">
        <v>1.05</v>
      </c>
      <c r="K35" s="60">
        <v>331.31</v>
      </c>
      <c r="L35" s="60">
        <v>40.19</v>
      </c>
      <c r="M35" s="60">
        <v>62.67</v>
      </c>
      <c r="N35" s="60">
        <v>176.5</v>
      </c>
      <c r="O35" s="60">
        <v>0</v>
      </c>
      <c r="P35" s="60">
        <v>1.98</v>
      </c>
      <c r="Q35" s="60">
        <v>34.04</v>
      </c>
      <c r="R35" s="198"/>
      <c r="S35" s="198"/>
      <c r="T35" s="198"/>
      <c r="U35" s="198"/>
    </row>
    <row r="36" spans="1:21" s="12" customFormat="1" ht="15">
      <c r="A36" s="201" t="s">
        <v>1617</v>
      </c>
      <c r="B36" s="60">
        <v>4.0199999999999996</v>
      </c>
      <c r="C36" s="60">
        <v>18.89</v>
      </c>
      <c r="D36" s="60">
        <v>22.91</v>
      </c>
      <c r="E36" s="60">
        <v>7.67</v>
      </c>
      <c r="F36" s="60">
        <v>0.93</v>
      </c>
      <c r="G36" s="60">
        <v>47.96</v>
      </c>
      <c r="H36" s="60">
        <v>19.260000000000002</v>
      </c>
      <c r="I36" s="60">
        <v>3.97</v>
      </c>
      <c r="J36" s="60">
        <v>1.58</v>
      </c>
      <c r="K36" s="60">
        <v>315.37</v>
      </c>
      <c r="L36" s="60">
        <v>41.60</v>
      </c>
      <c r="M36" s="60">
        <v>59.23</v>
      </c>
      <c r="N36" s="60">
        <v>226.5</v>
      </c>
      <c r="O36" s="60">
        <v>0</v>
      </c>
      <c r="P36" s="60">
        <v>2</v>
      </c>
      <c r="Q36" s="60">
        <v>39.840000000000003</v>
      </c>
      <c r="R36" s="198"/>
      <c r="S36" s="198"/>
      <c r="T36" s="198"/>
      <c r="U36" s="198"/>
    </row>
    <row r="37" spans="1:21" s="12" customFormat="1" ht="15">
      <c r="A37" s="201" t="s">
        <v>1618</v>
      </c>
      <c r="B37" s="60">
        <v>4.20</v>
      </c>
      <c r="C37" s="60">
        <v>19.54</v>
      </c>
      <c r="D37" s="60">
        <v>23.74</v>
      </c>
      <c r="E37" s="60">
        <v>7.65</v>
      </c>
      <c r="F37" s="60">
        <v>1.37</v>
      </c>
      <c r="G37" s="60">
        <v>48.39</v>
      </c>
      <c r="H37" s="60">
        <v>19.690000000000001</v>
      </c>
      <c r="I37" s="60">
        <v>4.04</v>
      </c>
      <c r="J37" s="60">
        <v>1.08</v>
      </c>
      <c r="K37" s="60">
        <v>335.71</v>
      </c>
      <c r="L37" s="60">
        <v>42.55</v>
      </c>
      <c r="M37" s="60">
        <v>56.98</v>
      </c>
      <c r="N37" s="60">
        <v>274.80</v>
      </c>
      <c r="O37" s="60">
        <v>0</v>
      </c>
      <c r="P37" s="60">
        <v>2.0499999999999998</v>
      </c>
      <c r="Q37" s="60">
        <v>45.69</v>
      </c>
      <c r="R37" s="198"/>
      <c r="S37" s="198"/>
      <c r="T37" s="198"/>
      <c r="U37" s="198"/>
    </row>
    <row r="38" spans="1:21" s="12" customFormat="1" ht="15">
      <c r="A38" s="201" t="s">
        <v>1619</v>
      </c>
      <c r="B38" s="60">
        <v>4.3499999999999996</v>
      </c>
      <c r="C38" s="60">
        <v>20.94</v>
      </c>
      <c r="D38" s="60">
        <v>25.29</v>
      </c>
      <c r="E38" s="60">
        <v>7.42</v>
      </c>
      <c r="F38" s="60">
        <v>1.24</v>
      </c>
      <c r="G38" s="60">
        <v>48.39</v>
      </c>
      <c r="H38" s="60">
        <v>19.690000000000001</v>
      </c>
      <c r="I38" s="60">
        <v>4.22</v>
      </c>
      <c r="J38" s="60">
        <v>1.25</v>
      </c>
      <c r="K38" s="60">
        <v>333.94</v>
      </c>
      <c r="L38" s="60">
        <v>42.66</v>
      </c>
      <c r="M38" s="60">
        <v>56.61</v>
      </c>
      <c r="N38" s="60">
        <v>326.70</v>
      </c>
      <c r="O38" s="60">
        <v>0</v>
      </c>
      <c r="P38" s="60">
        <v>2.0699999999999998</v>
      </c>
      <c r="Q38" s="60">
        <v>45.64</v>
      </c>
      <c r="R38" s="198"/>
      <c r="S38" s="198"/>
      <c r="T38" s="198"/>
      <c r="U38" s="198"/>
    </row>
    <row r="39" spans="1:21" s="12" customFormat="1" ht="15">
      <c r="A39" s="201" t="s">
        <v>1620</v>
      </c>
      <c r="B39" s="60">
        <v>4.01</v>
      </c>
      <c r="C39" s="60">
        <v>21.84</v>
      </c>
      <c r="D39" s="60">
        <v>25.85</v>
      </c>
      <c r="E39" s="60">
        <v>7.08</v>
      </c>
      <c r="F39" s="60">
        <v>1.08</v>
      </c>
      <c r="G39" s="60">
        <v>48.39</v>
      </c>
      <c r="H39" s="60">
        <v>19.690000000000001</v>
      </c>
      <c r="I39" s="60">
        <v>4.47</v>
      </c>
      <c r="J39" s="60">
        <v>1.31</v>
      </c>
      <c r="K39" s="60">
        <v>340.98</v>
      </c>
      <c r="L39" s="60">
        <v>43.44</v>
      </c>
      <c r="M39" s="60">
        <v>54.82</v>
      </c>
      <c r="N39" s="60">
        <v>380.10</v>
      </c>
      <c r="O39" s="60">
        <v>0</v>
      </c>
      <c r="P39" s="60">
        <v>2.08</v>
      </c>
      <c r="Q39" s="60">
        <v>44.38</v>
      </c>
      <c r="R39" s="198"/>
      <c r="S39" s="198"/>
      <c r="T39" s="198"/>
      <c r="U39" s="198"/>
    </row>
    <row r="40" spans="1:21" s="12" customFormat="1" ht="15">
      <c r="A40" s="201" t="s">
        <v>1621</v>
      </c>
      <c r="B40" s="60">
        <v>3.68</v>
      </c>
      <c r="C40" s="60">
        <v>21.81</v>
      </c>
      <c r="D40" s="60">
        <v>25.5</v>
      </c>
      <c r="E40" s="60">
        <v>3.08</v>
      </c>
      <c r="F40" s="60">
        <v>1.1599999999999999</v>
      </c>
      <c r="G40" s="60">
        <v>52.85</v>
      </c>
      <c r="H40" s="60">
        <v>20.49</v>
      </c>
      <c r="I40" s="60">
        <v>4.63</v>
      </c>
      <c r="J40" s="60">
        <v>1.47</v>
      </c>
      <c r="K40" s="60">
        <v>349.95</v>
      </c>
      <c r="L40" s="60">
        <v>42.53</v>
      </c>
      <c r="M40" s="60">
        <v>55.69</v>
      </c>
      <c r="N40" s="60">
        <v>237.90</v>
      </c>
      <c r="O40" s="60">
        <v>0</v>
      </c>
      <c r="P40" s="60">
        <v>2.10</v>
      </c>
      <c r="Q40" s="60">
        <v>43.30</v>
      </c>
      <c r="R40" s="198"/>
      <c r="S40" s="198"/>
      <c r="T40" s="198"/>
      <c r="U40" s="198"/>
    </row>
    <row r="41" spans="1:21" s="12" customFormat="1" ht="15">
      <c r="A41" s="201" t="s">
        <v>1622</v>
      </c>
      <c r="B41" s="60">
        <v>3.31</v>
      </c>
      <c r="C41" s="60">
        <v>22.75</v>
      </c>
      <c r="D41" s="60">
        <v>26.07</v>
      </c>
      <c r="E41" s="60">
        <v>5.77</v>
      </c>
      <c r="F41" s="60">
        <v>1.43</v>
      </c>
      <c r="G41" s="60">
        <v>54.16</v>
      </c>
      <c r="H41" s="60">
        <v>21.08</v>
      </c>
      <c r="I41" s="60">
        <v>4.75</v>
      </c>
      <c r="J41" s="60">
        <v>0.46</v>
      </c>
      <c r="K41" s="60">
        <v>340.62</v>
      </c>
      <c r="L41" s="60">
        <v>42.14</v>
      </c>
      <c r="M41" s="60">
        <v>55.27</v>
      </c>
      <c r="N41" s="60">
        <v>297.80</v>
      </c>
      <c r="O41" s="60">
        <v>0</v>
      </c>
      <c r="P41" s="60">
        <v>2.11</v>
      </c>
      <c r="Q41" s="60">
        <v>40.24</v>
      </c>
      <c r="R41" s="198"/>
      <c r="S41" s="198"/>
      <c r="T41" s="198"/>
      <c r="U41" s="198"/>
    </row>
    <row r="42" spans="1:21" s="12" customFormat="1" ht="15">
      <c r="A42" s="201" t="s">
        <v>1623</v>
      </c>
      <c r="B42" s="60">
        <v>2.93</v>
      </c>
      <c r="C42" s="60">
        <v>23.43</v>
      </c>
      <c r="D42" s="60">
        <v>26.37</v>
      </c>
      <c r="E42" s="60">
        <v>5.98</v>
      </c>
      <c r="F42" s="60">
        <v>1.48</v>
      </c>
      <c r="G42" s="60">
        <v>54.16</v>
      </c>
      <c r="H42" s="60">
        <v>21.08</v>
      </c>
      <c r="I42" s="60">
        <v>4.8899999999999997</v>
      </c>
      <c r="J42" s="60">
        <v>1.85</v>
      </c>
      <c r="K42" s="60">
        <v>329.93</v>
      </c>
      <c r="L42" s="60">
        <v>43.5</v>
      </c>
      <c r="M42" s="60">
        <v>52.87</v>
      </c>
      <c r="N42" s="60">
        <v>586.20000000000005</v>
      </c>
      <c r="O42" s="60">
        <v>0</v>
      </c>
      <c r="P42" s="60">
        <v>2.12</v>
      </c>
      <c r="Q42" s="60">
        <v>39.03</v>
      </c>
      <c r="R42" s="198"/>
      <c r="S42" s="198"/>
      <c r="T42" s="198"/>
      <c r="U42" s="198"/>
    </row>
    <row r="43" spans="1:21" s="12" customFormat="1" ht="15">
      <c r="A43" s="201" t="s">
        <v>1624</v>
      </c>
      <c r="B43" s="60">
        <v>2.65</v>
      </c>
      <c r="C43" s="60">
        <v>22.35</v>
      </c>
      <c r="D43" s="60">
        <v>25</v>
      </c>
      <c r="E43" s="60">
        <v>5.40</v>
      </c>
      <c r="F43" s="60">
        <v>1.90</v>
      </c>
      <c r="G43" s="60">
        <v>54.16</v>
      </c>
      <c r="H43" s="60">
        <v>21.08</v>
      </c>
      <c r="I43" s="60">
        <v>5.0599999999999996</v>
      </c>
      <c r="J43" s="60">
        <v>1.58</v>
      </c>
      <c r="K43" s="60">
        <v>327.97</v>
      </c>
      <c r="L43" s="60">
        <v>45.10</v>
      </c>
      <c r="M43" s="60">
        <v>48.04</v>
      </c>
      <c r="N43" s="60">
        <v>658.30</v>
      </c>
      <c r="O43" s="60">
        <v>0</v>
      </c>
      <c r="P43" s="60">
        <v>2.13</v>
      </c>
      <c r="Q43" s="60">
        <v>38.75</v>
      </c>
      <c r="R43" s="198"/>
      <c r="S43" s="198"/>
      <c r="T43" s="198"/>
      <c r="U43" s="198"/>
    </row>
    <row r="44" spans="1:21" s="12" customFormat="1" ht="15">
      <c r="A44" s="201" t="s">
        <v>1625</v>
      </c>
      <c r="B44" s="60">
        <v>2.2999999999999998</v>
      </c>
      <c r="C44" s="60">
        <v>23.14</v>
      </c>
      <c r="D44" s="60">
        <v>25.44</v>
      </c>
      <c r="E44" s="60">
        <v>5.51</v>
      </c>
      <c r="F44" s="60">
        <v>1.88</v>
      </c>
      <c r="G44" s="60">
        <v>53.72</v>
      </c>
      <c r="H44" s="60">
        <v>22.64</v>
      </c>
      <c r="I44" s="60">
        <v>5.07</v>
      </c>
      <c r="J44" s="60">
        <v>2.0499999999999998</v>
      </c>
      <c r="K44" s="60">
        <v>330.27</v>
      </c>
      <c r="L44" s="60">
        <v>46.14</v>
      </c>
      <c r="M44" s="60">
        <v>45.85</v>
      </c>
      <c r="N44" s="60">
        <v>714.80</v>
      </c>
      <c r="O44" s="60">
        <v>0</v>
      </c>
      <c r="P44" s="60">
        <v>2.14</v>
      </c>
      <c r="Q44" s="60">
        <v>36.020000000000003</v>
      </c>
      <c r="R44" s="198"/>
      <c r="S44" s="198"/>
      <c r="T44" s="198"/>
      <c r="U44" s="198"/>
    </row>
    <row r="45" spans="1:21" s="12" customFormat="1" ht="15">
      <c r="A45" s="201" t="s">
        <v>1626</v>
      </c>
      <c r="B45" s="60">
        <v>2.15</v>
      </c>
      <c r="C45" s="60">
        <v>24.34</v>
      </c>
      <c r="D45" s="60">
        <v>26.49</v>
      </c>
      <c r="E45" s="60">
        <v>5.21</v>
      </c>
      <c r="F45" s="60">
        <v>1.40</v>
      </c>
      <c r="G45" s="60">
        <v>53.59</v>
      </c>
      <c r="H45" s="60">
        <v>23.77</v>
      </c>
      <c r="I45" s="60">
        <v>4.99</v>
      </c>
      <c r="J45" s="60">
        <v>2.63</v>
      </c>
      <c r="K45" s="60">
        <v>336.99</v>
      </c>
      <c r="L45" s="60">
        <v>47.54</v>
      </c>
      <c r="M45" s="60">
        <v>43.18</v>
      </c>
      <c r="N45" s="60">
        <v>833.60</v>
      </c>
      <c r="O45" s="60">
        <v>0</v>
      </c>
      <c r="P45" s="60">
        <v>2.15</v>
      </c>
      <c r="Q45" s="60">
        <v>35.21</v>
      </c>
      <c r="R45" s="198"/>
      <c r="S45" s="198"/>
      <c r="T45" s="198"/>
      <c r="U45" s="198"/>
    </row>
    <row r="46" spans="1:21" s="12" customFormat="1" ht="15">
      <c r="A46" s="201" t="s">
        <v>1627</v>
      </c>
      <c r="B46" s="60">
        <v>2.16</v>
      </c>
      <c r="C46" s="60">
        <v>21.77</v>
      </c>
      <c r="D46" s="60">
        <v>23.93</v>
      </c>
      <c r="E46" s="60">
        <v>5.53</v>
      </c>
      <c r="F46" s="60">
        <v>1.90</v>
      </c>
      <c r="G46" s="60">
        <v>53.59</v>
      </c>
      <c r="H46" s="60">
        <v>23.77</v>
      </c>
      <c r="I46" s="60">
        <v>4.95</v>
      </c>
      <c r="J46" s="60">
        <v>1.67</v>
      </c>
      <c r="K46" s="60">
        <v>331.96</v>
      </c>
      <c r="L46" s="60">
        <v>48.39</v>
      </c>
      <c r="M46" s="60">
        <v>41.44</v>
      </c>
      <c r="N46" s="60">
        <v>1008.10</v>
      </c>
      <c r="O46" s="60">
        <v>0</v>
      </c>
      <c r="P46" s="60">
        <v>2.16</v>
      </c>
      <c r="Q46" s="60">
        <v>35.229999999999997</v>
      </c>
      <c r="R46" s="198"/>
      <c r="S46" s="198"/>
      <c r="T46" s="198"/>
      <c r="U46" s="198"/>
    </row>
    <row r="47" spans="1:21" s="12" customFormat="1" ht="15">
      <c r="A47" s="201" t="s">
        <v>1628</v>
      </c>
      <c r="B47" s="60">
        <v>2</v>
      </c>
      <c r="C47" s="60">
        <v>20.45</v>
      </c>
      <c r="D47" s="60">
        <v>22.44</v>
      </c>
      <c r="E47" s="60">
        <v>5.73</v>
      </c>
      <c r="F47" s="60">
        <v>2.2799999999999998</v>
      </c>
      <c r="G47" s="60">
        <v>53.59</v>
      </c>
      <c r="H47" s="60">
        <v>23.77</v>
      </c>
      <c r="I47" s="60">
        <v>4.97</v>
      </c>
      <c r="J47" s="60">
        <v>2.37</v>
      </c>
      <c r="K47" s="60">
        <v>316.19</v>
      </c>
      <c r="L47" s="60">
        <v>48.62</v>
      </c>
      <c r="M47" s="60">
        <v>40.97</v>
      </c>
      <c r="N47" s="60">
        <v>938.80</v>
      </c>
      <c r="O47" s="60">
        <v>0</v>
      </c>
      <c r="P47" s="60">
        <v>2.1800000000000002</v>
      </c>
      <c r="Q47" s="60">
        <v>30.21</v>
      </c>
      <c r="R47" s="198"/>
      <c r="S47" s="198"/>
      <c r="T47" s="198"/>
      <c r="U47" s="198"/>
    </row>
    <row r="48" spans="1:21" s="12" customFormat="1" ht="15">
      <c r="A48" s="201" t="s">
        <v>1629</v>
      </c>
      <c r="B48" s="60">
        <v>1.81</v>
      </c>
      <c r="C48" s="60">
        <v>21.46</v>
      </c>
      <c r="D48" s="60">
        <v>23.27</v>
      </c>
      <c r="E48" s="60">
        <v>6.29</v>
      </c>
      <c r="F48" s="60">
        <v>2.19</v>
      </c>
      <c r="G48" s="60">
        <v>57.17</v>
      </c>
      <c r="H48" s="60">
        <v>23.66</v>
      </c>
      <c r="I48" s="60">
        <v>5.04</v>
      </c>
      <c r="J48" s="60">
        <v>1.1299999999999999</v>
      </c>
      <c r="K48" s="60">
        <v>317.22000000000003</v>
      </c>
      <c r="L48" s="60">
        <v>47.35</v>
      </c>
      <c r="M48" s="60">
        <v>41.47</v>
      </c>
      <c r="N48" s="60">
        <v>622.29999999999995</v>
      </c>
      <c r="O48" s="60">
        <v>0</v>
      </c>
      <c r="P48" s="60">
        <v>2.2000000000000002</v>
      </c>
      <c r="Q48" s="60">
        <v>25.95</v>
      </c>
      <c r="R48" s="198"/>
      <c r="S48" s="198"/>
      <c r="T48" s="198"/>
      <c r="U48" s="198"/>
    </row>
    <row r="49" spans="1:21" s="12" customFormat="1" ht="15">
      <c r="A49" s="201" t="s">
        <v>1630</v>
      </c>
      <c r="B49" s="60">
        <v>1.68</v>
      </c>
      <c r="C49" s="60">
        <v>20.92</v>
      </c>
      <c r="D49" s="60">
        <v>22.60</v>
      </c>
      <c r="E49" s="60">
        <v>6</v>
      </c>
      <c r="F49" s="60">
        <v>2.12</v>
      </c>
      <c r="G49" s="60">
        <v>58.43</v>
      </c>
      <c r="H49" s="60">
        <v>23.58</v>
      </c>
      <c r="I49" s="60">
        <v>5.09</v>
      </c>
      <c r="J49" s="60">
        <v>1.18</v>
      </c>
      <c r="K49" s="60">
        <v>311.14</v>
      </c>
      <c r="L49" s="60">
        <v>47.74</v>
      </c>
      <c r="M49" s="60">
        <v>40.57</v>
      </c>
      <c r="N49" s="60">
        <v>1133.30</v>
      </c>
      <c r="O49" s="60">
        <v>0</v>
      </c>
      <c r="P49" s="60">
        <v>2.23</v>
      </c>
      <c r="Q49" s="60">
        <v>24.16</v>
      </c>
      <c r="R49" s="198"/>
      <c r="S49" s="198"/>
      <c r="T49" s="198"/>
      <c r="U49" s="198"/>
    </row>
    <row r="50" spans="1:21" s="12" customFormat="1" ht="15">
      <c r="A50" s="201" t="s">
        <v>1631</v>
      </c>
      <c r="B50" s="60">
        <v>1.38</v>
      </c>
      <c r="C50" s="60">
        <v>21.07</v>
      </c>
      <c r="D50" s="60">
        <v>22.44</v>
      </c>
      <c r="E50" s="60">
        <v>6.17</v>
      </c>
      <c r="F50" s="60">
        <v>2.68</v>
      </c>
      <c r="G50" s="60">
        <v>58.43</v>
      </c>
      <c r="H50" s="60">
        <v>23.58</v>
      </c>
      <c r="I50" s="60">
        <v>5.20</v>
      </c>
      <c r="J50" s="60">
        <v>2.5499999999999998</v>
      </c>
      <c r="K50" s="60">
        <v>337.26</v>
      </c>
      <c r="L50" s="60">
        <v>48.89</v>
      </c>
      <c r="M50" s="60">
        <v>37.97</v>
      </c>
      <c r="N50" s="60">
        <v>1021.90</v>
      </c>
      <c r="O50" s="60">
        <v>0</v>
      </c>
      <c r="P50" s="60">
        <v>2.25</v>
      </c>
      <c r="Q50" s="60">
        <v>24.14</v>
      </c>
      <c r="R50" s="198"/>
      <c r="S50" s="198"/>
      <c r="T50" s="198"/>
      <c r="U50" s="198"/>
    </row>
    <row r="51" spans="1:21" s="12" customFormat="1" ht="15">
      <c r="A51" s="201" t="s">
        <v>1632</v>
      </c>
      <c r="B51" s="60">
        <v>1.41</v>
      </c>
      <c r="C51" s="60">
        <v>21.84</v>
      </c>
      <c r="D51" s="60">
        <v>23.26</v>
      </c>
      <c r="E51" s="60">
        <v>6.44</v>
      </c>
      <c r="F51" s="60">
        <v>2.75</v>
      </c>
      <c r="G51" s="60">
        <v>58.43</v>
      </c>
      <c r="H51" s="60">
        <v>23.58</v>
      </c>
      <c r="I51" s="60">
        <v>5.21</v>
      </c>
      <c r="J51" s="60">
        <v>2.16</v>
      </c>
      <c r="K51" s="60">
        <v>326.70</v>
      </c>
      <c r="L51" s="60">
        <v>49.36</v>
      </c>
      <c r="M51" s="60">
        <v>37.43</v>
      </c>
      <c r="N51" s="60">
        <v>744.40</v>
      </c>
      <c r="O51" s="60">
        <v>0</v>
      </c>
      <c r="P51" s="60">
        <v>2.27</v>
      </c>
      <c r="Q51" s="60">
        <v>23.76</v>
      </c>
      <c r="R51" s="198"/>
      <c r="S51" s="198"/>
      <c r="T51" s="198"/>
      <c r="U51" s="198"/>
    </row>
    <row r="52" spans="1:21" s="12" customFormat="1" ht="15">
      <c r="A52" s="201" t="s">
        <v>1633</v>
      </c>
      <c r="B52" s="60">
        <v>1.61</v>
      </c>
      <c r="C52" s="60">
        <v>21.28</v>
      </c>
      <c r="D52" s="60">
        <v>22.90</v>
      </c>
      <c r="E52" s="60">
        <v>6.25</v>
      </c>
      <c r="F52" s="60">
        <v>2.81</v>
      </c>
      <c r="G52" s="60">
        <v>61.11</v>
      </c>
      <c r="H52" s="60">
        <v>22.34</v>
      </c>
      <c r="I52" s="60">
        <v>5.25</v>
      </c>
      <c r="J52" s="60">
        <v>2.31</v>
      </c>
      <c r="K52" s="60">
        <v>333.10</v>
      </c>
      <c r="L52" s="60">
        <v>49.92</v>
      </c>
      <c r="M52" s="60">
        <v>35.630000000000003</v>
      </c>
      <c r="N52" s="60">
        <v>944.20</v>
      </c>
      <c r="O52" s="60">
        <v>0</v>
      </c>
      <c r="P52" s="60">
        <v>2.27</v>
      </c>
      <c r="Q52" s="60">
        <v>24.41</v>
      </c>
      <c r="R52" s="198"/>
      <c r="S52" s="198"/>
      <c r="T52" s="198"/>
      <c r="U52" s="198"/>
    </row>
    <row r="53" spans="1:21" s="12" customFormat="1" ht="15">
      <c r="A53" s="201" t="s">
        <v>1634</v>
      </c>
      <c r="B53" s="60">
        <v>1.66</v>
      </c>
      <c r="C53" s="60">
        <v>23.19</v>
      </c>
      <c r="D53" s="60">
        <v>24.85</v>
      </c>
      <c r="E53" s="60">
        <v>6.69</v>
      </c>
      <c r="F53" s="60">
        <v>3.30</v>
      </c>
      <c r="G53" s="60">
        <v>61.89</v>
      </c>
      <c r="H53" s="60">
        <v>21.42</v>
      </c>
      <c r="I53" s="60">
        <v>5.36</v>
      </c>
      <c r="J53" s="60">
        <v>2.15</v>
      </c>
      <c r="K53" s="60">
        <v>323.37</v>
      </c>
      <c r="L53" s="60">
        <v>50.53</v>
      </c>
      <c r="M53" s="60">
        <v>35.19</v>
      </c>
      <c r="N53" s="60">
        <v>976.20</v>
      </c>
      <c r="O53" s="60">
        <v>0</v>
      </c>
      <c r="P53" s="60">
        <v>2.29</v>
      </c>
      <c r="Q53" s="60">
        <v>25.64</v>
      </c>
      <c r="R53" s="198"/>
      <c r="S53" s="198"/>
      <c r="T53" s="198"/>
      <c r="U53" s="198"/>
    </row>
    <row r="54" spans="1:21" s="12" customFormat="1" ht="15">
      <c r="A54" s="201" t="s">
        <v>1635</v>
      </c>
      <c r="B54" s="60">
        <v>1.40</v>
      </c>
      <c r="C54" s="60">
        <v>22.95</v>
      </c>
      <c r="D54" s="60">
        <v>24.35</v>
      </c>
      <c r="E54" s="60">
        <v>6.30</v>
      </c>
      <c r="F54" s="60">
        <v>4.01</v>
      </c>
      <c r="G54" s="60">
        <v>61.89</v>
      </c>
      <c r="H54" s="60">
        <v>21.42</v>
      </c>
      <c r="I54" s="60">
        <v>5.38</v>
      </c>
      <c r="J54" s="60">
        <v>1.01</v>
      </c>
      <c r="K54" s="60">
        <v>342.57</v>
      </c>
      <c r="L54" s="60">
        <v>49.96</v>
      </c>
      <c r="M54" s="60">
        <v>34.32</v>
      </c>
      <c r="N54" s="60">
        <v>956</v>
      </c>
      <c r="O54" s="60">
        <v>0</v>
      </c>
      <c r="P54" s="60">
        <v>2.29</v>
      </c>
      <c r="Q54" s="60">
        <v>28.56</v>
      </c>
      <c r="R54" s="198"/>
      <c r="S54" s="198"/>
      <c r="T54" s="198"/>
      <c r="U54" s="198"/>
    </row>
    <row r="55" spans="1:21" s="12" customFormat="1" ht="15">
      <c r="A55" s="201" t="s">
        <v>1636</v>
      </c>
      <c r="B55" s="60">
        <v>1.1299999999999999</v>
      </c>
      <c r="C55" s="60">
        <v>22.19</v>
      </c>
      <c r="D55" s="60">
        <v>23.32</v>
      </c>
      <c r="E55" s="60">
        <v>5.79</v>
      </c>
      <c r="F55" s="60">
        <v>4.1399999999999997</v>
      </c>
      <c r="G55" s="60">
        <v>61.89</v>
      </c>
      <c r="H55" s="60">
        <v>21.42</v>
      </c>
      <c r="I55" s="60">
        <v>5.36</v>
      </c>
      <c r="J55" s="60">
        <v>1.70</v>
      </c>
      <c r="K55" s="60">
        <v>336.10</v>
      </c>
      <c r="L55" s="60">
        <v>49.22</v>
      </c>
      <c r="M55" s="60">
        <v>35.659999999999997</v>
      </c>
      <c r="N55" s="60">
        <v>708.70</v>
      </c>
      <c r="O55" s="60">
        <v>0</v>
      </c>
      <c r="P55" s="60">
        <v>2.2799999999999998</v>
      </c>
      <c r="Q55" s="60">
        <v>30.97</v>
      </c>
      <c r="R55" s="198"/>
      <c r="S55" s="198"/>
      <c r="T55" s="198"/>
      <c r="U55" s="198"/>
    </row>
    <row r="56" spans="1:21" s="12" customFormat="1" ht="15">
      <c r="A56" s="201" t="s">
        <v>1637</v>
      </c>
      <c r="B56" s="60">
        <v>1.1000000000000001</v>
      </c>
      <c r="C56" s="60">
        <v>23.82</v>
      </c>
      <c r="D56" s="60">
        <v>24.92</v>
      </c>
      <c r="E56" s="60">
        <v>3.23</v>
      </c>
      <c r="F56" s="60">
        <v>4.1100000000000003</v>
      </c>
      <c r="G56" s="60">
        <v>61.76</v>
      </c>
      <c r="H56" s="60">
        <v>20.94</v>
      </c>
      <c r="I56" s="60">
        <v>5.17</v>
      </c>
      <c r="J56" s="60">
        <v>1.22</v>
      </c>
      <c r="K56" s="60">
        <v>322.14</v>
      </c>
      <c r="L56" s="60">
        <v>49.69</v>
      </c>
      <c r="M56" s="60">
        <v>35.51</v>
      </c>
      <c r="N56" s="60">
        <v>910.5</v>
      </c>
      <c r="O56" s="60">
        <v>0</v>
      </c>
      <c r="P56" s="60">
        <v>2.29</v>
      </c>
      <c r="Q56" s="60">
        <v>30.30</v>
      </c>
      <c r="R56" s="198"/>
      <c r="S56" s="198"/>
      <c r="T56" s="198"/>
      <c r="U56" s="198"/>
    </row>
    <row r="57" spans="1:21" s="12" customFormat="1" ht="15">
      <c r="A57" s="201" t="s">
        <v>1638</v>
      </c>
      <c r="B57" s="60">
        <v>0.80</v>
      </c>
      <c r="C57" s="60">
        <v>21.72</v>
      </c>
      <c r="D57" s="60">
        <v>22.52</v>
      </c>
      <c r="E57" s="60">
        <v>6.43</v>
      </c>
      <c r="F57" s="60">
        <v>4.74</v>
      </c>
      <c r="G57" s="60">
        <v>61.69</v>
      </c>
      <c r="H57" s="60">
        <v>20.58</v>
      </c>
      <c r="I57" s="60">
        <v>5.0599999999999996</v>
      </c>
      <c r="J57" s="60">
        <v>0.84</v>
      </c>
      <c r="K57" s="60">
        <v>346.57</v>
      </c>
      <c r="L57" s="60">
        <v>49.19</v>
      </c>
      <c r="M57" s="60">
        <v>35.31</v>
      </c>
      <c r="N57" s="60">
        <v>845.40</v>
      </c>
      <c r="O57" s="60">
        <v>0</v>
      </c>
      <c r="P57" s="60">
        <v>2.2599999999999998</v>
      </c>
      <c r="Q57" s="60">
        <v>29.16</v>
      </c>
      <c r="R57" s="198"/>
      <c r="S57" s="198"/>
      <c r="T57" s="198"/>
      <c r="U57" s="198"/>
    </row>
    <row r="58" spans="1:21" s="12" customFormat="1" ht="15">
      <c r="A58" s="201" t="s">
        <v>1639</v>
      </c>
      <c r="B58" s="60">
        <v>0.59</v>
      </c>
      <c r="C58" s="60">
        <v>21.55</v>
      </c>
      <c r="D58" s="60">
        <v>22.14</v>
      </c>
      <c r="E58" s="60">
        <v>6.12</v>
      </c>
      <c r="F58" s="60">
        <v>4.7699999999999996</v>
      </c>
      <c r="G58" s="60">
        <v>61.69</v>
      </c>
      <c r="H58" s="60">
        <v>20.58</v>
      </c>
      <c r="I58" s="60">
        <v>5</v>
      </c>
      <c r="J58" s="60">
        <v>1</v>
      </c>
      <c r="K58" s="60">
        <v>307.08999999999997</v>
      </c>
      <c r="L58" s="60">
        <v>49.01</v>
      </c>
      <c r="M58" s="60">
        <v>35.68</v>
      </c>
      <c r="N58" s="60">
        <v>753.70</v>
      </c>
      <c r="O58" s="60">
        <v>0</v>
      </c>
      <c r="P58" s="60">
        <v>2.2400000000000002</v>
      </c>
      <c r="Q58" s="60">
        <v>28.39</v>
      </c>
      <c r="R58" s="198"/>
      <c r="S58" s="198"/>
      <c r="T58" s="198"/>
      <c r="U58" s="198"/>
    </row>
    <row r="59" spans="1:21" s="12" customFormat="1" ht="15">
      <c r="A59" s="201" t="s">
        <v>1640</v>
      </c>
      <c r="B59" s="60">
        <v>0.71</v>
      </c>
      <c r="C59" s="60">
        <v>21.38</v>
      </c>
      <c r="D59" s="60">
        <v>22.09</v>
      </c>
      <c r="E59" s="60">
        <v>6.45</v>
      </c>
      <c r="F59" s="60">
        <v>4.4400000000000004</v>
      </c>
      <c r="G59" s="60">
        <v>61.69</v>
      </c>
      <c r="H59" s="60">
        <v>20.58</v>
      </c>
      <c r="I59" s="60">
        <v>4.8499999999999996</v>
      </c>
      <c r="J59" s="60">
        <v>1.36</v>
      </c>
      <c r="K59" s="60">
        <v>328.59</v>
      </c>
      <c r="L59" s="60">
        <v>48.60</v>
      </c>
      <c r="M59" s="60">
        <v>36.71</v>
      </c>
      <c r="N59" s="60">
        <v>215.70</v>
      </c>
      <c r="O59" s="60">
        <v>0</v>
      </c>
      <c r="P59" s="60">
        <v>2.2200000000000002</v>
      </c>
      <c r="Q59" s="60">
        <v>27.91</v>
      </c>
      <c r="R59" s="198"/>
      <c r="S59" s="198"/>
      <c r="T59" s="198"/>
      <c r="U59" s="198"/>
    </row>
    <row r="60" spans="1:21" s="12" customFormat="1" ht="15">
      <c r="A60" s="201" t="s">
        <v>1641</v>
      </c>
      <c r="B60" s="60">
        <v>0.77</v>
      </c>
      <c r="C60" s="60">
        <v>20.90</v>
      </c>
      <c r="D60" s="60">
        <v>21.67</v>
      </c>
      <c r="E60" s="60">
        <v>6.35</v>
      </c>
      <c r="F60" s="60">
        <v>4.1399999999999997</v>
      </c>
      <c r="G60" s="60">
        <v>58.96</v>
      </c>
      <c r="H60" s="60">
        <v>18.11</v>
      </c>
      <c r="I60" s="60">
        <v>4.70</v>
      </c>
      <c r="J60" s="60">
        <v>1.1399999999999999</v>
      </c>
      <c r="K60" s="60">
        <v>8.64</v>
      </c>
      <c r="L60" s="60">
        <v>47.68</v>
      </c>
      <c r="M60" s="60">
        <v>38.06</v>
      </c>
      <c r="N60" s="60">
        <v>225.10</v>
      </c>
      <c r="O60" s="60">
        <v>0</v>
      </c>
      <c r="P60" s="60">
        <v>2.23</v>
      </c>
      <c r="Q60" s="60">
        <v>29.01</v>
      </c>
      <c r="R60" s="198"/>
      <c r="S60" s="198"/>
      <c r="T60" s="198"/>
      <c r="U60" s="198"/>
    </row>
    <row r="61" spans="1:21" s="12" customFormat="1" ht="15">
      <c r="A61" s="201" t="s">
        <v>1642</v>
      </c>
      <c r="B61" s="60">
        <v>0.69</v>
      </c>
      <c r="C61" s="60">
        <v>23.38</v>
      </c>
      <c r="D61" s="60">
        <v>24.08</v>
      </c>
      <c r="E61" s="60">
        <v>6.18</v>
      </c>
      <c r="F61" s="60">
        <v>4.24</v>
      </c>
      <c r="G61" s="60">
        <v>58.16</v>
      </c>
      <c r="H61" s="60">
        <v>16.309999999999999</v>
      </c>
      <c r="I61" s="60">
        <v>4.5999999999999996</v>
      </c>
      <c r="J61" s="60">
        <v>1.19</v>
      </c>
      <c r="K61" s="60">
        <v>311.13</v>
      </c>
      <c r="L61" s="60">
        <v>46.21</v>
      </c>
      <c r="M61" s="60">
        <v>40.29</v>
      </c>
      <c r="N61" s="60">
        <v>193.30</v>
      </c>
      <c r="O61" s="60">
        <v>0</v>
      </c>
      <c r="P61" s="60">
        <v>2.2400000000000002</v>
      </c>
      <c r="Q61" s="60">
        <v>28.20</v>
      </c>
      <c r="R61" s="198"/>
      <c r="S61" s="198"/>
      <c r="T61" s="198"/>
      <c r="U61" s="198"/>
    </row>
    <row r="62" spans="1:21" s="12" customFormat="1" ht="15">
      <c r="A62" s="201" t="s">
        <v>1643</v>
      </c>
      <c r="B62" s="60">
        <v>0.62</v>
      </c>
      <c r="C62" s="60">
        <v>22.34</v>
      </c>
      <c r="D62" s="60">
        <v>22.97</v>
      </c>
      <c r="E62" s="60">
        <v>6.10</v>
      </c>
      <c r="F62" s="60">
        <v>4.4000000000000004</v>
      </c>
      <c r="G62" s="60">
        <v>58.16</v>
      </c>
      <c r="H62" s="60">
        <v>16.309999999999999</v>
      </c>
      <c r="I62" s="60">
        <v>4.59</v>
      </c>
      <c r="J62" s="60">
        <v>1.59</v>
      </c>
      <c r="K62" s="60">
        <v>17.37</v>
      </c>
      <c r="L62" s="60">
        <v>46.56</v>
      </c>
      <c r="M62" s="60">
        <v>39.39</v>
      </c>
      <c r="N62" s="60">
        <v>201.5</v>
      </c>
      <c r="O62" s="60">
        <v>0</v>
      </c>
      <c r="P62" s="60">
        <v>2.25</v>
      </c>
      <c r="Q62" s="60">
        <v>28.31</v>
      </c>
      <c r="R62" s="198"/>
      <c r="S62" s="198"/>
      <c r="T62" s="198"/>
      <c r="U62" s="198"/>
    </row>
    <row r="63" spans="1:21" s="12" customFormat="1" ht="15">
      <c r="A63" s="201" t="s">
        <v>1644</v>
      </c>
      <c r="B63" s="60">
        <v>0.82</v>
      </c>
      <c r="C63" s="60">
        <v>24.22</v>
      </c>
      <c r="D63" s="60">
        <v>25.04</v>
      </c>
      <c r="E63" s="60">
        <v>6.13</v>
      </c>
      <c r="F63" s="60">
        <v>3.28</v>
      </c>
      <c r="G63" s="60">
        <v>58.16</v>
      </c>
      <c r="H63" s="60">
        <v>16.309999999999999</v>
      </c>
      <c r="I63" s="60">
        <v>4.62</v>
      </c>
      <c r="J63" s="60">
        <v>0.95</v>
      </c>
      <c r="K63" s="60">
        <v>303.99</v>
      </c>
      <c r="L63" s="60">
        <v>46.67</v>
      </c>
      <c r="M63" s="60">
        <v>38.700000000000003</v>
      </c>
      <c r="N63" s="60">
        <v>181.80</v>
      </c>
      <c r="O63" s="60">
        <v>0</v>
      </c>
      <c r="P63" s="60">
        <v>2.27</v>
      </c>
      <c r="Q63" s="60">
        <v>27.66</v>
      </c>
      <c r="R63" s="198"/>
      <c r="S63" s="198"/>
      <c r="T63" s="198"/>
      <c r="U63" s="198"/>
    </row>
    <row r="64" spans="1:21" s="12" customFormat="1" ht="15">
      <c r="A64" s="201" t="s">
        <v>1645</v>
      </c>
      <c r="B64" s="60">
        <v>0.95</v>
      </c>
      <c r="C64" s="60">
        <v>22.70</v>
      </c>
      <c r="D64" s="60">
        <v>23.65</v>
      </c>
      <c r="E64" s="60">
        <v>5.99</v>
      </c>
      <c r="F64" s="60">
        <v>3.12</v>
      </c>
      <c r="G64" s="60">
        <v>55.75</v>
      </c>
      <c r="H64" s="60">
        <v>17.559999999999999</v>
      </c>
      <c r="I64" s="60">
        <v>4.7300000000000004</v>
      </c>
      <c r="J64" s="60">
        <v>0.51</v>
      </c>
      <c r="K64" s="60">
        <v>89.55</v>
      </c>
      <c r="L64" s="60">
        <v>46.23</v>
      </c>
      <c r="M64" s="60">
        <v>39.69</v>
      </c>
      <c r="N64" s="60">
        <v>143.40</v>
      </c>
      <c r="O64" s="60">
        <v>0</v>
      </c>
      <c r="P64" s="60">
        <v>2.29</v>
      </c>
      <c r="Q64" s="60">
        <v>24.75</v>
      </c>
      <c r="R64" s="198"/>
      <c r="S64" s="198"/>
      <c r="T64" s="198"/>
      <c r="U64" s="198"/>
    </row>
    <row r="65" spans="1:21" s="12" customFormat="1" ht="15">
      <c r="A65" s="201" t="s">
        <v>1646</v>
      </c>
      <c r="B65" s="60">
        <v>1.04</v>
      </c>
      <c r="C65" s="60">
        <v>22.5</v>
      </c>
      <c r="D65" s="60">
        <v>23.54</v>
      </c>
      <c r="E65" s="60">
        <v>6.12</v>
      </c>
      <c r="F65" s="60">
        <v>2.90</v>
      </c>
      <c r="G65" s="60">
        <v>55.04</v>
      </c>
      <c r="H65" s="60">
        <v>18.47</v>
      </c>
      <c r="I65" s="60">
        <v>4.92</v>
      </c>
      <c r="J65" s="60">
        <v>1.57</v>
      </c>
      <c r="K65" s="60">
        <v>336.82</v>
      </c>
      <c r="L65" s="60">
        <v>46.07</v>
      </c>
      <c r="M65" s="60">
        <v>40.71</v>
      </c>
      <c r="N65" s="60">
        <v>100.20</v>
      </c>
      <c r="O65" s="60">
        <v>0</v>
      </c>
      <c r="P65" s="60">
        <v>2.3199999999999998</v>
      </c>
      <c r="Q65" s="60">
        <v>23.06</v>
      </c>
      <c r="R65" s="198"/>
      <c r="S65" s="198"/>
      <c r="T65" s="198"/>
      <c r="U65" s="198"/>
    </row>
    <row r="66" spans="1:21" s="12" customFormat="1" ht="15">
      <c r="A66" s="201" t="s">
        <v>1647</v>
      </c>
      <c r="B66" s="60">
        <v>1.1100000000000001</v>
      </c>
      <c r="C66" s="60">
        <v>23.51</v>
      </c>
      <c r="D66" s="60">
        <v>24.62</v>
      </c>
      <c r="E66" s="60">
        <v>6.60</v>
      </c>
      <c r="F66" s="60">
        <v>2.72</v>
      </c>
      <c r="G66" s="60">
        <v>55.04</v>
      </c>
      <c r="H66" s="60">
        <v>18.47</v>
      </c>
      <c r="I66" s="60">
        <v>5.18</v>
      </c>
      <c r="J66" s="60">
        <v>1.25</v>
      </c>
      <c r="K66" s="60">
        <v>72.459999999999994</v>
      </c>
      <c r="L66" s="60">
        <v>45.77</v>
      </c>
      <c r="M66" s="60">
        <v>40.76</v>
      </c>
      <c r="N66" s="60">
        <v>73.80</v>
      </c>
      <c r="O66" s="60">
        <v>0</v>
      </c>
      <c r="P66" s="60">
        <v>2.37</v>
      </c>
      <c r="Q66" s="60">
        <v>22.21</v>
      </c>
      <c r="R66" s="198"/>
      <c r="S66" s="198"/>
      <c r="T66" s="198"/>
      <c r="U66" s="198"/>
    </row>
    <row r="67" spans="1:21" s="12" customFormat="1" ht="15">
      <c r="A67" s="201" t="s">
        <v>1648</v>
      </c>
      <c r="B67" s="60">
        <v>1.21</v>
      </c>
      <c r="C67" s="60">
        <v>23.67</v>
      </c>
      <c r="D67" s="60">
        <v>24.88</v>
      </c>
      <c r="E67" s="60">
        <v>7.05</v>
      </c>
      <c r="F67" s="60">
        <v>3</v>
      </c>
      <c r="G67" s="60">
        <v>55.04</v>
      </c>
      <c r="H67" s="60">
        <v>18.47</v>
      </c>
      <c r="I67" s="60">
        <v>5.62</v>
      </c>
      <c r="J67" s="60">
        <v>1.5</v>
      </c>
      <c r="K67" s="60">
        <v>350.90</v>
      </c>
      <c r="L67" s="60">
        <v>45.16</v>
      </c>
      <c r="M67" s="60">
        <v>44.08</v>
      </c>
      <c r="N67" s="60">
        <v>49.10</v>
      </c>
      <c r="O67" s="60">
        <v>0</v>
      </c>
      <c r="P67" s="60">
        <v>2.40</v>
      </c>
      <c r="Q67" s="60">
        <v>22.35</v>
      </c>
      <c r="R67" s="198"/>
      <c r="S67" s="198"/>
      <c r="T67" s="198"/>
      <c r="U67" s="198"/>
    </row>
    <row r="68" spans="1:21" s="12" customFormat="1" ht="15">
      <c r="A68" s="201" t="s">
        <v>1649</v>
      </c>
      <c r="B68" s="60">
        <v>1.49</v>
      </c>
      <c r="C68" s="60">
        <v>24.40</v>
      </c>
      <c r="D68" s="60">
        <v>25.89</v>
      </c>
      <c r="E68" s="60">
        <v>7.17</v>
      </c>
      <c r="F68" s="60">
        <v>2.52</v>
      </c>
      <c r="G68" s="60">
        <v>60.81</v>
      </c>
      <c r="H68" s="60">
        <v>19.34</v>
      </c>
      <c r="I68" s="60">
        <v>6.11</v>
      </c>
      <c r="J68" s="60">
        <v>2.4900000000000002</v>
      </c>
      <c r="K68" s="60">
        <v>331.37</v>
      </c>
      <c r="L68" s="60">
        <v>44.72</v>
      </c>
      <c r="M68" s="60">
        <v>44.31</v>
      </c>
      <c r="N68" s="60">
        <v>35.60</v>
      </c>
      <c r="O68" s="60">
        <v>0</v>
      </c>
      <c r="P68" s="60">
        <v>2.4300000000000002</v>
      </c>
      <c r="Q68" s="60">
        <v>22.44</v>
      </c>
      <c r="R68" s="198"/>
      <c r="S68" s="198"/>
      <c r="T68" s="198"/>
      <c r="U68" s="198"/>
    </row>
    <row r="69" spans="1:21" s="12" customFormat="1" ht="15">
      <c r="A69" s="201" t="s">
        <v>1650</v>
      </c>
      <c r="B69" s="60">
        <v>2.02</v>
      </c>
      <c r="C69" s="60">
        <v>24.47</v>
      </c>
      <c r="D69" s="60">
        <v>26.49</v>
      </c>
      <c r="E69" s="60">
        <v>6.97</v>
      </c>
      <c r="F69" s="60">
        <v>2.04</v>
      </c>
      <c r="G69" s="60">
        <v>62.5</v>
      </c>
      <c r="H69" s="60">
        <v>19.97</v>
      </c>
      <c r="I69" s="60">
        <v>6.59</v>
      </c>
      <c r="J69" s="60">
        <v>3.24</v>
      </c>
      <c r="K69" s="60">
        <v>77.180000000000007</v>
      </c>
      <c r="L69" s="60">
        <v>42.42</v>
      </c>
      <c r="M69" s="60">
        <v>47.53</v>
      </c>
      <c r="N69" s="60">
        <v>27.5</v>
      </c>
      <c r="O69" s="60">
        <v>0</v>
      </c>
      <c r="P69" s="60">
        <v>2.4300000000000002</v>
      </c>
      <c r="Q69" s="60">
        <v>22.46</v>
      </c>
      <c r="R69" s="198"/>
      <c r="S69" s="198"/>
      <c r="T69" s="198"/>
      <c r="U69" s="198"/>
    </row>
    <row r="70" spans="1:21" s="12" customFormat="1" ht="15">
      <c r="A70" s="201" t="s">
        <v>1651</v>
      </c>
      <c r="B70" s="60">
        <v>2.04</v>
      </c>
      <c r="C70" s="60">
        <v>24.36</v>
      </c>
      <c r="D70" s="60">
        <v>26.40</v>
      </c>
      <c r="E70" s="60">
        <v>7.05</v>
      </c>
      <c r="F70" s="60">
        <v>1.98</v>
      </c>
      <c r="G70" s="60">
        <v>62.5</v>
      </c>
      <c r="H70" s="60">
        <v>19.97</v>
      </c>
      <c r="I70" s="60">
        <v>6.80</v>
      </c>
      <c r="J70" s="60">
        <v>4.26</v>
      </c>
      <c r="K70" s="60">
        <v>90.93</v>
      </c>
      <c r="L70" s="60">
        <v>41.32</v>
      </c>
      <c r="M70" s="60">
        <v>49.49</v>
      </c>
      <c r="N70" s="60">
        <v>16.399999999999999</v>
      </c>
      <c r="O70" s="60">
        <v>0</v>
      </c>
      <c r="P70" s="60">
        <v>2.41</v>
      </c>
      <c r="Q70" s="60">
        <v>22.67</v>
      </c>
      <c r="R70" s="198"/>
      <c r="S70" s="198"/>
      <c r="T70" s="198"/>
      <c r="U70" s="198"/>
    </row>
    <row r="71" spans="1:21" s="12" customFormat="1" ht="15">
      <c r="A71" s="201" t="s">
        <v>1652</v>
      </c>
      <c r="B71" s="60">
        <v>1.49</v>
      </c>
      <c r="C71" s="60">
        <v>23.49</v>
      </c>
      <c r="D71" s="60">
        <v>24.98</v>
      </c>
      <c r="E71" s="60">
        <v>7.39</v>
      </c>
      <c r="F71" s="60">
        <v>2.3199999999999998</v>
      </c>
      <c r="G71" s="60">
        <v>62.5</v>
      </c>
      <c r="H71" s="60">
        <v>19.97</v>
      </c>
      <c r="I71" s="60">
        <v>6.76</v>
      </c>
      <c r="J71" s="60">
        <v>3.13</v>
      </c>
      <c r="K71" s="60">
        <v>91.86</v>
      </c>
      <c r="L71" s="60">
        <v>41.01</v>
      </c>
      <c r="M71" s="60">
        <v>51.38</v>
      </c>
      <c r="N71" s="60">
        <v>10.70</v>
      </c>
      <c r="O71" s="60">
        <v>0</v>
      </c>
      <c r="P71" s="60">
        <v>2.36</v>
      </c>
      <c r="Q71" s="60">
        <v>23.98</v>
      </c>
      <c r="R71" s="198"/>
      <c r="S71" s="198"/>
      <c r="T71" s="198"/>
      <c r="U71" s="198"/>
    </row>
    <row r="72" spans="1:21" s="12" customFormat="1" ht="15">
      <c r="A72" s="201" t="s">
        <v>1653</v>
      </c>
      <c r="B72" s="60">
        <v>1.08</v>
      </c>
      <c r="C72" s="60">
        <v>22.78</v>
      </c>
      <c r="D72" s="60">
        <v>23.86</v>
      </c>
      <c r="E72" s="60">
        <v>2.69</v>
      </c>
      <c r="F72" s="60">
        <v>2.08</v>
      </c>
      <c r="G72" s="60">
        <v>70.599999999999994</v>
      </c>
      <c r="H72" s="60">
        <v>21.70</v>
      </c>
      <c r="I72" s="60">
        <v>6.70</v>
      </c>
      <c r="J72" s="60">
        <v>4.21</v>
      </c>
      <c r="K72" s="60">
        <v>97.5</v>
      </c>
      <c r="L72" s="60">
        <v>40.83</v>
      </c>
      <c r="M72" s="60">
        <v>52.21</v>
      </c>
      <c r="N72" s="60">
        <v>10.10</v>
      </c>
      <c r="O72" s="60">
        <v>0</v>
      </c>
      <c r="P72" s="60">
        <v>2.33</v>
      </c>
      <c r="Q72" s="60">
        <v>27.54</v>
      </c>
      <c r="R72" s="198"/>
      <c r="S72" s="198"/>
      <c r="T72" s="198"/>
      <c r="U72" s="198"/>
    </row>
    <row r="73" spans="1:21" s="12" customFormat="1" ht="15">
      <c r="A73" s="201" t="s">
        <v>1654</v>
      </c>
      <c r="B73" s="60">
        <v>0.73</v>
      </c>
      <c r="C73" s="60">
        <v>21.23</v>
      </c>
      <c r="D73" s="60">
        <v>21.95</v>
      </c>
      <c r="E73" s="60">
        <v>5.86</v>
      </c>
      <c r="F73" s="60">
        <v>2.5499999999999998</v>
      </c>
      <c r="G73" s="60">
        <v>72.98</v>
      </c>
      <c r="H73" s="60">
        <v>22.97</v>
      </c>
      <c r="I73" s="60">
        <v>6.40</v>
      </c>
      <c r="J73" s="60">
        <v>2.67</v>
      </c>
      <c r="K73" s="60">
        <v>90.72</v>
      </c>
      <c r="L73" s="60">
        <v>40.71</v>
      </c>
      <c r="M73" s="60">
        <v>52.20</v>
      </c>
      <c r="N73" s="60">
        <v>17.399999999999999</v>
      </c>
      <c r="O73" s="60">
        <v>0</v>
      </c>
      <c r="P73" s="60">
        <v>2.2799999999999998</v>
      </c>
      <c r="Q73" s="60">
        <v>28.44</v>
      </c>
      <c r="R73" s="198"/>
      <c r="S73" s="198"/>
      <c r="T73" s="198"/>
      <c r="U73" s="198"/>
    </row>
    <row r="74" spans="1:21" s="12" customFormat="1" ht="15">
      <c r="A74" s="201" t="s">
        <v>1655</v>
      </c>
      <c r="B74" s="60">
        <v>0.60</v>
      </c>
      <c r="C74" s="60">
        <v>20.68</v>
      </c>
      <c r="D74" s="60">
        <v>21.28</v>
      </c>
      <c r="E74" s="60">
        <v>6.06</v>
      </c>
      <c r="F74" s="60">
        <v>2.5499999999999998</v>
      </c>
      <c r="G74" s="60">
        <v>72.98</v>
      </c>
      <c r="H74" s="60">
        <v>22.97</v>
      </c>
      <c r="I74" s="60">
        <v>6.12</v>
      </c>
      <c r="J74" s="60">
        <v>3.59</v>
      </c>
      <c r="K74" s="60">
        <v>92.12</v>
      </c>
      <c r="L74" s="60">
        <v>40.799999999999997</v>
      </c>
      <c r="M74" s="60">
        <v>51.57</v>
      </c>
      <c r="N74" s="60">
        <v>26.60</v>
      </c>
      <c r="O74" s="60">
        <v>0</v>
      </c>
      <c r="P74" s="60">
        <v>2.2400000000000002</v>
      </c>
      <c r="Q74" s="60">
        <v>28.83</v>
      </c>
      <c r="R74" s="198"/>
      <c r="S74" s="198"/>
      <c r="T74" s="198"/>
      <c r="U74" s="198"/>
    </row>
    <row r="75" spans="1:21" s="12" customFormat="1" ht="15">
      <c r="A75" s="201" t="s">
        <v>1656</v>
      </c>
      <c r="B75" s="60">
        <v>0.55000000000000004</v>
      </c>
      <c r="C75" s="60">
        <v>20.90</v>
      </c>
      <c r="D75" s="60">
        <v>21.46</v>
      </c>
      <c r="E75" s="60">
        <v>6.01</v>
      </c>
      <c r="F75" s="60">
        <v>2.25</v>
      </c>
      <c r="G75" s="60">
        <v>72.98</v>
      </c>
      <c r="H75" s="60">
        <v>22.97</v>
      </c>
      <c r="I75" s="60">
        <v>5.77</v>
      </c>
      <c r="J75" s="60">
        <v>2.74</v>
      </c>
      <c r="K75" s="60">
        <v>130.36000000000001</v>
      </c>
      <c r="L75" s="60">
        <v>40.619999999999997</v>
      </c>
      <c r="M75" s="60">
        <v>52.34</v>
      </c>
      <c r="N75" s="60">
        <v>30.30</v>
      </c>
      <c r="O75" s="60">
        <v>0</v>
      </c>
      <c r="P75" s="60">
        <v>2.21</v>
      </c>
      <c r="Q75" s="60">
        <v>28.88</v>
      </c>
      <c r="R75" s="198"/>
      <c r="S75" s="198"/>
      <c r="T75" s="198"/>
      <c r="U75" s="198"/>
    </row>
    <row r="76" spans="1:21" s="12" customFormat="1" ht="15">
      <c r="A76" s="201" t="s">
        <v>1657</v>
      </c>
      <c r="B76" s="60">
        <v>0.59</v>
      </c>
      <c r="C76" s="60">
        <v>21.25</v>
      </c>
      <c r="D76" s="60">
        <v>21.85</v>
      </c>
      <c r="E76" s="60">
        <v>5.78</v>
      </c>
      <c r="F76" s="60">
        <v>2.39</v>
      </c>
      <c r="G76" s="60">
        <v>72.06</v>
      </c>
      <c r="H76" s="60">
        <v>23.69</v>
      </c>
      <c r="I76" s="60">
        <v>5.46</v>
      </c>
      <c r="J76" s="60">
        <v>1.83</v>
      </c>
      <c r="K76" s="60">
        <v>94.58</v>
      </c>
      <c r="L76" s="60">
        <v>40.020000000000003</v>
      </c>
      <c r="M76" s="60">
        <v>53.62</v>
      </c>
      <c r="N76" s="60">
        <v>28.30</v>
      </c>
      <c r="O76" s="60">
        <v>0</v>
      </c>
      <c r="P76" s="60">
        <v>2.1800000000000002</v>
      </c>
      <c r="Q76" s="60">
        <v>27.10</v>
      </c>
      <c r="R76" s="198"/>
      <c r="S76" s="198"/>
      <c r="T76" s="198"/>
      <c r="U76" s="198"/>
    </row>
    <row r="77" spans="1:21" s="12" customFormat="1" ht="15">
      <c r="A77" s="201" t="s">
        <v>1658</v>
      </c>
      <c r="B77" s="60">
        <v>0.71</v>
      </c>
      <c r="C77" s="60">
        <v>21.43</v>
      </c>
      <c r="D77" s="60">
        <v>22.14</v>
      </c>
      <c r="E77" s="60">
        <v>5.64</v>
      </c>
      <c r="F77" s="60">
        <v>1.93</v>
      </c>
      <c r="G77" s="60">
        <v>71.790000000000006</v>
      </c>
      <c r="H77" s="60">
        <v>24.21</v>
      </c>
      <c r="I77" s="60">
        <v>5.28</v>
      </c>
      <c r="J77" s="60">
        <v>1.77</v>
      </c>
      <c r="K77" s="60">
        <v>89.20</v>
      </c>
      <c r="L77" s="60">
        <v>40.43</v>
      </c>
      <c r="M77" s="60">
        <v>52.52</v>
      </c>
      <c r="N77" s="60">
        <v>35.90</v>
      </c>
      <c r="O77" s="60">
        <v>0</v>
      </c>
      <c r="P77" s="60">
        <v>2.15</v>
      </c>
      <c r="Q77" s="60">
        <v>26.67</v>
      </c>
      <c r="R77" s="198"/>
      <c r="S77" s="198"/>
      <c r="T77" s="198"/>
      <c r="U77" s="198"/>
    </row>
    <row r="78" spans="1:21" s="12" customFormat="1" ht="15">
      <c r="A78" s="201" t="s">
        <v>1659</v>
      </c>
      <c r="B78" s="60">
        <v>0.90</v>
      </c>
      <c r="C78" s="60">
        <v>22.18</v>
      </c>
      <c r="D78" s="60">
        <v>23.08</v>
      </c>
      <c r="E78" s="60">
        <v>6.14</v>
      </c>
      <c r="F78" s="60">
        <v>1.65</v>
      </c>
      <c r="G78" s="60">
        <v>71.790000000000006</v>
      </c>
      <c r="H78" s="60">
        <v>24.21</v>
      </c>
      <c r="I78" s="60">
        <v>5.03</v>
      </c>
      <c r="J78" s="60">
        <v>2.2599999999999998</v>
      </c>
      <c r="K78" s="60">
        <v>146.74</v>
      </c>
      <c r="L78" s="60">
        <v>40.67</v>
      </c>
      <c r="M78" s="60">
        <v>53.40</v>
      </c>
      <c r="N78" s="60">
        <v>33.799999999999997</v>
      </c>
      <c r="O78" s="60">
        <v>0</v>
      </c>
      <c r="P78" s="60">
        <v>2.14</v>
      </c>
      <c r="Q78" s="60">
        <v>27.42</v>
      </c>
      <c r="R78" s="198"/>
      <c r="S78" s="198"/>
      <c r="T78" s="198"/>
      <c r="U78" s="198"/>
    </row>
    <row r="79" spans="1:21" s="12" customFormat="1" ht="15">
      <c r="A79" s="201" t="s">
        <v>1660</v>
      </c>
      <c r="B79" s="60">
        <v>0.78</v>
      </c>
      <c r="C79" s="60">
        <v>22.16</v>
      </c>
      <c r="D79" s="60">
        <v>22.94</v>
      </c>
      <c r="E79" s="60">
        <v>5.76</v>
      </c>
      <c r="F79" s="60">
        <v>2.13</v>
      </c>
      <c r="G79" s="60">
        <v>71.790000000000006</v>
      </c>
      <c r="H79" s="60">
        <v>24.21</v>
      </c>
      <c r="I79" s="60">
        <v>4.83</v>
      </c>
      <c r="J79" s="60">
        <v>3.46</v>
      </c>
      <c r="K79" s="60">
        <v>164.58</v>
      </c>
      <c r="L79" s="60">
        <v>40.72</v>
      </c>
      <c r="M79" s="60">
        <v>52.96</v>
      </c>
      <c r="N79" s="60">
        <v>16.20</v>
      </c>
      <c r="O79" s="60">
        <v>0</v>
      </c>
      <c r="P79" s="60">
        <v>2.12</v>
      </c>
      <c r="Q79" s="60">
        <v>26.40</v>
      </c>
      <c r="R79" s="198"/>
      <c r="S79" s="198"/>
      <c r="T79" s="198"/>
      <c r="U79" s="198"/>
    </row>
    <row r="80" spans="1:21" s="12" customFormat="1" ht="15">
      <c r="A80" s="201" t="s">
        <v>1661</v>
      </c>
      <c r="B80" s="60">
        <v>0.61</v>
      </c>
      <c r="C80" s="60">
        <v>22.24</v>
      </c>
      <c r="D80" s="60">
        <v>22.85</v>
      </c>
      <c r="E80" s="60">
        <v>5.87</v>
      </c>
      <c r="F80" s="60">
        <v>2.61</v>
      </c>
      <c r="G80" s="60">
        <v>73.78</v>
      </c>
      <c r="H80" s="60">
        <v>22.62</v>
      </c>
      <c r="I80" s="60">
        <v>4.72</v>
      </c>
      <c r="J80" s="60">
        <v>3.86</v>
      </c>
      <c r="K80" s="60">
        <v>169.07</v>
      </c>
      <c r="L80" s="60">
        <v>40.57</v>
      </c>
      <c r="M80" s="60">
        <v>51.91</v>
      </c>
      <c r="N80" s="60">
        <v>11.80</v>
      </c>
      <c r="O80" s="60">
        <v>0</v>
      </c>
      <c r="P80" s="60">
        <v>2.11</v>
      </c>
      <c r="Q80" s="60">
        <v>25.87</v>
      </c>
      <c r="R80" s="198"/>
      <c r="S80" s="198"/>
      <c r="T80" s="198"/>
      <c r="U80" s="198"/>
    </row>
    <row r="81" spans="1:21" s="12" customFormat="1" ht="15">
      <c r="A81" s="201" t="s">
        <v>1662</v>
      </c>
      <c r="B81" s="60">
        <v>0.44</v>
      </c>
      <c r="C81" s="60">
        <v>21.35</v>
      </c>
      <c r="D81" s="60">
        <v>21.79</v>
      </c>
      <c r="E81" s="60">
        <v>5.36</v>
      </c>
      <c r="F81" s="60">
        <v>3.76</v>
      </c>
      <c r="G81" s="60">
        <v>74.84</v>
      </c>
      <c r="H81" s="60">
        <v>21.45</v>
      </c>
      <c r="I81" s="60">
        <v>4.55</v>
      </c>
      <c r="J81" s="60">
        <v>4.92</v>
      </c>
      <c r="K81" s="60">
        <v>162.88</v>
      </c>
      <c r="L81" s="60">
        <v>38.49</v>
      </c>
      <c r="M81" s="60">
        <v>56.83</v>
      </c>
      <c r="N81" s="60">
        <v>0.10</v>
      </c>
      <c r="O81" s="60">
        <v>0</v>
      </c>
      <c r="P81" s="60">
        <v>2.0699999999999998</v>
      </c>
      <c r="Q81" s="60">
        <v>24.41</v>
      </c>
      <c r="R81" s="198"/>
      <c r="S81" s="198"/>
      <c r="T81" s="198"/>
      <c r="U81" s="198"/>
    </row>
    <row r="82" spans="1:21" s="12" customFormat="1" ht="15">
      <c r="A82" s="201" t="s">
        <v>1663</v>
      </c>
      <c r="B82" s="60">
        <v>0.32</v>
      </c>
      <c r="C82" s="60">
        <v>20.79</v>
      </c>
      <c r="D82" s="60">
        <v>21.11</v>
      </c>
      <c r="E82" s="60">
        <v>5.30</v>
      </c>
      <c r="F82" s="60">
        <v>3.51</v>
      </c>
      <c r="G82" s="60">
        <v>74.84</v>
      </c>
      <c r="H82" s="60">
        <v>21.45</v>
      </c>
      <c r="I82" s="60">
        <v>4.38</v>
      </c>
      <c r="J82" s="60">
        <v>3.61</v>
      </c>
      <c r="K82" s="60">
        <v>179.61</v>
      </c>
      <c r="L82" s="60">
        <v>37.86</v>
      </c>
      <c r="M82" s="60">
        <v>59.88</v>
      </c>
      <c r="N82" s="9" t="s">
        <v>36</v>
      </c>
      <c r="O82" s="60">
        <v>0</v>
      </c>
      <c r="P82" s="60">
        <v>2.04</v>
      </c>
      <c r="Q82" s="60">
        <v>22.78</v>
      </c>
      <c r="R82" s="198"/>
      <c r="S82" s="198"/>
      <c r="T82" s="198"/>
      <c r="U82" s="198"/>
    </row>
    <row r="83" spans="1:21" s="12" customFormat="1" ht="15">
      <c r="A83" s="201" t="s">
        <v>1664</v>
      </c>
      <c r="B83" s="60">
        <v>0.28999999999999998</v>
      </c>
      <c r="C83" s="60">
        <v>19.760000000000002</v>
      </c>
      <c r="D83" s="60">
        <v>20.04</v>
      </c>
      <c r="E83" s="60">
        <v>5.52</v>
      </c>
      <c r="F83" s="60">
        <v>3.13</v>
      </c>
      <c r="G83" s="60">
        <v>74.84</v>
      </c>
      <c r="H83" s="60">
        <v>21.45</v>
      </c>
      <c r="I83" s="60">
        <v>4.1500000000000004</v>
      </c>
      <c r="J83" s="60">
        <v>3.51</v>
      </c>
      <c r="K83" s="60">
        <v>178.92</v>
      </c>
      <c r="L83" s="60">
        <v>37.76</v>
      </c>
      <c r="M83" s="60">
        <v>60.53</v>
      </c>
      <c r="N83" s="9" t="s">
        <v>36</v>
      </c>
      <c r="O83" s="60">
        <v>0</v>
      </c>
      <c r="P83" s="60">
        <v>2.04</v>
      </c>
      <c r="Q83" s="60">
        <v>21.97</v>
      </c>
      <c r="R83" s="198"/>
      <c r="S83" s="198"/>
      <c r="T83" s="198"/>
      <c r="U83" s="198"/>
    </row>
    <row r="84" spans="1:21" s="12" customFormat="1" ht="15">
      <c r="A84" s="201" t="s">
        <v>1665</v>
      </c>
      <c r="B84" s="60">
        <v>0.38</v>
      </c>
      <c r="C84" s="60">
        <v>18.940000000000001</v>
      </c>
      <c r="D84" s="60">
        <v>19.32</v>
      </c>
      <c r="E84" s="60">
        <v>4.7699999999999996</v>
      </c>
      <c r="F84" s="60">
        <v>2.65</v>
      </c>
      <c r="G84" s="60">
        <v>74.22</v>
      </c>
      <c r="H84" s="60">
        <v>18.75</v>
      </c>
      <c r="I84" s="60">
        <v>3.95</v>
      </c>
      <c r="J84" s="60">
        <v>1.82</v>
      </c>
      <c r="K84" s="60">
        <v>213.40</v>
      </c>
      <c r="L84" s="60">
        <v>37.340000000000003</v>
      </c>
      <c r="M84" s="60">
        <v>59.40</v>
      </c>
      <c r="N84" s="9" t="s">
        <v>36</v>
      </c>
      <c r="O84" s="60">
        <v>0</v>
      </c>
      <c r="P84" s="60">
        <v>2.02</v>
      </c>
      <c r="Q84" s="60">
        <v>22.19</v>
      </c>
      <c r="R84" s="198"/>
      <c r="S84" s="198"/>
      <c r="T84" s="198"/>
      <c r="U84" s="198"/>
    </row>
    <row r="85" spans="1:21" s="12" customFormat="1" ht="15">
      <c r="A85" s="201" t="s">
        <v>1666</v>
      </c>
      <c r="B85" s="60">
        <v>0.51</v>
      </c>
      <c r="C85" s="60">
        <v>18.850000000000001</v>
      </c>
      <c r="D85" s="60">
        <v>19.36</v>
      </c>
      <c r="E85" s="60">
        <v>5.30</v>
      </c>
      <c r="F85" s="60">
        <v>2.77</v>
      </c>
      <c r="G85" s="60">
        <v>74.040000000000006</v>
      </c>
      <c r="H85" s="60">
        <v>16.78</v>
      </c>
      <c r="I85" s="60">
        <v>3.83</v>
      </c>
      <c r="J85" s="60">
        <v>0.65</v>
      </c>
      <c r="K85" s="60">
        <v>245.30</v>
      </c>
      <c r="L85" s="60">
        <v>37</v>
      </c>
      <c r="M85" s="60">
        <v>58.36</v>
      </c>
      <c r="N85" s="9" t="s">
        <v>36</v>
      </c>
      <c r="O85" s="60">
        <v>0</v>
      </c>
      <c r="P85" s="60">
        <v>2.0299999999999998</v>
      </c>
      <c r="Q85" s="60">
        <v>22.58</v>
      </c>
      <c r="R85" s="198"/>
      <c r="S85" s="198"/>
      <c r="T85" s="198"/>
      <c r="U85" s="198"/>
    </row>
    <row r="86" spans="1:21" s="12" customFormat="1" ht="15">
      <c r="A86" s="201" t="s">
        <v>1667</v>
      </c>
      <c r="B86" s="60">
        <v>0.65</v>
      </c>
      <c r="C86" s="60">
        <v>19.20</v>
      </c>
      <c r="D86" s="60">
        <v>19.850000000000001</v>
      </c>
      <c r="E86" s="60">
        <v>5.86</v>
      </c>
      <c r="F86" s="60">
        <v>1.89</v>
      </c>
      <c r="G86" s="60">
        <v>74.040000000000006</v>
      </c>
      <c r="H86" s="60">
        <v>16.78</v>
      </c>
      <c r="I86" s="60">
        <v>3.79</v>
      </c>
      <c r="J86" s="60">
        <v>0.65</v>
      </c>
      <c r="K86" s="60">
        <v>220.77</v>
      </c>
      <c r="L86" s="60">
        <v>36.96</v>
      </c>
      <c r="M86" s="60">
        <v>59.15</v>
      </c>
      <c r="N86" s="9" t="s">
        <v>36</v>
      </c>
      <c r="O86" s="60">
        <v>0</v>
      </c>
      <c r="P86" s="60">
        <v>2.0499999999999998</v>
      </c>
      <c r="Q86" s="60">
        <v>23.23</v>
      </c>
      <c r="R86" s="198"/>
      <c r="S86" s="198"/>
      <c r="T86" s="198"/>
      <c r="U86" s="198"/>
    </row>
    <row r="87" spans="1:21" s="12" customFormat="1" ht="15">
      <c r="A87" s="201" t="s">
        <v>1668</v>
      </c>
      <c r="B87" s="60">
        <v>0.79</v>
      </c>
      <c r="C87" s="60">
        <v>19.45</v>
      </c>
      <c r="D87" s="60">
        <v>20.239999999999998</v>
      </c>
      <c r="E87" s="60">
        <v>5.40</v>
      </c>
      <c r="F87" s="60">
        <v>1.71</v>
      </c>
      <c r="G87" s="60">
        <v>74.040000000000006</v>
      </c>
      <c r="H87" s="60">
        <v>16.78</v>
      </c>
      <c r="I87" s="60">
        <v>3.75</v>
      </c>
      <c r="J87" s="60">
        <v>1.86</v>
      </c>
      <c r="K87" s="60">
        <v>200.66</v>
      </c>
      <c r="L87" s="60">
        <v>37.03</v>
      </c>
      <c r="M87" s="60">
        <v>60.36</v>
      </c>
      <c r="N87" s="9" t="s">
        <v>36</v>
      </c>
      <c r="O87" s="60">
        <v>0</v>
      </c>
      <c r="P87" s="60">
        <v>2.06</v>
      </c>
      <c r="Q87" s="60">
        <v>23.48</v>
      </c>
      <c r="R87" s="198"/>
      <c r="S87" s="198"/>
      <c r="T87" s="198"/>
      <c r="U87" s="198"/>
    </row>
    <row r="88" spans="1:21" s="12" customFormat="1" ht="15">
      <c r="A88" s="201" t="s">
        <v>1669</v>
      </c>
      <c r="B88" s="60">
        <v>0.90</v>
      </c>
      <c r="C88" s="60">
        <v>20.85</v>
      </c>
      <c r="D88" s="60">
        <v>21.75</v>
      </c>
      <c r="E88" s="60">
        <v>3.23</v>
      </c>
      <c r="F88" s="60">
        <v>1.40</v>
      </c>
      <c r="G88" s="60">
        <v>68.33</v>
      </c>
      <c r="H88" s="60">
        <v>16.420000000000002</v>
      </c>
      <c r="I88" s="60">
        <v>3.85</v>
      </c>
      <c r="J88" s="60">
        <v>2.2599999999999998</v>
      </c>
      <c r="K88" s="60">
        <v>197.42</v>
      </c>
      <c r="L88" s="60">
        <v>36.950000000000003</v>
      </c>
      <c r="M88" s="60">
        <v>63.59</v>
      </c>
      <c r="N88" s="9" t="s">
        <v>36</v>
      </c>
      <c r="O88" s="60">
        <v>0</v>
      </c>
      <c r="P88" s="60">
        <v>2.0699999999999998</v>
      </c>
      <c r="Q88" s="60">
        <v>23.62</v>
      </c>
      <c r="R88" s="198"/>
      <c r="S88" s="198"/>
      <c r="T88" s="198"/>
      <c r="U88" s="198"/>
    </row>
    <row r="89" spans="1:21" s="12" customFormat="1" ht="15">
      <c r="A89" s="201" t="s">
        <v>1670</v>
      </c>
      <c r="B89" s="60">
        <v>1.01</v>
      </c>
      <c r="C89" s="60">
        <v>21.14</v>
      </c>
      <c r="D89" s="60">
        <v>22.15</v>
      </c>
      <c r="E89" s="60">
        <v>5.32</v>
      </c>
      <c r="F89" s="60">
        <v>1.60</v>
      </c>
      <c r="G89" s="60">
        <v>66.47</v>
      </c>
      <c r="H89" s="60">
        <v>16.170000000000002</v>
      </c>
      <c r="I89" s="60">
        <v>3.92</v>
      </c>
      <c r="J89" s="60">
        <v>2.62</v>
      </c>
      <c r="K89" s="60">
        <v>180.20</v>
      </c>
      <c r="L89" s="60">
        <v>36.79</v>
      </c>
      <c r="M89" s="60">
        <v>65.599999999999994</v>
      </c>
      <c r="N89" s="9" t="s">
        <v>36</v>
      </c>
      <c r="O89" s="60">
        <v>0</v>
      </c>
      <c r="P89" s="60">
        <v>2.0499999999999998</v>
      </c>
      <c r="Q89" s="60">
        <v>25.59</v>
      </c>
      <c r="R89" s="198"/>
      <c r="S89" s="198"/>
      <c r="T89" s="198"/>
      <c r="U89" s="198"/>
    </row>
    <row r="90" spans="1:21" s="12" customFormat="1" ht="15">
      <c r="A90" s="201" t="s">
        <v>1671</v>
      </c>
      <c r="B90" s="60">
        <v>0.81</v>
      </c>
      <c r="C90" s="60">
        <v>19.54</v>
      </c>
      <c r="D90" s="60">
        <v>20.350000000000001</v>
      </c>
      <c r="E90" s="60">
        <v>5.42</v>
      </c>
      <c r="F90" s="60">
        <v>1.99</v>
      </c>
      <c r="G90" s="60">
        <v>66.47</v>
      </c>
      <c r="H90" s="60">
        <v>16.170000000000002</v>
      </c>
      <c r="I90" s="60">
        <v>3.95</v>
      </c>
      <c r="J90" s="60">
        <v>3.07</v>
      </c>
      <c r="K90" s="60">
        <v>179.40</v>
      </c>
      <c r="L90" s="60">
        <v>36.75</v>
      </c>
      <c r="M90" s="60">
        <v>67.20</v>
      </c>
      <c r="N90" s="9" t="s">
        <v>36</v>
      </c>
      <c r="O90" s="60">
        <v>0</v>
      </c>
      <c r="P90" s="60">
        <v>2.04</v>
      </c>
      <c r="Q90" s="60">
        <v>29.48</v>
      </c>
      <c r="R90" s="198"/>
      <c r="S90" s="198"/>
      <c r="T90" s="198"/>
      <c r="U90" s="198"/>
    </row>
    <row r="91" spans="1:21" s="12" customFormat="1" ht="15">
      <c r="A91" s="201" t="s">
        <v>1672</v>
      </c>
      <c r="B91" s="60">
        <v>0.61</v>
      </c>
      <c r="C91" s="60">
        <v>19</v>
      </c>
      <c r="D91" s="60">
        <v>19.61</v>
      </c>
      <c r="E91" s="60">
        <v>5.74</v>
      </c>
      <c r="F91" s="60">
        <v>2.08</v>
      </c>
      <c r="G91" s="60">
        <v>66.47</v>
      </c>
      <c r="H91" s="60">
        <v>16.170000000000002</v>
      </c>
      <c r="I91" s="60">
        <v>3.90</v>
      </c>
      <c r="J91" s="60">
        <v>2.61</v>
      </c>
      <c r="K91" s="60">
        <v>202.95</v>
      </c>
      <c r="L91" s="60">
        <v>36.47</v>
      </c>
      <c r="M91" s="60">
        <v>69.040000000000006</v>
      </c>
      <c r="N91" s="9" t="s">
        <v>36</v>
      </c>
      <c r="O91" s="60">
        <v>0</v>
      </c>
      <c r="P91" s="60">
        <v>2.0299999999999998</v>
      </c>
      <c r="Q91" s="60">
        <v>30.12</v>
      </c>
      <c r="R91" s="198"/>
      <c r="S91" s="198"/>
      <c r="T91" s="198"/>
      <c r="U91" s="198"/>
    </row>
    <row r="92" spans="1:21" s="12" customFormat="1" ht="15">
      <c r="A92" s="201" t="s">
        <v>1673</v>
      </c>
      <c r="B92" s="60">
        <v>0.47</v>
      </c>
      <c r="C92" s="60">
        <v>18.170000000000002</v>
      </c>
      <c r="D92" s="60">
        <v>18.64</v>
      </c>
      <c r="E92" s="60">
        <v>5.53</v>
      </c>
      <c r="F92" s="60">
        <v>2.16</v>
      </c>
      <c r="G92" s="60">
        <v>65.069999999999993</v>
      </c>
      <c r="H92" s="60">
        <v>19.190000000000001</v>
      </c>
      <c r="I92" s="60">
        <v>3.77</v>
      </c>
      <c r="J92" s="60">
        <v>2.19</v>
      </c>
      <c r="K92" s="60">
        <v>207.28</v>
      </c>
      <c r="L92" s="60">
        <v>35.86</v>
      </c>
      <c r="M92" s="60">
        <v>71.30</v>
      </c>
      <c r="N92" s="9" t="s">
        <v>36</v>
      </c>
      <c r="O92" s="60">
        <v>0</v>
      </c>
      <c r="P92" s="60">
        <v>2.02</v>
      </c>
      <c r="Q92" s="60">
        <v>28.32</v>
      </c>
      <c r="R92" s="198"/>
      <c r="S92" s="198"/>
      <c r="T92" s="198"/>
      <c r="U92" s="198"/>
    </row>
    <row r="93" spans="1:21" s="12" customFormat="1" ht="15">
      <c r="A93" s="201" t="s">
        <v>1674</v>
      </c>
      <c r="B93" s="60">
        <v>0.37</v>
      </c>
      <c r="C93" s="60">
        <v>16.79</v>
      </c>
      <c r="D93" s="60">
        <v>17.149999999999999</v>
      </c>
      <c r="E93" s="60">
        <v>5.31</v>
      </c>
      <c r="F93" s="60">
        <v>2.84</v>
      </c>
      <c r="G93" s="60">
        <v>64.67</v>
      </c>
      <c r="H93" s="60">
        <v>21.40</v>
      </c>
      <c r="I93" s="60">
        <v>3.69</v>
      </c>
      <c r="J93" s="60">
        <v>2.0099999999999998</v>
      </c>
      <c r="K93" s="60">
        <v>216.92</v>
      </c>
      <c r="L93" s="60">
        <v>34.90</v>
      </c>
      <c r="M93" s="60">
        <v>72.650000000000006</v>
      </c>
      <c r="N93" s="9" t="s">
        <v>36</v>
      </c>
      <c r="O93" s="60">
        <v>0</v>
      </c>
      <c r="P93" s="60">
        <v>2.0099999999999998</v>
      </c>
      <c r="Q93" s="60">
        <v>26.40</v>
      </c>
      <c r="R93" s="198"/>
      <c r="S93" s="198"/>
      <c r="T93" s="198"/>
      <c r="U93" s="198"/>
    </row>
    <row r="94" spans="1:21" s="12" customFormat="1" ht="15">
      <c r="A94" s="201" t="s">
        <v>1675</v>
      </c>
      <c r="B94" s="60">
        <v>0.28000000000000003</v>
      </c>
      <c r="C94" s="60">
        <v>15.89</v>
      </c>
      <c r="D94" s="60">
        <v>16.18</v>
      </c>
      <c r="E94" s="60">
        <v>5.29</v>
      </c>
      <c r="F94" s="60">
        <v>3.21</v>
      </c>
      <c r="G94" s="60">
        <v>64.67</v>
      </c>
      <c r="H94" s="60">
        <v>21.40</v>
      </c>
      <c r="I94" s="60">
        <v>3.59</v>
      </c>
      <c r="J94" s="60">
        <v>1.62</v>
      </c>
      <c r="K94" s="60">
        <v>213.90</v>
      </c>
      <c r="L94" s="60">
        <v>34.380000000000003</v>
      </c>
      <c r="M94" s="60">
        <v>76.16</v>
      </c>
      <c r="N94" s="9" t="s">
        <v>36</v>
      </c>
      <c r="O94" s="60">
        <v>0</v>
      </c>
      <c r="P94" s="60">
        <v>2</v>
      </c>
      <c r="Q94" s="60">
        <v>25.48</v>
      </c>
      <c r="R94" s="198"/>
      <c r="S94" s="198"/>
      <c r="T94" s="198"/>
      <c r="U94" s="198"/>
    </row>
    <row r="95" spans="1:21" s="12" customFormat="1" ht="15">
      <c r="A95" s="201" t="s">
        <v>1676</v>
      </c>
      <c r="B95" s="60">
        <v>0.33</v>
      </c>
      <c r="C95" s="60">
        <v>15.61</v>
      </c>
      <c r="D95" s="60">
        <v>15.94</v>
      </c>
      <c r="E95" s="60">
        <v>5.14</v>
      </c>
      <c r="F95" s="60">
        <v>2.96</v>
      </c>
      <c r="G95" s="60">
        <v>64.67</v>
      </c>
      <c r="H95" s="60">
        <v>21.40</v>
      </c>
      <c r="I95" s="60">
        <v>3.45</v>
      </c>
      <c r="J95" s="60">
        <v>0.34</v>
      </c>
      <c r="K95" s="60">
        <v>257.88</v>
      </c>
      <c r="L95" s="60">
        <v>34.21</v>
      </c>
      <c r="M95" s="60">
        <v>78.30</v>
      </c>
      <c r="N95" s="9" t="s">
        <v>36</v>
      </c>
      <c r="O95" s="60">
        <v>0</v>
      </c>
      <c r="P95" s="60">
        <v>2.0099999999999998</v>
      </c>
      <c r="Q95" s="60">
        <v>24.51</v>
      </c>
      <c r="R95" s="198"/>
      <c r="S95" s="198"/>
      <c r="T95" s="198"/>
      <c r="U95" s="198"/>
    </row>
    <row r="96" spans="1:26" s="12" customFormat="1" ht="15">
      <c r="A96" s="201" t="s">
        <v>1677</v>
      </c>
      <c r="B96" s="60">
        <v>0.49</v>
      </c>
      <c r="C96" s="60">
        <v>16.45</v>
      </c>
      <c r="D96" s="60">
        <v>16.95</v>
      </c>
      <c r="E96" s="60">
        <v>4.96</v>
      </c>
      <c r="F96" s="60">
        <v>2.40</v>
      </c>
      <c r="G96" s="60">
        <v>54.28</v>
      </c>
      <c r="H96" s="60">
        <v>20.55</v>
      </c>
      <c r="I96" s="60">
        <v>3.37</v>
      </c>
      <c r="J96" s="60">
        <v>0.75</v>
      </c>
      <c r="K96" s="60">
        <v>255.47</v>
      </c>
      <c r="L96" s="60">
        <v>34.07</v>
      </c>
      <c r="M96" s="60">
        <v>78.87</v>
      </c>
      <c r="N96" s="9" t="s">
        <v>36</v>
      </c>
      <c r="O96" s="60">
        <v>0</v>
      </c>
      <c r="P96" s="60">
        <v>2.0099999999999998</v>
      </c>
      <c r="Q96" s="60">
        <v>23.25</v>
      </c>
      <c r="R96" s="198"/>
      <c r="S96" s="198"/>
      <c r="T96" s="198"/>
      <c r="U96" s="198"/>
      <c r="Z96" s="109"/>
    </row>
    <row r="97" spans="1:21" s="12" customFormat="1" ht="15">
      <c r="A97" s="201" t="s">
        <v>1678</v>
      </c>
      <c r="B97" s="60">
        <v>0.54</v>
      </c>
      <c r="C97" s="60">
        <v>16.59</v>
      </c>
      <c r="D97" s="60">
        <v>17.14</v>
      </c>
      <c r="E97" s="60">
        <v>4.8099999999999996</v>
      </c>
      <c r="F97" s="60">
        <v>1.89</v>
      </c>
      <c r="G97" s="60">
        <v>51.28</v>
      </c>
      <c r="H97" s="60">
        <v>19.920000000000002</v>
      </c>
      <c r="I97" s="60">
        <v>3.36</v>
      </c>
      <c r="J97" s="60">
        <v>0.86</v>
      </c>
      <c r="K97" s="60">
        <v>228.59</v>
      </c>
      <c r="L97" s="60">
        <v>34.049999999999997</v>
      </c>
      <c r="M97" s="60">
        <v>78.20</v>
      </c>
      <c r="N97" s="9" t="s">
        <v>36</v>
      </c>
      <c r="O97" s="60">
        <v>0</v>
      </c>
      <c r="P97" s="60">
        <v>2.0299999999999998</v>
      </c>
      <c r="Q97" s="60">
        <v>22.74</v>
      </c>
      <c r="R97" s="198"/>
      <c r="S97" s="198"/>
      <c r="T97" s="198"/>
      <c r="U97" s="198"/>
    </row>
    <row r="98" spans="1:21" s="12" customFormat="1" ht="15">
      <c r="A98" s="201" t="s">
        <v>1679</v>
      </c>
      <c r="B98" s="60">
        <v>0.65</v>
      </c>
      <c r="C98" s="60">
        <v>15.90</v>
      </c>
      <c r="D98" s="60">
        <v>16.55</v>
      </c>
      <c r="E98" s="60">
        <v>5.26</v>
      </c>
      <c r="F98" s="60">
        <v>2.39</v>
      </c>
      <c r="G98" s="60">
        <v>51.28</v>
      </c>
      <c r="H98" s="60">
        <v>19.920000000000002</v>
      </c>
      <c r="I98" s="60">
        <v>3.40</v>
      </c>
      <c r="J98" s="60">
        <v>1.5</v>
      </c>
      <c r="K98" s="60">
        <v>324.29000000000002</v>
      </c>
      <c r="L98" s="60">
        <v>34.119999999999997</v>
      </c>
      <c r="M98" s="60">
        <v>78.069999999999993</v>
      </c>
      <c r="N98" s="9" t="s">
        <v>36</v>
      </c>
      <c r="O98" s="60">
        <v>0</v>
      </c>
      <c r="P98" s="60">
        <v>2.0299999999999998</v>
      </c>
      <c r="Q98" s="60">
        <v>22.94</v>
      </c>
      <c r="R98" s="198"/>
      <c r="S98" s="198"/>
      <c r="T98" s="198"/>
      <c r="U98" s="198"/>
    </row>
    <row r="99" spans="1:21" s="12" customFormat="1" ht="15">
      <c r="A99" s="201" t="s">
        <v>1680</v>
      </c>
      <c r="B99" s="60">
        <v>0.87</v>
      </c>
      <c r="C99" s="60">
        <v>15.87</v>
      </c>
      <c r="D99" s="60">
        <v>16.739999999999998</v>
      </c>
      <c r="E99" s="60">
        <v>5.54</v>
      </c>
      <c r="F99" s="60">
        <v>1.70</v>
      </c>
      <c r="G99" s="60">
        <v>51.28</v>
      </c>
      <c r="H99" s="60">
        <v>19.920000000000002</v>
      </c>
      <c r="I99" s="60">
        <v>3.45</v>
      </c>
      <c r="J99" s="60">
        <v>1.25</v>
      </c>
      <c r="K99" s="60">
        <v>208.37</v>
      </c>
      <c r="L99" s="60">
        <v>33.99</v>
      </c>
      <c r="M99" s="60">
        <v>77.58</v>
      </c>
      <c r="N99" s="9" t="s">
        <v>36</v>
      </c>
      <c r="O99" s="60">
        <v>0</v>
      </c>
      <c r="P99" s="60">
        <v>2.04</v>
      </c>
      <c r="Q99" s="60">
        <v>22.17</v>
      </c>
      <c r="R99" s="198"/>
      <c r="S99" s="198"/>
      <c r="T99" s="198"/>
      <c r="U99" s="198"/>
    </row>
    <row r="100" spans="1:33" s="12" customFormat="1" ht="15">
      <c r="A100" s="201" t="s">
        <v>1681</v>
      </c>
      <c r="B100" s="60">
        <v>0.98</v>
      </c>
      <c r="C100" s="60">
        <v>16.18</v>
      </c>
      <c r="D100" s="60">
        <v>17.16</v>
      </c>
      <c r="E100" s="60">
        <v>5.65</v>
      </c>
      <c r="F100" s="60">
        <v>1.07</v>
      </c>
      <c r="G100" s="60">
        <v>45.35</v>
      </c>
      <c r="H100" s="60">
        <v>17.98</v>
      </c>
      <c r="I100" s="60">
        <v>3.39</v>
      </c>
      <c r="J100" s="60">
        <v>0.83</v>
      </c>
      <c r="K100" s="60">
        <v>153.65</v>
      </c>
      <c r="L100" s="60">
        <v>34.04</v>
      </c>
      <c r="M100" s="60">
        <v>77.459999999999994</v>
      </c>
      <c r="N100" s="9" t="s">
        <v>36</v>
      </c>
      <c r="O100" s="60">
        <v>0</v>
      </c>
      <c r="P100" s="60">
        <v>2.0499999999999998</v>
      </c>
      <c r="Q100" s="60">
        <v>20.170000000000002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1682</v>
      </c>
      <c r="B101" s="60">
        <v>1.0900000000000001</v>
      </c>
      <c r="C101" s="60">
        <v>15.81</v>
      </c>
      <c r="D101" s="60">
        <v>16.899999999999999</v>
      </c>
      <c r="E101" s="60">
        <v>5.99</v>
      </c>
      <c r="F101" s="60">
        <v>1.17</v>
      </c>
      <c r="G101" s="60">
        <v>43.64</v>
      </c>
      <c r="H101" s="60">
        <v>16.559999999999999</v>
      </c>
      <c r="I101" s="60">
        <v>3.47</v>
      </c>
      <c r="J101" s="60">
        <v>0.64</v>
      </c>
      <c r="K101" s="60">
        <v>313.83</v>
      </c>
      <c r="L101" s="60">
        <v>34.22</v>
      </c>
      <c r="M101" s="60">
        <v>77.239999999999995</v>
      </c>
      <c r="N101" s="9" t="s">
        <v>36</v>
      </c>
      <c r="O101" s="60">
        <v>0</v>
      </c>
      <c r="P101" s="60">
        <v>2.0499999999999998</v>
      </c>
      <c r="Q101" s="60">
        <v>19.57</v>
      </c>
      <c r="R101" s="198"/>
      <c r="S101" s="198"/>
      <c r="T101" s="198"/>
      <c r="U101" s="198"/>
    </row>
    <row r="102" spans="1:21" s="12" customFormat="1" ht="15">
      <c r="A102" s="201" t="s">
        <v>1683</v>
      </c>
      <c r="B102" s="60">
        <v>1.38</v>
      </c>
      <c r="C102" s="60">
        <v>15.70</v>
      </c>
      <c r="D102" s="60">
        <v>17.07</v>
      </c>
      <c r="E102" s="60">
        <v>6.16</v>
      </c>
      <c r="F102" s="60">
        <v>1.30</v>
      </c>
      <c r="G102" s="60">
        <v>43.64</v>
      </c>
      <c r="H102" s="60">
        <v>16.559999999999999</v>
      </c>
      <c r="I102" s="60">
        <v>3.52</v>
      </c>
      <c r="J102" s="60">
        <v>1.60</v>
      </c>
      <c r="K102" s="60">
        <v>6.08</v>
      </c>
      <c r="L102" s="60">
        <v>34.43</v>
      </c>
      <c r="M102" s="60">
        <v>77.22</v>
      </c>
      <c r="N102" s="9" t="s">
        <v>36</v>
      </c>
      <c r="O102" s="60">
        <v>0</v>
      </c>
      <c r="P102" s="60">
        <v>2.0499999999999998</v>
      </c>
      <c r="Q102" s="60">
        <v>20.93</v>
      </c>
      <c r="R102" s="198"/>
      <c r="S102" s="198"/>
      <c r="T102" s="198"/>
      <c r="U102" s="198"/>
    </row>
    <row r="103" spans="1:21" s="12" customFormat="1" ht="15">
      <c r="A103" s="201" t="s">
        <v>1684</v>
      </c>
      <c r="B103" s="60">
        <v>1.84</v>
      </c>
      <c r="C103" s="60">
        <v>16.61</v>
      </c>
      <c r="D103" s="60">
        <v>18.46</v>
      </c>
      <c r="E103" s="60">
        <v>6.35</v>
      </c>
      <c r="F103" s="60">
        <v>1.23</v>
      </c>
      <c r="G103" s="60">
        <v>43.64</v>
      </c>
      <c r="H103" s="60">
        <v>16.559999999999999</v>
      </c>
      <c r="I103" s="60">
        <v>3.64</v>
      </c>
      <c r="J103" s="60">
        <v>2.29</v>
      </c>
      <c r="K103" s="60">
        <v>35.97</v>
      </c>
      <c r="L103" s="60">
        <v>34.44</v>
      </c>
      <c r="M103" s="60">
        <v>78.099999999999994</v>
      </c>
      <c r="N103" s="9" t="s">
        <v>36</v>
      </c>
      <c r="O103" s="60">
        <v>0</v>
      </c>
      <c r="P103" s="60">
        <v>2.06</v>
      </c>
      <c r="Q103" s="60">
        <v>22.51</v>
      </c>
      <c r="R103" s="198"/>
      <c r="S103" s="198"/>
      <c r="T103" s="198"/>
      <c r="U103" s="198"/>
    </row>
    <row r="104" spans="1:21" s="12" customFormat="1" ht="15">
      <c r="A104" s="201" t="s">
        <v>1685</v>
      </c>
      <c r="B104" s="60">
        <v>2.2799999999999998</v>
      </c>
      <c r="C104" s="60">
        <v>16.670000000000002</v>
      </c>
      <c r="D104" s="60">
        <v>18.95</v>
      </c>
      <c r="E104" s="60">
        <v>3.5</v>
      </c>
      <c r="F104" s="60">
        <v>0.97</v>
      </c>
      <c r="G104" s="60">
        <v>45.10</v>
      </c>
      <c r="H104" s="60">
        <v>17.350000000000001</v>
      </c>
      <c r="I104" s="60">
        <v>3.76</v>
      </c>
      <c r="J104" s="60">
        <v>2.16</v>
      </c>
      <c r="K104" s="60">
        <v>63.13</v>
      </c>
      <c r="L104" s="60">
        <v>34.10</v>
      </c>
      <c r="M104" s="60">
        <v>79.47</v>
      </c>
      <c r="N104" s="9" t="s">
        <v>36</v>
      </c>
      <c r="O104" s="60">
        <v>0</v>
      </c>
      <c r="P104" s="60">
        <v>2.06</v>
      </c>
      <c r="Q104" s="60">
        <v>23.51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0.28000000000000003</v>
      </c>
      <c r="C106" s="67">
        <f>MIN(C9:C104)</f>
        <v>13.109999999999999</v>
      </c>
      <c r="D106" s="67">
        <f t="shared" si="0" ref="D106:Q106">MIN(D9:D104)</f>
        <v>14.15</v>
      </c>
      <c r="E106" s="67">
        <f t="shared" si="0"/>
        <v>2.6899999999999999</v>
      </c>
      <c r="F106" s="67">
        <f t="shared" si="0"/>
        <v>0.56000000000000005</v>
      </c>
      <c r="G106" s="67">
        <f t="shared" si="0"/>
        <v>43.640000000000001</v>
      </c>
      <c r="H106" s="67">
        <f t="shared" si="0"/>
        <v>16.170000000000002</v>
      </c>
      <c r="I106" s="67">
        <f t="shared" si="0"/>
        <v>3.3599999999999999</v>
      </c>
      <c r="J106" s="67">
        <f t="shared" si="0"/>
        <v>0.34000000000000002</v>
      </c>
      <c r="K106" s="67">
        <f t="shared" si="0"/>
        <v>6.0800000000000001</v>
      </c>
      <c r="L106" s="67">
        <f t="shared" si="0"/>
        <v>33.990000000000002</v>
      </c>
      <c r="M106" s="67">
        <f t="shared" si="0"/>
        <v>34.32</v>
      </c>
      <c r="N106" s="67">
        <f t="shared" si="0"/>
        <v>0.10000000000000001</v>
      </c>
      <c r="O106" s="67">
        <f t="shared" si="0"/>
        <v>0</v>
      </c>
      <c r="P106" s="67">
        <f t="shared" si="0"/>
        <v>1.9399999999999999</v>
      </c>
      <c r="Q106" s="67">
        <f t="shared" si="0"/>
        <v>19.57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4.3499999999999996</v>
      </c>
      <c r="C107" s="66">
        <f t="shared" si="1" ref="C107:Q107">MAX(C9:C104)</f>
        <v>24.469999999999999</v>
      </c>
      <c r="D107" s="66">
        <f t="shared" si="1"/>
        <v>26.489999999999998</v>
      </c>
      <c r="E107" s="66">
        <f t="shared" si="1"/>
        <v>7.8799999999999999</v>
      </c>
      <c r="F107" s="66">
        <f t="shared" si="1"/>
        <v>4.7699999999999996</v>
      </c>
      <c r="G107" s="66">
        <f t="shared" si="1"/>
        <v>87.730000000000004</v>
      </c>
      <c r="H107" s="66">
        <f t="shared" si="1"/>
        <v>28.960000000000001</v>
      </c>
      <c r="I107" s="66">
        <f t="shared" si="1"/>
        <v>6.7999999999999998</v>
      </c>
      <c r="J107" s="66">
        <f t="shared" si="1"/>
        <v>4.9199999999999999</v>
      </c>
      <c r="K107" s="66">
        <f t="shared" si="1"/>
        <v>350.89999999999998</v>
      </c>
      <c r="L107" s="66">
        <f t="shared" si="1"/>
        <v>50.530000000000001</v>
      </c>
      <c r="M107" s="66">
        <f t="shared" si="1"/>
        <v>79.469999999999999</v>
      </c>
      <c r="N107" s="66">
        <f t="shared" si="1"/>
        <v>1133.3</v>
      </c>
      <c r="O107" s="66">
        <f t="shared" si="1"/>
        <v>0</v>
      </c>
      <c r="P107" s="66">
        <f t="shared" si="1"/>
        <v>2.4300000000000002</v>
      </c>
      <c r="Q107" s="66">
        <f t="shared" si="1"/>
        <v>47.009999999999998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1.3556250000000001</v>
      </c>
      <c r="C108" s="67">
        <f t="shared" si="2" ref="C108:Q108">AVERAGE(C9:C104)</f>
        <v>19.17166666666667</v>
      </c>
      <c r="D108" s="67">
        <f t="shared" si="2"/>
        <v>20.52802083333334</v>
      </c>
      <c r="E108" s="67">
        <f t="shared" si="2"/>
        <v>6.0571875000000004</v>
      </c>
      <c r="F108" s="67">
        <f t="shared" si="2"/>
        <v>2.0680208333333332</v>
      </c>
      <c r="G108" s="67">
        <f t="shared" si="2"/>
        <v>61.42739583333335</v>
      </c>
      <c r="H108" s="67">
        <f t="shared" si="2"/>
        <v>21.461354166666677</v>
      </c>
      <c r="I108" s="67">
        <f t="shared" si="2"/>
        <v>4.6304166666666644</v>
      </c>
      <c r="J108" s="67">
        <f t="shared" si="2"/>
        <v>1.8010416666666667</v>
      </c>
      <c r="K108" s="67">
        <f t="shared" si="2"/>
        <v>223.43156250000013</v>
      </c>
      <c r="L108" s="67">
        <f t="shared" si="2"/>
        <v>41.180625000000006</v>
      </c>
      <c r="M108" s="67">
        <f t="shared" si="2"/>
        <v>55.945937499999992</v>
      </c>
      <c r="N108" s="67">
        <f t="shared" si="2"/>
        <v>354.85294117647049</v>
      </c>
      <c r="O108" s="67">
        <f t="shared" si="2"/>
        <v>0</v>
      </c>
      <c r="P108" s="67">
        <f t="shared" si="2"/>
        <v>2.1442708333333345</v>
      </c>
      <c r="Q108" s="67">
        <f t="shared" si="2"/>
        <v>30.94687500000002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0.93536124459736769</v>
      </c>
      <c r="C109" s="67">
        <f t="shared" si="3" ref="C109:Q109">STDEV(C9:C104)</f>
        <v>3.5378490838856678</v>
      </c>
      <c r="D109" s="67">
        <f t="shared" si="3"/>
        <v>3.7442192973875574</v>
      </c>
      <c r="E109" s="67">
        <f t="shared" si="3"/>
        <v>1.0355641260735804</v>
      </c>
      <c r="F109" s="67">
        <f t="shared" si="3"/>
        <v>1.0472275375250959</v>
      </c>
      <c r="G109" s="67">
        <f t="shared" si="3"/>
        <v>11.370930920071304</v>
      </c>
      <c r="H109" s="67">
        <f t="shared" si="3"/>
        <v>3.5807557625646464</v>
      </c>
      <c r="I109" s="67">
        <f t="shared" si="3"/>
        <v>0.86054440133365262</v>
      </c>
      <c r="J109" s="67">
        <f t="shared" si="3"/>
        <v>0.90176724639269645</v>
      </c>
      <c r="K109" s="67">
        <f t="shared" si="3"/>
        <v>92.667674558387063</v>
      </c>
      <c r="L109" s="67">
        <f t="shared" si="3"/>
        <v>4.6671196600314255</v>
      </c>
      <c r="M109" s="67">
        <f t="shared" si="3"/>
        <v>12.64292076332171</v>
      </c>
      <c r="N109" s="67">
        <f t="shared" si="3"/>
        <v>371.95699985505917</v>
      </c>
      <c r="O109" s="67">
        <f t="shared" si="3"/>
        <v>0</v>
      </c>
      <c r="P109" s="67">
        <f t="shared" si="3"/>
        <v>0.13614809886502799</v>
      </c>
      <c r="Q109" s="67">
        <f t="shared" si="3"/>
        <v>8.0282424257970408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218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57872f-0b06-41a2-9035-415b5ca3532b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E15" sqref="E15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16-06-2022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1686</v>
      </c>
      <c r="B9" s="8" t="s">
        <v>34</v>
      </c>
      <c r="C9" s="8" t="s">
        <v>34</v>
      </c>
      <c r="D9" s="8" t="s">
        <v>34</v>
      </c>
      <c r="E9" s="8" t="s">
        <v>34</v>
      </c>
      <c r="F9" s="8" t="s">
        <v>34</v>
      </c>
      <c r="G9" s="8" t="s">
        <v>34</v>
      </c>
      <c r="H9" s="8" t="s">
        <v>34</v>
      </c>
      <c r="I9" s="8" t="s">
        <v>34</v>
      </c>
      <c r="J9" s="8" t="s">
        <v>34</v>
      </c>
      <c r="K9" s="8" t="s">
        <v>34</v>
      </c>
      <c r="L9" s="8" t="s">
        <v>34</v>
      </c>
      <c r="M9" s="8" t="s">
        <v>34</v>
      </c>
      <c r="N9" s="8" t="s">
        <v>34</v>
      </c>
      <c r="O9" s="8" t="s">
        <v>34</v>
      </c>
      <c r="P9" s="8" t="s">
        <v>34</v>
      </c>
      <c r="Q9" s="8" t="s">
        <v>34</v>
      </c>
      <c r="R9" s="198"/>
      <c r="S9" s="198"/>
      <c r="T9" s="198"/>
      <c r="U9" s="198"/>
    </row>
    <row r="10" spans="1:21" s="12" customFormat="1" ht="15">
      <c r="A10" s="201" t="s">
        <v>1687</v>
      </c>
      <c r="B10" s="8" t="s">
        <v>34</v>
      </c>
      <c r="C10" s="8" t="s">
        <v>34</v>
      </c>
      <c r="D10" s="8" t="s">
        <v>34</v>
      </c>
      <c r="E10" s="8" t="s">
        <v>34</v>
      </c>
      <c r="F10" s="8" t="s">
        <v>34</v>
      </c>
      <c r="G10" s="8" t="s">
        <v>34</v>
      </c>
      <c r="H10" s="8" t="s">
        <v>34</v>
      </c>
      <c r="I10" s="8" t="s">
        <v>34</v>
      </c>
      <c r="J10" s="8" t="s">
        <v>34</v>
      </c>
      <c r="K10" s="8" t="s">
        <v>34</v>
      </c>
      <c r="L10" s="8" t="s">
        <v>34</v>
      </c>
      <c r="M10" s="8" t="s">
        <v>34</v>
      </c>
      <c r="N10" s="8" t="s">
        <v>34</v>
      </c>
      <c r="O10" s="8" t="s">
        <v>34</v>
      </c>
      <c r="P10" s="8" t="s">
        <v>34</v>
      </c>
      <c r="Q10" s="8" t="s">
        <v>34</v>
      </c>
      <c r="R10" s="198"/>
      <c r="S10" s="198"/>
      <c r="T10" s="198"/>
      <c r="U10" s="198"/>
    </row>
    <row r="11" spans="1:21" s="12" customFormat="1" ht="15">
      <c r="A11" s="201" t="s">
        <v>1688</v>
      </c>
      <c r="B11" s="8" t="s">
        <v>34</v>
      </c>
      <c r="C11" s="8" t="s">
        <v>34</v>
      </c>
      <c r="D11" s="8" t="s">
        <v>34</v>
      </c>
      <c r="E11" s="8" t="s">
        <v>34</v>
      </c>
      <c r="F11" s="8" t="s">
        <v>34</v>
      </c>
      <c r="G11" s="8" t="s">
        <v>34</v>
      </c>
      <c r="H11" s="8" t="s">
        <v>34</v>
      </c>
      <c r="I11" s="8" t="s">
        <v>34</v>
      </c>
      <c r="J11" s="8" t="s">
        <v>34</v>
      </c>
      <c r="K11" s="8" t="s">
        <v>34</v>
      </c>
      <c r="L11" s="8" t="s">
        <v>34</v>
      </c>
      <c r="M11" s="8" t="s">
        <v>34</v>
      </c>
      <c r="N11" s="8" t="s">
        <v>34</v>
      </c>
      <c r="O11" s="8" t="s">
        <v>34</v>
      </c>
      <c r="P11" s="8" t="s">
        <v>34</v>
      </c>
      <c r="Q11" s="8" t="s">
        <v>34</v>
      </c>
      <c r="R11" s="198"/>
      <c r="S11" s="198"/>
      <c r="T11" s="198"/>
      <c r="U11" s="198"/>
    </row>
    <row r="12" spans="1:21" s="12" customFormat="1" ht="15">
      <c r="A12" s="201" t="s">
        <v>1689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198"/>
      <c r="S12" s="198"/>
      <c r="T12" s="198"/>
      <c r="U12" s="198"/>
    </row>
    <row r="13" spans="1:21" s="12" customFormat="1" ht="15">
      <c r="A13" s="201" t="s">
        <v>1690</v>
      </c>
      <c r="B13" s="8" t="s">
        <v>34</v>
      </c>
      <c r="C13" s="8" t="s">
        <v>34</v>
      </c>
      <c r="D13" s="8" t="s">
        <v>34</v>
      </c>
      <c r="E13" s="8" t="s">
        <v>34</v>
      </c>
      <c r="F13" s="8" t="s">
        <v>34</v>
      </c>
      <c r="G13" s="8" t="s">
        <v>34</v>
      </c>
      <c r="H13" s="8" t="s">
        <v>34</v>
      </c>
      <c r="I13" s="8" t="s">
        <v>34</v>
      </c>
      <c r="J13" s="8" t="s">
        <v>34</v>
      </c>
      <c r="K13" s="8" t="s">
        <v>34</v>
      </c>
      <c r="L13" s="8" t="s">
        <v>34</v>
      </c>
      <c r="M13" s="8" t="s">
        <v>34</v>
      </c>
      <c r="N13" s="8" t="s">
        <v>34</v>
      </c>
      <c r="O13" s="8" t="s">
        <v>34</v>
      </c>
      <c r="P13" s="8" t="s">
        <v>34</v>
      </c>
      <c r="Q13" s="8" t="s">
        <v>34</v>
      </c>
      <c r="R13" s="198"/>
      <c r="S13" s="198"/>
      <c r="T13" s="198"/>
      <c r="U13" s="198"/>
    </row>
    <row r="14" spans="1:21" s="12" customFormat="1" ht="15">
      <c r="A14" s="201" t="s">
        <v>1691</v>
      </c>
      <c r="B14" s="8" t="s">
        <v>34</v>
      </c>
      <c r="C14" s="8" t="s">
        <v>34</v>
      </c>
      <c r="D14" s="8" t="s">
        <v>34</v>
      </c>
      <c r="E14" s="8" t="s">
        <v>34</v>
      </c>
      <c r="F14" s="8" t="s">
        <v>34</v>
      </c>
      <c r="G14" s="8" t="s">
        <v>34</v>
      </c>
      <c r="H14" s="8" t="s">
        <v>34</v>
      </c>
      <c r="I14" s="8" t="s">
        <v>34</v>
      </c>
      <c r="J14" s="8" t="s">
        <v>34</v>
      </c>
      <c r="K14" s="8" t="s">
        <v>34</v>
      </c>
      <c r="L14" s="8" t="s">
        <v>34</v>
      </c>
      <c r="M14" s="8" t="s">
        <v>34</v>
      </c>
      <c r="N14" s="8" t="s">
        <v>34</v>
      </c>
      <c r="O14" s="8" t="s">
        <v>34</v>
      </c>
      <c r="P14" s="8" t="s">
        <v>34</v>
      </c>
      <c r="Q14" s="8" t="s">
        <v>34</v>
      </c>
      <c r="R14" s="198"/>
      <c r="S14" s="198"/>
      <c r="T14" s="198"/>
      <c r="U14" s="198"/>
    </row>
    <row r="15" spans="1:21" s="12" customFormat="1" ht="15">
      <c r="A15" s="201" t="s">
        <v>1692</v>
      </c>
      <c r="B15" s="8" t="s">
        <v>34</v>
      </c>
      <c r="C15" s="8" t="s">
        <v>34</v>
      </c>
      <c r="D15" s="8" t="s">
        <v>34</v>
      </c>
      <c r="E15" s="8" t="s">
        <v>34</v>
      </c>
      <c r="F15" s="8" t="s">
        <v>34</v>
      </c>
      <c r="G15" s="8" t="s">
        <v>34</v>
      </c>
      <c r="H15" s="8" t="s">
        <v>34</v>
      </c>
      <c r="I15" s="8" t="s">
        <v>34</v>
      </c>
      <c r="J15" s="8" t="s">
        <v>34</v>
      </c>
      <c r="K15" s="8" t="s">
        <v>34</v>
      </c>
      <c r="L15" s="8" t="s">
        <v>34</v>
      </c>
      <c r="M15" s="8" t="s">
        <v>34</v>
      </c>
      <c r="N15" s="8" t="s">
        <v>34</v>
      </c>
      <c r="O15" s="8" t="s">
        <v>34</v>
      </c>
      <c r="P15" s="8" t="s">
        <v>34</v>
      </c>
      <c r="Q15" s="8" t="s">
        <v>34</v>
      </c>
      <c r="R15" s="198"/>
      <c r="S15" s="198"/>
      <c r="T15" s="198"/>
      <c r="U15" s="198"/>
    </row>
    <row r="16" spans="1:21" s="12" customFormat="1" ht="15">
      <c r="A16" s="201" t="s">
        <v>1693</v>
      </c>
      <c r="B16" s="8" t="s">
        <v>34</v>
      </c>
      <c r="C16" s="8" t="s">
        <v>34</v>
      </c>
      <c r="D16" s="8" t="s">
        <v>34</v>
      </c>
      <c r="E16" s="8" t="s">
        <v>34</v>
      </c>
      <c r="F16" s="8" t="s">
        <v>34</v>
      </c>
      <c r="G16" s="8" t="s">
        <v>34</v>
      </c>
      <c r="H16" s="8" t="s">
        <v>34</v>
      </c>
      <c r="I16" s="8" t="s">
        <v>34</v>
      </c>
      <c r="J16" s="8" t="s">
        <v>34</v>
      </c>
      <c r="K16" s="8" t="s">
        <v>34</v>
      </c>
      <c r="L16" s="8" t="s">
        <v>34</v>
      </c>
      <c r="M16" s="8" t="s">
        <v>34</v>
      </c>
      <c r="N16" s="8" t="s">
        <v>34</v>
      </c>
      <c r="O16" s="8" t="s">
        <v>34</v>
      </c>
      <c r="P16" s="8" t="s">
        <v>34</v>
      </c>
      <c r="Q16" s="8" t="s">
        <v>34</v>
      </c>
      <c r="R16" s="198"/>
      <c r="S16" s="198"/>
      <c r="T16" s="198"/>
      <c r="U16" s="198"/>
    </row>
    <row r="17" spans="1:21" s="12" customFormat="1" ht="15">
      <c r="A17" s="201" t="s">
        <v>1694</v>
      </c>
      <c r="B17" s="8" t="s">
        <v>34</v>
      </c>
      <c r="C17" s="8" t="s">
        <v>34</v>
      </c>
      <c r="D17" s="8" t="s">
        <v>34</v>
      </c>
      <c r="E17" s="8" t="s">
        <v>34</v>
      </c>
      <c r="F17" s="8" t="s">
        <v>34</v>
      </c>
      <c r="G17" s="8" t="s">
        <v>34</v>
      </c>
      <c r="H17" s="8" t="s">
        <v>34</v>
      </c>
      <c r="I17" s="8" t="s">
        <v>34</v>
      </c>
      <c r="J17" s="8" t="s">
        <v>34</v>
      </c>
      <c r="K17" s="8" t="s">
        <v>34</v>
      </c>
      <c r="L17" s="8" t="s">
        <v>34</v>
      </c>
      <c r="M17" s="8" t="s">
        <v>34</v>
      </c>
      <c r="N17" s="8" t="s">
        <v>34</v>
      </c>
      <c r="O17" s="8" t="s">
        <v>34</v>
      </c>
      <c r="P17" s="8" t="s">
        <v>34</v>
      </c>
      <c r="Q17" s="8" t="s">
        <v>34</v>
      </c>
      <c r="R17" s="198"/>
      <c r="S17" s="198"/>
      <c r="T17" s="198"/>
      <c r="U17" s="198"/>
    </row>
    <row r="18" spans="1:21" s="12" customFormat="1" ht="15">
      <c r="A18" s="201" t="s">
        <v>1695</v>
      </c>
      <c r="B18" s="8" t="s">
        <v>34</v>
      </c>
      <c r="C18" s="8" t="s">
        <v>34</v>
      </c>
      <c r="D18" s="8" t="s">
        <v>34</v>
      </c>
      <c r="E18" s="8" t="s">
        <v>34</v>
      </c>
      <c r="F18" s="8" t="s">
        <v>34</v>
      </c>
      <c r="G18" s="8" t="s">
        <v>34</v>
      </c>
      <c r="H18" s="8" t="s">
        <v>34</v>
      </c>
      <c r="I18" s="8" t="s">
        <v>34</v>
      </c>
      <c r="J18" s="8" t="s">
        <v>34</v>
      </c>
      <c r="K18" s="8" t="s">
        <v>34</v>
      </c>
      <c r="L18" s="8" t="s">
        <v>34</v>
      </c>
      <c r="M18" s="8" t="s">
        <v>34</v>
      </c>
      <c r="N18" s="8" t="s">
        <v>34</v>
      </c>
      <c r="O18" s="8" t="s">
        <v>34</v>
      </c>
      <c r="P18" s="8" t="s">
        <v>34</v>
      </c>
      <c r="Q18" s="8" t="s">
        <v>34</v>
      </c>
      <c r="R18" s="198"/>
      <c r="S18" s="198"/>
      <c r="T18" s="198"/>
      <c r="U18" s="198"/>
    </row>
    <row r="19" spans="1:21" s="12" customFormat="1" ht="15">
      <c r="A19" s="201" t="s">
        <v>1696</v>
      </c>
      <c r="B19" s="8" t="s">
        <v>34</v>
      </c>
      <c r="C19" s="8" t="s">
        <v>34</v>
      </c>
      <c r="D19" s="8" t="s">
        <v>34</v>
      </c>
      <c r="E19" s="8" t="s">
        <v>34</v>
      </c>
      <c r="F19" s="8" t="s">
        <v>34</v>
      </c>
      <c r="G19" s="8" t="s">
        <v>34</v>
      </c>
      <c r="H19" s="8" t="s">
        <v>34</v>
      </c>
      <c r="I19" s="8" t="s">
        <v>34</v>
      </c>
      <c r="J19" s="8" t="s">
        <v>34</v>
      </c>
      <c r="K19" s="8" t="s">
        <v>34</v>
      </c>
      <c r="L19" s="8" t="s">
        <v>34</v>
      </c>
      <c r="M19" s="8" t="s">
        <v>34</v>
      </c>
      <c r="N19" s="8" t="s">
        <v>34</v>
      </c>
      <c r="O19" s="8" t="s">
        <v>34</v>
      </c>
      <c r="P19" s="8" t="s">
        <v>34</v>
      </c>
      <c r="Q19" s="8" t="s">
        <v>34</v>
      </c>
      <c r="R19" s="198"/>
      <c r="S19" s="198"/>
      <c r="T19" s="198"/>
      <c r="U19" s="198"/>
    </row>
    <row r="20" spans="1:21" s="12" customFormat="1" ht="15">
      <c r="A20" s="201" t="s">
        <v>1697</v>
      </c>
      <c r="B20" s="8" t="s">
        <v>34</v>
      </c>
      <c r="C20" s="8" t="s">
        <v>34</v>
      </c>
      <c r="D20" s="8" t="s">
        <v>34</v>
      </c>
      <c r="E20" s="8" t="s">
        <v>34</v>
      </c>
      <c r="F20" s="8" t="s">
        <v>34</v>
      </c>
      <c r="G20" s="8" t="s">
        <v>34</v>
      </c>
      <c r="H20" s="8" t="s">
        <v>34</v>
      </c>
      <c r="I20" s="8" t="s">
        <v>34</v>
      </c>
      <c r="J20" s="8" t="s">
        <v>34</v>
      </c>
      <c r="K20" s="8" t="s">
        <v>34</v>
      </c>
      <c r="L20" s="8" t="s">
        <v>34</v>
      </c>
      <c r="M20" s="8" t="s">
        <v>34</v>
      </c>
      <c r="N20" s="8" t="s">
        <v>34</v>
      </c>
      <c r="O20" s="8" t="s">
        <v>34</v>
      </c>
      <c r="P20" s="8" t="s">
        <v>34</v>
      </c>
      <c r="Q20" s="8" t="s">
        <v>34</v>
      </c>
      <c r="R20" s="198"/>
      <c r="S20" s="198"/>
      <c r="T20" s="198"/>
      <c r="U20" s="198"/>
    </row>
    <row r="21" spans="1:21" s="12" customFormat="1" ht="15">
      <c r="A21" s="201" t="s">
        <v>1698</v>
      </c>
      <c r="B21" s="8" t="s">
        <v>34</v>
      </c>
      <c r="C21" s="8" t="s">
        <v>34</v>
      </c>
      <c r="D21" s="8" t="s">
        <v>34</v>
      </c>
      <c r="E21" s="8" t="s">
        <v>34</v>
      </c>
      <c r="F21" s="8" t="s">
        <v>34</v>
      </c>
      <c r="G21" s="8" t="s">
        <v>34</v>
      </c>
      <c r="H21" s="8" t="s">
        <v>34</v>
      </c>
      <c r="I21" s="8" t="s">
        <v>34</v>
      </c>
      <c r="J21" s="8" t="s">
        <v>34</v>
      </c>
      <c r="K21" s="8" t="s">
        <v>34</v>
      </c>
      <c r="L21" s="8" t="s">
        <v>34</v>
      </c>
      <c r="M21" s="8" t="s">
        <v>34</v>
      </c>
      <c r="N21" s="8" t="s">
        <v>34</v>
      </c>
      <c r="O21" s="8" t="s">
        <v>34</v>
      </c>
      <c r="P21" s="8" t="s">
        <v>34</v>
      </c>
      <c r="Q21" s="8" t="s">
        <v>34</v>
      </c>
      <c r="R21" s="198"/>
      <c r="S21" s="198"/>
      <c r="T21" s="198"/>
      <c r="U21" s="198"/>
    </row>
    <row r="22" spans="1:21" s="12" customFormat="1" ht="15">
      <c r="A22" s="201" t="s">
        <v>1699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198"/>
      <c r="S22" s="198"/>
      <c r="T22" s="198"/>
      <c r="U22" s="198"/>
    </row>
    <row r="23" spans="1:21" s="12" customFormat="1" ht="15">
      <c r="A23" s="201" t="s">
        <v>1700</v>
      </c>
      <c r="B23" s="8" t="s">
        <v>34</v>
      </c>
      <c r="C23" s="8" t="s">
        <v>34</v>
      </c>
      <c r="D23" s="8" t="s">
        <v>34</v>
      </c>
      <c r="E23" s="8" t="s">
        <v>34</v>
      </c>
      <c r="F23" s="8" t="s">
        <v>34</v>
      </c>
      <c r="G23" s="8" t="s">
        <v>34</v>
      </c>
      <c r="H23" s="8" t="s">
        <v>34</v>
      </c>
      <c r="I23" s="8" t="s">
        <v>34</v>
      </c>
      <c r="J23" s="8" t="s">
        <v>34</v>
      </c>
      <c r="K23" s="8" t="s">
        <v>34</v>
      </c>
      <c r="L23" s="8" t="s">
        <v>34</v>
      </c>
      <c r="M23" s="8" t="s">
        <v>34</v>
      </c>
      <c r="N23" s="8" t="s">
        <v>34</v>
      </c>
      <c r="O23" s="8" t="s">
        <v>34</v>
      </c>
      <c r="P23" s="8" t="s">
        <v>34</v>
      </c>
      <c r="Q23" s="8" t="s">
        <v>34</v>
      </c>
      <c r="R23" s="198"/>
      <c r="S23" s="198"/>
      <c r="T23" s="198"/>
      <c r="U23" s="198"/>
    </row>
    <row r="24" spans="1:21" s="12" customFormat="1" ht="15">
      <c r="A24" s="201" t="s">
        <v>1701</v>
      </c>
      <c r="B24" s="8" t="s">
        <v>34</v>
      </c>
      <c r="C24" s="8" t="s">
        <v>34</v>
      </c>
      <c r="D24" s="8" t="s">
        <v>34</v>
      </c>
      <c r="E24" s="8" t="s">
        <v>34</v>
      </c>
      <c r="F24" s="8" t="s">
        <v>34</v>
      </c>
      <c r="G24" s="8" t="s">
        <v>34</v>
      </c>
      <c r="H24" s="8" t="s">
        <v>34</v>
      </c>
      <c r="I24" s="8" t="s">
        <v>34</v>
      </c>
      <c r="J24" s="8" t="s">
        <v>34</v>
      </c>
      <c r="K24" s="8" t="s">
        <v>34</v>
      </c>
      <c r="L24" s="8" t="s">
        <v>34</v>
      </c>
      <c r="M24" s="8" t="s">
        <v>34</v>
      </c>
      <c r="N24" s="8" t="s">
        <v>34</v>
      </c>
      <c r="O24" s="8" t="s">
        <v>34</v>
      </c>
      <c r="P24" s="8" t="s">
        <v>34</v>
      </c>
      <c r="Q24" s="8" t="s">
        <v>34</v>
      </c>
      <c r="R24" s="198"/>
      <c r="S24" s="198"/>
      <c r="T24" s="198"/>
      <c r="U24" s="198"/>
    </row>
    <row r="25" spans="1:21" s="12" customFormat="1" ht="15">
      <c r="A25" s="201" t="s">
        <v>1702</v>
      </c>
      <c r="B25" s="8" t="s">
        <v>34</v>
      </c>
      <c r="C25" s="8" t="s">
        <v>34</v>
      </c>
      <c r="D25" s="8" t="s">
        <v>34</v>
      </c>
      <c r="E25" s="8" t="s">
        <v>34</v>
      </c>
      <c r="F25" s="8" t="s">
        <v>34</v>
      </c>
      <c r="G25" s="8" t="s">
        <v>34</v>
      </c>
      <c r="H25" s="8" t="s">
        <v>34</v>
      </c>
      <c r="I25" s="8" t="s">
        <v>34</v>
      </c>
      <c r="J25" s="8" t="s">
        <v>34</v>
      </c>
      <c r="K25" s="8" t="s">
        <v>34</v>
      </c>
      <c r="L25" s="8" t="s">
        <v>34</v>
      </c>
      <c r="M25" s="8" t="s">
        <v>34</v>
      </c>
      <c r="N25" s="8" t="s">
        <v>34</v>
      </c>
      <c r="O25" s="8" t="s">
        <v>34</v>
      </c>
      <c r="P25" s="8" t="s">
        <v>34</v>
      </c>
      <c r="Q25" s="8" t="s">
        <v>34</v>
      </c>
      <c r="R25" s="198"/>
      <c r="S25" s="198"/>
      <c r="T25" s="198"/>
      <c r="U25" s="198"/>
    </row>
    <row r="26" spans="1:21" s="12" customFormat="1" ht="15">
      <c r="A26" s="201" t="s">
        <v>1703</v>
      </c>
      <c r="B26" s="8" t="s">
        <v>34</v>
      </c>
      <c r="C26" s="8" t="s">
        <v>34</v>
      </c>
      <c r="D26" s="8" t="s">
        <v>34</v>
      </c>
      <c r="E26" s="8" t="s">
        <v>34</v>
      </c>
      <c r="F26" s="8" t="s">
        <v>34</v>
      </c>
      <c r="G26" s="8" t="s">
        <v>34</v>
      </c>
      <c r="H26" s="8" t="s">
        <v>34</v>
      </c>
      <c r="I26" s="8" t="s">
        <v>34</v>
      </c>
      <c r="J26" s="8" t="s">
        <v>34</v>
      </c>
      <c r="K26" s="8" t="s">
        <v>34</v>
      </c>
      <c r="L26" s="8" t="s">
        <v>34</v>
      </c>
      <c r="M26" s="8" t="s">
        <v>34</v>
      </c>
      <c r="N26" s="8" t="s">
        <v>34</v>
      </c>
      <c r="O26" s="8" t="s">
        <v>34</v>
      </c>
      <c r="P26" s="8" t="s">
        <v>34</v>
      </c>
      <c r="Q26" s="8" t="s">
        <v>34</v>
      </c>
      <c r="R26" s="198"/>
      <c r="S26" s="198"/>
      <c r="T26" s="198"/>
      <c r="U26" s="198"/>
    </row>
    <row r="27" spans="1:21" s="12" customFormat="1" ht="15">
      <c r="A27" s="201" t="s">
        <v>1704</v>
      </c>
      <c r="B27" s="8" t="s">
        <v>34</v>
      </c>
      <c r="C27" s="8" t="s">
        <v>34</v>
      </c>
      <c r="D27" s="8" t="s">
        <v>34</v>
      </c>
      <c r="E27" s="8" t="s">
        <v>34</v>
      </c>
      <c r="F27" s="8" t="s">
        <v>34</v>
      </c>
      <c r="G27" s="8" t="s">
        <v>34</v>
      </c>
      <c r="H27" s="8" t="s">
        <v>34</v>
      </c>
      <c r="I27" s="8" t="s">
        <v>34</v>
      </c>
      <c r="J27" s="8" t="s">
        <v>34</v>
      </c>
      <c r="K27" s="8" t="s">
        <v>34</v>
      </c>
      <c r="L27" s="8" t="s">
        <v>34</v>
      </c>
      <c r="M27" s="8" t="s">
        <v>34</v>
      </c>
      <c r="N27" s="8" t="s">
        <v>34</v>
      </c>
      <c r="O27" s="8" t="s">
        <v>34</v>
      </c>
      <c r="P27" s="8" t="s">
        <v>34</v>
      </c>
      <c r="Q27" s="8" t="s">
        <v>34</v>
      </c>
      <c r="R27" s="198"/>
      <c r="S27" s="198"/>
      <c r="T27" s="198"/>
      <c r="U27" s="198"/>
    </row>
    <row r="28" spans="1:21" s="12" customFormat="1" ht="15">
      <c r="A28" s="201" t="s">
        <v>1705</v>
      </c>
      <c r="B28" s="8" t="s">
        <v>34</v>
      </c>
      <c r="C28" s="8" t="s">
        <v>34</v>
      </c>
      <c r="D28" s="8" t="s">
        <v>34</v>
      </c>
      <c r="E28" s="8" t="s">
        <v>34</v>
      </c>
      <c r="F28" s="8" t="s">
        <v>34</v>
      </c>
      <c r="G28" s="8" t="s">
        <v>34</v>
      </c>
      <c r="H28" s="8" t="s">
        <v>34</v>
      </c>
      <c r="I28" s="8" t="s">
        <v>34</v>
      </c>
      <c r="J28" s="8" t="s">
        <v>34</v>
      </c>
      <c r="K28" s="8" t="s">
        <v>34</v>
      </c>
      <c r="L28" s="8" t="s">
        <v>34</v>
      </c>
      <c r="M28" s="8" t="s">
        <v>34</v>
      </c>
      <c r="N28" s="8" t="s">
        <v>34</v>
      </c>
      <c r="O28" s="8" t="s">
        <v>34</v>
      </c>
      <c r="P28" s="8" t="s">
        <v>34</v>
      </c>
      <c r="Q28" s="8" t="s">
        <v>34</v>
      </c>
      <c r="R28" s="198"/>
      <c r="S28" s="198"/>
      <c r="T28" s="198"/>
      <c r="U28" s="198"/>
    </row>
    <row r="29" spans="1:21" s="12" customFormat="1" ht="15">
      <c r="A29" s="201" t="s">
        <v>1706</v>
      </c>
      <c r="B29" s="8" t="s">
        <v>34</v>
      </c>
      <c r="C29" s="8" t="s">
        <v>34</v>
      </c>
      <c r="D29" s="8" t="s">
        <v>34</v>
      </c>
      <c r="E29" s="8" t="s">
        <v>34</v>
      </c>
      <c r="F29" s="8" t="s">
        <v>34</v>
      </c>
      <c r="G29" s="8" t="s">
        <v>34</v>
      </c>
      <c r="H29" s="8" t="s">
        <v>34</v>
      </c>
      <c r="I29" s="8" t="s">
        <v>34</v>
      </c>
      <c r="J29" s="8" t="s">
        <v>34</v>
      </c>
      <c r="K29" s="8" t="s">
        <v>34</v>
      </c>
      <c r="L29" s="8" t="s">
        <v>34</v>
      </c>
      <c r="M29" s="8" t="s">
        <v>34</v>
      </c>
      <c r="N29" s="8" t="s">
        <v>34</v>
      </c>
      <c r="O29" s="8" t="s">
        <v>34</v>
      </c>
      <c r="P29" s="8" t="s">
        <v>34</v>
      </c>
      <c r="Q29" s="8" t="s">
        <v>34</v>
      </c>
      <c r="R29" s="198"/>
      <c r="S29" s="198"/>
      <c r="T29" s="198"/>
      <c r="U29" s="198"/>
    </row>
    <row r="30" spans="1:21" s="12" customFormat="1" ht="15">
      <c r="A30" s="201" t="s">
        <v>1707</v>
      </c>
      <c r="B30" s="8" t="s">
        <v>34</v>
      </c>
      <c r="C30" s="8" t="s">
        <v>34</v>
      </c>
      <c r="D30" s="8" t="s">
        <v>34</v>
      </c>
      <c r="E30" s="8" t="s">
        <v>34</v>
      </c>
      <c r="F30" s="8" t="s">
        <v>34</v>
      </c>
      <c r="G30" s="8" t="s">
        <v>34</v>
      </c>
      <c r="H30" s="8" t="s">
        <v>34</v>
      </c>
      <c r="I30" s="8" t="s">
        <v>34</v>
      </c>
      <c r="J30" s="8" t="s">
        <v>34</v>
      </c>
      <c r="K30" s="8" t="s">
        <v>34</v>
      </c>
      <c r="L30" s="8" t="s">
        <v>34</v>
      </c>
      <c r="M30" s="8" t="s">
        <v>34</v>
      </c>
      <c r="N30" s="8" t="s">
        <v>34</v>
      </c>
      <c r="O30" s="8" t="s">
        <v>34</v>
      </c>
      <c r="P30" s="8" t="s">
        <v>34</v>
      </c>
      <c r="Q30" s="8" t="s">
        <v>34</v>
      </c>
      <c r="R30" s="198"/>
      <c r="S30" s="198"/>
      <c r="T30" s="198"/>
      <c r="U30" s="198"/>
    </row>
    <row r="31" spans="1:21" s="12" customFormat="1" ht="15">
      <c r="A31" s="201" t="s">
        <v>1708</v>
      </c>
      <c r="B31" s="8" t="s">
        <v>34</v>
      </c>
      <c r="C31" s="8" t="s">
        <v>34</v>
      </c>
      <c r="D31" s="8" t="s">
        <v>34</v>
      </c>
      <c r="E31" s="8" t="s">
        <v>34</v>
      </c>
      <c r="F31" s="8" t="s">
        <v>34</v>
      </c>
      <c r="G31" s="8" t="s">
        <v>34</v>
      </c>
      <c r="H31" s="8" t="s">
        <v>34</v>
      </c>
      <c r="I31" s="8" t="s">
        <v>34</v>
      </c>
      <c r="J31" s="8" t="s">
        <v>34</v>
      </c>
      <c r="K31" s="8" t="s">
        <v>34</v>
      </c>
      <c r="L31" s="8" t="s">
        <v>34</v>
      </c>
      <c r="M31" s="8" t="s">
        <v>34</v>
      </c>
      <c r="N31" s="8" t="s">
        <v>34</v>
      </c>
      <c r="O31" s="8" t="s">
        <v>34</v>
      </c>
      <c r="P31" s="8" t="s">
        <v>34</v>
      </c>
      <c r="Q31" s="8" t="s">
        <v>34</v>
      </c>
      <c r="R31" s="198"/>
      <c r="S31" s="198"/>
      <c r="T31" s="198"/>
      <c r="U31" s="198"/>
    </row>
    <row r="32" spans="1:21" s="12" customFormat="1" ht="15">
      <c r="A32" s="201" t="s">
        <v>1709</v>
      </c>
      <c r="B32" s="8" t="s">
        <v>34</v>
      </c>
      <c r="C32" s="8" t="s">
        <v>34</v>
      </c>
      <c r="D32" s="8" t="s">
        <v>34</v>
      </c>
      <c r="E32" s="8" t="s">
        <v>34</v>
      </c>
      <c r="F32" s="8" t="s">
        <v>34</v>
      </c>
      <c r="G32" s="8" t="s">
        <v>34</v>
      </c>
      <c r="H32" s="8" t="s">
        <v>34</v>
      </c>
      <c r="I32" s="8" t="s">
        <v>34</v>
      </c>
      <c r="J32" s="8" t="s">
        <v>34</v>
      </c>
      <c r="K32" s="8" t="s">
        <v>34</v>
      </c>
      <c r="L32" s="8" t="s">
        <v>34</v>
      </c>
      <c r="M32" s="8" t="s">
        <v>34</v>
      </c>
      <c r="N32" s="8" t="s">
        <v>34</v>
      </c>
      <c r="O32" s="8" t="s">
        <v>34</v>
      </c>
      <c r="P32" s="8" t="s">
        <v>34</v>
      </c>
      <c r="Q32" s="8" t="s">
        <v>34</v>
      </c>
      <c r="R32" s="198"/>
      <c r="S32" s="198"/>
      <c r="T32" s="198"/>
      <c r="U32" s="198"/>
    </row>
    <row r="33" spans="1:21" s="12" customFormat="1" ht="15">
      <c r="A33" s="201" t="s">
        <v>1710</v>
      </c>
      <c r="B33" s="8" t="s">
        <v>34</v>
      </c>
      <c r="C33" s="8" t="s">
        <v>34</v>
      </c>
      <c r="D33" s="8" t="s">
        <v>34</v>
      </c>
      <c r="E33" s="8" t="s">
        <v>34</v>
      </c>
      <c r="F33" s="8" t="s">
        <v>34</v>
      </c>
      <c r="G33" s="8" t="s">
        <v>34</v>
      </c>
      <c r="H33" s="8" t="s">
        <v>34</v>
      </c>
      <c r="I33" s="8" t="s">
        <v>34</v>
      </c>
      <c r="J33" s="8" t="s">
        <v>34</v>
      </c>
      <c r="K33" s="8" t="s">
        <v>34</v>
      </c>
      <c r="L33" s="8" t="s">
        <v>34</v>
      </c>
      <c r="M33" s="8" t="s">
        <v>34</v>
      </c>
      <c r="N33" s="8" t="s">
        <v>34</v>
      </c>
      <c r="O33" s="8" t="s">
        <v>34</v>
      </c>
      <c r="P33" s="8" t="s">
        <v>34</v>
      </c>
      <c r="Q33" s="8" t="s">
        <v>34</v>
      </c>
      <c r="R33" s="198"/>
      <c r="S33" s="198"/>
      <c r="T33" s="198"/>
      <c r="U33" s="198"/>
    </row>
    <row r="34" spans="1:21" s="12" customFormat="1" ht="15">
      <c r="A34" s="201" t="s">
        <v>1711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198"/>
      <c r="S34" s="198"/>
      <c r="T34" s="198"/>
      <c r="U34" s="198"/>
    </row>
    <row r="35" spans="1:21" s="12" customFormat="1" ht="15">
      <c r="A35" s="201" t="s">
        <v>1712</v>
      </c>
      <c r="B35" s="8" t="s">
        <v>34</v>
      </c>
      <c r="C35" s="8" t="s">
        <v>34</v>
      </c>
      <c r="D35" s="8" t="s">
        <v>34</v>
      </c>
      <c r="E35" s="8" t="s">
        <v>34</v>
      </c>
      <c r="F35" s="8" t="s">
        <v>34</v>
      </c>
      <c r="G35" s="8" t="s">
        <v>34</v>
      </c>
      <c r="H35" s="8" t="s">
        <v>34</v>
      </c>
      <c r="I35" s="8" t="s">
        <v>34</v>
      </c>
      <c r="J35" s="8" t="s">
        <v>34</v>
      </c>
      <c r="K35" s="8" t="s">
        <v>34</v>
      </c>
      <c r="L35" s="8" t="s">
        <v>34</v>
      </c>
      <c r="M35" s="8" t="s">
        <v>34</v>
      </c>
      <c r="N35" s="8" t="s">
        <v>34</v>
      </c>
      <c r="O35" s="8" t="s">
        <v>34</v>
      </c>
      <c r="P35" s="8" t="s">
        <v>34</v>
      </c>
      <c r="Q35" s="8" t="s">
        <v>34</v>
      </c>
      <c r="R35" s="198"/>
      <c r="S35" s="198"/>
      <c r="T35" s="198"/>
      <c r="U35" s="198"/>
    </row>
    <row r="36" spans="1:21" s="12" customFormat="1" ht="15">
      <c r="A36" s="201" t="s">
        <v>1713</v>
      </c>
      <c r="B36" s="8" t="s">
        <v>34</v>
      </c>
      <c r="C36" s="8" t="s">
        <v>34</v>
      </c>
      <c r="D36" s="8" t="s">
        <v>34</v>
      </c>
      <c r="E36" s="8" t="s">
        <v>34</v>
      </c>
      <c r="F36" s="8" t="s">
        <v>34</v>
      </c>
      <c r="G36" s="8" t="s">
        <v>34</v>
      </c>
      <c r="H36" s="8" t="s">
        <v>34</v>
      </c>
      <c r="I36" s="8" t="s">
        <v>34</v>
      </c>
      <c r="J36" s="8" t="s">
        <v>34</v>
      </c>
      <c r="K36" s="8" t="s">
        <v>34</v>
      </c>
      <c r="L36" s="8" t="s">
        <v>34</v>
      </c>
      <c r="M36" s="8" t="s">
        <v>34</v>
      </c>
      <c r="N36" s="8" t="s">
        <v>34</v>
      </c>
      <c r="O36" s="8" t="s">
        <v>34</v>
      </c>
      <c r="P36" s="8" t="s">
        <v>34</v>
      </c>
      <c r="Q36" s="8" t="s">
        <v>34</v>
      </c>
      <c r="R36" s="198"/>
      <c r="S36" s="198"/>
      <c r="T36" s="198"/>
      <c r="U36" s="198"/>
    </row>
    <row r="37" spans="1:21" s="12" customFormat="1" ht="15">
      <c r="A37" s="201" t="s">
        <v>1714</v>
      </c>
      <c r="B37" s="8" t="s">
        <v>34</v>
      </c>
      <c r="C37" s="8" t="s">
        <v>34</v>
      </c>
      <c r="D37" s="8" t="s">
        <v>34</v>
      </c>
      <c r="E37" s="8" t="s">
        <v>34</v>
      </c>
      <c r="F37" s="8" t="s">
        <v>34</v>
      </c>
      <c r="G37" s="8" t="s">
        <v>34</v>
      </c>
      <c r="H37" s="8" t="s">
        <v>34</v>
      </c>
      <c r="I37" s="8" t="s">
        <v>34</v>
      </c>
      <c r="J37" s="8" t="s">
        <v>34</v>
      </c>
      <c r="K37" s="8" t="s">
        <v>34</v>
      </c>
      <c r="L37" s="8" t="s">
        <v>34</v>
      </c>
      <c r="M37" s="8" t="s">
        <v>34</v>
      </c>
      <c r="N37" s="8" t="s">
        <v>34</v>
      </c>
      <c r="O37" s="8" t="s">
        <v>34</v>
      </c>
      <c r="P37" s="8" t="s">
        <v>34</v>
      </c>
      <c r="Q37" s="8" t="s">
        <v>34</v>
      </c>
      <c r="R37" s="198"/>
      <c r="S37" s="198"/>
      <c r="T37" s="198"/>
      <c r="U37" s="198"/>
    </row>
    <row r="38" spans="1:21" s="12" customFormat="1" ht="15">
      <c r="A38" s="201" t="s">
        <v>1715</v>
      </c>
      <c r="B38" s="8" t="s">
        <v>34</v>
      </c>
      <c r="C38" s="8" t="s">
        <v>34</v>
      </c>
      <c r="D38" s="8" t="s">
        <v>34</v>
      </c>
      <c r="E38" s="8" t="s">
        <v>34</v>
      </c>
      <c r="F38" s="8" t="s">
        <v>34</v>
      </c>
      <c r="G38" s="8" t="s">
        <v>34</v>
      </c>
      <c r="H38" s="8" t="s">
        <v>34</v>
      </c>
      <c r="I38" s="8" t="s">
        <v>34</v>
      </c>
      <c r="J38" s="8" t="s">
        <v>34</v>
      </c>
      <c r="K38" s="8" t="s">
        <v>34</v>
      </c>
      <c r="L38" s="8" t="s">
        <v>34</v>
      </c>
      <c r="M38" s="8" t="s">
        <v>34</v>
      </c>
      <c r="N38" s="8" t="s">
        <v>34</v>
      </c>
      <c r="O38" s="8" t="s">
        <v>34</v>
      </c>
      <c r="P38" s="8" t="s">
        <v>34</v>
      </c>
      <c r="Q38" s="8" t="s">
        <v>34</v>
      </c>
      <c r="R38" s="198"/>
      <c r="S38" s="198"/>
      <c r="T38" s="198"/>
      <c r="U38" s="198"/>
    </row>
    <row r="39" spans="1:21" s="12" customFormat="1" ht="15">
      <c r="A39" s="201" t="s">
        <v>1716</v>
      </c>
      <c r="B39" s="8" t="s">
        <v>34</v>
      </c>
      <c r="C39" s="8" t="s">
        <v>34</v>
      </c>
      <c r="D39" s="8" t="s">
        <v>34</v>
      </c>
      <c r="E39" s="8" t="s">
        <v>34</v>
      </c>
      <c r="F39" s="8" t="s">
        <v>34</v>
      </c>
      <c r="G39" s="8" t="s">
        <v>34</v>
      </c>
      <c r="H39" s="8" t="s">
        <v>34</v>
      </c>
      <c r="I39" s="8" t="s">
        <v>34</v>
      </c>
      <c r="J39" s="8" t="s">
        <v>34</v>
      </c>
      <c r="K39" s="8" t="s">
        <v>34</v>
      </c>
      <c r="L39" s="8" t="s">
        <v>34</v>
      </c>
      <c r="M39" s="8" t="s">
        <v>34</v>
      </c>
      <c r="N39" s="8" t="s">
        <v>34</v>
      </c>
      <c r="O39" s="8" t="s">
        <v>34</v>
      </c>
      <c r="P39" s="8" t="s">
        <v>34</v>
      </c>
      <c r="Q39" s="8" t="s">
        <v>34</v>
      </c>
      <c r="R39" s="198"/>
      <c r="S39" s="198"/>
      <c r="T39" s="198"/>
      <c r="U39" s="198"/>
    </row>
    <row r="40" spans="1:21" s="12" customFormat="1" ht="15">
      <c r="A40" s="201" t="s">
        <v>1717</v>
      </c>
      <c r="B40" s="8" t="s">
        <v>34</v>
      </c>
      <c r="C40" s="8" t="s">
        <v>34</v>
      </c>
      <c r="D40" s="8" t="s">
        <v>34</v>
      </c>
      <c r="E40" s="8" t="s">
        <v>34</v>
      </c>
      <c r="F40" s="8" t="s">
        <v>34</v>
      </c>
      <c r="G40" s="8" t="s">
        <v>34</v>
      </c>
      <c r="H40" s="8" t="s">
        <v>34</v>
      </c>
      <c r="I40" s="8" t="s">
        <v>34</v>
      </c>
      <c r="J40" s="8" t="s">
        <v>34</v>
      </c>
      <c r="K40" s="8" t="s">
        <v>34</v>
      </c>
      <c r="L40" s="8" t="s">
        <v>34</v>
      </c>
      <c r="M40" s="8" t="s">
        <v>34</v>
      </c>
      <c r="N40" s="8" t="s">
        <v>34</v>
      </c>
      <c r="O40" s="8" t="s">
        <v>34</v>
      </c>
      <c r="P40" s="8" t="s">
        <v>34</v>
      </c>
      <c r="Q40" s="8" t="s">
        <v>34</v>
      </c>
      <c r="R40" s="198"/>
      <c r="S40" s="198"/>
      <c r="T40" s="198"/>
      <c r="U40" s="198"/>
    </row>
    <row r="41" spans="1:21" s="12" customFormat="1" ht="15">
      <c r="A41" s="201" t="s">
        <v>1718</v>
      </c>
      <c r="B41" s="8" t="s">
        <v>34</v>
      </c>
      <c r="C41" s="8" t="s">
        <v>34</v>
      </c>
      <c r="D41" s="8" t="s">
        <v>34</v>
      </c>
      <c r="E41" s="8" t="s">
        <v>34</v>
      </c>
      <c r="F41" s="8" t="s">
        <v>34</v>
      </c>
      <c r="G41" s="8" t="s">
        <v>34</v>
      </c>
      <c r="H41" s="8" t="s">
        <v>34</v>
      </c>
      <c r="I41" s="8" t="s">
        <v>34</v>
      </c>
      <c r="J41" s="8" t="s">
        <v>34</v>
      </c>
      <c r="K41" s="8" t="s">
        <v>34</v>
      </c>
      <c r="L41" s="8" t="s">
        <v>34</v>
      </c>
      <c r="M41" s="8" t="s">
        <v>34</v>
      </c>
      <c r="N41" s="8" t="s">
        <v>34</v>
      </c>
      <c r="O41" s="8" t="s">
        <v>34</v>
      </c>
      <c r="P41" s="8" t="s">
        <v>34</v>
      </c>
      <c r="Q41" s="8" t="s">
        <v>34</v>
      </c>
      <c r="R41" s="198"/>
      <c r="S41" s="198"/>
      <c r="T41" s="198"/>
      <c r="U41" s="198"/>
    </row>
    <row r="42" spans="1:21" s="12" customFormat="1" ht="15">
      <c r="A42" s="201" t="s">
        <v>1719</v>
      </c>
      <c r="B42" s="8" t="s">
        <v>34</v>
      </c>
      <c r="C42" s="8" t="s">
        <v>34</v>
      </c>
      <c r="D42" s="8" t="s">
        <v>34</v>
      </c>
      <c r="E42" s="8" t="s">
        <v>34</v>
      </c>
      <c r="F42" s="8" t="s">
        <v>34</v>
      </c>
      <c r="G42" s="8" t="s">
        <v>34</v>
      </c>
      <c r="H42" s="8" t="s">
        <v>34</v>
      </c>
      <c r="I42" s="8" t="s">
        <v>34</v>
      </c>
      <c r="J42" s="8" t="s">
        <v>34</v>
      </c>
      <c r="K42" s="8" t="s">
        <v>34</v>
      </c>
      <c r="L42" s="8" t="s">
        <v>34</v>
      </c>
      <c r="M42" s="8" t="s">
        <v>34</v>
      </c>
      <c r="N42" s="8" t="s">
        <v>34</v>
      </c>
      <c r="O42" s="8" t="s">
        <v>34</v>
      </c>
      <c r="P42" s="8" t="s">
        <v>34</v>
      </c>
      <c r="Q42" s="8" t="s">
        <v>34</v>
      </c>
      <c r="R42" s="198"/>
      <c r="S42" s="198"/>
      <c r="T42" s="198"/>
      <c r="U42" s="198"/>
    </row>
    <row r="43" spans="1:21" s="12" customFormat="1" ht="15">
      <c r="A43" s="201" t="s">
        <v>1720</v>
      </c>
      <c r="B43" s="8" t="s">
        <v>34</v>
      </c>
      <c r="C43" s="8" t="s">
        <v>34</v>
      </c>
      <c r="D43" s="8" t="s">
        <v>34</v>
      </c>
      <c r="E43" s="8" t="s">
        <v>34</v>
      </c>
      <c r="F43" s="8" t="s">
        <v>34</v>
      </c>
      <c r="G43" s="8" t="s">
        <v>34</v>
      </c>
      <c r="H43" s="8" t="s">
        <v>34</v>
      </c>
      <c r="I43" s="8" t="s">
        <v>34</v>
      </c>
      <c r="J43" s="8" t="s">
        <v>34</v>
      </c>
      <c r="K43" s="8" t="s">
        <v>34</v>
      </c>
      <c r="L43" s="8" t="s">
        <v>34</v>
      </c>
      <c r="M43" s="8" t="s">
        <v>34</v>
      </c>
      <c r="N43" s="8" t="s">
        <v>34</v>
      </c>
      <c r="O43" s="8" t="s">
        <v>34</v>
      </c>
      <c r="P43" s="8" t="s">
        <v>34</v>
      </c>
      <c r="Q43" s="8" t="s">
        <v>34</v>
      </c>
      <c r="R43" s="198"/>
      <c r="S43" s="198"/>
      <c r="T43" s="198"/>
      <c r="U43" s="198"/>
    </row>
    <row r="44" spans="1:21" s="12" customFormat="1" ht="15">
      <c r="A44" s="201" t="s">
        <v>1721</v>
      </c>
      <c r="B44" s="8" t="s">
        <v>34</v>
      </c>
      <c r="C44" s="8" t="s">
        <v>34</v>
      </c>
      <c r="D44" s="8" t="s">
        <v>34</v>
      </c>
      <c r="E44" s="8" t="s">
        <v>34</v>
      </c>
      <c r="F44" s="8" t="s">
        <v>34</v>
      </c>
      <c r="G44" s="8" t="s">
        <v>34</v>
      </c>
      <c r="H44" s="8" t="s">
        <v>34</v>
      </c>
      <c r="I44" s="8" t="s">
        <v>34</v>
      </c>
      <c r="J44" s="8" t="s">
        <v>34</v>
      </c>
      <c r="K44" s="8" t="s">
        <v>34</v>
      </c>
      <c r="L44" s="8" t="s">
        <v>34</v>
      </c>
      <c r="M44" s="8" t="s">
        <v>34</v>
      </c>
      <c r="N44" s="8" t="s">
        <v>34</v>
      </c>
      <c r="O44" s="8" t="s">
        <v>34</v>
      </c>
      <c r="P44" s="8" t="s">
        <v>34</v>
      </c>
      <c r="Q44" s="8" t="s">
        <v>34</v>
      </c>
      <c r="R44" s="198"/>
      <c r="S44" s="198"/>
      <c r="T44" s="198"/>
      <c r="U44" s="198"/>
    </row>
    <row r="45" spans="1:21" s="12" customFormat="1" ht="15">
      <c r="A45" s="201" t="s">
        <v>1722</v>
      </c>
      <c r="B45" s="8" t="s">
        <v>34</v>
      </c>
      <c r="C45" s="8" t="s">
        <v>34</v>
      </c>
      <c r="D45" s="8" t="s">
        <v>34</v>
      </c>
      <c r="E45" s="8" t="s">
        <v>34</v>
      </c>
      <c r="F45" s="8" t="s">
        <v>34</v>
      </c>
      <c r="G45" s="8" t="s">
        <v>34</v>
      </c>
      <c r="H45" s="8" t="s">
        <v>34</v>
      </c>
      <c r="I45" s="8" t="s">
        <v>34</v>
      </c>
      <c r="J45" s="8" t="s">
        <v>34</v>
      </c>
      <c r="K45" s="8" t="s">
        <v>34</v>
      </c>
      <c r="L45" s="8" t="s">
        <v>34</v>
      </c>
      <c r="M45" s="8" t="s">
        <v>34</v>
      </c>
      <c r="N45" s="8" t="s">
        <v>34</v>
      </c>
      <c r="O45" s="8" t="s">
        <v>34</v>
      </c>
      <c r="P45" s="8" t="s">
        <v>34</v>
      </c>
      <c r="Q45" s="8" t="s">
        <v>34</v>
      </c>
      <c r="R45" s="198"/>
      <c r="S45" s="198"/>
      <c r="T45" s="198"/>
      <c r="U45" s="198"/>
    </row>
    <row r="46" spans="1:21" s="12" customFormat="1" ht="15">
      <c r="A46" s="201" t="s">
        <v>1723</v>
      </c>
      <c r="B46" s="8" t="s">
        <v>34</v>
      </c>
      <c r="C46" s="8" t="s">
        <v>34</v>
      </c>
      <c r="D46" s="8" t="s">
        <v>34</v>
      </c>
      <c r="E46" s="8" t="s">
        <v>34</v>
      </c>
      <c r="F46" s="8" t="s">
        <v>34</v>
      </c>
      <c r="G46" s="8" t="s">
        <v>34</v>
      </c>
      <c r="H46" s="8" t="s">
        <v>34</v>
      </c>
      <c r="I46" s="8" t="s">
        <v>34</v>
      </c>
      <c r="J46" s="8" t="s">
        <v>34</v>
      </c>
      <c r="K46" s="8" t="s">
        <v>34</v>
      </c>
      <c r="L46" s="8" t="s">
        <v>34</v>
      </c>
      <c r="M46" s="8" t="s">
        <v>34</v>
      </c>
      <c r="N46" s="8" t="s">
        <v>34</v>
      </c>
      <c r="O46" s="8" t="s">
        <v>34</v>
      </c>
      <c r="P46" s="8" t="s">
        <v>34</v>
      </c>
      <c r="Q46" s="8" t="s">
        <v>34</v>
      </c>
      <c r="R46" s="198"/>
      <c r="S46" s="198"/>
      <c r="T46" s="198"/>
      <c r="U46" s="198"/>
    </row>
    <row r="47" spans="1:21" s="12" customFormat="1" ht="15">
      <c r="A47" s="201" t="s">
        <v>1724</v>
      </c>
      <c r="B47" s="8" t="s">
        <v>34</v>
      </c>
      <c r="C47" s="8" t="s">
        <v>34</v>
      </c>
      <c r="D47" s="8" t="s">
        <v>34</v>
      </c>
      <c r="E47" s="8" t="s">
        <v>34</v>
      </c>
      <c r="F47" s="8" t="s">
        <v>34</v>
      </c>
      <c r="G47" s="8" t="s">
        <v>34</v>
      </c>
      <c r="H47" s="8" t="s">
        <v>34</v>
      </c>
      <c r="I47" s="8" t="s">
        <v>34</v>
      </c>
      <c r="J47" s="8" t="s">
        <v>34</v>
      </c>
      <c r="K47" s="8" t="s">
        <v>34</v>
      </c>
      <c r="L47" s="8" t="s">
        <v>34</v>
      </c>
      <c r="M47" s="8" t="s">
        <v>34</v>
      </c>
      <c r="N47" s="8" t="s">
        <v>34</v>
      </c>
      <c r="O47" s="8" t="s">
        <v>34</v>
      </c>
      <c r="P47" s="8" t="s">
        <v>34</v>
      </c>
      <c r="Q47" s="8" t="s">
        <v>34</v>
      </c>
      <c r="R47" s="198"/>
      <c r="S47" s="198"/>
      <c r="T47" s="198"/>
      <c r="U47" s="198"/>
    </row>
    <row r="48" spans="1:21" s="12" customFormat="1" ht="15">
      <c r="A48" s="201" t="s">
        <v>1725</v>
      </c>
      <c r="B48" s="8" t="s">
        <v>34</v>
      </c>
      <c r="C48" s="8" t="s">
        <v>34</v>
      </c>
      <c r="D48" s="8" t="s">
        <v>34</v>
      </c>
      <c r="E48" s="8" t="s">
        <v>34</v>
      </c>
      <c r="F48" s="8" t="s">
        <v>34</v>
      </c>
      <c r="G48" s="8" t="s">
        <v>34</v>
      </c>
      <c r="H48" s="8" t="s">
        <v>34</v>
      </c>
      <c r="I48" s="8" t="s">
        <v>34</v>
      </c>
      <c r="J48" s="8" t="s">
        <v>34</v>
      </c>
      <c r="K48" s="8" t="s">
        <v>34</v>
      </c>
      <c r="L48" s="8" t="s">
        <v>34</v>
      </c>
      <c r="M48" s="8" t="s">
        <v>34</v>
      </c>
      <c r="N48" s="8" t="s">
        <v>34</v>
      </c>
      <c r="O48" s="8" t="s">
        <v>34</v>
      </c>
      <c r="P48" s="8" t="s">
        <v>34</v>
      </c>
      <c r="Q48" s="8" t="s">
        <v>34</v>
      </c>
      <c r="R48" s="198"/>
      <c r="S48" s="198"/>
      <c r="T48" s="198"/>
      <c r="U48" s="198"/>
    </row>
    <row r="49" spans="1:21" s="12" customFormat="1" ht="15">
      <c r="A49" s="201" t="s">
        <v>1726</v>
      </c>
      <c r="B49" s="8" t="s">
        <v>34</v>
      </c>
      <c r="C49" s="8" t="s">
        <v>34</v>
      </c>
      <c r="D49" s="8" t="s">
        <v>34</v>
      </c>
      <c r="E49" s="8" t="s">
        <v>34</v>
      </c>
      <c r="F49" s="8" t="s">
        <v>34</v>
      </c>
      <c r="G49" s="8" t="s">
        <v>34</v>
      </c>
      <c r="H49" s="8" t="s">
        <v>34</v>
      </c>
      <c r="I49" s="8" t="s">
        <v>34</v>
      </c>
      <c r="J49" s="8" t="s">
        <v>34</v>
      </c>
      <c r="K49" s="8" t="s">
        <v>34</v>
      </c>
      <c r="L49" s="8" t="s">
        <v>34</v>
      </c>
      <c r="M49" s="8" t="s">
        <v>34</v>
      </c>
      <c r="N49" s="8" t="s">
        <v>34</v>
      </c>
      <c r="O49" s="8" t="s">
        <v>34</v>
      </c>
      <c r="P49" s="8" t="s">
        <v>34</v>
      </c>
      <c r="Q49" s="8" t="s">
        <v>34</v>
      </c>
      <c r="R49" s="198"/>
      <c r="S49" s="198"/>
      <c r="T49" s="198"/>
      <c r="U49" s="198"/>
    </row>
    <row r="50" spans="1:21" s="12" customFormat="1" ht="15">
      <c r="A50" s="201" t="s">
        <v>1727</v>
      </c>
      <c r="B50" s="8" t="s">
        <v>34</v>
      </c>
      <c r="C50" s="8" t="s">
        <v>34</v>
      </c>
      <c r="D50" s="8" t="s">
        <v>34</v>
      </c>
      <c r="E50" s="8" t="s">
        <v>34</v>
      </c>
      <c r="F50" s="8" t="s">
        <v>34</v>
      </c>
      <c r="G50" s="8" t="s">
        <v>34</v>
      </c>
      <c r="H50" s="8" t="s">
        <v>34</v>
      </c>
      <c r="I50" s="8" t="s">
        <v>34</v>
      </c>
      <c r="J50" s="8" t="s">
        <v>34</v>
      </c>
      <c r="K50" s="8" t="s">
        <v>34</v>
      </c>
      <c r="L50" s="8" t="s">
        <v>34</v>
      </c>
      <c r="M50" s="8" t="s">
        <v>34</v>
      </c>
      <c r="N50" s="8" t="s">
        <v>34</v>
      </c>
      <c r="O50" s="8" t="s">
        <v>34</v>
      </c>
      <c r="P50" s="8" t="s">
        <v>34</v>
      </c>
      <c r="Q50" s="8" t="s">
        <v>34</v>
      </c>
      <c r="R50" s="198"/>
      <c r="S50" s="198"/>
      <c r="T50" s="198"/>
      <c r="U50" s="198"/>
    </row>
    <row r="51" spans="1:21" s="12" customFormat="1" ht="15">
      <c r="A51" s="201" t="s">
        <v>1728</v>
      </c>
      <c r="B51" s="8" t="s">
        <v>34</v>
      </c>
      <c r="C51" s="8" t="s">
        <v>34</v>
      </c>
      <c r="D51" s="8" t="s">
        <v>34</v>
      </c>
      <c r="E51" s="8" t="s">
        <v>34</v>
      </c>
      <c r="F51" s="8" t="s">
        <v>34</v>
      </c>
      <c r="G51" s="8" t="s">
        <v>34</v>
      </c>
      <c r="H51" s="8" t="s">
        <v>34</v>
      </c>
      <c r="I51" s="8" t="s">
        <v>34</v>
      </c>
      <c r="J51" s="8" t="s">
        <v>34</v>
      </c>
      <c r="K51" s="8" t="s">
        <v>34</v>
      </c>
      <c r="L51" s="8" t="s">
        <v>34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34</v>
      </c>
      <c r="R51" s="198"/>
      <c r="S51" s="198"/>
      <c r="T51" s="198"/>
      <c r="U51" s="198"/>
    </row>
    <row r="52" spans="1:21" s="12" customFormat="1" ht="15">
      <c r="A52" s="201" t="s">
        <v>1729</v>
      </c>
      <c r="B52" s="8" t="s">
        <v>34</v>
      </c>
      <c r="C52" s="8" t="s">
        <v>34</v>
      </c>
      <c r="D52" s="8" t="s">
        <v>34</v>
      </c>
      <c r="E52" s="8" t="s">
        <v>34</v>
      </c>
      <c r="F52" s="8" t="s">
        <v>34</v>
      </c>
      <c r="G52" s="8" t="s">
        <v>34</v>
      </c>
      <c r="H52" s="8" t="s">
        <v>34</v>
      </c>
      <c r="I52" s="8" t="s">
        <v>34</v>
      </c>
      <c r="J52" s="8" t="s">
        <v>34</v>
      </c>
      <c r="K52" s="8" t="s">
        <v>34</v>
      </c>
      <c r="L52" s="8" t="s">
        <v>34</v>
      </c>
      <c r="M52" s="8" t="s">
        <v>34</v>
      </c>
      <c r="N52" s="8" t="s">
        <v>34</v>
      </c>
      <c r="O52" s="8" t="s">
        <v>34</v>
      </c>
      <c r="P52" s="8" t="s">
        <v>34</v>
      </c>
      <c r="Q52" s="8" t="s">
        <v>34</v>
      </c>
      <c r="R52" s="198"/>
      <c r="S52" s="198"/>
      <c r="T52" s="198"/>
      <c r="U52" s="198"/>
    </row>
    <row r="53" spans="1:21" s="12" customFormat="1" ht="15">
      <c r="A53" s="201" t="s">
        <v>1730</v>
      </c>
      <c r="B53" s="8" t="s">
        <v>34</v>
      </c>
      <c r="C53" s="8" t="s">
        <v>34</v>
      </c>
      <c r="D53" s="8" t="s">
        <v>34</v>
      </c>
      <c r="E53" s="8" t="s">
        <v>34</v>
      </c>
      <c r="F53" s="8" t="s">
        <v>34</v>
      </c>
      <c r="G53" s="8" t="s">
        <v>34</v>
      </c>
      <c r="H53" s="8" t="s">
        <v>34</v>
      </c>
      <c r="I53" s="8" t="s">
        <v>34</v>
      </c>
      <c r="J53" s="8" t="s">
        <v>34</v>
      </c>
      <c r="K53" s="8" t="s">
        <v>34</v>
      </c>
      <c r="L53" s="8" t="s">
        <v>34</v>
      </c>
      <c r="M53" s="8" t="s">
        <v>34</v>
      </c>
      <c r="N53" s="8" t="s">
        <v>34</v>
      </c>
      <c r="O53" s="8" t="s">
        <v>34</v>
      </c>
      <c r="P53" s="8" t="s">
        <v>34</v>
      </c>
      <c r="Q53" s="8" t="s">
        <v>34</v>
      </c>
      <c r="R53" s="198"/>
      <c r="S53" s="198"/>
      <c r="T53" s="198"/>
      <c r="U53" s="198"/>
    </row>
    <row r="54" spans="1:21" s="12" customFormat="1" ht="15">
      <c r="A54" s="201" t="s">
        <v>1731</v>
      </c>
      <c r="B54" s="8" t="s">
        <v>34</v>
      </c>
      <c r="C54" s="8" t="s">
        <v>34</v>
      </c>
      <c r="D54" s="8" t="s">
        <v>34</v>
      </c>
      <c r="E54" s="8" t="s">
        <v>34</v>
      </c>
      <c r="F54" s="8" t="s">
        <v>34</v>
      </c>
      <c r="G54" s="8" t="s">
        <v>34</v>
      </c>
      <c r="H54" s="8" t="s">
        <v>34</v>
      </c>
      <c r="I54" s="8" t="s">
        <v>34</v>
      </c>
      <c r="J54" s="8" t="s">
        <v>34</v>
      </c>
      <c r="K54" s="8" t="s">
        <v>34</v>
      </c>
      <c r="L54" s="8" t="s">
        <v>34</v>
      </c>
      <c r="M54" s="8" t="s">
        <v>34</v>
      </c>
      <c r="N54" s="8" t="s">
        <v>34</v>
      </c>
      <c r="O54" s="8" t="s">
        <v>34</v>
      </c>
      <c r="P54" s="8" t="s">
        <v>34</v>
      </c>
      <c r="Q54" s="8" t="s">
        <v>34</v>
      </c>
      <c r="R54" s="198"/>
      <c r="S54" s="198"/>
      <c r="T54" s="198"/>
      <c r="U54" s="198"/>
    </row>
    <row r="55" spans="1:21" s="12" customFormat="1" ht="15">
      <c r="A55" s="201" t="s">
        <v>1732</v>
      </c>
      <c r="B55" s="8" t="s">
        <v>34</v>
      </c>
      <c r="C55" s="8" t="s">
        <v>34</v>
      </c>
      <c r="D55" s="8" t="s">
        <v>34</v>
      </c>
      <c r="E55" s="8" t="s">
        <v>34</v>
      </c>
      <c r="F55" s="8" t="s">
        <v>34</v>
      </c>
      <c r="G55" s="8" t="s">
        <v>34</v>
      </c>
      <c r="H55" s="8" t="s">
        <v>34</v>
      </c>
      <c r="I55" s="8" t="s">
        <v>34</v>
      </c>
      <c r="J55" s="8" t="s">
        <v>34</v>
      </c>
      <c r="K55" s="8" t="s">
        <v>34</v>
      </c>
      <c r="L55" s="8" t="s">
        <v>34</v>
      </c>
      <c r="M55" s="8" t="s">
        <v>34</v>
      </c>
      <c r="N55" s="8" t="s">
        <v>34</v>
      </c>
      <c r="O55" s="8" t="s">
        <v>34</v>
      </c>
      <c r="P55" s="8" t="s">
        <v>34</v>
      </c>
      <c r="Q55" s="8" t="s">
        <v>34</v>
      </c>
      <c r="R55" s="198"/>
      <c r="S55" s="198"/>
      <c r="T55" s="198"/>
      <c r="U55" s="198"/>
    </row>
    <row r="56" spans="1:21" s="12" customFormat="1" ht="15">
      <c r="A56" s="201" t="s">
        <v>1733</v>
      </c>
      <c r="B56" s="8" t="s">
        <v>34</v>
      </c>
      <c r="C56" s="8" t="s">
        <v>34</v>
      </c>
      <c r="D56" s="8" t="s">
        <v>34</v>
      </c>
      <c r="E56" s="8" t="s">
        <v>34</v>
      </c>
      <c r="F56" s="8" t="s">
        <v>34</v>
      </c>
      <c r="G56" s="8" t="s">
        <v>34</v>
      </c>
      <c r="H56" s="8" t="s">
        <v>34</v>
      </c>
      <c r="I56" s="8" t="s">
        <v>34</v>
      </c>
      <c r="J56" s="8" t="s">
        <v>34</v>
      </c>
      <c r="K56" s="8" t="s">
        <v>34</v>
      </c>
      <c r="L56" s="8" t="s">
        <v>34</v>
      </c>
      <c r="M56" s="8" t="s">
        <v>34</v>
      </c>
      <c r="N56" s="8" t="s">
        <v>34</v>
      </c>
      <c r="O56" s="8" t="s">
        <v>34</v>
      </c>
      <c r="P56" s="8" t="s">
        <v>34</v>
      </c>
      <c r="Q56" s="8" t="s">
        <v>34</v>
      </c>
      <c r="R56" s="198"/>
      <c r="S56" s="198"/>
      <c r="T56" s="198"/>
      <c r="U56" s="198"/>
    </row>
    <row r="57" spans="1:21" s="12" customFormat="1" ht="15">
      <c r="A57" s="201" t="s">
        <v>1734</v>
      </c>
      <c r="B57" s="8" t="s">
        <v>34</v>
      </c>
      <c r="C57" s="8" t="s">
        <v>34</v>
      </c>
      <c r="D57" s="8" t="s">
        <v>34</v>
      </c>
      <c r="E57" s="8" t="s">
        <v>34</v>
      </c>
      <c r="F57" s="8" t="s">
        <v>34</v>
      </c>
      <c r="G57" s="8" t="s">
        <v>34</v>
      </c>
      <c r="H57" s="8" t="s">
        <v>34</v>
      </c>
      <c r="I57" s="8" t="s">
        <v>34</v>
      </c>
      <c r="J57" s="8" t="s">
        <v>34</v>
      </c>
      <c r="K57" s="8" t="s">
        <v>34</v>
      </c>
      <c r="L57" s="8" t="s">
        <v>34</v>
      </c>
      <c r="M57" s="8" t="s">
        <v>34</v>
      </c>
      <c r="N57" s="8" t="s">
        <v>34</v>
      </c>
      <c r="O57" s="8" t="s">
        <v>34</v>
      </c>
      <c r="P57" s="8" t="s">
        <v>34</v>
      </c>
      <c r="Q57" s="8" t="s">
        <v>34</v>
      </c>
      <c r="R57" s="198"/>
      <c r="S57" s="198"/>
      <c r="T57" s="198"/>
      <c r="U57" s="198"/>
    </row>
    <row r="58" spans="1:21" s="12" customFormat="1" ht="15">
      <c r="A58" s="201" t="s">
        <v>1735</v>
      </c>
      <c r="B58" s="8" t="s">
        <v>34</v>
      </c>
      <c r="C58" s="8" t="s">
        <v>34</v>
      </c>
      <c r="D58" s="8" t="s">
        <v>34</v>
      </c>
      <c r="E58" s="8" t="s">
        <v>34</v>
      </c>
      <c r="F58" s="8" t="s">
        <v>34</v>
      </c>
      <c r="G58" s="8" t="s">
        <v>34</v>
      </c>
      <c r="H58" s="8" t="s">
        <v>34</v>
      </c>
      <c r="I58" s="8" t="s">
        <v>34</v>
      </c>
      <c r="J58" s="8" t="s">
        <v>34</v>
      </c>
      <c r="K58" s="8" t="s">
        <v>34</v>
      </c>
      <c r="L58" s="8" t="s">
        <v>34</v>
      </c>
      <c r="M58" s="8" t="s">
        <v>34</v>
      </c>
      <c r="N58" s="8" t="s">
        <v>34</v>
      </c>
      <c r="O58" s="8" t="s">
        <v>34</v>
      </c>
      <c r="P58" s="8" t="s">
        <v>34</v>
      </c>
      <c r="Q58" s="8" t="s">
        <v>34</v>
      </c>
      <c r="R58" s="198"/>
      <c r="S58" s="198"/>
      <c r="T58" s="198"/>
      <c r="U58" s="198"/>
    </row>
    <row r="59" spans="1:21" s="12" customFormat="1" ht="15">
      <c r="A59" s="201" t="s">
        <v>1736</v>
      </c>
      <c r="B59" s="8" t="s">
        <v>34</v>
      </c>
      <c r="C59" s="8" t="s">
        <v>34</v>
      </c>
      <c r="D59" s="8" t="s">
        <v>34</v>
      </c>
      <c r="E59" s="8" t="s">
        <v>34</v>
      </c>
      <c r="F59" s="8" t="s">
        <v>34</v>
      </c>
      <c r="G59" s="8" t="s">
        <v>34</v>
      </c>
      <c r="H59" s="8" t="s">
        <v>34</v>
      </c>
      <c r="I59" s="8" t="s">
        <v>34</v>
      </c>
      <c r="J59" s="8" t="s">
        <v>34</v>
      </c>
      <c r="K59" s="8" t="s">
        <v>34</v>
      </c>
      <c r="L59" s="8" t="s">
        <v>34</v>
      </c>
      <c r="M59" s="8" t="s">
        <v>34</v>
      </c>
      <c r="N59" s="8" t="s">
        <v>34</v>
      </c>
      <c r="O59" s="8" t="s">
        <v>34</v>
      </c>
      <c r="P59" s="8" t="s">
        <v>34</v>
      </c>
      <c r="Q59" s="8" t="s">
        <v>34</v>
      </c>
      <c r="R59" s="198"/>
      <c r="S59" s="198"/>
      <c r="T59" s="198"/>
      <c r="U59" s="198"/>
    </row>
    <row r="60" spans="1:21" s="12" customFormat="1" ht="15">
      <c r="A60" s="201" t="s">
        <v>1737</v>
      </c>
      <c r="B60" s="8" t="s">
        <v>34</v>
      </c>
      <c r="C60" s="8" t="s">
        <v>34</v>
      </c>
      <c r="D60" s="8" t="s">
        <v>34</v>
      </c>
      <c r="E60" s="8" t="s">
        <v>34</v>
      </c>
      <c r="F60" s="8" t="s">
        <v>34</v>
      </c>
      <c r="G60" s="8" t="s">
        <v>34</v>
      </c>
      <c r="H60" s="8" t="s">
        <v>34</v>
      </c>
      <c r="I60" s="8" t="s">
        <v>34</v>
      </c>
      <c r="J60" s="8" t="s">
        <v>34</v>
      </c>
      <c r="K60" s="8" t="s">
        <v>34</v>
      </c>
      <c r="L60" s="8" t="s">
        <v>34</v>
      </c>
      <c r="M60" s="8" t="s">
        <v>34</v>
      </c>
      <c r="N60" s="8" t="s">
        <v>34</v>
      </c>
      <c r="O60" s="8" t="s">
        <v>34</v>
      </c>
      <c r="P60" s="8" t="s">
        <v>34</v>
      </c>
      <c r="Q60" s="8" t="s">
        <v>34</v>
      </c>
      <c r="R60" s="198"/>
      <c r="S60" s="198"/>
      <c r="T60" s="198"/>
      <c r="U60" s="198"/>
    </row>
    <row r="61" spans="1:21" s="12" customFormat="1" ht="15">
      <c r="A61" s="201" t="s">
        <v>1738</v>
      </c>
      <c r="B61" s="8" t="s">
        <v>34</v>
      </c>
      <c r="C61" s="8" t="s">
        <v>34</v>
      </c>
      <c r="D61" s="8" t="s">
        <v>34</v>
      </c>
      <c r="E61" s="8" t="s">
        <v>34</v>
      </c>
      <c r="F61" s="8" t="s">
        <v>34</v>
      </c>
      <c r="G61" s="8" t="s">
        <v>34</v>
      </c>
      <c r="H61" s="8" t="s">
        <v>34</v>
      </c>
      <c r="I61" s="8" t="s">
        <v>34</v>
      </c>
      <c r="J61" s="8" t="s">
        <v>34</v>
      </c>
      <c r="K61" s="8" t="s">
        <v>34</v>
      </c>
      <c r="L61" s="8" t="s">
        <v>34</v>
      </c>
      <c r="M61" s="8" t="s">
        <v>34</v>
      </c>
      <c r="N61" s="8" t="s">
        <v>34</v>
      </c>
      <c r="O61" s="8" t="s">
        <v>34</v>
      </c>
      <c r="P61" s="8" t="s">
        <v>34</v>
      </c>
      <c r="Q61" s="8" t="s">
        <v>34</v>
      </c>
      <c r="R61" s="198"/>
      <c r="S61" s="198"/>
      <c r="T61" s="198"/>
      <c r="U61" s="198"/>
    </row>
    <row r="62" spans="1:21" s="12" customFormat="1" ht="15">
      <c r="A62" s="201" t="s">
        <v>1739</v>
      </c>
      <c r="B62" s="8" t="s">
        <v>34</v>
      </c>
      <c r="C62" s="8" t="s">
        <v>34</v>
      </c>
      <c r="D62" s="8" t="s">
        <v>34</v>
      </c>
      <c r="E62" s="8" t="s">
        <v>34</v>
      </c>
      <c r="F62" s="8" t="s">
        <v>34</v>
      </c>
      <c r="G62" s="8" t="s">
        <v>34</v>
      </c>
      <c r="H62" s="8" t="s">
        <v>34</v>
      </c>
      <c r="I62" s="8" t="s">
        <v>34</v>
      </c>
      <c r="J62" s="8" t="s">
        <v>34</v>
      </c>
      <c r="K62" s="8" t="s">
        <v>34</v>
      </c>
      <c r="L62" s="8" t="s">
        <v>34</v>
      </c>
      <c r="M62" s="8" t="s">
        <v>34</v>
      </c>
      <c r="N62" s="8" t="s">
        <v>34</v>
      </c>
      <c r="O62" s="8" t="s">
        <v>34</v>
      </c>
      <c r="P62" s="8" t="s">
        <v>34</v>
      </c>
      <c r="Q62" s="8" t="s">
        <v>34</v>
      </c>
      <c r="R62" s="198"/>
      <c r="S62" s="198"/>
      <c r="T62" s="198"/>
      <c r="U62" s="198"/>
    </row>
    <row r="63" spans="1:21" s="12" customFormat="1" ht="15">
      <c r="A63" s="201" t="s">
        <v>1740</v>
      </c>
      <c r="B63" s="8" t="s">
        <v>34</v>
      </c>
      <c r="C63" s="8" t="s">
        <v>34</v>
      </c>
      <c r="D63" s="8" t="s">
        <v>34</v>
      </c>
      <c r="E63" s="8" t="s">
        <v>34</v>
      </c>
      <c r="F63" s="8" t="s">
        <v>34</v>
      </c>
      <c r="G63" s="8" t="s">
        <v>34</v>
      </c>
      <c r="H63" s="8" t="s">
        <v>34</v>
      </c>
      <c r="I63" s="8" t="s">
        <v>34</v>
      </c>
      <c r="J63" s="8" t="s">
        <v>34</v>
      </c>
      <c r="K63" s="8" t="s">
        <v>34</v>
      </c>
      <c r="L63" s="8" t="s">
        <v>34</v>
      </c>
      <c r="M63" s="8" t="s">
        <v>34</v>
      </c>
      <c r="N63" s="8" t="s">
        <v>34</v>
      </c>
      <c r="O63" s="8" t="s">
        <v>34</v>
      </c>
      <c r="P63" s="8" t="s">
        <v>34</v>
      </c>
      <c r="Q63" s="8" t="s">
        <v>34</v>
      </c>
      <c r="R63" s="198"/>
      <c r="S63" s="198"/>
      <c r="T63" s="198"/>
      <c r="U63" s="198"/>
    </row>
    <row r="64" spans="1:21" s="12" customFormat="1" ht="15">
      <c r="A64" s="201" t="s">
        <v>1741</v>
      </c>
      <c r="B64" s="8" t="s">
        <v>34</v>
      </c>
      <c r="C64" s="8" t="s">
        <v>34</v>
      </c>
      <c r="D64" s="8" t="s">
        <v>34</v>
      </c>
      <c r="E64" s="8" t="s">
        <v>34</v>
      </c>
      <c r="F64" s="8" t="s">
        <v>34</v>
      </c>
      <c r="G64" s="8" t="s">
        <v>34</v>
      </c>
      <c r="H64" s="8" t="s">
        <v>34</v>
      </c>
      <c r="I64" s="8" t="s">
        <v>34</v>
      </c>
      <c r="J64" s="8" t="s">
        <v>34</v>
      </c>
      <c r="K64" s="8" t="s">
        <v>34</v>
      </c>
      <c r="L64" s="8" t="s">
        <v>34</v>
      </c>
      <c r="M64" s="8" t="s">
        <v>34</v>
      </c>
      <c r="N64" s="8" t="s">
        <v>34</v>
      </c>
      <c r="O64" s="8" t="s">
        <v>34</v>
      </c>
      <c r="P64" s="8" t="s">
        <v>34</v>
      </c>
      <c r="Q64" s="8" t="s">
        <v>34</v>
      </c>
      <c r="R64" s="198"/>
      <c r="S64" s="198"/>
      <c r="T64" s="198"/>
      <c r="U64" s="198"/>
    </row>
    <row r="65" spans="1:21" s="12" customFormat="1" ht="15">
      <c r="A65" s="201" t="s">
        <v>1742</v>
      </c>
      <c r="B65" s="8" t="s">
        <v>34</v>
      </c>
      <c r="C65" s="8" t="s">
        <v>34</v>
      </c>
      <c r="D65" s="8" t="s">
        <v>34</v>
      </c>
      <c r="E65" s="8" t="s">
        <v>34</v>
      </c>
      <c r="F65" s="8" t="s">
        <v>34</v>
      </c>
      <c r="G65" s="8" t="s">
        <v>34</v>
      </c>
      <c r="H65" s="8" t="s">
        <v>34</v>
      </c>
      <c r="I65" s="8" t="s">
        <v>34</v>
      </c>
      <c r="J65" s="8" t="s">
        <v>34</v>
      </c>
      <c r="K65" s="8" t="s">
        <v>34</v>
      </c>
      <c r="L65" s="8" t="s">
        <v>34</v>
      </c>
      <c r="M65" s="8" t="s">
        <v>34</v>
      </c>
      <c r="N65" s="8" t="s">
        <v>34</v>
      </c>
      <c r="O65" s="8" t="s">
        <v>34</v>
      </c>
      <c r="P65" s="8" t="s">
        <v>34</v>
      </c>
      <c r="Q65" s="8" t="s">
        <v>34</v>
      </c>
      <c r="R65" s="198"/>
      <c r="S65" s="198"/>
      <c r="T65" s="198"/>
      <c r="U65" s="198"/>
    </row>
    <row r="66" spans="1:21" s="12" customFormat="1" ht="15">
      <c r="A66" s="201" t="s">
        <v>1743</v>
      </c>
      <c r="B66" s="8" t="s">
        <v>34</v>
      </c>
      <c r="C66" s="8" t="s">
        <v>34</v>
      </c>
      <c r="D66" s="8" t="s">
        <v>34</v>
      </c>
      <c r="E66" s="8" t="s">
        <v>34</v>
      </c>
      <c r="F66" s="8" t="s">
        <v>34</v>
      </c>
      <c r="G66" s="8" t="s">
        <v>34</v>
      </c>
      <c r="H66" s="8" t="s">
        <v>34</v>
      </c>
      <c r="I66" s="8" t="s">
        <v>34</v>
      </c>
      <c r="J66" s="8" t="s">
        <v>34</v>
      </c>
      <c r="K66" s="8" t="s">
        <v>34</v>
      </c>
      <c r="L66" s="8" t="s">
        <v>34</v>
      </c>
      <c r="M66" s="8" t="s">
        <v>34</v>
      </c>
      <c r="N66" s="8" t="s">
        <v>34</v>
      </c>
      <c r="O66" s="8" t="s">
        <v>34</v>
      </c>
      <c r="P66" s="8" t="s">
        <v>34</v>
      </c>
      <c r="Q66" s="8" t="s">
        <v>34</v>
      </c>
      <c r="R66" s="198"/>
      <c r="S66" s="198"/>
      <c r="T66" s="198"/>
      <c r="U66" s="198"/>
    </row>
    <row r="67" spans="1:21" s="12" customFormat="1" ht="15">
      <c r="A67" s="201" t="s">
        <v>1744</v>
      </c>
      <c r="B67" s="8" t="s">
        <v>34</v>
      </c>
      <c r="C67" s="8" t="s">
        <v>34</v>
      </c>
      <c r="D67" s="8" t="s">
        <v>34</v>
      </c>
      <c r="E67" s="8" t="s">
        <v>34</v>
      </c>
      <c r="F67" s="8" t="s">
        <v>34</v>
      </c>
      <c r="G67" s="8" t="s">
        <v>34</v>
      </c>
      <c r="H67" s="8" t="s">
        <v>34</v>
      </c>
      <c r="I67" s="8" t="s">
        <v>34</v>
      </c>
      <c r="J67" s="8" t="s">
        <v>34</v>
      </c>
      <c r="K67" s="8" t="s">
        <v>34</v>
      </c>
      <c r="L67" s="8" t="s">
        <v>34</v>
      </c>
      <c r="M67" s="8" t="s">
        <v>34</v>
      </c>
      <c r="N67" s="8" t="s">
        <v>34</v>
      </c>
      <c r="O67" s="8" t="s">
        <v>34</v>
      </c>
      <c r="P67" s="8" t="s">
        <v>34</v>
      </c>
      <c r="Q67" s="8" t="s">
        <v>34</v>
      </c>
      <c r="R67" s="198"/>
      <c r="S67" s="198"/>
      <c r="T67" s="198"/>
      <c r="U67" s="198"/>
    </row>
    <row r="68" spans="1:21" s="12" customFormat="1" ht="15">
      <c r="A68" s="201" t="s">
        <v>1745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198"/>
      <c r="S68" s="198"/>
      <c r="T68" s="198"/>
      <c r="U68" s="198"/>
    </row>
    <row r="69" spans="1:21" s="12" customFormat="1" ht="15">
      <c r="A69" s="201" t="s">
        <v>1746</v>
      </c>
      <c r="B69" s="8" t="s">
        <v>34</v>
      </c>
      <c r="C69" s="8" t="s">
        <v>34</v>
      </c>
      <c r="D69" s="8" t="s">
        <v>34</v>
      </c>
      <c r="E69" s="8" t="s">
        <v>34</v>
      </c>
      <c r="F69" s="8" t="s">
        <v>34</v>
      </c>
      <c r="G69" s="8" t="s">
        <v>34</v>
      </c>
      <c r="H69" s="8" t="s">
        <v>34</v>
      </c>
      <c r="I69" s="8" t="s">
        <v>34</v>
      </c>
      <c r="J69" s="8" t="s">
        <v>34</v>
      </c>
      <c r="K69" s="8" t="s">
        <v>34</v>
      </c>
      <c r="L69" s="8" t="s">
        <v>34</v>
      </c>
      <c r="M69" s="8" t="s">
        <v>34</v>
      </c>
      <c r="N69" s="8" t="s">
        <v>34</v>
      </c>
      <c r="O69" s="8" t="s">
        <v>34</v>
      </c>
      <c r="P69" s="8" t="s">
        <v>34</v>
      </c>
      <c r="Q69" s="8" t="s">
        <v>34</v>
      </c>
      <c r="R69" s="198"/>
      <c r="S69" s="198"/>
      <c r="T69" s="198"/>
      <c r="U69" s="198"/>
    </row>
    <row r="70" spans="1:21" s="12" customFormat="1" ht="15">
      <c r="A70" s="201" t="s">
        <v>1747</v>
      </c>
      <c r="B70" s="8" t="s">
        <v>34</v>
      </c>
      <c r="C70" s="8" t="s">
        <v>34</v>
      </c>
      <c r="D70" s="8" t="s">
        <v>34</v>
      </c>
      <c r="E70" s="8" t="s">
        <v>34</v>
      </c>
      <c r="F70" s="8" t="s">
        <v>34</v>
      </c>
      <c r="G70" s="8" t="s">
        <v>34</v>
      </c>
      <c r="H70" s="8" t="s">
        <v>34</v>
      </c>
      <c r="I70" s="8" t="s">
        <v>34</v>
      </c>
      <c r="J70" s="8" t="s">
        <v>34</v>
      </c>
      <c r="K70" s="8" t="s">
        <v>34</v>
      </c>
      <c r="L70" s="8" t="s">
        <v>34</v>
      </c>
      <c r="M70" s="8" t="s">
        <v>34</v>
      </c>
      <c r="N70" s="8" t="s">
        <v>34</v>
      </c>
      <c r="O70" s="8" t="s">
        <v>34</v>
      </c>
      <c r="P70" s="8" t="s">
        <v>34</v>
      </c>
      <c r="Q70" s="8" t="s">
        <v>34</v>
      </c>
      <c r="R70" s="198"/>
      <c r="S70" s="198"/>
      <c r="T70" s="198"/>
      <c r="U70" s="198"/>
    </row>
    <row r="71" spans="1:21" s="12" customFormat="1" ht="15">
      <c r="A71" s="201" t="s">
        <v>1748</v>
      </c>
      <c r="B71" s="8" t="s">
        <v>34</v>
      </c>
      <c r="C71" s="8" t="s">
        <v>34</v>
      </c>
      <c r="D71" s="8" t="s">
        <v>34</v>
      </c>
      <c r="E71" s="8" t="s">
        <v>34</v>
      </c>
      <c r="F71" s="8" t="s">
        <v>34</v>
      </c>
      <c r="G71" s="8" t="s">
        <v>34</v>
      </c>
      <c r="H71" s="8" t="s">
        <v>34</v>
      </c>
      <c r="I71" s="8" t="s">
        <v>34</v>
      </c>
      <c r="J71" s="8" t="s">
        <v>34</v>
      </c>
      <c r="K71" s="8" t="s">
        <v>34</v>
      </c>
      <c r="L71" s="8" t="s">
        <v>34</v>
      </c>
      <c r="M71" s="8" t="s">
        <v>34</v>
      </c>
      <c r="N71" s="8" t="s">
        <v>34</v>
      </c>
      <c r="O71" s="8" t="s">
        <v>34</v>
      </c>
      <c r="P71" s="8" t="s">
        <v>34</v>
      </c>
      <c r="Q71" s="8" t="s">
        <v>34</v>
      </c>
      <c r="R71" s="198"/>
      <c r="S71" s="198"/>
      <c r="T71" s="198"/>
      <c r="U71" s="198"/>
    </row>
    <row r="72" spans="1:21" s="12" customFormat="1" ht="15">
      <c r="A72" s="201" t="s">
        <v>1749</v>
      </c>
      <c r="B72" s="8" t="s">
        <v>34</v>
      </c>
      <c r="C72" s="8" t="s">
        <v>34</v>
      </c>
      <c r="D72" s="8" t="s">
        <v>34</v>
      </c>
      <c r="E72" s="8" t="s">
        <v>34</v>
      </c>
      <c r="F72" s="8" t="s">
        <v>34</v>
      </c>
      <c r="G72" s="8" t="s">
        <v>34</v>
      </c>
      <c r="H72" s="8" t="s">
        <v>34</v>
      </c>
      <c r="I72" s="8" t="s">
        <v>34</v>
      </c>
      <c r="J72" s="8" t="s">
        <v>34</v>
      </c>
      <c r="K72" s="8" t="s">
        <v>34</v>
      </c>
      <c r="L72" s="8" t="s">
        <v>34</v>
      </c>
      <c r="M72" s="8" t="s">
        <v>34</v>
      </c>
      <c r="N72" s="8" t="s">
        <v>34</v>
      </c>
      <c r="O72" s="8" t="s">
        <v>34</v>
      </c>
      <c r="P72" s="8" t="s">
        <v>34</v>
      </c>
      <c r="Q72" s="8" t="s">
        <v>34</v>
      </c>
      <c r="R72" s="198"/>
      <c r="S72" s="198"/>
      <c r="T72" s="198"/>
      <c r="U72" s="198"/>
    </row>
    <row r="73" spans="1:21" s="12" customFormat="1" ht="15">
      <c r="A73" s="201" t="s">
        <v>1750</v>
      </c>
      <c r="B73" s="60">
        <v>0.80</v>
      </c>
      <c r="C73" s="60">
        <v>20.53</v>
      </c>
      <c r="D73" s="60">
        <v>21.32</v>
      </c>
      <c r="E73" s="60">
        <v>4.1100000000000003</v>
      </c>
      <c r="F73" s="60">
        <v>4.0999999999999996</v>
      </c>
      <c r="G73" s="60">
        <v>42.11</v>
      </c>
      <c r="H73" s="60">
        <v>14.40</v>
      </c>
      <c r="I73" s="60">
        <v>3.03</v>
      </c>
      <c r="J73" s="60">
        <v>19.850000000000001</v>
      </c>
      <c r="K73" s="60">
        <v>46.40</v>
      </c>
      <c r="L73" s="60">
        <v>24.98</v>
      </c>
      <c r="M73" s="60">
        <v>41.48</v>
      </c>
      <c r="N73" s="10" t="s">
        <v>43</v>
      </c>
      <c r="O73" s="60">
        <v>0</v>
      </c>
      <c r="P73" s="60">
        <v>2.0699999999999998</v>
      </c>
      <c r="Q73" s="8" t="s">
        <v>34</v>
      </c>
      <c r="R73" s="198"/>
      <c r="S73" s="198"/>
      <c r="T73" s="198"/>
      <c r="U73" s="198"/>
    </row>
    <row r="74" spans="1:21" s="12" customFormat="1" ht="15">
      <c r="A74" s="201" t="s">
        <v>1751</v>
      </c>
      <c r="B74" s="60">
        <v>1.1100000000000001</v>
      </c>
      <c r="C74" s="60">
        <v>20.059999999999999</v>
      </c>
      <c r="D74" s="60">
        <v>21.16</v>
      </c>
      <c r="E74" s="60">
        <v>4.32</v>
      </c>
      <c r="F74" s="60">
        <v>4</v>
      </c>
      <c r="G74" s="60">
        <v>42.11</v>
      </c>
      <c r="H74" s="60">
        <v>14.40</v>
      </c>
      <c r="I74" s="60">
        <v>3.01</v>
      </c>
      <c r="J74" s="60">
        <v>17.690000000000001</v>
      </c>
      <c r="K74" s="60">
        <v>46.34</v>
      </c>
      <c r="L74" s="60">
        <v>33.409999999999997</v>
      </c>
      <c r="M74" s="60">
        <v>42.13</v>
      </c>
      <c r="N74" s="10" t="s">
        <v>43</v>
      </c>
      <c r="O74" s="60">
        <v>0</v>
      </c>
      <c r="P74" s="60">
        <v>2.06</v>
      </c>
      <c r="Q74" s="60">
        <v>14.64</v>
      </c>
      <c r="R74" s="198"/>
      <c r="S74" s="198"/>
      <c r="T74" s="198"/>
      <c r="U74" s="198"/>
    </row>
    <row r="75" spans="1:21" s="12" customFormat="1" ht="15">
      <c r="A75" s="201" t="s">
        <v>1752</v>
      </c>
      <c r="B75" s="60">
        <v>1.17</v>
      </c>
      <c r="C75" s="60">
        <v>20.14</v>
      </c>
      <c r="D75" s="60">
        <v>21.31</v>
      </c>
      <c r="E75" s="60">
        <v>4.5599999999999996</v>
      </c>
      <c r="F75" s="60">
        <v>3.63</v>
      </c>
      <c r="G75" s="60">
        <v>42.11</v>
      </c>
      <c r="H75" s="60">
        <v>14.40</v>
      </c>
      <c r="I75" s="60">
        <v>2.99</v>
      </c>
      <c r="J75" s="60">
        <v>10.38</v>
      </c>
      <c r="K75" s="60">
        <v>48.90</v>
      </c>
      <c r="L75" s="60">
        <v>27.64</v>
      </c>
      <c r="M75" s="60">
        <v>41.84</v>
      </c>
      <c r="N75" s="10" t="s">
        <v>43</v>
      </c>
      <c r="O75" s="60">
        <v>0</v>
      </c>
      <c r="P75" s="60">
        <v>2.06</v>
      </c>
      <c r="Q75" s="60">
        <v>13.72</v>
      </c>
      <c r="R75" s="198"/>
      <c r="S75" s="198"/>
      <c r="T75" s="198"/>
      <c r="U75" s="198"/>
    </row>
    <row r="76" spans="1:21" s="12" customFormat="1" ht="15">
      <c r="A76" s="201" t="s">
        <v>1753</v>
      </c>
      <c r="B76" s="60">
        <v>0.82</v>
      </c>
      <c r="C76" s="60">
        <v>19.91</v>
      </c>
      <c r="D76" s="60">
        <v>20.74</v>
      </c>
      <c r="E76" s="60">
        <v>4.91</v>
      </c>
      <c r="F76" s="60">
        <v>3.15</v>
      </c>
      <c r="G76" s="60">
        <v>40.53</v>
      </c>
      <c r="H76" s="60">
        <v>14.53</v>
      </c>
      <c r="I76" s="60">
        <v>2.96</v>
      </c>
      <c r="J76" s="60">
        <v>11.40</v>
      </c>
      <c r="K76" s="60">
        <v>46.66</v>
      </c>
      <c r="L76" s="60">
        <v>24.74</v>
      </c>
      <c r="M76" s="60">
        <v>42.17</v>
      </c>
      <c r="N76" s="10" t="s">
        <v>43</v>
      </c>
      <c r="O76" s="60">
        <v>0</v>
      </c>
      <c r="P76" s="60">
        <v>2.0499999999999998</v>
      </c>
      <c r="Q76" s="60">
        <v>12.76</v>
      </c>
      <c r="R76" s="198"/>
      <c r="S76" s="198"/>
      <c r="T76" s="198"/>
      <c r="U76" s="198"/>
    </row>
    <row r="77" spans="1:21" s="12" customFormat="1" ht="15">
      <c r="A77" s="201" t="s">
        <v>1754</v>
      </c>
      <c r="B77" s="60">
        <v>0.68</v>
      </c>
      <c r="C77" s="60">
        <v>19.73</v>
      </c>
      <c r="D77" s="60">
        <v>20.399999999999999</v>
      </c>
      <c r="E77" s="60">
        <v>4.91</v>
      </c>
      <c r="F77" s="60">
        <v>3.42</v>
      </c>
      <c r="G77" s="60">
        <v>40.03</v>
      </c>
      <c r="H77" s="60">
        <v>14.62</v>
      </c>
      <c r="I77" s="60">
        <v>2.98</v>
      </c>
      <c r="J77" s="60">
        <v>9.5399999999999991</v>
      </c>
      <c r="K77" s="60">
        <v>47.96</v>
      </c>
      <c r="L77" s="60">
        <v>24.25</v>
      </c>
      <c r="M77" s="60">
        <v>41.85</v>
      </c>
      <c r="N77" s="10" t="s">
        <v>43</v>
      </c>
      <c r="O77" s="60">
        <v>0</v>
      </c>
      <c r="P77" s="60">
        <v>2.06</v>
      </c>
      <c r="Q77" s="60">
        <v>12.19</v>
      </c>
      <c r="R77" s="198"/>
      <c r="S77" s="198"/>
      <c r="T77" s="198"/>
      <c r="U77" s="198"/>
    </row>
    <row r="78" spans="1:21" s="12" customFormat="1" ht="15">
      <c r="A78" s="201" t="s">
        <v>1755</v>
      </c>
      <c r="B78" s="60">
        <v>0.59</v>
      </c>
      <c r="C78" s="60">
        <v>18.88</v>
      </c>
      <c r="D78" s="60">
        <v>19.47</v>
      </c>
      <c r="E78" s="60">
        <v>5.22</v>
      </c>
      <c r="F78" s="60">
        <v>3.22</v>
      </c>
      <c r="G78" s="60">
        <v>40.03</v>
      </c>
      <c r="H78" s="60">
        <v>14.62</v>
      </c>
      <c r="I78" s="60">
        <v>2.98</v>
      </c>
      <c r="J78" s="60">
        <v>8.7100000000000009</v>
      </c>
      <c r="K78" s="60">
        <v>46.16</v>
      </c>
      <c r="L78" s="60">
        <v>32.659999999999997</v>
      </c>
      <c r="M78" s="60">
        <v>47.14</v>
      </c>
      <c r="N78" s="10" t="s">
        <v>43</v>
      </c>
      <c r="O78" s="60">
        <v>0</v>
      </c>
      <c r="P78" s="60">
        <v>2.0499999999999998</v>
      </c>
      <c r="Q78" s="60">
        <v>11.73</v>
      </c>
      <c r="R78" s="198"/>
      <c r="S78" s="198"/>
      <c r="T78" s="198"/>
      <c r="U78" s="198"/>
    </row>
    <row r="79" spans="1:21" s="12" customFormat="1" ht="15">
      <c r="A79" s="201" t="s">
        <v>1756</v>
      </c>
      <c r="B79" s="60">
        <v>0.69</v>
      </c>
      <c r="C79" s="60">
        <v>18.690000000000001</v>
      </c>
      <c r="D79" s="60">
        <v>19.38</v>
      </c>
      <c r="E79" s="60">
        <v>5.31</v>
      </c>
      <c r="F79" s="60">
        <v>3.15</v>
      </c>
      <c r="G79" s="60">
        <v>40.03</v>
      </c>
      <c r="H79" s="60">
        <v>14.62</v>
      </c>
      <c r="I79" s="60">
        <v>3.03</v>
      </c>
      <c r="J79" s="60">
        <v>7.59</v>
      </c>
      <c r="K79" s="60">
        <v>46.10</v>
      </c>
      <c r="L79" s="60">
        <v>27.09</v>
      </c>
      <c r="M79" s="60">
        <v>47.71</v>
      </c>
      <c r="N79" s="10" t="s">
        <v>43</v>
      </c>
      <c r="O79" s="60">
        <v>0</v>
      </c>
      <c r="P79" s="60">
        <v>2.0499999999999998</v>
      </c>
      <c r="Q79" s="60">
        <v>11.58</v>
      </c>
      <c r="R79" s="198"/>
      <c r="S79" s="198"/>
      <c r="T79" s="198"/>
      <c r="U79" s="198"/>
    </row>
    <row r="80" spans="1:21" s="12" customFormat="1" ht="15">
      <c r="A80" s="201" t="s">
        <v>1757</v>
      </c>
      <c r="B80" s="60">
        <v>0.96</v>
      </c>
      <c r="C80" s="60">
        <v>19.55</v>
      </c>
      <c r="D80" s="60">
        <v>20.51</v>
      </c>
      <c r="E80" s="60">
        <v>5.5</v>
      </c>
      <c r="F80" s="60">
        <v>2.86</v>
      </c>
      <c r="G80" s="60">
        <v>38.619999999999997</v>
      </c>
      <c r="H80" s="60">
        <v>15.91</v>
      </c>
      <c r="I80" s="60">
        <v>3.02</v>
      </c>
      <c r="J80" s="60">
        <v>6.16</v>
      </c>
      <c r="K80" s="60">
        <v>45.97</v>
      </c>
      <c r="L80" s="60">
        <v>37.21</v>
      </c>
      <c r="M80" s="60">
        <v>49.05</v>
      </c>
      <c r="N80" s="10" t="s">
        <v>43</v>
      </c>
      <c r="O80" s="60">
        <v>0</v>
      </c>
      <c r="P80" s="60">
        <v>2.0699999999999998</v>
      </c>
      <c r="Q80" s="60">
        <v>11.80</v>
      </c>
      <c r="R80" s="198"/>
      <c r="S80" s="198"/>
      <c r="T80" s="198"/>
      <c r="U80" s="198"/>
    </row>
    <row r="81" spans="1:21" s="12" customFormat="1" ht="15">
      <c r="A81" s="201" t="s">
        <v>1758</v>
      </c>
      <c r="B81" s="60">
        <v>1.35</v>
      </c>
      <c r="C81" s="60">
        <v>21.02</v>
      </c>
      <c r="D81" s="60">
        <v>22.37</v>
      </c>
      <c r="E81" s="60">
        <v>5.76</v>
      </c>
      <c r="F81" s="60">
        <v>2.46</v>
      </c>
      <c r="G81" s="60">
        <v>37.81</v>
      </c>
      <c r="H81" s="60">
        <v>16.86</v>
      </c>
      <c r="I81" s="60">
        <v>3.11</v>
      </c>
      <c r="J81" s="60">
        <v>5.19</v>
      </c>
      <c r="K81" s="60">
        <v>46.05</v>
      </c>
      <c r="L81" s="60">
        <v>37.659999999999997</v>
      </c>
      <c r="M81" s="60">
        <v>51.70</v>
      </c>
      <c r="N81" s="10" t="s">
        <v>43</v>
      </c>
      <c r="O81" s="60">
        <v>0</v>
      </c>
      <c r="P81" s="60">
        <v>2.10</v>
      </c>
      <c r="Q81" s="60">
        <v>12.30</v>
      </c>
      <c r="R81" s="198"/>
      <c r="S81" s="198"/>
      <c r="T81" s="198"/>
      <c r="U81" s="198"/>
    </row>
    <row r="82" spans="1:21" s="12" customFormat="1" ht="15">
      <c r="A82" s="201" t="s">
        <v>1759</v>
      </c>
      <c r="B82" s="60">
        <v>1.67</v>
      </c>
      <c r="C82" s="60">
        <v>21.56</v>
      </c>
      <c r="D82" s="60">
        <v>23.22</v>
      </c>
      <c r="E82" s="60">
        <v>5.51</v>
      </c>
      <c r="F82" s="60">
        <v>2.98</v>
      </c>
      <c r="G82" s="60">
        <v>37.81</v>
      </c>
      <c r="H82" s="60">
        <v>16.86</v>
      </c>
      <c r="I82" s="60">
        <v>3.22</v>
      </c>
      <c r="J82" s="60">
        <v>4.5</v>
      </c>
      <c r="K82" s="60">
        <v>46.88</v>
      </c>
      <c r="L82" s="60">
        <v>48.52</v>
      </c>
      <c r="M82" s="60">
        <v>52.95</v>
      </c>
      <c r="N82" s="10" t="s">
        <v>43</v>
      </c>
      <c r="O82" s="60">
        <v>0</v>
      </c>
      <c r="P82" s="60">
        <v>2.14</v>
      </c>
      <c r="Q82" s="60">
        <v>13.25</v>
      </c>
      <c r="R82" s="198"/>
      <c r="S82" s="198"/>
      <c r="T82" s="198"/>
      <c r="U82" s="198"/>
    </row>
    <row r="83" spans="1:21" s="12" customFormat="1" ht="15">
      <c r="A83" s="201" t="s">
        <v>1760</v>
      </c>
      <c r="B83" s="60">
        <v>1.74</v>
      </c>
      <c r="C83" s="60">
        <v>23.41</v>
      </c>
      <c r="D83" s="60">
        <v>25.15</v>
      </c>
      <c r="E83" s="60">
        <v>5.67</v>
      </c>
      <c r="F83" s="60">
        <v>2.23</v>
      </c>
      <c r="G83" s="60">
        <v>37.81</v>
      </c>
      <c r="H83" s="60">
        <v>16.86</v>
      </c>
      <c r="I83" s="60">
        <v>3.36</v>
      </c>
      <c r="J83" s="60">
        <v>3.26</v>
      </c>
      <c r="K83" s="60">
        <v>39.44</v>
      </c>
      <c r="L83" s="60">
        <v>39.72</v>
      </c>
      <c r="M83" s="60">
        <v>51.36</v>
      </c>
      <c r="N83" s="10" t="s">
        <v>43</v>
      </c>
      <c r="O83" s="60">
        <v>0</v>
      </c>
      <c r="P83" s="60">
        <v>2.2000000000000002</v>
      </c>
      <c r="Q83" s="60">
        <v>14.49</v>
      </c>
      <c r="R83" s="198"/>
      <c r="S83" s="198"/>
      <c r="T83" s="198"/>
      <c r="U83" s="198"/>
    </row>
    <row r="84" spans="1:21" s="12" customFormat="1" ht="15">
      <c r="A84" s="201" t="s">
        <v>1761</v>
      </c>
      <c r="B84" s="60">
        <v>2.64</v>
      </c>
      <c r="C84" s="60">
        <v>25.65</v>
      </c>
      <c r="D84" s="60">
        <v>28.30</v>
      </c>
      <c r="E84" s="60">
        <v>5.26</v>
      </c>
      <c r="F84" s="60">
        <v>1.5</v>
      </c>
      <c r="G84" s="60">
        <v>43.34</v>
      </c>
      <c r="H84" s="60">
        <v>17.23</v>
      </c>
      <c r="I84" s="60">
        <v>3.46</v>
      </c>
      <c r="J84" s="60">
        <v>1.62</v>
      </c>
      <c r="K84" s="60">
        <v>335.89</v>
      </c>
      <c r="L84" s="60">
        <v>46.31</v>
      </c>
      <c r="M84" s="60">
        <v>58.96</v>
      </c>
      <c r="N84" s="60">
        <v>83.30</v>
      </c>
      <c r="O84" s="60">
        <v>0</v>
      </c>
      <c r="P84" s="60">
        <v>2.27</v>
      </c>
      <c r="Q84" s="60">
        <v>16.11</v>
      </c>
      <c r="R84" s="198"/>
      <c r="S84" s="198"/>
      <c r="T84" s="198"/>
      <c r="U84" s="198"/>
    </row>
    <row r="85" spans="1:21" s="12" customFormat="1" ht="15">
      <c r="A85" s="201" t="s">
        <v>1762</v>
      </c>
      <c r="B85" s="60">
        <v>3.42</v>
      </c>
      <c r="C85" s="60">
        <v>27.5</v>
      </c>
      <c r="D85" s="60">
        <v>30.91</v>
      </c>
      <c r="E85" s="60">
        <v>5.49</v>
      </c>
      <c r="F85" s="60">
        <v>1.38</v>
      </c>
      <c r="G85" s="60">
        <v>45.08</v>
      </c>
      <c r="H85" s="60">
        <v>17.5</v>
      </c>
      <c r="I85" s="60">
        <v>3.62</v>
      </c>
      <c r="J85" s="60">
        <v>2.0699999999999998</v>
      </c>
      <c r="K85" s="60">
        <v>350.88</v>
      </c>
      <c r="L85" s="60">
        <v>45.72</v>
      </c>
      <c r="M85" s="60">
        <v>63.32</v>
      </c>
      <c r="N85" s="60">
        <v>79.099999999999994</v>
      </c>
      <c r="O85" s="60">
        <v>0</v>
      </c>
      <c r="P85" s="60">
        <v>2.38</v>
      </c>
      <c r="Q85" s="60">
        <v>17.170000000000002</v>
      </c>
      <c r="R85" s="198"/>
      <c r="S85" s="198"/>
      <c r="T85" s="198"/>
      <c r="U85" s="198"/>
    </row>
    <row r="86" spans="1:21" s="12" customFormat="1" ht="15">
      <c r="A86" s="201" t="s">
        <v>1763</v>
      </c>
      <c r="B86" s="60">
        <v>4.4800000000000004</v>
      </c>
      <c r="C86" s="60">
        <v>29.74</v>
      </c>
      <c r="D86" s="60">
        <v>34.22</v>
      </c>
      <c r="E86" s="60">
        <v>5.85</v>
      </c>
      <c r="F86" s="60">
        <v>0.82</v>
      </c>
      <c r="G86" s="60">
        <v>45.08</v>
      </c>
      <c r="H86" s="60">
        <v>17.5</v>
      </c>
      <c r="I86" s="60">
        <v>3.89</v>
      </c>
      <c r="J86" s="60">
        <v>2.27</v>
      </c>
      <c r="K86" s="60">
        <v>24.56</v>
      </c>
      <c r="L86" s="60">
        <v>41.92</v>
      </c>
      <c r="M86" s="60">
        <v>64.75</v>
      </c>
      <c r="N86" s="60">
        <v>79.400000000000006</v>
      </c>
      <c r="O86" s="60">
        <v>0</v>
      </c>
      <c r="P86" s="60">
        <v>2.5099999999999998</v>
      </c>
      <c r="Q86" s="60">
        <v>18.510000000000002</v>
      </c>
      <c r="R86" s="198"/>
      <c r="S86" s="198"/>
      <c r="T86" s="198"/>
      <c r="U86" s="198"/>
    </row>
    <row r="87" spans="1:21" s="12" customFormat="1" ht="15">
      <c r="A87" s="201" t="s">
        <v>1764</v>
      </c>
      <c r="B87" s="60">
        <v>6.45</v>
      </c>
      <c r="C87" s="60">
        <v>30.95</v>
      </c>
      <c r="D87" s="60">
        <v>37.40</v>
      </c>
      <c r="E87" s="60">
        <v>6.08</v>
      </c>
      <c r="F87" s="60">
        <v>0.51</v>
      </c>
      <c r="G87" s="60">
        <v>45.08</v>
      </c>
      <c r="H87" s="60">
        <v>17.5</v>
      </c>
      <c r="I87" s="60">
        <v>4.26</v>
      </c>
      <c r="J87" s="60">
        <v>1.97</v>
      </c>
      <c r="K87" s="60">
        <v>31.53</v>
      </c>
      <c r="L87" s="60">
        <v>42.35</v>
      </c>
      <c r="M87" s="60">
        <v>62.86</v>
      </c>
      <c r="N87" s="60">
        <v>78.70</v>
      </c>
      <c r="O87" s="60">
        <v>0</v>
      </c>
      <c r="P87" s="60">
        <v>2.72</v>
      </c>
      <c r="Q87" s="60">
        <v>19.93</v>
      </c>
      <c r="R87" s="198"/>
      <c r="S87" s="198"/>
      <c r="T87" s="198"/>
      <c r="U87" s="198"/>
    </row>
    <row r="88" spans="1:21" s="12" customFormat="1" ht="15">
      <c r="A88" s="201" t="s">
        <v>1765</v>
      </c>
      <c r="B88" s="60">
        <v>7.76</v>
      </c>
      <c r="C88" s="60">
        <v>31.40</v>
      </c>
      <c r="D88" s="60">
        <v>39.159999999999997</v>
      </c>
      <c r="E88" s="60">
        <v>3.01</v>
      </c>
      <c r="F88" s="60">
        <v>0.61</v>
      </c>
      <c r="G88" s="60">
        <v>68.12</v>
      </c>
      <c r="H88" s="60">
        <v>21.5</v>
      </c>
      <c r="I88" s="60">
        <v>4.72</v>
      </c>
      <c r="J88" s="60">
        <v>2.0299999999999998</v>
      </c>
      <c r="K88" s="60">
        <v>18.190000000000001</v>
      </c>
      <c r="L88" s="60">
        <v>43.18</v>
      </c>
      <c r="M88" s="60">
        <v>63.12</v>
      </c>
      <c r="N88" s="60">
        <v>78.30</v>
      </c>
      <c r="O88" s="60">
        <v>0</v>
      </c>
      <c r="P88" s="60">
        <v>2.86</v>
      </c>
      <c r="Q88" s="60">
        <v>20.82</v>
      </c>
      <c r="R88" s="198"/>
      <c r="S88" s="198"/>
      <c r="T88" s="198"/>
      <c r="U88" s="198"/>
    </row>
    <row r="89" spans="1:21" s="12" customFormat="1" ht="15">
      <c r="A89" s="201" t="s">
        <v>1766</v>
      </c>
      <c r="B89" s="60">
        <v>9.10</v>
      </c>
      <c r="C89" s="60">
        <v>31.95</v>
      </c>
      <c r="D89" s="60">
        <v>41.05</v>
      </c>
      <c r="E89" s="60">
        <v>5.43</v>
      </c>
      <c r="F89" s="60">
        <v>0.59</v>
      </c>
      <c r="G89" s="60">
        <v>75.349999999999994</v>
      </c>
      <c r="H89" s="60">
        <v>24.43</v>
      </c>
      <c r="I89" s="60">
        <v>5.18</v>
      </c>
      <c r="J89" s="60">
        <v>2.3199999999999998</v>
      </c>
      <c r="K89" s="60">
        <v>1.49</v>
      </c>
      <c r="L89" s="60">
        <v>40.82</v>
      </c>
      <c r="M89" s="60">
        <v>63.83</v>
      </c>
      <c r="N89" s="60">
        <v>78.30</v>
      </c>
      <c r="O89" s="60">
        <v>0</v>
      </c>
      <c r="P89" s="60">
        <v>3.08</v>
      </c>
      <c r="Q89" s="60">
        <v>21.48</v>
      </c>
      <c r="R89" s="198"/>
      <c r="S89" s="198"/>
      <c r="T89" s="198"/>
      <c r="U89" s="198"/>
    </row>
    <row r="90" spans="1:21" s="12" customFormat="1" ht="15">
      <c r="A90" s="201" t="s">
        <v>1767</v>
      </c>
      <c r="B90" s="60">
        <v>11.43</v>
      </c>
      <c r="C90" s="60">
        <v>33.44</v>
      </c>
      <c r="D90" s="60">
        <v>44.87</v>
      </c>
      <c r="E90" s="60">
        <v>5.67</v>
      </c>
      <c r="F90" s="60">
        <v>0.40</v>
      </c>
      <c r="G90" s="60">
        <v>75.349999999999994</v>
      </c>
      <c r="H90" s="60">
        <v>24.43</v>
      </c>
      <c r="I90" s="60">
        <v>5.56</v>
      </c>
      <c r="J90" s="60">
        <v>2.0099999999999998</v>
      </c>
      <c r="K90" s="60">
        <v>28.72</v>
      </c>
      <c r="L90" s="60">
        <v>39.74</v>
      </c>
      <c r="M90" s="60">
        <v>64.319999999999993</v>
      </c>
      <c r="N90" s="60">
        <v>79</v>
      </c>
      <c r="O90" s="60">
        <v>0</v>
      </c>
      <c r="P90" s="60">
        <v>3.32</v>
      </c>
      <c r="Q90" s="60">
        <v>22.88</v>
      </c>
      <c r="R90" s="198"/>
      <c r="S90" s="198"/>
      <c r="T90" s="198"/>
      <c r="U90" s="198"/>
    </row>
    <row r="91" spans="1:21" s="12" customFormat="1" ht="15">
      <c r="A91" s="201" t="s">
        <v>1768</v>
      </c>
      <c r="B91" s="60">
        <v>13.20</v>
      </c>
      <c r="C91" s="60">
        <v>33.26</v>
      </c>
      <c r="D91" s="60">
        <v>46.46</v>
      </c>
      <c r="E91" s="60">
        <v>5.63</v>
      </c>
      <c r="F91" s="60">
        <v>0.65</v>
      </c>
      <c r="G91" s="60">
        <v>75.349999999999994</v>
      </c>
      <c r="H91" s="60">
        <v>24.43</v>
      </c>
      <c r="I91" s="60">
        <v>5.97</v>
      </c>
      <c r="J91" s="60">
        <v>2.48</v>
      </c>
      <c r="K91" s="60">
        <v>8.65</v>
      </c>
      <c r="L91" s="60">
        <v>40.10</v>
      </c>
      <c r="M91" s="60">
        <v>63.92</v>
      </c>
      <c r="N91" s="60">
        <v>79.099999999999994</v>
      </c>
      <c r="O91" s="60">
        <v>0</v>
      </c>
      <c r="P91" s="60">
        <v>3.5</v>
      </c>
      <c r="Q91" s="60">
        <v>23.51</v>
      </c>
      <c r="R91" s="198"/>
      <c r="S91" s="198"/>
      <c r="T91" s="198"/>
      <c r="U91" s="198"/>
    </row>
    <row r="92" spans="1:21" s="12" customFormat="1" ht="15">
      <c r="A92" s="201" t="s">
        <v>1769</v>
      </c>
      <c r="B92" s="60">
        <v>15.22</v>
      </c>
      <c r="C92" s="60">
        <v>31.72</v>
      </c>
      <c r="D92" s="60">
        <v>46.94</v>
      </c>
      <c r="E92" s="60">
        <v>5.80</v>
      </c>
      <c r="F92" s="60">
        <v>0.5</v>
      </c>
      <c r="G92" s="60">
        <v>97.41</v>
      </c>
      <c r="H92" s="60">
        <v>28.32</v>
      </c>
      <c r="I92" s="60">
        <v>6.45</v>
      </c>
      <c r="J92" s="60">
        <v>1.78</v>
      </c>
      <c r="K92" s="60">
        <v>25.73</v>
      </c>
      <c r="L92" s="60">
        <v>39.99</v>
      </c>
      <c r="M92" s="60">
        <v>63.70</v>
      </c>
      <c r="N92" s="60">
        <v>80</v>
      </c>
      <c r="O92" s="60">
        <v>0</v>
      </c>
      <c r="P92" s="60">
        <v>3.58</v>
      </c>
      <c r="Q92" s="60">
        <v>23.14</v>
      </c>
      <c r="R92" s="198"/>
      <c r="S92" s="198"/>
      <c r="T92" s="198"/>
      <c r="U92" s="198"/>
    </row>
    <row r="93" spans="1:21" s="12" customFormat="1" ht="15">
      <c r="A93" s="201" t="s">
        <v>1770</v>
      </c>
      <c r="B93" s="60">
        <v>17</v>
      </c>
      <c r="C93" s="60">
        <v>30.84</v>
      </c>
      <c r="D93" s="60">
        <v>47.84</v>
      </c>
      <c r="E93" s="60">
        <v>6.55</v>
      </c>
      <c r="F93" s="60">
        <v>0.53</v>
      </c>
      <c r="G93" s="60">
        <v>104.76</v>
      </c>
      <c r="H93" s="60">
        <v>31.16</v>
      </c>
      <c r="I93" s="60">
        <v>6.95</v>
      </c>
      <c r="J93" s="60">
        <v>2.25</v>
      </c>
      <c r="K93" s="60">
        <v>72.16</v>
      </c>
      <c r="L93" s="60">
        <v>42.09</v>
      </c>
      <c r="M93" s="60">
        <v>63.70</v>
      </c>
      <c r="N93" s="60">
        <v>80.70</v>
      </c>
      <c r="O93" s="60">
        <v>0</v>
      </c>
      <c r="P93" s="60">
        <v>3.62</v>
      </c>
      <c r="Q93" s="60">
        <v>22.45</v>
      </c>
      <c r="R93" s="198"/>
      <c r="S93" s="198"/>
      <c r="T93" s="198"/>
      <c r="U93" s="198"/>
    </row>
    <row r="94" spans="1:21" s="12" customFormat="1" ht="15">
      <c r="A94" s="201" t="s">
        <v>1771</v>
      </c>
      <c r="B94" s="60">
        <v>17.079999999999998</v>
      </c>
      <c r="C94" s="60">
        <v>29.32</v>
      </c>
      <c r="D94" s="60">
        <v>46.40</v>
      </c>
      <c r="E94" s="60">
        <v>6.52</v>
      </c>
      <c r="F94" s="60">
        <v>0.66</v>
      </c>
      <c r="G94" s="60">
        <v>104.76</v>
      </c>
      <c r="H94" s="60">
        <v>31.16</v>
      </c>
      <c r="I94" s="60">
        <v>7.28</v>
      </c>
      <c r="J94" s="60">
        <v>2.5</v>
      </c>
      <c r="K94" s="60">
        <v>85.94</v>
      </c>
      <c r="L94" s="60">
        <v>43.87</v>
      </c>
      <c r="M94" s="60">
        <v>64.08</v>
      </c>
      <c r="N94" s="60">
        <v>80.400000000000006</v>
      </c>
      <c r="O94" s="60">
        <v>0</v>
      </c>
      <c r="P94" s="60">
        <v>3.56</v>
      </c>
      <c r="Q94" s="60">
        <v>21.46</v>
      </c>
      <c r="R94" s="198"/>
      <c r="S94" s="198"/>
      <c r="T94" s="198"/>
      <c r="U94" s="198"/>
    </row>
    <row r="95" spans="1:21" s="12" customFormat="1" ht="15">
      <c r="A95" s="201" t="s">
        <v>1772</v>
      </c>
      <c r="B95" s="60">
        <v>15.86</v>
      </c>
      <c r="C95" s="60">
        <v>27.51</v>
      </c>
      <c r="D95" s="60">
        <v>43.37</v>
      </c>
      <c r="E95" s="60">
        <v>6.73</v>
      </c>
      <c r="F95" s="60">
        <v>0.96</v>
      </c>
      <c r="G95" s="60">
        <v>104.76</v>
      </c>
      <c r="H95" s="60">
        <v>31.16</v>
      </c>
      <c r="I95" s="60">
        <v>7.48</v>
      </c>
      <c r="J95" s="60">
        <v>2</v>
      </c>
      <c r="K95" s="60">
        <v>72.349999999999994</v>
      </c>
      <c r="L95" s="60">
        <v>41.33</v>
      </c>
      <c r="M95" s="60">
        <v>64.930000000000007</v>
      </c>
      <c r="N95" s="60">
        <v>80.400000000000006</v>
      </c>
      <c r="O95" s="60">
        <v>0</v>
      </c>
      <c r="P95" s="60">
        <v>3.5</v>
      </c>
      <c r="Q95" s="60">
        <v>20.37</v>
      </c>
      <c r="R95" s="198"/>
      <c r="S95" s="198"/>
      <c r="T95" s="198"/>
      <c r="U95" s="198"/>
    </row>
    <row r="96" spans="1:26" s="12" customFormat="1" ht="15">
      <c r="A96" s="201" t="s">
        <v>1773</v>
      </c>
      <c r="B96" s="60">
        <v>14.55</v>
      </c>
      <c r="C96" s="60">
        <v>26.48</v>
      </c>
      <c r="D96" s="60">
        <v>41.04</v>
      </c>
      <c r="E96" s="60">
        <v>6.95</v>
      </c>
      <c r="F96" s="60">
        <v>0.93</v>
      </c>
      <c r="G96" s="60">
        <v>101.61</v>
      </c>
      <c r="H96" s="60">
        <v>32.40</v>
      </c>
      <c r="I96" s="60">
        <v>7.48</v>
      </c>
      <c r="J96" s="60">
        <v>2.0099999999999998</v>
      </c>
      <c r="K96" s="60">
        <v>82.04</v>
      </c>
      <c r="L96" s="60">
        <v>41.01</v>
      </c>
      <c r="M96" s="60">
        <v>65.61</v>
      </c>
      <c r="N96" s="60">
        <v>81</v>
      </c>
      <c r="O96" s="60">
        <v>0</v>
      </c>
      <c r="P96" s="60">
        <v>3.44</v>
      </c>
      <c r="Q96" s="60">
        <v>19.80</v>
      </c>
      <c r="R96" s="198"/>
      <c r="S96" s="198"/>
      <c r="T96" s="198"/>
      <c r="U96" s="198"/>
      <c r="Z96" s="109"/>
    </row>
    <row r="97" spans="1:21" s="12" customFormat="1" ht="15">
      <c r="A97" s="201" t="s">
        <v>1774</v>
      </c>
      <c r="B97" s="60">
        <v>13</v>
      </c>
      <c r="C97" s="60">
        <v>25.61</v>
      </c>
      <c r="D97" s="60">
        <v>38.61</v>
      </c>
      <c r="E97" s="60">
        <v>7.36</v>
      </c>
      <c r="F97" s="60">
        <v>0.60</v>
      </c>
      <c r="G97" s="60">
        <v>100.62</v>
      </c>
      <c r="H97" s="60">
        <v>33.299999999999997</v>
      </c>
      <c r="I97" s="60">
        <v>7.42</v>
      </c>
      <c r="J97" s="60">
        <v>1.85</v>
      </c>
      <c r="K97" s="60">
        <v>64.45</v>
      </c>
      <c r="L97" s="60">
        <v>41.21</v>
      </c>
      <c r="M97" s="60">
        <v>66.069999999999993</v>
      </c>
      <c r="N97" s="60">
        <v>81.20</v>
      </c>
      <c r="O97" s="60">
        <v>0</v>
      </c>
      <c r="P97" s="60">
        <v>3.38</v>
      </c>
      <c r="Q97" s="60">
        <v>19.18</v>
      </c>
      <c r="R97" s="198"/>
      <c r="S97" s="198"/>
      <c r="T97" s="198"/>
      <c r="U97" s="198"/>
    </row>
    <row r="98" spans="1:21" s="12" customFormat="1" ht="15">
      <c r="A98" s="201" t="s">
        <v>1775</v>
      </c>
      <c r="B98" s="60">
        <v>11.62</v>
      </c>
      <c r="C98" s="60">
        <v>25.24</v>
      </c>
      <c r="D98" s="60">
        <v>36.85</v>
      </c>
      <c r="E98" s="60">
        <v>7.54</v>
      </c>
      <c r="F98" s="60">
        <v>0.97</v>
      </c>
      <c r="G98" s="60">
        <v>100.62</v>
      </c>
      <c r="H98" s="60">
        <v>33.299999999999997</v>
      </c>
      <c r="I98" s="60">
        <v>7.35</v>
      </c>
      <c r="J98" s="60">
        <v>1.23</v>
      </c>
      <c r="K98" s="60">
        <v>0.59</v>
      </c>
      <c r="L98" s="60">
        <v>40.840000000000003</v>
      </c>
      <c r="M98" s="60">
        <v>67.88</v>
      </c>
      <c r="N98" s="60">
        <v>81.70</v>
      </c>
      <c r="O98" s="60">
        <v>0</v>
      </c>
      <c r="P98" s="60">
        <v>3.31</v>
      </c>
      <c r="Q98" s="60">
        <v>18.86</v>
      </c>
      <c r="R98" s="198"/>
      <c r="S98" s="198"/>
      <c r="T98" s="198"/>
      <c r="U98" s="198"/>
    </row>
    <row r="99" spans="1:21" s="12" customFormat="1" ht="15">
      <c r="A99" s="201" t="s">
        <v>1776</v>
      </c>
      <c r="B99" s="60">
        <v>11.44</v>
      </c>
      <c r="C99" s="60">
        <v>27.75</v>
      </c>
      <c r="D99" s="60">
        <v>39.200000000000003</v>
      </c>
      <c r="E99" s="60">
        <v>7.78</v>
      </c>
      <c r="F99" s="60">
        <v>0.82</v>
      </c>
      <c r="G99" s="60">
        <v>100.62</v>
      </c>
      <c r="H99" s="60">
        <v>33.299999999999997</v>
      </c>
      <c r="I99" s="60">
        <v>7.29</v>
      </c>
      <c r="J99" s="60">
        <v>0.95</v>
      </c>
      <c r="K99" s="60">
        <v>170.43</v>
      </c>
      <c r="L99" s="60">
        <v>40.32</v>
      </c>
      <c r="M99" s="60">
        <v>67.599999999999994</v>
      </c>
      <c r="N99" s="60">
        <v>82.10</v>
      </c>
      <c r="O99" s="60">
        <v>0</v>
      </c>
      <c r="P99" s="60">
        <v>3.30</v>
      </c>
      <c r="Q99" s="60">
        <v>20.05</v>
      </c>
      <c r="R99" s="198"/>
      <c r="S99" s="198"/>
      <c r="T99" s="198"/>
      <c r="U99" s="198"/>
    </row>
    <row r="100" spans="1:33" s="12" customFormat="1" ht="15">
      <c r="A100" s="201" t="s">
        <v>1777</v>
      </c>
      <c r="B100" s="60">
        <v>10.39</v>
      </c>
      <c r="C100" s="60">
        <v>28.31</v>
      </c>
      <c r="D100" s="60">
        <v>38.700000000000003</v>
      </c>
      <c r="E100" s="60">
        <v>7.52</v>
      </c>
      <c r="F100" s="60">
        <v>0.75</v>
      </c>
      <c r="G100" s="60">
        <v>95.99</v>
      </c>
      <c r="H100" s="60">
        <v>34.42</v>
      </c>
      <c r="I100" s="60">
        <v>7.21</v>
      </c>
      <c r="J100" s="60">
        <v>2.33</v>
      </c>
      <c r="K100" s="60">
        <v>176.47</v>
      </c>
      <c r="L100" s="60">
        <v>41.75</v>
      </c>
      <c r="M100" s="60">
        <v>63.58</v>
      </c>
      <c r="N100" s="60">
        <v>81.5</v>
      </c>
      <c r="O100" s="60">
        <v>0</v>
      </c>
      <c r="P100" s="60">
        <v>3.20</v>
      </c>
      <c r="Q100" s="60">
        <v>21.16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1778</v>
      </c>
      <c r="B101" s="60">
        <v>8.31</v>
      </c>
      <c r="C101" s="60">
        <v>28.08</v>
      </c>
      <c r="D101" s="60">
        <v>36.380000000000003</v>
      </c>
      <c r="E101" s="60">
        <v>7.24</v>
      </c>
      <c r="F101" s="60">
        <v>0.74</v>
      </c>
      <c r="G101" s="60">
        <v>94.62</v>
      </c>
      <c r="H101" s="60">
        <v>35.229999999999997</v>
      </c>
      <c r="I101" s="60">
        <v>7.26</v>
      </c>
      <c r="J101" s="60">
        <v>0.65</v>
      </c>
      <c r="K101" s="60">
        <v>274.98</v>
      </c>
      <c r="L101" s="60">
        <v>40.97</v>
      </c>
      <c r="M101" s="60">
        <v>64.91</v>
      </c>
      <c r="N101" s="60">
        <v>83.20</v>
      </c>
      <c r="O101" s="60">
        <v>0</v>
      </c>
      <c r="P101" s="60">
        <v>3.09</v>
      </c>
      <c r="Q101" s="60">
        <v>21.72</v>
      </c>
      <c r="R101" s="198"/>
      <c r="S101" s="198"/>
      <c r="T101" s="198"/>
      <c r="U101" s="198"/>
    </row>
    <row r="102" spans="1:21" s="12" customFormat="1" ht="15">
      <c r="A102" s="201" t="s">
        <v>1779</v>
      </c>
      <c r="B102" s="60">
        <v>7.05</v>
      </c>
      <c r="C102" s="60">
        <v>27.91</v>
      </c>
      <c r="D102" s="60">
        <v>34.97</v>
      </c>
      <c r="E102" s="60">
        <v>6.62</v>
      </c>
      <c r="F102" s="60">
        <v>0.73</v>
      </c>
      <c r="G102" s="60">
        <v>94.62</v>
      </c>
      <c r="H102" s="60">
        <v>35.229999999999997</v>
      </c>
      <c r="I102" s="60">
        <v>7.03</v>
      </c>
      <c r="J102" s="60">
        <v>1.21</v>
      </c>
      <c r="K102" s="60">
        <v>253.36</v>
      </c>
      <c r="L102" s="60">
        <v>40.79</v>
      </c>
      <c r="M102" s="60">
        <v>66.040000000000006</v>
      </c>
      <c r="N102" s="60">
        <v>83.70</v>
      </c>
      <c r="O102" s="60">
        <v>0</v>
      </c>
      <c r="P102" s="60">
        <v>3.03</v>
      </c>
      <c r="Q102" s="60">
        <v>22.36</v>
      </c>
      <c r="R102" s="198"/>
      <c r="S102" s="198"/>
      <c r="T102" s="198"/>
      <c r="U102" s="198"/>
    </row>
    <row r="103" spans="1:21" s="12" customFormat="1" ht="15">
      <c r="A103" s="201" t="s">
        <v>1780</v>
      </c>
      <c r="B103" s="60">
        <v>5.83</v>
      </c>
      <c r="C103" s="60">
        <v>26.95</v>
      </c>
      <c r="D103" s="60">
        <v>32.78</v>
      </c>
      <c r="E103" s="60">
        <v>6.52</v>
      </c>
      <c r="F103" s="60">
        <v>1.02</v>
      </c>
      <c r="G103" s="60">
        <v>94.62</v>
      </c>
      <c r="H103" s="60">
        <v>35.229999999999997</v>
      </c>
      <c r="I103" s="60">
        <v>6.78</v>
      </c>
      <c r="J103" s="60">
        <v>1.07</v>
      </c>
      <c r="K103" s="60">
        <v>273.74</v>
      </c>
      <c r="L103" s="60">
        <v>40.54</v>
      </c>
      <c r="M103" s="60">
        <v>64.92</v>
      </c>
      <c r="N103" s="60">
        <v>83.90</v>
      </c>
      <c r="O103" s="60">
        <v>0</v>
      </c>
      <c r="P103" s="60">
        <v>2.93</v>
      </c>
      <c r="Q103" s="60">
        <v>22.26</v>
      </c>
      <c r="R103" s="198"/>
      <c r="S103" s="198"/>
      <c r="T103" s="198"/>
      <c r="U103" s="198"/>
    </row>
    <row r="104" spans="1:21" s="12" customFormat="1" ht="15">
      <c r="A104" s="201" t="s">
        <v>1781</v>
      </c>
      <c r="B104" s="60">
        <v>4.45</v>
      </c>
      <c r="C104" s="60">
        <v>25.42</v>
      </c>
      <c r="D104" s="60">
        <v>29.87</v>
      </c>
      <c r="E104" s="60">
        <v>2.77</v>
      </c>
      <c r="F104" s="60">
        <v>0.85</v>
      </c>
      <c r="G104" s="60">
        <v>87.85</v>
      </c>
      <c r="H104" s="60">
        <v>35.53</v>
      </c>
      <c r="I104" s="60">
        <v>6.64</v>
      </c>
      <c r="J104" s="60">
        <v>1.20</v>
      </c>
      <c r="K104" s="60">
        <v>212.78</v>
      </c>
      <c r="L104" s="60">
        <v>40.299999999999997</v>
      </c>
      <c r="M104" s="60">
        <v>65.400000000000006</v>
      </c>
      <c r="N104" s="60">
        <v>84.20</v>
      </c>
      <c r="O104" s="60">
        <v>0</v>
      </c>
      <c r="P104" s="60">
        <v>2.85</v>
      </c>
      <c r="Q104" s="60">
        <v>21.48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0.58999999999999997</v>
      </c>
      <c r="C106" s="67">
        <f>MIN(C9:C104)</f>
        <v>18.690000000000001</v>
      </c>
      <c r="D106" s="67">
        <f t="shared" si="0" ref="D106:Q106">MIN(D9:D104)</f>
        <v>19.379999999999999</v>
      </c>
      <c r="E106" s="67">
        <f t="shared" si="0"/>
        <v>2.77</v>
      </c>
      <c r="F106" s="67">
        <f t="shared" si="0"/>
        <v>0.40000000000000002</v>
      </c>
      <c r="G106" s="67">
        <f t="shared" si="0"/>
        <v>37.810000000000002</v>
      </c>
      <c r="H106" s="67">
        <f t="shared" si="0"/>
        <v>14.4</v>
      </c>
      <c r="I106" s="67">
        <f t="shared" si="0"/>
        <v>2.96</v>
      </c>
      <c r="J106" s="67">
        <f t="shared" si="0"/>
        <v>0.65000000000000002</v>
      </c>
      <c r="K106" s="67">
        <f t="shared" si="0"/>
        <v>0.58999999999999997</v>
      </c>
      <c r="L106" s="67">
        <f t="shared" si="0"/>
        <v>24.25</v>
      </c>
      <c r="M106" s="67">
        <f t="shared" si="0"/>
        <v>41.479999999999997</v>
      </c>
      <c r="N106" s="67">
        <f t="shared" si="0"/>
        <v>78.299999999999997</v>
      </c>
      <c r="O106" s="67">
        <f t="shared" si="0"/>
        <v>0</v>
      </c>
      <c r="P106" s="67">
        <f t="shared" si="0"/>
        <v>2.0499999999999998</v>
      </c>
      <c r="Q106" s="67">
        <f t="shared" si="0"/>
        <v>11.58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17.079999999999998</v>
      </c>
      <c r="C107" s="66">
        <f t="shared" si="1" ref="C107:Q107">MAX(C9:C104)</f>
        <v>33.439999999999998</v>
      </c>
      <c r="D107" s="66">
        <f t="shared" si="1"/>
        <v>47.840000000000003</v>
      </c>
      <c r="E107" s="66">
        <f t="shared" si="1"/>
        <v>7.7800000000000002</v>
      </c>
      <c r="F107" s="66">
        <f t="shared" si="1"/>
        <v>4.0999999999999996</v>
      </c>
      <c r="G107" s="66">
        <f t="shared" si="1"/>
        <v>104.76000000000001</v>
      </c>
      <c r="H107" s="66">
        <f t="shared" si="1"/>
        <v>35.530000000000001</v>
      </c>
      <c r="I107" s="66">
        <f t="shared" si="1"/>
        <v>7.4800000000000004</v>
      </c>
      <c r="J107" s="66">
        <f t="shared" si="1"/>
        <v>19.850000000000001</v>
      </c>
      <c r="K107" s="66">
        <f t="shared" si="1"/>
        <v>350.88</v>
      </c>
      <c r="L107" s="66">
        <f t="shared" si="1"/>
        <v>48.520000000000003</v>
      </c>
      <c r="M107" s="66">
        <f t="shared" si="1"/>
        <v>67.879999999999995</v>
      </c>
      <c r="N107" s="66">
        <f t="shared" si="1"/>
        <v>84.200000000000003</v>
      </c>
      <c r="O107" s="66">
        <f t="shared" si="1"/>
        <v>0</v>
      </c>
      <c r="P107" s="66">
        <f t="shared" si="1"/>
        <v>3.6200000000000001</v>
      </c>
      <c r="Q107" s="66">
        <f t="shared" si="1"/>
        <v>23.510000000000002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6.9331250000000013</v>
      </c>
      <c r="C108" s="67">
        <f t="shared" si="2" ref="C108:Q108">AVERAGE(C9:C104)</f>
        <v>25.8909375</v>
      </c>
      <c r="D108" s="67">
        <f t="shared" si="2"/>
        <v>32.823437499999997</v>
      </c>
      <c r="E108" s="67">
        <f t="shared" si="2"/>
        <v>5.7531250000000007</v>
      </c>
      <c r="F108" s="67">
        <f t="shared" si="2"/>
        <v>1.61625</v>
      </c>
      <c r="G108" s="67">
        <f t="shared" si="2"/>
        <v>68.58156249999999</v>
      </c>
      <c r="H108" s="67">
        <f t="shared" si="2"/>
        <v>23.823125000000001</v>
      </c>
      <c r="I108" s="67">
        <f t="shared" si="2"/>
        <v>5.0928125</v>
      </c>
      <c r="J108" s="67">
        <f t="shared" si="2"/>
        <v>4.4396874999999998</v>
      </c>
      <c r="K108" s="67">
        <f t="shared" si="2"/>
        <v>95.993437500000013</v>
      </c>
      <c r="L108" s="67">
        <f t="shared" si="2"/>
        <v>38.532187499999999</v>
      </c>
      <c r="M108" s="67">
        <f t="shared" si="2"/>
        <v>58.214999999999996</v>
      </c>
      <c r="N108" s="67">
        <f t="shared" si="2"/>
        <v>80.914285714285725</v>
      </c>
      <c r="O108" s="67">
        <f t="shared" si="2"/>
        <v>0</v>
      </c>
      <c r="P108" s="67">
        <f t="shared" si="2"/>
        <v>2.7606250000000001</v>
      </c>
      <c r="Q108" s="67">
        <f t="shared" si="2"/>
        <v>18.166451612903227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5.6649627379692982</v>
      </c>
      <c r="C109" s="67">
        <f t="shared" si="3" ref="C109:Q109">STDEV(C9:C104)</f>
        <v>4.6629094886340603</v>
      </c>
      <c r="D109" s="67">
        <f t="shared" si="3"/>
        <v>9.6669595611680457</v>
      </c>
      <c r="E109" s="67">
        <f t="shared" si="3"/>
        <v>1.2095865395969765</v>
      </c>
      <c r="F109" s="67">
        <f t="shared" si="3"/>
        <v>1.2301396458886671</v>
      </c>
      <c r="G109" s="67">
        <f t="shared" si="3"/>
        <v>27.585227709816383</v>
      </c>
      <c r="H109" s="67">
        <f t="shared" si="3"/>
        <v>8.3264690411691475</v>
      </c>
      <c r="I109" s="67">
        <f t="shared" si="3"/>
        <v>1.8715014403224568</v>
      </c>
      <c r="J109" s="67">
        <f t="shared" si="3"/>
        <v>4.7791749081216262</v>
      </c>
      <c r="K109" s="67">
        <f t="shared" si="3"/>
        <v>101.10446132938765</v>
      </c>
      <c r="L109" s="67">
        <f t="shared" si="3"/>
        <v>6.3811171710607546</v>
      </c>
      <c r="M109" s="67">
        <f t="shared" si="3"/>
        <v>9.2485514122919117</v>
      </c>
      <c r="N109" s="67">
        <f t="shared" si="3"/>
        <v>1.9152769288762705</v>
      </c>
      <c r="O109" s="67">
        <f t="shared" si="3"/>
        <v>0</v>
      </c>
      <c r="P109" s="67">
        <f t="shared" si="3"/>
        <v>0.59414312113084045</v>
      </c>
      <c r="Q109" s="67">
        <f t="shared" si="3"/>
        <v>4.103919710380227</v>
      </c>
      <c r="R109" s="199"/>
      <c r="S109" s="199"/>
      <c r="T109" s="199"/>
      <c r="U109" s="199"/>
    </row>
    <row r="110" spans="1:22" ht="15">
      <c r="A110" s="65" t="s">
        <v>62</v>
      </c>
      <c r="B110" s="66">
        <f>COUNT(B9:B104)+61</f>
        <v>93</v>
      </c>
      <c r="C110" s="66">
        <f t="shared" si="4" ref="C110:Q110">COUNT(C9:C104)+61</f>
        <v>93</v>
      </c>
      <c r="D110" s="66">
        <f t="shared" si="4"/>
        <v>93</v>
      </c>
      <c r="E110" s="66">
        <f t="shared" si="4"/>
        <v>93</v>
      </c>
      <c r="F110" s="66">
        <f t="shared" si="4"/>
        <v>93</v>
      </c>
      <c r="G110" s="66">
        <f t="shared" si="4"/>
        <v>93</v>
      </c>
      <c r="H110" s="66">
        <f t="shared" si="4"/>
        <v>93</v>
      </c>
      <c r="I110" s="66">
        <f t="shared" si="4"/>
        <v>93</v>
      </c>
      <c r="J110" s="66">
        <f t="shared" si="4"/>
        <v>93</v>
      </c>
      <c r="K110" s="66">
        <f t="shared" si="4"/>
        <v>93</v>
      </c>
      <c r="L110" s="66">
        <f t="shared" si="4"/>
        <v>93</v>
      </c>
      <c r="M110" s="66">
        <f t="shared" si="4"/>
        <v>93</v>
      </c>
      <c r="N110" s="66">
        <f t="shared" si="4"/>
        <v>82</v>
      </c>
      <c r="O110" s="66">
        <f t="shared" si="4"/>
        <v>93</v>
      </c>
      <c r="P110" s="66">
        <f t="shared" si="4"/>
        <v>93</v>
      </c>
      <c r="Q110" s="66">
        <f t="shared" si="4"/>
        <v>92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218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06b9bb-5544-48e8-8e48-df71f9a28224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J113" sqref="J113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17-06-2022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1782</v>
      </c>
      <c r="B9" s="60">
        <v>3.40</v>
      </c>
      <c r="C9" s="60">
        <v>24.22</v>
      </c>
      <c r="D9" s="60">
        <v>27.62</v>
      </c>
      <c r="E9" s="60">
        <v>5.75</v>
      </c>
      <c r="F9" s="60">
        <v>0.67</v>
      </c>
      <c r="G9" s="60">
        <v>85.03</v>
      </c>
      <c r="H9" s="60">
        <v>35.74</v>
      </c>
      <c r="I9" s="60">
        <v>6.43</v>
      </c>
      <c r="J9" s="60">
        <v>2.06</v>
      </c>
      <c r="K9" s="60">
        <v>177.42</v>
      </c>
      <c r="L9" s="60">
        <v>40.119999999999997</v>
      </c>
      <c r="M9" s="60">
        <v>65.75</v>
      </c>
      <c r="N9" s="60">
        <v>85</v>
      </c>
      <c r="O9" s="60">
        <v>0</v>
      </c>
      <c r="P9" s="60">
        <v>2.78</v>
      </c>
      <c r="Q9" s="60">
        <v>19.989999999999998</v>
      </c>
      <c r="R9" s="198"/>
      <c r="S9" s="198"/>
      <c r="T9" s="198"/>
      <c r="U9" s="198"/>
    </row>
    <row r="10" spans="1:21" s="12" customFormat="1" ht="15">
      <c r="A10" s="201" t="s">
        <v>1783</v>
      </c>
      <c r="B10" s="60">
        <v>2.58</v>
      </c>
      <c r="C10" s="60">
        <v>22.88</v>
      </c>
      <c r="D10" s="60">
        <v>25.46</v>
      </c>
      <c r="E10" s="60">
        <v>5.65</v>
      </c>
      <c r="F10" s="60">
        <v>0.88</v>
      </c>
      <c r="G10" s="60">
        <v>85.03</v>
      </c>
      <c r="H10" s="60">
        <v>35.74</v>
      </c>
      <c r="I10" s="60">
        <v>6.19</v>
      </c>
      <c r="J10" s="60">
        <v>1.96</v>
      </c>
      <c r="K10" s="60">
        <v>180.28</v>
      </c>
      <c r="L10" s="60">
        <v>40.10</v>
      </c>
      <c r="M10" s="60">
        <v>66.34</v>
      </c>
      <c r="N10" s="60">
        <v>86.60</v>
      </c>
      <c r="O10" s="60">
        <v>0</v>
      </c>
      <c r="P10" s="60">
        <v>2.70</v>
      </c>
      <c r="Q10" s="60">
        <v>18.989999999999998</v>
      </c>
      <c r="R10" s="198"/>
      <c r="S10" s="198"/>
      <c r="T10" s="198"/>
      <c r="U10" s="198"/>
    </row>
    <row r="11" spans="1:21" s="12" customFormat="1" ht="15">
      <c r="A11" s="201" t="s">
        <v>1784</v>
      </c>
      <c r="B11" s="60">
        <v>1.94</v>
      </c>
      <c r="C11" s="60">
        <v>21.27</v>
      </c>
      <c r="D11" s="60">
        <v>23.21</v>
      </c>
      <c r="E11" s="60">
        <v>5.42</v>
      </c>
      <c r="F11" s="60">
        <v>1</v>
      </c>
      <c r="G11" s="60">
        <v>85.03</v>
      </c>
      <c r="H11" s="60">
        <v>35.74</v>
      </c>
      <c r="I11" s="60">
        <v>5.97</v>
      </c>
      <c r="J11" s="60">
        <v>1.73</v>
      </c>
      <c r="K11" s="60">
        <v>178.51</v>
      </c>
      <c r="L11" s="60">
        <v>39.01</v>
      </c>
      <c r="M11" s="60">
        <v>68.63</v>
      </c>
      <c r="N11" s="60">
        <v>84.60</v>
      </c>
      <c r="O11" s="60">
        <v>0</v>
      </c>
      <c r="P11" s="60">
        <v>2.64</v>
      </c>
      <c r="Q11" s="60">
        <v>18.489999999999998</v>
      </c>
      <c r="R11" s="198"/>
      <c r="S11" s="198"/>
      <c r="T11" s="198"/>
      <c r="U11" s="198"/>
    </row>
    <row r="12" spans="1:21" s="12" customFormat="1" ht="15">
      <c r="A12" s="201" t="s">
        <v>1785</v>
      </c>
      <c r="B12" s="60">
        <v>1.59</v>
      </c>
      <c r="C12" s="60">
        <v>20.14</v>
      </c>
      <c r="D12" s="60">
        <v>21.72</v>
      </c>
      <c r="E12" s="60">
        <v>5.42</v>
      </c>
      <c r="F12" s="60">
        <v>0.52</v>
      </c>
      <c r="G12" s="60">
        <v>81.78</v>
      </c>
      <c r="H12" s="60">
        <v>37.31</v>
      </c>
      <c r="I12" s="60">
        <v>5.79</v>
      </c>
      <c r="J12" s="60">
        <v>2.19</v>
      </c>
      <c r="K12" s="60">
        <v>172.69</v>
      </c>
      <c r="L12" s="60">
        <v>38.46</v>
      </c>
      <c r="M12" s="60">
        <v>70.34</v>
      </c>
      <c r="N12" s="60">
        <v>84</v>
      </c>
      <c r="O12" s="60">
        <v>0</v>
      </c>
      <c r="P12" s="60">
        <v>2.59</v>
      </c>
      <c r="Q12" s="60">
        <v>18.20</v>
      </c>
      <c r="R12" s="198"/>
      <c r="S12" s="198"/>
      <c r="T12" s="198"/>
      <c r="U12" s="198"/>
    </row>
    <row r="13" spans="1:21" s="12" customFormat="1" ht="15">
      <c r="A13" s="201" t="s">
        <v>1786</v>
      </c>
      <c r="B13" s="60">
        <v>1.45</v>
      </c>
      <c r="C13" s="60">
        <v>19.899999999999999</v>
      </c>
      <c r="D13" s="60">
        <v>21.35</v>
      </c>
      <c r="E13" s="60">
        <v>5.84</v>
      </c>
      <c r="F13" s="60">
        <v>0.83</v>
      </c>
      <c r="G13" s="60">
        <v>80.760000000000005</v>
      </c>
      <c r="H13" s="60">
        <v>38.46</v>
      </c>
      <c r="I13" s="60">
        <v>5.67</v>
      </c>
      <c r="J13" s="60">
        <v>1.71</v>
      </c>
      <c r="K13" s="60">
        <v>190.25</v>
      </c>
      <c r="L13" s="60">
        <v>38.60</v>
      </c>
      <c r="M13" s="60">
        <v>71.30</v>
      </c>
      <c r="N13" s="60">
        <v>88.70</v>
      </c>
      <c r="O13" s="60">
        <v>0</v>
      </c>
      <c r="P13" s="60">
        <v>2.54</v>
      </c>
      <c r="Q13" s="60">
        <v>17.559999999999999</v>
      </c>
      <c r="R13" s="198"/>
      <c r="S13" s="198"/>
      <c r="T13" s="198"/>
      <c r="U13" s="198"/>
    </row>
    <row r="14" spans="1:21" s="12" customFormat="1" ht="15">
      <c r="A14" s="201" t="s">
        <v>1787</v>
      </c>
      <c r="B14" s="60">
        <v>1.61</v>
      </c>
      <c r="C14" s="60">
        <v>17.989999999999998</v>
      </c>
      <c r="D14" s="60">
        <v>19.600000000000001</v>
      </c>
      <c r="E14" s="60">
        <v>5.65</v>
      </c>
      <c r="F14" s="60">
        <v>0.86</v>
      </c>
      <c r="G14" s="60">
        <v>80.760000000000005</v>
      </c>
      <c r="H14" s="60">
        <v>38.46</v>
      </c>
      <c r="I14" s="60">
        <v>5.55</v>
      </c>
      <c r="J14" s="60">
        <v>1.46</v>
      </c>
      <c r="K14" s="60">
        <v>205.62</v>
      </c>
      <c r="L14" s="60">
        <v>38.869999999999997</v>
      </c>
      <c r="M14" s="60">
        <v>72.290000000000006</v>
      </c>
      <c r="N14" s="60">
        <v>96.70</v>
      </c>
      <c r="O14" s="60">
        <v>0</v>
      </c>
      <c r="P14" s="60">
        <v>2.5099999999999998</v>
      </c>
      <c r="Q14" s="60">
        <v>16.23</v>
      </c>
      <c r="R14" s="198"/>
      <c r="S14" s="198"/>
      <c r="T14" s="198"/>
      <c r="U14" s="198"/>
    </row>
    <row r="15" spans="1:21" s="12" customFormat="1" ht="15">
      <c r="A15" s="201" t="s">
        <v>1788</v>
      </c>
      <c r="B15" s="60">
        <v>1.76</v>
      </c>
      <c r="C15" s="60">
        <v>17.190000000000001</v>
      </c>
      <c r="D15" s="60">
        <v>18.95</v>
      </c>
      <c r="E15" s="60">
        <v>6.08</v>
      </c>
      <c r="F15" s="60">
        <v>0.73</v>
      </c>
      <c r="G15" s="60">
        <v>80.760000000000005</v>
      </c>
      <c r="H15" s="60">
        <v>38.46</v>
      </c>
      <c r="I15" s="60">
        <v>5.47</v>
      </c>
      <c r="J15" s="60">
        <v>1.68</v>
      </c>
      <c r="K15" s="60">
        <v>206.11</v>
      </c>
      <c r="L15" s="60">
        <v>38.64</v>
      </c>
      <c r="M15" s="60">
        <v>73.959999999999994</v>
      </c>
      <c r="N15" s="60">
        <v>106.20</v>
      </c>
      <c r="O15" s="60">
        <v>0</v>
      </c>
      <c r="P15" s="60">
        <v>2.48</v>
      </c>
      <c r="Q15" s="60">
        <v>15.07</v>
      </c>
      <c r="R15" s="198"/>
      <c r="S15" s="198"/>
      <c r="T15" s="198"/>
      <c r="U15" s="198"/>
    </row>
    <row r="16" spans="1:21" s="12" customFormat="1" ht="15">
      <c r="A16" s="201" t="s">
        <v>1789</v>
      </c>
      <c r="B16" s="60">
        <v>1.92</v>
      </c>
      <c r="C16" s="60">
        <v>16.57</v>
      </c>
      <c r="D16" s="60">
        <v>18.489999999999998</v>
      </c>
      <c r="E16" s="60">
        <v>6.82</v>
      </c>
      <c r="F16" s="60">
        <v>0.79</v>
      </c>
      <c r="G16" s="60">
        <v>76.48</v>
      </c>
      <c r="H16" s="60">
        <v>36.950000000000003</v>
      </c>
      <c r="I16" s="60">
        <v>5.41</v>
      </c>
      <c r="J16" s="60">
        <v>2.2200000000000002</v>
      </c>
      <c r="K16" s="60">
        <v>168.73</v>
      </c>
      <c r="L16" s="60">
        <v>38.19</v>
      </c>
      <c r="M16" s="60">
        <v>75.64</v>
      </c>
      <c r="N16" s="60">
        <v>109</v>
      </c>
      <c r="O16" s="60">
        <v>0</v>
      </c>
      <c r="P16" s="60">
        <v>2.4500000000000002</v>
      </c>
      <c r="Q16" s="60">
        <v>14.25</v>
      </c>
      <c r="R16" s="198"/>
      <c r="S16" s="198"/>
      <c r="T16" s="198"/>
      <c r="U16" s="198"/>
    </row>
    <row r="17" spans="1:21" s="12" customFormat="1" ht="15">
      <c r="A17" s="201" t="s">
        <v>1790</v>
      </c>
      <c r="B17" s="60">
        <v>2.08</v>
      </c>
      <c r="C17" s="60">
        <v>15.88</v>
      </c>
      <c r="D17" s="60">
        <v>17.95</v>
      </c>
      <c r="E17" s="60">
        <v>6.40</v>
      </c>
      <c r="F17" s="60">
        <v>0.88</v>
      </c>
      <c r="G17" s="60">
        <v>75.14</v>
      </c>
      <c r="H17" s="60">
        <v>35.85</v>
      </c>
      <c r="I17" s="60">
        <v>5.38</v>
      </c>
      <c r="J17" s="60">
        <v>1.72</v>
      </c>
      <c r="K17" s="60">
        <v>199.06</v>
      </c>
      <c r="L17" s="60">
        <v>37.96</v>
      </c>
      <c r="M17" s="60">
        <v>76.25</v>
      </c>
      <c r="N17" s="60">
        <v>98.30</v>
      </c>
      <c r="O17" s="60">
        <v>0</v>
      </c>
      <c r="P17" s="60">
        <v>2.42</v>
      </c>
      <c r="Q17" s="60">
        <v>13.68</v>
      </c>
      <c r="R17" s="198"/>
      <c r="S17" s="198"/>
      <c r="T17" s="198"/>
      <c r="U17" s="198"/>
    </row>
    <row r="18" spans="1:21" s="12" customFormat="1" ht="15">
      <c r="A18" s="201" t="s">
        <v>1791</v>
      </c>
      <c r="B18" s="60">
        <v>2.21</v>
      </c>
      <c r="C18" s="60">
        <v>15.49</v>
      </c>
      <c r="D18" s="60">
        <v>17.70</v>
      </c>
      <c r="E18" s="60">
        <v>6.82</v>
      </c>
      <c r="F18" s="60">
        <v>0.98</v>
      </c>
      <c r="G18" s="60">
        <v>75.14</v>
      </c>
      <c r="H18" s="60">
        <v>35.85</v>
      </c>
      <c r="I18" s="60">
        <v>5.35</v>
      </c>
      <c r="J18" s="60">
        <v>1.02</v>
      </c>
      <c r="K18" s="60">
        <v>224.41</v>
      </c>
      <c r="L18" s="60">
        <v>37.79</v>
      </c>
      <c r="M18" s="60">
        <v>76.98</v>
      </c>
      <c r="N18" s="60">
        <v>106</v>
      </c>
      <c r="O18" s="60">
        <v>0</v>
      </c>
      <c r="P18" s="60">
        <v>2.39</v>
      </c>
      <c r="Q18" s="60">
        <v>13.43</v>
      </c>
      <c r="R18" s="198"/>
      <c r="S18" s="198"/>
      <c r="T18" s="198"/>
      <c r="U18" s="198"/>
    </row>
    <row r="19" spans="1:21" s="12" customFormat="1" ht="15">
      <c r="A19" s="201" t="s">
        <v>1792</v>
      </c>
      <c r="B19" s="60">
        <v>2.2799999999999998</v>
      </c>
      <c r="C19" s="60">
        <v>15.14</v>
      </c>
      <c r="D19" s="60">
        <v>17.420000000000002</v>
      </c>
      <c r="E19" s="60">
        <v>6.81</v>
      </c>
      <c r="F19" s="60">
        <v>0.78</v>
      </c>
      <c r="G19" s="60">
        <v>75.14</v>
      </c>
      <c r="H19" s="60">
        <v>35.85</v>
      </c>
      <c r="I19" s="60">
        <v>5.32</v>
      </c>
      <c r="J19" s="60">
        <v>1.1599999999999999</v>
      </c>
      <c r="K19" s="60">
        <v>212.09</v>
      </c>
      <c r="L19" s="60">
        <v>37.79</v>
      </c>
      <c r="M19" s="60">
        <v>77.349999999999994</v>
      </c>
      <c r="N19" s="60">
        <v>102.90</v>
      </c>
      <c r="O19" s="60">
        <v>0</v>
      </c>
      <c r="P19" s="60">
        <v>2.37</v>
      </c>
      <c r="Q19" s="60">
        <v>13.34</v>
      </c>
      <c r="R19" s="198"/>
      <c r="S19" s="198"/>
      <c r="T19" s="198"/>
      <c r="U19" s="198"/>
    </row>
    <row r="20" spans="1:21" s="12" customFormat="1" ht="15">
      <c r="A20" s="201" t="s">
        <v>1793</v>
      </c>
      <c r="B20" s="60">
        <v>2.40</v>
      </c>
      <c r="C20" s="60">
        <v>14.81</v>
      </c>
      <c r="D20" s="60">
        <v>17.21</v>
      </c>
      <c r="E20" s="60">
        <v>7</v>
      </c>
      <c r="F20" s="60">
        <v>0.78</v>
      </c>
      <c r="G20" s="60">
        <v>63.64</v>
      </c>
      <c r="H20" s="60">
        <v>34.24</v>
      </c>
      <c r="I20" s="60">
        <v>5.28</v>
      </c>
      <c r="J20" s="60">
        <v>1.48</v>
      </c>
      <c r="K20" s="60">
        <v>204.47</v>
      </c>
      <c r="L20" s="60">
        <v>37.869999999999997</v>
      </c>
      <c r="M20" s="60">
        <v>77.52</v>
      </c>
      <c r="N20" s="60">
        <v>96.90</v>
      </c>
      <c r="O20" s="60">
        <v>0</v>
      </c>
      <c r="P20" s="60">
        <v>2.35</v>
      </c>
      <c r="Q20" s="60">
        <v>13.35</v>
      </c>
      <c r="R20" s="198"/>
      <c r="S20" s="198"/>
      <c r="T20" s="198"/>
      <c r="U20" s="198"/>
    </row>
    <row r="21" spans="1:21" s="12" customFormat="1" ht="15">
      <c r="A21" s="201" t="s">
        <v>1794</v>
      </c>
      <c r="B21" s="60">
        <v>2.38</v>
      </c>
      <c r="C21" s="60">
        <v>15.51</v>
      </c>
      <c r="D21" s="60">
        <v>17.88</v>
      </c>
      <c r="E21" s="60">
        <v>6.93</v>
      </c>
      <c r="F21" s="60">
        <v>0.64</v>
      </c>
      <c r="G21" s="60">
        <v>60.26</v>
      </c>
      <c r="H21" s="60">
        <v>33.07</v>
      </c>
      <c r="I21" s="60">
        <v>5.23</v>
      </c>
      <c r="J21" s="60">
        <v>1.77</v>
      </c>
      <c r="K21" s="60">
        <v>189.60</v>
      </c>
      <c r="L21" s="60">
        <v>37.75</v>
      </c>
      <c r="M21" s="60">
        <v>78.010000000000005</v>
      </c>
      <c r="N21" s="60">
        <v>100.5</v>
      </c>
      <c r="O21" s="60">
        <v>0</v>
      </c>
      <c r="P21" s="60">
        <v>2.31</v>
      </c>
      <c r="Q21" s="60">
        <v>14.01</v>
      </c>
      <c r="R21" s="198"/>
      <c r="S21" s="198"/>
      <c r="T21" s="198"/>
      <c r="U21" s="198"/>
    </row>
    <row r="22" spans="1:21" s="12" customFormat="1" ht="15">
      <c r="A22" s="201" t="s">
        <v>1795</v>
      </c>
      <c r="B22" s="60">
        <v>2.16</v>
      </c>
      <c r="C22" s="60">
        <v>14.69</v>
      </c>
      <c r="D22" s="60">
        <v>16.850000000000001</v>
      </c>
      <c r="E22" s="60">
        <v>6.75</v>
      </c>
      <c r="F22" s="60">
        <v>0.55000000000000004</v>
      </c>
      <c r="G22" s="60">
        <v>60.26</v>
      </c>
      <c r="H22" s="60">
        <v>33.07</v>
      </c>
      <c r="I22" s="60">
        <v>5.17</v>
      </c>
      <c r="J22" s="60">
        <v>1.33</v>
      </c>
      <c r="K22" s="60">
        <v>210.02</v>
      </c>
      <c r="L22" s="60">
        <v>37.54</v>
      </c>
      <c r="M22" s="60">
        <v>78.099999999999994</v>
      </c>
      <c r="N22" s="60">
        <v>111</v>
      </c>
      <c r="O22" s="60">
        <v>0</v>
      </c>
      <c r="P22" s="60">
        <v>2.27</v>
      </c>
      <c r="Q22" s="60">
        <v>14.84</v>
      </c>
      <c r="R22" s="198"/>
      <c r="S22" s="198"/>
      <c r="T22" s="198"/>
      <c r="U22" s="198"/>
    </row>
    <row r="23" spans="1:21" s="12" customFormat="1" ht="15">
      <c r="A23" s="201" t="s">
        <v>1796</v>
      </c>
      <c r="B23" s="60">
        <v>1.90</v>
      </c>
      <c r="C23" s="60">
        <v>14.96</v>
      </c>
      <c r="D23" s="60">
        <v>16.86</v>
      </c>
      <c r="E23" s="60">
        <v>6.62</v>
      </c>
      <c r="F23" s="60">
        <v>0.69</v>
      </c>
      <c r="G23" s="60">
        <v>60.26</v>
      </c>
      <c r="H23" s="60">
        <v>33.07</v>
      </c>
      <c r="I23" s="60">
        <v>5.04</v>
      </c>
      <c r="J23" s="60">
        <v>1.04</v>
      </c>
      <c r="K23" s="60">
        <v>197.40</v>
      </c>
      <c r="L23" s="60">
        <v>37.51</v>
      </c>
      <c r="M23" s="60">
        <v>78.06</v>
      </c>
      <c r="N23" s="60">
        <v>103.5</v>
      </c>
      <c r="O23" s="60">
        <v>0</v>
      </c>
      <c r="P23" s="60">
        <v>2.2400000000000002</v>
      </c>
      <c r="Q23" s="60">
        <v>15.81</v>
      </c>
      <c r="R23" s="198"/>
      <c r="S23" s="198"/>
      <c r="T23" s="198"/>
      <c r="U23" s="198"/>
    </row>
    <row r="24" spans="1:21" s="12" customFormat="1" ht="15">
      <c r="A24" s="201" t="s">
        <v>1797</v>
      </c>
      <c r="B24" s="60">
        <v>1.70</v>
      </c>
      <c r="C24" s="60">
        <v>15.17</v>
      </c>
      <c r="D24" s="60">
        <v>16.87</v>
      </c>
      <c r="E24" s="60">
        <v>3.19</v>
      </c>
      <c r="F24" s="60">
        <v>0.56000000000000005</v>
      </c>
      <c r="G24" s="60">
        <v>54.98</v>
      </c>
      <c r="H24" s="60">
        <v>28.96</v>
      </c>
      <c r="I24" s="60">
        <v>4.8499999999999996</v>
      </c>
      <c r="J24" s="60">
        <v>1.93</v>
      </c>
      <c r="K24" s="60">
        <v>194.69</v>
      </c>
      <c r="L24" s="60">
        <v>37.46</v>
      </c>
      <c r="M24" s="60">
        <v>78.34</v>
      </c>
      <c r="N24" s="60">
        <v>96.70</v>
      </c>
      <c r="O24" s="60">
        <v>0</v>
      </c>
      <c r="P24" s="60">
        <v>2.21</v>
      </c>
      <c r="Q24" s="60">
        <v>16.32</v>
      </c>
      <c r="R24" s="198"/>
      <c r="S24" s="198"/>
      <c r="T24" s="198"/>
      <c r="U24" s="198"/>
    </row>
    <row r="25" spans="1:21" s="12" customFormat="1" ht="15">
      <c r="A25" s="201" t="s">
        <v>1798</v>
      </c>
      <c r="B25" s="60">
        <v>1.61</v>
      </c>
      <c r="C25" s="60">
        <v>15.25</v>
      </c>
      <c r="D25" s="60">
        <v>16.86</v>
      </c>
      <c r="E25" s="60">
        <v>6.83</v>
      </c>
      <c r="F25" s="60">
        <v>0.44</v>
      </c>
      <c r="G25" s="60">
        <v>53.46</v>
      </c>
      <c r="H25" s="60">
        <v>25.96</v>
      </c>
      <c r="I25" s="60">
        <v>4.68</v>
      </c>
      <c r="J25" s="60">
        <v>1.1499999999999999</v>
      </c>
      <c r="K25" s="60">
        <v>210.62</v>
      </c>
      <c r="L25" s="60">
        <v>37.28</v>
      </c>
      <c r="M25" s="60">
        <v>79.55</v>
      </c>
      <c r="N25" s="60">
        <v>94.5</v>
      </c>
      <c r="O25" s="60">
        <v>0</v>
      </c>
      <c r="P25" s="60">
        <v>2.19</v>
      </c>
      <c r="Q25" s="60">
        <v>16.260000000000002</v>
      </c>
      <c r="R25" s="198"/>
      <c r="S25" s="198"/>
      <c r="T25" s="198"/>
      <c r="U25" s="198"/>
    </row>
    <row r="26" spans="1:21" s="12" customFormat="1" ht="15">
      <c r="A26" s="201" t="s">
        <v>1799</v>
      </c>
      <c r="B26" s="60">
        <v>1.54</v>
      </c>
      <c r="C26" s="60">
        <v>14.66</v>
      </c>
      <c r="D26" s="60">
        <v>16.20</v>
      </c>
      <c r="E26" s="60">
        <v>6.31</v>
      </c>
      <c r="F26" s="60">
        <v>0.59</v>
      </c>
      <c r="G26" s="60">
        <v>53.46</v>
      </c>
      <c r="H26" s="60">
        <v>25.96</v>
      </c>
      <c r="I26" s="60">
        <v>4.5999999999999996</v>
      </c>
      <c r="J26" s="60">
        <v>1.20</v>
      </c>
      <c r="K26" s="60">
        <v>231.23</v>
      </c>
      <c r="L26" s="60">
        <v>37.090000000000003</v>
      </c>
      <c r="M26" s="60">
        <v>80.349999999999994</v>
      </c>
      <c r="N26" s="60">
        <v>95.30</v>
      </c>
      <c r="O26" s="60">
        <v>0</v>
      </c>
      <c r="P26" s="60">
        <v>2.17</v>
      </c>
      <c r="Q26" s="60">
        <v>16.29</v>
      </c>
      <c r="R26" s="198"/>
      <c r="S26" s="198"/>
      <c r="T26" s="198"/>
      <c r="U26" s="198"/>
    </row>
    <row r="27" spans="1:21" s="12" customFormat="1" ht="15">
      <c r="A27" s="201" t="s">
        <v>1800</v>
      </c>
      <c r="B27" s="60">
        <v>1.49</v>
      </c>
      <c r="C27" s="60">
        <v>14.44</v>
      </c>
      <c r="D27" s="60">
        <v>15.93</v>
      </c>
      <c r="E27" s="60">
        <v>6.73</v>
      </c>
      <c r="F27" s="60">
        <v>0.72</v>
      </c>
      <c r="G27" s="60">
        <v>53.46</v>
      </c>
      <c r="H27" s="60">
        <v>25.96</v>
      </c>
      <c r="I27" s="60">
        <v>4.46</v>
      </c>
      <c r="J27" s="60">
        <v>1.56</v>
      </c>
      <c r="K27" s="60">
        <v>199.32</v>
      </c>
      <c r="L27" s="60">
        <v>37.119999999999997</v>
      </c>
      <c r="M27" s="60">
        <v>80.599999999999994</v>
      </c>
      <c r="N27" s="60">
        <v>100.30</v>
      </c>
      <c r="O27" s="60">
        <v>0</v>
      </c>
      <c r="P27" s="60">
        <v>2.15</v>
      </c>
      <c r="Q27" s="60">
        <v>16.25</v>
      </c>
      <c r="R27" s="198"/>
      <c r="S27" s="198"/>
      <c r="T27" s="198"/>
      <c r="U27" s="198"/>
    </row>
    <row r="28" spans="1:21" s="12" customFormat="1" ht="15">
      <c r="A28" s="201" t="s">
        <v>1801</v>
      </c>
      <c r="B28" s="60">
        <v>1.5</v>
      </c>
      <c r="C28" s="60">
        <v>14.83</v>
      </c>
      <c r="D28" s="60">
        <v>16.329999999999998</v>
      </c>
      <c r="E28" s="60">
        <v>6.02</v>
      </c>
      <c r="F28" s="60">
        <v>0.38</v>
      </c>
      <c r="G28" s="60">
        <v>53.78</v>
      </c>
      <c r="H28" s="60">
        <v>26.11</v>
      </c>
      <c r="I28" s="60">
        <v>4.32</v>
      </c>
      <c r="J28" s="60">
        <v>1.39</v>
      </c>
      <c r="K28" s="60">
        <v>193.32</v>
      </c>
      <c r="L28" s="60">
        <v>36.909999999999997</v>
      </c>
      <c r="M28" s="60">
        <v>81.349999999999994</v>
      </c>
      <c r="N28" s="60">
        <v>98.70</v>
      </c>
      <c r="O28" s="60">
        <v>0</v>
      </c>
      <c r="P28" s="60">
        <v>2.13</v>
      </c>
      <c r="Q28" s="60">
        <v>16.079999999999998</v>
      </c>
      <c r="R28" s="198"/>
      <c r="S28" s="198"/>
      <c r="T28" s="198"/>
      <c r="U28" s="198"/>
    </row>
    <row r="29" spans="1:21" s="12" customFormat="1" ht="15">
      <c r="A29" s="201" t="s">
        <v>1802</v>
      </c>
      <c r="B29" s="60">
        <v>1.66</v>
      </c>
      <c r="C29" s="60">
        <v>15.11</v>
      </c>
      <c r="D29" s="60">
        <v>16.77</v>
      </c>
      <c r="E29" s="60">
        <v>6.48</v>
      </c>
      <c r="F29" s="60">
        <v>0.40</v>
      </c>
      <c r="G29" s="60">
        <v>53.88</v>
      </c>
      <c r="H29" s="60">
        <v>26.23</v>
      </c>
      <c r="I29" s="60">
        <v>4.22</v>
      </c>
      <c r="J29" s="60">
        <v>1.1499999999999999</v>
      </c>
      <c r="K29" s="60">
        <v>203.27</v>
      </c>
      <c r="L29" s="60">
        <v>36.18</v>
      </c>
      <c r="M29" s="60">
        <v>82.09</v>
      </c>
      <c r="N29" s="60">
        <v>103</v>
      </c>
      <c r="O29" s="60">
        <v>0</v>
      </c>
      <c r="P29" s="60">
        <v>2.12</v>
      </c>
      <c r="Q29" s="60">
        <v>15.65</v>
      </c>
      <c r="R29" s="198"/>
      <c r="S29" s="198"/>
      <c r="T29" s="198"/>
      <c r="U29" s="198"/>
    </row>
    <row r="30" spans="1:21" s="12" customFormat="1" ht="15">
      <c r="A30" s="201" t="s">
        <v>1803</v>
      </c>
      <c r="B30" s="60">
        <v>1.81</v>
      </c>
      <c r="C30" s="60">
        <v>15.63</v>
      </c>
      <c r="D30" s="60">
        <v>17.440000000000001</v>
      </c>
      <c r="E30" s="60">
        <v>6.85</v>
      </c>
      <c r="F30" s="60">
        <v>0.28000000000000003</v>
      </c>
      <c r="G30" s="60">
        <v>53.88</v>
      </c>
      <c r="H30" s="60">
        <v>26.23</v>
      </c>
      <c r="I30" s="60">
        <v>4.17</v>
      </c>
      <c r="J30" s="60">
        <v>1.19</v>
      </c>
      <c r="K30" s="60">
        <v>216.14</v>
      </c>
      <c r="L30" s="60">
        <v>35.979999999999997</v>
      </c>
      <c r="M30" s="60">
        <v>82.19</v>
      </c>
      <c r="N30" s="60">
        <v>119.80</v>
      </c>
      <c r="O30" s="60">
        <v>0</v>
      </c>
      <c r="P30" s="60">
        <v>2.10</v>
      </c>
      <c r="Q30" s="60">
        <v>15.56</v>
      </c>
      <c r="R30" s="198"/>
      <c r="S30" s="198"/>
      <c r="T30" s="198"/>
      <c r="U30" s="198"/>
    </row>
    <row r="31" spans="1:21" s="12" customFormat="1" ht="15">
      <c r="A31" s="201" t="s">
        <v>1804</v>
      </c>
      <c r="B31" s="60">
        <v>1.97</v>
      </c>
      <c r="C31" s="60">
        <v>14.52</v>
      </c>
      <c r="D31" s="60">
        <v>16.48</v>
      </c>
      <c r="E31" s="60">
        <v>6.65</v>
      </c>
      <c r="F31" s="60">
        <v>0.79</v>
      </c>
      <c r="G31" s="60">
        <v>53.88</v>
      </c>
      <c r="H31" s="60">
        <v>26.23</v>
      </c>
      <c r="I31" s="60">
        <v>4.1100000000000003</v>
      </c>
      <c r="J31" s="60">
        <v>0.49</v>
      </c>
      <c r="K31" s="60">
        <v>238.44</v>
      </c>
      <c r="L31" s="60">
        <v>36.18</v>
      </c>
      <c r="M31" s="60">
        <v>80.760000000000005</v>
      </c>
      <c r="N31" s="60">
        <v>143.80000000000001</v>
      </c>
      <c r="O31" s="60">
        <v>0</v>
      </c>
      <c r="P31" s="60">
        <v>2.10</v>
      </c>
      <c r="Q31" s="60">
        <v>15</v>
      </c>
      <c r="R31" s="198"/>
      <c r="S31" s="198"/>
      <c r="T31" s="198"/>
      <c r="U31" s="198"/>
    </row>
    <row r="32" spans="1:21" s="12" customFormat="1" ht="15">
      <c r="A32" s="201" t="s">
        <v>1805</v>
      </c>
      <c r="B32" s="60">
        <v>2.4900000000000002</v>
      </c>
      <c r="C32" s="60">
        <v>14.98</v>
      </c>
      <c r="D32" s="60">
        <v>17.47</v>
      </c>
      <c r="E32" s="60">
        <v>6.64</v>
      </c>
      <c r="F32" s="60">
        <v>0.36</v>
      </c>
      <c r="G32" s="60">
        <v>51.69</v>
      </c>
      <c r="H32" s="60">
        <v>25.98</v>
      </c>
      <c r="I32" s="60">
        <v>4.03</v>
      </c>
      <c r="J32" s="60">
        <v>0.31</v>
      </c>
      <c r="K32" s="60">
        <v>349.59</v>
      </c>
      <c r="L32" s="60">
        <v>36.590000000000003</v>
      </c>
      <c r="M32" s="60">
        <v>78.45</v>
      </c>
      <c r="N32" s="60">
        <v>177.5</v>
      </c>
      <c r="O32" s="60">
        <v>0</v>
      </c>
      <c r="P32" s="60">
        <v>2.10</v>
      </c>
      <c r="Q32" s="60">
        <v>14.21</v>
      </c>
      <c r="R32" s="198"/>
      <c r="S32" s="198"/>
      <c r="T32" s="198"/>
      <c r="U32" s="198"/>
    </row>
    <row r="33" spans="1:21" s="12" customFormat="1" ht="15">
      <c r="A33" s="201" t="s">
        <v>1806</v>
      </c>
      <c r="B33" s="60">
        <v>3</v>
      </c>
      <c r="C33" s="60">
        <v>15.82</v>
      </c>
      <c r="D33" s="60">
        <v>18.82</v>
      </c>
      <c r="E33" s="60">
        <v>6.70</v>
      </c>
      <c r="F33" s="60">
        <v>0.57999999999999996</v>
      </c>
      <c r="G33" s="60">
        <v>50.39</v>
      </c>
      <c r="H33" s="60">
        <v>25.80</v>
      </c>
      <c r="I33" s="60">
        <v>4.0199999999999996</v>
      </c>
      <c r="J33" s="60">
        <v>0.76</v>
      </c>
      <c r="K33" s="60">
        <v>223.94</v>
      </c>
      <c r="L33" s="60">
        <v>37.020000000000003</v>
      </c>
      <c r="M33" s="60">
        <v>76.099999999999994</v>
      </c>
      <c r="N33" s="60">
        <v>222.5</v>
      </c>
      <c r="O33" s="60">
        <v>0</v>
      </c>
      <c r="P33" s="60">
        <v>2.09</v>
      </c>
      <c r="Q33" s="60">
        <v>13.48</v>
      </c>
      <c r="R33" s="198"/>
      <c r="S33" s="198"/>
      <c r="T33" s="198"/>
      <c r="U33" s="198"/>
    </row>
    <row r="34" spans="1:21" s="12" customFormat="1" ht="15">
      <c r="A34" s="201" t="s">
        <v>1807</v>
      </c>
      <c r="B34" s="60">
        <v>2.89</v>
      </c>
      <c r="C34" s="60">
        <v>16.190000000000001</v>
      </c>
      <c r="D34" s="60">
        <v>19.09</v>
      </c>
      <c r="E34" s="60">
        <v>7.06</v>
      </c>
      <c r="F34" s="60">
        <v>0.73</v>
      </c>
      <c r="G34" s="60">
        <v>50.39</v>
      </c>
      <c r="H34" s="60">
        <v>25.80</v>
      </c>
      <c r="I34" s="60">
        <v>4.0999999999999996</v>
      </c>
      <c r="J34" s="60">
        <v>0.68</v>
      </c>
      <c r="K34" s="60">
        <v>240.53</v>
      </c>
      <c r="L34" s="60">
        <v>37.51</v>
      </c>
      <c r="M34" s="60">
        <v>74.17</v>
      </c>
      <c r="N34" s="60">
        <v>286.80</v>
      </c>
      <c r="O34" s="60">
        <v>0</v>
      </c>
      <c r="P34" s="60">
        <v>2.09</v>
      </c>
      <c r="Q34" s="60">
        <v>12.97</v>
      </c>
      <c r="R34" s="198"/>
      <c r="S34" s="198"/>
      <c r="T34" s="198"/>
      <c r="U34" s="198"/>
    </row>
    <row r="35" spans="1:21" s="12" customFormat="1" ht="15">
      <c r="A35" s="201" t="s">
        <v>1808</v>
      </c>
      <c r="B35" s="60">
        <v>2.5499999999999998</v>
      </c>
      <c r="C35" s="60">
        <v>16.66</v>
      </c>
      <c r="D35" s="60">
        <v>19.22</v>
      </c>
      <c r="E35" s="60">
        <v>6.60</v>
      </c>
      <c r="F35" s="60">
        <v>1.1200000000000001</v>
      </c>
      <c r="G35" s="60">
        <v>50.39</v>
      </c>
      <c r="H35" s="60">
        <v>25.80</v>
      </c>
      <c r="I35" s="60">
        <v>4.1100000000000003</v>
      </c>
      <c r="J35" s="60">
        <v>0.95</v>
      </c>
      <c r="K35" s="60">
        <v>202.32</v>
      </c>
      <c r="L35" s="60">
        <v>38.020000000000003</v>
      </c>
      <c r="M35" s="60">
        <v>71.900000000000006</v>
      </c>
      <c r="N35" s="60">
        <v>323.70</v>
      </c>
      <c r="O35" s="60">
        <v>0</v>
      </c>
      <c r="P35" s="60">
        <v>2.08</v>
      </c>
      <c r="Q35" s="60">
        <v>12.80</v>
      </c>
      <c r="R35" s="198"/>
      <c r="S35" s="198"/>
      <c r="T35" s="198"/>
      <c r="U35" s="198"/>
    </row>
    <row r="36" spans="1:21" s="12" customFormat="1" ht="15">
      <c r="A36" s="201" t="s">
        <v>1809</v>
      </c>
      <c r="B36" s="60">
        <v>1.98</v>
      </c>
      <c r="C36" s="60">
        <v>17.13</v>
      </c>
      <c r="D36" s="60">
        <v>19.11</v>
      </c>
      <c r="E36" s="60">
        <v>6.45</v>
      </c>
      <c r="F36" s="60">
        <v>1.79</v>
      </c>
      <c r="G36" s="60">
        <v>47.07</v>
      </c>
      <c r="H36" s="60">
        <v>25.03</v>
      </c>
      <c r="I36" s="60">
        <v>4.1500000000000004</v>
      </c>
      <c r="J36" s="60">
        <v>1.05</v>
      </c>
      <c r="K36" s="60">
        <v>214.41</v>
      </c>
      <c r="L36" s="60">
        <v>38.369999999999997</v>
      </c>
      <c r="M36" s="60">
        <v>70.37</v>
      </c>
      <c r="N36" s="60">
        <v>370.90</v>
      </c>
      <c r="O36" s="60">
        <v>0</v>
      </c>
      <c r="P36" s="60">
        <v>2.06</v>
      </c>
      <c r="Q36" s="60">
        <v>12.59</v>
      </c>
      <c r="R36" s="198"/>
      <c r="S36" s="198"/>
      <c r="T36" s="198"/>
      <c r="U36" s="198"/>
    </row>
    <row r="37" spans="1:21" s="12" customFormat="1" ht="15">
      <c r="A37" s="201" t="s">
        <v>1810</v>
      </c>
      <c r="B37" s="60">
        <v>1.33</v>
      </c>
      <c r="C37" s="60">
        <v>17.149999999999999</v>
      </c>
      <c r="D37" s="60">
        <v>18.47</v>
      </c>
      <c r="E37" s="60">
        <v>5.93</v>
      </c>
      <c r="F37" s="60">
        <v>2.1800000000000002</v>
      </c>
      <c r="G37" s="60">
        <v>46.03</v>
      </c>
      <c r="H37" s="60">
        <v>24.47</v>
      </c>
      <c r="I37" s="60">
        <v>4.08</v>
      </c>
      <c r="J37" s="60">
        <v>1.40</v>
      </c>
      <c r="K37" s="60">
        <v>220.62</v>
      </c>
      <c r="L37" s="60">
        <v>38.47</v>
      </c>
      <c r="M37" s="60">
        <v>69.36</v>
      </c>
      <c r="N37" s="60">
        <v>358</v>
      </c>
      <c r="O37" s="60">
        <v>0</v>
      </c>
      <c r="P37" s="60">
        <v>2.04</v>
      </c>
      <c r="Q37" s="60">
        <v>12.37</v>
      </c>
      <c r="R37" s="198"/>
      <c r="S37" s="198"/>
      <c r="T37" s="198"/>
      <c r="U37" s="198"/>
    </row>
    <row r="38" spans="1:21" s="12" customFormat="1" ht="15">
      <c r="A38" s="201" t="s">
        <v>1811</v>
      </c>
      <c r="B38" s="60">
        <v>0.83</v>
      </c>
      <c r="C38" s="60">
        <v>17.09</v>
      </c>
      <c r="D38" s="60">
        <v>17.920000000000002</v>
      </c>
      <c r="E38" s="60">
        <v>6.19</v>
      </c>
      <c r="F38" s="60">
        <v>2.63</v>
      </c>
      <c r="G38" s="60">
        <v>46.03</v>
      </c>
      <c r="H38" s="60">
        <v>24.47</v>
      </c>
      <c r="I38" s="60">
        <v>3.94</v>
      </c>
      <c r="J38" s="60">
        <v>0.73</v>
      </c>
      <c r="K38" s="60">
        <v>205.91</v>
      </c>
      <c r="L38" s="60">
        <v>38.47</v>
      </c>
      <c r="M38" s="60">
        <v>68.930000000000007</v>
      </c>
      <c r="N38" s="60">
        <v>373.60</v>
      </c>
      <c r="O38" s="60">
        <v>0</v>
      </c>
      <c r="P38" s="60">
        <v>2.0299999999999998</v>
      </c>
      <c r="Q38" s="60">
        <v>12.33</v>
      </c>
      <c r="R38" s="198"/>
      <c r="S38" s="198"/>
      <c r="T38" s="198"/>
      <c r="U38" s="198"/>
    </row>
    <row r="39" spans="1:21" s="12" customFormat="1" ht="15">
      <c r="A39" s="201" t="s">
        <v>1812</v>
      </c>
      <c r="B39" s="60">
        <v>0.61</v>
      </c>
      <c r="C39" s="60">
        <v>16.920000000000002</v>
      </c>
      <c r="D39" s="60">
        <v>17.53</v>
      </c>
      <c r="E39" s="60">
        <v>5.70</v>
      </c>
      <c r="F39" s="60">
        <v>3.09</v>
      </c>
      <c r="G39" s="60">
        <v>46.03</v>
      </c>
      <c r="H39" s="60">
        <v>24.47</v>
      </c>
      <c r="I39" s="60">
        <v>3.77</v>
      </c>
      <c r="J39" s="60">
        <v>0.67</v>
      </c>
      <c r="K39" s="60">
        <v>252.03</v>
      </c>
      <c r="L39" s="60">
        <v>38.94</v>
      </c>
      <c r="M39" s="60">
        <v>68.11</v>
      </c>
      <c r="N39" s="60">
        <v>470.80</v>
      </c>
      <c r="O39" s="60">
        <v>0</v>
      </c>
      <c r="P39" s="60">
        <v>2.02</v>
      </c>
      <c r="Q39" s="60">
        <v>12.94</v>
      </c>
      <c r="R39" s="198"/>
      <c r="S39" s="198"/>
      <c r="T39" s="198"/>
      <c r="U39" s="198"/>
    </row>
    <row r="40" spans="1:21" s="12" customFormat="1" ht="15">
      <c r="A40" s="201" t="s">
        <v>1813</v>
      </c>
      <c r="B40" s="60">
        <v>0.55000000000000004</v>
      </c>
      <c r="C40" s="60">
        <v>16.52</v>
      </c>
      <c r="D40" s="60">
        <v>17.07</v>
      </c>
      <c r="E40" s="60">
        <v>2.2999999999999998</v>
      </c>
      <c r="F40" s="60">
        <v>3.36</v>
      </c>
      <c r="G40" s="60">
        <v>49.62</v>
      </c>
      <c r="H40" s="60">
        <v>24.39</v>
      </c>
      <c r="I40" s="60">
        <v>3.62</v>
      </c>
      <c r="J40" s="60">
        <v>1.52</v>
      </c>
      <c r="K40" s="60">
        <v>222.31</v>
      </c>
      <c r="L40" s="60">
        <v>39.94</v>
      </c>
      <c r="M40" s="60">
        <v>66.150000000000006</v>
      </c>
      <c r="N40" s="60">
        <v>586.29999999999995</v>
      </c>
      <c r="O40" s="60">
        <v>0</v>
      </c>
      <c r="P40" s="60">
        <v>2</v>
      </c>
      <c r="Q40" s="60">
        <v>13.65</v>
      </c>
      <c r="R40" s="198"/>
      <c r="S40" s="198"/>
      <c r="T40" s="198"/>
      <c r="U40" s="198"/>
    </row>
    <row r="41" spans="1:21" s="12" customFormat="1" ht="15">
      <c r="A41" s="201" t="s">
        <v>1814</v>
      </c>
      <c r="B41" s="60">
        <v>0.54</v>
      </c>
      <c r="C41" s="60">
        <v>16.11</v>
      </c>
      <c r="D41" s="60">
        <v>16.66</v>
      </c>
      <c r="E41" s="60">
        <v>4.0999999999999996</v>
      </c>
      <c r="F41" s="60">
        <v>3.62</v>
      </c>
      <c r="G41" s="60">
        <v>50.72</v>
      </c>
      <c r="H41" s="60">
        <v>24.33</v>
      </c>
      <c r="I41" s="60">
        <v>3.46</v>
      </c>
      <c r="J41" s="60">
        <v>0.61</v>
      </c>
      <c r="K41" s="60">
        <v>38.700000000000003</v>
      </c>
      <c r="L41" s="60">
        <v>40.31</v>
      </c>
      <c r="M41" s="60">
        <v>65.92</v>
      </c>
      <c r="N41" s="60">
        <v>510.20</v>
      </c>
      <c r="O41" s="60">
        <v>0</v>
      </c>
      <c r="P41" s="60">
        <v>2</v>
      </c>
      <c r="Q41" s="60">
        <v>14.06</v>
      </c>
      <c r="R41" s="198"/>
      <c r="S41" s="198"/>
      <c r="T41" s="198"/>
      <c r="U41" s="198"/>
    </row>
    <row r="42" spans="1:21" s="12" customFormat="1" ht="15">
      <c r="A42" s="201" t="s">
        <v>1815</v>
      </c>
      <c r="B42" s="60">
        <v>0.81</v>
      </c>
      <c r="C42" s="60">
        <v>17.420000000000002</v>
      </c>
      <c r="D42" s="60">
        <v>18.23</v>
      </c>
      <c r="E42" s="60">
        <v>3.93</v>
      </c>
      <c r="F42" s="60">
        <v>3</v>
      </c>
      <c r="G42" s="60">
        <v>50.72</v>
      </c>
      <c r="H42" s="60">
        <v>24.33</v>
      </c>
      <c r="I42" s="60">
        <v>3.30</v>
      </c>
      <c r="J42" s="60">
        <v>0.070000000000000007</v>
      </c>
      <c r="K42" s="60">
        <v>39.119999999999997</v>
      </c>
      <c r="L42" s="60">
        <v>40.85</v>
      </c>
      <c r="M42" s="60">
        <v>64.59</v>
      </c>
      <c r="N42" s="60">
        <v>534.29999999999995</v>
      </c>
      <c r="O42" s="60">
        <v>0</v>
      </c>
      <c r="P42" s="60">
        <v>2.0099999999999998</v>
      </c>
      <c r="Q42" s="60">
        <v>14.77</v>
      </c>
      <c r="R42" s="198"/>
      <c r="S42" s="198"/>
      <c r="T42" s="198"/>
      <c r="U42" s="198"/>
    </row>
    <row r="43" spans="1:21" s="12" customFormat="1" ht="15">
      <c r="A43" s="201" t="s">
        <v>1816</v>
      </c>
      <c r="B43" s="60">
        <v>0.78</v>
      </c>
      <c r="C43" s="60">
        <v>17.91</v>
      </c>
      <c r="D43" s="60">
        <v>18.68</v>
      </c>
      <c r="E43" s="60">
        <v>3.83</v>
      </c>
      <c r="F43" s="60">
        <v>3.19</v>
      </c>
      <c r="G43" s="60">
        <v>50.72</v>
      </c>
      <c r="H43" s="60">
        <v>24.33</v>
      </c>
      <c r="I43" s="60">
        <v>3.18</v>
      </c>
      <c r="J43" s="60">
        <v>0.67</v>
      </c>
      <c r="K43" s="60">
        <v>252.64</v>
      </c>
      <c r="L43" s="60">
        <v>40.67</v>
      </c>
      <c r="M43" s="60">
        <v>63.61</v>
      </c>
      <c r="N43" s="60">
        <v>549.60</v>
      </c>
      <c r="O43" s="60">
        <v>0</v>
      </c>
      <c r="P43" s="60">
        <v>2.0099999999999998</v>
      </c>
      <c r="Q43" s="60">
        <v>15.03</v>
      </c>
      <c r="R43" s="198"/>
      <c r="S43" s="198"/>
      <c r="T43" s="198"/>
      <c r="U43" s="198"/>
    </row>
    <row r="44" spans="1:21" s="12" customFormat="1" ht="15">
      <c r="A44" s="201" t="s">
        <v>1817</v>
      </c>
      <c r="B44" s="60">
        <v>0.64</v>
      </c>
      <c r="C44" s="60">
        <v>17.66</v>
      </c>
      <c r="D44" s="60">
        <v>18.30</v>
      </c>
      <c r="E44" s="60">
        <v>3.56</v>
      </c>
      <c r="F44" s="60">
        <v>4.01</v>
      </c>
      <c r="G44" s="60">
        <v>49.59</v>
      </c>
      <c r="H44" s="60">
        <v>23.39</v>
      </c>
      <c r="I44" s="60">
        <v>3.14</v>
      </c>
      <c r="J44" s="60">
        <v>0.06</v>
      </c>
      <c r="K44" s="60">
        <v>177.80</v>
      </c>
      <c r="L44" s="60">
        <v>41.06</v>
      </c>
      <c r="M44" s="60">
        <v>62.26</v>
      </c>
      <c r="N44" s="60">
        <v>565.79999999999995</v>
      </c>
      <c r="O44" s="60">
        <v>0</v>
      </c>
      <c r="P44" s="60">
        <v>2.0099999999999998</v>
      </c>
      <c r="Q44" s="60">
        <v>14.83</v>
      </c>
      <c r="R44" s="198"/>
      <c r="S44" s="198"/>
      <c r="T44" s="198"/>
      <c r="U44" s="198"/>
    </row>
    <row r="45" spans="1:21" s="12" customFormat="1" ht="15">
      <c r="A45" s="201" t="s">
        <v>1818</v>
      </c>
      <c r="B45" s="60">
        <v>0.56999999999999995</v>
      </c>
      <c r="C45" s="60">
        <v>17.96</v>
      </c>
      <c r="D45" s="60">
        <v>18.53</v>
      </c>
      <c r="E45" s="60">
        <v>3.21</v>
      </c>
      <c r="F45" s="60">
        <v>4.8099999999999996</v>
      </c>
      <c r="G45" s="60">
        <v>49.22</v>
      </c>
      <c r="H45" s="60">
        <v>22.69</v>
      </c>
      <c r="I45" s="60">
        <v>3.08</v>
      </c>
      <c r="J45" s="60">
        <v>0.51</v>
      </c>
      <c r="K45" s="60">
        <v>47.44</v>
      </c>
      <c r="L45" s="60">
        <v>40.92</v>
      </c>
      <c r="M45" s="60">
        <v>62.89</v>
      </c>
      <c r="N45" s="60">
        <v>504.30</v>
      </c>
      <c r="O45" s="60">
        <v>0</v>
      </c>
      <c r="P45" s="60">
        <v>2</v>
      </c>
      <c r="Q45" s="60">
        <v>14.39</v>
      </c>
      <c r="R45" s="198"/>
      <c r="S45" s="198"/>
      <c r="T45" s="198"/>
      <c r="U45" s="198"/>
    </row>
    <row r="46" spans="1:21" s="12" customFormat="1" ht="15">
      <c r="A46" s="201" t="s">
        <v>1819</v>
      </c>
      <c r="B46" s="60">
        <v>0.62</v>
      </c>
      <c r="C46" s="60">
        <v>18.510000000000002</v>
      </c>
      <c r="D46" s="60">
        <v>19.13</v>
      </c>
      <c r="E46" s="60">
        <v>2.82</v>
      </c>
      <c r="F46" s="60">
        <v>4.5</v>
      </c>
      <c r="G46" s="60">
        <v>49.22</v>
      </c>
      <c r="H46" s="60">
        <v>22.69</v>
      </c>
      <c r="I46" s="60">
        <v>3</v>
      </c>
      <c r="J46" s="60">
        <v>0.45</v>
      </c>
      <c r="K46" s="60">
        <v>214.94</v>
      </c>
      <c r="L46" s="60">
        <v>41.54</v>
      </c>
      <c r="M46" s="60">
        <v>61.76</v>
      </c>
      <c r="N46" s="60">
        <v>639.60</v>
      </c>
      <c r="O46" s="60">
        <v>0</v>
      </c>
      <c r="P46" s="60">
        <v>2.0299999999999998</v>
      </c>
      <c r="Q46" s="60">
        <v>14.21</v>
      </c>
      <c r="R46" s="198"/>
      <c r="S46" s="198"/>
      <c r="T46" s="198"/>
      <c r="U46" s="198"/>
    </row>
    <row r="47" spans="1:21" s="12" customFormat="1" ht="15">
      <c r="A47" s="201" t="s">
        <v>1820</v>
      </c>
      <c r="B47" s="60">
        <v>0.64</v>
      </c>
      <c r="C47" s="60">
        <v>18.39</v>
      </c>
      <c r="D47" s="60">
        <v>19.03</v>
      </c>
      <c r="E47" s="60">
        <v>3.18</v>
      </c>
      <c r="F47" s="60">
        <v>4.5599999999999996</v>
      </c>
      <c r="G47" s="60">
        <v>49.22</v>
      </c>
      <c r="H47" s="60">
        <v>22.69</v>
      </c>
      <c r="I47" s="60">
        <v>2.89</v>
      </c>
      <c r="J47" s="60">
        <v>0.09</v>
      </c>
      <c r="K47" s="60">
        <v>292.70999999999998</v>
      </c>
      <c r="L47" s="60">
        <v>42.29</v>
      </c>
      <c r="M47" s="60">
        <v>59.31</v>
      </c>
      <c r="N47" s="60">
        <v>848.20</v>
      </c>
      <c r="O47" s="60">
        <v>0</v>
      </c>
      <c r="P47" s="60">
        <v>2.0299999999999998</v>
      </c>
      <c r="Q47" s="60">
        <v>13.81</v>
      </c>
      <c r="R47" s="198"/>
      <c r="S47" s="198"/>
      <c r="T47" s="198"/>
      <c r="U47" s="198"/>
    </row>
    <row r="48" spans="1:21" s="12" customFormat="1" ht="15">
      <c r="A48" s="201" t="s">
        <v>1821</v>
      </c>
      <c r="B48" s="60">
        <v>0.68</v>
      </c>
      <c r="C48" s="60">
        <v>20.190000000000001</v>
      </c>
      <c r="D48" s="60">
        <v>20.88</v>
      </c>
      <c r="E48" s="60">
        <v>3.24</v>
      </c>
      <c r="F48" s="60">
        <v>4.32</v>
      </c>
      <c r="G48" s="60">
        <v>54.37</v>
      </c>
      <c r="H48" s="60">
        <v>21.52</v>
      </c>
      <c r="I48" s="60">
        <v>2.88</v>
      </c>
      <c r="J48" s="60">
        <v>0.45</v>
      </c>
      <c r="K48" s="60">
        <v>275.13</v>
      </c>
      <c r="L48" s="60">
        <v>42.57</v>
      </c>
      <c r="M48" s="60">
        <v>58.17</v>
      </c>
      <c r="N48" s="60">
        <v>823.60</v>
      </c>
      <c r="O48" s="60">
        <v>0</v>
      </c>
      <c r="P48" s="60">
        <v>2.04</v>
      </c>
      <c r="Q48" s="60">
        <v>13.74</v>
      </c>
      <c r="R48" s="198"/>
      <c r="S48" s="198"/>
      <c r="T48" s="198"/>
      <c r="U48" s="198"/>
    </row>
    <row r="49" spans="1:21" s="12" customFormat="1" ht="15">
      <c r="A49" s="201" t="s">
        <v>1822</v>
      </c>
      <c r="B49" s="60">
        <v>0.56999999999999995</v>
      </c>
      <c r="C49" s="60">
        <v>19.73</v>
      </c>
      <c r="D49" s="60">
        <v>20.309999999999999</v>
      </c>
      <c r="E49" s="60">
        <v>2.72</v>
      </c>
      <c r="F49" s="60">
        <v>5.17</v>
      </c>
      <c r="G49" s="60">
        <v>55.99</v>
      </c>
      <c r="H49" s="60">
        <v>20.67</v>
      </c>
      <c r="I49" s="60">
        <v>2.87</v>
      </c>
      <c r="J49" s="60">
        <v>0.25</v>
      </c>
      <c r="K49" s="60">
        <v>313.5</v>
      </c>
      <c r="L49" s="60">
        <v>42.55</v>
      </c>
      <c r="M49" s="60">
        <v>57.69</v>
      </c>
      <c r="N49" s="60">
        <v>940.90</v>
      </c>
      <c r="O49" s="60">
        <v>0</v>
      </c>
      <c r="P49" s="60">
        <v>2.04</v>
      </c>
      <c r="Q49" s="60">
        <v>12.65</v>
      </c>
      <c r="R49" s="198"/>
      <c r="S49" s="198"/>
      <c r="T49" s="198"/>
      <c r="U49" s="198"/>
    </row>
    <row r="50" spans="1:21" s="12" customFormat="1" ht="15">
      <c r="A50" s="201" t="s">
        <v>1823</v>
      </c>
      <c r="B50" s="60">
        <v>0.51</v>
      </c>
      <c r="C50" s="60">
        <v>19.71</v>
      </c>
      <c r="D50" s="60">
        <v>20.22</v>
      </c>
      <c r="E50" s="60">
        <v>2.74</v>
      </c>
      <c r="F50" s="60">
        <v>5.46</v>
      </c>
      <c r="G50" s="60">
        <v>55.99</v>
      </c>
      <c r="H50" s="60">
        <v>20.67</v>
      </c>
      <c r="I50" s="60">
        <v>2.92</v>
      </c>
      <c r="J50" s="60">
        <v>0.54</v>
      </c>
      <c r="K50" s="60">
        <v>303.81</v>
      </c>
      <c r="L50" s="60">
        <v>43.62</v>
      </c>
      <c r="M50" s="60">
        <v>54.95</v>
      </c>
      <c r="N50" s="60">
        <v>869.5</v>
      </c>
      <c r="O50" s="60">
        <v>0</v>
      </c>
      <c r="P50" s="60">
        <v>2.0699999999999998</v>
      </c>
      <c r="Q50" s="60">
        <v>11.65</v>
      </c>
      <c r="R50" s="198"/>
      <c r="S50" s="198"/>
      <c r="T50" s="198"/>
      <c r="U50" s="198"/>
    </row>
    <row r="51" spans="1:21" s="12" customFormat="1" ht="15">
      <c r="A51" s="201" t="s">
        <v>1824</v>
      </c>
      <c r="B51" s="60">
        <v>0.70</v>
      </c>
      <c r="C51" s="60">
        <v>20.47</v>
      </c>
      <c r="D51" s="60">
        <v>21.17</v>
      </c>
      <c r="E51" s="60">
        <v>2.99</v>
      </c>
      <c r="F51" s="60">
        <v>4.8899999999999997</v>
      </c>
      <c r="G51" s="60">
        <v>55.99</v>
      </c>
      <c r="H51" s="60">
        <v>20.67</v>
      </c>
      <c r="I51" s="60">
        <v>2.92</v>
      </c>
      <c r="J51" s="60">
        <v>0.28999999999999998</v>
      </c>
      <c r="K51" s="60">
        <v>223.10</v>
      </c>
      <c r="L51" s="60">
        <v>43.93</v>
      </c>
      <c r="M51" s="60">
        <v>53.55</v>
      </c>
      <c r="N51" s="60">
        <v>901.40</v>
      </c>
      <c r="O51" s="60">
        <v>0</v>
      </c>
      <c r="P51" s="60">
        <v>2.0699999999999998</v>
      </c>
      <c r="Q51" s="60">
        <v>11.15</v>
      </c>
      <c r="R51" s="198"/>
      <c r="S51" s="198"/>
      <c r="T51" s="198"/>
      <c r="U51" s="198"/>
    </row>
    <row r="52" spans="1:21" s="12" customFormat="1" ht="15">
      <c r="A52" s="201" t="s">
        <v>1825</v>
      </c>
      <c r="B52" s="60">
        <v>0.60</v>
      </c>
      <c r="C52" s="60">
        <v>21.03</v>
      </c>
      <c r="D52" s="60">
        <v>21.63</v>
      </c>
      <c r="E52" s="60">
        <v>2.84</v>
      </c>
      <c r="F52" s="60">
        <v>5.52</v>
      </c>
      <c r="G52" s="60">
        <v>54.94</v>
      </c>
      <c r="H52" s="60">
        <v>18.46</v>
      </c>
      <c r="I52" s="60">
        <v>2.95</v>
      </c>
      <c r="J52" s="60">
        <v>0.59</v>
      </c>
      <c r="K52" s="60">
        <v>335.92</v>
      </c>
      <c r="L52" s="60">
        <v>44.68</v>
      </c>
      <c r="M52" s="60">
        <v>51.81</v>
      </c>
      <c r="N52" s="60">
        <v>746.30</v>
      </c>
      <c r="O52" s="60">
        <v>0</v>
      </c>
      <c r="P52" s="60">
        <v>2.0699999999999998</v>
      </c>
      <c r="Q52" s="60">
        <v>10.81</v>
      </c>
      <c r="R52" s="198"/>
      <c r="S52" s="198"/>
      <c r="T52" s="198"/>
      <c r="U52" s="198"/>
    </row>
    <row r="53" spans="1:21" s="12" customFormat="1" ht="15">
      <c r="A53" s="201" t="s">
        <v>1826</v>
      </c>
      <c r="B53" s="60">
        <v>0.54</v>
      </c>
      <c r="C53" s="60">
        <v>21.32</v>
      </c>
      <c r="D53" s="60">
        <v>21.86</v>
      </c>
      <c r="E53" s="60">
        <v>2.59</v>
      </c>
      <c r="F53" s="60">
        <v>6.10</v>
      </c>
      <c r="G53" s="60">
        <v>54.62</v>
      </c>
      <c r="H53" s="60">
        <v>16.850000000000001</v>
      </c>
      <c r="I53" s="60">
        <v>3.01</v>
      </c>
      <c r="J53" s="60">
        <v>0.37</v>
      </c>
      <c r="K53" s="60">
        <v>257.88</v>
      </c>
      <c r="L53" s="60">
        <v>42.94</v>
      </c>
      <c r="M53" s="60">
        <v>54.91</v>
      </c>
      <c r="N53" s="60">
        <v>353.30</v>
      </c>
      <c r="O53" s="60">
        <v>0</v>
      </c>
      <c r="P53" s="60">
        <v>2.0699999999999998</v>
      </c>
      <c r="Q53" s="60">
        <v>10.52</v>
      </c>
      <c r="R53" s="198"/>
      <c r="S53" s="198"/>
      <c r="T53" s="198"/>
      <c r="U53" s="198"/>
    </row>
    <row r="54" spans="1:21" s="12" customFormat="1" ht="15">
      <c r="A54" s="201" t="s">
        <v>1827</v>
      </c>
      <c r="B54" s="60">
        <v>0.35</v>
      </c>
      <c r="C54" s="60">
        <v>21.23</v>
      </c>
      <c r="D54" s="60">
        <v>21.58</v>
      </c>
      <c r="E54" s="60">
        <v>2.94</v>
      </c>
      <c r="F54" s="60">
        <v>7.29</v>
      </c>
      <c r="G54" s="60">
        <v>54.62</v>
      </c>
      <c r="H54" s="60">
        <v>16.850000000000001</v>
      </c>
      <c r="I54" s="60">
        <v>3.02</v>
      </c>
      <c r="J54" s="60">
        <v>1.59</v>
      </c>
      <c r="K54" s="60">
        <v>221.26</v>
      </c>
      <c r="L54" s="60">
        <v>41</v>
      </c>
      <c r="M54" s="60">
        <v>62.99</v>
      </c>
      <c r="N54" s="60">
        <v>406.90</v>
      </c>
      <c r="O54" s="60">
        <v>0</v>
      </c>
      <c r="P54" s="60">
        <v>2.04</v>
      </c>
      <c r="Q54" s="60">
        <v>10.28</v>
      </c>
      <c r="R54" s="198"/>
      <c r="S54" s="198"/>
      <c r="T54" s="198"/>
      <c r="U54" s="198"/>
    </row>
    <row r="55" spans="1:21" s="12" customFormat="1" ht="15">
      <c r="A55" s="201" t="s">
        <v>1828</v>
      </c>
      <c r="B55" s="60">
        <v>0.26</v>
      </c>
      <c r="C55" s="60">
        <v>20.170000000000002</v>
      </c>
      <c r="D55" s="60">
        <v>20.420000000000002</v>
      </c>
      <c r="E55" s="60">
        <v>2.31</v>
      </c>
      <c r="F55" s="60">
        <v>7.09</v>
      </c>
      <c r="G55" s="60">
        <v>54.62</v>
      </c>
      <c r="H55" s="60">
        <v>16.850000000000001</v>
      </c>
      <c r="I55" s="60">
        <v>2.99</v>
      </c>
      <c r="J55" s="60">
        <v>0.26</v>
      </c>
      <c r="K55" s="60">
        <v>267.70999999999998</v>
      </c>
      <c r="L55" s="60">
        <v>41.09</v>
      </c>
      <c r="M55" s="60">
        <v>62.01</v>
      </c>
      <c r="N55" s="60">
        <v>666.10</v>
      </c>
      <c r="O55" s="60">
        <v>0</v>
      </c>
      <c r="P55" s="60">
        <v>2.02</v>
      </c>
      <c r="Q55" s="60">
        <v>9.90</v>
      </c>
      <c r="R55" s="198"/>
      <c r="S55" s="198"/>
      <c r="T55" s="198"/>
      <c r="U55" s="198"/>
    </row>
    <row r="56" spans="1:21" s="12" customFormat="1" ht="15">
      <c r="A56" s="201" t="s">
        <v>1829</v>
      </c>
      <c r="B56" s="60">
        <v>0.33</v>
      </c>
      <c r="C56" s="60">
        <v>21.01</v>
      </c>
      <c r="D56" s="60">
        <v>21.34</v>
      </c>
      <c r="E56" s="60">
        <v>1.63</v>
      </c>
      <c r="F56" s="60">
        <v>5.24</v>
      </c>
      <c r="G56" s="60">
        <v>56.24</v>
      </c>
      <c r="H56" s="60">
        <v>18.5</v>
      </c>
      <c r="I56" s="60">
        <v>2.84</v>
      </c>
      <c r="J56" s="60">
        <v>1.91</v>
      </c>
      <c r="K56" s="60">
        <v>217.49</v>
      </c>
      <c r="L56" s="60">
        <v>42.5</v>
      </c>
      <c r="M56" s="60">
        <v>58.29</v>
      </c>
      <c r="N56" s="60">
        <v>990.90</v>
      </c>
      <c r="O56" s="60">
        <v>0</v>
      </c>
      <c r="P56" s="60">
        <v>2.0299999999999998</v>
      </c>
      <c r="Q56" s="60">
        <v>10.23</v>
      </c>
      <c r="R56" s="198"/>
      <c r="S56" s="198"/>
      <c r="T56" s="198"/>
      <c r="U56" s="198"/>
    </row>
    <row r="57" spans="1:21" s="12" customFormat="1" ht="15">
      <c r="A57" s="201" t="s">
        <v>1830</v>
      </c>
      <c r="B57" s="60">
        <v>0.40</v>
      </c>
      <c r="C57" s="60">
        <v>18.920000000000002</v>
      </c>
      <c r="D57" s="60">
        <v>19.32</v>
      </c>
      <c r="E57" s="60">
        <v>2.58</v>
      </c>
      <c r="F57" s="60">
        <v>4.87</v>
      </c>
      <c r="G57" s="60">
        <v>57.07</v>
      </c>
      <c r="H57" s="60">
        <v>19.71</v>
      </c>
      <c r="I57" s="60">
        <v>2.74</v>
      </c>
      <c r="J57" s="60">
        <v>1.22</v>
      </c>
      <c r="K57" s="60">
        <v>194</v>
      </c>
      <c r="L57" s="60">
        <v>44.36</v>
      </c>
      <c r="M57" s="60">
        <v>54.30</v>
      </c>
      <c r="N57" s="60">
        <v>1016.20</v>
      </c>
      <c r="O57" s="60">
        <v>0</v>
      </c>
      <c r="P57" s="60">
        <v>2.0099999999999998</v>
      </c>
      <c r="Q57" s="60">
        <v>10.17</v>
      </c>
      <c r="R57" s="198"/>
      <c r="S57" s="198"/>
      <c r="T57" s="198"/>
      <c r="U57" s="198"/>
    </row>
    <row r="58" spans="1:21" s="12" customFormat="1" ht="15">
      <c r="A58" s="201" t="s">
        <v>1831</v>
      </c>
      <c r="B58" s="60">
        <v>0.46</v>
      </c>
      <c r="C58" s="60">
        <v>18.80</v>
      </c>
      <c r="D58" s="60">
        <v>19.25</v>
      </c>
      <c r="E58" s="60">
        <v>3.08</v>
      </c>
      <c r="F58" s="60">
        <v>4.95</v>
      </c>
      <c r="G58" s="60">
        <v>57.07</v>
      </c>
      <c r="H58" s="60">
        <v>19.71</v>
      </c>
      <c r="I58" s="60">
        <v>2.79</v>
      </c>
      <c r="J58" s="60">
        <v>0.76</v>
      </c>
      <c r="K58" s="60">
        <v>267.68</v>
      </c>
      <c r="L58" s="60">
        <v>45.36</v>
      </c>
      <c r="M58" s="60">
        <v>49.90</v>
      </c>
      <c r="N58" s="60">
        <v>1235.5</v>
      </c>
      <c r="O58" s="60">
        <v>0</v>
      </c>
      <c r="P58" s="60">
        <v>2.02</v>
      </c>
      <c r="Q58" s="60">
        <v>10.69</v>
      </c>
      <c r="R58" s="198"/>
      <c r="S58" s="198"/>
      <c r="T58" s="198"/>
      <c r="U58" s="198"/>
    </row>
    <row r="59" spans="1:21" s="12" customFormat="1" ht="15">
      <c r="A59" s="201" t="s">
        <v>1832</v>
      </c>
      <c r="B59" s="60">
        <v>0.49</v>
      </c>
      <c r="C59" s="60">
        <v>17.86</v>
      </c>
      <c r="D59" s="60">
        <v>18.350000000000001</v>
      </c>
      <c r="E59" s="60">
        <v>3.28</v>
      </c>
      <c r="F59" s="60">
        <v>6.08</v>
      </c>
      <c r="G59" s="60">
        <v>57.07</v>
      </c>
      <c r="H59" s="60">
        <v>19.71</v>
      </c>
      <c r="I59" s="60">
        <v>2.75</v>
      </c>
      <c r="J59" s="60">
        <v>0.81</v>
      </c>
      <c r="K59" s="60">
        <v>335.89</v>
      </c>
      <c r="L59" s="60">
        <v>45.89</v>
      </c>
      <c r="M59" s="60">
        <v>48.42</v>
      </c>
      <c r="N59" s="60">
        <v>728.90</v>
      </c>
      <c r="O59" s="60">
        <v>0</v>
      </c>
      <c r="P59" s="60">
        <v>2.0099999999999998</v>
      </c>
      <c r="Q59" s="60">
        <v>10.76</v>
      </c>
      <c r="R59" s="198"/>
      <c r="S59" s="198"/>
      <c r="T59" s="198"/>
      <c r="U59" s="198"/>
    </row>
    <row r="60" spans="1:21" s="12" customFormat="1" ht="15">
      <c r="A60" s="201" t="s">
        <v>1833</v>
      </c>
      <c r="B60" s="60">
        <v>0.54</v>
      </c>
      <c r="C60" s="60">
        <v>19.52</v>
      </c>
      <c r="D60" s="60">
        <v>20.059999999999999</v>
      </c>
      <c r="E60" s="60">
        <v>3.09</v>
      </c>
      <c r="F60" s="60">
        <v>5.99</v>
      </c>
      <c r="G60" s="60">
        <v>57.36</v>
      </c>
      <c r="H60" s="60">
        <v>16.57</v>
      </c>
      <c r="I60" s="60">
        <v>2.76</v>
      </c>
      <c r="J60" s="60">
        <v>0.49</v>
      </c>
      <c r="K60" s="60">
        <v>303.70</v>
      </c>
      <c r="L60" s="60">
        <v>44.23</v>
      </c>
      <c r="M60" s="60">
        <v>51.26</v>
      </c>
      <c r="N60" s="60">
        <v>434.60</v>
      </c>
      <c r="O60" s="60">
        <v>0</v>
      </c>
      <c r="P60" s="60">
        <v>2.0299999999999998</v>
      </c>
      <c r="Q60" s="60">
        <v>11.39</v>
      </c>
      <c r="R60" s="198"/>
      <c r="S60" s="198"/>
      <c r="T60" s="198"/>
      <c r="U60" s="198"/>
    </row>
    <row r="61" spans="1:21" s="12" customFormat="1" ht="15">
      <c r="A61" s="201" t="s">
        <v>1834</v>
      </c>
      <c r="B61" s="60">
        <v>0.59</v>
      </c>
      <c r="C61" s="60">
        <v>20.5</v>
      </c>
      <c r="D61" s="60">
        <v>21.08</v>
      </c>
      <c r="E61" s="60">
        <v>3.07</v>
      </c>
      <c r="F61" s="60">
        <v>6.61</v>
      </c>
      <c r="G61" s="60">
        <v>57.45</v>
      </c>
      <c r="H61" s="60">
        <v>14.29</v>
      </c>
      <c r="I61" s="60">
        <v>2.70</v>
      </c>
      <c r="J61" s="60">
        <v>0.40</v>
      </c>
      <c r="K61" s="60">
        <v>331.63</v>
      </c>
      <c r="L61" s="60">
        <v>44.62</v>
      </c>
      <c r="M61" s="60">
        <v>49.71</v>
      </c>
      <c r="N61" s="60">
        <v>729.40</v>
      </c>
      <c r="O61" s="60">
        <v>0</v>
      </c>
      <c r="P61" s="60">
        <v>2.0299999999999998</v>
      </c>
      <c r="Q61" s="60">
        <v>11.58</v>
      </c>
      <c r="R61" s="198"/>
      <c r="S61" s="198"/>
      <c r="T61" s="198"/>
      <c r="U61" s="198"/>
    </row>
    <row r="62" spans="1:21" s="12" customFormat="1" ht="15">
      <c r="A62" s="201" t="s">
        <v>1835</v>
      </c>
      <c r="B62" s="60">
        <v>0.43</v>
      </c>
      <c r="C62" s="60">
        <v>21.64</v>
      </c>
      <c r="D62" s="60">
        <v>22.07</v>
      </c>
      <c r="E62" s="60">
        <v>2.74</v>
      </c>
      <c r="F62" s="60">
        <v>6.66</v>
      </c>
      <c r="G62" s="60">
        <v>57.45</v>
      </c>
      <c r="H62" s="60">
        <v>14.29</v>
      </c>
      <c r="I62" s="60">
        <v>2.75</v>
      </c>
      <c r="J62" s="60">
        <v>1.80</v>
      </c>
      <c r="K62" s="60">
        <v>340.83</v>
      </c>
      <c r="L62" s="60">
        <v>46.19</v>
      </c>
      <c r="M62" s="60">
        <v>46.81</v>
      </c>
      <c r="N62" s="60">
        <v>1041.0999999999999</v>
      </c>
      <c r="O62" s="60">
        <v>0</v>
      </c>
      <c r="P62" s="60">
        <v>2.04</v>
      </c>
      <c r="Q62" s="60">
        <v>11.88</v>
      </c>
      <c r="R62" s="198"/>
      <c r="S62" s="198"/>
      <c r="T62" s="198"/>
      <c r="U62" s="198"/>
    </row>
    <row r="63" spans="1:21" s="12" customFormat="1" ht="15">
      <c r="A63" s="201" t="s">
        <v>1836</v>
      </c>
      <c r="B63" s="60">
        <v>0.42</v>
      </c>
      <c r="C63" s="60">
        <v>20.18</v>
      </c>
      <c r="D63" s="60">
        <v>20.60</v>
      </c>
      <c r="E63" s="60">
        <v>3.31</v>
      </c>
      <c r="F63" s="60">
        <v>7.40</v>
      </c>
      <c r="G63" s="60">
        <v>57.45</v>
      </c>
      <c r="H63" s="60">
        <v>14.29</v>
      </c>
      <c r="I63" s="60">
        <v>2.79</v>
      </c>
      <c r="J63" s="60">
        <v>1.46</v>
      </c>
      <c r="K63" s="60">
        <v>325.39999999999998</v>
      </c>
      <c r="L63" s="60">
        <v>47.49</v>
      </c>
      <c r="M63" s="60">
        <v>45.41</v>
      </c>
      <c r="N63" s="60">
        <v>857.5</v>
      </c>
      <c r="O63" s="60">
        <v>0</v>
      </c>
      <c r="P63" s="60">
        <v>2.02</v>
      </c>
      <c r="Q63" s="60">
        <v>11.57</v>
      </c>
      <c r="R63" s="198"/>
      <c r="S63" s="198"/>
      <c r="T63" s="198"/>
      <c r="U63" s="198"/>
    </row>
    <row r="64" spans="1:21" s="12" customFormat="1" ht="15">
      <c r="A64" s="201" t="s">
        <v>1837</v>
      </c>
      <c r="B64" s="60">
        <v>0.56000000000000005</v>
      </c>
      <c r="C64" s="60">
        <v>20.71</v>
      </c>
      <c r="D64" s="60">
        <v>21.28</v>
      </c>
      <c r="E64" s="60">
        <v>2.79</v>
      </c>
      <c r="F64" s="60">
        <v>6.85</v>
      </c>
      <c r="G64" s="60">
        <v>54.24</v>
      </c>
      <c r="H64" s="60">
        <v>18.559999999999999</v>
      </c>
      <c r="I64" s="60">
        <v>2.77</v>
      </c>
      <c r="J64" s="60">
        <v>0.74</v>
      </c>
      <c r="K64" s="60">
        <v>324.04000000000002</v>
      </c>
      <c r="L64" s="60">
        <v>47.88</v>
      </c>
      <c r="M64" s="60">
        <v>47.20</v>
      </c>
      <c r="N64" s="60">
        <v>774.70</v>
      </c>
      <c r="O64" s="60">
        <v>0</v>
      </c>
      <c r="P64" s="60">
        <v>2.04</v>
      </c>
      <c r="Q64" s="60">
        <v>11.60</v>
      </c>
      <c r="R64" s="198"/>
      <c r="S64" s="198"/>
      <c r="T64" s="198"/>
      <c r="U64" s="198"/>
    </row>
    <row r="65" spans="1:21" s="12" customFormat="1" ht="15">
      <c r="A65" s="201" t="s">
        <v>1838</v>
      </c>
      <c r="B65" s="60">
        <v>0.51</v>
      </c>
      <c r="C65" s="60">
        <v>20.71</v>
      </c>
      <c r="D65" s="60">
        <v>21.22</v>
      </c>
      <c r="E65" s="60">
        <v>3.30</v>
      </c>
      <c r="F65" s="60">
        <v>7.20</v>
      </c>
      <c r="G65" s="60">
        <v>53.30</v>
      </c>
      <c r="H65" s="60">
        <v>21.68</v>
      </c>
      <c r="I65" s="60">
        <v>2.70</v>
      </c>
      <c r="J65" s="60">
        <v>0.99</v>
      </c>
      <c r="K65" s="60">
        <v>316.61</v>
      </c>
      <c r="L65" s="60">
        <v>48.16</v>
      </c>
      <c r="M65" s="60">
        <v>47.29</v>
      </c>
      <c r="N65" s="60">
        <v>682.10</v>
      </c>
      <c r="O65" s="60">
        <v>0</v>
      </c>
      <c r="P65" s="60">
        <v>2.0299999999999998</v>
      </c>
      <c r="Q65" s="60">
        <v>11.34</v>
      </c>
      <c r="R65" s="198"/>
      <c r="S65" s="198"/>
      <c r="T65" s="198"/>
      <c r="U65" s="198"/>
    </row>
    <row r="66" spans="1:21" s="12" customFormat="1" ht="15">
      <c r="A66" s="201" t="s">
        <v>1839</v>
      </c>
      <c r="B66" s="60">
        <v>0.31</v>
      </c>
      <c r="C66" s="60">
        <v>20.75</v>
      </c>
      <c r="D66" s="60">
        <v>21.06</v>
      </c>
      <c r="E66" s="60">
        <v>3.25</v>
      </c>
      <c r="F66" s="60">
        <v>7.27</v>
      </c>
      <c r="G66" s="60">
        <v>53.30</v>
      </c>
      <c r="H66" s="60">
        <v>21.68</v>
      </c>
      <c r="I66" s="60">
        <v>2.76</v>
      </c>
      <c r="J66" s="60">
        <v>0.85</v>
      </c>
      <c r="K66" s="60">
        <v>248.40</v>
      </c>
      <c r="L66" s="60">
        <v>47.47</v>
      </c>
      <c r="M66" s="60">
        <v>45.21</v>
      </c>
      <c r="N66" s="60">
        <v>959.40</v>
      </c>
      <c r="O66" s="60">
        <v>0</v>
      </c>
      <c r="P66" s="60">
        <v>2.0299999999999998</v>
      </c>
      <c r="Q66" s="60">
        <v>11.08</v>
      </c>
      <c r="R66" s="198"/>
      <c r="S66" s="198"/>
      <c r="T66" s="198"/>
      <c r="U66" s="198"/>
    </row>
    <row r="67" spans="1:21" s="12" customFormat="1" ht="15">
      <c r="A67" s="201" t="s">
        <v>1840</v>
      </c>
      <c r="B67" s="60">
        <v>0.23</v>
      </c>
      <c r="C67" s="60">
        <v>19.46</v>
      </c>
      <c r="D67" s="60">
        <v>19.690000000000001</v>
      </c>
      <c r="E67" s="60">
        <v>2.82</v>
      </c>
      <c r="F67" s="60">
        <v>8.33</v>
      </c>
      <c r="G67" s="60">
        <v>53.30</v>
      </c>
      <c r="H67" s="60">
        <v>21.68</v>
      </c>
      <c r="I67" s="60">
        <v>2.73</v>
      </c>
      <c r="J67" s="60">
        <v>1.26</v>
      </c>
      <c r="K67" s="60">
        <v>349.53</v>
      </c>
      <c r="L67" s="60">
        <v>47.46</v>
      </c>
      <c r="M67" s="60">
        <v>46.45</v>
      </c>
      <c r="N67" s="60">
        <v>847.60</v>
      </c>
      <c r="O67" s="60">
        <v>0</v>
      </c>
      <c r="P67" s="60">
        <v>2.0099999999999998</v>
      </c>
      <c r="Q67" s="60">
        <v>10.25</v>
      </c>
      <c r="R67" s="198"/>
      <c r="S67" s="198"/>
      <c r="T67" s="198"/>
      <c r="U67" s="198"/>
    </row>
    <row r="68" spans="1:21" s="12" customFormat="1" ht="15">
      <c r="A68" s="201" t="s">
        <v>1841</v>
      </c>
      <c r="B68" s="60">
        <v>0.23</v>
      </c>
      <c r="C68" s="60">
        <v>19.170000000000002</v>
      </c>
      <c r="D68" s="60">
        <v>19.399999999999999</v>
      </c>
      <c r="E68" s="60">
        <v>2.72</v>
      </c>
      <c r="F68" s="60">
        <v>8.65</v>
      </c>
      <c r="G68" s="60">
        <v>53.27</v>
      </c>
      <c r="H68" s="60">
        <v>21.5</v>
      </c>
      <c r="I68" s="60">
        <v>2.65</v>
      </c>
      <c r="J68" s="60">
        <v>0.92</v>
      </c>
      <c r="K68" s="60">
        <v>344.58</v>
      </c>
      <c r="L68" s="60">
        <v>49.42</v>
      </c>
      <c r="M68" s="60">
        <v>44.73</v>
      </c>
      <c r="N68" s="60">
        <v>922.30</v>
      </c>
      <c r="O68" s="60">
        <v>0</v>
      </c>
      <c r="P68" s="60">
        <v>2</v>
      </c>
      <c r="Q68" s="60">
        <v>9.49</v>
      </c>
      <c r="R68" s="198"/>
      <c r="S68" s="198"/>
      <c r="T68" s="198"/>
      <c r="U68" s="198"/>
    </row>
    <row r="69" spans="1:21" s="12" customFormat="1" ht="15">
      <c r="A69" s="201" t="s">
        <v>1842</v>
      </c>
      <c r="B69" s="60">
        <v>0.25</v>
      </c>
      <c r="C69" s="60">
        <v>19.23</v>
      </c>
      <c r="D69" s="60">
        <v>19.48</v>
      </c>
      <c r="E69" s="60">
        <v>3.04</v>
      </c>
      <c r="F69" s="60">
        <v>8.61</v>
      </c>
      <c r="G69" s="60">
        <v>53.26</v>
      </c>
      <c r="H69" s="60">
        <v>21.36</v>
      </c>
      <c r="I69" s="60">
        <v>2.54</v>
      </c>
      <c r="J69" s="60">
        <v>0.90</v>
      </c>
      <c r="K69" s="60">
        <v>294.31</v>
      </c>
      <c r="L69" s="60">
        <v>47.81</v>
      </c>
      <c r="M69" s="60">
        <v>45.25</v>
      </c>
      <c r="N69" s="60">
        <v>747.30</v>
      </c>
      <c r="O69" s="60">
        <v>0</v>
      </c>
      <c r="P69" s="60">
        <v>2</v>
      </c>
      <c r="Q69" s="60">
        <v>9.01</v>
      </c>
      <c r="R69" s="198"/>
      <c r="S69" s="198"/>
      <c r="T69" s="198"/>
      <c r="U69" s="198"/>
    </row>
    <row r="70" spans="1:21" s="12" customFormat="1" ht="15">
      <c r="A70" s="201" t="s">
        <v>1843</v>
      </c>
      <c r="B70" s="60">
        <v>0.27</v>
      </c>
      <c r="C70" s="60">
        <v>19.149999999999999</v>
      </c>
      <c r="D70" s="60">
        <v>19.420000000000002</v>
      </c>
      <c r="E70" s="60">
        <v>3.09</v>
      </c>
      <c r="F70" s="60">
        <v>8.08</v>
      </c>
      <c r="G70" s="60">
        <v>53.26</v>
      </c>
      <c r="H70" s="60">
        <v>21.36</v>
      </c>
      <c r="I70" s="60">
        <v>2.52</v>
      </c>
      <c r="J70" s="60">
        <v>0.76</v>
      </c>
      <c r="K70" s="60">
        <v>300.27</v>
      </c>
      <c r="L70" s="60">
        <v>48.66</v>
      </c>
      <c r="M70" s="60">
        <v>46.47</v>
      </c>
      <c r="N70" s="60">
        <v>572.90</v>
      </c>
      <c r="O70" s="60">
        <v>0</v>
      </c>
      <c r="P70" s="60">
        <v>2</v>
      </c>
      <c r="Q70" s="60">
        <v>8.6199999999999992</v>
      </c>
      <c r="R70" s="198"/>
      <c r="S70" s="198"/>
      <c r="T70" s="198"/>
      <c r="U70" s="198"/>
    </row>
    <row r="71" spans="1:21" s="12" customFormat="1" ht="15">
      <c r="A71" s="201" t="s">
        <v>1844</v>
      </c>
      <c r="B71" s="60">
        <v>0.22</v>
      </c>
      <c r="C71" s="60">
        <v>19.43</v>
      </c>
      <c r="D71" s="60">
        <v>19.66</v>
      </c>
      <c r="E71" s="60">
        <v>3.17</v>
      </c>
      <c r="F71" s="60">
        <v>7.49</v>
      </c>
      <c r="G71" s="60">
        <v>53.26</v>
      </c>
      <c r="H71" s="60">
        <v>21.36</v>
      </c>
      <c r="I71" s="60">
        <v>2.41</v>
      </c>
      <c r="J71" s="60">
        <v>0.64</v>
      </c>
      <c r="K71" s="60">
        <v>323.5</v>
      </c>
      <c r="L71" s="60">
        <v>48.15</v>
      </c>
      <c r="M71" s="60">
        <v>46.42</v>
      </c>
      <c r="N71" s="60">
        <v>613.29999999999995</v>
      </c>
      <c r="O71" s="60">
        <v>0</v>
      </c>
      <c r="P71" s="60">
        <v>2</v>
      </c>
      <c r="Q71" s="60">
        <v>8.57</v>
      </c>
      <c r="R71" s="198"/>
      <c r="S71" s="198"/>
      <c r="T71" s="198"/>
      <c r="U71" s="198"/>
    </row>
    <row r="72" spans="1:21" s="12" customFormat="1" ht="15">
      <c r="A72" s="201" t="s">
        <v>1845</v>
      </c>
      <c r="B72" s="60">
        <v>0.34</v>
      </c>
      <c r="C72" s="60">
        <v>18.93</v>
      </c>
      <c r="D72" s="60">
        <v>19.27</v>
      </c>
      <c r="E72" s="60">
        <v>2.08</v>
      </c>
      <c r="F72" s="60">
        <v>7.88</v>
      </c>
      <c r="G72" s="60">
        <v>54.69</v>
      </c>
      <c r="H72" s="60">
        <v>20.190000000000001</v>
      </c>
      <c r="I72" s="60">
        <v>2.4300000000000002</v>
      </c>
      <c r="J72" s="60">
        <v>0.23</v>
      </c>
      <c r="K72" s="60">
        <v>311.97000000000003</v>
      </c>
      <c r="L72" s="60">
        <v>46.84</v>
      </c>
      <c r="M72" s="60">
        <v>45.57</v>
      </c>
      <c r="N72" s="60">
        <v>561.79999999999995</v>
      </c>
      <c r="O72" s="60">
        <v>0</v>
      </c>
      <c r="P72" s="60">
        <v>1.99</v>
      </c>
      <c r="Q72" s="60">
        <v>8.2100000000000009</v>
      </c>
      <c r="R72" s="198"/>
      <c r="S72" s="198"/>
      <c r="T72" s="198"/>
      <c r="U72" s="198"/>
    </row>
    <row r="73" spans="1:21" s="12" customFormat="1" ht="15">
      <c r="A73" s="201" t="s">
        <v>1846</v>
      </c>
      <c r="B73" s="60">
        <v>0.48</v>
      </c>
      <c r="C73" s="60">
        <v>19.79</v>
      </c>
      <c r="D73" s="60">
        <v>20.27</v>
      </c>
      <c r="E73" s="60">
        <v>3.59</v>
      </c>
      <c r="F73" s="60">
        <v>6.29</v>
      </c>
      <c r="G73" s="60">
        <v>55.13</v>
      </c>
      <c r="H73" s="60">
        <v>19.329999999999998</v>
      </c>
      <c r="I73" s="60">
        <v>2.39</v>
      </c>
      <c r="J73" s="60">
        <v>1.23</v>
      </c>
      <c r="K73" s="60">
        <v>354.14</v>
      </c>
      <c r="L73" s="60">
        <v>47.08</v>
      </c>
      <c r="M73" s="60">
        <v>46.30</v>
      </c>
      <c r="N73" s="60">
        <v>411.5</v>
      </c>
      <c r="O73" s="60">
        <v>0</v>
      </c>
      <c r="P73" s="60">
        <v>2</v>
      </c>
      <c r="Q73" s="60">
        <v>8.42</v>
      </c>
      <c r="R73" s="198"/>
      <c r="S73" s="198"/>
      <c r="T73" s="198"/>
      <c r="U73" s="198"/>
    </row>
    <row r="74" spans="1:21" s="12" customFormat="1" ht="15">
      <c r="A74" s="201" t="s">
        <v>1847</v>
      </c>
      <c r="B74" s="60">
        <v>0.63</v>
      </c>
      <c r="C74" s="60">
        <v>20.79</v>
      </c>
      <c r="D74" s="60">
        <v>21.42</v>
      </c>
      <c r="E74" s="60">
        <v>3.89</v>
      </c>
      <c r="F74" s="60">
        <v>4.79</v>
      </c>
      <c r="G74" s="60">
        <v>55.13</v>
      </c>
      <c r="H74" s="60">
        <v>19.329999999999998</v>
      </c>
      <c r="I74" s="60">
        <v>2.38</v>
      </c>
      <c r="J74" s="60">
        <v>0.27</v>
      </c>
      <c r="K74" s="60">
        <v>320.35000000000002</v>
      </c>
      <c r="L74" s="60">
        <v>46.75</v>
      </c>
      <c r="M74" s="60">
        <v>45.49</v>
      </c>
      <c r="N74" s="60">
        <v>324.80</v>
      </c>
      <c r="O74" s="60">
        <v>0</v>
      </c>
      <c r="P74" s="60">
        <v>2</v>
      </c>
      <c r="Q74" s="60">
        <v>8.99</v>
      </c>
      <c r="R74" s="198"/>
      <c r="S74" s="198"/>
      <c r="T74" s="198"/>
      <c r="U74" s="198"/>
    </row>
    <row r="75" spans="1:21" s="12" customFormat="1" ht="15">
      <c r="A75" s="201" t="s">
        <v>1848</v>
      </c>
      <c r="B75" s="60">
        <v>0.63</v>
      </c>
      <c r="C75" s="60">
        <v>20.260000000000002</v>
      </c>
      <c r="D75" s="60">
        <v>20.89</v>
      </c>
      <c r="E75" s="60">
        <v>3.43</v>
      </c>
      <c r="F75" s="60">
        <v>5.16</v>
      </c>
      <c r="G75" s="60">
        <v>55.13</v>
      </c>
      <c r="H75" s="60">
        <v>19.329999999999998</v>
      </c>
      <c r="I75" s="60">
        <v>2.44</v>
      </c>
      <c r="J75" s="60">
        <v>0.60</v>
      </c>
      <c r="K75" s="60">
        <v>321.89999999999998</v>
      </c>
      <c r="L75" s="60">
        <v>45.79</v>
      </c>
      <c r="M75" s="60">
        <v>46.68</v>
      </c>
      <c r="N75" s="60">
        <v>260</v>
      </c>
      <c r="O75" s="60">
        <v>0</v>
      </c>
      <c r="P75" s="60">
        <v>2.0099999999999998</v>
      </c>
      <c r="Q75" s="60">
        <v>9.35</v>
      </c>
      <c r="R75" s="198"/>
      <c r="S75" s="198"/>
      <c r="T75" s="198"/>
      <c r="U75" s="198"/>
    </row>
    <row r="76" spans="1:21" s="12" customFormat="1" ht="15">
      <c r="A76" s="201" t="s">
        <v>1849</v>
      </c>
      <c r="B76" s="60">
        <v>0.61</v>
      </c>
      <c r="C76" s="60">
        <v>21.14</v>
      </c>
      <c r="D76" s="60">
        <v>21.75</v>
      </c>
      <c r="E76" s="60">
        <v>3.74</v>
      </c>
      <c r="F76" s="60">
        <v>4.20</v>
      </c>
      <c r="G76" s="60">
        <v>51.83</v>
      </c>
      <c r="H76" s="60">
        <v>19.23</v>
      </c>
      <c r="I76" s="60">
        <v>2.56</v>
      </c>
      <c r="J76" s="60">
        <v>0.5</v>
      </c>
      <c r="K76" s="60">
        <v>305.83999999999997</v>
      </c>
      <c r="L76" s="60">
        <v>45.43</v>
      </c>
      <c r="M76" s="60">
        <v>46.11</v>
      </c>
      <c r="N76" s="60">
        <v>229.70</v>
      </c>
      <c r="O76" s="60">
        <v>0</v>
      </c>
      <c r="P76" s="60">
        <v>2.0299999999999998</v>
      </c>
      <c r="Q76" s="60">
        <v>9.91</v>
      </c>
      <c r="R76" s="198"/>
      <c r="S76" s="198"/>
      <c r="T76" s="198"/>
      <c r="U76" s="198"/>
    </row>
    <row r="77" spans="1:21" s="12" customFormat="1" ht="15">
      <c r="A77" s="201" t="s">
        <v>1850</v>
      </c>
      <c r="B77" s="60">
        <v>0.67</v>
      </c>
      <c r="C77" s="60">
        <v>20.64</v>
      </c>
      <c r="D77" s="60">
        <v>21.30</v>
      </c>
      <c r="E77" s="60">
        <v>3.58</v>
      </c>
      <c r="F77" s="60">
        <v>4.62</v>
      </c>
      <c r="G77" s="60">
        <v>50.85</v>
      </c>
      <c r="H77" s="60">
        <v>19.16</v>
      </c>
      <c r="I77" s="60">
        <v>2.64</v>
      </c>
      <c r="J77" s="60">
        <v>0.99</v>
      </c>
      <c r="K77" s="60">
        <v>328.39</v>
      </c>
      <c r="L77" s="60">
        <v>45.08</v>
      </c>
      <c r="M77" s="60">
        <v>47.80</v>
      </c>
      <c r="N77" s="60">
        <v>206.10</v>
      </c>
      <c r="O77" s="60">
        <v>0</v>
      </c>
      <c r="P77" s="60">
        <v>2.0499999999999998</v>
      </c>
      <c r="Q77" s="60">
        <v>9.8800000000000008</v>
      </c>
      <c r="R77" s="198"/>
      <c r="S77" s="198"/>
      <c r="T77" s="198"/>
      <c r="U77" s="198"/>
    </row>
    <row r="78" spans="1:21" s="12" customFormat="1" ht="15">
      <c r="A78" s="201" t="s">
        <v>1851</v>
      </c>
      <c r="B78" s="60">
        <v>0.68</v>
      </c>
      <c r="C78" s="60">
        <v>21.40</v>
      </c>
      <c r="D78" s="60">
        <v>22.07</v>
      </c>
      <c r="E78" s="60">
        <v>3.56</v>
      </c>
      <c r="F78" s="60">
        <v>4.3099999999999996</v>
      </c>
      <c r="G78" s="60">
        <v>50.85</v>
      </c>
      <c r="H78" s="60">
        <v>19.16</v>
      </c>
      <c r="I78" s="60">
        <v>2.77</v>
      </c>
      <c r="J78" s="60">
        <v>0.75</v>
      </c>
      <c r="K78" s="60">
        <v>260.94</v>
      </c>
      <c r="L78" s="60">
        <v>44.79</v>
      </c>
      <c r="M78" s="60">
        <v>48.86</v>
      </c>
      <c r="N78" s="60">
        <v>181.20</v>
      </c>
      <c r="O78" s="60">
        <v>0</v>
      </c>
      <c r="P78" s="60">
        <v>2.06</v>
      </c>
      <c r="Q78" s="60">
        <v>10.130000000000001</v>
      </c>
      <c r="R78" s="198"/>
      <c r="S78" s="198"/>
      <c r="T78" s="198"/>
      <c r="U78" s="198"/>
    </row>
    <row r="79" spans="1:21" s="12" customFormat="1" ht="15">
      <c r="A79" s="201" t="s">
        <v>1852</v>
      </c>
      <c r="B79" s="60">
        <v>0.62</v>
      </c>
      <c r="C79" s="60">
        <v>21.01</v>
      </c>
      <c r="D79" s="60">
        <v>21.62</v>
      </c>
      <c r="E79" s="60">
        <v>3.51</v>
      </c>
      <c r="F79" s="60">
        <v>4.41</v>
      </c>
      <c r="G79" s="60">
        <v>50.85</v>
      </c>
      <c r="H79" s="60">
        <v>19.16</v>
      </c>
      <c r="I79" s="60">
        <v>2.82</v>
      </c>
      <c r="J79" s="60">
        <v>0.83</v>
      </c>
      <c r="K79" s="60">
        <v>14.97</v>
      </c>
      <c r="L79" s="60">
        <v>43.61</v>
      </c>
      <c r="M79" s="60">
        <v>51.87</v>
      </c>
      <c r="N79" s="60">
        <v>163.90</v>
      </c>
      <c r="O79" s="60">
        <v>0</v>
      </c>
      <c r="P79" s="60">
        <v>2.0699999999999998</v>
      </c>
      <c r="Q79" s="60">
        <v>10.050000000000001</v>
      </c>
      <c r="R79" s="198"/>
      <c r="S79" s="198"/>
      <c r="T79" s="198"/>
      <c r="U79" s="198"/>
    </row>
    <row r="80" spans="1:21" s="12" customFormat="1" ht="15">
      <c r="A80" s="201" t="s">
        <v>1853</v>
      </c>
      <c r="B80" s="60">
        <v>0.90</v>
      </c>
      <c r="C80" s="60">
        <v>22.60</v>
      </c>
      <c r="D80" s="60">
        <v>23.49</v>
      </c>
      <c r="E80" s="60">
        <v>3.98</v>
      </c>
      <c r="F80" s="60">
        <v>3.86</v>
      </c>
      <c r="G80" s="60">
        <v>49.97</v>
      </c>
      <c r="H80" s="60">
        <v>17.309999999999999</v>
      </c>
      <c r="I80" s="60">
        <v>2.99</v>
      </c>
      <c r="J80" s="60">
        <v>1.18</v>
      </c>
      <c r="K80" s="60">
        <v>346.21</v>
      </c>
      <c r="L80" s="60">
        <v>42.84</v>
      </c>
      <c r="M80" s="60">
        <v>54.57</v>
      </c>
      <c r="N80" s="60">
        <v>142.40</v>
      </c>
      <c r="O80" s="60">
        <v>0</v>
      </c>
      <c r="P80" s="60">
        <v>2.10</v>
      </c>
      <c r="Q80" s="60">
        <v>10.47</v>
      </c>
      <c r="R80" s="198"/>
      <c r="S80" s="198"/>
      <c r="T80" s="198"/>
      <c r="U80" s="198"/>
    </row>
    <row r="81" spans="1:21" s="12" customFormat="1" ht="15">
      <c r="A81" s="201" t="s">
        <v>1854</v>
      </c>
      <c r="B81" s="60">
        <v>0.99</v>
      </c>
      <c r="C81" s="60">
        <v>23.39</v>
      </c>
      <c r="D81" s="60">
        <v>24.38</v>
      </c>
      <c r="E81" s="60">
        <v>3.94</v>
      </c>
      <c r="F81" s="60">
        <v>3.28</v>
      </c>
      <c r="G81" s="60">
        <v>49.51</v>
      </c>
      <c r="H81" s="60">
        <v>15.96</v>
      </c>
      <c r="I81" s="60">
        <v>3.09</v>
      </c>
      <c r="J81" s="60">
        <v>0.83</v>
      </c>
      <c r="K81" s="60">
        <v>349.29</v>
      </c>
      <c r="L81" s="60">
        <v>43.05</v>
      </c>
      <c r="M81" s="60">
        <v>53.70</v>
      </c>
      <c r="N81" s="60">
        <v>113</v>
      </c>
      <c r="O81" s="60">
        <v>0</v>
      </c>
      <c r="P81" s="60">
        <v>2.13</v>
      </c>
      <c r="Q81" s="60">
        <v>10.63</v>
      </c>
      <c r="R81" s="198"/>
      <c r="S81" s="198"/>
      <c r="T81" s="198"/>
      <c r="U81" s="198"/>
    </row>
    <row r="82" spans="1:21" s="12" customFormat="1" ht="15">
      <c r="A82" s="201" t="s">
        <v>1855</v>
      </c>
      <c r="B82" s="60">
        <v>1.59</v>
      </c>
      <c r="C82" s="60">
        <v>24.40</v>
      </c>
      <c r="D82" s="60">
        <v>26</v>
      </c>
      <c r="E82" s="60">
        <v>3.83</v>
      </c>
      <c r="F82" s="60">
        <v>2.68</v>
      </c>
      <c r="G82" s="60">
        <v>49.51</v>
      </c>
      <c r="H82" s="60">
        <v>15.96</v>
      </c>
      <c r="I82" s="60">
        <v>3.21</v>
      </c>
      <c r="J82" s="60">
        <v>0.80</v>
      </c>
      <c r="K82" s="60">
        <v>336.03</v>
      </c>
      <c r="L82" s="60">
        <v>43.81</v>
      </c>
      <c r="M82" s="60">
        <v>54.01</v>
      </c>
      <c r="N82" s="60">
        <v>101.90</v>
      </c>
      <c r="O82" s="60">
        <v>0</v>
      </c>
      <c r="P82" s="60">
        <v>2.1800000000000002</v>
      </c>
      <c r="Q82" s="60">
        <v>11.06</v>
      </c>
      <c r="R82" s="198"/>
      <c r="S82" s="198"/>
      <c r="T82" s="198"/>
      <c r="U82" s="198"/>
    </row>
    <row r="83" spans="1:21" s="12" customFormat="1" ht="15">
      <c r="A83" s="201" t="s">
        <v>1856</v>
      </c>
      <c r="B83" s="60">
        <v>1.56</v>
      </c>
      <c r="C83" s="60">
        <v>25.46</v>
      </c>
      <c r="D83" s="60">
        <v>27.02</v>
      </c>
      <c r="E83" s="60">
        <v>4.04</v>
      </c>
      <c r="F83" s="60">
        <v>2.31</v>
      </c>
      <c r="G83" s="60">
        <v>49.51</v>
      </c>
      <c r="H83" s="60">
        <v>15.96</v>
      </c>
      <c r="I83" s="60">
        <v>3.39</v>
      </c>
      <c r="J83" s="60">
        <v>1.03</v>
      </c>
      <c r="K83" s="60">
        <v>329.52</v>
      </c>
      <c r="L83" s="60">
        <v>43.23</v>
      </c>
      <c r="M83" s="60">
        <v>55.87</v>
      </c>
      <c r="N83" s="60">
        <v>94.70</v>
      </c>
      <c r="O83" s="60">
        <v>0</v>
      </c>
      <c r="P83" s="60">
        <v>2.2000000000000002</v>
      </c>
      <c r="Q83" s="60">
        <v>11.33</v>
      </c>
      <c r="R83" s="198"/>
      <c r="S83" s="198"/>
      <c r="T83" s="198"/>
      <c r="U83" s="198"/>
    </row>
    <row r="84" spans="1:21" s="12" customFormat="1" ht="15">
      <c r="A84" s="201" t="s">
        <v>1857</v>
      </c>
      <c r="B84" s="60">
        <v>1.27</v>
      </c>
      <c r="C84" s="60">
        <v>24.59</v>
      </c>
      <c r="D84" s="60">
        <v>25.87</v>
      </c>
      <c r="E84" s="60">
        <v>4.4000000000000004</v>
      </c>
      <c r="F84" s="60">
        <v>2.37</v>
      </c>
      <c r="G84" s="60">
        <v>49.21</v>
      </c>
      <c r="H84" s="60">
        <v>15.21</v>
      </c>
      <c r="I84" s="60">
        <v>3.61</v>
      </c>
      <c r="J84" s="60">
        <v>1.5</v>
      </c>
      <c r="K84" s="60">
        <v>337.49</v>
      </c>
      <c r="L84" s="60">
        <v>41.90</v>
      </c>
      <c r="M84" s="60">
        <v>59.80</v>
      </c>
      <c r="N84" s="60">
        <v>96.5</v>
      </c>
      <c r="O84" s="60">
        <v>0</v>
      </c>
      <c r="P84" s="60">
        <v>2.2200000000000002</v>
      </c>
      <c r="Q84" s="60">
        <v>10.93</v>
      </c>
      <c r="R84" s="198"/>
      <c r="S84" s="198"/>
      <c r="T84" s="198"/>
      <c r="U84" s="198"/>
    </row>
    <row r="85" spans="1:21" s="12" customFormat="1" ht="15">
      <c r="A85" s="201" t="s">
        <v>1858</v>
      </c>
      <c r="B85" s="60">
        <v>1.29</v>
      </c>
      <c r="C85" s="60">
        <v>23.5</v>
      </c>
      <c r="D85" s="60">
        <v>24.79</v>
      </c>
      <c r="E85" s="60">
        <v>4.53</v>
      </c>
      <c r="F85" s="60">
        <v>1.68</v>
      </c>
      <c r="G85" s="60">
        <v>49.12</v>
      </c>
      <c r="H85" s="60">
        <v>14.69</v>
      </c>
      <c r="I85" s="60">
        <v>3.77</v>
      </c>
      <c r="J85" s="60">
        <v>2.2999999999999998</v>
      </c>
      <c r="K85" s="60">
        <v>51.67</v>
      </c>
      <c r="L85" s="60">
        <v>39.68</v>
      </c>
      <c r="M85" s="60">
        <v>60.84</v>
      </c>
      <c r="N85" s="60">
        <v>97.90</v>
      </c>
      <c r="O85" s="60">
        <v>0</v>
      </c>
      <c r="P85" s="60">
        <v>2.2400000000000002</v>
      </c>
      <c r="Q85" s="60">
        <v>10.26</v>
      </c>
      <c r="R85" s="198"/>
      <c r="S85" s="198"/>
      <c r="T85" s="198"/>
      <c r="U85" s="198"/>
    </row>
    <row r="86" spans="1:21" s="12" customFormat="1" ht="15">
      <c r="A86" s="201" t="s">
        <v>1859</v>
      </c>
      <c r="B86" s="60">
        <v>1.69</v>
      </c>
      <c r="C86" s="60">
        <v>22.90</v>
      </c>
      <c r="D86" s="60">
        <v>24.58</v>
      </c>
      <c r="E86" s="60">
        <v>4.88</v>
      </c>
      <c r="F86" s="60">
        <v>1.76</v>
      </c>
      <c r="G86" s="60">
        <v>49.12</v>
      </c>
      <c r="H86" s="60">
        <v>14.69</v>
      </c>
      <c r="I86" s="60">
        <v>3.94</v>
      </c>
      <c r="J86" s="60">
        <v>3.04</v>
      </c>
      <c r="K86" s="60">
        <v>31.45</v>
      </c>
      <c r="L86" s="60">
        <v>37.369999999999997</v>
      </c>
      <c r="M86" s="60">
        <v>67.180000000000007</v>
      </c>
      <c r="N86" s="60">
        <v>97.40</v>
      </c>
      <c r="O86" s="60">
        <v>0</v>
      </c>
      <c r="P86" s="60">
        <v>2.25</v>
      </c>
      <c r="Q86" s="60">
        <v>9.8699999999999992</v>
      </c>
      <c r="R86" s="198"/>
      <c r="S86" s="198"/>
      <c r="T86" s="198"/>
      <c r="U86" s="198"/>
    </row>
    <row r="87" spans="1:21" s="12" customFormat="1" ht="15">
      <c r="A87" s="201" t="s">
        <v>1860</v>
      </c>
      <c r="B87" s="60">
        <v>2.15</v>
      </c>
      <c r="C87" s="60">
        <v>22.87</v>
      </c>
      <c r="D87" s="60">
        <v>25.01</v>
      </c>
      <c r="E87" s="60">
        <v>4.3600000000000003</v>
      </c>
      <c r="F87" s="60">
        <v>1.75</v>
      </c>
      <c r="G87" s="60">
        <v>49.12</v>
      </c>
      <c r="H87" s="60">
        <v>14.69</v>
      </c>
      <c r="I87" s="60">
        <v>4.04</v>
      </c>
      <c r="J87" s="60">
        <v>3.21</v>
      </c>
      <c r="K87" s="60">
        <v>44.85</v>
      </c>
      <c r="L87" s="60">
        <v>36.54</v>
      </c>
      <c r="M87" s="60">
        <v>68.78</v>
      </c>
      <c r="N87" s="60">
        <v>96.10</v>
      </c>
      <c r="O87" s="60">
        <v>0</v>
      </c>
      <c r="P87" s="60">
        <v>2.2599999999999998</v>
      </c>
      <c r="Q87" s="60">
        <v>9.7899999999999991</v>
      </c>
      <c r="R87" s="198"/>
      <c r="S87" s="198"/>
      <c r="T87" s="198"/>
      <c r="U87" s="198"/>
    </row>
    <row r="88" spans="1:21" s="12" customFormat="1" ht="15">
      <c r="A88" s="201" t="s">
        <v>1861</v>
      </c>
      <c r="B88" s="60">
        <v>2.39</v>
      </c>
      <c r="C88" s="60">
        <v>23.04</v>
      </c>
      <c r="D88" s="60">
        <v>25.43</v>
      </c>
      <c r="E88" s="60">
        <v>2.41</v>
      </c>
      <c r="F88" s="60">
        <v>2.0499999999999998</v>
      </c>
      <c r="G88" s="60">
        <v>55.07</v>
      </c>
      <c r="H88" s="60">
        <v>15.48</v>
      </c>
      <c r="I88" s="60">
        <v>4.22</v>
      </c>
      <c r="J88" s="60">
        <v>3.74</v>
      </c>
      <c r="K88" s="60">
        <v>13.58</v>
      </c>
      <c r="L88" s="60">
        <v>36.42</v>
      </c>
      <c r="M88" s="60">
        <v>68.66</v>
      </c>
      <c r="N88" s="60">
        <v>95.20</v>
      </c>
      <c r="O88" s="60">
        <v>0</v>
      </c>
      <c r="P88" s="60">
        <v>2.27</v>
      </c>
      <c r="Q88" s="60">
        <v>9.83</v>
      </c>
      <c r="R88" s="198"/>
      <c r="S88" s="198"/>
      <c r="T88" s="198"/>
      <c r="U88" s="198"/>
    </row>
    <row r="89" spans="1:21" s="12" customFormat="1" ht="15">
      <c r="A89" s="201" t="s">
        <v>1862</v>
      </c>
      <c r="B89" s="60">
        <v>2.5099999999999998</v>
      </c>
      <c r="C89" s="60">
        <v>23.76</v>
      </c>
      <c r="D89" s="60">
        <v>26.27</v>
      </c>
      <c r="E89" s="60">
        <v>4.58</v>
      </c>
      <c r="F89" s="60">
        <v>2.56</v>
      </c>
      <c r="G89" s="60">
        <v>56.79</v>
      </c>
      <c r="H89" s="60">
        <v>16.03</v>
      </c>
      <c r="I89" s="60">
        <v>4.33</v>
      </c>
      <c r="J89" s="60">
        <v>4.4400000000000004</v>
      </c>
      <c r="K89" s="60">
        <v>8.42</v>
      </c>
      <c r="L89" s="60">
        <v>36.130000000000003</v>
      </c>
      <c r="M89" s="60">
        <v>69.53</v>
      </c>
      <c r="N89" s="60">
        <v>96.10</v>
      </c>
      <c r="O89" s="60">
        <v>0</v>
      </c>
      <c r="P89" s="60">
        <v>2.29</v>
      </c>
      <c r="Q89" s="60">
        <v>9.90</v>
      </c>
      <c r="R89" s="198"/>
      <c r="S89" s="198"/>
      <c r="T89" s="198"/>
      <c r="U89" s="198"/>
    </row>
    <row r="90" spans="1:21" s="12" customFormat="1" ht="15">
      <c r="A90" s="201" t="s">
        <v>1863</v>
      </c>
      <c r="B90" s="60">
        <v>2.2999999999999998</v>
      </c>
      <c r="C90" s="60">
        <v>24.49</v>
      </c>
      <c r="D90" s="60">
        <v>26.79</v>
      </c>
      <c r="E90" s="60">
        <v>5.32</v>
      </c>
      <c r="F90" s="60">
        <v>2.64</v>
      </c>
      <c r="G90" s="60">
        <v>56.79</v>
      </c>
      <c r="H90" s="60">
        <v>16.03</v>
      </c>
      <c r="I90" s="60">
        <v>4.34</v>
      </c>
      <c r="J90" s="60">
        <v>3.03</v>
      </c>
      <c r="K90" s="60">
        <v>32.119999999999997</v>
      </c>
      <c r="L90" s="60">
        <v>35.5</v>
      </c>
      <c r="M90" s="60">
        <v>73.20</v>
      </c>
      <c r="N90" s="60">
        <v>96.80</v>
      </c>
      <c r="O90" s="60">
        <v>0</v>
      </c>
      <c r="P90" s="60">
        <v>2.2999999999999998</v>
      </c>
      <c r="Q90" s="60">
        <v>9.99</v>
      </c>
      <c r="R90" s="198"/>
      <c r="S90" s="198"/>
      <c r="T90" s="198"/>
      <c r="U90" s="198"/>
    </row>
    <row r="91" spans="1:21" s="12" customFormat="1" ht="15">
      <c r="A91" s="201" t="s">
        <v>1864</v>
      </c>
      <c r="B91" s="60">
        <v>2.13</v>
      </c>
      <c r="C91" s="60">
        <v>24.57</v>
      </c>
      <c r="D91" s="60">
        <v>26.71</v>
      </c>
      <c r="E91" s="60">
        <v>5.34</v>
      </c>
      <c r="F91" s="60">
        <v>2.06</v>
      </c>
      <c r="G91" s="60">
        <v>56.79</v>
      </c>
      <c r="H91" s="60">
        <v>16.03</v>
      </c>
      <c r="I91" s="60">
        <v>4.34</v>
      </c>
      <c r="J91" s="60">
        <v>3.01</v>
      </c>
      <c r="K91" s="60">
        <v>49.17</v>
      </c>
      <c r="L91" s="60">
        <v>34.85</v>
      </c>
      <c r="M91" s="60">
        <v>76.680000000000007</v>
      </c>
      <c r="N91" s="60">
        <v>97.5</v>
      </c>
      <c r="O91" s="60">
        <v>0</v>
      </c>
      <c r="P91" s="60">
        <v>2.2999999999999998</v>
      </c>
      <c r="Q91" s="60">
        <v>10.029999999999999</v>
      </c>
      <c r="R91" s="198"/>
      <c r="S91" s="198"/>
      <c r="T91" s="198"/>
      <c r="U91" s="198"/>
    </row>
    <row r="92" spans="1:21" s="12" customFormat="1" ht="15">
      <c r="A92" s="201" t="s">
        <v>1865</v>
      </c>
      <c r="B92" s="60">
        <v>2.3199999999999998</v>
      </c>
      <c r="C92" s="60">
        <v>24.11</v>
      </c>
      <c r="D92" s="60">
        <v>26.43</v>
      </c>
      <c r="E92" s="60">
        <v>5.66</v>
      </c>
      <c r="F92" s="60">
        <v>1.85</v>
      </c>
      <c r="G92" s="60">
        <v>52.01</v>
      </c>
      <c r="H92" s="60">
        <v>16.46</v>
      </c>
      <c r="I92" s="60">
        <v>4.30</v>
      </c>
      <c r="J92" s="60">
        <v>2.70</v>
      </c>
      <c r="K92" s="60">
        <v>48.17</v>
      </c>
      <c r="L92" s="60">
        <v>34.729999999999997</v>
      </c>
      <c r="M92" s="60">
        <v>75.52</v>
      </c>
      <c r="N92" s="60">
        <v>102.20</v>
      </c>
      <c r="O92" s="60">
        <v>0</v>
      </c>
      <c r="P92" s="60">
        <v>2.3199999999999998</v>
      </c>
      <c r="Q92" s="60">
        <v>10.44</v>
      </c>
      <c r="R92" s="198"/>
      <c r="S92" s="198"/>
      <c r="T92" s="198"/>
      <c r="U92" s="198"/>
    </row>
    <row r="93" spans="1:21" s="12" customFormat="1" ht="15">
      <c r="A93" s="201" t="s">
        <v>1866</v>
      </c>
      <c r="B93" s="60">
        <v>2.90</v>
      </c>
      <c r="C93" s="60">
        <v>24</v>
      </c>
      <c r="D93" s="60">
        <v>26.89</v>
      </c>
      <c r="E93" s="60">
        <v>5.41</v>
      </c>
      <c r="F93" s="60">
        <v>1.44</v>
      </c>
      <c r="G93" s="60">
        <v>50.63</v>
      </c>
      <c r="H93" s="60">
        <v>16.78</v>
      </c>
      <c r="I93" s="60">
        <v>4.3899999999999997</v>
      </c>
      <c r="J93" s="60">
        <v>2.33</v>
      </c>
      <c r="K93" s="60">
        <v>47.88</v>
      </c>
      <c r="L93" s="60">
        <v>34.83</v>
      </c>
      <c r="M93" s="60">
        <v>73.739999999999995</v>
      </c>
      <c r="N93" s="60">
        <v>96.80</v>
      </c>
      <c r="O93" s="60">
        <v>0</v>
      </c>
      <c r="P93" s="60">
        <v>2.34</v>
      </c>
      <c r="Q93" s="60">
        <v>11.17</v>
      </c>
      <c r="R93" s="198"/>
      <c r="S93" s="198"/>
      <c r="T93" s="198"/>
      <c r="U93" s="198"/>
    </row>
    <row r="94" spans="1:21" s="12" customFormat="1" ht="15">
      <c r="A94" s="201" t="s">
        <v>1867</v>
      </c>
      <c r="B94" s="60">
        <v>3.39</v>
      </c>
      <c r="C94" s="60">
        <v>24.43</v>
      </c>
      <c r="D94" s="60">
        <v>27.82</v>
      </c>
      <c r="E94" s="60">
        <v>5.39</v>
      </c>
      <c r="F94" s="60">
        <v>1.1599999999999999</v>
      </c>
      <c r="G94" s="60">
        <v>50.63</v>
      </c>
      <c r="H94" s="60">
        <v>16.78</v>
      </c>
      <c r="I94" s="60">
        <v>4.41</v>
      </c>
      <c r="J94" s="60">
        <v>3.28</v>
      </c>
      <c r="K94" s="60">
        <v>74.97</v>
      </c>
      <c r="L94" s="60">
        <v>34.64</v>
      </c>
      <c r="M94" s="60">
        <v>73.930000000000007</v>
      </c>
      <c r="N94" s="60">
        <v>94.80</v>
      </c>
      <c r="O94" s="60">
        <v>0</v>
      </c>
      <c r="P94" s="60">
        <v>2.36</v>
      </c>
      <c r="Q94" s="60">
        <v>11.86</v>
      </c>
      <c r="R94" s="198"/>
      <c r="S94" s="198"/>
      <c r="T94" s="198"/>
      <c r="U94" s="198"/>
    </row>
    <row r="95" spans="1:21" s="12" customFormat="1" ht="15">
      <c r="A95" s="201" t="s">
        <v>1868</v>
      </c>
      <c r="B95" s="60">
        <v>3.03</v>
      </c>
      <c r="C95" s="60">
        <v>23.64</v>
      </c>
      <c r="D95" s="60">
        <v>26.67</v>
      </c>
      <c r="E95" s="60">
        <v>5.25</v>
      </c>
      <c r="F95" s="60">
        <v>1.68</v>
      </c>
      <c r="G95" s="60">
        <v>50.63</v>
      </c>
      <c r="H95" s="60">
        <v>16.78</v>
      </c>
      <c r="I95" s="60">
        <v>4.4800000000000004</v>
      </c>
      <c r="J95" s="60">
        <v>2.60</v>
      </c>
      <c r="K95" s="60">
        <v>42.83</v>
      </c>
      <c r="L95" s="60">
        <v>34.58</v>
      </c>
      <c r="M95" s="60">
        <v>74.59</v>
      </c>
      <c r="N95" s="60">
        <v>94.10</v>
      </c>
      <c r="O95" s="60">
        <v>0</v>
      </c>
      <c r="P95" s="60">
        <v>2.34</v>
      </c>
      <c r="Q95" s="60">
        <v>11.88</v>
      </c>
      <c r="R95" s="198"/>
      <c r="S95" s="198"/>
      <c r="T95" s="198"/>
      <c r="U95" s="198"/>
    </row>
    <row r="96" spans="1:26" s="12" customFormat="1" ht="15">
      <c r="A96" s="201" t="s">
        <v>1869</v>
      </c>
      <c r="B96" s="60">
        <v>2.69</v>
      </c>
      <c r="C96" s="60">
        <v>23.69</v>
      </c>
      <c r="D96" s="60">
        <v>26.37</v>
      </c>
      <c r="E96" s="60">
        <v>5.65</v>
      </c>
      <c r="F96" s="60">
        <v>1.75</v>
      </c>
      <c r="G96" s="60">
        <v>47.47</v>
      </c>
      <c r="H96" s="60">
        <v>18.05</v>
      </c>
      <c r="I96" s="60">
        <v>4.46</v>
      </c>
      <c r="J96" s="60">
        <v>2.93</v>
      </c>
      <c r="K96" s="60">
        <v>17.88</v>
      </c>
      <c r="L96" s="60">
        <v>34.630000000000003</v>
      </c>
      <c r="M96" s="60">
        <v>75.30</v>
      </c>
      <c r="N96" s="60">
        <v>93.60</v>
      </c>
      <c r="O96" s="60">
        <v>0</v>
      </c>
      <c r="P96" s="60">
        <v>2.33</v>
      </c>
      <c r="Q96" s="60">
        <v>11.99</v>
      </c>
      <c r="R96" s="198"/>
      <c r="S96" s="198"/>
      <c r="T96" s="198"/>
      <c r="U96" s="198"/>
      <c r="Z96" s="109"/>
    </row>
    <row r="97" spans="1:21" s="12" customFormat="1" ht="15">
      <c r="A97" s="201" t="s">
        <v>1870</v>
      </c>
      <c r="B97" s="60">
        <v>2.52</v>
      </c>
      <c r="C97" s="60">
        <v>23.43</v>
      </c>
      <c r="D97" s="60">
        <v>25.96</v>
      </c>
      <c r="E97" s="60">
        <v>5.32</v>
      </c>
      <c r="F97" s="60">
        <v>2.09</v>
      </c>
      <c r="G97" s="60">
        <v>46.56</v>
      </c>
      <c r="H97" s="60">
        <v>18.97</v>
      </c>
      <c r="I97" s="60">
        <v>4.38</v>
      </c>
      <c r="J97" s="60">
        <v>3.18</v>
      </c>
      <c r="K97" s="60">
        <v>8.2899999999999991</v>
      </c>
      <c r="L97" s="60">
        <v>34.46</v>
      </c>
      <c r="M97" s="60">
        <v>75.099999999999994</v>
      </c>
      <c r="N97" s="60">
        <v>95</v>
      </c>
      <c r="O97" s="60">
        <v>0</v>
      </c>
      <c r="P97" s="60">
        <v>2.3199999999999998</v>
      </c>
      <c r="Q97" s="60">
        <v>11.95</v>
      </c>
      <c r="R97" s="198"/>
      <c r="S97" s="198"/>
      <c r="T97" s="198"/>
      <c r="U97" s="198"/>
    </row>
    <row r="98" spans="1:21" s="12" customFormat="1" ht="15">
      <c r="A98" s="201" t="s">
        <v>1871</v>
      </c>
      <c r="B98" s="60">
        <v>2.5</v>
      </c>
      <c r="C98" s="60">
        <v>23.59</v>
      </c>
      <c r="D98" s="60">
        <v>26.09</v>
      </c>
      <c r="E98" s="60">
        <v>5.45</v>
      </c>
      <c r="F98" s="60">
        <v>2.0099999999999998</v>
      </c>
      <c r="G98" s="60">
        <v>46.56</v>
      </c>
      <c r="H98" s="60">
        <v>18.97</v>
      </c>
      <c r="I98" s="60">
        <v>4.3499999999999996</v>
      </c>
      <c r="J98" s="60">
        <v>3.34</v>
      </c>
      <c r="K98" s="60">
        <v>10.220000000000001</v>
      </c>
      <c r="L98" s="60">
        <v>34.159999999999997</v>
      </c>
      <c r="M98" s="60">
        <v>76</v>
      </c>
      <c r="N98" s="60">
        <v>95.60</v>
      </c>
      <c r="O98" s="60">
        <v>0</v>
      </c>
      <c r="P98" s="60">
        <v>2.34</v>
      </c>
      <c r="Q98" s="60">
        <v>12.14</v>
      </c>
      <c r="R98" s="198"/>
      <c r="S98" s="198"/>
      <c r="T98" s="198"/>
      <c r="U98" s="198"/>
    </row>
    <row r="99" spans="1:21" s="12" customFormat="1" ht="15">
      <c r="A99" s="201" t="s">
        <v>1872</v>
      </c>
      <c r="B99" s="60">
        <v>2.38</v>
      </c>
      <c r="C99" s="60">
        <v>23.83</v>
      </c>
      <c r="D99" s="60">
        <v>26.21</v>
      </c>
      <c r="E99" s="60">
        <v>5.54</v>
      </c>
      <c r="F99" s="60">
        <v>1.55</v>
      </c>
      <c r="G99" s="60">
        <v>46.56</v>
      </c>
      <c r="H99" s="60">
        <v>18.97</v>
      </c>
      <c r="I99" s="60">
        <v>4.29</v>
      </c>
      <c r="J99" s="60">
        <v>2.42</v>
      </c>
      <c r="K99" s="60">
        <v>27.85</v>
      </c>
      <c r="L99" s="60">
        <v>33.799999999999997</v>
      </c>
      <c r="M99" s="60">
        <v>77.540000000000006</v>
      </c>
      <c r="N99" s="60">
        <v>97.70</v>
      </c>
      <c r="O99" s="60">
        <v>0</v>
      </c>
      <c r="P99" s="60">
        <v>2.34</v>
      </c>
      <c r="Q99" s="60">
        <v>12.43</v>
      </c>
      <c r="R99" s="198"/>
      <c r="S99" s="198"/>
      <c r="T99" s="198"/>
      <c r="U99" s="198"/>
    </row>
    <row r="100" spans="1:33" s="12" customFormat="1" ht="15">
      <c r="A100" s="201" t="s">
        <v>1873</v>
      </c>
      <c r="B100" s="60">
        <v>2.35</v>
      </c>
      <c r="C100" s="60">
        <v>23.17</v>
      </c>
      <c r="D100" s="60">
        <v>25.52</v>
      </c>
      <c r="E100" s="60">
        <v>5.96</v>
      </c>
      <c r="F100" s="60">
        <v>1.24</v>
      </c>
      <c r="G100" s="60">
        <v>47.72</v>
      </c>
      <c r="H100" s="60">
        <v>19.53</v>
      </c>
      <c r="I100" s="60">
        <v>4.2300000000000004</v>
      </c>
      <c r="J100" s="60">
        <v>2.46</v>
      </c>
      <c r="K100" s="60">
        <v>70.17</v>
      </c>
      <c r="L100" s="60">
        <v>33.33</v>
      </c>
      <c r="M100" s="60">
        <v>78.709999999999994</v>
      </c>
      <c r="N100" s="60">
        <v>95.5</v>
      </c>
      <c r="O100" s="60">
        <v>0</v>
      </c>
      <c r="P100" s="60">
        <v>2.37</v>
      </c>
      <c r="Q100" s="60">
        <v>12.38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1874</v>
      </c>
      <c r="B101" s="60">
        <v>2.44</v>
      </c>
      <c r="C101" s="60">
        <v>22.49</v>
      </c>
      <c r="D101" s="60">
        <v>24.93</v>
      </c>
      <c r="E101" s="60">
        <v>5.32</v>
      </c>
      <c r="F101" s="60">
        <v>1.30</v>
      </c>
      <c r="G101" s="60">
        <v>48.05</v>
      </c>
      <c r="H101" s="60">
        <v>19.95</v>
      </c>
      <c r="I101" s="60">
        <v>4.20</v>
      </c>
      <c r="J101" s="60">
        <v>1.98</v>
      </c>
      <c r="K101" s="60">
        <v>49.68</v>
      </c>
      <c r="L101" s="60">
        <v>33.26</v>
      </c>
      <c r="M101" s="60">
        <v>78.27</v>
      </c>
      <c r="N101" s="60">
        <v>95.70</v>
      </c>
      <c r="O101" s="60">
        <v>0</v>
      </c>
      <c r="P101" s="60">
        <v>2.36</v>
      </c>
      <c r="Q101" s="60">
        <v>12.20</v>
      </c>
      <c r="R101" s="198"/>
      <c r="S101" s="198"/>
      <c r="T101" s="198"/>
      <c r="U101" s="198"/>
    </row>
    <row r="102" spans="1:21" s="12" customFormat="1" ht="15">
      <c r="A102" s="201" t="s">
        <v>1875</v>
      </c>
      <c r="B102" s="60">
        <v>2.41</v>
      </c>
      <c r="C102" s="60">
        <v>21.18</v>
      </c>
      <c r="D102" s="60">
        <v>23.60</v>
      </c>
      <c r="E102" s="60">
        <v>5.29</v>
      </c>
      <c r="F102" s="60">
        <v>1.07</v>
      </c>
      <c r="G102" s="60">
        <v>48.05</v>
      </c>
      <c r="H102" s="60">
        <v>19.95</v>
      </c>
      <c r="I102" s="60">
        <v>4.17</v>
      </c>
      <c r="J102" s="60">
        <v>2.71</v>
      </c>
      <c r="K102" s="60">
        <v>79.819999999999993</v>
      </c>
      <c r="L102" s="60">
        <v>33.26</v>
      </c>
      <c r="M102" s="60">
        <v>77.849999999999994</v>
      </c>
      <c r="N102" s="60">
        <v>97.20</v>
      </c>
      <c r="O102" s="60">
        <v>0</v>
      </c>
      <c r="P102" s="60">
        <v>2.35</v>
      </c>
      <c r="Q102" s="60">
        <v>11.67</v>
      </c>
      <c r="R102" s="198"/>
      <c r="S102" s="198"/>
      <c r="T102" s="198"/>
      <c r="U102" s="198"/>
    </row>
    <row r="103" spans="1:21" s="12" customFormat="1" ht="15">
      <c r="A103" s="201" t="s">
        <v>1876</v>
      </c>
      <c r="B103" s="60">
        <v>2.46</v>
      </c>
      <c r="C103" s="60">
        <v>20.309999999999999</v>
      </c>
      <c r="D103" s="60">
        <v>22.78</v>
      </c>
      <c r="E103" s="60">
        <v>5.89</v>
      </c>
      <c r="F103" s="60">
        <v>1.08</v>
      </c>
      <c r="G103" s="60">
        <v>48.05</v>
      </c>
      <c r="H103" s="60">
        <v>19.95</v>
      </c>
      <c r="I103" s="60">
        <v>4.13</v>
      </c>
      <c r="J103" s="60">
        <v>2.0699999999999998</v>
      </c>
      <c r="K103" s="60">
        <v>33.47</v>
      </c>
      <c r="L103" s="60">
        <v>33.43</v>
      </c>
      <c r="M103" s="60">
        <v>76.58</v>
      </c>
      <c r="N103" s="60">
        <v>101.30</v>
      </c>
      <c r="O103" s="60">
        <v>0</v>
      </c>
      <c r="P103" s="60">
        <v>2.33</v>
      </c>
      <c r="Q103" s="60">
        <v>10.91</v>
      </c>
      <c r="R103" s="198"/>
      <c r="S103" s="198"/>
      <c r="T103" s="198"/>
      <c r="U103" s="198"/>
    </row>
    <row r="104" spans="1:21" s="12" customFormat="1" ht="15">
      <c r="A104" s="201" t="s">
        <v>1877</v>
      </c>
      <c r="B104" s="60">
        <v>2.52</v>
      </c>
      <c r="C104" s="60">
        <v>19.68</v>
      </c>
      <c r="D104" s="60">
        <v>22.20</v>
      </c>
      <c r="E104" s="60">
        <v>3.5</v>
      </c>
      <c r="F104" s="60">
        <v>1.07</v>
      </c>
      <c r="G104" s="60">
        <v>46.40</v>
      </c>
      <c r="H104" s="60">
        <v>18.13</v>
      </c>
      <c r="I104" s="60">
        <v>4.1100000000000003</v>
      </c>
      <c r="J104" s="60">
        <v>1.84</v>
      </c>
      <c r="K104" s="60">
        <v>65.56</v>
      </c>
      <c r="L104" s="60">
        <v>33.119999999999997</v>
      </c>
      <c r="M104" s="60">
        <v>78.09</v>
      </c>
      <c r="N104" s="60">
        <v>109.40</v>
      </c>
      <c r="O104" s="60">
        <v>0</v>
      </c>
      <c r="P104" s="60">
        <v>2.31</v>
      </c>
      <c r="Q104" s="60">
        <v>10.34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0.22</v>
      </c>
      <c r="C106" s="67">
        <f>MIN(C9:C104)</f>
        <v>14.44</v>
      </c>
      <c r="D106" s="67">
        <f t="shared" si="0" ref="D106:Q106">MIN(D9:D104)</f>
        <v>15.93</v>
      </c>
      <c r="E106" s="67">
        <f t="shared" si="0"/>
        <v>1.6299999999999999</v>
      </c>
      <c r="F106" s="67">
        <f t="shared" si="0"/>
        <v>0.28000000000000003</v>
      </c>
      <c r="G106" s="67">
        <f t="shared" si="0"/>
        <v>46.030000000000001</v>
      </c>
      <c r="H106" s="67">
        <f t="shared" si="0"/>
        <v>14.289999999999999</v>
      </c>
      <c r="I106" s="67">
        <f t="shared" si="0"/>
        <v>2.3799999999999999</v>
      </c>
      <c r="J106" s="67">
        <f t="shared" si="0"/>
        <v>0.059999999999999998</v>
      </c>
      <c r="K106" s="67">
        <f t="shared" si="0"/>
        <v>8.2899999999999991</v>
      </c>
      <c r="L106" s="67">
        <f t="shared" si="0"/>
        <v>33.119999999999997</v>
      </c>
      <c r="M106" s="67">
        <f t="shared" si="0"/>
        <v>44.729999999999997</v>
      </c>
      <c r="N106" s="67">
        <f t="shared" si="0"/>
        <v>84</v>
      </c>
      <c r="O106" s="67">
        <f t="shared" si="0"/>
        <v>0</v>
      </c>
      <c r="P106" s="67">
        <f t="shared" si="0"/>
        <v>1.99</v>
      </c>
      <c r="Q106" s="67">
        <f t="shared" si="0"/>
        <v>8.2100000000000009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3.3999999999999999</v>
      </c>
      <c r="C107" s="66">
        <f t="shared" si="1" ref="C107:Q107">MAX(C9:C104)</f>
        <v>25.460000000000001</v>
      </c>
      <c r="D107" s="66">
        <f t="shared" si="1"/>
        <v>27.82</v>
      </c>
      <c r="E107" s="66">
        <f t="shared" si="1"/>
        <v>7.0599999999999996</v>
      </c>
      <c r="F107" s="66">
        <f t="shared" si="1"/>
        <v>8.6500000000000004</v>
      </c>
      <c r="G107" s="66">
        <f t="shared" si="1"/>
        <v>85.030000000000001</v>
      </c>
      <c r="H107" s="66">
        <f t="shared" si="1"/>
        <v>38.460000000000001</v>
      </c>
      <c r="I107" s="66">
        <f t="shared" si="1"/>
        <v>6.4299999999999997</v>
      </c>
      <c r="J107" s="66">
        <f t="shared" si="1"/>
        <v>4.4400000000000004</v>
      </c>
      <c r="K107" s="66">
        <f t="shared" si="1"/>
        <v>354.13999999999999</v>
      </c>
      <c r="L107" s="66">
        <f t="shared" si="1"/>
        <v>49.420000000000002</v>
      </c>
      <c r="M107" s="66">
        <f t="shared" si="1"/>
        <v>82.189999999999998</v>
      </c>
      <c r="N107" s="66">
        <f t="shared" si="1"/>
        <v>1235.5</v>
      </c>
      <c r="O107" s="66">
        <f t="shared" si="1"/>
        <v>0</v>
      </c>
      <c r="P107" s="66">
        <f t="shared" si="1"/>
        <v>2.7799999999999998</v>
      </c>
      <c r="Q107" s="66">
        <f t="shared" si="1"/>
        <v>19.989999999999998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1.412083333333334</v>
      </c>
      <c r="C108" s="67">
        <f t="shared" si="2" ref="C108:Q108">AVERAGE(C9:C104)</f>
        <v>19.652500000000007</v>
      </c>
      <c r="D108" s="67">
        <f t="shared" si="2"/>
        <v>21.064166666666665</v>
      </c>
      <c r="E108" s="67">
        <f t="shared" si="2"/>
        <v>4.5746875000000005</v>
      </c>
      <c r="F108" s="67">
        <f t="shared" si="2"/>
        <v>3.1806250000000005</v>
      </c>
      <c r="G108" s="67">
        <f t="shared" si="2"/>
        <v>55.657083333333354</v>
      </c>
      <c r="H108" s="67">
        <f t="shared" si="2"/>
        <v>22.720312500000002</v>
      </c>
      <c r="I108" s="67">
        <f t="shared" si="2"/>
        <v>3.8009374999999999</v>
      </c>
      <c r="J108" s="67">
        <f t="shared" si="2"/>
        <v>1.3825000000000001</v>
      </c>
      <c r="K108" s="67">
        <f t="shared" si="2"/>
        <v>203.54124999999996</v>
      </c>
      <c r="L108" s="67">
        <f t="shared" si="2"/>
        <v>40.294999999999995</v>
      </c>
      <c r="M108" s="67">
        <f t="shared" si="2"/>
        <v>64.557812500000011</v>
      </c>
      <c r="N108" s="67">
        <f t="shared" si="2"/>
        <v>347.17916666666662</v>
      </c>
      <c r="O108" s="67">
        <f t="shared" si="2"/>
        <v>0</v>
      </c>
      <c r="P108" s="67">
        <f t="shared" si="2"/>
        <v>2.1759375000000012</v>
      </c>
      <c r="Q108" s="67">
        <f t="shared" si="2"/>
        <v>12.420937500000003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0.90593820710229289</v>
      </c>
      <c r="C109" s="67">
        <f t="shared" si="3" ref="C109:Q109">STDEV(C9:C104)</f>
        <v>3.0902767717982029</v>
      </c>
      <c r="D109" s="67">
        <f t="shared" si="3"/>
        <v>3.3137047693247483</v>
      </c>
      <c r="E109" s="67">
        <f t="shared" si="3"/>
        <v>1.5367045760156255</v>
      </c>
      <c r="F109" s="67">
        <f t="shared" si="3"/>
        <v>2.4645263503519179</v>
      </c>
      <c r="G109" s="67">
        <f t="shared" si="3"/>
        <v>9.6291828277286502</v>
      </c>
      <c r="H109" s="67">
        <f t="shared" si="3"/>
        <v>6.6794013997671016</v>
      </c>
      <c r="I109" s="67">
        <f t="shared" si="3"/>
        <v>1.0248225295656099</v>
      </c>
      <c r="J109" s="67">
        <f t="shared" si="3"/>
        <v>0.93362338851324189</v>
      </c>
      <c r="K109" s="67">
        <f t="shared" si="3"/>
        <v>108.67488085545538</v>
      </c>
      <c r="L109" s="67">
        <f t="shared" si="3"/>
        <v>4.44842136398736</v>
      </c>
      <c r="M109" s="67">
        <f t="shared" si="3"/>
        <v>12.212539216389105</v>
      </c>
      <c r="N109" s="67">
        <f t="shared" si="3"/>
        <v>314.09190003351989</v>
      </c>
      <c r="O109" s="67">
        <f t="shared" si="3"/>
        <v>0</v>
      </c>
      <c r="P109" s="67">
        <f t="shared" si="3"/>
        <v>0.18138402485799079</v>
      </c>
      <c r="Q109" s="67">
        <f t="shared" si="3"/>
        <v>2.5696631268565655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218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e45468-a084-4cc6-a8ef-de895b50b79d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K110" sqref="K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1.8571428571429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18-06-2022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1878</v>
      </c>
      <c r="B9" s="60">
        <v>2.46</v>
      </c>
      <c r="C9" s="60">
        <v>18.73</v>
      </c>
      <c r="D9" s="60">
        <v>21.19</v>
      </c>
      <c r="E9" s="60">
        <v>6.67</v>
      </c>
      <c r="F9" s="60">
        <v>0.95</v>
      </c>
      <c r="G9" s="60">
        <v>45.51</v>
      </c>
      <c r="H9" s="60">
        <v>16.809999999999999</v>
      </c>
      <c r="I9" s="60">
        <v>4.1100000000000003</v>
      </c>
      <c r="J9" s="60">
        <v>2.48</v>
      </c>
      <c r="K9" s="60">
        <v>77.91</v>
      </c>
      <c r="L9" s="60">
        <v>33.21</v>
      </c>
      <c r="M9" s="60">
        <v>77.27</v>
      </c>
      <c r="N9" s="60">
        <v>106.5</v>
      </c>
      <c r="O9" s="60">
        <v>0</v>
      </c>
      <c r="P9" s="60">
        <v>2.29</v>
      </c>
      <c r="Q9" s="60">
        <v>9.89</v>
      </c>
      <c r="R9" s="198"/>
      <c r="S9" s="198"/>
      <c r="T9" s="198"/>
      <c r="U9" s="198"/>
    </row>
    <row r="10" spans="1:21" s="12" customFormat="1" ht="15">
      <c r="A10" s="201" t="s">
        <v>1879</v>
      </c>
      <c r="B10" s="60">
        <v>2.41</v>
      </c>
      <c r="C10" s="60">
        <v>17.82</v>
      </c>
      <c r="D10" s="60">
        <v>20.23</v>
      </c>
      <c r="E10" s="60">
        <v>6.97</v>
      </c>
      <c r="F10" s="60">
        <v>1.1000000000000001</v>
      </c>
      <c r="G10" s="60">
        <v>45.51</v>
      </c>
      <c r="H10" s="60">
        <v>16.809999999999999</v>
      </c>
      <c r="I10" s="60">
        <v>4.12</v>
      </c>
      <c r="J10" s="60">
        <v>2.23</v>
      </c>
      <c r="K10" s="60">
        <v>91.31</v>
      </c>
      <c r="L10" s="60">
        <v>33.270000000000003</v>
      </c>
      <c r="M10" s="60">
        <v>77.89</v>
      </c>
      <c r="N10" s="60">
        <v>99.80</v>
      </c>
      <c r="O10" s="60">
        <v>0</v>
      </c>
      <c r="P10" s="60">
        <v>2.27</v>
      </c>
      <c r="Q10" s="60">
        <v>9.56</v>
      </c>
      <c r="R10" s="198"/>
      <c r="S10" s="198"/>
      <c r="T10" s="198"/>
      <c r="U10" s="198"/>
    </row>
    <row r="11" spans="1:21" s="12" customFormat="1" ht="15">
      <c r="A11" s="201" t="s">
        <v>1880</v>
      </c>
      <c r="B11" s="60">
        <v>2.35</v>
      </c>
      <c r="C11" s="60">
        <v>17.02</v>
      </c>
      <c r="D11" s="60">
        <v>19.37</v>
      </c>
      <c r="E11" s="60">
        <v>7.21</v>
      </c>
      <c r="F11" s="60">
        <v>1.29</v>
      </c>
      <c r="G11" s="60">
        <v>45.51</v>
      </c>
      <c r="H11" s="60">
        <v>16.809999999999999</v>
      </c>
      <c r="I11" s="60">
        <v>4.13</v>
      </c>
      <c r="J11" s="60">
        <v>0.98</v>
      </c>
      <c r="K11" s="60">
        <v>186.97</v>
      </c>
      <c r="L11" s="60">
        <v>33.44</v>
      </c>
      <c r="M11" s="60">
        <v>77.36</v>
      </c>
      <c r="N11" s="60">
        <v>100</v>
      </c>
      <c r="O11" s="60">
        <v>0</v>
      </c>
      <c r="P11" s="60">
        <v>2.25</v>
      </c>
      <c r="Q11" s="60">
        <v>9.35</v>
      </c>
      <c r="R11" s="198"/>
      <c r="S11" s="198"/>
      <c r="T11" s="198"/>
      <c r="U11" s="198"/>
    </row>
    <row r="12" spans="1:21" s="12" customFormat="1" ht="15">
      <c r="A12" s="201" t="s">
        <v>1881</v>
      </c>
      <c r="B12" s="60">
        <v>2.2599999999999998</v>
      </c>
      <c r="C12" s="60">
        <v>16.72</v>
      </c>
      <c r="D12" s="60">
        <v>18.97</v>
      </c>
      <c r="E12" s="60">
        <v>7.36</v>
      </c>
      <c r="F12" s="60">
        <v>0.98</v>
      </c>
      <c r="G12" s="60">
        <v>43.46</v>
      </c>
      <c r="H12" s="60">
        <v>17.93</v>
      </c>
      <c r="I12" s="60">
        <v>4.05</v>
      </c>
      <c r="J12" s="60">
        <v>0.48</v>
      </c>
      <c r="K12" s="60">
        <v>78.22</v>
      </c>
      <c r="L12" s="60">
        <v>33.58</v>
      </c>
      <c r="M12" s="60">
        <v>76.80</v>
      </c>
      <c r="N12" s="60">
        <v>103.5</v>
      </c>
      <c r="O12" s="60">
        <v>0</v>
      </c>
      <c r="P12" s="60">
        <v>2.2400000000000002</v>
      </c>
      <c r="Q12" s="60">
        <v>9.24</v>
      </c>
      <c r="R12" s="198"/>
      <c r="S12" s="198"/>
      <c r="T12" s="198"/>
      <c r="U12" s="198"/>
    </row>
    <row r="13" spans="1:21" s="12" customFormat="1" ht="15">
      <c r="A13" s="201" t="s">
        <v>1882</v>
      </c>
      <c r="B13" s="60">
        <v>2.15</v>
      </c>
      <c r="C13" s="60">
        <v>16.91</v>
      </c>
      <c r="D13" s="60">
        <v>19.05</v>
      </c>
      <c r="E13" s="60">
        <v>7.48</v>
      </c>
      <c r="F13" s="60">
        <v>1.02</v>
      </c>
      <c r="G13" s="60">
        <v>42.87</v>
      </c>
      <c r="H13" s="60">
        <v>18.75</v>
      </c>
      <c r="I13" s="60">
        <v>4.03</v>
      </c>
      <c r="J13" s="60">
        <v>1.98</v>
      </c>
      <c r="K13" s="60">
        <v>181.10</v>
      </c>
      <c r="L13" s="60">
        <v>33.58</v>
      </c>
      <c r="M13" s="60">
        <v>76.44</v>
      </c>
      <c r="N13" s="60">
        <v>110.20</v>
      </c>
      <c r="O13" s="60">
        <v>0</v>
      </c>
      <c r="P13" s="60">
        <v>2.2200000000000002</v>
      </c>
      <c r="Q13" s="60">
        <v>9.3800000000000008</v>
      </c>
      <c r="R13" s="198"/>
      <c r="S13" s="198"/>
      <c r="T13" s="198"/>
      <c r="U13" s="198"/>
    </row>
    <row r="14" spans="1:21" s="12" customFormat="1" ht="15">
      <c r="A14" s="201" t="s">
        <v>1883</v>
      </c>
      <c r="B14" s="60">
        <v>1.73</v>
      </c>
      <c r="C14" s="60">
        <v>16.46</v>
      </c>
      <c r="D14" s="60">
        <v>18.20</v>
      </c>
      <c r="E14" s="60">
        <v>7.76</v>
      </c>
      <c r="F14" s="60">
        <v>1.42</v>
      </c>
      <c r="G14" s="60">
        <v>42.87</v>
      </c>
      <c r="H14" s="60">
        <v>18.75</v>
      </c>
      <c r="I14" s="60">
        <v>4.04</v>
      </c>
      <c r="J14" s="60">
        <v>1.93</v>
      </c>
      <c r="K14" s="60">
        <v>141.47</v>
      </c>
      <c r="L14" s="60">
        <v>33.520000000000003</v>
      </c>
      <c r="M14" s="60">
        <v>76.400000000000006</v>
      </c>
      <c r="N14" s="60">
        <v>133.19999999999999</v>
      </c>
      <c r="O14" s="60">
        <v>0</v>
      </c>
      <c r="P14" s="60">
        <v>2.1800000000000002</v>
      </c>
      <c r="Q14" s="60">
        <v>9.77</v>
      </c>
      <c r="R14" s="198"/>
      <c r="S14" s="198"/>
      <c r="T14" s="198"/>
      <c r="U14" s="198"/>
    </row>
    <row r="15" spans="1:21" s="12" customFormat="1" ht="15">
      <c r="A15" s="201" t="s">
        <v>1884</v>
      </c>
      <c r="B15" s="60">
        <v>1.28</v>
      </c>
      <c r="C15" s="60">
        <v>15.65</v>
      </c>
      <c r="D15" s="60">
        <v>16.93</v>
      </c>
      <c r="E15" s="60">
        <v>7.68</v>
      </c>
      <c r="F15" s="60">
        <v>1.42</v>
      </c>
      <c r="G15" s="60">
        <v>42.87</v>
      </c>
      <c r="H15" s="60">
        <v>18.75</v>
      </c>
      <c r="I15" s="60">
        <v>4</v>
      </c>
      <c r="J15" s="60">
        <v>2.39</v>
      </c>
      <c r="K15" s="60">
        <v>165.49</v>
      </c>
      <c r="L15" s="60">
        <v>33.5</v>
      </c>
      <c r="M15" s="60">
        <v>76.37</v>
      </c>
      <c r="N15" s="60">
        <v>123.80</v>
      </c>
      <c r="O15" s="60">
        <v>0</v>
      </c>
      <c r="P15" s="60">
        <v>2.14</v>
      </c>
      <c r="Q15" s="60">
        <v>10.119999999999999</v>
      </c>
      <c r="R15" s="198"/>
      <c r="S15" s="198"/>
      <c r="T15" s="198"/>
      <c r="U15" s="198"/>
    </row>
    <row r="16" spans="1:21" s="12" customFormat="1" ht="15">
      <c r="A16" s="201" t="s">
        <v>1885</v>
      </c>
      <c r="B16" s="60">
        <v>0.99</v>
      </c>
      <c r="C16" s="60">
        <v>15.56</v>
      </c>
      <c r="D16" s="60">
        <v>16.55</v>
      </c>
      <c r="E16" s="60">
        <v>7.04</v>
      </c>
      <c r="F16" s="60">
        <v>1.37</v>
      </c>
      <c r="G16" s="60">
        <v>45.97</v>
      </c>
      <c r="H16" s="60">
        <v>15.84</v>
      </c>
      <c r="I16" s="60">
        <v>3.85</v>
      </c>
      <c r="J16" s="60">
        <v>3.23</v>
      </c>
      <c r="K16" s="60">
        <v>162.46</v>
      </c>
      <c r="L16" s="60">
        <v>33.49</v>
      </c>
      <c r="M16" s="60">
        <v>76.91</v>
      </c>
      <c r="N16" s="60">
        <v>123.60</v>
      </c>
      <c r="O16" s="60">
        <v>0</v>
      </c>
      <c r="P16" s="60">
        <v>2.12</v>
      </c>
      <c r="Q16" s="60">
        <v>10.41</v>
      </c>
      <c r="R16" s="198"/>
      <c r="S16" s="198"/>
      <c r="T16" s="198"/>
      <c r="U16" s="198"/>
    </row>
    <row r="17" spans="1:21" s="12" customFormat="1" ht="15">
      <c r="A17" s="201" t="s">
        <v>1886</v>
      </c>
      <c r="B17" s="60">
        <v>0.80</v>
      </c>
      <c r="C17" s="60">
        <v>14.91</v>
      </c>
      <c r="D17" s="60">
        <v>15.72</v>
      </c>
      <c r="E17" s="60">
        <v>7.17</v>
      </c>
      <c r="F17" s="60">
        <v>1.56</v>
      </c>
      <c r="G17" s="60">
        <v>46.95</v>
      </c>
      <c r="H17" s="60">
        <v>13.71</v>
      </c>
      <c r="I17" s="60">
        <v>3.70</v>
      </c>
      <c r="J17" s="60">
        <v>2.81</v>
      </c>
      <c r="K17" s="60">
        <v>174.64</v>
      </c>
      <c r="L17" s="60">
        <v>33.49</v>
      </c>
      <c r="M17" s="60">
        <v>77.010000000000005</v>
      </c>
      <c r="N17" s="60">
        <v>117.30</v>
      </c>
      <c r="O17" s="60">
        <v>0</v>
      </c>
      <c r="P17" s="60">
        <v>2.09</v>
      </c>
      <c r="Q17" s="60">
        <v>10.45</v>
      </c>
      <c r="R17" s="198"/>
      <c r="S17" s="198"/>
      <c r="T17" s="198"/>
      <c r="U17" s="198"/>
    </row>
    <row r="18" spans="1:21" s="12" customFormat="1" ht="15">
      <c r="A18" s="201" t="s">
        <v>1887</v>
      </c>
      <c r="B18" s="60">
        <v>0.72</v>
      </c>
      <c r="C18" s="60">
        <v>14.81</v>
      </c>
      <c r="D18" s="60">
        <v>15.53</v>
      </c>
      <c r="E18" s="60">
        <v>6.97</v>
      </c>
      <c r="F18" s="60">
        <v>1.1399999999999999</v>
      </c>
      <c r="G18" s="60">
        <v>46.95</v>
      </c>
      <c r="H18" s="60">
        <v>13.71</v>
      </c>
      <c r="I18" s="60">
        <v>3.56</v>
      </c>
      <c r="J18" s="60">
        <v>2.63</v>
      </c>
      <c r="K18" s="60">
        <v>178.70</v>
      </c>
      <c r="L18" s="60">
        <v>33.29</v>
      </c>
      <c r="M18" s="60">
        <v>79.27</v>
      </c>
      <c r="N18" s="60">
        <v>129.90</v>
      </c>
      <c r="O18" s="60">
        <v>0</v>
      </c>
      <c r="P18" s="60">
        <v>2.0699999999999998</v>
      </c>
      <c r="Q18" s="60">
        <v>10.69</v>
      </c>
      <c r="R18" s="198"/>
      <c r="S18" s="198"/>
      <c r="T18" s="198"/>
      <c r="U18" s="198"/>
    </row>
    <row r="19" spans="1:21" s="12" customFormat="1" ht="15">
      <c r="A19" s="201" t="s">
        <v>1888</v>
      </c>
      <c r="B19" s="60">
        <v>0.72</v>
      </c>
      <c r="C19" s="60">
        <v>14.37</v>
      </c>
      <c r="D19" s="60">
        <v>15.09</v>
      </c>
      <c r="E19" s="60">
        <v>6.55</v>
      </c>
      <c r="F19" s="60">
        <v>1.25</v>
      </c>
      <c r="G19" s="60">
        <v>46.95</v>
      </c>
      <c r="H19" s="60">
        <v>13.71</v>
      </c>
      <c r="I19" s="60">
        <v>3.40</v>
      </c>
      <c r="J19" s="60">
        <v>2.94</v>
      </c>
      <c r="K19" s="60">
        <v>181.80</v>
      </c>
      <c r="L19" s="60">
        <v>33.10</v>
      </c>
      <c r="M19" s="60">
        <v>81.44</v>
      </c>
      <c r="N19" s="60">
        <v>123.5</v>
      </c>
      <c r="O19" s="60">
        <v>0</v>
      </c>
      <c r="P19" s="60">
        <v>2.04</v>
      </c>
      <c r="Q19" s="60">
        <v>10.86</v>
      </c>
      <c r="R19" s="198"/>
      <c r="S19" s="198"/>
      <c r="T19" s="198"/>
      <c r="U19" s="198"/>
    </row>
    <row r="20" spans="1:21" s="12" customFormat="1" ht="15">
      <c r="A20" s="201" t="s">
        <v>1889</v>
      </c>
      <c r="B20" s="60">
        <v>0.80</v>
      </c>
      <c r="C20" s="60">
        <v>14.68</v>
      </c>
      <c r="D20" s="60">
        <v>15.48</v>
      </c>
      <c r="E20" s="60">
        <v>6.60</v>
      </c>
      <c r="F20" s="60">
        <v>1.1299999999999999</v>
      </c>
      <c r="G20" s="60">
        <v>36.369999999999997</v>
      </c>
      <c r="H20" s="60">
        <v>13.42</v>
      </c>
      <c r="I20" s="60">
        <v>3.30</v>
      </c>
      <c r="J20" s="60">
        <v>2.56</v>
      </c>
      <c r="K20" s="60">
        <v>179.98</v>
      </c>
      <c r="L20" s="60">
        <v>33.22</v>
      </c>
      <c r="M20" s="60">
        <v>80.30</v>
      </c>
      <c r="N20" s="60">
        <v>116.30</v>
      </c>
      <c r="O20" s="60">
        <v>0</v>
      </c>
      <c r="P20" s="60">
        <v>2.0099999999999998</v>
      </c>
      <c r="Q20" s="60">
        <v>11.07</v>
      </c>
      <c r="R20" s="198"/>
      <c r="S20" s="198"/>
      <c r="T20" s="198"/>
      <c r="U20" s="198"/>
    </row>
    <row r="21" spans="1:21" s="12" customFormat="1" ht="15">
      <c r="A21" s="201" t="s">
        <v>1890</v>
      </c>
      <c r="B21" s="60">
        <v>0.84</v>
      </c>
      <c r="C21" s="60">
        <v>14.72</v>
      </c>
      <c r="D21" s="60">
        <v>15.55</v>
      </c>
      <c r="E21" s="60">
        <v>6.62</v>
      </c>
      <c r="F21" s="60">
        <v>1.19</v>
      </c>
      <c r="G21" s="60">
        <v>33.049999999999997</v>
      </c>
      <c r="H21" s="60">
        <v>13.20</v>
      </c>
      <c r="I21" s="60">
        <v>3.16</v>
      </c>
      <c r="J21" s="60">
        <v>2.5</v>
      </c>
      <c r="K21" s="60">
        <v>182.51</v>
      </c>
      <c r="L21" s="60">
        <v>33.15</v>
      </c>
      <c r="M21" s="60">
        <v>77.97</v>
      </c>
      <c r="N21" s="60">
        <v>116.40</v>
      </c>
      <c r="O21" s="60">
        <v>0</v>
      </c>
      <c r="P21" s="60">
        <v>2</v>
      </c>
      <c r="Q21" s="60">
        <v>10.98</v>
      </c>
      <c r="R21" s="198"/>
      <c r="S21" s="198"/>
      <c r="T21" s="198"/>
      <c r="U21" s="198"/>
    </row>
    <row r="22" spans="1:21" s="12" customFormat="1" ht="15">
      <c r="A22" s="201" t="s">
        <v>1891</v>
      </c>
      <c r="B22" s="60">
        <v>0.76</v>
      </c>
      <c r="C22" s="60">
        <v>13.98</v>
      </c>
      <c r="D22" s="60">
        <v>14.74</v>
      </c>
      <c r="E22" s="60">
        <v>6.63</v>
      </c>
      <c r="F22" s="60">
        <v>1.59</v>
      </c>
      <c r="G22" s="60">
        <v>33.049999999999997</v>
      </c>
      <c r="H22" s="60">
        <v>13.20</v>
      </c>
      <c r="I22" s="60">
        <v>3.09</v>
      </c>
      <c r="J22" s="60">
        <v>2.2200000000000002</v>
      </c>
      <c r="K22" s="60">
        <v>185.32</v>
      </c>
      <c r="L22" s="60">
        <v>33.07</v>
      </c>
      <c r="M22" s="60">
        <v>77.84</v>
      </c>
      <c r="N22" s="60">
        <v>117.80</v>
      </c>
      <c r="O22" s="60">
        <v>0</v>
      </c>
      <c r="P22" s="60">
        <v>1.97</v>
      </c>
      <c r="Q22" s="60">
        <v>10.83</v>
      </c>
      <c r="R22" s="198"/>
      <c r="S22" s="198"/>
      <c r="T22" s="198"/>
      <c r="U22" s="198"/>
    </row>
    <row r="23" spans="1:21" s="12" customFormat="1" ht="15">
      <c r="A23" s="201" t="s">
        <v>1892</v>
      </c>
      <c r="B23" s="60">
        <v>0.79</v>
      </c>
      <c r="C23" s="60">
        <v>14.95</v>
      </c>
      <c r="D23" s="60">
        <v>15.74</v>
      </c>
      <c r="E23" s="60">
        <v>7.08</v>
      </c>
      <c r="F23" s="60">
        <v>1.05</v>
      </c>
      <c r="G23" s="60">
        <v>33.049999999999997</v>
      </c>
      <c r="H23" s="60">
        <v>13.20</v>
      </c>
      <c r="I23" s="60">
        <v>2.95</v>
      </c>
      <c r="J23" s="60">
        <v>2.44</v>
      </c>
      <c r="K23" s="60">
        <v>183.04</v>
      </c>
      <c r="L23" s="60">
        <v>32.42</v>
      </c>
      <c r="M23" s="60">
        <v>76.83</v>
      </c>
      <c r="N23" s="60">
        <v>176.40</v>
      </c>
      <c r="O23" s="60">
        <v>0</v>
      </c>
      <c r="P23" s="60">
        <v>1.97</v>
      </c>
      <c r="Q23" s="60">
        <v>11.12</v>
      </c>
      <c r="R23" s="198"/>
      <c r="S23" s="198"/>
      <c r="T23" s="198"/>
      <c r="U23" s="198"/>
    </row>
    <row r="24" spans="1:21" s="12" customFormat="1" ht="15">
      <c r="A24" s="201" t="s">
        <v>1893</v>
      </c>
      <c r="B24" s="60">
        <v>1.01</v>
      </c>
      <c r="C24" s="60">
        <v>14.48</v>
      </c>
      <c r="D24" s="60">
        <v>15.49</v>
      </c>
      <c r="E24" s="60">
        <v>3.44</v>
      </c>
      <c r="F24" s="60">
        <v>1.77</v>
      </c>
      <c r="G24" s="60">
        <v>28.5</v>
      </c>
      <c r="H24" s="60">
        <v>12.79</v>
      </c>
      <c r="I24" s="60">
        <v>2.86</v>
      </c>
      <c r="J24" s="60">
        <v>1.85</v>
      </c>
      <c r="K24" s="60">
        <v>204</v>
      </c>
      <c r="L24" s="60">
        <v>31.91</v>
      </c>
      <c r="M24" s="60">
        <v>75.25</v>
      </c>
      <c r="N24" s="60">
        <v>219.10</v>
      </c>
      <c r="O24" s="60">
        <v>0</v>
      </c>
      <c r="P24" s="60">
        <v>1.95</v>
      </c>
      <c r="Q24" s="60">
        <v>10.76</v>
      </c>
      <c r="R24" s="198"/>
      <c r="S24" s="198"/>
      <c r="T24" s="198"/>
      <c r="U24" s="198"/>
    </row>
    <row r="25" spans="1:21" s="12" customFormat="1" ht="15">
      <c r="A25" s="201" t="s">
        <v>1894</v>
      </c>
      <c r="B25" s="60">
        <v>1.06</v>
      </c>
      <c r="C25" s="60">
        <v>14.75</v>
      </c>
      <c r="D25" s="60">
        <v>15.81</v>
      </c>
      <c r="E25" s="60">
        <v>6.68</v>
      </c>
      <c r="F25" s="60">
        <v>1.53</v>
      </c>
      <c r="G25" s="60">
        <v>27.08</v>
      </c>
      <c r="H25" s="60">
        <v>12.49</v>
      </c>
      <c r="I25" s="60">
        <v>2.81</v>
      </c>
      <c r="J25" s="60">
        <v>0.36</v>
      </c>
      <c r="K25" s="60">
        <v>228.32</v>
      </c>
      <c r="L25" s="60">
        <v>31.92</v>
      </c>
      <c r="M25" s="60">
        <v>73.650000000000006</v>
      </c>
      <c r="N25" s="60">
        <v>206.5</v>
      </c>
      <c r="O25" s="60">
        <v>0</v>
      </c>
      <c r="P25" s="60">
        <v>1.94</v>
      </c>
      <c r="Q25" s="60">
        <v>9.90</v>
      </c>
      <c r="R25" s="198"/>
      <c r="S25" s="198"/>
      <c r="T25" s="198"/>
      <c r="U25" s="198"/>
    </row>
    <row r="26" spans="1:21" s="12" customFormat="1" ht="15">
      <c r="A26" s="201" t="s">
        <v>1895</v>
      </c>
      <c r="B26" s="60">
        <v>0.86</v>
      </c>
      <c r="C26" s="60">
        <v>15.24</v>
      </c>
      <c r="D26" s="60">
        <v>16.11</v>
      </c>
      <c r="E26" s="60">
        <v>6.68</v>
      </c>
      <c r="F26" s="60">
        <v>2.11</v>
      </c>
      <c r="G26" s="60">
        <v>27.08</v>
      </c>
      <c r="H26" s="60">
        <v>12.49</v>
      </c>
      <c r="I26" s="60">
        <v>2.78</v>
      </c>
      <c r="J26" s="60">
        <v>0.15</v>
      </c>
      <c r="K26" s="60">
        <v>132.57</v>
      </c>
      <c r="L26" s="60">
        <v>31.87</v>
      </c>
      <c r="M26" s="60">
        <v>73.959999999999994</v>
      </c>
      <c r="N26" s="60">
        <v>204.20</v>
      </c>
      <c r="O26" s="60">
        <v>0</v>
      </c>
      <c r="P26" s="60">
        <v>1.93</v>
      </c>
      <c r="Q26" s="60">
        <v>9.31</v>
      </c>
      <c r="R26" s="198"/>
      <c r="S26" s="198"/>
      <c r="T26" s="198"/>
      <c r="U26" s="198"/>
    </row>
    <row r="27" spans="1:21" s="12" customFormat="1" ht="15">
      <c r="A27" s="201" t="s">
        <v>1896</v>
      </c>
      <c r="B27" s="60">
        <v>0.67</v>
      </c>
      <c r="C27" s="60">
        <v>15.68</v>
      </c>
      <c r="D27" s="60">
        <v>16.36</v>
      </c>
      <c r="E27" s="60">
        <v>6.90</v>
      </c>
      <c r="F27" s="60">
        <v>2.4700000000000002</v>
      </c>
      <c r="G27" s="60">
        <v>27.08</v>
      </c>
      <c r="H27" s="60">
        <v>12.49</v>
      </c>
      <c r="I27" s="60">
        <v>2.71</v>
      </c>
      <c r="J27" s="60">
        <v>0.80</v>
      </c>
      <c r="K27" s="60">
        <v>217.42</v>
      </c>
      <c r="L27" s="60">
        <v>31.60</v>
      </c>
      <c r="M27" s="60">
        <v>75.680000000000007</v>
      </c>
      <c r="N27" s="60">
        <v>206.60</v>
      </c>
      <c r="O27" s="60">
        <v>0</v>
      </c>
      <c r="P27" s="60">
        <v>1.92</v>
      </c>
      <c r="Q27" s="60">
        <v>9</v>
      </c>
      <c r="R27" s="198"/>
      <c r="S27" s="198"/>
      <c r="T27" s="198"/>
      <c r="U27" s="198"/>
    </row>
    <row r="28" spans="1:21" s="12" customFormat="1" ht="15">
      <c r="A28" s="201" t="s">
        <v>1897</v>
      </c>
      <c r="B28" s="60">
        <v>0.66</v>
      </c>
      <c r="C28" s="60">
        <v>15.96</v>
      </c>
      <c r="D28" s="60">
        <v>16.62</v>
      </c>
      <c r="E28" s="60">
        <v>6.23</v>
      </c>
      <c r="F28" s="60">
        <v>2.2000000000000002</v>
      </c>
      <c r="G28" s="60">
        <v>22.65</v>
      </c>
      <c r="H28" s="60">
        <v>10.55</v>
      </c>
      <c r="I28" s="60">
        <v>2.61</v>
      </c>
      <c r="J28" s="60">
        <v>0.53</v>
      </c>
      <c r="K28" s="60">
        <v>37.700000000000003</v>
      </c>
      <c r="L28" s="60">
        <v>31.42</v>
      </c>
      <c r="M28" s="60">
        <v>77.97</v>
      </c>
      <c r="N28" s="60">
        <v>204.90</v>
      </c>
      <c r="O28" s="60">
        <v>0</v>
      </c>
      <c r="P28" s="60">
        <v>1.92</v>
      </c>
      <c r="Q28" s="60">
        <v>8.84</v>
      </c>
      <c r="R28" s="198"/>
      <c r="S28" s="198"/>
      <c r="T28" s="198"/>
      <c r="U28" s="198"/>
    </row>
    <row r="29" spans="1:21" s="12" customFormat="1" ht="15">
      <c r="A29" s="201" t="s">
        <v>1898</v>
      </c>
      <c r="B29" s="60">
        <v>0.82</v>
      </c>
      <c r="C29" s="60">
        <v>16.21</v>
      </c>
      <c r="D29" s="60">
        <v>17.02</v>
      </c>
      <c r="E29" s="60">
        <v>6.75</v>
      </c>
      <c r="F29" s="60">
        <v>2.11</v>
      </c>
      <c r="G29" s="60">
        <v>21.26</v>
      </c>
      <c r="H29" s="60">
        <v>9.14</v>
      </c>
      <c r="I29" s="60">
        <v>2.57</v>
      </c>
      <c r="J29" s="60">
        <v>0.80</v>
      </c>
      <c r="K29" s="60">
        <v>338.61</v>
      </c>
      <c r="L29" s="60">
        <v>31.41</v>
      </c>
      <c r="M29" s="60">
        <v>79.27</v>
      </c>
      <c r="N29" s="60">
        <v>186.60</v>
      </c>
      <c r="O29" s="60">
        <v>0</v>
      </c>
      <c r="P29" s="60">
        <v>1.91</v>
      </c>
      <c r="Q29" s="60">
        <v>8.76</v>
      </c>
      <c r="R29" s="198"/>
      <c r="S29" s="198"/>
      <c r="T29" s="198"/>
      <c r="U29" s="198"/>
    </row>
    <row r="30" spans="1:21" s="12" customFormat="1" ht="15">
      <c r="A30" s="201" t="s">
        <v>1899</v>
      </c>
      <c r="B30" s="60">
        <v>0.93</v>
      </c>
      <c r="C30" s="60">
        <v>16.100000000000001</v>
      </c>
      <c r="D30" s="60">
        <v>17.03</v>
      </c>
      <c r="E30" s="60">
        <v>6.28</v>
      </c>
      <c r="F30" s="60">
        <v>1.52</v>
      </c>
      <c r="G30" s="60">
        <v>21.26</v>
      </c>
      <c r="H30" s="60">
        <v>9.14</v>
      </c>
      <c r="I30" s="60">
        <v>2.52</v>
      </c>
      <c r="J30" s="60">
        <v>0.67</v>
      </c>
      <c r="K30" s="60">
        <v>315.02</v>
      </c>
      <c r="L30" s="60">
        <v>31.45</v>
      </c>
      <c r="M30" s="60">
        <v>80.20</v>
      </c>
      <c r="N30" s="60">
        <v>203.70</v>
      </c>
      <c r="O30" s="60">
        <v>0</v>
      </c>
      <c r="P30" s="60">
        <v>1.91</v>
      </c>
      <c r="Q30" s="60">
        <v>8.67</v>
      </c>
      <c r="R30" s="198"/>
      <c r="S30" s="198"/>
      <c r="T30" s="198"/>
      <c r="U30" s="198"/>
    </row>
    <row r="31" spans="1:21" s="12" customFormat="1" ht="15">
      <c r="A31" s="201" t="s">
        <v>1900</v>
      </c>
      <c r="B31" s="60">
        <v>1.26</v>
      </c>
      <c r="C31" s="60">
        <v>16.29</v>
      </c>
      <c r="D31" s="60">
        <v>17.55</v>
      </c>
      <c r="E31" s="60">
        <v>6.61</v>
      </c>
      <c r="F31" s="60">
        <v>1.1599999999999999</v>
      </c>
      <c r="G31" s="60">
        <v>21.26</v>
      </c>
      <c r="H31" s="60">
        <v>9.14</v>
      </c>
      <c r="I31" s="60">
        <v>2.4700000000000002</v>
      </c>
      <c r="J31" s="60">
        <v>0.63</v>
      </c>
      <c r="K31" s="60">
        <v>325.26</v>
      </c>
      <c r="L31" s="60">
        <v>31.39</v>
      </c>
      <c r="M31" s="60">
        <v>80.75</v>
      </c>
      <c r="N31" s="60">
        <v>213.60</v>
      </c>
      <c r="O31" s="60">
        <v>0</v>
      </c>
      <c r="P31" s="60">
        <v>1.93</v>
      </c>
      <c r="Q31" s="60">
        <v>9.0500000000000007</v>
      </c>
      <c r="R31" s="198"/>
      <c r="S31" s="198"/>
      <c r="T31" s="198"/>
      <c r="U31" s="198"/>
    </row>
    <row r="32" spans="1:21" s="12" customFormat="1" ht="15">
      <c r="A32" s="201" t="s">
        <v>1901</v>
      </c>
      <c r="B32" s="60">
        <v>1.35</v>
      </c>
      <c r="C32" s="60">
        <v>16.510000000000002</v>
      </c>
      <c r="D32" s="60">
        <v>17.87</v>
      </c>
      <c r="E32" s="60">
        <v>6.34</v>
      </c>
      <c r="F32" s="60">
        <v>1.1399999999999999</v>
      </c>
      <c r="G32" s="60">
        <v>21.23</v>
      </c>
      <c r="H32" s="60">
        <v>8.92</v>
      </c>
      <c r="I32" s="60">
        <v>2.54</v>
      </c>
      <c r="J32" s="60">
        <v>0.60</v>
      </c>
      <c r="K32" s="60">
        <v>276.83999999999997</v>
      </c>
      <c r="L32" s="60">
        <v>31.45</v>
      </c>
      <c r="M32" s="60">
        <v>80.27</v>
      </c>
      <c r="N32" s="60">
        <v>232.40</v>
      </c>
      <c r="O32" s="60">
        <v>0</v>
      </c>
      <c r="P32" s="60">
        <v>1.97</v>
      </c>
      <c r="Q32" s="60">
        <v>9.6999999999999993</v>
      </c>
      <c r="R32" s="198"/>
      <c r="S32" s="198"/>
      <c r="T32" s="198"/>
      <c r="U32" s="198"/>
    </row>
    <row r="33" spans="1:21" s="12" customFormat="1" ht="15">
      <c r="A33" s="201" t="s">
        <v>1902</v>
      </c>
      <c r="B33" s="60">
        <v>1.67</v>
      </c>
      <c r="C33" s="60">
        <v>17.38</v>
      </c>
      <c r="D33" s="60">
        <v>19.059999999999999</v>
      </c>
      <c r="E33" s="60">
        <v>6.76</v>
      </c>
      <c r="F33" s="60">
        <v>1.20</v>
      </c>
      <c r="G33" s="60">
        <v>21.22</v>
      </c>
      <c r="H33" s="60">
        <v>8.76</v>
      </c>
      <c r="I33" s="60">
        <v>2.74</v>
      </c>
      <c r="J33" s="60">
        <v>1.28</v>
      </c>
      <c r="K33" s="60">
        <v>318.72000000000003</v>
      </c>
      <c r="L33" s="60">
        <v>32.020000000000003</v>
      </c>
      <c r="M33" s="60">
        <v>79.28</v>
      </c>
      <c r="N33" s="60">
        <v>239.20</v>
      </c>
      <c r="O33" s="60">
        <v>0</v>
      </c>
      <c r="P33" s="60">
        <v>2.0499999999999998</v>
      </c>
      <c r="Q33" s="60">
        <v>10.37</v>
      </c>
      <c r="R33" s="198"/>
      <c r="S33" s="198"/>
      <c r="T33" s="198"/>
      <c r="U33" s="198"/>
    </row>
    <row r="34" spans="1:21" s="12" customFormat="1" ht="15">
      <c r="A34" s="201" t="s">
        <v>1903</v>
      </c>
      <c r="B34" s="60">
        <v>2.36</v>
      </c>
      <c r="C34" s="60">
        <v>18.600000000000001</v>
      </c>
      <c r="D34" s="60">
        <v>20.96</v>
      </c>
      <c r="E34" s="60">
        <v>6.79</v>
      </c>
      <c r="F34" s="60">
        <v>0.99</v>
      </c>
      <c r="G34" s="60">
        <v>21.22</v>
      </c>
      <c r="H34" s="60">
        <v>8.76</v>
      </c>
      <c r="I34" s="60">
        <v>3.08</v>
      </c>
      <c r="J34" s="60">
        <v>2.3199999999999998</v>
      </c>
      <c r="K34" s="60">
        <v>181.28</v>
      </c>
      <c r="L34" s="60">
        <v>31.68</v>
      </c>
      <c r="M34" s="60">
        <v>80.19</v>
      </c>
      <c r="N34" s="60">
        <v>262.39999999999998</v>
      </c>
      <c r="O34" s="60">
        <v>0</v>
      </c>
      <c r="P34" s="60">
        <v>2.11</v>
      </c>
      <c r="Q34" s="60">
        <v>11.31</v>
      </c>
      <c r="R34" s="198"/>
      <c r="S34" s="198"/>
      <c r="T34" s="198"/>
      <c r="U34" s="198"/>
    </row>
    <row r="35" spans="1:21" s="12" customFormat="1" ht="15">
      <c r="A35" s="201" t="s">
        <v>1904</v>
      </c>
      <c r="B35" s="60">
        <v>2.16</v>
      </c>
      <c r="C35" s="60">
        <v>18.59</v>
      </c>
      <c r="D35" s="60">
        <v>20.74</v>
      </c>
      <c r="E35" s="60">
        <v>6.67</v>
      </c>
      <c r="F35" s="60">
        <v>1.17</v>
      </c>
      <c r="G35" s="60">
        <v>21.22</v>
      </c>
      <c r="H35" s="60">
        <v>8.76</v>
      </c>
      <c r="I35" s="60">
        <v>3.76</v>
      </c>
      <c r="J35" s="60">
        <v>2.42</v>
      </c>
      <c r="K35" s="60">
        <v>181.31</v>
      </c>
      <c r="L35" s="60">
        <v>31.60</v>
      </c>
      <c r="M35" s="60">
        <v>81.489999999999995</v>
      </c>
      <c r="N35" s="60">
        <v>279.20</v>
      </c>
      <c r="O35" s="60">
        <v>0</v>
      </c>
      <c r="P35" s="60">
        <v>2.14</v>
      </c>
      <c r="Q35" s="60">
        <v>11.68</v>
      </c>
      <c r="R35" s="198"/>
      <c r="S35" s="198"/>
      <c r="T35" s="198"/>
      <c r="U35" s="198"/>
    </row>
    <row r="36" spans="1:21" s="12" customFormat="1" ht="15">
      <c r="A36" s="201" t="s">
        <v>1905</v>
      </c>
      <c r="B36" s="60">
        <v>1.74</v>
      </c>
      <c r="C36" s="60">
        <v>18.18</v>
      </c>
      <c r="D36" s="60">
        <v>19.920000000000002</v>
      </c>
      <c r="E36" s="60">
        <v>6.49</v>
      </c>
      <c r="F36" s="60">
        <v>1.27</v>
      </c>
      <c r="G36" s="60">
        <v>24.57</v>
      </c>
      <c r="H36" s="60">
        <v>8.86</v>
      </c>
      <c r="I36" s="60">
        <v>4.3099999999999996</v>
      </c>
      <c r="J36" s="60">
        <v>2.67</v>
      </c>
      <c r="K36" s="60">
        <v>175.81</v>
      </c>
      <c r="L36" s="60">
        <v>31.57</v>
      </c>
      <c r="M36" s="60">
        <v>81.89</v>
      </c>
      <c r="N36" s="60">
        <v>302.89999999999998</v>
      </c>
      <c r="O36" s="60">
        <v>0</v>
      </c>
      <c r="P36" s="60">
        <v>2.12</v>
      </c>
      <c r="Q36" s="60">
        <v>11.75</v>
      </c>
      <c r="R36" s="198"/>
      <c r="S36" s="198"/>
      <c r="T36" s="198"/>
      <c r="U36" s="198"/>
    </row>
    <row r="37" spans="1:21" s="12" customFormat="1" ht="15">
      <c r="A37" s="201" t="s">
        <v>1906</v>
      </c>
      <c r="B37" s="60">
        <v>1.56</v>
      </c>
      <c r="C37" s="60">
        <v>17.66</v>
      </c>
      <c r="D37" s="60">
        <v>19.22</v>
      </c>
      <c r="E37" s="60">
        <v>6.46</v>
      </c>
      <c r="F37" s="60">
        <v>1.32</v>
      </c>
      <c r="G37" s="60">
        <v>25.54</v>
      </c>
      <c r="H37" s="60">
        <v>8.94</v>
      </c>
      <c r="I37" s="60">
        <v>4.66</v>
      </c>
      <c r="J37" s="60">
        <v>2.66</v>
      </c>
      <c r="K37" s="60">
        <v>173.07</v>
      </c>
      <c r="L37" s="60">
        <v>31.67</v>
      </c>
      <c r="M37" s="60">
        <v>82.52</v>
      </c>
      <c r="N37" s="60">
        <v>339.40</v>
      </c>
      <c r="O37" s="60">
        <v>0</v>
      </c>
      <c r="P37" s="60">
        <v>2.09</v>
      </c>
      <c r="Q37" s="60">
        <v>11.64</v>
      </c>
      <c r="R37" s="198"/>
      <c r="S37" s="198"/>
      <c r="T37" s="198"/>
      <c r="U37" s="198"/>
    </row>
    <row r="38" spans="1:21" s="12" customFormat="1" ht="15">
      <c r="A38" s="201" t="s">
        <v>1907</v>
      </c>
      <c r="B38" s="60">
        <v>1.34</v>
      </c>
      <c r="C38" s="60">
        <v>16.98</v>
      </c>
      <c r="D38" s="60">
        <v>18.32</v>
      </c>
      <c r="E38" s="60">
        <v>6.24</v>
      </c>
      <c r="F38" s="60">
        <v>1.57</v>
      </c>
      <c r="G38" s="60">
        <v>25.54</v>
      </c>
      <c r="H38" s="60">
        <v>8.94</v>
      </c>
      <c r="I38" s="60">
        <v>4.67</v>
      </c>
      <c r="J38" s="60">
        <v>1.86</v>
      </c>
      <c r="K38" s="60">
        <v>187.92</v>
      </c>
      <c r="L38" s="60">
        <v>32.06</v>
      </c>
      <c r="M38" s="60">
        <v>80.959999999999994</v>
      </c>
      <c r="N38" s="60">
        <v>400.90</v>
      </c>
      <c r="O38" s="60">
        <v>0</v>
      </c>
      <c r="P38" s="60">
        <v>2.08</v>
      </c>
      <c r="Q38" s="60">
        <v>11.59</v>
      </c>
      <c r="R38" s="198"/>
      <c r="S38" s="198"/>
      <c r="T38" s="198"/>
      <c r="U38" s="198"/>
    </row>
    <row r="39" spans="1:21" s="12" customFormat="1" ht="15">
      <c r="A39" s="201" t="s">
        <v>1908</v>
      </c>
      <c r="B39" s="60">
        <v>1.07</v>
      </c>
      <c r="C39" s="60">
        <v>16.12</v>
      </c>
      <c r="D39" s="60">
        <v>17.20</v>
      </c>
      <c r="E39" s="60">
        <v>6.46</v>
      </c>
      <c r="F39" s="60">
        <v>1.86</v>
      </c>
      <c r="G39" s="60">
        <v>25.54</v>
      </c>
      <c r="H39" s="60">
        <v>8.94</v>
      </c>
      <c r="I39" s="60">
        <v>4.47</v>
      </c>
      <c r="J39" s="60">
        <v>1.33</v>
      </c>
      <c r="K39" s="60">
        <v>207.14</v>
      </c>
      <c r="L39" s="60">
        <v>32.770000000000003</v>
      </c>
      <c r="M39" s="60">
        <v>78.099999999999994</v>
      </c>
      <c r="N39" s="60">
        <v>422.70</v>
      </c>
      <c r="O39" s="60">
        <v>0</v>
      </c>
      <c r="P39" s="60">
        <v>2.06</v>
      </c>
      <c r="Q39" s="60">
        <v>11.48</v>
      </c>
      <c r="R39" s="198"/>
      <c r="S39" s="198"/>
      <c r="T39" s="198"/>
      <c r="U39" s="198"/>
    </row>
    <row r="40" spans="1:21" s="12" customFormat="1" ht="15">
      <c r="A40" s="201" t="s">
        <v>1909</v>
      </c>
      <c r="B40" s="60">
        <v>0.95</v>
      </c>
      <c r="C40" s="60">
        <v>15.81</v>
      </c>
      <c r="D40" s="60">
        <v>16.760000000000002</v>
      </c>
      <c r="E40" s="60">
        <v>2.46</v>
      </c>
      <c r="F40" s="60">
        <v>1.72</v>
      </c>
      <c r="G40" s="60">
        <v>28.15</v>
      </c>
      <c r="H40" s="60">
        <v>10.96</v>
      </c>
      <c r="I40" s="60">
        <v>4.2699999999999996</v>
      </c>
      <c r="J40" s="60">
        <v>1.30</v>
      </c>
      <c r="K40" s="60">
        <v>204.74</v>
      </c>
      <c r="L40" s="60">
        <v>33.630000000000003</v>
      </c>
      <c r="M40" s="60">
        <v>75.17</v>
      </c>
      <c r="N40" s="60">
        <v>592.20000000000005</v>
      </c>
      <c r="O40" s="60">
        <v>0</v>
      </c>
      <c r="P40" s="60">
        <v>2.0499999999999998</v>
      </c>
      <c r="Q40" s="60">
        <v>11.43</v>
      </c>
      <c r="R40" s="198"/>
      <c r="S40" s="198"/>
      <c r="T40" s="198"/>
      <c r="U40" s="198"/>
    </row>
    <row r="41" spans="1:21" s="12" customFormat="1" ht="15">
      <c r="A41" s="201" t="s">
        <v>1910</v>
      </c>
      <c r="B41" s="60">
        <v>1.03</v>
      </c>
      <c r="C41" s="60">
        <v>16.18</v>
      </c>
      <c r="D41" s="60">
        <v>17.21</v>
      </c>
      <c r="E41" s="60">
        <v>5.27</v>
      </c>
      <c r="F41" s="60">
        <v>1.74</v>
      </c>
      <c r="G41" s="60">
        <v>28.97</v>
      </c>
      <c r="H41" s="60">
        <v>12.44</v>
      </c>
      <c r="I41" s="60">
        <v>4.0999999999999996</v>
      </c>
      <c r="J41" s="60">
        <v>1.81</v>
      </c>
      <c r="K41" s="60">
        <v>200.23</v>
      </c>
      <c r="L41" s="60">
        <v>34.28</v>
      </c>
      <c r="M41" s="60">
        <v>72.92</v>
      </c>
      <c r="N41" s="60">
        <v>551.20000000000005</v>
      </c>
      <c r="O41" s="60">
        <v>0</v>
      </c>
      <c r="P41" s="60">
        <v>2.04</v>
      </c>
      <c r="Q41" s="60">
        <v>11.36</v>
      </c>
      <c r="R41" s="198"/>
      <c r="S41" s="198"/>
      <c r="T41" s="198"/>
      <c r="U41" s="198"/>
    </row>
    <row r="42" spans="1:21" s="12" customFormat="1" ht="15">
      <c r="A42" s="201" t="s">
        <v>1911</v>
      </c>
      <c r="B42" s="60">
        <v>1.08</v>
      </c>
      <c r="C42" s="60">
        <v>15.14</v>
      </c>
      <c r="D42" s="60">
        <v>16.22</v>
      </c>
      <c r="E42" s="60">
        <v>5.29</v>
      </c>
      <c r="F42" s="60">
        <v>1.83</v>
      </c>
      <c r="G42" s="60">
        <v>28.97</v>
      </c>
      <c r="H42" s="60">
        <v>12.44</v>
      </c>
      <c r="I42" s="60">
        <v>3.98</v>
      </c>
      <c r="J42" s="60">
        <v>0.45</v>
      </c>
      <c r="K42" s="60">
        <v>238.77</v>
      </c>
      <c r="L42" s="60">
        <v>34.85</v>
      </c>
      <c r="M42" s="60">
        <v>71.69</v>
      </c>
      <c r="N42" s="60">
        <v>503.70</v>
      </c>
      <c r="O42" s="60">
        <v>0</v>
      </c>
      <c r="P42" s="60">
        <v>2.0299999999999998</v>
      </c>
      <c r="Q42" s="60">
        <v>10.75</v>
      </c>
      <c r="R42" s="198"/>
      <c r="S42" s="198"/>
      <c r="T42" s="198"/>
      <c r="U42" s="198"/>
    </row>
    <row r="43" spans="1:21" s="12" customFormat="1" ht="15">
      <c r="A43" s="201" t="s">
        <v>1912</v>
      </c>
      <c r="B43" s="60">
        <v>1.52</v>
      </c>
      <c r="C43" s="60">
        <v>15.69</v>
      </c>
      <c r="D43" s="60">
        <v>17.21</v>
      </c>
      <c r="E43" s="60">
        <v>5.88</v>
      </c>
      <c r="F43" s="60">
        <v>1.55</v>
      </c>
      <c r="G43" s="60">
        <v>28.97</v>
      </c>
      <c r="H43" s="60">
        <v>12.44</v>
      </c>
      <c r="I43" s="60">
        <v>3.85</v>
      </c>
      <c r="J43" s="60">
        <v>0.54</v>
      </c>
      <c r="K43" s="60">
        <v>324.74</v>
      </c>
      <c r="L43" s="60">
        <v>35.770000000000003</v>
      </c>
      <c r="M43" s="60">
        <v>68.92</v>
      </c>
      <c r="N43" s="60">
        <v>476.30</v>
      </c>
      <c r="O43" s="60">
        <v>0</v>
      </c>
      <c r="P43" s="60">
        <v>2.0299999999999998</v>
      </c>
      <c r="Q43" s="60">
        <v>10.23</v>
      </c>
      <c r="R43" s="198"/>
      <c r="S43" s="198"/>
      <c r="T43" s="198"/>
      <c r="U43" s="198"/>
    </row>
    <row r="44" spans="1:21" s="12" customFormat="1" ht="15">
      <c r="A44" s="201" t="s">
        <v>1913</v>
      </c>
      <c r="B44" s="60">
        <v>1.73</v>
      </c>
      <c r="C44" s="60">
        <v>16.16</v>
      </c>
      <c r="D44" s="60">
        <v>17.89</v>
      </c>
      <c r="E44" s="60">
        <v>5.68</v>
      </c>
      <c r="F44" s="60">
        <v>1.45</v>
      </c>
      <c r="G44" s="60">
        <v>29.69</v>
      </c>
      <c r="H44" s="60">
        <v>10.87</v>
      </c>
      <c r="I44" s="60">
        <v>3.80</v>
      </c>
      <c r="J44" s="60">
        <v>0.81</v>
      </c>
      <c r="K44" s="60">
        <v>202.71</v>
      </c>
      <c r="L44" s="60">
        <v>36.47</v>
      </c>
      <c r="M44" s="60">
        <v>65.989999999999995</v>
      </c>
      <c r="N44" s="60">
        <v>782.60</v>
      </c>
      <c r="O44" s="60">
        <v>0</v>
      </c>
      <c r="P44" s="60">
        <v>2.04</v>
      </c>
      <c r="Q44" s="60">
        <v>9.8800000000000008</v>
      </c>
      <c r="R44" s="198"/>
      <c r="S44" s="198"/>
      <c r="T44" s="198"/>
      <c r="U44" s="198"/>
    </row>
    <row r="45" spans="1:21" s="12" customFormat="1" ht="15">
      <c r="A45" s="201" t="s">
        <v>1914</v>
      </c>
      <c r="B45" s="60">
        <v>1.97</v>
      </c>
      <c r="C45" s="60">
        <v>16.809999999999999</v>
      </c>
      <c r="D45" s="60">
        <v>18.78</v>
      </c>
      <c r="E45" s="60">
        <v>5.69</v>
      </c>
      <c r="F45" s="60">
        <v>1.65</v>
      </c>
      <c r="G45" s="60">
        <v>29.92</v>
      </c>
      <c r="H45" s="60">
        <v>9.7200000000000006</v>
      </c>
      <c r="I45" s="60">
        <v>3.78</v>
      </c>
      <c r="J45" s="60">
        <v>1.18</v>
      </c>
      <c r="K45" s="60">
        <v>170.17</v>
      </c>
      <c r="L45" s="60">
        <v>37.549999999999997</v>
      </c>
      <c r="M45" s="60">
        <v>62.74</v>
      </c>
      <c r="N45" s="60">
        <v>903</v>
      </c>
      <c r="O45" s="60">
        <v>0</v>
      </c>
      <c r="P45" s="60">
        <v>2.04</v>
      </c>
      <c r="Q45" s="60">
        <v>9.83</v>
      </c>
      <c r="R45" s="198"/>
      <c r="S45" s="198"/>
      <c r="T45" s="198"/>
      <c r="U45" s="198"/>
    </row>
    <row r="46" spans="1:21" s="12" customFormat="1" ht="15">
      <c r="A46" s="201" t="s">
        <v>1915</v>
      </c>
      <c r="B46" s="60">
        <v>1.62</v>
      </c>
      <c r="C46" s="60">
        <v>17.18</v>
      </c>
      <c r="D46" s="60">
        <v>18.80</v>
      </c>
      <c r="E46" s="60">
        <v>5.79</v>
      </c>
      <c r="F46" s="60">
        <v>2.36</v>
      </c>
      <c r="G46" s="60">
        <v>29.92</v>
      </c>
      <c r="H46" s="60">
        <v>9.7200000000000006</v>
      </c>
      <c r="I46" s="60">
        <v>3.83</v>
      </c>
      <c r="J46" s="60">
        <v>0.32</v>
      </c>
      <c r="K46" s="60">
        <v>324.74</v>
      </c>
      <c r="L46" s="60">
        <v>38.71</v>
      </c>
      <c r="M46" s="60">
        <v>60.30</v>
      </c>
      <c r="N46" s="60">
        <v>959.70</v>
      </c>
      <c r="O46" s="60">
        <v>0</v>
      </c>
      <c r="P46" s="60">
        <v>2.0499999999999998</v>
      </c>
      <c r="Q46" s="60">
        <v>9.58</v>
      </c>
      <c r="R46" s="198"/>
      <c r="S46" s="198"/>
      <c r="T46" s="198"/>
      <c r="U46" s="198"/>
    </row>
    <row r="47" spans="1:21" s="12" customFormat="1" ht="15">
      <c r="A47" s="201" t="s">
        <v>1916</v>
      </c>
      <c r="B47" s="60">
        <v>1.23</v>
      </c>
      <c r="C47" s="60">
        <v>17.68</v>
      </c>
      <c r="D47" s="60">
        <v>18.920000000000002</v>
      </c>
      <c r="E47" s="60">
        <v>5.73</v>
      </c>
      <c r="F47" s="60">
        <v>2.4900000000000002</v>
      </c>
      <c r="G47" s="60">
        <v>29.92</v>
      </c>
      <c r="H47" s="60">
        <v>9.7200000000000006</v>
      </c>
      <c r="I47" s="60">
        <v>3.80</v>
      </c>
      <c r="J47" s="60">
        <v>1.80</v>
      </c>
      <c r="K47" s="60">
        <v>185.87</v>
      </c>
      <c r="L47" s="60">
        <v>39.07</v>
      </c>
      <c r="M47" s="60">
        <v>58.82</v>
      </c>
      <c r="N47" s="60">
        <v>1042.5</v>
      </c>
      <c r="O47" s="60">
        <v>0</v>
      </c>
      <c r="P47" s="60">
        <v>2.0499999999999998</v>
      </c>
      <c r="Q47" s="60">
        <v>9.5</v>
      </c>
      <c r="R47" s="198"/>
      <c r="S47" s="198"/>
      <c r="T47" s="198"/>
      <c r="U47" s="198"/>
    </row>
    <row r="48" spans="1:21" s="12" customFormat="1" ht="15">
      <c r="A48" s="201" t="s">
        <v>1917</v>
      </c>
      <c r="B48" s="60">
        <v>0.89</v>
      </c>
      <c r="C48" s="60">
        <v>17.420000000000002</v>
      </c>
      <c r="D48" s="60">
        <v>18.309999999999999</v>
      </c>
      <c r="E48" s="60">
        <v>5.55</v>
      </c>
      <c r="F48" s="60">
        <v>2.73</v>
      </c>
      <c r="G48" s="60">
        <v>30.37</v>
      </c>
      <c r="H48" s="60">
        <v>11.26</v>
      </c>
      <c r="I48" s="60">
        <v>3.74</v>
      </c>
      <c r="J48" s="60">
        <v>1.0900000000000001</v>
      </c>
      <c r="K48" s="60">
        <v>210.47</v>
      </c>
      <c r="L48" s="60">
        <v>39.299999999999997</v>
      </c>
      <c r="M48" s="60">
        <v>57.95</v>
      </c>
      <c r="N48" s="60">
        <v>1152.4000000000001</v>
      </c>
      <c r="O48" s="60">
        <v>0</v>
      </c>
      <c r="P48" s="60">
        <v>2.0299999999999998</v>
      </c>
      <c r="Q48" s="60">
        <v>9.27</v>
      </c>
      <c r="R48" s="198"/>
      <c r="S48" s="198"/>
      <c r="T48" s="198"/>
      <c r="U48" s="198"/>
    </row>
    <row r="49" spans="1:21" s="12" customFormat="1" ht="15">
      <c r="A49" s="201" t="s">
        <v>1918</v>
      </c>
      <c r="B49" s="60">
        <v>0.62</v>
      </c>
      <c r="C49" s="60">
        <v>17.36</v>
      </c>
      <c r="D49" s="60">
        <v>17.98</v>
      </c>
      <c r="E49" s="60">
        <v>5.71</v>
      </c>
      <c r="F49" s="60">
        <v>4.22</v>
      </c>
      <c r="G49" s="60">
        <v>30.51</v>
      </c>
      <c r="H49" s="60">
        <v>12.39</v>
      </c>
      <c r="I49" s="60">
        <v>3.74</v>
      </c>
      <c r="J49" s="60">
        <v>2.15</v>
      </c>
      <c r="K49" s="60">
        <v>201.77</v>
      </c>
      <c r="L49" s="60">
        <v>39.67</v>
      </c>
      <c r="M49" s="60">
        <v>56.51</v>
      </c>
      <c r="N49" s="60">
        <v>1099.0999999999999</v>
      </c>
      <c r="O49" s="60">
        <v>0</v>
      </c>
      <c r="P49" s="60">
        <v>2.0299999999999998</v>
      </c>
      <c r="Q49" s="60">
        <v>9.42</v>
      </c>
      <c r="R49" s="198"/>
      <c r="S49" s="198"/>
      <c r="T49" s="198"/>
      <c r="U49" s="198"/>
    </row>
    <row r="50" spans="1:21" s="12" customFormat="1" ht="15">
      <c r="A50" s="201" t="s">
        <v>1919</v>
      </c>
      <c r="B50" s="60">
        <v>0.40</v>
      </c>
      <c r="C50" s="60">
        <v>16.510000000000002</v>
      </c>
      <c r="D50" s="60">
        <v>16.899999999999999</v>
      </c>
      <c r="E50" s="60">
        <v>5.18</v>
      </c>
      <c r="F50" s="60">
        <v>4.16</v>
      </c>
      <c r="G50" s="60">
        <v>30.51</v>
      </c>
      <c r="H50" s="60">
        <v>12.39</v>
      </c>
      <c r="I50" s="60">
        <v>3.67</v>
      </c>
      <c r="J50" s="60">
        <v>1.27</v>
      </c>
      <c r="K50" s="60">
        <v>221.21</v>
      </c>
      <c r="L50" s="60">
        <v>39.60</v>
      </c>
      <c r="M50" s="60">
        <v>57.56</v>
      </c>
      <c r="N50" s="60">
        <v>733.20</v>
      </c>
      <c r="O50" s="60">
        <v>0</v>
      </c>
      <c r="P50" s="60">
        <v>2.0099999999999998</v>
      </c>
      <c r="Q50" s="60">
        <v>9.8800000000000008</v>
      </c>
      <c r="R50" s="198"/>
      <c r="S50" s="198"/>
      <c r="T50" s="198"/>
      <c r="U50" s="198"/>
    </row>
    <row r="51" spans="1:21" s="12" customFormat="1" ht="15">
      <c r="A51" s="201" t="s">
        <v>1920</v>
      </c>
      <c r="B51" s="60">
        <v>0.60</v>
      </c>
      <c r="C51" s="60">
        <v>16.239999999999998</v>
      </c>
      <c r="D51" s="60">
        <v>16.84</v>
      </c>
      <c r="E51" s="60">
        <v>4.95</v>
      </c>
      <c r="F51" s="60">
        <v>4.1900000000000004</v>
      </c>
      <c r="G51" s="60">
        <v>30.51</v>
      </c>
      <c r="H51" s="60">
        <v>12.39</v>
      </c>
      <c r="I51" s="60">
        <v>3.45</v>
      </c>
      <c r="J51" s="60">
        <v>1.93</v>
      </c>
      <c r="K51" s="60">
        <v>212.82</v>
      </c>
      <c r="L51" s="60">
        <v>39.92</v>
      </c>
      <c r="M51" s="60">
        <v>56.68</v>
      </c>
      <c r="N51" s="60">
        <v>747.20</v>
      </c>
      <c r="O51" s="60">
        <v>0</v>
      </c>
      <c r="P51" s="60">
        <v>2.02</v>
      </c>
      <c r="Q51" s="60">
        <v>10.32</v>
      </c>
      <c r="R51" s="198"/>
      <c r="S51" s="198"/>
      <c r="T51" s="198"/>
      <c r="U51" s="198"/>
    </row>
    <row r="52" spans="1:21" s="12" customFormat="1" ht="15">
      <c r="A52" s="201" t="s">
        <v>1921</v>
      </c>
      <c r="B52" s="60">
        <v>0.46</v>
      </c>
      <c r="C52" s="60">
        <v>16.39</v>
      </c>
      <c r="D52" s="60">
        <v>16.850000000000001</v>
      </c>
      <c r="E52" s="60">
        <v>4.12</v>
      </c>
      <c r="F52" s="60">
        <v>4.18</v>
      </c>
      <c r="G52" s="60">
        <v>41.33</v>
      </c>
      <c r="H52" s="60">
        <v>13.09</v>
      </c>
      <c r="I52" s="60">
        <v>3.28</v>
      </c>
      <c r="J52" s="60">
        <v>1.84</v>
      </c>
      <c r="K52" s="60">
        <v>210.68</v>
      </c>
      <c r="L52" s="60">
        <v>40.35</v>
      </c>
      <c r="M52" s="60">
        <v>54.79</v>
      </c>
      <c r="N52" s="60">
        <v>1031.80</v>
      </c>
      <c r="O52" s="60">
        <v>0</v>
      </c>
      <c r="P52" s="60">
        <v>2.0099999999999998</v>
      </c>
      <c r="Q52" s="60">
        <v>10.70</v>
      </c>
      <c r="R52" s="198"/>
      <c r="S52" s="198"/>
      <c r="T52" s="198"/>
      <c r="U52" s="198"/>
    </row>
    <row r="53" spans="1:21" s="12" customFormat="1" ht="15">
      <c r="A53" s="201" t="s">
        <v>1922</v>
      </c>
      <c r="B53" s="60">
        <v>0.42</v>
      </c>
      <c r="C53" s="60">
        <v>15.49</v>
      </c>
      <c r="D53" s="60">
        <v>15.90</v>
      </c>
      <c r="E53" s="60">
        <v>4.29</v>
      </c>
      <c r="F53" s="60">
        <v>4.82</v>
      </c>
      <c r="G53" s="60">
        <v>44.51</v>
      </c>
      <c r="H53" s="60">
        <v>13.60</v>
      </c>
      <c r="I53" s="60">
        <v>3.14</v>
      </c>
      <c r="J53" s="60">
        <v>1.97</v>
      </c>
      <c r="K53" s="60">
        <v>216.49</v>
      </c>
      <c r="L53" s="60">
        <v>40.89</v>
      </c>
      <c r="M53" s="60">
        <v>54.11</v>
      </c>
      <c r="N53" s="60">
        <v>911.60</v>
      </c>
      <c r="O53" s="60">
        <v>0</v>
      </c>
      <c r="P53" s="60">
        <v>1.99</v>
      </c>
      <c r="Q53" s="60">
        <v>10.31</v>
      </c>
      <c r="R53" s="198"/>
      <c r="S53" s="198"/>
      <c r="T53" s="198"/>
      <c r="U53" s="198"/>
    </row>
    <row r="54" spans="1:21" s="12" customFormat="1" ht="15">
      <c r="A54" s="201" t="s">
        <v>1923</v>
      </c>
      <c r="B54" s="60">
        <v>0.30</v>
      </c>
      <c r="C54" s="60">
        <v>15.47</v>
      </c>
      <c r="D54" s="60">
        <v>15.78</v>
      </c>
      <c r="E54" s="60">
        <v>3.89</v>
      </c>
      <c r="F54" s="60">
        <v>5.03</v>
      </c>
      <c r="G54" s="60">
        <v>44.51</v>
      </c>
      <c r="H54" s="60">
        <v>13.60</v>
      </c>
      <c r="I54" s="60">
        <v>3.01</v>
      </c>
      <c r="J54" s="60">
        <v>2.71</v>
      </c>
      <c r="K54" s="60">
        <v>203.08</v>
      </c>
      <c r="L54" s="60">
        <v>42.32</v>
      </c>
      <c r="M54" s="60">
        <v>54.64</v>
      </c>
      <c r="N54" s="60">
        <v>1000.70</v>
      </c>
      <c r="O54" s="60">
        <v>0</v>
      </c>
      <c r="P54" s="60">
        <v>1.98</v>
      </c>
      <c r="Q54" s="60">
        <v>10.29</v>
      </c>
      <c r="R54" s="198"/>
      <c r="S54" s="198"/>
      <c r="T54" s="198"/>
      <c r="U54" s="198"/>
    </row>
    <row r="55" spans="1:21" s="12" customFormat="1" ht="15">
      <c r="A55" s="201" t="s">
        <v>1924</v>
      </c>
      <c r="B55" s="60">
        <v>0.22</v>
      </c>
      <c r="C55" s="60">
        <v>14.5</v>
      </c>
      <c r="D55" s="60">
        <v>14.72</v>
      </c>
      <c r="E55" s="60">
        <v>3.5</v>
      </c>
      <c r="F55" s="60">
        <v>5.73</v>
      </c>
      <c r="G55" s="60">
        <v>44.51</v>
      </c>
      <c r="H55" s="60">
        <v>13.60</v>
      </c>
      <c r="I55" s="60">
        <v>2.83</v>
      </c>
      <c r="J55" s="60">
        <v>1.62</v>
      </c>
      <c r="K55" s="60">
        <v>223.69</v>
      </c>
      <c r="L55" s="60">
        <v>42.90</v>
      </c>
      <c r="M55" s="60">
        <v>54.32</v>
      </c>
      <c r="N55" s="60">
        <v>1141.9000000000001</v>
      </c>
      <c r="O55" s="60">
        <v>0</v>
      </c>
      <c r="P55" s="60">
        <v>1.96</v>
      </c>
      <c r="Q55" s="60">
        <v>9.8800000000000008</v>
      </c>
      <c r="R55" s="198"/>
      <c r="S55" s="198"/>
      <c r="T55" s="198"/>
      <c r="U55" s="198"/>
    </row>
    <row r="56" spans="1:21" s="12" customFormat="1" ht="15">
      <c r="A56" s="201" t="s">
        <v>1925</v>
      </c>
      <c r="B56" s="60">
        <v>0.27</v>
      </c>
      <c r="C56" s="60">
        <v>14.82</v>
      </c>
      <c r="D56" s="60">
        <v>15.09</v>
      </c>
      <c r="E56" s="60">
        <v>1.82</v>
      </c>
      <c r="F56" s="60">
        <v>5.44</v>
      </c>
      <c r="G56" s="60">
        <v>47.71</v>
      </c>
      <c r="H56" s="60">
        <v>15</v>
      </c>
      <c r="I56" s="60">
        <v>2.67</v>
      </c>
      <c r="J56" s="60">
        <v>1.48</v>
      </c>
      <c r="K56" s="60">
        <v>215.42</v>
      </c>
      <c r="L56" s="60">
        <v>43.28</v>
      </c>
      <c r="M56" s="60">
        <v>53.97</v>
      </c>
      <c r="N56" s="60">
        <v>894.90</v>
      </c>
      <c r="O56" s="60">
        <v>0</v>
      </c>
      <c r="P56" s="60">
        <v>1.97</v>
      </c>
      <c r="Q56" s="60">
        <v>9.9700000000000006</v>
      </c>
      <c r="R56" s="198"/>
      <c r="S56" s="198"/>
      <c r="T56" s="198"/>
      <c r="U56" s="198"/>
    </row>
    <row r="57" spans="1:21" s="12" customFormat="1" ht="15">
      <c r="A57" s="201" t="s">
        <v>1926</v>
      </c>
      <c r="B57" s="60">
        <v>0.45</v>
      </c>
      <c r="C57" s="60">
        <v>15.76</v>
      </c>
      <c r="D57" s="60">
        <v>16.21</v>
      </c>
      <c r="E57" s="60">
        <v>2.96</v>
      </c>
      <c r="F57" s="60">
        <v>5.25</v>
      </c>
      <c r="G57" s="60">
        <v>49.36</v>
      </c>
      <c r="H57" s="60">
        <v>16.02</v>
      </c>
      <c r="I57" s="60">
        <v>2.52</v>
      </c>
      <c r="J57" s="60">
        <v>0.13</v>
      </c>
      <c r="K57" s="60">
        <v>264.01</v>
      </c>
      <c r="L57" s="60">
        <v>43.80</v>
      </c>
      <c r="M57" s="60">
        <v>53.5</v>
      </c>
      <c r="N57" s="60">
        <v>1021.20</v>
      </c>
      <c r="O57" s="60">
        <v>0</v>
      </c>
      <c r="P57" s="60">
        <v>1.98</v>
      </c>
      <c r="Q57" s="60">
        <v>9.77</v>
      </c>
      <c r="R57" s="198"/>
      <c r="S57" s="198"/>
      <c r="T57" s="198"/>
      <c r="U57" s="198"/>
    </row>
    <row r="58" spans="1:21" s="12" customFormat="1" ht="15">
      <c r="A58" s="201" t="s">
        <v>1927</v>
      </c>
      <c r="B58" s="60">
        <v>0.5</v>
      </c>
      <c r="C58" s="60">
        <v>16.45</v>
      </c>
      <c r="D58" s="60">
        <v>16.95</v>
      </c>
      <c r="E58" s="60">
        <v>2.81</v>
      </c>
      <c r="F58" s="60">
        <v>5.28</v>
      </c>
      <c r="G58" s="60">
        <v>49.36</v>
      </c>
      <c r="H58" s="60">
        <v>16.02</v>
      </c>
      <c r="I58" s="60">
        <v>2.56</v>
      </c>
      <c r="J58" s="60">
        <v>0.56999999999999995</v>
      </c>
      <c r="K58" s="60">
        <v>226.73</v>
      </c>
      <c r="L58" s="60">
        <v>44.40</v>
      </c>
      <c r="M58" s="60">
        <v>52.91</v>
      </c>
      <c r="N58" s="60">
        <v>713</v>
      </c>
      <c r="O58" s="60">
        <v>0</v>
      </c>
      <c r="P58" s="60">
        <v>2</v>
      </c>
      <c r="Q58" s="60">
        <v>9.8000000000000007</v>
      </c>
      <c r="R58" s="198"/>
      <c r="S58" s="198"/>
      <c r="T58" s="198"/>
      <c r="U58" s="198"/>
    </row>
    <row r="59" spans="1:21" s="12" customFormat="1" ht="15">
      <c r="A59" s="201" t="s">
        <v>1928</v>
      </c>
      <c r="B59" s="60">
        <v>0.61</v>
      </c>
      <c r="C59" s="60">
        <v>18.43</v>
      </c>
      <c r="D59" s="60">
        <v>19.04</v>
      </c>
      <c r="E59" s="60">
        <v>3.27</v>
      </c>
      <c r="F59" s="60">
        <v>4.55</v>
      </c>
      <c r="G59" s="60">
        <v>49.36</v>
      </c>
      <c r="H59" s="60">
        <v>16.02</v>
      </c>
      <c r="I59" s="60">
        <v>2.5299999999999998</v>
      </c>
      <c r="J59" s="60">
        <v>0.99</v>
      </c>
      <c r="K59" s="60">
        <v>213.30</v>
      </c>
      <c r="L59" s="60">
        <v>43.96</v>
      </c>
      <c r="M59" s="60">
        <v>52.51</v>
      </c>
      <c r="N59" s="60">
        <v>522.70000000000005</v>
      </c>
      <c r="O59" s="60">
        <v>0</v>
      </c>
      <c r="P59" s="60">
        <v>2.0099999999999998</v>
      </c>
      <c r="Q59" s="60">
        <v>10.11</v>
      </c>
      <c r="R59" s="198"/>
      <c r="S59" s="198"/>
      <c r="T59" s="198"/>
      <c r="U59" s="198"/>
    </row>
    <row r="60" spans="1:21" s="12" customFormat="1" ht="15">
      <c r="A60" s="201" t="s">
        <v>1929</v>
      </c>
      <c r="B60" s="60">
        <v>0.42</v>
      </c>
      <c r="C60" s="60">
        <v>17.97</v>
      </c>
      <c r="D60" s="60">
        <v>18.39</v>
      </c>
      <c r="E60" s="60">
        <v>2.81</v>
      </c>
      <c r="F60" s="60">
        <v>5.04</v>
      </c>
      <c r="G60" s="60">
        <v>44.81</v>
      </c>
      <c r="H60" s="60">
        <v>15.39</v>
      </c>
      <c r="I60" s="60">
        <v>2.54</v>
      </c>
      <c r="J60" s="60">
        <v>0.5</v>
      </c>
      <c r="K60" s="60">
        <v>243.67</v>
      </c>
      <c r="L60" s="60">
        <v>44.16</v>
      </c>
      <c r="M60" s="60">
        <v>51.81</v>
      </c>
      <c r="N60" s="60">
        <v>521.29999999999995</v>
      </c>
      <c r="O60" s="60">
        <v>0</v>
      </c>
      <c r="P60" s="60">
        <v>2</v>
      </c>
      <c r="Q60" s="60">
        <v>9.39</v>
      </c>
      <c r="R60" s="198"/>
      <c r="S60" s="198"/>
      <c r="T60" s="198"/>
      <c r="U60" s="198"/>
    </row>
    <row r="61" spans="1:21" s="12" customFormat="1" ht="15">
      <c r="A61" s="201" t="s">
        <v>1930</v>
      </c>
      <c r="B61" s="60">
        <v>0.38</v>
      </c>
      <c r="C61" s="60">
        <v>18.350000000000001</v>
      </c>
      <c r="D61" s="60">
        <v>18.73</v>
      </c>
      <c r="E61" s="60">
        <v>2.92</v>
      </c>
      <c r="F61" s="60">
        <v>5.34</v>
      </c>
      <c r="G61" s="60">
        <v>43.47</v>
      </c>
      <c r="H61" s="60">
        <v>14.93</v>
      </c>
      <c r="I61" s="60">
        <v>2.4900000000000002</v>
      </c>
      <c r="J61" s="60">
        <v>1.59</v>
      </c>
      <c r="K61" s="60">
        <v>218.53</v>
      </c>
      <c r="L61" s="60">
        <v>43.82</v>
      </c>
      <c r="M61" s="60">
        <v>51.52</v>
      </c>
      <c r="N61" s="60">
        <v>511.40</v>
      </c>
      <c r="O61" s="60">
        <v>0</v>
      </c>
      <c r="P61" s="60">
        <v>2.0099999999999998</v>
      </c>
      <c r="Q61" s="60">
        <v>8.90</v>
      </c>
      <c r="R61" s="198"/>
      <c r="S61" s="198"/>
      <c r="T61" s="198"/>
      <c r="U61" s="198"/>
    </row>
    <row r="62" spans="1:21" s="12" customFormat="1" ht="15">
      <c r="A62" s="201" t="s">
        <v>1931</v>
      </c>
      <c r="B62" s="60">
        <v>0.25</v>
      </c>
      <c r="C62" s="60">
        <v>17.72</v>
      </c>
      <c r="D62" s="60">
        <v>17.97</v>
      </c>
      <c r="E62" s="60">
        <v>2.83</v>
      </c>
      <c r="F62" s="60">
        <v>6.53</v>
      </c>
      <c r="G62" s="60">
        <v>43.47</v>
      </c>
      <c r="H62" s="60">
        <v>14.93</v>
      </c>
      <c r="I62" s="60">
        <v>2.52</v>
      </c>
      <c r="J62" s="60">
        <v>1.5</v>
      </c>
      <c r="K62" s="60">
        <v>218.44</v>
      </c>
      <c r="L62" s="60">
        <v>43.74</v>
      </c>
      <c r="M62" s="60">
        <v>49.97</v>
      </c>
      <c r="N62" s="60">
        <v>474.90</v>
      </c>
      <c r="O62" s="60">
        <v>0</v>
      </c>
      <c r="P62" s="60">
        <v>1.99</v>
      </c>
      <c r="Q62" s="60">
        <v>8.34</v>
      </c>
      <c r="R62" s="198"/>
      <c r="S62" s="198"/>
      <c r="T62" s="198"/>
      <c r="U62" s="198"/>
    </row>
    <row r="63" spans="1:21" s="12" customFormat="1" ht="15">
      <c r="A63" s="201" t="s">
        <v>1932</v>
      </c>
      <c r="B63" s="60">
        <v>0.26</v>
      </c>
      <c r="C63" s="60">
        <v>17.399999999999999</v>
      </c>
      <c r="D63" s="60">
        <v>17.66</v>
      </c>
      <c r="E63" s="60">
        <v>2.76</v>
      </c>
      <c r="F63" s="60">
        <v>7.40</v>
      </c>
      <c r="G63" s="60">
        <v>43.47</v>
      </c>
      <c r="H63" s="60">
        <v>14.93</v>
      </c>
      <c r="I63" s="60">
        <v>2.52</v>
      </c>
      <c r="J63" s="60">
        <v>0.42</v>
      </c>
      <c r="K63" s="60">
        <v>279.07</v>
      </c>
      <c r="L63" s="60">
        <v>44.43</v>
      </c>
      <c r="M63" s="60">
        <v>48.26</v>
      </c>
      <c r="N63" s="60">
        <v>887.90</v>
      </c>
      <c r="O63" s="60">
        <v>0</v>
      </c>
      <c r="P63" s="60">
        <v>1.99</v>
      </c>
      <c r="Q63" s="60">
        <v>8.52</v>
      </c>
      <c r="R63" s="198"/>
      <c r="S63" s="198"/>
      <c r="T63" s="198"/>
      <c r="U63" s="198"/>
    </row>
    <row r="64" spans="1:21" s="12" customFormat="1" ht="15">
      <c r="A64" s="201" t="s">
        <v>1933</v>
      </c>
      <c r="B64" s="60">
        <v>0.46</v>
      </c>
      <c r="C64" s="60">
        <v>18.22</v>
      </c>
      <c r="D64" s="60">
        <v>18.670000000000002</v>
      </c>
      <c r="E64" s="60">
        <v>2.4300000000000002</v>
      </c>
      <c r="F64" s="60">
        <v>7.38</v>
      </c>
      <c r="G64" s="60">
        <v>51.07</v>
      </c>
      <c r="H64" s="60">
        <v>16.82</v>
      </c>
      <c r="I64" s="60">
        <v>2.36</v>
      </c>
      <c r="J64" s="60">
        <v>2.54</v>
      </c>
      <c r="K64" s="60">
        <v>338.76</v>
      </c>
      <c r="L64" s="60">
        <v>44.39</v>
      </c>
      <c r="M64" s="60">
        <v>48.57</v>
      </c>
      <c r="N64" s="60">
        <v>485.20</v>
      </c>
      <c r="O64" s="60">
        <v>0</v>
      </c>
      <c r="P64" s="60">
        <v>1.97</v>
      </c>
      <c r="Q64" s="60">
        <v>11.43</v>
      </c>
      <c r="R64" s="198"/>
      <c r="S64" s="198"/>
      <c r="T64" s="198"/>
      <c r="U64" s="198"/>
    </row>
    <row r="65" spans="1:21" s="12" customFormat="1" ht="15">
      <c r="A65" s="201" t="s">
        <v>1934</v>
      </c>
      <c r="B65" s="60">
        <v>0.68</v>
      </c>
      <c r="C65" s="60">
        <v>18.43</v>
      </c>
      <c r="D65" s="60">
        <v>19.11</v>
      </c>
      <c r="E65" s="60">
        <v>2.23</v>
      </c>
      <c r="F65" s="60">
        <v>6.61</v>
      </c>
      <c r="G65" s="60">
        <v>53.30</v>
      </c>
      <c r="H65" s="60">
        <v>18.21</v>
      </c>
      <c r="I65" s="60">
        <v>2.2400000000000002</v>
      </c>
      <c r="J65" s="60">
        <v>5.53</v>
      </c>
      <c r="K65" s="60">
        <v>322.61</v>
      </c>
      <c r="L65" s="60">
        <v>39.090000000000003</v>
      </c>
      <c r="M65" s="60">
        <v>60.96</v>
      </c>
      <c r="N65" s="60">
        <v>199.30</v>
      </c>
      <c r="O65" s="60">
        <v>0</v>
      </c>
      <c r="P65" s="60">
        <v>1.98</v>
      </c>
      <c r="Q65" s="60">
        <v>16.37</v>
      </c>
      <c r="R65" s="198"/>
      <c r="S65" s="198"/>
      <c r="T65" s="198"/>
      <c r="U65" s="198"/>
    </row>
    <row r="66" spans="1:21" s="12" customFormat="1" ht="15">
      <c r="A66" s="201" t="s">
        <v>1935</v>
      </c>
      <c r="B66" s="60">
        <v>1.03</v>
      </c>
      <c r="C66" s="60">
        <v>18.260000000000002</v>
      </c>
      <c r="D66" s="60">
        <v>19.29</v>
      </c>
      <c r="E66" s="60">
        <v>2.89</v>
      </c>
      <c r="F66" s="60">
        <v>4.26</v>
      </c>
      <c r="G66" s="60">
        <v>53.30</v>
      </c>
      <c r="H66" s="60">
        <v>18.21</v>
      </c>
      <c r="I66" s="60">
        <v>2.19</v>
      </c>
      <c r="J66" s="60">
        <v>4.25</v>
      </c>
      <c r="K66" s="60">
        <v>324.24</v>
      </c>
      <c r="L66" s="60">
        <v>36.78</v>
      </c>
      <c r="M66" s="60">
        <v>74.400000000000006</v>
      </c>
      <c r="N66" s="60">
        <v>211</v>
      </c>
      <c r="O66" s="60">
        <v>0</v>
      </c>
      <c r="P66" s="60">
        <v>1.98</v>
      </c>
      <c r="Q66" s="60">
        <v>21.76</v>
      </c>
      <c r="R66" s="198"/>
      <c r="S66" s="198"/>
      <c r="T66" s="198"/>
      <c r="U66" s="198"/>
    </row>
    <row r="67" spans="1:21" s="12" customFormat="1" ht="15">
      <c r="A67" s="201" t="s">
        <v>1936</v>
      </c>
      <c r="B67" s="60">
        <v>1.64</v>
      </c>
      <c r="C67" s="60">
        <v>18.010000000000002</v>
      </c>
      <c r="D67" s="60">
        <v>19.649999999999999</v>
      </c>
      <c r="E67" s="60">
        <v>3.26</v>
      </c>
      <c r="F67" s="60">
        <v>3.23</v>
      </c>
      <c r="G67" s="60">
        <v>53.30</v>
      </c>
      <c r="H67" s="60">
        <v>18.21</v>
      </c>
      <c r="I67" s="60">
        <v>2.23</v>
      </c>
      <c r="J67" s="60">
        <v>3.94</v>
      </c>
      <c r="K67" s="60">
        <v>320.73</v>
      </c>
      <c r="L67" s="60">
        <v>36.270000000000003</v>
      </c>
      <c r="M67" s="60">
        <v>72.87</v>
      </c>
      <c r="N67" s="60">
        <v>158.30000000000001</v>
      </c>
      <c r="O67" s="60">
        <v>0</v>
      </c>
      <c r="P67" s="60">
        <v>1.99</v>
      </c>
      <c r="Q67" s="60">
        <v>27.76</v>
      </c>
      <c r="R67" s="198"/>
      <c r="S67" s="198"/>
      <c r="T67" s="198"/>
      <c r="U67" s="198"/>
    </row>
    <row r="68" spans="1:21" s="12" customFormat="1" ht="15">
      <c r="A68" s="201" t="s">
        <v>1937</v>
      </c>
      <c r="B68" s="60">
        <v>2.17</v>
      </c>
      <c r="C68" s="60">
        <v>18.260000000000002</v>
      </c>
      <c r="D68" s="60">
        <v>20.43</v>
      </c>
      <c r="E68" s="60">
        <v>3.39</v>
      </c>
      <c r="F68" s="60">
        <v>2.56</v>
      </c>
      <c r="G68" s="60">
        <v>69.63</v>
      </c>
      <c r="H68" s="60">
        <v>15.26</v>
      </c>
      <c r="I68" s="60">
        <v>2.3199999999999998</v>
      </c>
      <c r="J68" s="60">
        <v>3.59</v>
      </c>
      <c r="K68" s="60">
        <v>323.39</v>
      </c>
      <c r="L68" s="60">
        <v>35.04</v>
      </c>
      <c r="M68" s="60">
        <v>69.48</v>
      </c>
      <c r="N68" s="60">
        <v>135.40</v>
      </c>
      <c r="O68" s="60">
        <v>0</v>
      </c>
      <c r="P68" s="60">
        <v>2</v>
      </c>
      <c r="Q68" s="60">
        <v>32.78</v>
      </c>
      <c r="R68" s="198"/>
      <c r="S68" s="198"/>
      <c r="T68" s="198"/>
      <c r="U68" s="198"/>
    </row>
    <row r="69" spans="1:21" s="12" customFormat="1" ht="15">
      <c r="A69" s="201" t="s">
        <v>1938</v>
      </c>
      <c r="B69" s="60">
        <v>2.78</v>
      </c>
      <c r="C69" s="60">
        <v>18.77</v>
      </c>
      <c r="D69" s="60">
        <v>21.55</v>
      </c>
      <c r="E69" s="60">
        <v>3.45</v>
      </c>
      <c r="F69" s="60">
        <v>2.29</v>
      </c>
      <c r="G69" s="60">
        <v>74.34</v>
      </c>
      <c r="H69" s="60">
        <v>13.10</v>
      </c>
      <c r="I69" s="60">
        <v>2.34</v>
      </c>
      <c r="J69" s="60">
        <v>3.70</v>
      </c>
      <c r="K69" s="60">
        <v>329.29</v>
      </c>
      <c r="L69" s="60">
        <v>34.71</v>
      </c>
      <c r="M69" s="60">
        <v>69.77</v>
      </c>
      <c r="N69" s="60">
        <v>124</v>
      </c>
      <c r="O69" s="60">
        <v>0</v>
      </c>
      <c r="P69" s="60">
        <v>2.0299999999999998</v>
      </c>
      <c r="Q69" s="60">
        <v>37.49</v>
      </c>
      <c r="R69" s="198"/>
      <c r="S69" s="198"/>
      <c r="T69" s="198"/>
      <c r="U69" s="198"/>
    </row>
    <row r="70" spans="1:21" s="12" customFormat="1" ht="15">
      <c r="A70" s="201" t="s">
        <v>1939</v>
      </c>
      <c r="B70" s="60">
        <v>3.42</v>
      </c>
      <c r="C70" s="60">
        <v>19.87</v>
      </c>
      <c r="D70" s="60">
        <v>23.28</v>
      </c>
      <c r="E70" s="60">
        <v>3.52</v>
      </c>
      <c r="F70" s="60">
        <v>1.74</v>
      </c>
      <c r="G70" s="60">
        <v>74.34</v>
      </c>
      <c r="H70" s="60">
        <v>13.10</v>
      </c>
      <c r="I70" s="60">
        <v>2.46</v>
      </c>
      <c r="J70" s="60">
        <v>2.91</v>
      </c>
      <c r="K70" s="60">
        <v>339.71</v>
      </c>
      <c r="L70" s="60">
        <v>34.61</v>
      </c>
      <c r="M70" s="60">
        <v>69.91</v>
      </c>
      <c r="N70" s="60">
        <v>113.10</v>
      </c>
      <c r="O70" s="60">
        <v>0</v>
      </c>
      <c r="P70" s="60">
        <v>2.06</v>
      </c>
      <c r="Q70" s="60">
        <v>42.71</v>
      </c>
      <c r="R70" s="198"/>
      <c r="S70" s="198"/>
      <c r="T70" s="198"/>
      <c r="U70" s="198"/>
    </row>
    <row r="71" spans="1:21" s="12" customFormat="1" ht="15">
      <c r="A71" s="201" t="s">
        <v>1940</v>
      </c>
      <c r="B71" s="60">
        <v>4.37</v>
      </c>
      <c r="C71" s="60">
        <v>20.73</v>
      </c>
      <c r="D71" s="60">
        <v>25.10</v>
      </c>
      <c r="E71" s="60">
        <v>3.72</v>
      </c>
      <c r="F71" s="60">
        <v>1.1499999999999999</v>
      </c>
      <c r="G71" s="60">
        <v>74.34</v>
      </c>
      <c r="H71" s="60">
        <v>13.10</v>
      </c>
      <c r="I71" s="60">
        <v>2.61</v>
      </c>
      <c r="J71" s="60">
        <v>3.08</v>
      </c>
      <c r="K71" s="60">
        <v>343.01</v>
      </c>
      <c r="L71" s="60">
        <v>34.68</v>
      </c>
      <c r="M71" s="60">
        <v>69.239999999999995</v>
      </c>
      <c r="N71" s="60">
        <v>112.20</v>
      </c>
      <c r="O71" s="60">
        <v>0</v>
      </c>
      <c r="P71" s="60">
        <v>2.11</v>
      </c>
      <c r="Q71" s="60">
        <v>47.49</v>
      </c>
      <c r="R71" s="198"/>
      <c r="S71" s="198"/>
      <c r="T71" s="198"/>
      <c r="U71" s="198"/>
    </row>
    <row r="72" spans="1:21" s="12" customFormat="1" ht="15">
      <c r="A72" s="201" t="s">
        <v>1941</v>
      </c>
      <c r="B72" s="60">
        <v>5.34</v>
      </c>
      <c r="C72" s="60">
        <v>21.41</v>
      </c>
      <c r="D72" s="60">
        <v>26.75</v>
      </c>
      <c r="E72" s="60">
        <v>2.40</v>
      </c>
      <c r="F72" s="60">
        <v>0.85</v>
      </c>
      <c r="G72" s="60">
        <v>69.319999999999993</v>
      </c>
      <c r="H72" s="60">
        <v>14.12</v>
      </c>
      <c r="I72" s="60">
        <v>2.92</v>
      </c>
      <c r="J72" s="60">
        <v>2.67</v>
      </c>
      <c r="K72" s="60">
        <v>352.55</v>
      </c>
      <c r="L72" s="60">
        <v>34.89</v>
      </c>
      <c r="M72" s="60">
        <v>68.27</v>
      </c>
      <c r="N72" s="60">
        <v>117</v>
      </c>
      <c r="O72" s="60">
        <v>0</v>
      </c>
      <c r="P72" s="60">
        <v>2.13</v>
      </c>
      <c r="Q72" s="60">
        <v>52.23</v>
      </c>
      <c r="R72" s="198"/>
      <c r="S72" s="198"/>
      <c r="T72" s="198"/>
      <c r="U72" s="198"/>
    </row>
    <row r="73" spans="1:21" s="12" customFormat="1" ht="15">
      <c r="A73" s="201" t="s">
        <v>1942</v>
      </c>
      <c r="B73" s="60">
        <v>6.77</v>
      </c>
      <c r="C73" s="60">
        <v>22.08</v>
      </c>
      <c r="D73" s="60">
        <v>28.85</v>
      </c>
      <c r="E73" s="60">
        <v>4.37</v>
      </c>
      <c r="F73" s="60">
        <v>0.62</v>
      </c>
      <c r="G73" s="60">
        <v>67.84</v>
      </c>
      <c r="H73" s="60">
        <v>14.87</v>
      </c>
      <c r="I73" s="60">
        <v>3.08</v>
      </c>
      <c r="J73" s="60">
        <v>2.37</v>
      </c>
      <c r="K73" s="60">
        <v>348.13</v>
      </c>
      <c r="L73" s="60">
        <v>35.10</v>
      </c>
      <c r="M73" s="60">
        <v>67.31</v>
      </c>
      <c r="N73" s="60">
        <v>117</v>
      </c>
      <c r="O73" s="60">
        <v>0</v>
      </c>
      <c r="P73" s="60">
        <v>2.19</v>
      </c>
      <c r="Q73" s="60">
        <v>57.56</v>
      </c>
      <c r="R73" s="198"/>
      <c r="S73" s="198"/>
      <c r="T73" s="198"/>
      <c r="U73" s="198"/>
    </row>
    <row r="74" spans="1:21" s="12" customFormat="1" ht="15">
      <c r="A74" s="201" t="s">
        <v>1943</v>
      </c>
      <c r="B74" s="60">
        <v>8.26</v>
      </c>
      <c r="C74" s="60">
        <v>23.33</v>
      </c>
      <c r="D74" s="60">
        <v>31.60</v>
      </c>
      <c r="E74" s="60">
        <v>4.25</v>
      </c>
      <c r="F74" s="60">
        <v>0.89</v>
      </c>
      <c r="G74" s="60">
        <v>67.84</v>
      </c>
      <c r="H74" s="60">
        <v>14.87</v>
      </c>
      <c r="I74" s="60">
        <v>3.30</v>
      </c>
      <c r="J74" s="60">
        <v>2.68</v>
      </c>
      <c r="K74" s="60">
        <v>348.36</v>
      </c>
      <c r="L74" s="60">
        <v>35.159999999999997</v>
      </c>
      <c r="M74" s="60">
        <v>66.760000000000005</v>
      </c>
      <c r="N74" s="60">
        <v>114</v>
      </c>
      <c r="O74" s="60">
        <v>0</v>
      </c>
      <c r="P74" s="60">
        <v>2.2599999999999998</v>
      </c>
      <c r="Q74" s="60">
        <v>62.30</v>
      </c>
      <c r="R74" s="198"/>
      <c r="S74" s="198"/>
      <c r="T74" s="198"/>
      <c r="U74" s="198"/>
    </row>
    <row r="75" spans="1:21" s="12" customFormat="1" ht="15">
      <c r="A75" s="201" t="s">
        <v>1944</v>
      </c>
      <c r="B75" s="60">
        <v>8.84</v>
      </c>
      <c r="C75" s="60">
        <v>27.86</v>
      </c>
      <c r="D75" s="60">
        <v>36.71</v>
      </c>
      <c r="E75" s="60">
        <v>4.46</v>
      </c>
      <c r="F75" s="60">
        <v>0.85</v>
      </c>
      <c r="G75" s="60">
        <v>67.84</v>
      </c>
      <c r="H75" s="60">
        <v>14.87</v>
      </c>
      <c r="I75" s="60">
        <v>3.58</v>
      </c>
      <c r="J75" s="60">
        <v>2.94</v>
      </c>
      <c r="K75" s="60">
        <v>351.24</v>
      </c>
      <c r="L75" s="60">
        <v>35.18</v>
      </c>
      <c r="M75" s="60">
        <v>66.28</v>
      </c>
      <c r="N75" s="60">
        <v>104.90</v>
      </c>
      <c r="O75" s="60">
        <v>0</v>
      </c>
      <c r="P75" s="60">
        <v>2.35</v>
      </c>
      <c r="Q75" s="60">
        <v>61.76</v>
      </c>
      <c r="R75" s="198"/>
      <c r="S75" s="198"/>
      <c r="T75" s="198"/>
      <c r="U75" s="198"/>
    </row>
    <row r="76" spans="1:21" s="12" customFormat="1" ht="15">
      <c r="A76" s="201" t="s">
        <v>1945</v>
      </c>
      <c r="B76" s="60">
        <v>10.210000000000001</v>
      </c>
      <c r="C76" s="60">
        <v>31.37</v>
      </c>
      <c r="D76" s="60">
        <v>41.58</v>
      </c>
      <c r="E76" s="60">
        <v>3.93</v>
      </c>
      <c r="F76" s="60">
        <v>0.83</v>
      </c>
      <c r="G76" s="60">
        <v>64.19</v>
      </c>
      <c r="H76" s="60">
        <v>13.95</v>
      </c>
      <c r="I76" s="60">
        <v>3.78</v>
      </c>
      <c r="J76" s="60">
        <v>2.78</v>
      </c>
      <c r="K76" s="60">
        <v>356.24</v>
      </c>
      <c r="L76" s="60">
        <v>35.36</v>
      </c>
      <c r="M76" s="60">
        <v>65.849999999999994</v>
      </c>
      <c r="N76" s="60">
        <v>110.90</v>
      </c>
      <c r="O76" s="60">
        <v>0</v>
      </c>
      <c r="P76" s="60">
        <v>2.4500000000000002</v>
      </c>
      <c r="Q76" s="60">
        <v>62.22</v>
      </c>
      <c r="R76" s="198"/>
      <c r="S76" s="198"/>
      <c r="T76" s="198"/>
      <c r="U76" s="198"/>
    </row>
    <row r="77" spans="1:21" s="12" customFormat="1" ht="15">
      <c r="A77" s="201" t="s">
        <v>1946</v>
      </c>
      <c r="B77" s="60">
        <v>11.64</v>
      </c>
      <c r="C77" s="60">
        <v>32.31</v>
      </c>
      <c r="D77" s="60">
        <v>43.95</v>
      </c>
      <c r="E77" s="60">
        <v>4.4800000000000004</v>
      </c>
      <c r="F77" s="60">
        <v>0.69</v>
      </c>
      <c r="G77" s="60">
        <v>63.13</v>
      </c>
      <c r="H77" s="60">
        <v>13.28</v>
      </c>
      <c r="I77" s="60">
        <v>4.18</v>
      </c>
      <c r="J77" s="60">
        <v>2.19</v>
      </c>
      <c r="K77" s="60">
        <v>27.25</v>
      </c>
      <c r="L77" s="60">
        <v>35.31</v>
      </c>
      <c r="M77" s="60">
        <v>66.05</v>
      </c>
      <c r="N77" s="60">
        <v>111.90</v>
      </c>
      <c r="O77" s="60">
        <v>0</v>
      </c>
      <c r="P77" s="60">
        <v>2.52</v>
      </c>
      <c r="Q77" s="60">
        <v>62.28</v>
      </c>
      <c r="R77" s="198"/>
      <c r="S77" s="198"/>
      <c r="T77" s="198"/>
      <c r="U77" s="198"/>
    </row>
    <row r="78" spans="1:21" s="12" customFormat="1" ht="15">
      <c r="A78" s="201" t="s">
        <v>1947</v>
      </c>
      <c r="B78" s="60">
        <v>12.58</v>
      </c>
      <c r="C78" s="60">
        <v>30.98</v>
      </c>
      <c r="D78" s="60">
        <v>43.56</v>
      </c>
      <c r="E78" s="60">
        <v>4.6399999999999997</v>
      </c>
      <c r="F78" s="60">
        <v>0.76</v>
      </c>
      <c r="G78" s="60">
        <v>63.13</v>
      </c>
      <c r="H78" s="60">
        <v>13.28</v>
      </c>
      <c r="I78" s="60">
        <v>4.6500000000000004</v>
      </c>
      <c r="J78" s="60">
        <v>2.77</v>
      </c>
      <c r="K78" s="60">
        <v>71.61</v>
      </c>
      <c r="L78" s="60">
        <v>34.29</v>
      </c>
      <c r="M78" s="60">
        <v>69.62</v>
      </c>
      <c r="N78" s="60">
        <v>105.70</v>
      </c>
      <c r="O78" s="60">
        <v>0</v>
      </c>
      <c r="P78" s="60">
        <v>2.5299999999999998</v>
      </c>
      <c r="Q78" s="60">
        <v>60.40</v>
      </c>
      <c r="R78" s="198"/>
      <c r="S78" s="198"/>
      <c r="T78" s="198"/>
      <c r="U78" s="198"/>
    </row>
    <row r="79" spans="1:21" s="12" customFormat="1" ht="15">
      <c r="A79" s="201" t="s">
        <v>1948</v>
      </c>
      <c r="B79" s="60">
        <v>12.73</v>
      </c>
      <c r="C79" s="60">
        <v>28.77</v>
      </c>
      <c r="D79" s="60">
        <v>41.5</v>
      </c>
      <c r="E79" s="60">
        <v>5.05</v>
      </c>
      <c r="F79" s="60">
        <v>0.56000000000000005</v>
      </c>
      <c r="G79" s="60">
        <v>63.13</v>
      </c>
      <c r="H79" s="60">
        <v>13.28</v>
      </c>
      <c r="I79" s="60">
        <v>5.04</v>
      </c>
      <c r="J79" s="60">
        <v>2.16</v>
      </c>
      <c r="K79" s="60">
        <v>62.98</v>
      </c>
      <c r="L79" s="60">
        <v>33.97</v>
      </c>
      <c r="M79" s="60">
        <v>70.34</v>
      </c>
      <c r="N79" s="60">
        <v>110.30</v>
      </c>
      <c r="O79" s="60">
        <v>0</v>
      </c>
      <c r="P79" s="60">
        <v>2.5499999999999998</v>
      </c>
      <c r="Q79" s="60">
        <v>57.70</v>
      </c>
      <c r="R79" s="198"/>
      <c r="S79" s="198"/>
      <c r="T79" s="198"/>
      <c r="U79" s="198"/>
    </row>
    <row r="80" spans="1:21" s="12" customFormat="1" ht="15">
      <c r="A80" s="201" t="s">
        <v>1949</v>
      </c>
      <c r="B80" s="60">
        <v>12.62</v>
      </c>
      <c r="C80" s="60">
        <v>26.95</v>
      </c>
      <c r="D80" s="60">
        <v>39.57</v>
      </c>
      <c r="E80" s="60">
        <v>5.38</v>
      </c>
      <c r="F80" s="60">
        <v>0.38</v>
      </c>
      <c r="G80" s="60">
        <v>85.99</v>
      </c>
      <c r="H80" s="60">
        <v>21.14</v>
      </c>
      <c r="I80" s="60">
        <v>5.33</v>
      </c>
      <c r="J80" s="60">
        <v>2.73</v>
      </c>
      <c r="K80" s="60">
        <v>77.23</v>
      </c>
      <c r="L80" s="60">
        <v>33.86</v>
      </c>
      <c r="M80" s="60">
        <v>71.5</v>
      </c>
      <c r="N80" s="60">
        <v>108.70</v>
      </c>
      <c r="O80" s="60">
        <v>0</v>
      </c>
      <c r="P80" s="60">
        <v>2.56</v>
      </c>
      <c r="Q80" s="60">
        <v>54.71</v>
      </c>
      <c r="R80" s="198"/>
      <c r="S80" s="198"/>
      <c r="T80" s="198"/>
      <c r="U80" s="198"/>
    </row>
    <row r="81" spans="1:21" s="12" customFormat="1" ht="15">
      <c r="A81" s="201" t="s">
        <v>1950</v>
      </c>
      <c r="B81" s="60">
        <v>12.11</v>
      </c>
      <c r="C81" s="60">
        <v>25.07</v>
      </c>
      <c r="D81" s="60">
        <v>37.19</v>
      </c>
      <c r="E81" s="60">
        <v>6.09</v>
      </c>
      <c r="F81" s="60">
        <v>0.56999999999999995</v>
      </c>
      <c r="G81" s="60">
        <v>98.23</v>
      </c>
      <c r="H81" s="60">
        <v>26.62</v>
      </c>
      <c r="I81" s="60">
        <v>5.44</v>
      </c>
      <c r="J81" s="60">
        <v>3.44</v>
      </c>
      <c r="K81" s="60">
        <v>96.02</v>
      </c>
      <c r="L81" s="60">
        <v>33.69</v>
      </c>
      <c r="M81" s="60">
        <v>73.69</v>
      </c>
      <c r="N81" s="60">
        <v>101.60</v>
      </c>
      <c r="O81" s="60">
        <v>0</v>
      </c>
      <c r="P81" s="60">
        <v>2.5499999999999998</v>
      </c>
      <c r="Q81" s="60">
        <v>51.74</v>
      </c>
      <c r="R81" s="198"/>
      <c r="S81" s="198"/>
      <c r="T81" s="198"/>
      <c r="U81" s="198"/>
    </row>
    <row r="82" spans="1:21" s="12" customFormat="1" ht="15">
      <c r="A82" s="201" t="s">
        <v>1951</v>
      </c>
      <c r="B82" s="60">
        <v>11.18</v>
      </c>
      <c r="C82" s="60">
        <v>23.58</v>
      </c>
      <c r="D82" s="60">
        <v>34.76</v>
      </c>
      <c r="E82" s="60">
        <v>6.12</v>
      </c>
      <c r="F82" s="60">
        <v>0.77</v>
      </c>
      <c r="G82" s="60">
        <v>98.23</v>
      </c>
      <c r="H82" s="60">
        <v>26.62</v>
      </c>
      <c r="I82" s="60">
        <v>5.52</v>
      </c>
      <c r="J82" s="60">
        <v>3.05</v>
      </c>
      <c r="K82" s="60">
        <v>84.12</v>
      </c>
      <c r="L82" s="60">
        <v>33.46</v>
      </c>
      <c r="M82" s="60">
        <v>74.930000000000007</v>
      </c>
      <c r="N82" s="60">
        <v>98</v>
      </c>
      <c r="O82" s="60">
        <v>0</v>
      </c>
      <c r="P82" s="60">
        <v>2.5299999999999998</v>
      </c>
      <c r="Q82" s="60">
        <v>48.44</v>
      </c>
      <c r="R82" s="198"/>
      <c r="S82" s="198"/>
      <c r="T82" s="198"/>
      <c r="U82" s="198"/>
    </row>
    <row r="83" spans="1:21" s="12" customFormat="1" ht="15">
      <c r="A83" s="201" t="s">
        <v>1952</v>
      </c>
      <c r="B83" s="60">
        <v>10.19</v>
      </c>
      <c r="C83" s="60">
        <v>22.49</v>
      </c>
      <c r="D83" s="60">
        <v>32.67</v>
      </c>
      <c r="E83" s="60">
        <v>6.88</v>
      </c>
      <c r="F83" s="60">
        <v>0.53</v>
      </c>
      <c r="G83" s="60">
        <v>98.23</v>
      </c>
      <c r="H83" s="60">
        <v>26.62</v>
      </c>
      <c r="I83" s="60">
        <v>5.53</v>
      </c>
      <c r="J83" s="60">
        <v>2.98</v>
      </c>
      <c r="K83" s="60">
        <v>100.39</v>
      </c>
      <c r="L83" s="60">
        <v>33.35</v>
      </c>
      <c r="M83" s="60">
        <v>76.56</v>
      </c>
      <c r="N83" s="60">
        <v>91.20</v>
      </c>
      <c r="O83" s="60">
        <v>0</v>
      </c>
      <c r="P83" s="60">
        <v>2.5099999999999998</v>
      </c>
      <c r="Q83" s="60">
        <v>45.41</v>
      </c>
      <c r="R83" s="198"/>
      <c r="S83" s="198"/>
      <c r="T83" s="198"/>
      <c r="U83" s="198"/>
    </row>
    <row r="84" spans="1:21" s="12" customFormat="1" ht="15">
      <c r="A84" s="201" t="s">
        <v>1953</v>
      </c>
      <c r="B84" s="60">
        <v>9.24</v>
      </c>
      <c r="C84" s="60">
        <v>21.95</v>
      </c>
      <c r="D84" s="60">
        <v>31.19</v>
      </c>
      <c r="E84" s="60">
        <v>7</v>
      </c>
      <c r="F84" s="60">
        <v>0.48</v>
      </c>
      <c r="G84" s="60">
        <v>96.38</v>
      </c>
      <c r="H84" s="60">
        <v>28.07</v>
      </c>
      <c r="I84" s="60">
        <v>5.47</v>
      </c>
      <c r="J84" s="60">
        <v>2.0699999999999998</v>
      </c>
      <c r="K84" s="60">
        <v>102.57</v>
      </c>
      <c r="L84" s="60">
        <v>33.15</v>
      </c>
      <c r="M84" s="60">
        <v>75.80</v>
      </c>
      <c r="N84" s="60">
        <v>91.10</v>
      </c>
      <c r="O84" s="60">
        <v>0</v>
      </c>
      <c r="P84" s="60">
        <v>2.4900000000000002</v>
      </c>
      <c r="Q84" s="60">
        <v>42.61</v>
      </c>
      <c r="R84" s="198"/>
      <c r="S84" s="198"/>
      <c r="T84" s="198"/>
      <c r="U84" s="198"/>
    </row>
    <row r="85" spans="1:21" s="12" customFormat="1" ht="15">
      <c r="A85" s="201" t="s">
        <v>1954</v>
      </c>
      <c r="B85" s="60">
        <v>7.67</v>
      </c>
      <c r="C85" s="60">
        <v>22.23</v>
      </c>
      <c r="D85" s="60">
        <v>29.90</v>
      </c>
      <c r="E85" s="60">
        <v>6.57</v>
      </c>
      <c r="F85" s="60">
        <v>0.57999999999999996</v>
      </c>
      <c r="G85" s="60">
        <v>95.83</v>
      </c>
      <c r="H85" s="60">
        <v>29.12</v>
      </c>
      <c r="I85" s="60">
        <v>5.43</v>
      </c>
      <c r="J85" s="60">
        <v>3.41</v>
      </c>
      <c r="K85" s="60">
        <v>88.55</v>
      </c>
      <c r="L85" s="60">
        <v>33.15</v>
      </c>
      <c r="M85" s="60">
        <v>74.069999999999993</v>
      </c>
      <c r="N85" s="60">
        <v>99.40</v>
      </c>
      <c r="O85" s="60">
        <v>0</v>
      </c>
      <c r="P85" s="60">
        <v>2.4500000000000002</v>
      </c>
      <c r="Q85" s="60">
        <v>40.04</v>
      </c>
      <c r="R85" s="198"/>
      <c r="S85" s="198"/>
      <c r="T85" s="198"/>
      <c r="U85" s="198"/>
    </row>
    <row r="86" spans="1:21" s="12" customFormat="1" ht="15">
      <c r="A86" s="201" t="s">
        <v>1955</v>
      </c>
      <c r="B86" s="60">
        <v>5.98</v>
      </c>
      <c r="C86" s="60">
        <v>22.19</v>
      </c>
      <c r="D86" s="60">
        <v>28.17</v>
      </c>
      <c r="E86" s="60">
        <v>6.49</v>
      </c>
      <c r="F86" s="60">
        <v>0.74</v>
      </c>
      <c r="G86" s="60">
        <v>95.83</v>
      </c>
      <c r="H86" s="60">
        <v>29.12</v>
      </c>
      <c r="I86" s="60">
        <v>5.36</v>
      </c>
      <c r="J86" s="60">
        <v>3.09</v>
      </c>
      <c r="K86" s="60">
        <v>89.20</v>
      </c>
      <c r="L86" s="60">
        <v>33.28</v>
      </c>
      <c r="M86" s="60">
        <v>73.36</v>
      </c>
      <c r="N86" s="60">
        <v>99.60</v>
      </c>
      <c r="O86" s="60">
        <v>0</v>
      </c>
      <c r="P86" s="60">
        <v>2.40</v>
      </c>
      <c r="Q86" s="60">
        <v>37.54</v>
      </c>
      <c r="R86" s="198"/>
      <c r="S86" s="198"/>
      <c r="T86" s="198"/>
      <c r="U86" s="198"/>
    </row>
    <row r="87" spans="1:21" s="12" customFormat="1" ht="15">
      <c r="A87" s="201" t="s">
        <v>1956</v>
      </c>
      <c r="B87" s="60">
        <v>4.59</v>
      </c>
      <c r="C87" s="60">
        <v>21.64</v>
      </c>
      <c r="D87" s="60">
        <v>26.22</v>
      </c>
      <c r="E87" s="60">
        <v>6.58</v>
      </c>
      <c r="F87" s="60">
        <v>0.93</v>
      </c>
      <c r="G87" s="60">
        <v>95.83</v>
      </c>
      <c r="H87" s="60">
        <v>29.12</v>
      </c>
      <c r="I87" s="60">
        <v>5.0999999999999996</v>
      </c>
      <c r="J87" s="60">
        <v>3.47</v>
      </c>
      <c r="K87" s="60">
        <v>94.18</v>
      </c>
      <c r="L87" s="60">
        <v>33.29</v>
      </c>
      <c r="M87" s="60">
        <v>73.98</v>
      </c>
      <c r="N87" s="60">
        <v>95.5</v>
      </c>
      <c r="O87" s="60">
        <v>0</v>
      </c>
      <c r="P87" s="60">
        <v>2.35</v>
      </c>
      <c r="Q87" s="60">
        <v>35.68</v>
      </c>
      <c r="R87" s="198"/>
      <c r="S87" s="198"/>
      <c r="T87" s="198"/>
      <c r="U87" s="198"/>
    </row>
    <row r="88" spans="1:21" s="12" customFormat="1" ht="15">
      <c r="A88" s="201" t="s">
        <v>1957</v>
      </c>
      <c r="B88" s="60">
        <v>3.53</v>
      </c>
      <c r="C88" s="60">
        <v>21.17</v>
      </c>
      <c r="D88" s="60">
        <v>24.70</v>
      </c>
      <c r="E88" s="60">
        <v>2.0699999999999998</v>
      </c>
      <c r="F88" s="60">
        <v>0.92</v>
      </c>
      <c r="G88" s="60">
        <v>80.95</v>
      </c>
      <c r="H88" s="60">
        <v>27.26</v>
      </c>
      <c r="I88" s="60">
        <v>4.87</v>
      </c>
      <c r="J88" s="60">
        <v>2.92</v>
      </c>
      <c r="K88" s="60">
        <v>99.73</v>
      </c>
      <c r="L88" s="60">
        <v>33.270000000000003</v>
      </c>
      <c r="M88" s="60">
        <v>75.03</v>
      </c>
      <c r="N88" s="60">
        <v>102.10</v>
      </c>
      <c r="O88" s="60">
        <v>0</v>
      </c>
      <c r="P88" s="60">
        <v>2.31</v>
      </c>
      <c r="Q88" s="60">
        <v>33.840000000000003</v>
      </c>
      <c r="R88" s="198"/>
      <c r="S88" s="198"/>
      <c r="T88" s="198"/>
      <c r="U88" s="198"/>
    </row>
    <row r="89" spans="1:21" s="12" customFormat="1" ht="15">
      <c r="A89" s="201" t="s">
        <v>1958</v>
      </c>
      <c r="B89" s="60">
        <v>2.79</v>
      </c>
      <c r="C89" s="60">
        <v>21.02</v>
      </c>
      <c r="D89" s="60">
        <v>23.81</v>
      </c>
      <c r="E89" s="60">
        <v>5.07</v>
      </c>
      <c r="F89" s="60">
        <v>1.05</v>
      </c>
      <c r="G89" s="60">
        <v>76.569999999999993</v>
      </c>
      <c r="H89" s="60">
        <v>25.96</v>
      </c>
      <c r="I89" s="60">
        <v>4.6900000000000004</v>
      </c>
      <c r="J89" s="60">
        <v>3.45</v>
      </c>
      <c r="K89" s="60">
        <v>94.35</v>
      </c>
      <c r="L89" s="60">
        <v>33.159999999999997</v>
      </c>
      <c r="M89" s="60">
        <v>75.290000000000006</v>
      </c>
      <c r="N89" s="60">
        <v>101.60</v>
      </c>
      <c r="O89" s="60">
        <v>0</v>
      </c>
      <c r="P89" s="60">
        <v>2.2799999999999998</v>
      </c>
      <c r="Q89" s="60">
        <v>31.73</v>
      </c>
      <c r="R89" s="198"/>
      <c r="S89" s="198"/>
      <c r="T89" s="198"/>
      <c r="U89" s="198"/>
    </row>
    <row r="90" spans="1:21" s="12" customFormat="1" ht="15">
      <c r="A90" s="201" t="s">
        <v>1959</v>
      </c>
      <c r="B90" s="60">
        <v>2.40</v>
      </c>
      <c r="C90" s="60">
        <v>20.39</v>
      </c>
      <c r="D90" s="60">
        <v>22.78</v>
      </c>
      <c r="E90" s="60">
        <v>5.16</v>
      </c>
      <c r="F90" s="60">
        <v>1.38</v>
      </c>
      <c r="G90" s="60">
        <v>76.569999999999993</v>
      </c>
      <c r="H90" s="60">
        <v>25.96</v>
      </c>
      <c r="I90" s="60">
        <v>4.5</v>
      </c>
      <c r="J90" s="60">
        <v>3.67</v>
      </c>
      <c r="K90" s="60">
        <v>88.36</v>
      </c>
      <c r="L90" s="60">
        <v>33.119999999999997</v>
      </c>
      <c r="M90" s="60">
        <v>75.44</v>
      </c>
      <c r="N90" s="60">
        <v>103.10</v>
      </c>
      <c r="O90" s="60">
        <v>0</v>
      </c>
      <c r="P90" s="60">
        <v>2.25</v>
      </c>
      <c r="Q90" s="60">
        <v>29.81</v>
      </c>
      <c r="R90" s="198"/>
      <c r="S90" s="198"/>
      <c r="T90" s="198"/>
      <c r="U90" s="198"/>
    </row>
    <row r="91" spans="1:21" s="12" customFormat="1" ht="15">
      <c r="A91" s="201" t="s">
        <v>1960</v>
      </c>
      <c r="B91" s="60">
        <v>1.90</v>
      </c>
      <c r="C91" s="60">
        <v>19.45</v>
      </c>
      <c r="D91" s="60">
        <v>21.36</v>
      </c>
      <c r="E91" s="60">
        <v>5.15</v>
      </c>
      <c r="F91" s="60">
        <v>1.1299999999999999</v>
      </c>
      <c r="G91" s="60">
        <v>76.569999999999993</v>
      </c>
      <c r="H91" s="60">
        <v>25.96</v>
      </c>
      <c r="I91" s="60">
        <v>4.38</v>
      </c>
      <c r="J91" s="60">
        <v>3.19</v>
      </c>
      <c r="K91" s="60">
        <v>95.17</v>
      </c>
      <c r="L91" s="60">
        <v>34.46</v>
      </c>
      <c r="M91" s="60">
        <v>75.290000000000006</v>
      </c>
      <c r="N91" s="60">
        <v>105.60</v>
      </c>
      <c r="O91" s="60">
        <v>0</v>
      </c>
      <c r="P91" s="60">
        <v>2.21</v>
      </c>
      <c r="Q91" s="60">
        <v>27.88</v>
      </c>
      <c r="R91" s="198"/>
      <c r="S91" s="198"/>
      <c r="T91" s="198"/>
      <c r="U91" s="198"/>
    </row>
    <row r="92" spans="1:21" s="12" customFormat="1" ht="15">
      <c r="A92" s="201" t="s">
        <v>1961</v>
      </c>
      <c r="B92" s="60">
        <v>1.62</v>
      </c>
      <c r="C92" s="60">
        <v>18.91</v>
      </c>
      <c r="D92" s="60">
        <v>20.52</v>
      </c>
      <c r="E92" s="60">
        <v>5.1100000000000003</v>
      </c>
      <c r="F92" s="60">
        <v>1.21</v>
      </c>
      <c r="G92" s="60">
        <v>71.260000000000005</v>
      </c>
      <c r="H92" s="60">
        <v>21.74</v>
      </c>
      <c r="I92" s="60">
        <v>4.29</v>
      </c>
      <c r="J92" s="60">
        <v>3.18</v>
      </c>
      <c r="K92" s="60">
        <v>87.56</v>
      </c>
      <c r="L92" s="60">
        <v>34.85</v>
      </c>
      <c r="M92" s="60">
        <v>73.92</v>
      </c>
      <c r="N92" s="60">
        <v>109.60</v>
      </c>
      <c r="O92" s="60">
        <v>0</v>
      </c>
      <c r="P92" s="60">
        <v>2.2000000000000002</v>
      </c>
      <c r="Q92" s="60">
        <v>26.36</v>
      </c>
      <c r="R92" s="198"/>
      <c r="S92" s="198"/>
      <c r="T92" s="198"/>
      <c r="U92" s="198"/>
    </row>
    <row r="93" spans="1:21" s="12" customFormat="1" ht="15">
      <c r="A93" s="201" t="s">
        <v>1962</v>
      </c>
      <c r="B93" s="60">
        <v>1.47</v>
      </c>
      <c r="C93" s="60">
        <v>18.850000000000001</v>
      </c>
      <c r="D93" s="60">
        <v>20.32</v>
      </c>
      <c r="E93" s="60">
        <v>4.97</v>
      </c>
      <c r="F93" s="60">
        <v>1.21</v>
      </c>
      <c r="G93" s="60">
        <v>69.73</v>
      </c>
      <c r="H93" s="60">
        <v>18.66</v>
      </c>
      <c r="I93" s="60">
        <v>4.12</v>
      </c>
      <c r="J93" s="60">
        <v>2.82</v>
      </c>
      <c r="K93" s="60">
        <v>82.66</v>
      </c>
      <c r="L93" s="60">
        <v>34.90</v>
      </c>
      <c r="M93" s="60">
        <v>74.13</v>
      </c>
      <c r="N93" s="60">
        <v>101.70</v>
      </c>
      <c r="O93" s="60">
        <v>0</v>
      </c>
      <c r="P93" s="60">
        <v>2.17</v>
      </c>
      <c r="Q93" s="60">
        <v>24.80</v>
      </c>
      <c r="R93" s="198"/>
      <c r="S93" s="198"/>
      <c r="T93" s="198"/>
      <c r="U93" s="198"/>
    </row>
    <row r="94" spans="1:21" s="12" customFormat="1" ht="15">
      <c r="A94" s="201" t="s">
        <v>1963</v>
      </c>
      <c r="B94" s="60">
        <v>1.58</v>
      </c>
      <c r="C94" s="60">
        <v>19.11</v>
      </c>
      <c r="D94" s="60">
        <v>20.69</v>
      </c>
      <c r="E94" s="60">
        <v>5.20</v>
      </c>
      <c r="F94" s="60">
        <v>1</v>
      </c>
      <c r="G94" s="60">
        <v>69.73</v>
      </c>
      <c r="H94" s="60">
        <v>18.66</v>
      </c>
      <c r="I94" s="60">
        <v>3.99</v>
      </c>
      <c r="J94" s="60">
        <v>2.71</v>
      </c>
      <c r="K94" s="60">
        <v>93.73</v>
      </c>
      <c r="L94" s="60">
        <v>34.979999999999997</v>
      </c>
      <c r="M94" s="60">
        <v>73.95</v>
      </c>
      <c r="N94" s="60">
        <v>90.80</v>
      </c>
      <c r="O94" s="60">
        <v>0</v>
      </c>
      <c r="P94" s="60">
        <v>2.15</v>
      </c>
      <c r="Q94" s="60">
        <v>23.74</v>
      </c>
      <c r="R94" s="198"/>
      <c r="S94" s="198"/>
      <c r="T94" s="198"/>
      <c r="U94" s="198"/>
    </row>
    <row r="95" spans="1:21" s="12" customFormat="1" ht="15">
      <c r="A95" s="201" t="s">
        <v>1964</v>
      </c>
      <c r="B95" s="60">
        <v>1.72</v>
      </c>
      <c r="C95" s="60">
        <v>17.91</v>
      </c>
      <c r="D95" s="60">
        <v>19.63</v>
      </c>
      <c r="E95" s="60">
        <v>5.35</v>
      </c>
      <c r="F95" s="60">
        <v>1.01</v>
      </c>
      <c r="G95" s="60">
        <v>69.73</v>
      </c>
      <c r="H95" s="60">
        <v>18.66</v>
      </c>
      <c r="I95" s="60">
        <v>3.88</v>
      </c>
      <c r="J95" s="60">
        <v>3.14</v>
      </c>
      <c r="K95" s="60">
        <v>87.23</v>
      </c>
      <c r="L95" s="60">
        <v>35.11</v>
      </c>
      <c r="M95" s="60">
        <v>73.099999999999994</v>
      </c>
      <c r="N95" s="60">
        <v>90.5</v>
      </c>
      <c r="O95" s="60">
        <v>0</v>
      </c>
      <c r="P95" s="60">
        <v>2.14</v>
      </c>
      <c r="Q95" s="60">
        <v>22.46</v>
      </c>
      <c r="R95" s="198"/>
      <c r="S95" s="198"/>
      <c r="T95" s="198"/>
      <c r="U95" s="198"/>
    </row>
    <row r="96" spans="1:26" s="12" customFormat="1" ht="15">
      <c r="A96" s="201" t="s">
        <v>1965</v>
      </c>
      <c r="B96" s="60">
        <v>1.88</v>
      </c>
      <c r="C96" s="60">
        <v>17.5</v>
      </c>
      <c r="D96" s="60">
        <v>19.39</v>
      </c>
      <c r="E96" s="60">
        <v>5.43</v>
      </c>
      <c r="F96" s="60">
        <v>0.71</v>
      </c>
      <c r="G96" s="60">
        <v>59.37</v>
      </c>
      <c r="H96" s="60">
        <v>17.559999999999999</v>
      </c>
      <c r="I96" s="60">
        <v>3.79</v>
      </c>
      <c r="J96" s="60">
        <v>2.2400000000000002</v>
      </c>
      <c r="K96" s="60">
        <v>86.40</v>
      </c>
      <c r="L96" s="60">
        <v>35.229999999999997</v>
      </c>
      <c r="M96" s="60">
        <v>72.819999999999993</v>
      </c>
      <c r="N96" s="60">
        <v>92.40</v>
      </c>
      <c r="O96" s="60">
        <v>0</v>
      </c>
      <c r="P96" s="60">
        <v>2.13</v>
      </c>
      <c r="Q96" s="60">
        <v>20.82</v>
      </c>
      <c r="R96" s="198"/>
      <c r="S96" s="198"/>
      <c r="T96" s="198"/>
      <c r="U96" s="198"/>
      <c r="Z96" s="109"/>
    </row>
    <row r="97" spans="1:21" s="12" customFormat="1" ht="15">
      <c r="A97" s="201" t="s">
        <v>1966</v>
      </c>
      <c r="B97" s="60">
        <v>2.08</v>
      </c>
      <c r="C97" s="60">
        <v>16.940000000000001</v>
      </c>
      <c r="D97" s="60">
        <v>19.02</v>
      </c>
      <c r="E97" s="60">
        <v>5.67</v>
      </c>
      <c r="F97" s="60">
        <v>0.75</v>
      </c>
      <c r="G97" s="60">
        <v>56.38</v>
      </c>
      <c r="H97" s="60">
        <v>16.79</v>
      </c>
      <c r="I97" s="60">
        <v>3.80</v>
      </c>
      <c r="J97" s="60">
        <v>0.82</v>
      </c>
      <c r="K97" s="60">
        <v>104.38</v>
      </c>
      <c r="L97" s="60">
        <v>35.33</v>
      </c>
      <c r="M97" s="60">
        <v>72.67</v>
      </c>
      <c r="N97" s="60">
        <v>98.30</v>
      </c>
      <c r="O97" s="60">
        <v>0</v>
      </c>
      <c r="P97" s="60">
        <v>2.11</v>
      </c>
      <c r="Q97" s="60">
        <v>19.5</v>
      </c>
      <c r="R97" s="198"/>
      <c r="S97" s="198"/>
      <c r="T97" s="198"/>
      <c r="U97" s="198"/>
    </row>
    <row r="98" spans="1:21" s="12" customFormat="1" ht="15">
      <c r="A98" s="201" t="s">
        <v>1967</v>
      </c>
      <c r="B98" s="60">
        <v>2.19</v>
      </c>
      <c r="C98" s="60">
        <v>16.440000000000001</v>
      </c>
      <c r="D98" s="60">
        <v>18.63</v>
      </c>
      <c r="E98" s="60">
        <v>5.67</v>
      </c>
      <c r="F98" s="60">
        <v>0.72</v>
      </c>
      <c r="G98" s="60">
        <v>56.38</v>
      </c>
      <c r="H98" s="60">
        <v>16.79</v>
      </c>
      <c r="I98" s="60">
        <v>3.83</v>
      </c>
      <c r="J98" s="60">
        <v>1.98</v>
      </c>
      <c r="K98" s="60">
        <v>89.91</v>
      </c>
      <c r="L98" s="60">
        <v>35.39</v>
      </c>
      <c r="M98" s="60">
        <v>72.62</v>
      </c>
      <c r="N98" s="60">
        <v>96.5</v>
      </c>
      <c r="O98" s="60">
        <v>0</v>
      </c>
      <c r="P98" s="60">
        <v>2.10</v>
      </c>
      <c r="Q98" s="60">
        <v>18.510000000000002</v>
      </c>
      <c r="R98" s="198"/>
      <c r="S98" s="198"/>
      <c r="T98" s="198"/>
      <c r="U98" s="198"/>
    </row>
    <row r="99" spans="1:21" s="12" customFormat="1" ht="15">
      <c r="A99" s="201" t="s">
        <v>1968</v>
      </c>
      <c r="B99" s="60">
        <v>2.2599999999999998</v>
      </c>
      <c r="C99" s="60">
        <v>16.18</v>
      </c>
      <c r="D99" s="60">
        <v>18.440000000000001</v>
      </c>
      <c r="E99" s="60">
        <v>5.89</v>
      </c>
      <c r="F99" s="60">
        <v>0.83</v>
      </c>
      <c r="G99" s="60">
        <v>56.38</v>
      </c>
      <c r="H99" s="60">
        <v>16.79</v>
      </c>
      <c r="I99" s="60">
        <v>3.79</v>
      </c>
      <c r="J99" s="60">
        <v>1.01</v>
      </c>
      <c r="K99" s="60">
        <v>131.60</v>
      </c>
      <c r="L99" s="60">
        <v>35.44</v>
      </c>
      <c r="M99" s="60">
        <v>72.760000000000005</v>
      </c>
      <c r="N99" s="60">
        <v>95.90</v>
      </c>
      <c r="O99" s="60">
        <v>0</v>
      </c>
      <c r="P99" s="60">
        <v>2.10</v>
      </c>
      <c r="Q99" s="60">
        <v>17.91</v>
      </c>
      <c r="R99" s="198"/>
      <c r="S99" s="198"/>
      <c r="T99" s="198"/>
      <c r="U99" s="198"/>
    </row>
    <row r="100" spans="1:33" s="12" customFormat="1" ht="15">
      <c r="A100" s="201" t="s">
        <v>1969</v>
      </c>
      <c r="B100" s="60">
        <v>2.31</v>
      </c>
      <c r="C100" s="60">
        <v>16.07</v>
      </c>
      <c r="D100" s="60">
        <v>18.38</v>
      </c>
      <c r="E100" s="60">
        <v>6.16</v>
      </c>
      <c r="F100" s="60">
        <v>0.56000000000000005</v>
      </c>
      <c r="G100" s="60">
        <v>41.78</v>
      </c>
      <c r="H100" s="60">
        <v>16.350000000000001</v>
      </c>
      <c r="I100" s="60">
        <v>3.74</v>
      </c>
      <c r="J100" s="60">
        <v>2.44</v>
      </c>
      <c r="K100" s="60">
        <v>168.21</v>
      </c>
      <c r="L100" s="60">
        <v>35.36</v>
      </c>
      <c r="M100" s="60">
        <v>73.89</v>
      </c>
      <c r="N100" s="60">
        <v>98.30</v>
      </c>
      <c r="O100" s="60">
        <v>0</v>
      </c>
      <c r="P100" s="60">
        <v>2.09</v>
      </c>
      <c r="Q100" s="60">
        <v>17.45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1970</v>
      </c>
      <c r="B101" s="60">
        <v>2.31</v>
      </c>
      <c r="C101" s="60">
        <v>15.82</v>
      </c>
      <c r="D101" s="60">
        <v>18.13</v>
      </c>
      <c r="E101" s="60">
        <v>6.29</v>
      </c>
      <c r="F101" s="60">
        <v>0.66</v>
      </c>
      <c r="G101" s="60">
        <v>37.57</v>
      </c>
      <c r="H101" s="60">
        <v>16.03</v>
      </c>
      <c r="I101" s="60">
        <v>3.72</v>
      </c>
      <c r="J101" s="60">
        <v>0.36</v>
      </c>
      <c r="K101" s="60">
        <v>166.04</v>
      </c>
      <c r="L101" s="60">
        <v>35.28</v>
      </c>
      <c r="M101" s="60">
        <v>74.819999999999993</v>
      </c>
      <c r="N101" s="60">
        <v>99.40</v>
      </c>
      <c r="O101" s="60">
        <v>0</v>
      </c>
      <c r="P101" s="60">
        <v>2.08</v>
      </c>
      <c r="Q101" s="60">
        <v>17.02</v>
      </c>
      <c r="R101" s="198"/>
      <c r="S101" s="198"/>
      <c r="T101" s="198"/>
      <c r="U101" s="198"/>
    </row>
    <row r="102" spans="1:21" s="12" customFormat="1" ht="15">
      <c r="A102" s="201" t="s">
        <v>1971</v>
      </c>
      <c r="B102" s="60">
        <v>2.4500000000000002</v>
      </c>
      <c r="C102" s="60">
        <v>17.36</v>
      </c>
      <c r="D102" s="60">
        <v>19.809999999999999</v>
      </c>
      <c r="E102" s="60">
        <v>6.26</v>
      </c>
      <c r="F102" s="60">
        <v>0.65</v>
      </c>
      <c r="G102" s="60">
        <v>37.57</v>
      </c>
      <c r="H102" s="60">
        <v>16.03</v>
      </c>
      <c r="I102" s="60">
        <v>3.73</v>
      </c>
      <c r="J102" s="60">
        <v>2.25</v>
      </c>
      <c r="K102" s="60">
        <v>148.08000000000001</v>
      </c>
      <c r="L102" s="60">
        <v>35.229999999999997</v>
      </c>
      <c r="M102" s="60">
        <v>75.45</v>
      </c>
      <c r="N102" s="60">
        <v>106.70</v>
      </c>
      <c r="O102" s="60">
        <v>0</v>
      </c>
      <c r="P102" s="60">
        <v>2.0699999999999998</v>
      </c>
      <c r="Q102" s="60">
        <v>17.36</v>
      </c>
      <c r="R102" s="198"/>
      <c r="S102" s="198"/>
      <c r="T102" s="198"/>
      <c r="U102" s="198"/>
    </row>
    <row r="103" spans="1:21" s="12" customFormat="1" ht="15">
      <c r="A103" s="201" t="s">
        <v>1972</v>
      </c>
      <c r="B103" s="60">
        <v>2.2599999999999998</v>
      </c>
      <c r="C103" s="60">
        <v>17.190000000000001</v>
      </c>
      <c r="D103" s="60">
        <v>19.440000000000001</v>
      </c>
      <c r="E103" s="60">
        <v>5.76</v>
      </c>
      <c r="F103" s="60">
        <v>1.01</v>
      </c>
      <c r="G103" s="60">
        <v>37.57</v>
      </c>
      <c r="H103" s="60">
        <v>16.03</v>
      </c>
      <c r="I103" s="60">
        <v>3.71</v>
      </c>
      <c r="J103" s="60">
        <v>2.82</v>
      </c>
      <c r="K103" s="60">
        <v>156.11000000000001</v>
      </c>
      <c r="L103" s="60">
        <v>35.19</v>
      </c>
      <c r="M103" s="60">
        <v>76.30</v>
      </c>
      <c r="N103" s="60">
        <v>112.80</v>
      </c>
      <c r="O103" s="60">
        <v>0</v>
      </c>
      <c r="P103" s="60">
        <v>2.0699999999999998</v>
      </c>
      <c r="Q103" s="60">
        <v>17.690000000000001</v>
      </c>
      <c r="R103" s="198"/>
      <c r="S103" s="198"/>
      <c r="T103" s="198"/>
      <c r="U103" s="198"/>
    </row>
    <row r="104" spans="1:21" s="12" customFormat="1" ht="15">
      <c r="A104" s="201" t="s">
        <v>1973</v>
      </c>
      <c r="B104" s="60">
        <v>1.90</v>
      </c>
      <c r="C104" s="60">
        <v>16.88</v>
      </c>
      <c r="D104" s="60">
        <v>18.79</v>
      </c>
      <c r="E104" s="60">
        <v>3.97</v>
      </c>
      <c r="F104" s="60">
        <v>0.96</v>
      </c>
      <c r="G104" s="60">
        <v>38.81</v>
      </c>
      <c r="H104" s="60">
        <v>15.58</v>
      </c>
      <c r="I104" s="60">
        <v>3.68</v>
      </c>
      <c r="J104" s="60">
        <v>2.2599999999999998</v>
      </c>
      <c r="K104" s="60">
        <v>180.05</v>
      </c>
      <c r="L104" s="60">
        <v>35.020000000000003</v>
      </c>
      <c r="M104" s="60">
        <v>78.16</v>
      </c>
      <c r="N104" s="60">
        <v>116.90</v>
      </c>
      <c r="O104" s="60">
        <v>0</v>
      </c>
      <c r="P104" s="60">
        <v>2.0499999999999998</v>
      </c>
      <c r="Q104" s="60">
        <v>18.07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0.22</v>
      </c>
      <c r="C106" s="67">
        <f>MIN(C9:C104)</f>
        <v>13.98</v>
      </c>
      <c r="D106" s="67">
        <f t="shared" si="0" ref="D106:Q106">MIN(D9:D104)</f>
        <v>14.720000000000001</v>
      </c>
      <c r="E106" s="67">
        <f t="shared" si="0"/>
        <v>1.8200000000000001</v>
      </c>
      <c r="F106" s="67">
        <f t="shared" si="0"/>
        <v>0.38</v>
      </c>
      <c r="G106" s="67">
        <f t="shared" si="0"/>
        <v>21.219999999999999</v>
      </c>
      <c r="H106" s="67">
        <f t="shared" si="0"/>
        <v>8.7599999999999998</v>
      </c>
      <c r="I106" s="67">
        <f t="shared" si="0"/>
        <v>2.1899999999999999</v>
      </c>
      <c r="J106" s="67">
        <f t="shared" si="0"/>
        <v>0.13</v>
      </c>
      <c r="K106" s="67">
        <f t="shared" si="0"/>
        <v>27.25</v>
      </c>
      <c r="L106" s="67">
        <f t="shared" si="0"/>
        <v>31.390000000000001</v>
      </c>
      <c r="M106" s="67">
        <f t="shared" si="0"/>
        <v>48.259999999999998</v>
      </c>
      <c r="N106" s="67">
        <f t="shared" si="0"/>
        <v>90.5</v>
      </c>
      <c r="O106" s="67">
        <f t="shared" si="0"/>
        <v>0</v>
      </c>
      <c r="P106" s="67">
        <f t="shared" si="0"/>
        <v>1.9099999999999999</v>
      </c>
      <c r="Q106" s="67">
        <f t="shared" si="0"/>
        <v>8.3399999999999999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12.73</v>
      </c>
      <c r="C107" s="66">
        <f t="shared" si="1" ref="C107:Q107">MAX(C9:C104)</f>
        <v>32.310000000000002</v>
      </c>
      <c r="D107" s="66">
        <f t="shared" si="1"/>
        <v>43.950000000000003</v>
      </c>
      <c r="E107" s="66">
        <f t="shared" si="1"/>
        <v>7.7599999999999998</v>
      </c>
      <c r="F107" s="66">
        <f t="shared" si="1"/>
        <v>7.4000000000000004</v>
      </c>
      <c r="G107" s="66">
        <f t="shared" si="1"/>
        <v>98.230000000000004</v>
      </c>
      <c r="H107" s="66">
        <f t="shared" si="1"/>
        <v>29.120000000000001</v>
      </c>
      <c r="I107" s="66">
        <f t="shared" si="1"/>
        <v>5.5300000000000002</v>
      </c>
      <c r="J107" s="66">
        <f t="shared" si="1"/>
        <v>5.5300000000000002</v>
      </c>
      <c r="K107" s="66">
        <f t="shared" si="1"/>
        <v>356.24000000000001</v>
      </c>
      <c r="L107" s="66">
        <f t="shared" si="1"/>
        <v>44.43</v>
      </c>
      <c r="M107" s="66">
        <f t="shared" si="1"/>
        <v>82.519999999999996</v>
      </c>
      <c r="N107" s="66">
        <f t="shared" si="1"/>
        <v>1152.4000000000001</v>
      </c>
      <c r="O107" s="66">
        <f t="shared" si="1"/>
        <v>0</v>
      </c>
      <c r="P107" s="66">
        <f t="shared" si="1"/>
        <v>2.5600000000000001</v>
      </c>
      <c r="Q107" s="66">
        <f t="shared" si="1"/>
        <v>62.299999999999997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2.738645833333333</v>
      </c>
      <c r="C108" s="67">
        <f t="shared" si="2" ref="C108:Q108">AVERAGE(C9:C104)</f>
        <v>18.342708333333331</v>
      </c>
      <c r="D108" s="67">
        <f t="shared" si="2"/>
        <v>21.081458333333341</v>
      </c>
      <c r="E108" s="67">
        <f t="shared" si="2"/>
        <v>5.2863541666666665</v>
      </c>
      <c r="F108" s="67">
        <f t="shared" si="2"/>
        <v>2.0264583333333337</v>
      </c>
      <c r="G108" s="67">
        <f t="shared" si="2"/>
        <v>49.197708333333338</v>
      </c>
      <c r="H108" s="67">
        <f t="shared" si="2"/>
        <v>15.55572916666666</v>
      </c>
      <c r="I108" s="67">
        <f t="shared" si="2"/>
        <v>3.610833333333336</v>
      </c>
      <c r="J108" s="67">
        <f t="shared" si="2"/>
        <v>2.0864583333333329</v>
      </c>
      <c r="K108" s="67">
        <f t="shared" si="2"/>
        <v>193.07489583333336</v>
      </c>
      <c r="L108" s="67">
        <f t="shared" si="2"/>
        <v>35.493437500000006</v>
      </c>
      <c r="M108" s="67">
        <f t="shared" si="2"/>
        <v>70.419791666666669</v>
      </c>
      <c r="N108" s="67">
        <f t="shared" si="2"/>
        <v>312.87916666666678</v>
      </c>
      <c r="O108" s="67">
        <f t="shared" si="2"/>
        <v>0</v>
      </c>
      <c r="P108" s="67">
        <f t="shared" si="2"/>
        <v>2.1213541666666669</v>
      </c>
      <c r="Q108" s="67">
        <f t="shared" si="2"/>
        <v>20.940833333333334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3.267552961691079</v>
      </c>
      <c r="C109" s="67">
        <f t="shared" si="3" ref="C109:Q109">STDEV(C9:C104)</f>
        <v>3.7714184066801364</v>
      </c>
      <c r="D109" s="67">
        <f t="shared" si="3"/>
        <v>6.8653304408020617</v>
      </c>
      <c r="E109" s="67">
        <f t="shared" si="3"/>
        <v>1.5467576408608474</v>
      </c>
      <c r="F109" s="67">
        <f t="shared" si="3"/>
        <v>1.7263347111981835</v>
      </c>
      <c r="G109" s="67">
        <f t="shared" si="3"/>
        <v>21.548755268932563</v>
      </c>
      <c r="H109" s="67">
        <f t="shared" si="3"/>
        <v>5.197648201941</v>
      </c>
      <c r="I109" s="67">
        <f t="shared" si="3"/>
        <v>0.89035612823617194</v>
      </c>
      <c r="J109" s="67">
        <f t="shared" si="3"/>
        <v>1.0744290813623747</v>
      </c>
      <c r="K109" s="67">
        <f t="shared" si="3"/>
        <v>88.825351407245421</v>
      </c>
      <c r="L109" s="67">
        <f t="shared" si="3"/>
        <v>3.6799204305256161</v>
      </c>
      <c r="M109" s="67">
        <f t="shared" si="3"/>
        <v>9.2211482307238448</v>
      </c>
      <c r="N109" s="67">
        <f t="shared" si="3"/>
        <v>312.85011676744415</v>
      </c>
      <c r="O109" s="67">
        <f t="shared" si="3"/>
        <v>0</v>
      </c>
      <c r="P109" s="67">
        <f t="shared" si="3"/>
        <v>0.17153560190030015</v>
      </c>
      <c r="Q109" s="67">
        <f t="shared" si="3"/>
        <v>16.415371016642762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13fa8a-0340-4a44-9ecf-8c7ca9590c3f}">
  <sheetPr codeName=""/>
  <dimension ref="A1:AG117"/>
  <sheetViews>
    <sheetView workbookViewId="0" topLeftCell="A1">
      <pane xSplit="1" ySplit="8" topLeftCell="B9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K110" sqref="K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19-06-2022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1975</v>
      </c>
      <c r="B9" s="60">
        <v>1.68</v>
      </c>
      <c r="C9" s="60">
        <v>16.62</v>
      </c>
      <c r="D9" s="60">
        <v>18.30</v>
      </c>
      <c r="E9" s="60">
        <v>6.61</v>
      </c>
      <c r="F9" s="60">
        <v>0.72</v>
      </c>
      <c r="G9" s="60">
        <v>39.44</v>
      </c>
      <c r="H9" s="60">
        <v>15.26</v>
      </c>
      <c r="I9" s="60">
        <v>3.57</v>
      </c>
      <c r="J9" s="60">
        <v>0.60</v>
      </c>
      <c r="K9" s="60">
        <v>200.38</v>
      </c>
      <c r="L9" s="60">
        <v>34.83</v>
      </c>
      <c r="M9" s="60">
        <v>80.37</v>
      </c>
      <c r="N9" s="60">
        <v>112.5</v>
      </c>
      <c r="O9" s="60">
        <v>0</v>
      </c>
      <c r="P9" s="60">
        <v>2.0299999999999998</v>
      </c>
      <c r="Q9" s="60">
        <v>18</v>
      </c>
      <c r="R9" s="198"/>
      <c r="S9" s="198"/>
      <c r="T9" s="198"/>
      <c r="U9" s="198"/>
    </row>
    <row r="10" spans="1:21" s="12" customFormat="1" ht="15">
      <c r="A10" s="201" t="s">
        <v>1976</v>
      </c>
      <c r="B10" s="60">
        <v>1.48</v>
      </c>
      <c r="C10" s="60">
        <v>16.20</v>
      </c>
      <c r="D10" s="60">
        <v>17.68</v>
      </c>
      <c r="E10" s="60">
        <v>6.26</v>
      </c>
      <c r="F10" s="60">
        <v>0.96</v>
      </c>
      <c r="G10" s="60">
        <v>39.44</v>
      </c>
      <c r="H10" s="60">
        <v>15.26</v>
      </c>
      <c r="I10" s="60">
        <v>3.48</v>
      </c>
      <c r="J10" s="60">
        <v>2.46</v>
      </c>
      <c r="K10" s="60">
        <v>321.77999999999997</v>
      </c>
      <c r="L10" s="60">
        <v>34.93</v>
      </c>
      <c r="M10" s="60">
        <v>77.569999999999993</v>
      </c>
      <c r="N10" s="60">
        <v>111.20</v>
      </c>
      <c r="O10" s="60">
        <v>0</v>
      </c>
      <c r="P10" s="60">
        <v>2.0299999999999998</v>
      </c>
      <c r="Q10" s="60">
        <v>17.80</v>
      </c>
      <c r="R10" s="198"/>
      <c r="S10" s="198"/>
      <c r="T10" s="198"/>
      <c r="U10" s="198"/>
    </row>
    <row r="11" spans="1:21" s="12" customFormat="1" ht="15">
      <c r="A11" s="201" t="s">
        <v>1977</v>
      </c>
      <c r="B11" s="60">
        <v>1.29</v>
      </c>
      <c r="C11" s="60">
        <v>16.64</v>
      </c>
      <c r="D11" s="60">
        <v>17.93</v>
      </c>
      <c r="E11" s="60">
        <v>6.28</v>
      </c>
      <c r="F11" s="60">
        <v>1.04</v>
      </c>
      <c r="G11" s="60">
        <v>39.44</v>
      </c>
      <c r="H11" s="60">
        <v>15.26</v>
      </c>
      <c r="I11" s="60">
        <v>3.42</v>
      </c>
      <c r="J11" s="60">
        <v>1.78</v>
      </c>
      <c r="K11" s="60">
        <v>305.14</v>
      </c>
      <c r="L11" s="60">
        <v>35.01</v>
      </c>
      <c r="M11" s="60">
        <v>76.099999999999994</v>
      </c>
      <c r="N11" s="60">
        <v>112.60</v>
      </c>
      <c r="O11" s="60">
        <v>0</v>
      </c>
      <c r="P11" s="60">
        <v>2.0299999999999998</v>
      </c>
      <c r="Q11" s="60">
        <v>17.66</v>
      </c>
      <c r="R11" s="198"/>
      <c r="S11" s="198"/>
      <c r="T11" s="198"/>
      <c r="U11" s="198"/>
    </row>
    <row r="12" spans="1:21" s="12" customFormat="1" ht="15">
      <c r="A12" s="201" t="s">
        <v>1978</v>
      </c>
      <c r="B12" s="60">
        <v>1.27</v>
      </c>
      <c r="C12" s="60">
        <v>17.02</v>
      </c>
      <c r="D12" s="60">
        <v>18.29</v>
      </c>
      <c r="E12" s="60">
        <v>6.19</v>
      </c>
      <c r="F12" s="60">
        <v>0.92</v>
      </c>
      <c r="G12" s="60">
        <v>37.159999999999997</v>
      </c>
      <c r="H12" s="60">
        <v>13.75</v>
      </c>
      <c r="I12" s="60">
        <v>3.34</v>
      </c>
      <c r="J12" s="60">
        <v>0.17</v>
      </c>
      <c r="K12" s="60">
        <v>2.12</v>
      </c>
      <c r="L12" s="60">
        <v>35.07</v>
      </c>
      <c r="M12" s="60">
        <v>74.17</v>
      </c>
      <c r="N12" s="60">
        <v>120.20</v>
      </c>
      <c r="O12" s="60">
        <v>0</v>
      </c>
      <c r="P12" s="60">
        <v>2.04</v>
      </c>
      <c r="Q12" s="60">
        <v>17.440000000000001</v>
      </c>
      <c r="R12" s="198"/>
      <c r="S12" s="198"/>
      <c r="T12" s="198"/>
      <c r="U12" s="198"/>
    </row>
    <row r="13" spans="1:21" s="12" customFormat="1" ht="15">
      <c r="A13" s="201" t="s">
        <v>1979</v>
      </c>
      <c r="B13" s="60">
        <v>1.37</v>
      </c>
      <c r="C13" s="60">
        <v>17.239999999999998</v>
      </c>
      <c r="D13" s="60">
        <v>18.61</v>
      </c>
      <c r="E13" s="60">
        <v>6.28</v>
      </c>
      <c r="F13" s="60">
        <v>0.81</v>
      </c>
      <c r="G13" s="60">
        <v>36.5</v>
      </c>
      <c r="H13" s="60">
        <v>12.65</v>
      </c>
      <c r="I13" s="60">
        <v>3.37</v>
      </c>
      <c r="J13" s="60">
        <v>1.85</v>
      </c>
      <c r="K13" s="60">
        <v>351.74</v>
      </c>
      <c r="L13" s="60">
        <v>34.799999999999997</v>
      </c>
      <c r="M13" s="60">
        <v>75.14</v>
      </c>
      <c r="N13" s="60">
        <v>129.19999999999999</v>
      </c>
      <c r="O13" s="60">
        <v>0</v>
      </c>
      <c r="P13" s="60">
        <v>2.06</v>
      </c>
      <c r="Q13" s="60">
        <v>17.100000000000001</v>
      </c>
      <c r="R13" s="198"/>
      <c r="S13" s="198"/>
      <c r="T13" s="198"/>
      <c r="U13" s="198"/>
    </row>
    <row r="14" spans="1:21" s="12" customFormat="1" ht="15">
      <c r="A14" s="201" t="s">
        <v>1980</v>
      </c>
      <c r="B14" s="60">
        <v>1.39</v>
      </c>
      <c r="C14" s="60">
        <v>16.82</v>
      </c>
      <c r="D14" s="60">
        <v>18.21</v>
      </c>
      <c r="E14" s="60">
        <v>5.57</v>
      </c>
      <c r="F14" s="60">
        <v>1.37</v>
      </c>
      <c r="G14" s="60">
        <v>36.5</v>
      </c>
      <c r="H14" s="60">
        <v>12.65</v>
      </c>
      <c r="I14" s="60">
        <v>3.48</v>
      </c>
      <c r="J14" s="60">
        <v>3.14</v>
      </c>
      <c r="K14" s="60">
        <v>340.33</v>
      </c>
      <c r="L14" s="60">
        <v>34.69</v>
      </c>
      <c r="M14" s="60">
        <v>72.59</v>
      </c>
      <c r="N14" s="60">
        <v>123.80</v>
      </c>
      <c r="O14" s="60">
        <v>0</v>
      </c>
      <c r="P14" s="60">
        <v>2.0699999999999998</v>
      </c>
      <c r="Q14" s="60">
        <v>16.64</v>
      </c>
      <c r="R14" s="198"/>
      <c r="S14" s="198"/>
      <c r="T14" s="198"/>
      <c r="U14" s="198"/>
    </row>
    <row r="15" spans="1:21" s="12" customFormat="1" ht="15">
      <c r="A15" s="201" t="s">
        <v>1981</v>
      </c>
      <c r="B15" s="60">
        <v>1.17</v>
      </c>
      <c r="C15" s="60">
        <v>16.41</v>
      </c>
      <c r="D15" s="60">
        <v>17.579999999999998</v>
      </c>
      <c r="E15" s="60">
        <v>6.13</v>
      </c>
      <c r="F15" s="60">
        <v>1.64</v>
      </c>
      <c r="G15" s="60">
        <v>36.5</v>
      </c>
      <c r="H15" s="60">
        <v>12.65</v>
      </c>
      <c r="I15" s="60">
        <v>3.59</v>
      </c>
      <c r="J15" s="60">
        <v>2.5499999999999998</v>
      </c>
      <c r="K15" s="60">
        <v>340.58</v>
      </c>
      <c r="L15" s="60">
        <v>34.46</v>
      </c>
      <c r="M15" s="60">
        <v>74.84</v>
      </c>
      <c r="N15" s="60">
        <v>144.19999999999999</v>
      </c>
      <c r="O15" s="60">
        <v>0</v>
      </c>
      <c r="P15" s="60">
        <v>2.0499999999999998</v>
      </c>
      <c r="Q15" s="60">
        <v>16.13</v>
      </c>
      <c r="R15" s="198"/>
      <c r="S15" s="198"/>
      <c r="T15" s="198"/>
      <c r="U15" s="198"/>
    </row>
    <row r="16" spans="1:21" s="12" customFormat="1" ht="15">
      <c r="A16" s="201" t="s">
        <v>1982</v>
      </c>
      <c r="B16" s="60">
        <v>1.1299999999999999</v>
      </c>
      <c r="C16" s="60">
        <v>15.95</v>
      </c>
      <c r="D16" s="60">
        <v>17.07</v>
      </c>
      <c r="E16" s="60">
        <v>6.03</v>
      </c>
      <c r="F16" s="60">
        <v>1.35</v>
      </c>
      <c r="G16" s="60">
        <v>40.07</v>
      </c>
      <c r="H16" s="60">
        <v>11.04</v>
      </c>
      <c r="I16" s="60">
        <v>3.55</v>
      </c>
      <c r="J16" s="60">
        <v>1.77</v>
      </c>
      <c r="K16" s="60">
        <v>8.0299999999999994</v>
      </c>
      <c r="L16" s="60">
        <v>34.39</v>
      </c>
      <c r="M16" s="60">
        <v>76.290000000000006</v>
      </c>
      <c r="N16" s="60">
        <v>152.69999999999999</v>
      </c>
      <c r="O16" s="60">
        <v>0</v>
      </c>
      <c r="P16" s="60">
        <v>2.04</v>
      </c>
      <c r="Q16" s="60">
        <v>15.53</v>
      </c>
      <c r="R16" s="198"/>
      <c r="S16" s="198"/>
      <c r="T16" s="198"/>
      <c r="U16" s="198"/>
    </row>
    <row r="17" spans="1:21" s="12" customFormat="1" ht="15">
      <c r="A17" s="201" t="s">
        <v>1983</v>
      </c>
      <c r="B17" s="60">
        <v>1.33</v>
      </c>
      <c r="C17" s="60">
        <v>14.86</v>
      </c>
      <c r="D17" s="60">
        <v>16.18</v>
      </c>
      <c r="E17" s="60">
        <v>6.04</v>
      </c>
      <c r="F17" s="60">
        <v>0.90</v>
      </c>
      <c r="G17" s="60">
        <v>41.19</v>
      </c>
      <c r="H17" s="60">
        <v>9.86</v>
      </c>
      <c r="I17" s="60">
        <v>3.41</v>
      </c>
      <c r="J17" s="60">
        <v>1.77</v>
      </c>
      <c r="K17" s="60">
        <v>61.40</v>
      </c>
      <c r="L17" s="60">
        <v>34.340000000000003</v>
      </c>
      <c r="M17" s="60">
        <v>74.900000000000006</v>
      </c>
      <c r="N17" s="60">
        <v>141.19999999999999</v>
      </c>
      <c r="O17" s="60">
        <v>0</v>
      </c>
      <c r="P17" s="60">
        <v>2.06</v>
      </c>
      <c r="Q17" s="60">
        <v>14.59</v>
      </c>
      <c r="R17" s="198"/>
      <c r="S17" s="198"/>
      <c r="T17" s="198"/>
      <c r="U17" s="198"/>
    </row>
    <row r="18" spans="1:21" s="12" customFormat="1" ht="15">
      <c r="A18" s="201" t="s">
        <v>1984</v>
      </c>
      <c r="B18" s="60">
        <v>1.63</v>
      </c>
      <c r="C18" s="60">
        <v>14.62</v>
      </c>
      <c r="D18" s="60">
        <v>16.25</v>
      </c>
      <c r="E18" s="60">
        <v>6.68</v>
      </c>
      <c r="F18" s="60">
        <v>0.38</v>
      </c>
      <c r="G18" s="60">
        <v>41.19</v>
      </c>
      <c r="H18" s="60">
        <v>9.86</v>
      </c>
      <c r="I18" s="60">
        <v>3.37</v>
      </c>
      <c r="J18" s="60">
        <v>2.27</v>
      </c>
      <c r="K18" s="60">
        <v>92.78</v>
      </c>
      <c r="L18" s="60">
        <v>34.380000000000003</v>
      </c>
      <c r="M18" s="60">
        <v>75.45</v>
      </c>
      <c r="N18" s="60">
        <v>143.90</v>
      </c>
      <c r="O18" s="60">
        <v>0</v>
      </c>
      <c r="P18" s="60">
        <v>2.06</v>
      </c>
      <c r="Q18" s="60">
        <v>13.63</v>
      </c>
      <c r="R18" s="198"/>
      <c r="S18" s="198"/>
      <c r="T18" s="198"/>
      <c r="U18" s="198"/>
    </row>
    <row r="19" spans="1:21" s="12" customFormat="1" ht="15">
      <c r="A19" s="201" t="s">
        <v>1985</v>
      </c>
      <c r="B19" s="60">
        <v>1.94</v>
      </c>
      <c r="C19" s="60">
        <v>14.55</v>
      </c>
      <c r="D19" s="60">
        <v>16.489999999999998</v>
      </c>
      <c r="E19" s="60">
        <v>7.07</v>
      </c>
      <c r="F19" s="60">
        <v>0.55000000000000004</v>
      </c>
      <c r="G19" s="60">
        <v>41.19</v>
      </c>
      <c r="H19" s="60">
        <v>9.86</v>
      </c>
      <c r="I19" s="60">
        <v>3.49</v>
      </c>
      <c r="J19" s="60">
        <v>1.98</v>
      </c>
      <c r="K19" s="60">
        <v>76.010000000000005</v>
      </c>
      <c r="L19" s="60">
        <v>34.520000000000003</v>
      </c>
      <c r="M19" s="60">
        <v>77.37</v>
      </c>
      <c r="N19" s="60">
        <v>138.30000000000001</v>
      </c>
      <c r="O19" s="60">
        <v>0</v>
      </c>
      <c r="P19" s="60">
        <v>2.0699999999999998</v>
      </c>
      <c r="Q19" s="60">
        <v>13.17</v>
      </c>
      <c r="R19" s="198"/>
      <c r="S19" s="198"/>
      <c r="T19" s="198"/>
      <c r="U19" s="198"/>
    </row>
    <row r="20" spans="1:21" s="12" customFormat="1" ht="15">
      <c r="A20" s="201" t="s">
        <v>1986</v>
      </c>
      <c r="B20" s="60">
        <v>2.23</v>
      </c>
      <c r="C20" s="60">
        <v>14.41</v>
      </c>
      <c r="D20" s="60">
        <v>16.64</v>
      </c>
      <c r="E20" s="60">
        <v>7.42</v>
      </c>
      <c r="F20" s="60">
        <v>0.66</v>
      </c>
      <c r="G20" s="60">
        <v>43.77</v>
      </c>
      <c r="H20" s="60">
        <v>14.27</v>
      </c>
      <c r="I20" s="60">
        <v>3.57</v>
      </c>
      <c r="J20" s="60">
        <v>1.47</v>
      </c>
      <c r="K20" s="60">
        <v>66.349999999999994</v>
      </c>
      <c r="L20" s="60">
        <v>34.369999999999997</v>
      </c>
      <c r="M20" s="60">
        <v>77.73</v>
      </c>
      <c r="N20" s="60">
        <v>139.90</v>
      </c>
      <c r="O20" s="60">
        <v>0</v>
      </c>
      <c r="P20" s="60">
        <v>2.0699999999999998</v>
      </c>
      <c r="Q20" s="60">
        <v>12.87</v>
      </c>
      <c r="R20" s="198"/>
      <c r="S20" s="198"/>
      <c r="T20" s="198"/>
      <c r="U20" s="198"/>
    </row>
    <row r="21" spans="1:21" s="12" customFormat="1" ht="15">
      <c r="A21" s="201" t="s">
        <v>1987</v>
      </c>
      <c r="B21" s="60">
        <v>2.4700000000000002</v>
      </c>
      <c r="C21" s="60">
        <v>13.99</v>
      </c>
      <c r="D21" s="60">
        <v>16.46</v>
      </c>
      <c r="E21" s="60">
        <v>7.69</v>
      </c>
      <c r="F21" s="60">
        <v>0.66</v>
      </c>
      <c r="G21" s="60">
        <v>44.58</v>
      </c>
      <c r="H21" s="60">
        <v>17.489999999999998</v>
      </c>
      <c r="I21" s="60">
        <v>3.66</v>
      </c>
      <c r="J21" s="60">
        <v>1.83</v>
      </c>
      <c r="K21" s="60">
        <v>71.42</v>
      </c>
      <c r="L21" s="60">
        <v>34.25</v>
      </c>
      <c r="M21" s="60">
        <v>76.260000000000005</v>
      </c>
      <c r="N21" s="60">
        <v>116.80</v>
      </c>
      <c r="O21" s="60">
        <v>0</v>
      </c>
      <c r="P21" s="60">
        <v>2.0699999999999998</v>
      </c>
      <c r="Q21" s="60">
        <v>12.61</v>
      </c>
      <c r="R21" s="198"/>
      <c r="S21" s="198"/>
      <c r="T21" s="198"/>
      <c r="U21" s="198"/>
    </row>
    <row r="22" spans="1:21" s="12" customFormat="1" ht="15">
      <c r="A22" s="201" t="s">
        <v>1988</v>
      </c>
      <c r="B22" s="60">
        <v>2.64</v>
      </c>
      <c r="C22" s="60">
        <v>13.90</v>
      </c>
      <c r="D22" s="60">
        <v>16.54</v>
      </c>
      <c r="E22" s="60">
        <v>7.63</v>
      </c>
      <c r="F22" s="60">
        <v>0.51</v>
      </c>
      <c r="G22" s="60">
        <v>44.58</v>
      </c>
      <c r="H22" s="60">
        <v>17.489999999999998</v>
      </c>
      <c r="I22" s="60">
        <v>3.72</v>
      </c>
      <c r="J22" s="60">
        <v>1.70</v>
      </c>
      <c r="K22" s="60">
        <v>66.69</v>
      </c>
      <c r="L22" s="60">
        <v>34.380000000000003</v>
      </c>
      <c r="M22" s="60">
        <v>76.38</v>
      </c>
      <c r="N22" s="60">
        <v>109.20</v>
      </c>
      <c r="O22" s="60">
        <v>0</v>
      </c>
      <c r="P22" s="60">
        <v>2.08</v>
      </c>
      <c r="Q22" s="60">
        <v>12.62</v>
      </c>
      <c r="R22" s="198"/>
      <c r="S22" s="198"/>
      <c r="T22" s="198"/>
      <c r="U22" s="198"/>
    </row>
    <row r="23" spans="1:21" s="12" customFormat="1" ht="15">
      <c r="A23" s="201" t="s">
        <v>1989</v>
      </c>
      <c r="B23" s="60">
        <v>2.83</v>
      </c>
      <c r="C23" s="60">
        <v>14.28</v>
      </c>
      <c r="D23" s="60">
        <v>17.100000000000001</v>
      </c>
      <c r="E23" s="60">
        <v>8.07</v>
      </c>
      <c r="F23" s="60">
        <v>0.54</v>
      </c>
      <c r="G23" s="60">
        <v>44.58</v>
      </c>
      <c r="H23" s="60">
        <v>17.489999999999998</v>
      </c>
      <c r="I23" s="60">
        <v>3.76</v>
      </c>
      <c r="J23" s="60">
        <v>0.47</v>
      </c>
      <c r="K23" s="60">
        <v>280.99</v>
      </c>
      <c r="L23" s="60">
        <v>34.33</v>
      </c>
      <c r="M23" s="60">
        <v>77.459999999999994</v>
      </c>
      <c r="N23" s="60">
        <v>122.40</v>
      </c>
      <c r="O23" s="60">
        <v>0</v>
      </c>
      <c r="P23" s="60">
        <v>2.11</v>
      </c>
      <c r="Q23" s="60">
        <v>12.82</v>
      </c>
      <c r="R23" s="198"/>
      <c r="S23" s="198"/>
      <c r="T23" s="198"/>
      <c r="U23" s="198"/>
    </row>
    <row r="24" spans="1:21" s="12" customFormat="1" ht="15">
      <c r="A24" s="201" t="s">
        <v>1990</v>
      </c>
      <c r="B24" s="60">
        <v>3.05</v>
      </c>
      <c r="C24" s="60">
        <v>16.11</v>
      </c>
      <c r="D24" s="60">
        <v>19.16</v>
      </c>
      <c r="E24" s="60">
        <v>3.63</v>
      </c>
      <c r="F24" s="60">
        <v>0.47</v>
      </c>
      <c r="G24" s="60">
        <v>56.93</v>
      </c>
      <c r="H24" s="60">
        <v>18.88</v>
      </c>
      <c r="I24" s="60">
        <v>3.81</v>
      </c>
      <c r="J24" s="60">
        <v>1.71</v>
      </c>
      <c r="K24" s="60">
        <v>160.56</v>
      </c>
      <c r="L24" s="60">
        <v>34.61</v>
      </c>
      <c r="M24" s="60">
        <v>77.39</v>
      </c>
      <c r="N24" s="60">
        <v>126.80</v>
      </c>
      <c r="O24" s="60">
        <v>0</v>
      </c>
      <c r="P24" s="60">
        <v>2.16</v>
      </c>
      <c r="Q24" s="60">
        <v>13.64</v>
      </c>
      <c r="R24" s="198"/>
      <c r="S24" s="198"/>
      <c r="T24" s="198"/>
      <c r="U24" s="198"/>
    </row>
    <row r="25" spans="1:21" s="12" customFormat="1" ht="15">
      <c r="A25" s="201" t="s">
        <v>1991</v>
      </c>
      <c r="B25" s="60">
        <v>3.19</v>
      </c>
      <c r="C25" s="60">
        <v>16.77</v>
      </c>
      <c r="D25" s="60">
        <v>19.96</v>
      </c>
      <c r="E25" s="60">
        <v>7.11</v>
      </c>
      <c r="F25" s="60">
        <v>0.59</v>
      </c>
      <c r="G25" s="60">
        <v>60.57</v>
      </c>
      <c r="H25" s="60">
        <v>19.899999999999999</v>
      </c>
      <c r="I25" s="60">
        <v>3.90</v>
      </c>
      <c r="J25" s="60">
        <v>1.72</v>
      </c>
      <c r="K25" s="60">
        <v>209.43</v>
      </c>
      <c r="L25" s="60">
        <v>34.58</v>
      </c>
      <c r="M25" s="60">
        <v>77.260000000000005</v>
      </c>
      <c r="N25" s="60">
        <v>138.69999999999999</v>
      </c>
      <c r="O25" s="60">
        <v>0</v>
      </c>
      <c r="P25" s="60">
        <v>2.2000000000000002</v>
      </c>
      <c r="Q25" s="60">
        <v>14.59</v>
      </c>
      <c r="R25" s="198"/>
      <c r="S25" s="198"/>
      <c r="T25" s="198"/>
      <c r="U25" s="198"/>
    </row>
    <row r="26" spans="1:21" s="12" customFormat="1" ht="15">
      <c r="A26" s="201" t="s">
        <v>1992</v>
      </c>
      <c r="B26" s="60">
        <v>3.06</v>
      </c>
      <c r="C26" s="60">
        <v>16.68</v>
      </c>
      <c r="D26" s="60">
        <v>19.739999999999998</v>
      </c>
      <c r="E26" s="60">
        <v>7.43</v>
      </c>
      <c r="F26" s="60">
        <v>0.61</v>
      </c>
      <c r="G26" s="60">
        <v>60.57</v>
      </c>
      <c r="H26" s="60">
        <v>19.899999999999999</v>
      </c>
      <c r="I26" s="60">
        <v>3.88</v>
      </c>
      <c r="J26" s="60">
        <v>1.89</v>
      </c>
      <c r="K26" s="60">
        <v>182.15</v>
      </c>
      <c r="L26" s="60">
        <v>34.17</v>
      </c>
      <c r="M26" s="60">
        <v>78.209999999999994</v>
      </c>
      <c r="N26" s="60">
        <v>153.19999999999999</v>
      </c>
      <c r="O26" s="60">
        <v>0</v>
      </c>
      <c r="P26" s="60">
        <v>2.19</v>
      </c>
      <c r="Q26" s="60">
        <v>15.48</v>
      </c>
      <c r="R26" s="198"/>
      <c r="S26" s="198"/>
      <c r="T26" s="198"/>
      <c r="U26" s="198"/>
    </row>
    <row r="27" spans="1:21" s="12" customFormat="1" ht="15">
      <c r="A27" s="201" t="s">
        <v>1993</v>
      </c>
      <c r="B27" s="60">
        <v>2.88</v>
      </c>
      <c r="C27" s="60">
        <v>16.48</v>
      </c>
      <c r="D27" s="60">
        <v>19.36</v>
      </c>
      <c r="E27" s="60">
        <v>7.22</v>
      </c>
      <c r="F27" s="60">
        <v>0.69</v>
      </c>
      <c r="G27" s="60">
        <v>60.57</v>
      </c>
      <c r="H27" s="60">
        <v>19.899999999999999</v>
      </c>
      <c r="I27" s="60">
        <v>3.84</v>
      </c>
      <c r="J27" s="60">
        <v>2.44</v>
      </c>
      <c r="K27" s="60">
        <v>174.47</v>
      </c>
      <c r="L27" s="60">
        <v>34.26</v>
      </c>
      <c r="M27" s="60">
        <v>78.81</v>
      </c>
      <c r="N27" s="60">
        <v>146.90</v>
      </c>
      <c r="O27" s="60">
        <v>0</v>
      </c>
      <c r="P27" s="60">
        <v>2.19</v>
      </c>
      <c r="Q27" s="60">
        <v>16.260000000000002</v>
      </c>
      <c r="R27" s="198"/>
      <c r="S27" s="198"/>
      <c r="T27" s="198"/>
      <c r="U27" s="198"/>
    </row>
    <row r="28" spans="1:21" s="12" customFormat="1" ht="15">
      <c r="A28" s="201" t="s">
        <v>1994</v>
      </c>
      <c r="B28" s="60">
        <v>2.74</v>
      </c>
      <c r="C28" s="60">
        <v>16.54</v>
      </c>
      <c r="D28" s="60">
        <v>19.28</v>
      </c>
      <c r="E28" s="60">
        <v>6.94</v>
      </c>
      <c r="F28" s="60">
        <v>0.38</v>
      </c>
      <c r="G28" s="60">
        <v>58.53</v>
      </c>
      <c r="H28" s="60">
        <v>21.24</v>
      </c>
      <c r="I28" s="60">
        <v>3.80</v>
      </c>
      <c r="J28" s="60">
        <v>2.19</v>
      </c>
      <c r="K28" s="60">
        <v>185.89</v>
      </c>
      <c r="L28" s="60">
        <v>34.229999999999997</v>
      </c>
      <c r="M28" s="60">
        <v>80.489999999999995</v>
      </c>
      <c r="N28" s="60">
        <v>142.69999999999999</v>
      </c>
      <c r="O28" s="60">
        <v>0</v>
      </c>
      <c r="P28" s="60">
        <v>2.17</v>
      </c>
      <c r="Q28" s="60">
        <v>16.690000000000001</v>
      </c>
      <c r="R28" s="198"/>
      <c r="S28" s="198"/>
      <c r="T28" s="198"/>
      <c r="U28" s="198"/>
    </row>
    <row r="29" spans="1:21" s="12" customFormat="1" ht="15">
      <c r="A29" s="201" t="s">
        <v>1995</v>
      </c>
      <c r="B29" s="60">
        <v>2.78</v>
      </c>
      <c r="C29" s="60">
        <v>16.77</v>
      </c>
      <c r="D29" s="60">
        <v>19.55</v>
      </c>
      <c r="E29" s="60">
        <v>7.19</v>
      </c>
      <c r="F29" s="60">
        <v>0.35</v>
      </c>
      <c r="G29" s="60">
        <v>57.70</v>
      </c>
      <c r="H29" s="60">
        <v>22.22</v>
      </c>
      <c r="I29" s="60">
        <v>3.80</v>
      </c>
      <c r="J29" s="60">
        <v>1.43</v>
      </c>
      <c r="K29" s="60">
        <v>235.62</v>
      </c>
      <c r="L29" s="60">
        <v>34.18</v>
      </c>
      <c r="M29" s="60">
        <v>82.11</v>
      </c>
      <c r="N29" s="60">
        <v>148</v>
      </c>
      <c r="O29" s="60">
        <v>0</v>
      </c>
      <c r="P29" s="60">
        <v>2.17</v>
      </c>
      <c r="Q29" s="60">
        <v>16.579999999999998</v>
      </c>
      <c r="R29" s="198"/>
      <c r="S29" s="198"/>
      <c r="T29" s="198"/>
      <c r="U29" s="198"/>
    </row>
    <row r="30" spans="1:21" s="12" customFormat="1" ht="15">
      <c r="A30" s="201" t="s">
        <v>1996</v>
      </c>
      <c r="B30" s="60">
        <v>2.87</v>
      </c>
      <c r="C30" s="60">
        <v>16.260000000000002</v>
      </c>
      <c r="D30" s="60">
        <v>19.13</v>
      </c>
      <c r="E30" s="60">
        <v>6.73</v>
      </c>
      <c r="F30" s="60">
        <v>0.32</v>
      </c>
      <c r="G30" s="60">
        <v>57.70</v>
      </c>
      <c r="H30" s="60">
        <v>22.22</v>
      </c>
      <c r="I30" s="60">
        <v>3.82</v>
      </c>
      <c r="J30" s="60">
        <v>1.08</v>
      </c>
      <c r="K30" s="60">
        <v>203.63</v>
      </c>
      <c r="L30" s="60">
        <v>34.03</v>
      </c>
      <c r="M30" s="60">
        <v>83.55</v>
      </c>
      <c r="N30" s="60">
        <v>162.69999999999999</v>
      </c>
      <c r="O30" s="60">
        <v>0</v>
      </c>
      <c r="P30" s="60">
        <v>2.16</v>
      </c>
      <c r="Q30" s="60">
        <v>16.52</v>
      </c>
      <c r="R30" s="198"/>
      <c r="S30" s="198"/>
      <c r="T30" s="198"/>
      <c r="U30" s="198"/>
    </row>
    <row r="31" spans="1:21" s="12" customFormat="1" ht="15">
      <c r="A31" s="201" t="s">
        <v>1997</v>
      </c>
      <c r="B31" s="60">
        <v>3.13</v>
      </c>
      <c r="C31" s="60">
        <v>16.18</v>
      </c>
      <c r="D31" s="60">
        <v>19.309999999999999</v>
      </c>
      <c r="E31" s="60">
        <v>6.83</v>
      </c>
      <c r="F31" s="60">
        <v>0.33</v>
      </c>
      <c r="G31" s="60">
        <v>57.70</v>
      </c>
      <c r="H31" s="60">
        <v>22.22</v>
      </c>
      <c r="I31" s="60">
        <v>3.90</v>
      </c>
      <c r="J31" s="60">
        <v>1.05</v>
      </c>
      <c r="K31" s="60">
        <v>149.33000000000001</v>
      </c>
      <c r="L31" s="60">
        <v>34.07</v>
      </c>
      <c r="M31" s="60">
        <v>83.30</v>
      </c>
      <c r="N31" s="60">
        <v>177.20</v>
      </c>
      <c r="O31" s="60">
        <v>0</v>
      </c>
      <c r="P31" s="60">
        <v>2.16</v>
      </c>
      <c r="Q31" s="60">
        <v>16.55</v>
      </c>
      <c r="R31" s="198"/>
      <c r="S31" s="198"/>
      <c r="T31" s="198"/>
      <c r="U31" s="198"/>
    </row>
    <row r="32" spans="1:21" s="12" customFormat="1" ht="15">
      <c r="A32" s="201" t="s">
        <v>1998</v>
      </c>
      <c r="B32" s="60">
        <v>3.47</v>
      </c>
      <c r="C32" s="60">
        <v>16.29</v>
      </c>
      <c r="D32" s="60">
        <v>19.760000000000002</v>
      </c>
      <c r="E32" s="60">
        <v>6.63</v>
      </c>
      <c r="F32" s="60">
        <v>0.36</v>
      </c>
      <c r="G32" s="60">
        <v>54.46</v>
      </c>
      <c r="H32" s="60">
        <v>20.94</v>
      </c>
      <c r="I32" s="60">
        <v>4.05</v>
      </c>
      <c r="J32" s="60">
        <v>1.51</v>
      </c>
      <c r="K32" s="60">
        <v>188.78</v>
      </c>
      <c r="L32" s="60">
        <v>34.229999999999997</v>
      </c>
      <c r="M32" s="60">
        <v>82.14</v>
      </c>
      <c r="N32" s="60">
        <v>207.70</v>
      </c>
      <c r="O32" s="60">
        <v>0</v>
      </c>
      <c r="P32" s="60">
        <v>2.17</v>
      </c>
      <c r="Q32" s="60">
        <v>16.46</v>
      </c>
      <c r="R32" s="198"/>
      <c r="S32" s="198"/>
      <c r="T32" s="198"/>
      <c r="U32" s="198"/>
    </row>
    <row r="33" spans="1:21" s="12" customFormat="1" ht="15">
      <c r="A33" s="201" t="s">
        <v>1999</v>
      </c>
      <c r="B33" s="60">
        <v>3.76</v>
      </c>
      <c r="C33" s="60">
        <v>16.73</v>
      </c>
      <c r="D33" s="60">
        <v>20.49</v>
      </c>
      <c r="E33" s="60">
        <v>6.97</v>
      </c>
      <c r="F33" s="60">
        <v>0.19</v>
      </c>
      <c r="G33" s="60">
        <v>52.79</v>
      </c>
      <c r="H33" s="60">
        <v>20</v>
      </c>
      <c r="I33" s="60">
        <v>4.25</v>
      </c>
      <c r="J33" s="60">
        <v>2.76</v>
      </c>
      <c r="K33" s="60">
        <v>160.96</v>
      </c>
      <c r="L33" s="60">
        <v>34.36</v>
      </c>
      <c r="M33" s="60">
        <v>81.96</v>
      </c>
      <c r="N33" s="60">
        <v>234.20</v>
      </c>
      <c r="O33" s="60">
        <v>0</v>
      </c>
      <c r="P33" s="60">
        <v>2.19</v>
      </c>
      <c r="Q33" s="60">
        <v>16.059999999999999</v>
      </c>
      <c r="R33" s="198"/>
      <c r="S33" s="198"/>
      <c r="T33" s="198"/>
      <c r="U33" s="198"/>
    </row>
    <row r="34" spans="1:21" s="12" customFormat="1" ht="15">
      <c r="A34" s="201" t="s">
        <v>2000</v>
      </c>
      <c r="B34" s="60">
        <v>4.1500000000000004</v>
      </c>
      <c r="C34" s="60">
        <v>16.02</v>
      </c>
      <c r="D34" s="60">
        <v>20.18</v>
      </c>
      <c r="E34" s="60">
        <v>6.64</v>
      </c>
      <c r="F34" s="60">
        <v>0.56999999999999995</v>
      </c>
      <c r="G34" s="60">
        <v>52.79</v>
      </c>
      <c r="H34" s="60">
        <v>20</v>
      </c>
      <c r="I34" s="60">
        <v>4.46</v>
      </c>
      <c r="J34" s="60">
        <v>2.79</v>
      </c>
      <c r="K34" s="60">
        <v>164.92</v>
      </c>
      <c r="L34" s="60">
        <v>34.67</v>
      </c>
      <c r="M34" s="60">
        <v>81.22</v>
      </c>
      <c r="N34" s="60">
        <v>265.20</v>
      </c>
      <c r="O34" s="60">
        <v>0</v>
      </c>
      <c r="P34" s="60">
        <v>2.2000000000000002</v>
      </c>
      <c r="Q34" s="60">
        <v>15.75</v>
      </c>
      <c r="R34" s="198"/>
      <c r="S34" s="198"/>
      <c r="T34" s="198"/>
      <c r="U34" s="198"/>
    </row>
    <row r="35" spans="1:21" s="12" customFormat="1" ht="15">
      <c r="A35" s="201" t="s">
        <v>2001</v>
      </c>
      <c r="B35" s="60">
        <v>4.6399999999999997</v>
      </c>
      <c r="C35" s="60">
        <v>15.71</v>
      </c>
      <c r="D35" s="60">
        <v>20.350000000000001</v>
      </c>
      <c r="E35" s="60">
        <v>6.99</v>
      </c>
      <c r="F35" s="60">
        <v>0.56999999999999995</v>
      </c>
      <c r="G35" s="60">
        <v>52.79</v>
      </c>
      <c r="H35" s="60">
        <v>20</v>
      </c>
      <c r="I35" s="60">
        <v>4.7699999999999996</v>
      </c>
      <c r="J35" s="60">
        <v>1.57</v>
      </c>
      <c r="K35" s="60">
        <v>161.85</v>
      </c>
      <c r="L35" s="60">
        <v>35.21</v>
      </c>
      <c r="M35" s="60">
        <v>79.45</v>
      </c>
      <c r="N35" s="60">
        <v>305</v>
      </c>
      <c r="O35" s="60">
        <v>0</v>
      </c>
      <c r="P35" s="60">
        <v>2.2200000000000002</v>
      </c>
      <c r="Q35" s="60">
        <v>15.10</v>
      </c>
      <c r="R35" s="198"/>
      <c r="S35" s="198"/>
      <c r="T35" s="198"/>
      <c r="U35" s="198"/>
    </row>
    <row r="36" spans="1:21" s="12" customFormat="1" ht="15">
      <c r="A36" s="201" t="s">
        <v>2002</v>
      </c>
      <c r="B36" s="60">
        <v>5.1100000000000003</v>
      </c>
      <c r="C36" s="60">
        <v>15.97</v>
      </c>
      <c r="D36" s="60">
        <v>21.08</v>
      </c>
      <c r="E36" s="60">
        <v>7.24</v>
      </c>
      <c r="F36" s="60">
        <v>0.35</v>
      </c>
      <c r="G36" s="60">
        <v>61.57</v>
      </c>
      <c r="H36" s="60">
        <v>21.07</v>
      </c>
      <c r="I36" s="60">
        <v>5.03</v>
      </c>
      <c r="J36" s="60">
        <v>1.90</v>
      </c>
      <c r="K36" s="60">
        <v>172.94</v>
      </c>
      <c r="L36" s="60">
        <v>36</v>
      </c>
      <c r="M36" s="60">
        <v>76.260000000000005</v>
      </c>
      <c r="N36" s="60">
        <v>374.40</v>
      </c>
      <c r="O36" s="60">
        <v>0</v>
      </c>
      <c r="P36" s="60">
        <v>2.23</v>
      </c>
      <c r="Q36" s="60">
        <v>14.51</v>
      </c>
      <c r="R36" s="198"/>
      <c r="S36" s="198"/>
      <c r="T36" s="198"/>
      <c r="U36" s="198"/>
    </row>
    <row r="37" spans="1:21" s="12" customFormat="1" ht="15">
      <c r="A37" s="201" t="s">
        <v>2003</v>
      </c>
      <c r="B37" s="60">
        <v>5.71</v>
      </c>
      <c r="C37" s="60">
        <v>16.02</v>
      </c>
      <c r="D37" s="60">
        <v>21.74</v>
      </c>
      <c r="E37" s="60">
        <v>7.15</v>
      </c>
      <c r="F37" s="60">
        <v>0.54</v>
      </c>
      <c r="G37" s="60">
        <v>64.27</v>
      </c>
      <c r="H37" s="60">
        <v>21.85</v>
      </c>
      <c r="I37" s="60">
        <v>5.24</v>
      </c>
      <c r="J37" s="60">
        <v>2.63</v>
      </c>
      <c r="K37" s="60">
        <v>159.26</v>
      </c>
      <c r="L37" s="60">
        <v>36.979999999999997</v>
      </c>
      <c r="M37" s="60">
        <v>73.59</v>
      </c>
      <c r="N37" s="60">
        <v>445.10</v>
      </c>
      <c r="O37" s="60">
        <v>0</v>
      </c>
      <c r="P37" s="60">
        <v>2.2400000000000002</v>
      </c>
      <c r="Q37" s="60">
        <v>14.19</v>
      </c>
      <c r="R37" s="198"/>
      <c r="S37" s="198"/>
      <c r="T37" s="198"/>
      <c r="U37" s="198"/>
    </row>
    <row r="38" spans="1:21" s="12" customFormat="1" ht="15">
      <c r="A38" s="201" t="s">
        <v>2004</v>
      </c>
      <c r="B38" s="60">
        <v>5.97</v>
      </c>
      <c r="C38" s="60">
        <v>16.23</v>
      </c>
      <c r="D38" s="60">
        <v>22.21</v>
      </c>
      <c r="E38" s="60">
        <v>7.57</v>
      </c>
      <c r="F38" s="60">
        <v>0.56999999999999995</v>
      </c>
      <c r="G38" s="60">
        <v>64.27</v>
      </c>
      <c r="H38" s="60">
        <v>21.85</v>
      </c>
      <c r="I38" s="60">
        <v>5.40</v>
      </c>
      <c r="J38" s="60">
        <v>2.95</v>
      </c>
      <c r="K38" s="60">
        <v>170.12</v>
      </c>
      <c r="L38" s="60">
        <v>37.60</v>
      </c>
      <c r="M38" s="60">
        <v>71.88</v>
      </c>
      <c r="N38" s="60">
        <v>521.29999999999995</v>
      </c>
      <c r="O38" s="60">
        <v>0</v>
      </c>
      <c r="P38" s="60">
        <v>2.23</v>
      </c>
      <c r="Q38" s="60">
        <v>13.98</v>
      </c>
      <c r="R38" s="198"/>
      <c r="S38" s="198"/>
      <c r="T38" s="198"/>
      <c r="U38" s="198"/>
    </row>
    <row r="39" spans="1:21" s="12" customFormat="1" ht="15">
      <c r="A39" s="201" t="s">
        <v>2005</v>
      </c>
      <c r="B39" s="60">
        <v>5.60</v>
      </c>
      <c r="C39" s="60">
        <v>16.41</v>
      </c>
      <c r="D39" s="60">
        <v>22</v>
      </c>
      <c r="E39" s="60">
        <v>7.66</v>
      </c>
      <c r="F39" s="60">
        <v>0.61</v>
      </c>
      <c r="G39" s="60">
        <v>64.27</v>
      </c>
      <c r="H39" s="60">
        <v>21.85</v>
      </c>
      <c r="I39" s="60">
        <v>5.63</v>
      </c>
      <c r="J39" s="60">
        <v>2.58</v>
      </c>
      <c r="K39" s="60">
        <v>165.66</v>
      </c>
      <c r="L39" s="60">
        <v>38.270000000000003</v>
      </c>
      <c r="M39" s="60">
        <v>70.20</v>
      </c>
      <c r="N39" s="60">
        <v>608.20000000000005</v>
      </c>
      <c r="O39" s="60">
        <v>0</v>
      </c>
      <c r="P39" s="60">
        <v>2.23</v>
      </c>
      <c r="Q39" s="60">
        <v>13.66</v>
      </c>
      <c r="R39" s="198"/>
      <c r="S39" s="198"/>
      <c r="T39" s="198"/>
      <c r="U39" s="198"/>
    </row>
    <row r="40" spans="1:21" s="12" customFormat="1" ht="15">
      <c r="A40" s="201" t="s">
        <v>2006</v>
      </c>
      <c r="B40" s="60">
        <v>5.05</v>
      </c>
      <c r="C40" s="60">
        <v>16.59</v>
      </c>
      <c r="D40" s="60">
        <v>21.64</v>
      </c>
      <c r="E40" s="60">
        <v>3.51</v>
      </c>
      <c r="F40" s="60">
        <v>0.59</v>
      </c>
      <c r="G40" s="60">
        <v>57.18</v>
      </c>
      <c r="H40" s="60">
        <v>21.28</v>
      </c>
      <c r="I40" s="60">
        <v>5.68</v>
      </c>
      <c r="J40" s="60">
        <v>3.02</v>
      </c>
      <c r="K40" s="60">
        <v>172.54</v>
      </c>
      <c r="L40" s="60">
        <v>38.909999999999997</v>
      </c>
      <c r="M40" s="60">
        <v>68.36</v>
      </c>
      <c r="N40" s="60">
        <v>631.60</v>
      </c>
      <c r="O40" s="60">
        <v>0</v>
      </c>
      <c r="P40" s="60">
        <v>2.2200000000000002</v>
      </c>
      <c r="Q40" s="60">
        <v>13.34</v>
      </c>
      <c r="R40" s="198"/>
      <c r="S40" s="198"/>
      <c r="T40" s="198"/>
      <c r="U40" s="198"/>
    </row>
    <row r="41" spans="1:21" s="12" customFormat="1" ht="15">
      <c r="A41" s="201" t="s">
        <v>2007</v>
      </c>
      <c r="B41" s="60">
        <v>4.45</v>
      </c>
      <c r="C41" s="60">
        <v>17.23</v>
      </c>
      <c r="D41" s="60">
        <v>21.68</v>
      </c>
      <c r="E41" s="60">
        <v>6.16</v>
      </c>
      <c r="F41" s="60">
        <v>1.01</v>
      </c>
      <c r="G41" s="60">
        <v>54.95</v>
      </c>
      <c r="H41" s="60">
        <v>20.87</v>
      </c>
      <c r="I41" s="60">
        <v>5.65</v>
      </c>
      <c r="J41" s="60">
        <v>2.90</v>
      </c>
      <c r="K41" s="60">
        <v>179.59</v>
      </c>
      <c r="L41" s="60">
        <v>39.619999999999997</v>
      </c>
      <c r="M41" s="60">
        <v>66.569999999999993</v>
      </c>
      <c r="N41" s="60">
        <v>708.40</v>
      </c>
      <c r="O41" s="60">
        <v>0</v>
      </c>
      <c r="P41" s="60">
        <v>2.2000000000000002</v>
      </c>
      <c r="Q41" s="60">
        <v>13.18</v>
      </c>
      <c r="R41" s="198"/>
      <c r="S41" s="198"/>
      <c r="T41" s="198"/>
      <c r="U41" s="198"/>
    </row>
    <row r="42" spans="1:21" s="12" customFormat="1" ht="15">
      <c r="A42" s="201" t="s">
        <v>2008</v>
      </c>
      <c r="B42" s="60">
        <v>3.38</v>
      </c>
      <c r="C42" s="60">
        <v>18.34</v>
      </c>
      <c r="D42" s="60">
        <v>21.72</v>
      </c>
      <c r="E42" s="60">
        <v>5.93</v>
      </c>
      <c r="F42" s="60">
        <v>1.54</v>
      </c>
      <c r="G42" s="60">
        <v>54.95</v>
      </c>
      <c r="H42" s="60">
        <v>20.87</v>
      </c>
      <c r="I42" s="60">
        <v>5.56</v>
      </c>
      <c r="J42" s="60">
        <v>2.4500000000000002</v>
      </c>
      <c r="K42" s="60">
        <v>200.01</v>
      </c>
      <c r="L42" s="60">
        <v>40.68</v>
      </c>
      <c r="M42" s="60">
        <v>64.73</v>
      </c>
      <c r="N42" s="60">
        <v>684.80</v>
      </c>
      <c r="O42" s="60">
        <v>0</v>
      </c>
      <c r="P42" s="60">
        <v>2.17</v>
      </c>
      <c r="Q42" s="60">
        <v>13.51</v>
      </c>
      <c r="R42" s="198"/>
      <c r="S42" s="198"/>
      <c r="T42" s="198"/>
      <c r="U42" s="198"/>
    </row>
    <row r="43" spans="1:21" s="12" customFormat="1" ht="15">
      <c r="A43" s="201" t="s">
        <v>2009</v>
      </c>
      <c r="B43" s="60">
        <v>2.08</v>
      </c>
      <c r="C43" s="60">
        <v>18.010000000000002</v>
      </c>
      <c r="D43" s="60">
        <v>20.09</v>
      </c>
      <c r="E43" s="60">
        <v>5.55</v>
      </c>
      <c r="F43" s="60">
        <v>2.15</v>
      </c>
      <c r="G43" s="60">
        <v>54.95</v>
      </c>
      <c r="H43" s="60">
        <v>20.87</v>
      </c>
      <c r="I43" s="60">
        <v>5.36</v>
      </c>
      <c r="J43" s="60">
        <v>1.32</v>
      </c>
      <c r="K43" s="60">
        <v>216.47</v>
      </c>
      <c r="L43" s="60">
        <v>40.81</v>
      </c>
      <c r="M43" s="60">
        <v>65.61</v>
      </c>
      <c r="N43" s="60">
        <v>476.5</v>
      </c>
      <c r="O43" s="60">
        <v>0</v>
      </c>
      <c r="P43" s="60">
        <v>2.14</v>
      </c>
      <c r="Q43" s="60">
        <v>13.71</v>
      </c>
      <c r="R43" s="198"/>
      <c r="S43" s="198"/>
      <c r="T43" s="198"/>
      <c r="U43" s="198"/>
    </row>
    <row r="44" spans="1:21" s="12" customFormat="1" ht="15">
      <c r="A44" s="201" t="s">
        <v>2010</v>
      </c>
      <c r="B44" s="60">
        <v>1.19</v>
      </c>
      <c r="C44" s="60">
        <v>17.510000000000002</v>
      </c>
      <c r="D44" s="60">
        <v>18.70</v>
      </c>
      <c r="E44" s="60">
        <v>5.43</v>
      </c>
      <c r="F44" s="60">
        <v>2.31</v>
      </c>
      <c r="G44" s="60">
        <v>50.60</v>
      </c>
      <c r="H44" s="60">
        <v>23.75</v>
      </c>
      <c r="I44" s="60">
        <v>5.03</v>
      </c>
      <c r="J44" s="60">
        <v>0.53</v>
      </c>
      <c r="K44" s="60">
        <v>201.02</v>
      </c>
      <c r="L44" s="60">
        <v>40.18</v>
      </c>
      <c r="M44" s="60">
        <v>66.760000000000005</v>
      </c>
      <c r="N44" s="60">
        <v>373.60</v>
      </c>
      <c r="O44" s="60">
        <v>0</v>
      </c>
      <c r="P44" s="60">
        <v>2.11</v>
      </c>
      <c r="Q44" s="60">
        <v>13.81</v>
      </c>
      <c r="R44" s="198"/>
      <c r="S44" s="198"/>
      <c r="T44" s="198"/>
      <c r="U44" s="198"/>
    </row>
    <row r="45" spans="1:21" s="12" customFormat="1" ht="15">
      <c r="A45" s="201" t="s">
        <v>2011</v>
      </c>
      <c r="B45" s="60">
        <v>0.82</v>
      </c>
      <c r="C45" s="60">
        <v>16.809999999999999</v>
      </c>
      <c r="D45" s="60">
        <v>17.63</v>
      </c>
      <c r="E45" s="60">
        <v>4.96</v>
      </c>
      <c r="F45" s="60">
        <v>2.5</v>
      </c>
      <c r="G45" s="60">
        <v>49.32</v>
      </c>
      <c r="H45" s="60">
        <v>25.85</v>
      </c>
      <c r="I45" s="60">
        <v>4.63</v>
      </c>
      <c r="J45" s="60">
        <v>1.79</v>
      </c>
      <c r="K45" s="60">
        <v>221.47</v>
      </c>
      <c r="L45" s="60">
        <v>39.79</v>
      </c>
      <c r="M45" s="60">
        <v>67.81</v>
      </c>
      <c r="N45" s="60">
        <v>411.80</v>
      </c>
      <c r="O45" s="60">
        <v>0</v>
      </c>
      <c r="P45" s="60">
        <v>2.09</v>
      </c>
      <c r="Q45" s="60">
        <v>13.77</v>
      </c>
      <c r="R45" s="198"/>
      <c r="S45" s="198"/>
      <c r="T45" s="198"/>
      <c r="U45" s="198"/>
    </row>
    <row r="46" spans="1:21" s="12" customFormat="1" ht="15">
      <c r="A46" s="201" t="s">
        <v>2012</v>
      </c>
      <c r="B46" s="60">
        <v>0.60</v>
      </c>
      <c r="C46" s="60">
        <v>16.14</v>
      </c>
      <c r="D46" s="60">
        <v>16.739999999999998</v>
      </c>
      <c r="E46" s="60">
        <v>4.71</v>
      </c>
      <c r="F46" s="60">
        <v>2.34</v>
      </c>
      <c r="G46" s="60">
        <v>49.32</v>
      </c>
      <c r="H46" s="60">
        <v>25.85</v>
      </c>
      <c r="I46" s="60">
        <v>4.3099999999999996</v>
      </c>
      <c r="J46" s="60">
        <v>1.58</v>
      </c>
      <c r="K46" s="60">
        <v>210.73</v>
      </c>
      <c r="L46" s="60">
        <v>40.049999999999997</v>
      </c>
      <c r="M46" s="60">
        <v>67.37</v>
      </c>
      <c r="N46" s="60">
        <v>425.60</v>
      </c>
      <c r="O46" s="60">
        <v>0</v>
      </c>
      <c r="P46" s="60">
        <v>2.08</v>
      </c>
      <c r="Q46" s="60">
        <v>13.81</v>
      </c>
      <c r="R46" s="198"/>
      <c r="S46" s="198"/>
      <c r="T46" s="198"/>
      <c r="U46" s="198"/>
    </row>
    <row r="47" spans="1:21" s="12" customFormat="1" ht="15">
      <c r="A47" s="201" t="s">
        <v>2013</v>
      </c>
      <c r="B47" s="60">
        <v>0.59</v>
      </c>
      <c r="C47" s="60">
        <v>15.94</v>
      </c>
      <c r="D47" s="60">
        <v>16.53</v>
      </c>
      <c r="E47" s="60">
        <v>4.43</v>
      </c>
      <c r="F47" s="60">
        <v>2.39</v>
      </c>
      <c r="G47" s="60">
        <v>49.32</v>
      </c>
      <c r="H47" s="60">
        <v>25.85</v>
      </c>
      <c r="I47" s="60">
        <v>4.0599999999999996</v>
      </c>
      <c r="J47" s="60">
        <v>0.73</v>
      </c>
      <c r="K47" s="60">
        <v>188.09</v>
      </c>
      <c r="L47" s="60">
        <v>40.549999999999997</v>
      </c>
      <c r="M47" s="60">
        <v>66.25</v>
      </c>
      <c r="N47" s="60">
        <v>434.5</v>
      </c>
      <c r="O47" s="60">
        <v>0</v>
      </c>
      <c r="P47" s="60">
        <v>2.09</v>
      </c>
      <c r="Q47" s="60">
        <v>13.89</v>
      </c>
      <c r="R47" s="198"/>
      <c r="S47" s="198"/>
      <c r="T47" s="198"/>
      <c r="U47" s="198"/>
    </row>
    <row r="48" spans="1:21" s="12" customFormat="1" ht="15">
      <c r="A48" s="201" t="s">
        <v>2014</v>
      </c>
      <c r="B48" s="60">
        <v>0.74</v>
      </c>
      <c r="C48" s="60">
        <v>16.62</v>
      </c>
      <c r="D48" s="60">
        <v>17.36</v>
      </c>
      <c r="E48" s="60">
        <v>3.88</v>
      </c>
      <c r="F48" s="60">
        <v>2.12</v>
      </c>
      <c r="G48" s="60">
        <v>50.17</v>
      </c>
      <c r="H48" s="60">
        <v>23.75</v>
      </c>
      <c r="I48" s="60">
        <v>3.87</v>
      </c>
      <c r="J48" s="60">
        <v>0.65</v>
      </c>
      <c r="K48" s="60">
        <v>359.08</v>
      </c>
      <c r="L48" s="60">
        <v>40.81</v>
      </c>
      <c r="M48" s="60">
        <v>65.36</v>
      </c>
      <c r="N48" s="60">
        <v>364.20</v>
      </c>
      <c r="O48" s="60">
        <v>0</v>
      </c>
      <c r="P48" s="60">
        <v>2.10</v>
      </c>
      <c r="Q48" s="60">
        <v>13.91</v>
      </c>
      <c r="R48" s="198"/>
      <c r="S48" s="198"/>
      <c r="T48" s="198"/>
      <c r="U48" s="198"/>
    </row>
    <row r="49" spans="1:21" s="12" customFormat="1" ht="15">
      <c r="A49" s="201" t="s">
        <v>2015</v>
      </c>
      <c r="B49" s="60">
        <v>0.91</v>
      </c>
      <c r="C49" s="60">
        <v>17.43</v>
      </c>
      <c r="D49" s="60">
        <v>18.34</v>
      </c>
      <c r="E49" s="60">
        <v>3.97</v>
      </c>
      <c r="F49" s="60">
        <v>2.75</v>
      </c>
      <c r="G49" s="60">
        <v>50.42</v>
      </c>
      <c r="H49" s="60">
        <v>22.21</v>
      </c>
      <c r="I49" s="60">
        <v>3.77</v>
      </c>
      <c r="J49" s="60">
        <v>1.08</v>
      </c>
      <c r="K49" s="60">
        <v>348.04</v>
      </c>
      <c r="L49" s="60">
        <v>41</v>
      </c>
      <c r="M49" s="60">
        <v>64.77</v>
      </c>
      <c r="N49" s="60">
        <v>494.10</v>
      </c>
      <c r="O49" s="60">
        <v>0</v>
      </c>
      <c r="P49" s="60">
        <v>2.13</v>
      </c>
      <c r="Q49" s="60">
        <v>13.75</v>
      </c>
      <c r="R49" s="198"/>
      <c r="S49" s="198"/>
      <c r="T49" s="198"/>
      <c r="U49" s="198"/>
    </row>
    <row r="50" spans="1:21" s="12" customFormat="1" ht="15">
      <c r="A50" s="201" t="s">
        <v>2016</v>
      </c>
      <c r="B50" s="60">
        <v>1.07</v>
      </c>
      <c r="C50" s="60">
        <v>18.32</v>
      </c>
      <c r="D50" s="60">
        <v>19.39</v>
      </c>
      <c r="E50" s="60">
        <v>3.59</v>
      </c>
      <c r="F50" s="60">
        <v>3.12</v>
      </c>
      <c r="G50" s="60">
        <v>50.42</v>
      </c>
      <c r="H50" s="60">
        <v>22.21</v>
      </c>
      <c r="I50" s="60">
        <v>3.77</v>
      </c>
      <c r="J50" s="60">
        <v>2.23</v>
      </c>
      <c r="K50" s="60">
        <v>316.11</v>
      </c>
      <c r="L50" s="60">
        <v>41.70</v>
      </c>
      <c r="M50" s="60">
        <v>65.22</v>
      </c>
      <c r="N50" s="60">
        <v>582.60</v>
      </c>
      <c r="O50" s="60">
        <v>0</v>
      </c>
      <c r="P50" s="60">
        <v>2.16</v>
      </c>
      <c r="Q50" s="60">
        <v>13.73</v>
      </c>
      <c r="R50" s="198"/>
      <c r="S50" s="198"/>
      <c r="T50" s="198"/>
      <c r="U50" s="198"/>
    </row>
    <row r="51" spans="1:21" s="12" customFormat="1" ht="15">
      <c r="A51" s="201" t="s">
        <v>2017</v>
      </c>
      <c r="B51" s="60">
        <v>1.36</v>
      </c>
      <c r="C51" s="60">
        <v>19.78</v>
      </c>
      <c r="D51" s="60">
        <v>21.14</v>
      </c>
      <c r="E51" s="60">
        <v>3.72</v>
      </c>
      <c r="F51" s="60">
        <v>2.77</v>
      </c>
      <c r="G51" s="60">
        <v>50.42</v>
      </c>
      <c r="H51" s="60">
        <v>22.21</v>
      </c>
      <c r="I51" s="60">
        <v>3.75</v>
      </c>
      <c r="J51" s="60">
        <v>1.98</v>
      </c>
      <c r="K51" s="60">
        <v>320.56</v>
      </c>
      <c r="L51" s="60">
        <v>42.80</v>
      </c>
      <c r="M51" s="60">
        <v>62.20</v>
      </c>
      <c r="N51" s="60">
        <v>504.60</v>
      </c>
      <c r="O51" s="60">
        <v>0</v>
      </c>
      <c r="P51" s="60">
        <v>2.17</v>
      </c>
      <c r="Q51" s="60">
        <v>13.90</v>
      </c>
      <c r="R51" s="198"/>
      <c r="S51" s="198"/>
      <c r="T51" s="198"/>
      <c r="U51" s="198"/>
    </row>
    <row r="52" spans="1:21" s="12" customFormat="1" ht="15">
      <c r="A52" s="201" t="s">
        <v>2018</v>
      </c>
      <c r="B52" s="60">
        <v>1.39</v>
      </c>
      <c r="C52" s="60">
        <v>20.23</v>
      </c>
      <c r="D52" s="60">
        <v>21.62</v>
      </c>
      <c r="E52" s="60">
        <v>3.70</v>
      </c>
      <c r="F52" s="60">
        <v>2.72</v>
      </c>
      <c r="G52" s="60">
        <v>54.77</v>
      </c>
      <c r="H52" s="60">
        <v>23.01</v>
      </c>
      <c r="I52" s="60">
        <v>3.73</v>
      </c>
      <c r="J52" s="60">
        <v>2.2200000000000002</v>
      </c>
      <c r="K52" s="60">
        <v>324.52999999999997</v>
      </c>
      <c r="L52" s="60">
        <v>41.97</v>
      </c>
      <c r="M52" s="60">
        <v>63.30</v>
      </c>
      <c r="N52" s="60">
        <v>282.10000000000002</v>
      </c>
      <c r="O52" s="60">
        <v>0</v>
      </c>
      <c r="P52" s="60">
        <v>2.19</v>
      </c>
      <c r="Q52" s="60">
        <v>13.46</v>
      </c>
      <c r="R52" s="198"/>
      <c r="S52" s="198"/>
      <c r="T52" s="198"/>
      <c r="U52" s="198"/>
    </row>
    <row r="53" spans="1:21" s="12" customFormat="1" ht="15">
      <c r="A53" s="201" t="s">
        <v>2019</v>
      </c>
      <c r="B53" s="60">
        <v>1.93</v>
      </c>
      <c r="C53" s="60">
        <v>21.67</v>
      </c>
      <c r="D53" s="60">
        <v>23.60</v>
      </c>
      <c r="E53" s="60">
        <v>4.24</v>
      </c>
      <c r="F53" s="60">
        <v>2.31</v>
      </c>
      <c r="G53" s="60">
        <v>56.05</v>
      </c>
      <c r="H53" s="60">
        <v>23.58</v>
      </c>
      <c r="I53" s="60">
        <v>3.71</v>
      </c>
      <c r="J53" s="60">
        <v>6.10</v>
      </c>
      <c r="K53" s="60">
        <v>334.51</v>
      </c>
      <c r="L53" s="60">
        <v>37.90</v>
      </c>
      <c r="M53" s="60">
        <v>77.87</v>
      </c>
      <c r="N53" s="60">
        <v>158.69999999999999</v>
      </c>
      <c r="O53" s="60">
        <v>1</v>
      </c>
      <c r="P53" s="60">
        <v>2.2400000000000002</v>
      </c>
      <c r="Q53" s="60">
        <v>13.03</v>
      </c>
      <c r="R53" s="198"/>
      <c r="S53" s="198"/>
      <c r="T53" s="198"/>
      <c r="U53" s="198"/>
    </row>
    <row r="54" spans="1:21" s="12" customFormat="1" ht="15">
      <c r="A54" s="201" t="s">
        <v>2020</v>
      </c>
      <c r="B54" s="60">
        <v>2.04</v>
      </c>
      <c r="C54" s="60">
        <v>22.66</v>
      </c>
      <c r="D54" s="60">
        <v>24.70</v>
      </c>
      <c r="E54" s="60">
        <v>4.17</v>
      </c>
      <c r="F54" s="60">
        <v>2.79</v>
      </c>
      <c r="G54" s="60">
        <v>56.05</v>
      </c>
      <c r="H54" s="60">
        <v>23.58</v>
      </c>
      <c r="I54" s="60">
        <v>3.76</v>
      </c>
      <c r="J54" s="60">
        <v>5.46</v>
      </c>
      <c r="K54" s="60">
        <v>318.27999999999997</v>
      </c>
      <c r="L54" s="60">
        <v>32.270000000000003</v>
      </c>
      <c r="M54" s="60">
        <v>96.27</v>
      </c>
      <c r="N54" s="60">
        <v>160.19999999999999</v>
      </c>
      <c r="O54" s="60">
        <v>12.20</v>
      </c>
      <c r="P54" s="60">
        <v>2.2000000000000002</v>
      </c>
      <c r="Q54" s="60">
        <v>12.39</v>
      </c>
      <c r="R54" s="198"/>
      <c r="S54" s="198"/>
      <c r="T54" s="198"/>
      <c r="U54" s="198"/>
    </row>
    <row r="55" spans="1:21" s="12" customFormat="1" ht="15">
      <c r="A55" s="201" t="s">
        <v>2021</v>
      </c>
      <c r="B55" s="60">
        <v>1.48</v>
      </c>
      <c r="C55" s="60">
        <v>21.87</v>
      </c>
      <c r="D55" s="60">
        <v>23.35</v>
      </c>
      <c r="E55" s="60">
        <v>4.83</v>
      </c>
      <c r="F55" s="60">
        <v>3.15</v>
      </c>
      <c r="G55" s="60">
        <v>56.05</v>
      </c>
      <c r="H55" s="60">
        <v>23.58</v>
      </c>
      <c r="I55" s="60">
        <v>3.99</v>
      </c>
      <c r="J55" s="60">
        <v>5.14</v>
      </c>
      <c r="K55" s="60">
        <v>325.43</v>
      </c>
      <c r="L55" s="60">
        <v>31.13</v>
      </c>
      <c r="M55" s="60">
        <v>99.16</v>
      </c>
      <c r="N55" s="60">
        <v>183.70</v>
      </c>
      <c r="O55" s="60">
        <v>2.80</v>
      </c>
      <c r="P55" s="60">
        <v>2.14</v>
      </c>
      <c r="Q55" s="60">
        <v>11.49</v>
      </c>
      <c r="R55" s="198"/>
      <c r="S55" s="198"/>
      <c r="T55" s="198"/>
      <c r="U55" s="198"/>
    </row>
    <row r="56" spans="1:21" s="12" customFormat="1" ht="15">
      <c r="A56" s="201" t="s">
        <v>2022</v>
      </c>
      <c r="B56" s="60">
        <v>1.48</v>
      </c>
      <c r="C56" s="60">
        <v>20.97</v>
      </c>
      <c r="D56" s="60">
        <v>22.46</v>
      </c>
      <c r="E56" s="60">
        <v>3.07</v>
      </c>
      <c r="F56" s="60">
        <v>2.42</v>
      </c>
      <c r="G56" s="60">
        <v>55.49</v>
      </c>
      <c r="H56" s="60">
        <v>21.91</v>
      </c>
      <c r="I56" s="60">
        <v>3.83</v>
      </c>
      <c r="J56" s="60">
        <v>4.6399999999999997</v>
      </c>
      <c r="K56" s="60">
        <v>350.48</v>
      </c>
      <c r="L56" s="60">
        <v>31.30</v>
      </c>
      <c r="M56" s="60">
        <v>99.38</v>
      </c>
      <c r="N56" s="60">
        <v>187.40</v>
      </c>
      <c r="O56" s="60">
        <v>1.40</v>
      </c>
      <c r="P56" s="60">
        <v>2.12</v>
      </c>
      <c r="Q56" s="60">
        <v>10.96</v>
      </c>
      <c r="R56" s="198"/>
      <c r="S56" s="198"/>
      <c r="T56" s="198"/>
      <c r="U56" s="198"/>
    </row>
    <row r="57" spans="1:21" s="12" customFormat="1" ht="15">
      <c r="A57" s="201" t="s">
        <v>2023</v>
      </c>
      <c r="B57" s="60">
        <v>1.80</v>
      </c>
      <c r="C57" s="60">
        <v>20.46</v>
      </c>
      <c r="D57" s="60">
        <v>22.26</v>
      </c>
      <c r="E57" s="60">
        <v>5.58</v>
      </c>
      <c r="F57" s="60">
        <v>1.95</v>
      </c>
      <c r="G57" s="60">
        <v>55.20</v>
      </c>
      <c r="H57" s="60">
        <v>20.69</v>
      </c>
      <c r="I57" s="60">
        <v>3.5</v>
      </c>
      <c r="J57" s="60">
        <v>3.94</v>
      </c>
      <c r="K57" s="60">
        <v>350.12</v>
      </c>
      <c r="L57" s="60">
        <v>30.99</v>
      </c>
      <c r="M57" s="60">
        <v>99.37</v>
      </c>
      <c r="N57" s="60">
        <v>208.60</v>
      </c>
      <c r="O57" s="60">
        <v>0.20</v>
      </c>
      <c r="P57" s="60">
        <v>2.12</v>
      </c>
      <c r="Q57" s="60">
        <v>10.61</v>
      </c>
      <c r="R57" s="198"/>
      <c r="S57" s="198"/>
      <c r="T57" s="198"/>
      <c r="U57" s="198"/>
    </row>
    <row r="58" spans="1:21" s="12" customFormat="1" ht="15">
      <c r="A58" s="201" t="s">
        <v>2024</v>
      </c>
      <c r="B58" s="60">
        <v>2.33</v>
      </c>
      <c r="C58" s="60">
        <v>20.55</v>
      </c>
      <c r="D58" s="60">
        <v>22.88</v>
      </c>
      <c r="E58" s="60">
        <v>5.87</v>
      </c>
      <c r="F58" s="60">
        <v>2.0299999999999998</v>
      </c>
      <c r="G58" s="60">
        <v>55.20</v>
      </c>
      <c r="H58" s="60">
        <v>20.69</v>
      </c>
      <c r="I58" s="60">
        <v>3.27</v>
      </c>
      <c r="J58" s="60">
        <v>3.83</v>
      </c>
      <c r="K58" s="60">
        <v>343.81</v>
      </c>
      <c r="L58" s="60">
        <v>30.78</v>
      </c>
      <c r="M58" s="60">
        <v>99.27</v>
      </c>
      <c r="N58" s="60">
        <v>215.40</v>
      </c>
      <c r="O58" s="60">
        <v>0.20</v>
      </c>
      <c r="P58" s="60">
        <v>2.13</v>
      </c>
      <c r="Q58" s="60">
        <v>10.53</v>
      </c>
      <c r="R58" s="198"/>
      <c r="S58" s="198"/>
      <c r="T58" s="198"/>
      <c r="U58" s="198"/>
    </row>
    <row r="59" spans="1:21" s="12" customFormat="1" ht="15">
      <c r="A59" s="201" t="s">
        <v>2025</v>
      </c>
      <c r="B59" s="60">
        <v>2.85</v>
      </c>
      <c r="C59" s="60">
        <v>21.40</v>
      </c>
      <c r="D59" s="60">
        <v>24.25</v>
      </c>
      <c r="E59" s="60">
        <v>6.16</v>
      </c>
      <c r="F59" s="60">
        <v>1.85</v>
      </c>
      <c r="G59" s="60">
        <v>55.20</v>
      </c>
      <c r="H59" s="60">
        <v>20.69</v>
      </c>
      <c r="I59" s="60">
        <v>3.30</v>
      </c>
      <c r="J59" s="60">
        <v>3.31</v>
      </c>
      <c r="K59" s="60">
        <v>345.25</v>
      </c>
      <c r="L59" s="60">
        <v>30.74</v>
      </c>
      <c r="M59" s="60">
        <v>99.26</v>
      </c>
      <c r="N59" s="60">
        <v>245.40</v>
      </c>
      <c r="O59" s="60">
        <v>0</v>
      </c>
      <c r="P59" s="60">
        <v>2.17</v>
      </c>
      <c r="Q59" s="60">
        <v>10.85</v>
      </c>
      <c r="R59" s="198"/>
      <c r="S59" s="198"/>
      <c r="T59" s="198"/>
      <c r="U59" s="198"/>
    </row>
    <row r="60" spans="1:21" s="12" customFormat="1" ht="15">
      <c r="A60" s="201" t="s">
        <v>2026</v>
      </c>
      <c r="B60" s="60">
        <v>3.29</v>
      </c>
      <c r="C60" s="60">
        <v>22.5</v>
      </c>
      <c r="D60" s="60">
        <v>25.79</v>
      </c>
      <c r="E60" s="60">
        <v>6.21</v>
      </c>
      <c r="F60" s="60">
        <v>1.42</v>
      </c>
      <c r="G60" s="60">
        <v>44.72</v>
      </c>
      <c r="H60" s="60">
        <v>19.559999999999999</v>
      </c>
      <c r="I60" s="60">
        <v>3.36</v>
      </c>
      <c r="J60" s="60">
        <v>3.01</v>
      </c>
      <c r="K60" s="60">
        <v>348.99</v>
      </c>
      <c r="L60" s="60">
        <v>30.88</v>
      </c>
      <c r="M60" s="60">
        <v>99.33</v>
      </c>
      <c r="N60" s="60">
        <v>270.80</v>
      </c>
      <c r="O60" s="60">
        <v>0.20</v>
      </c>
      <c r="P60" s="60">
        <v>2.21</v>
      </c>
      <c r="Q60" s="60">
        <v>11.57</v>
      </c>
      <c r="R60" s="198"/>
      <c r="S60" s="198"/>
      <c r="T60" s="198"/>
      <c r="U60" s="198"/>
    </row>
    <row r="61" spans="1:21" s="12" customFormat="1" ht="15">
      <c r="A61" s="201" t="s">
        <v>2027</v>
      </c>
      <c r="B61" s="60">
        <v>3.88</v>
      </c>
      <c r="C61" s="60">
        <v>22.75</v>
      </c>
      <c r="D61" s="60">
        <v>26.63</v>
      </c>
      <c r="E61" s="60">
        <v>6.12</v>
      </c>
      <c r="F61" s="60">
        <v>1.05</v>
      </c>
      <c r="G61" s="60">
        <v>41.43</v>
      </c>
      <c r="H61" s="60">
        <v>18.73</v>
      </c>
      <c r="I61" s="60">
        <v>3.63</v>
      </c>
      <c r="J61" s="60">
        <v>3.16</v>
      </c>
      <c r="K61" s="60">
        <v>330.87</v>
      </c>
      <c r="L61" s="60">
        <v>30.99</v>
      </c>
      <c r="M61" s="60">
        <v>99.34</v>
      </c>
      <c r="N61" s="60">
        <v>265.80</v>
      </c>
      <c r="O61" s="60">
        <v>0.20</v>
      </c>
      <c r="P61" s="60">
        <v>2.2400000000000002</v>
      </c>
      <c r="Q61" s="60">
        <v>12.29</v>
      </c>
      <c r="R61" s="198"/>
      <c r="S61" s="198"/>
      <c r="T61" s="198"/>
      <c r="U61" s="198"/>
    </row>
    <row r="62" spans="1:21" s="12" customFormat="1" ht="15">
      <c r="A62" s="201" t="s">
        <v>2028</v>
      </c>
      <c r="B62" s="60">
        <v>4.3600000000000003</v>
      </c>
      <c r="C62" s="60">
        <v>23.21</v>
      </c>
      <c r="D62" s="60">
        <v>27.57</v>
      </c>
      <c r="E62" s="60">
        <v>5.84</v>
      </c>
      <c r="F62" s="60">
        <v>0.95</v>
      </c>
      <c r="G62" s="60">
        <v>41.43</v>
      </c>
      <c r="H62" s="60">
        <v>18.73</v>
      </c>
      <c r="I62" s="60">
        <v>3.84</v>
      </c>
      <c r="J62" s="60">
        <v>2.38</v>
      </c>
      <c r="K62" s="60">
        <v>327.92</v>
      </c>
      <c r="L62" s="60">
        <v>31.14</v>
      </c>
      <c r="M62" s="60">
        <v>99.37</v>
      </c>
      <c r="N62" s="60">
        <v>291.10000000000002</v>
      </c>
      <c r="O62" s="60">
        <v>0.20</v>
      </c>
      <c r="P62" s="60">
        <v>2.2599999999999998</v>
      </c>
      <c r="Q62" s="60">
        <v>12.99</v>
      </c>
      <c r="R62" s="198"/>
      <c r="S62" s="198"/>
      <c r="T62" s="198"/>
      <c r="U62" s="198"/>
    </row>
    <row r="63" spans="1:21" s="12" customFormat="1" ht="15">
      <c r="A63" s="201" t="s">
        <v>2029</v>
      </c>
      <c r="B63" s="60">
        <v>5.18</v>
      </c>
      <c r="C63" s="60">
        <v>23.97</v>
      </c>
      <c r="D63" s="60">
        <v>29.15</v>
      </c>
      <c r="E63" s="60">
        <v>5.86</v>
      </c>
      <c r="F63" s="60">
        <v>0.95</v>
      </c>
      <c r="G63" s="60">
        <v>41.43</v>
      </c>
      <c r="H63" s="60">
        <v>18.73</v>
      </c>
      <c r="I63" s="60">
        <v>3.99</v>
      </c>
      <c r="J63" s="60">
        <v>2.48</v>
      </c>
      <c r="K63" s="60">
        <v>339.99</v>
      </c>
      <c r="L63" s="60">
        <v>31.44</v>
      </c>
      <c r="M63" s="60">
        <v>99.37</v>
      </c>
      <c r="N63" s="60">
        <v>303.80</v>
      </c>
      <c r="O63" s="60">
        <v>0</v>
      </c>
      <c r="P63" s="60">
        <v>2.2999999999999998</v>
      </c>
      <c r="Q63" s="60">
        <v>13.81</v>
      </c>
      <c r="R63" s="198"/>
      <c r="S63" s="198"/>
      <c r="T63" s="198"/>
      <c r="U63" s="198"/>
    </row>
    <row r="64" spans="1:21" s="12" customFormat="1" ht="15">
      <c r="A64" s="201" t="s">
        <v>2030</v>
      </c>
      <c r="B64" s="60">
        <v>6.43</v>
      </c>
      <c r="C64" s="60">
        <v>24.88</v>
      </c>
      <c r="D64" s="60">
        <v>31.31</v>
      </c>
      <c r="E64" s="60">
        <v>5.64</v>
      </c>
      <c r="F64" s="60">
        <v>0.75</v>
      </c>
      <c r="G64" s="60">
        <v>45.88</v>
      </c>
      <c r="H64" s="60">
        <v>20.49</v>
      </c>
      <c r="I64" s="60">
        <v>4.12</v>
      </c>
      <c r="J64" s="60">
        <v>2.19</v>
      </c>
      <c r="K64" s="60">
        <v>328.61</v>
      </c>
      <c r="L64" s="60">
        <v>31.74</v>
      </c>
      <c r="M64" s="60">
        <v>99.35</v>
      </c>
      <c r="N64" s="60">
        <v>312.60000000000002</v>
      </c>
      <c r="O64" s="60">
        <v>0</v>
      </c>
      <c r="P64" s="60">
        <v>2.34</v>
      </c>
      <c r="Q64" s="60">
        <v>14.69</v>
      </c>
      <c r="R64" s="198"/>
      <c r="S64" s="198"/>
      <c r="T64" s="198"/>
      <c r="U64" s="198"/>
    </row>
    <row r="65" spans="1:21" s="12" customFormat="1" ht="15">
      <c r="A65" s="201" t="s">
        <v>2031</v>
      </c>
      <c r="B65" s="60">
        <v>8.27</v>
      </c>
      <c r="C65" s="60">
        <v>26.04</v>
      </c>
      <c r="D65" s="60">
        <v>34.31</v>
      </c>
      <c r="E65" s="60">
        <v>5.86</v>
      </c>
      <c r="F65" s="60">
        <v>0.41</v>
      </c>
      <c r="G65" s="60">
        <v>47.16</v>
      </c>
      <c r="H65" s="60">
        <v>21.78</v>
      </c>
      <c r="I65" s="60">
        <v>4.32</v>
      </c>
      <c r="J65" s="60">
        <v>1.71</v>
      </c>
      <c r="K65" s="60">
        <v>96.75</v>
      </c>
      <c r="L65" s="60">
        <v>31.78</v>
      </c>
      <c r="M65" s="60">
        <v>98.46</v>
      </c>
      <c r="N65" s="60">
        <v>297.80</v>
      </c>
      <c r="O65" s="60">
        <v>0</v>
      </c>
      <c r="P65" s="60">
        <v>2.38</v>
      </c>
      <c r="Q65" s="60">
        <v>15.74</v>
      </c>
      <c r="R65" s="198"/>
      <c r="S65" s="198"/>
      <c r="T65" s="198"/>
      <c r="U65" s="198"/>
    </row>
    <row r="66" spans="1:21" s="12" customFormat="1" ht="15">
      <c r="A66" s="201" t="s">
        <v>2032</v>
      </c>
      <c r="B66" s="60">
        <v>8.26</v>
      </c>
      <c r="C66" s="60">
        <v>25.97</v>
      </c>
      <c r="D66" s="60">
        <v>34.24</v>
      </c>
      <c r="E66" s="60">
        <v>5.72</v>
      </c>
      <c r="F66" s="60">
        <v>0.62</v>
      </c>
      <c r="G66" s="60">
        <v>47.16</v>
      </c>
      <c r="H66" s="60">
        <v>21.78</v>
      </c>
      <c r="I66" s="60">
        <v>4.51</v>
      </c>
      <c r="J66" s="60">
        <v>2.70</v>
      </c>
      <c r="K66" s="60">
        <v>136.28</v>
      </c>
      <c r="L66" s="60">
        <v>31.96</v>
      </c>
      <c r="M66" s="60">
        <v>96.13</v>
      </c>
      <c r="N66" s="60">
        <v>346.10</v>
      </c>
      <c r="O66" s="60">
        <v>0</v>
      </c>
      <c r="P66" s="60">
        <v>2.38</v>
      </c>
      <c r="Q66" s="60">
        <v>15.94</v>
      </c>
      <c r="R66" s="198"/>
      <c r="S66" s="198"/>
      <c r="T66" s="198"/>
      <c r="U66" s="198"/>
    </row>
    <row r="67" spans="1:21" s="12" customFormat="1" ht="15">
      <c r="A67" s="201" t="s">
        <v>2033</v>
      </c>
      <c r="B67" s="60">
        <v>7.67</v>
      </c>
      <c r="C67" s="60">
        <v>25.96</v>
      </c>
      <c r="D67" s="60">
        <v>33.630000000000003</v>
      </c>
      <c r="E67" s="60">
        <v>5.80</v>
      </c>
      <c r="F67" s="60">
        <v>0.47</v>
      </c>
      <c r="G67" s="60">
        <v>47.16</v>
      </c>
      <c r="H67" s="60">
        <v>21.78</v>
      </c>
      <c r="I67" s="60">
        <v>4.66</v>
      </c>
      <c r="J67" s="60">
        <v>0.85</v>
      </c>
      <c r="K67" s="60">
        <v>107.26</v>
      </c>
      <c r="L67" s="60">
        <v>32.53</v>
      </c>
      <c r="M67" s="60">
        <v>91.96</v>
      </c>
      <c r="N67" s="60">
        <v>375</v>
      </c>
      <c r="O67" s="60">
        <v>0</v>
      </c>
      <c r="P67" s="60">
        <v>2.36</v>
      </c>
      <c r="Q67" s="60">
        <v>15.94</v>
      </c>
      <c r="R67" s="198"/>
      <c r="S67" s="198"/>
      <c r="T67" s="198"/>
      <c r="U67" s="198"/>
    </row>
    <row r="68" spans="1:21" s="12" customFormat="1" ht="15">
      <c r="A68" s="201" t="s">
        <v>2034</v>
      </c>
      <c r="B68" s="60">
        <v>6.92</v>
      </c>
      <c r="C68" s="60">
        <v>26.26</v>
      </c>
      <c r="D68" s="60">
        <v>33.18</v>
      </c>
      <c r="E68" s="60">
        <v>5.92</v>
      </c>
      <c r="F68" s="60">
        <v>0.53</v>
      </c>
      <c r="G68" s="60">
        <v>41.70</v>
      </c>
      <c r="H68" s="60">
        <v>19.559999999999999</v>
      </c>
      <c r="I68" s="60">
        <v>4.68</v>
      </c>
      <c r="J68" s="60">
        <v>1.91</v>
      </c>
      <c r="K68" s="60">
        <v>176.91</v>
      </c>
      <c r="L68" s="60">
        <v>32.65</v>
      </c>
      <c r="M68" s="60">
        <v>89.79</v>
      </c>
      <c r="N68" s="60">
        <v>373.90</v>
      </c>
      <c r="O68" s="60">
        <v>0</v>
      </c>
      <c r="P68" s="60">
        <v>2.35</v>
      </c>
      <c r="Q68" s="60">
        <v>15.82</v>
      </c>
      <c r="R68" s="198"/>
      <c r="S68" s="198"/>
      <c r="T68" s="198"/>
      <c r="U68" s="198"/>
    </row>
    <row r="69" spans="1:21" s="12" customFormat="1" ht="15">
      <c r="A69" s="201" t="s">
        <v>2035</v>
      </c>
      <c r="B69" s="60">
        <v>6.21</v>
      </c>
      <c r="C69" s="60">
        <v>25.87</v>
      </c>
      <c r="D69" s="60">
        <v>32.07</v>
      </c>
      <c r="E69" s="60">
        <v>5.48</v>
      </c>
      <c r="F69" s="60">
        <v>0.87</v>
      </c>
      <c r="G69" s="60">
        <v>40.119999999999997</v>
      </c>
      <c r="H69" s="60">
        <v>17.940000000000001</v>
      </c>
      <c r="I69" s="60">
        <v>4.62</v>
      </c>
      <c r="J69" s="60">
        <v>0.94</v>
      </c>
      <c r="K69" s="60">
        <v>143.69999999999999</v>
      </c>
      <c r="L69" s="60">
        <v>32.979999999999997</v>
      </c>
      <c r="M69" s="60">
        <v>87.38</v>
      </c>
      <c r="N69" s="60">
        <v>368.30</v>
      </c>
      <c r="O69" s="60">
        <v>0</v>
      </c>
      <c r="P69" s="60">
        <v>2.33</v>
      </c>
      <c r="Q69" s="60">
        <v>15.43</v>
      </c>
      <c r="R69" s="198"/>
      <c r="S69" s="198"/>
      <c r="T69" s="198"/>
      <c r="U69" s="198"/>
    </row>
    <row r="70" spans="1:21" s="12" customFormat="1" ht="15">
      <c r="A70" s="201" t="s">
        <v>2036</v>
      </c>
      <c r="B70" s="60">
        <v>5.82</v>
      </c>
      <c r="C70" s="60">
        <v>24.20</v>
      </c>
      <c r="D70" s="60">
        <v>30.03</v>
      </c>
      <c r="E70" s="60">
        <v>6.37</v>
      </c>
      <c r="F70" s="60">
        <v>1.07</v>
      </c>
      <c r="G70" s="60">
        <v>40.119999999999997</v>
      </c>
      <c r="H70" s="60">
        <v>17.940000000000001</v>
      </c>
      <c r="I70" s="60">
        <v>4.5999999999999996</v>
      </c>
      <c r="J70" s="60">
        <v>1.61</v>
      </c>
      <c r="K70" s="60">
        <v>162.11000000000001</v>
      </c>
      <c r="L70" s="60">
        <v>33.200000000000003</v>
      </c>
      <c r="M70" s="60">
        <v>86.63</v>
      </c>
      <c r="N70" s="60">
        <v>382.20</v>
      </c>
      <c r="O70" s="60">
        <v>0</v>
      </c>
      <c r="P70" s="60">
        <v>2.33</v>
      </c>
      <c r="Q70" s="60">
        <v>14.62</v>
      </c>
      <c r="R70" s="198"/>
      <c r="S70" s="198"/>
      <c r="T70" s="198"/>
      <c r="U70" s="198"/>
    </row>
    <row r="71" spans="1:21" s="12" customFormat="1" ht="15">
      <c r="A71" s="201" t="s">
        <v>2037</v>
      </c>
      <c r="B71" s="60">
        <v>5.55</v>
      </c>
      <c r="C71" s="60">
        <v>22.81</v>
      </c>
      <c r="D71" s="60">
        <v>28.36</v>
      </c>
      <c r="E71" s="60">
        <v>6.18</v>
      </c>
      <c r="F71" s="60">
        <v>0.86</v>
      </c>
      <c r="G71" s="60">
        <v>40.119999999999997</v>
      </c>
      <c r="H71" s="60">
        <v>17.940000000000001</v>
      </c>
      <c r="I71" s="60">
        <v>4.54</v>
      </c>
      <c r="J71" s="60">
        <v>2.42</v>
      </c>
      <c r="K71" s="60">
        <v>163.91</v>
      </c>
      <c r="L71" s="60">
        <v>33.42</v>
      </c>
      <c r="M71" s="60">
        <v>85.51</v>
      </c>
      <c r="N71" s="60">
        <v>390.10</v>
      </c>
      <c r="O71" s="60">
        <v>0</v>
      </c>
      <c r="P71" s="60">
        <v>2.3199999999999998</v>
      </c>
      <c r="Q71" s="60">
        <v>13.52</v>
      </c>
      <c r="R71" s="198"/>
      <c r="S71" s="198"/>
      <c r="T71" s="198"/>
      <c r="U71" s="198"/>
    </row>
    <row r="72" spans="1:21" s="12" customFormat="1" ht="15">
      <c r="A72" s="201" t="s">
        <v>2038</v>
      </c>
      <c r="B72" s="60">
        <v>5.17</v>
      </c>
      <c r="C72" s="60">
        <v>21.66</v>
      </c>
      <c r="D72" s="60">
        <v>26.83</v>
      </c>
      <c r="E72" s="60">
        <v>4.01</v>
      </c>
      <c r="F72" s="60">
        <v>0.69</v>
      </c>
      <c r="G72" s="60">
        <v>45.71</v>
      </c>
      <c r="H72" s="60">
        <v>17.739999999999998</v>
      </c>
      <c r="I72" s="60">
        <v>4.54</v>
      </c>
      <c r="J72" s="60">
        <v>2.35</v>
      </c>
      <c r="K72" s="60">
        <v>178.14</v>
      </c>
      <c r="L72" s="60">
        <v>33.46</v>
      </c>
      <c r="M72" s="60">
        <v>85.38</v>
      </c>
      <c r="N72" s="60">
        <v>386.30</v>
      </c>
      <c r="O72" s="60">
        <v>0</v>
      </c>
      <c r="P72" s="60">
        <v>2.31</v>
      </c>
      <c r="Q72" s="60">
        <v>12.62</v>
      </c>
      <c r="R72" s="198"/>
      <c r="S72" s="198"/>
      <c r="T72" s="198"/>
      <c r="U72" s="198"/>
    </row>
    <row r="73" spans="1:21" s="12" customFormat="1" ht="15">
      <c r="A73" s="201" t="s">
        <v>2039</v>
      </c>
      <c r="B73" s="60">
        <v>4.7300000000000004</v>
      </c>
      <c r="C73" s="60">
        <v>20.57</v>
      </c>
      <c r="D73" s="60">
        <v>25.30</v>
      </c>
      <c r="E73" s="60">
        <v>7.14</v>
      </c>
      <c r="F73" s="60">
        <v>0.68</v>
      </c>
      <c r="G73" s="60">
        <v>47.33</v>
      </c>
      <c r="H73" s="60">
        <v>17.600000000000001</v>
      </c>
      <c r="I73" s="60">
        <v>4.5999999999999996</v>
      </c>
      <c r="J73" s="60">
        <v>2.71</v>
      </c>
      <c r="K73" s="60">
        <v>158.83000000000001</v>
      </c>
      <c r="L73" s="60">
        <v>33.479999999999997</v>
      </c>
      <c r="M73" s="60">
        <v>84.88</v>
      </c>
      <c r="N73" s="60">
        <v>373</v>
      </c>
      <c r="O73" s="60">
        <v>0</v>
      </c>
      <c r="P73" s="60">
        <v>2.29</v>
      </c>
      <c r="Q73" s="60">
        <v>11.94</v>
      </c>
      <c r="R73" s="198"/>
      <c r="S73" s="198"/>
      <c r="T73" s="198"/>
      <c r="U73" s="198"/>
    </row>
    <row r="74" spans="1:21" s="12" customFormat="1" ht="15">
      <c r="A74" s="201" t="s">
        <v>2040</v>
      </c>
      <c r="B74" s="60">
        <v>4.4000000000000004</v>
      </c>
      <c r="C74" s="60">
        <v>19.809999999999999</v>
      </c>
      <c r="D74" s="60">
        <v>24.21</v>
      </c>
      <c r="E74" s="60">
        <v>7.75</v>
      </c>
      <c r="F74" s="60">
        <v>0.98</v>
      </c>
      <c r="G74" s="60">
        <v>47.33</v>
      </c>
      <c r="H74" s="60">
        <v>17.600000000000001</v>
      </c>
      <c r="I74" s="60">
        <v>4.5999999999999996</v>
      </c>
      <c r="J74" s="60">
        <v>2.21</v>
      </c>
      <c r="K74" s="60">
        <v>186.81</v>
      </c>
      <c r="L74" s="60">
        <v>33.619999999999997</v>
      </c>
      <c r="M74" s="60">
        <v>84.30</v>
      </c>
      <c r="N74" s="60">
        <v>334.70</v>
      </c>
      <c r="O74" s="60">
        <v>0</v>
      </c>
      <c r="P74" s="60">
        <v>2.27</v>
      </c>
      <c r="Q74" s="60">
        <v>11.60</v>
      </c>
      <c r="R74" s="198"/>
      <c r="S74" s="198"/>
      <c r="T74" s="198"/>
      <c r="U74" s="198"/>
    </row>
    <row r="75" spans="1:21" s="12" customFormat="1" ht="15">
      <c r="A75" s="201" t="s">
        <v>2041</v>
      </c>
      <c r="B75" s="60">
        <v>4.04</v>
      </c>
      <c r="C75" s="60">
        <v>19.32</v>
      </c>
      <c r="D75" s="60">
        <v>23.36</v>
      </c>
      <c r="E75" s="60">
        <v>8.0500000000000007</v>
      </c>
      <c r="F75" s="60">
        <v>0.91</v>
      </c>
      <c r="G75" s="60">
        <v>47.33</v>
      </c>
      <c r="H75" s="60">
        <v>17.600000000000001</v>
      </c>
      <c r="I75" s="60">
        <v>4.57</v>
      </c>
      <c r="J75" s="60">
        <v>2.4300000000000002</v>
      </c>
      <c r="K75" s="60">
        <v>168.58</v>
      </c>
      <c r="L75" s="60">
        <v>33.53</v>
      </c>
      <c r="M75" s="60">
        <v>83.61</v>
      </c>
      <c r="N75" s="60">
        <v>289.20</v>
      </c>
      <c r="O75" s="60">
        <v>0</v>
      </c>
      <c r="P75" s="60">
        <v>2.27</v>
      </c>
      <c r="Q75" s="60">
        <v>11.29</v>
      </c>
      <c r="R75" s="198"/>
      <c r="S75" s="198"/>
      <c r="T75" s="198"/>
      <c r="U75" s="198"/>
    </row>
    <row r="76" spans="1:21" s="12" customFormat="1" ht="15">
      <c r="A76" s="201" t="s">
        <v>2042</v>
      </c>
      <c r="B76" s="60">
        <v>3.75</v>
      </c>
      <c r="C76" s="60">
        <v>19.18</v>
      </c>
      <c r="D76" s="60">
        <v>22.93</v>
      </c>
      <c r="E76" s="60">
        <v>8.59</v>
      </c>
      <c r="F76" s="60">
        <v>0.74</v>
      </c>
      <c r="G76" s="60">
        <v>42.96</v>
      </c>
      <c r="H76" s="60">
        <v>18.12</v>
      </c>
      <c r="I76" s="60">
        <v>4.54</v>
      </c>
      <c r="J76" s="60">
        <v>1.23</v>
      </c>
      <c r="K76" s="60">
        <v>186.68</v>
      </c>
      <c r="L76" s="60">
        <v>33.57</v>
      </c>
      <c r="M76" s="60">
        <v>83.88</v>
      </c>
      <c r="N76" s="60">
        <v>278.30</v>
      </c>
      <c r="O76" s="60">
        <v>0</v>
      </c>
      <c r="P76" s="60">
        <v>2.2599999999999998</v>
      </c>
      <c r="Q76" s="60">
        <v>11.11</v>
      </c>
      <c r="R76" s="198"/>
      <c r="S76" s="198"/>
      <c r="T76" s="198"/>
      <c r="U76" s="198"/>
    </row>
    <row r="77" spans="1:21" s="12" customFormat="1" ht="15">
      <c r="A77" s="201" t="s">
        <v>2043</v>
      </c>
      <c r="B77" s="60">
        <v>3.47</v>
      </c>
      <c r="C77" s="60">
        <v>19.77</v>
      </c>
      <c r="D77" s="60">
        <v>23.24</v>
      </c>
      <c r="E77" s="60">
        <v>8.17</v>
      </c>
      <c r="F77" s="60">
        <v>0.86</v>
      </c>
      <c r="G77" s="60">
        <v>41.71</v>
      </c>
      <c r="H77" s="60">
        <v>18.5</v>
      </c>
      <c r="I77" s="60">
        <v>4.46</v>
      </c>
      <c r="J77" s="60">
        <v>2.02</v>
      </c>
      <c r="K77" s="60">
        <v>194.69</v>
      </c>
      <c r="L77" s="60">
        <v>33.700000000000003</v>
      </c>
      <c r="M77" s="60">
        <v>83.29</v>
      </c>
      <c r="N77" s="60">
        <v>296.39999999999998</v>
      </c>
      <c r="O77" s="60">
        <v>0</v>
      </c>
      <c r="P77" s="60">
        <v>2.2599999999999998</v>
      </c>
      <c r="Q77" s="60">
        <v>11.45</v>
      </c>
      <c r="R77" s="198"/>
      <c r="S77" s="198"/>
      <c r="T77" s="198"/>
      <c r="U77" s="198"/>
    </row>
    <row r="78" spans="1:21" s="12" customFormat="1" ht="15">
      <c r="A78" s="201" t="s">
        <v>2044</v>
      </c>
      <c r="B78" s="60">
        <v>2.87</v>
      </c>
      <c r="C78" s="60">
        <v>19.55</v>
      </c>
      <c r="D78" s="60">
        <v>22.42</v>
      </c>
      <c r="E78" s="60">
        <v>7.91</v>
      </c>
      <c r="F78" s="60">
        <v>1.17</v>
      </c>
      <c r="G78" s="60">
        <v>41.71</v>
      </c>
      <c r="H78" s="60">
        <v>18.5</v>
      </c>
      <c r="I78" s="60">
        <v>4.51</v>
      </c>
      <c r="J78" s="60">
        <v>2.0499999999999998</v>
      </c>
      <c r="K78" s="60">
        <v>174.97</v>
      </c>
      <c r="L78" s="60">
        <v>33.72</v>
      </c>
      <c r="M78" s="60">
        <v>83.63</v>
      </c>
      <c r="N78" s="60">
        <v>285.5</v>
      </c>
      <c r="O78" s="60">
        <v>0</v>
      </c>
      <c r="P78" s="60">
        <v>2.23</v>
      </c>
      <c r="Q78" s="60">
        <v>11.69</v>
      </c>
      <c r="R78" s="198"/>
      <c r="S78" s="198"/>
      <c r="T78" s="198"/>
      <c r="U78" s="198"/>
    </row>
    <row r="79" spans="1:21" s="12" customFormat="1" ht="15">
      <c r="A79" s="201" t="s">
        <v>2045</v>
      </c>
      <c r="B79" s="60">
        <v>2.5</v>
      </c>
      <c r="C79" s="60">
        <v>19.920000000000002</v>
      </c>
      <c r="D79" s="60">
        <v>22.41</v>
      </c>
      <c r="E79" s="60">
        <v>8.06</v>
      </c>
      <c r="F79" s="60">
        <v>1.1599999999999999</v>
      </c>
      <c r="G79" s="60">
        <v>41.71</v>
      </c>
      <c r="H79" s="60">
        <v>18.5</v>
      </c>
      <c r="I79" s="60">
        <v>4.46</v>
      </c>
      <c r="J79" s="60">
        <v>2.48</v>
      </c>
      <c r="K79" s="60">
        <v>179.33</v>
      </c>
      <c r="L79" s="60">
        <v>33.770000000000003</v>
      </c>
      <c r="M79" s="60">
        <v>83.56</v>
      </c>
      <c r="N79" s="60">
        <v>289</v>
      </c>
      <c r="O79" s="60">
        <v>0</v>
      </c>
      <c r="P79" s="60">
        <v>2.23</v>
      </c>
      <c r="Q79" s="60">
        <v>12.23</v>
      </c>
      <c r="R79" s="198"/>
      <c r="S79" s="198"/>
      <c r="T79" s="198"/>
      <c r="U79" s="198"/>
    </row>
    <row r="80" spans="1:21" s="12" customFormat="1" ht="15">
      <c r="A80" s="201" t="s">
        <v>2046</v>
      </c>
      <c r="B80" s="60">
        <v>2.35</v>
      </c>
      <c r="C80" s="60">
        <v>20.67</v>
      </c>
      <c r="D80" s="60">
        <v>23.03</v>
      </c>
      <c r="E80" s="60">
        <v>7.61</v>
      </c>
      <c r="F80" s="60">
        <v>0.79</v>
      </c>
      <c r="G80" s="60">
        <v>38.86</v>
      </c>
      <c r="H80" s="60">
        <v>15.34</v>
      </c>
      <c r="I80" s="60">
        <v>4.33</v>
      </c>
      <c r="J80" s="60">
        <v>3.17</v>
      </c>
      <c r="K80" s="60">
        <v>163.66</v>
      </c>
      <c r="L80" s="60">
        <v>33.60</v>
      </c>
      <c r="M80" s="60">
        <v>83.97</v>
      </c>
      <c r="N80" s="60">
        <v>305.20</v>
      </c>
      <c r="O80" s="60">
        <v>0</v>
      </c>
      <c r="P80" s="60">
        <v>2.2200000000000002</v>
      </c>
      <c r="Q80" s="60">
        <v>12.66</v>
      </c>
      <c r="R80" s="198"/>
      <c r="S80" s="198"/>
      <c r="T80" s="198"/>
      <c r="U80" s="198"/>
    </row>
    <row r="81" spans="1:21" s="12" customFormat="1" ht="15">
      <c r="A81" s="201" t="s">
        <v>2047</v>
      </c>
      <c r="B81" s="60">
        <v>2.33</v>
      </c>
      <c r="C81" s="60">
        <v>20.88</v>
      </c>
      <c r="D81" s="60">
        <v>23.21</v>
      </c>
      <c r="E81" s="60">
        <v>8.0299999999999994</v>
      </c>
      <c r="F81" s="60">
        <v>0.75</v>
      </c>
      <c r="G81" s="60">
        <v>37.56</v>
      </c>
      <c r="H81" s="60">
        <v>13.03</v>
      </c>
      <c r="I81" s="60">
        <v>4.24</v>
      </c>
      <c r="J81" s="60">
        <v>3.33</v>
      </c>
      <c r="K81" s="60">
        <v>160.88999999999999</v>
      </c>
      <c r="L81" s="60">
        <v>33.69</v>
      </c>
      <c r="M81" s="60">
        <v>84.52</v>
      </c>
      <c r="N81" s="60">
        <v>326.10000000000002</v>
      </c>
      <c r="O81" s="60">
        <v>0</v>
      </c>
      <c r="P81" s="60">
        <v>2.2000000000000002</v>
      </c>
      <c r="Q81" s="60">
        <v>12.69</v>
      </c>
      <c r="R81" s="198"/>
      <c r="S81" s="198"/>
      <c r="T81" s="198"/>
      <c r="U81" s="198"/>
    </row>
    <row r="82" spans="1:21" s="12" customFormat="1" ht="15">
      <c r="A82" s="201" t="s">
        <v>2048</v>
      </c>
      <c r="B82" s="60">
        <v>2.23</v>
      </c>
      <c r="C82" s="60">
        <v>20.72</v>
      </c>
      <c r="D82" s="60">
        <v>22.95</v>
      </c>
      <c r="E82" s="60">
        <v>7.48</v>
      </c>
      <c r="F82" s="60">
        <v>0.89</v>
      </c>
      <c r="G82" s="60">
        <v>37.56</v>
      </c>
      <c r="H82" s="60">
        <v>13.03</v>
      </c>
      <c r="I82" s="60">
        <v>4.1399999999999997</v>
      </c>
      <c r="J82" s="60">
        <v>2.16</v>
      </c>
      <c r="K82" s="60">
        <v>181.40</v>
      </c>
      <c r="L82" s="60">
        <v>33.61</v>
      </c>
      <c r="M82" s="60">
        <v>84.66</v>
      </c>
      <c r="N82" s="60">
        <v>328.80</v>
      </c>
      <c r="O82" s="60">
        <v>0</v>
      </c>
      <c r="P82" s="60">
        <v>2.19</v>
      </c>
      <c r="Q82" s="60">
        <v>12.72</v>
      </c>
      <c r="R82" s="198"/>
      <c r="S82" s="198"/>
      <c r="T82" s="198"/>
      <c r="U82" s="198"/>
    </row>
    <row r="83" spans="1:21" s="12" customFormat="1" ht="15">
      <c r="A83" s="201" t="s">
        <v>2049</v>
      </c>
      <c r="B83" s="60">
        <v>1.97</v>
      </c>
      <c r="C83" s="60">
        <v>20.29</v>
      </c>
      <c r="D83" s="60">
        <v>22.26</v>
      </c>
      <c r="E83" s="60">
        <v>7.31</v>
      </c>
      <c r="F83" s="60">
        <v>1.05</v>
      </c>
      <c r="G83" s="60">
        <v>37.56</v>
      </c>
      <c r="H83" s="60">
        <v>13.03</v>
      </c>
      <c r="I83" s="60">
        <v>4.07</v>
      </c>
      <c r="J83" s="60">
        <v>2.17</v>
      </c>
      <c r="K83" s="60">
        <v>170.99</v>
      </c>
      <c r="L83" s="60">
        <v>33.58</v>
      </c>
      <c r="M83" s="60">
        <v>85.15</v>
      </c>
      <c r="N83" s="60">
        <v>334.10</v>
      </c>
      <c r="O83" s="60">
        <v>0</v>
      </c>
      <c r="P83" s="60">
        <v>2.1800000000000002</v>
      </c>
      <c r="Q83" s="60">
        <v>12.70</v>
      </c>
      <c r="R83" s="198"/>
      <c r="S83" s="198"/>
      <c r="T83" s="198"/>
      <c r="U83" s="198"/>
    </row>
    <row r="84" spans="1:21" s="12" customFormat="1" ht="15">
      <c r="A84" s="201" t="s">
        <v>2050</v>
      </c>
      <c r="B84" s="60">
        <v>1.81</v>
      </c>
      <c r="C84" s="60">
        <v>20.16</v>
      </c>
      <c r="D84" s="60">
        <v>21.96</v>
      </c>
      <c r="E84" s="60">
        <v>7.27</v>
      </c>
      <c r="F84" s="60">
        <v>0.73</v>
      </c>
      <c r="G84" s="60">
        <v>34.56</v>
      </c>
      <c r="H84" s="60">
        <v>13.95</v>
      </c>
      <c r="I84" s="60">
        <v>3.95</v>
      </c>
      <c r="J84" s="60">
        <v>3.16</v>
      </c>
      <c r="K84" s="60">
        <v>158.78</v>
      </c>
      <c r="L84" s="60">
        <v>33.340000000000003</v>
      </c>
      <c r="M84" s="60">
        <v>85.58</v>
      </c>
      <c r="N84" s="60">
        <v>307.89999999999998</v>
      </c>
      <c r="O84" s="60">
        <v>0</v>
      </c>
      <c r="P84" s="60">
        <v>2.17</v>
      </c>
      <c r="Q84" s="60">
        <v>12.58</v>
      </c>
      <c r="R84" s="198"/>
      <c r="S84" s="198"/>
      <c r="T84" s="198"/>
      <c r="U84" s="198"/>
    </row>
    <row r="85" spans="1:21" s="12" customFormat="1" ht="15">
      <c r="A85" s="201" t="s">
        <v>2051</v>
      </c>
      <c r="B85" s="60">
        <v>1.85</v>
      </c>
      <c r="C85" s="60">
        <v>19.579999999999998</v>
      </c>
      <c r="D85" s="60">
        <v>21.43</v>
      </c>
      <c r="E85" s="60">
        <v>6.93</v>
      </c>
      <c r="F85" s="60">
        <v>0.84</v>
      </c>
      <c r="G85" s="60">
        <v>33.68</v>
      </c>
      <c r="H85" s="60">
        <v>14.62</v>
      </c>
      <c r="I85" s="60">
        <v>3.93</v>
      </c>
      <c r="J85" s="60">
        <v>3.35</v>
      </c>
      <c r="K85" s="60">
        <v>162.21</v>
      </c>
      <c r="L85" s="60">
        <v>33.21</v>
      </c>
      <c r="M85" s="60">
        <v>86.03</v>
      </c>
      <c r="N85" s="60">
        <v>304.70</v>
      </c>
      <c r="O85" s="60">
        <v>0</v>
      </c>
      <c r="P85" s="60">
        <v>2.16</v>
      </c>
      <c r="Q85" s="60">
        <v>12.33</v>
      </c>
      <c r="R85" s="198"/>
      <c r="S85" s="198"/>
      <c r="T85" s="198"/>
      <c r="U85" s="198"/>
    </row>
    <row r="86" spans="1:21" s="12" customFormat="1" ht="15">
      <c r="A86" s="201" t="s">
        <v>2052</v>
      </c>
      <c r="B86" s="60">
        <v>1.84</v>
      </c>
      <c r="C86" s="60">
        <v>19.59</v>
      </c>
      <c r="D86" s="60">
        <v>21.43</v>
      </c>
      <c r="E86" s="60">
        <v>7.56</v>
      </c>
      <c r="F86" s="60">
        <v>0.77</v>
      </c>
      <c r="G86" s="60">
        <v>33.68</v>
      </c>
      <c r="H86" s="60">
        <v>14.62</v>
      </c>
      <c r="I86" s="60">
        <v>3.87</v>
      </c>
      <c r="J86" s="60">
        <v>2.65</v>
      </c>
      <c r="K86" s="60">
        <v>167.56</v>
      </c>
      <c r="L86" s="60">
        <v>33.01</v>
      </c>
      <c r="M86" s="60">
        <v>87.64</v>
      </c>
      <c r="N86" s="60">
        <v>265.20</v>
      </c>
      <c r="O86" s="60">
        <v>0</v>
      </c>
      <c r="P86" s="60">
        <v>2.17</v>
      </c>
      <c r="Q86" s="60">
        <v>12.24</v>
      </c>
      <c r="R86" s="198"/>
      <c r="S86" s="198"/>
      <c r="T86" s="198"/>
      <c r="U86" s="198"/>
    </row>
    <row r="87" spans="1:21" s="12" customFormat="1" ht="15">
      <c r="A87" s="201" t="s">
        <v>2053</v>
      </c>
      <c r="B87" s="60">
        <v>1.90</v>
      </c>
      <c r="C87" s="60">
        <v>19.37</v>
      </c>
      <c r="D87" s="60">
        <v>21.27</v>
      </c>
      <c r="E87" s="60">
        <v>7.23</v>
      </c>
      <c r="F87" s="60">
        <v>1.1499999999999999</v>
      </c>
      <c r="G87" s="60">
        <v>33.68</v>
      </c>
      <c r="H87" s="60">
        <v>14.62</v>
      </c>
      <c r="I87" s="60">
        <v>3.82</v>
      </c>
      <c r="J87" s="60">
        <v>2.61</v>
      </c>
      <c r="K87" s="60">
        <v>175.02</v>
      </c>
      <c r="L87" s="60">
        <v>32.83</v>
      </c>
      <c r="M87" s="60">
        <v>87.56</v>
      </c>
      <c r="N87" s="60">
        <v>295.30</v>
      </c>
      <c r="O87" s="60">
        <v>0</v>
      </c>
      <c r="P87" s="60">
        <v>2.17</v>
      </c>
      <c r="Q87" s="60">
        <v>12.14</v>
      </c>
      <c r="R87" s="198"/>
      <c r="S87" s="198"/>
      <c r="T87" s="198"/>
      <c r="U87" s="198"/>
    </row>
    <row r="88" spans="1:21" s="12" customFormat="1" ht="15">
      <c r="A88" s="201" t="s">
        <v>2054</v>
      </c>
      <c r="B88" s="60">
        <v>2.19</v>
      </c>
      <c r="C88" s="60">
        <v>18.329999999999998</v>
      </c>
      <c r="D88" s="60">
        <v>20.52</v>
      </c>
      <c r="E88" s="60">
        <v>4.01</v>
      </c>
      <c r="F88" s="60">
        <v>0.96</v>
      </c>
      <c r="G88" s="60">
        <v>40.17</v>
      </c>
      <c r="H88" s="60">
        <v>15.81</v>
      </c>
      <c r="I88" s="60">
        <v>3.75</v>
      </c>
      <c r="J88" s="60">
        <v>2.72</v>
      </c>
      <c r="K88" s="60">
        <v>161.33000000000001</v>
      </c>
      <c r="L88" s="60">
        <v>32.880000000000003</v>
      </c>
      <c r="M88" s="60">
        <v>87.31</v>
      </c>
      <c r="N88" s="60">
        <v>276.39999999999998</v>
      </c>
      <c r="O88" s="60">
        <v>0</v>
      </c>
      <c r="P88" s="60">
        <v>2.19</v>
      </c>
      <c r="Q88" s="60">
        <v>11.65</v>
      </c>
      <c r="R88" s="198"/>
      <c r="S88" s="198"/>
      <c r="T88" s="198"/>
      <c r="U88" s="198"/>
    </row>
    <row r="89" spans="1:21" s="12" customFormat="1" ht="15">
      <c r="A89" s="201" t="s">
        <v>2055</v>
      </c>
      <c r="B89" s="60">
        <v>2.61</v>
      </c>
      <c r="C89" s="60">
        <v>17.989999999999998</v>
      </c>
      <c r="D89" s="60">
        <v>20.60</v>
      </c>
      <c r="E89" s="60">
        <v>7.07</v>
      </c>
      <c r="F89" s="60">
        <v>0.65</v>
      </c>
      <c r="G89" s="60">
        <v>42.08</v>
      </c>
      <c r="H89" s="60">
        <v>16.68</v>
      </c>
      <c r="I89" s="60">
        <v>3.70</v>
      </c>
      <c r="J89" s="60">
        <v>2.95</v>
      </c>
      <c r="K89" s="60">
        <v>162.33000000000001</v>
      </c>
      <c r="L89" s="60">
        <v>32.78</v>
      </c>
      <c r="M89" s="60">
        <v>88.14</v>
      </c>
      <c r="N89" s="60">
        <v>261.39999999999998</v>
      </c>
      <c r="O89" s="60">
        <v>0</v>
      </c>
      <c r="P89" s="60">
        <v>2.19</v>
      </c>
      <c r="Q89" s="60">
        <v>10.82</v>
      </c>
      <c r="R89" s="198"/>
      <c r="S89" s="198"/>
      <c r="T89" s="198"/>
      <c r="U89" s="198"/>
    </row>
    <row r="90" spans="1:21" s="12" customFormat="1" ht="15">
      <c r="A90" s="201" t="s">
        <v>2056</v>
      </c>
      <c r="B90" s="60">
        <v>2.94</v>
      </c>
      <c r="C90" s="60">
        <v>17.73</v>
      </c>
      <c r="D90" s="60">
        <v>20.67</v>
      </c>
      <c r="E90" s="60">
        <v>7.29</v>
      </c>
      <c r="F90" s="60">
        <v>0.43</v>
      </c>
      <c r="G90" s="60">
        <v>42.08</v>
      </c>
      <c r="H90" s="60">
        <v>16.68</v>
      </c>
      <c r="I90" s="60">
        <v>3.76</v>
      </c>
      <c r="J90" s="60">
        <v>2.80</v>
      </c>
      <c r="K90" s="60">
        <v>163.07</v>
      </c>
      <c r="L90" s="60">
        <v>32.71</v>
      </c>
      <c r="M90" s="60">
        <v>88.95</v>
      </c>
      <c r="N90" s="60">
        <v>258.30</v>
      </c>
      <c r="O90" s="60">
        <v>0</v>
      </c>
      <c r="P90" s="60">
        <v>2.19</v>
      </c>
      <c r="Q90" s="60">
        <v>10.36</v>
      </c>
      <c r="R90" s="198"/>
      <c r="S90" s="198"/>
      <c r="T90" s="198"/>
      <c r="U90" s="198"/>
    </row>
    <row r="91" spans="1:21" s="12" customFormat="1" ht="15">
      <c r="A91" s="201" t="s">
        <v>2057</v>
      </c>
      <c r="B91" s="60">
        <v>3.27</v>
      </c>
      <c r="C91" s="60">
        <v>17.47</v>
      </c>
      <c r="D91" s="60">
        <v>20.73</v>
      </c>
      <c r="E91" s="60">
        <v>7.56</v>
      </c>
      <c r="F91" s="60">
        <v>0.70</v>
      </c>
      <c r="G91" s="60">
        <v>42.08</v>
      </c>
      <c r="H91" s="60">
        <v>16.68</v>
      </c>
      <c r="I91" s="60">
        <v>3.89</v>
      </c>
      <c r="J91" s="60">
        <v>2.46</v>
      </c>
      <c r="K91" s="60">
        <v>162.97999999999999</v>
      </c>
      <c r="L91" s="60">
        <v>32.659999999999997</v>
      </c>
      <c r="M91" s="60">
        <v>88.75</v>
      </c>
      <c r="N91" s="60">
        <v>265.5</v>
      </c>
      <c r="O91" s="60">
        <v>0</v>
      </c>
      <c r="P91" s="60">
        <v>2.2000000000000002</v>
      </c>
      <c r="Q91" s="60">
        <v>10.23</v>
      </c>
      <c r="R91" s="198"/>
      <c r="S91" s="198"/>
      <c r="T91" s="198"/>
      <c r="U91" s="198"/>
    </row>
    <row r="92" spans="1:21" s="12" customFormat="1" ht="15">
      <c r="A92" s="201" t="s">
        <v>2058</v>
      </c>
      <c r="B92" s="60">
        <v>3.70</v>
      </c>
      <c r="C92" s="60">
        <v>17.37</v>
      </c>
      <c r="D92" s="60">
        <v>21.07</v>
      </c>
      <c r="E92" s="60">
        <v>8.16</v>
      </c>
      <c r="F92" s="60">
        <v>0.44</v>
      </c>
      <c r="G92" s="60">
        <v>45.72</v>
      </c>
      <c r="H92" s="60">
        <v>15.79</v>
      </c>
      <c r="I92" s="60">
        <v>4.04</v>
      </c>
      <c r="J92" s="60">
        <v>2.04</v>
      </c>
      <c r="K92" s="60">
        <v>159.19</v>
      </c>
      <c r="L92" s="60">
        <v>32.700000000000003</v>
      </c>
      <c r="M92" s="60">
        <v>89.13</v>
      </c>
      <c r="N92" s="60">
        <v>253.5</v>
      </c>
      <c r="O92" s="60">
        <v>0</v>
      </c>
      <c r="P92" s="60">
        <v>2.21</v>
      </c>
      <c r="Q92" s="60">
        <v>10.24</v>
      </c>
      <c r="R92" s="198"/>
      <c r="S92" s="198"/>
      <c r="T92" s="198"/>
      <c r="U92" s="198"/>
    </row>
    <row r="93" spans="1:21" s="12" customFormat="1" ht="15">
      <c r="A93" s="201" t="s">
        <v>2059</v>
      </c>
      <c r="B93" s="60">
        <v>4.1900000000000004</v>
      </c>
      <c r="C93" s="60">
        <v>17.28</v>
      </c>
      <c r="D93" s="60">
        <v>21.47</v>
      </c>
      <c r="E93" s="60">
        <v>7.91</v>
      </c>
      <c r="F93" s="60">
        <v>0.56999999999999995</v>
      </c>
      <c r="G93" s="60">
        <v>46.77</v>
      </c>
      <c r="H93" s="60">
        <v>15.13</v>
      </c>
      <c r="I93" s="60">
        <v>4.1100000000000003</v>
      </c>
      <c r="J93" s="60">
        <v>2.73</v>
      </c>
      <c r="K93" s="60">
        <v>163.54</v>
      </c>
      <c r="L93" s="60">
        <v>32.630000000000003</v>
      </c>
      <c r="M93" s="60">
        <v>89.80</v>
      </c>
      <c r="N93" s="60">
        <v>255.60</v>
      </c>
      <c r="O93" s="60">
        <v>0</v>
      </c>
      <c r="P93" s="60">
        <v>2.2200000000000002</v>
      </c>
      <c r="Q93" s="60">
        <v>10.24</v>
      </c>
      <c r="R93" s="198"/>
      <c r="S93" s="198"/>
      <c r="T93" s="198"/>
      <c r="U93" s="198"/>
    </row>
    <row r="94" spans="1:21" s="12" customFormat="1" ht="15">
      <c r="A94" s="201" t="s">
        <v>2060</v>
      </c>
      <c r="B94" s="60">
        <v>4.66</v>
      </c>
      <c r="C94" s="60">
        <v>17.37</v>
      </c>
      <c r="D94" s="60">
        <v>22.03</v>
      </c>
      <c r="E94" s="60">
        <v>8.2799999999999994</v>
      </c>
      <c r="F94" s="60">
        <v>0.36</v>
      </c>
      <c r="G94" s="60">
        <v>46.77</v>
      </c>
      <c r="H94" s="60">
        <v>15.13</v>
      </c>
      <c r="I94" s="60">
        <v>4.1399999999999997</v>
      </c>
      <c r="J94" s="60">
        <v>2.61</v>
      </c>
      <c r="K94" s="60">
        <v>169.82</v>
      </c>
      <c r="L94" s="60">
        <v>32.729999999999997</v>
      </c>
      <c r="M94" s="60">
        <v>89.56</v>
      </c>
      <c r="N94" s="60">
        <v>274.80</v>
      </c>
      <c r="O94" s="60">
        <v>0</v>
      </c>
      <c r="P94" s="60">
        <v>2.2200000000000002</v>
      </c>
      <c r="Q94" s="60">
        <v>10.41</v>
      </c>
      <c r="R94" s="198"/>
      <c r="S94" s="198"/>
      <c r="T94" s="198"/>
      <c r="U94" s="198"/>
    </row>
    <row r="95" spans="1:21" s="12" customFormat="1" ht="15">
      <c r="A95" s="201" t="s">
        <v>2061</v>
      </c>
      <c r="B95" s="60">
        <v>5.1100000000000003</v>
      </c>
      <c r="C95" s="60">
        <v>18.72</v>
      </c>
      <c r="D95" s="60">
        <v>23.83</v>
      </c>
      <c r="E95" s="60">
        <v>8.3000000000000007</v>
      </c>
      <c r="F95" s="60">
        <v>0.33</v>
      </c>
      <c r="G95" s="60">
        <v>46.77</v>
      </c>
      <c r="H95" s="60">
        <v>15.13</v>
      </c>
      <c r="I95" s="60">
        <v>4.25</v>
      </c>
      <c r="J95" s="60">
        <v>3.18</v>
      </c>
      <c r="K95" s="60">
        <v>166.22</v>
      </c>
      <c r="L95" s="60">
        <v>32.81</v>
      </c>
      <c r="M95" s="60">
        <v>89.91</v>
      </c>
      <c r="N95" s="60">
        <v>267.60000000000002</v>
      </c>
      <c r="O95" s="60">
        <v>0</v>
      </c>
      <c r="P95" s="60">
        <v>2.23</v>
      </c>
      <c r="Q95" s="60">
        <v>11.18</v>
      </c>
      <c r="R95" s="198"/>
      <c r="S95" s="198"/>
      <c r="T95" s="198"/>
      <c r="U95" s="198"/>
    </row>
    <row r="96" spans="1:26" s="12" customFormat="1" ht="15">
      <c r="A96" s="201" t="s">
        <v>2062</v>
      </c>
      <c r="B96" s="60">
        <v>5.27</v>
      </c>
      <c r="C96" s="60">
        <v>19.16</v>
      </c>
      <c r="D96" s="60">
        <v>24.43</v>
      </c>
      <c r="E96" s="60">
        <v>7.83</v>
      </c>
      <c r="F96" s="60">
        <v>0.65</v>
      </c>
      <c r="G96" s="60">
        <v>47.84</v>
      </c>
      <c r="H96" s="60">
        <v>17.55</v>
      </c>
      <c r="I96" s="60">
        <v>4.26</v>
      </c>
      <c r="J96" s="60">
        <v>3.19</v>
      </c>
      <c r="K96" s="60">
        <v>158.75</v>
      </c>
      <c r="L96" s="60">
        <v>32.76</v>
      </c>
      <c r="M96" s="60">
        <v>90.39</v>
      </c>
      <c r="N96" s="60">
        <v>262.60000000000002</v>
      </c>
      <c r="O96" s="60">
        <v>0</v>
      </c>
      <c r="P96" s="60">
        <v>2.2200000000000002</v>
      </c>
      <c r="Q96" s="60">
        <v>11.89</v>
      </c>
      <c r="R96" s="198"/>
      <c r="S96" s="198"/>
      <c r="T96" s="198"/>
      <c r="U96" s="198"/>
      <c r="Z96" s="109"/>
    </row>
    <row r="97" spans="1:21" s="12" customFormat="1" ht="15">
      <c r="A97" s="201" t="s">
        <v>2063</v>
      </c>
      <c r="B97" s="60">
        <v>4.95</v>
      </c>
      <c r="C97" s="60">
        <v>19.22</v>
      </c>
      <c r="D97" s="60">
        <v>24.17</v>
      </c>
      <c r="E97" s="60">
        <v>7.62</v>
      </c>
      <c r="F97" s="60">
        <v>0.64</v>
      </c>
      <c r="G97" s="60">
        <v>48.15</v>
      </c>
      <c r="H97" s="60">
        <v>19.32</v>
      </c>
      <c r="I97" s="60">
        <v>4.25</v>
      </c>
      <c r="J97" s="60">
        <v>2.89</v>
      </c>
      <c r="K97" s="60">
        <v>161.75</v>
      </c>
      <c r="L97" s="60">
        <v>32.729999999999997</v>
      </c>
      <c r="M97" s="60">
        <v>89.92</v>
      </c>
      <c r="N97" s="60">
        <v>276.5</v>
      </c>
      <c r="O97" s="60">
        <v>0</v>
      </c>
      <c r="P97" s="60">
        <v>2.21</v>
      </c>
      <c r="Q97" s="60">
        <v>12.24</v>
      </c>
      <c r="R97" s="198"/>
      <c r="S97" s="198"/>
      <c r="T97" s="198"/>
      <c r="U97" s="198"/>
    </row>
    <row r="98" spans="1:21" s="12" customFormat="1" ht="15">
      <c r="A98" s="201" t="s">
        <v>2064</v>
      </c>
      <c r="B98" s="60">
        <v>4.58</v>
      </c>
      <c r="C98" s="60">
        <v>19.23</v>
      </c>
      <c r="D98" s="60">
        <v>23.81</v>
      </c>
      <c r="E98" s="60">
        <v>7.61</v>
      </c>
      <c r="F98" s="60">
        <v>0.49</v>
      </c>
      <c r="G98" s="60">
        <v>48.15</v>
      </c>
      <c r="H98" s="60">
        <v>19.32</v>
      </c>
      <c r="I98" s="60">
        <v>4.22</v>
      </c>
      <c r="J98" s="60">
        <v>2.33</v>
      </c>
      <c r="K98" s="60">
        <v>162.15</v>
      </c>
      <c r="L98" s="60">
        <v>32.68</v>
      </c>
      <c r="M98" s="60">
        <v>90.44</v>
      </c>
      <c r="N98" s="60">
        <v>281.89999999999998</v>
      </c>
      <c r="O98" s="60">
        <v>0</v>
      </c>
      <c r="P98" s="60">
        <v>2.2000000000000002</v>
      </c>
      <c r="Q98" s="60">
        <v>12.52</v>
      </c>
      <c r="R98" s="198"/>
      <c r="S98" s="198"/>
      <c r="T98" s="198"/>
      <c r="U98" s="198"/>
    </row>
    <row r="99" spans="1:21" s="12" customFormat="1" ht="15">
      <c r="A99" s="201" t="s">
        <v>2065</v>
      </c>
      <c r="B99" s="60">
        <v>4.26</v>
      </c>
      <c r="C99" s="60">
        <v>19.170000000000002</v>
      </c>
      <c r="D99" s="60">
        <v>23.42</v>
      </c>
      <c r="E99" s="60">
        <v>7.63</v>
      </c>
      <c r="F99" s="60">
        <v>0.14000000000000001</v>
      </c>
      <c r="G99" s="60">
        <v>48.15</v>
      </c>
      <c r="H99" s="60">
        <v>19.32</v>
      </c>
      <c r="I99" s="60">
        <v>4.13</v>
      </c>
      <c r="J99" s="60">
        <v>2.27</v>
      </c>
      <c r="K99" s="60">
        <v>157.87</v>
      </c>
      <c r="L99" s="60">
        <v>32.61</v>
      </c>
      <c r="M99" s="60">
        <v>90.90</v>
      </c>
      <c r="N99" s="60">
        <v>291.70</v>
      </c>
      <c r="O99" s="60">
        <v>0</v>
      </c>
      <c r="P99" s="60">
        <v>2.19</v>
      </c>
      <c r="Q99" s="60">
        <v>12.83</v>
      </c>
      <c r="R99" s="198"/>
      <c r="S99" s="198"/>
      <c r="T99" s="198"/>
      <c r="U99" s="198"/>
    </row>
    <row r="100" spans="1:33" s="12" customFormat="1" ht="15">
      <c r="A100" s="201" t="s">
        <v>2066</v>
      </c>
      <c r="B100" s="60">
        <v>4.1900000000000004</v>
      </c>
      <c r="C100" s="60">
        <v>19.12</v>
      </c>
      <c r="D100" s="60">
        <v>23.30</v>
      </c>
      <c r="E100" s="60">
        <v>7.32</v>
      </c>
      <c r="F100" s="60">
        <v>0.31</v>
      </c>
      <c r="G100" s="60">
        <v>41.48</v>
      </c>
      <c r="H100" s="60">
        <v>17.21</v>
      </c>
      <c r="I100" s="60">
        <v>4.0199999999999996</v>
      </c>
      <c r="J100" s="60">
        <v>1.58</v>
      </c>
      <c r="K100" s="60">
        <v>154.46</v>
      </c>
      <c r="L100" s="60">
        <v>32.61</v>
      </c>
      <c r="M100" s="60">
        <v>91.52</v>
      </c>
      <c r="N100" s="60">
        <v>271.5</v>
      </c>
      <c r="O100" s="60">
        <v>0</v>
      </c>
      <c r="P100" s="60">
        <v>2.1800000000000002</v>
      </c>
      <c r="Q100" s="60">
        <v>13.09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2067</v>
      </c>
      <c r="B101" s="60">
        <v>5.23</v>
      </c>
      <c r="C101" s="60">
        <v>19.41</v>
      </c>
      <c r="D101" s="60">
        <v>24.64</v>
      </c>
      <c r="E101" s="60">
        <v>6.99</v>
      </c>
      <c r="F101" s="60">
        <v>0.06</v>
      </c>
      <c r="G101" s="60">
        <v>39.56</v>
      </c>
      <c r="H101" s="60">
        <v>15.73</v>
      </c>
      <c r="I101" s="60">
        <v>3.93</v>
      </c>
      <c r="J101" s="60">
        <v>1.19</v>
      </c>
      <c r="K101" s="60">
        <v>98.68</v>
      </c>
      <c r="L101" s="60">
        <v>32.61</v>
      </c>
      <c r="M101" s="60">
        <v>91.92</v>
      </c>
      <c r="N101" s="60">
        <v>242.30</v>
      </c>
      <c r="O101" s="60">
        <v>0</v>
      </c>
      <c r="P101" s="60">
        <v>2.17</v>
      </c>
      <c r="Q101" s="60">
        <v>13.51</v>
      </c>
      <c r="R101" s="198"/>
      <c r="S101" s="198"/>
      <c r="T101" s="198"/>
      <c r="U101" s="198"/>
    </row>
    <row r="102" spans="1:21" s="12" customFormat="1" ht="15">
      <c r="A102" s="201" t="s">
        <v>2068</v>
      </c>
      <c r="B102" s="60">
        <v>5.77</v>
      </c>
      <c r="C102" s="60">
        <v>19.55</v>
      </c>
      <c r="D102" s="60">
        <v>25.32</v>
      </c>
      <c r="E102" s="60">
        <v>7</v>
      </c>
      <c r="F102" s="60">
        <v>0.04</v>
      </c>
      <c r="G102" s="60">
        <v>39.56</v>
      </c>
      <c r="H102" s="60">
        <v>15.73</v>
      </c>
      <c r="I102" s="60">
        <v>3.85</v>
      </c>
      <c r="J102" s="60">
        <v>1.95</v>
      </c>
      <c r="K102" s="60">
        <v>110</v>
      </c>
      <c r="L102" s="60">
        <v>32.619999999999997</v>
      </c>
      <c r="M102" s="60">
        <v>91.99</v>
      </c>
      <c r="N102" s="60">
        <v>283.39999999999998</v>
      </c>
      <c r="O102" s="60">
        <v>0</v>
      </c>
      <c r="P102" s="60">
        <v>2.17</v>
      </c>
      <c r="Q102" s="60">
        <v>13.74</v>
      </c>
      <c r="R102" s="198"/>
      <c r="S102" s="198"/>
      <c r="T102" s="198"/>
      <c r="U102" s="198"/>
    </row>
    <row r="103" spans="1:21" s="12" customFormat="1" ht="15">
      <c r="A103" s="201" t="s">
        <v>2069</v>
      </c>
      <c r="B103" s="60">
        <v>5.82</v>
      </c>
      <c r="C103" s="60">
        <v>18.91</v>
      </c>
      <c r="D103" s="60">
        <v>24.73</v>
      </c>
      <c r="E103" s="60">
        <v>7.02</v>
      </c>
      <c r="F103" s="60">
        <v>0.28999999999999998</v>
      </c>
      <c r="G103" s="60">
        <v>39.56</v>
      </c>
      <c r="H103" s="60">
        <v>15.73</v>
      </c>
      <c r="I103" s="60">
        <v>3.79</v>
      </c>
      <c r="J103" s="60">
        <v>2.4700000000000002</v>
      </c>
      <c r="K103" s="60">
        <v>81.16</v>
      </c>
      <c r="L103" s="60">
        <v>32.770000000000003</v>
      </c>
      <c r="M103" s="60">
        <v>91.36</v>
      </c>
      <c r="N103" s="60">
        <v>301.5</v>
      </c>
      <c r="O103" s="60">
        <v>0</v>
      </c>
      <c r="P103" s="60">
        <v>2.16</v>
      </c>
      <c r="Q103" s="60">
        <v>13.76</v>
      </c>
      <c r="R103" s="198"/>
      <c r="S103" s="198"/>
      <c r="T103" s="198"/>
      <c r="U103" s="198"/>
    </row>
    <row r="104" spans="1:21" s="12" customFormat="1" ht="15">
      <c r="A104" s="201" t="s">
        <v>2070</v>
      </c>
      <c r="B104" s="60">
        <v>5.62</v>
      </c>
      <c r="C104" s="60">
        <v>18.579999999999998</v>
      </c>
      <c r="D104" s="60">
        <v>24.20</v>
      </c>
      <c r="E104" s="60">
        <v>2.91</v>
      </c>
      <c r="F104" s="60">
        <v>0.54</v>
      </c>
      <c r="G104" s="60">
        <v>42.15</v>
      </c>
      <c r="H104" s="60">
        <v>16.05</v>
      </c>
      <c r="I104" s="60">
        <v>3.76</v>
      </c>
      <c r="J104" s="60">
        <v>2.72</v>
      </c>
      <c r="K104" s="60">
        <v>80.459999999999994</v>
      </c>
      <c r="L104" s="60">
        <v>32.799999999999997</v>
      </c>
      <c r="M104" s="60">
        <v>91.34</v>
      </c>
      <c r="N104" s="60">
        <v>277.5</v>
      </c>
      <c r="O104" s="60">
        <v>0</v>
      </c>
      <c r="P104" s="60">
        <v>2.15</v>
      </c>
      <c r="Q104" s="60">
        <v>13.52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0.58999999999999997</v>
      </c>
      <c r="C106" s="67">
        <f>MIN(C9:C104)</f>
        <v>13.9</v>
      </c>
      <c r="D106" s="67">
        <f t="shared" si="0" ref="D106:Q106">MIN(D9:D104)</f>
        <v>16.18</v>
      </c>
      <c r="E106" s="67">
        <f t="shared" si="0"/>
        <v>2.9100000000000001</v>
      </c>
      <c r="F106" s="67">
        <f t="shared" si="0"/>
        <v>0.040000000000000001</v>
      </c>
      <c r="G106" s="67">
        <f t="shared" si="0"/>
        <v>33.68</v>
      </c>
      <c r="H106" s="67">
        <f t="shared" si="0"/>
        <v>9.8599999999999994</v>
      </c>
      <c r="I106" s="67">
        <f t="shared" si="0"/>
        <v>3.27</v>
      </c>
      <c r="J106" s="67">
        <f t="shared" si="0"/>
        <v>0.17000000000000001</v>
      </c>
      <c r="K106" s="67">
        <f t="shared" si="0"/>
        <v>2.1200000000000001</v>
      </c>
      <c r="L106" s="67">
        <f t="shared" si="0"/>
        <v>30.739999999999998</v>
      </c>
      <c r="M106" s="67">
        <f t="shared" si="0"/>
        <v>62.200000000000003</v>
      </c>
      <c r="N106" s="67">
        <f t="shared" si="0"/>
        <v>109.2</v>
      </c>
      <c r="O106" s="67">
        <f t="shared" si="0"/>
        <v>0</v>
      </c>
      <c r="P106" s="67">
        <f t="shared" si="0"/>
        <v>2.0299999999999998</v>
      </c>
      <c r="Q106" s="67">
        <f t="shared" si="0"/>
        <v>10.23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8.2699999999999996</v>
      </c>
      <c r="C107" s="66">
        <f t="shared" si="1" ref="C107:Q107">MAX(C9:C104)</f>
        <v>26.260000000000002</v>
      </c>
      <c r="D107" s="66">
        <f t="shared" si="1"/>
        <v>34.310000000000002</v>
      </c>
      <c r="E107" s="66">
        <f t="shared" si="1"/>
        <v>8.5899999999999999</v>
      </c>
      <c r="F107" s="66">
        <f t="shared" si="1"/>
        <v>3.1499999999999999</v>
      </c>
      <c r="G107" s="66">
        <f t="shared" si="1"/>
        <v>64.269999999999996</v>
      </c>
      <c r="H107" s="66">
        <f t="shared" si="1"/>
        <v>25.850000000000001</v>
      </c>
      <c r="I107" s="66">
        <f t="shared" si="1"/>
        <v>5.6799999999999997</v>
      </c>
      <c r="J107" s="66">
        <f t="shared" si="1"/>
        <v>6.0999999999999996</v>
      </c>
      <c r="K107" s="66">
        <f t="shared" si="1"/>
        <v>359.07999999999998</v>
      </c>
      <c r="L107" s="66">
        <f t="shared" si="1"/>
        <v>42.799999999999997</v>
      </c>
      <c r="M107" s="66">
        <f t="shared" si="1"/>
        <v>99.379999999999995</v>
      </c>
      <c r="N107" s="66">
        <f t="shared" si="1"/>
        <v>708.39999999999998</v>
      </c>
      <c r="O107" s="66">
        <f t="shared" si="1"/>
        <v>12.199999999999999</v>
      </c>
      <c r="P107" s="66">
        <f t="shared" si="1"/>
        <v>2.3799999999999999</v>
      </c>
      <c r="Q107" s="66">
        <f t="shared" si="1"/>
        <v>18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3.3219791666666665</v>
      </c>
      <c r="C108" s="67">
        <f t="shared" si="2" ref="C108:Q108">AVERAGE(C9:C104)</f>
        <v>18.784166666666664</v>
      </c>
      <c r="D108" s="67">
        <f t="shared" si="2"/>
        <v>22.105833333333337</v>
      </c>
      <c r="E108" s="67">
        <f t="shared" si="2"/>
        <v>6.3953125000000002</v>
      </c>
      <c r="F108" s="67">
        <f t="shared" si="2"/>
        <v>1.0107291666666671</v>
      </c>
      <c r="G108" s="67">
        <f t="shared" si="2"/>
        <v>47.062916666666638</v>
      </c>
      <c r="H108" s="67">
        <f t="shared" si="2"/>
        <v>18.401354166666668</v>
      </c>
      <c r="I108" s="67">
        <f t="shared" si="2"/>
        <v>4.1066666666666674</v>
      </c>
      <c r="J108" s="67">
        <f t="shared" si="2"/>
        <v>2.2961458333333336</v>
      </c>
      <c r="K108" s="67">
        <f t="shared" si="2"/>
        <v>197.53156250000004</v>
      </c>
      <c r="L108" s="67">
        <f t="shared" si="2"/>
        <v>34.486458333333346</v>
      </c>
      <c r="M108" s="67">
        <f t="shared" si="2"/>
        <v>82.780416666666696</v>
      </c>
      <c r="N108" s="67">
        <f t="shared" si="2"/>
        <v>285.29583333333335</v>
      </c>
      <c r="O108" s="67">
        <f t="shared" si="2"/>
        <v>0.19166666666666662</v>
      </c>
      <c r="P108" s="67">
        <f t="shared" si="2"/>
        <v>2.183645833333332</v>
      </c>
      <c r="Q108" s="67">
        <f t="shared" si="2"/>
        <v>13.550416666666669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1.8163912283146071</v>
      </c>
      <c r="C109" s="67">
        <f t="shared" si="3" ref="C109:Q109">STDEV(C9:C104)</f>
        <v>2.9537824695113999</v>
      </c>
      <c r="D109" s="67">
        <f t="shared" si="3"/>
        <v>4.1575614478901484</v>
      </c>
      <c r="E109" s="67">
        <f t="shared" si="3"/>
        <v>1.3791705769277269</v>
      </c>
      <c r="F109" s="67">
        <f t="shared" si="3"/>
        <v>0.75098706246010394</v>
      </c>
      <c r="G109" s="67">
        <f t="shared" si="3"/>
        <v>7.8488422098479012</v>
      </c>
      <c r="H109" s="67">
        <f t="shared" si="3"/>
        <v>3.6587977950174486</v>
      </c>
      <c r="I109" s="67">
        <f t="shared" si="3"/>
        <v>0.56270337454052199</v>
      </c>
      <c r="J109" s="67">
        <f t="shared" si="3"/>
        <v>0.99826203689123927</v>
      </c>
      <c r="K109" s="67">
        <f t="shared" si="3"/>
        <v>86.613705033546083</v>
      </c>
      <c r="L109" s="67">
        <f t="shared" si="3"/>
        <v>2.8566664338062098</v>
      </c>
      <c r="M109" s="67">
        <f t="shared" si="3"/>
        <v>10.061637610424395</v>
      </c>
      <c r="N109" s="67">
        <f t="shared" si="3"/>
        <v>130.65841920355496</v>
      </c>
      <c r="O109" s="67">
        <f t="shared" si="3"/>
        <v>1.2827328282896362</v>
      </c>
      <c r="P109" s="67">
        <f t="shared" si="3"/>
        <v>0.081964302777639497</v>
      </c>
      <c r="Q109" s="67">
        <f t="shared" si="3"/>
        <v>1.9570665032761387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050c01-bd9e-4625-88a4-091aa6622dae}">
  <sheetPr codeName=""/>
  <dimension ref="A1:AG117"/>
  <sheetViews>
    <sheetView workbookViewId="0" topLeftCell="A1">
      <pane xSplit="1" ySplit="8" topLeftCell="B9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K110" sqref="K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20-06-2022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2071</v>
      </c>
      <c r="B9" s="60">
        <v>5.26</v>
      </c>
      <c r="C9" s="60">
        <v>18</v>
      </c>
      <c r="D9" s="60">
        <v>23.25</v>
      </c>
      <c r="E9" s="60">
        <v>6.46</v>
      </c>
      <c r="F9" s="60">
        <v>0.73</v>
      </c>
      <c r="G9" s="60">
        <v>43.58</v>
      </c>
      <c r="H9" s="60">
        <v>16.28</v>
      </c>
      <c r="I9" s="60">
        <v>3.71</v>
      </c>
      <c r="J9" s="60">
        <v>1.26</v>
      </c>
      <c r="K9" s="60">
        <v>138.21</v>
      </c>
      <c r="L9" s="60">
        <v>32.78</v>
      </c>
      <c r="M9" s="60">
        <v>91.66</v>
      </c>
      <c r="N9" s="60">
        <v>304.20</v>
      </c>
      <c r="O9" s="60">
        <v>0</v>
      </c>
      <c r="P9" s="60">
        <v>2.14</v>
      </c>
      <c r="Q9" s="60">
        <v>12.86</v>
      </c>
      <c r="R9" s="198"/>
      <c r="S9" s="198"/>
      <c r="T9" s="198"/>
      <c r="U9" s="198"/>
    </row>
    <row r="10" spans="1:21" s="12" customFormat="1" ht="15">
      <c r="A10" s="201" t="s">
        <v>2072</v>
      </c>
      <c r="B10" s="60">
        <v>5.15</v>
      </c>
      <c r="C10" s="60">
        <v>17.36</v>
      </c>
      <c r="D10" s="60">
        <v>22.51</v>
      </c>
      <c r="E10" s="60">
        <v>7.21</v>
      </c>
      <c r="F10" s="60">
        <v>0.62</v>
      </c>
      <c r="G10" s="60">
        <v>43.58</v>
      </c>
      <c r="H10" s="60">
        <v>16.28</v>
      </c>
      <c r="I10" s="60">
        <v>3.67</v>
      </c>
      <c r="J10" s="60">
        <v>1.76</v>
      </c>
      <c r="K10" s="60">
        <v>166.08</v>
      </c>
      <c r="L10" s="60">
        <v>32.82</v>
      </c>
      <c r="M10" s="60">
        <v>91.66</v>
      </c>
      <c r="N10" s="60">
        <v>303.5</v>
      </c>
      <c r="O10" s="60">
        <v>0</v>
      </c>
      <c r="P10" s="60">
        <v>2.13</v>
      </c>
      <c r="Q10" s="60">
        <v>11.94</v>
      </c>
      <c r="R10" s="198"/>
      <c r="S10" s="198"/>
      <c r="T10" s="198"/>
      <c r="U10" s="198"/>
    </row>
    <row r="11" spans="1:21" s="12" customFormat="1" ht="15">
      <c r="A11" s="201" t="s">
        <v>2073</v>
      </c>
      <c r="B11" s="60">
        <v>5.0599999999999996</v>
      </c>
      <c r="C11" s="60">
        <v>16.64</v>
      </c>
      <c r="D11" s="60">
        <v>21.70</v>
      </c>
      <c r="E11" s="60">
        <v>7.61</v>
      </c>
      <c r="F11" s="60">
        <v>0.49</v>
      </c>
      <c r="G11" s="60">
        <v>43.58</v>
      </c>
      <c r="H11" s="60">
        <v>16.28</v>
      </c>
      <c r="I11" s="60">
        <v>3.74</v>
      </c>
      <c r="J11" s="60">
        <v>1.40</v>
      </c>
      <c r="K11" s="60">
        <v>142.99</v>
      </c>
      <c r="L11" s="60">
        <v>32.74</v>
      </c>
      <c r="M11" s="60">
        <v>92.27</v>
      </c>
      <c r="N11" s="60">
        <v>292.60000000000002</v>
      </c>
      <c r="O11" s="60">
        <v>0</v>
      </c>
      <c r="P11" s="60">
        <v>2.13</v>
      </c>
      <c r="Q11" s="60">
        <v>11.21</v>
      </c>
      <c r="R11" s="198"/>
      <c r="S11" s="198"/>
      <c r="T11" s="198"/>
      <c r="U11" s="198"/>
    </row>
    <row r="12" spans="1:21" s="12" customFormat="1" ht="15">
      <c r="A12" s="201" t="s">
        <v>2074</v>
      </c>
      <c r="B12" s="60">
        <v>5.05</v>
      </c>
      <c r="C12" s="60">
        <v>15.94</v>
      </c>
      <c r="D12" s="60">
        <v>20.99</v>
      </c>
      <c r="E12" s="60">
        <v>7.56</v>
      </c>
      <c r="F12" s="60">
        <v>0.59</v>
      </c>
      <c r="G12" s="60">
        <v>39.950000000000003</v>
      </c>
      <c r="H12" s="60">
        <v>15.07</v>
      </c>
      <c r="I12" s="60">
        <v>3.81</v>
      </c>
      <c r="J12" s="60">
        <v>1.32</v>
      </c>
      <c r="K12" s="60">
        <v>155.09</v>
      </c>
      <c r="L12" s="60">
        <v>32.729999999999997</v>
      </c>
      <c r="M12" s="60">
        <v>92.42</v>
      </c>
      <c r="N12" s="60">
        <v>325.70</v>
      </c>
      <c r="O12" s="60">
        <v>0</v>
      </c>
      <c r="P12" s="60">
        <v>2.13</v>
      </c>
      <c r="Q12" s="60">
        <v>10.79</v>
      </c>
      <c r="R12" s="198"/>
      <c r="S12" s="198"/>
      <c r="T12" s="198"/>
      <c r="U12" s="198"/>
    </row>
    <row r="13" spans="1:21" s="12" customFormat="1" ht="15">
      <c r="A13" s="201" t="s">
        <v>2075</v>
      </c>
      <c r="B13" s="60">
        <v>5.04</v>
      </c>
      <c r="C13" s="60">
        <v>15.27</v>
      </c>
      <c r="D13" s="60">
        <v>20.30</v>
      </c>
      <c r="E13" s="60">
        <v>8.0299999999999994</v>
      </c>
      <c r="F13" s="60">
        <v>0.43</v>
      </c>
      <c r="G13" s="60">
        <v>38.90</v>
      </c>
      <c r="H13" s="60">
        <v>14.18</v>
      </c>
      <c r="I13" s="60">
        <v>3.81</v>
      </c>
      <c r="J13" s="60">
        <v>1.52</v>
      </c>
      <c r="K13" s="60">
        <v>152.76</v>
      </c>
      <c r="L13" s="60">
        <v>32.67</v>
      </c>
      <c r="M13" s="60">
        <v>92.78</v>
      </c>
      <c r="N13" s="60">
        <v>322</v>
      </c>
      <c r="O13" s="60">
        <v>0</v>
      </c>
      <c r="P13" s="60">
        <v>2.12</v>
      </c>
      <c r="Q13" s="60">
        <v>10.43</v>
      </c>
      <c r="R13" s="198"/>
      <c r="S13" s="198"/>
      <c r="T13" s="198"/>
      <c r="U13" s="198"/>
    </row>
    <row r="14" spans="1:21" s="12" customFormat="1" ht="15">
      <c r="A14" s="201" t="s">
        <v>2076</v>
      </c>
      <c r="B14" s="60">
        <v>5.03</v>
      </c>
      <c r="C14" s="60">
        <v>14.93</v>
      </c>
      <c r="D14" s="60">
        <v>19.96</v>
      </c>
      <c r="E14" s="60">
        <v>7.98</v>
      </c>
      <c r="F14" s="60">
        <v>0.71</v>
      </c>
      <c r="G14" s="60">
        <v>38.90</v>
      </c>
      <c r="H14" s="60">
        <v>14.18</v>
      </c>
      <c r="I14" s="60">
        <v>3.83</v>
      </c>
      <c r="J14" s="60">
        <v>0.76</v>
      </c>
      <c r="K14" s="60">
        <v>130.44999999999999</v>
      </c>
      <c r="L14" s="60">
        <v>32.659999999999997</v>
      </c>
      <c r="M14" s="60">
        <v>92.89</v>
      </c>
      <c r="N14" s="60">
        <v>330</v>
      </c>
      <c r="O14" s="60">
        <v>0</v>
      </c>
      <c r="P14" s="60">
        <v>2.11</v>
      </c>
      <c r="Q14" s="60">
        <v>10.26</v>
      </c>
      <c r="R14" s="198"/>
      <c r="S14" s="198"/>
      <c r="T14" s="198"/>
      <c r="U14" s="198"/>
    </row>
    <row r="15" spans="1:21" s="12" customFormat="1" ht="15">
      <c r="A15" s="201" t="s">
        <v>2077</v>
      </c>
      <c r="B15" s="60">
        <v>5.0599999999999996</v>
      </c>
      <c r="C15" s="60">
        <v>14.56</v>
      </c>
      <c r="D15" s="60">
        <v>19.62</v>
      </c>
      <c r="E15" s="60">
        <v>8.58</v>
      </c>
      <c r="F15" s="60">
        <v>0.54</v>
      </c>
      <c r="G15" s="60">
        <v>38.90</v>
      </c>
      <c r="H15" s="60">
        <v>14.18</v>
      </c>
      <c r="I15" s="60">
        <v>3.85</v>
      </c>
      <c r="J15" s="60">
        <v>1.1299999999999999</v>
      </c>
      <c r="K15" s="60">
        <v>157.36000000000001</v>
      </c>
      <c r="L15" s="60">
        <v>32.60</v>
      </c>
      <c r="M15" s="60">
        <v>93.16</v>
      </c>
      <c r="N15" s="60">
        <v>338.70</v>
      </c>
      <c r="O15" s="60">
        <v>0</v>
      </c>
      <c r="P15" s="60">
        <v>2.11</v>
      </c>
      <c r="Q15" s="60">
        <v>10.18</v>
      </c>
      <c r="R15" s="198"/>
      <c r="S15" s="198"/>
      <c r="T15" s="198"/>
      <c r="U15" s="198"/>
    </row>
    <row r="16" spans="1:21" s="12" customFormat="1" ht="15">
      <c r="A16" s="201" t="s">
        <v>2078</v>
      </c>
      <c r="B16" s="60">
        <v>5.08</v>
      </c>
      <c r="C16" s="60">
        <v>14.24</v>
      </c>
      <c r="D16" s="60">
        <v>19.32</v>
      </c>
      <c r="E16" s="60">
        <v>8.5399999999999991</v>
      </c>
      <c r="F16" s="60">
        <v>0.47</v>
      </c>
      <c r="G16" s="60">
        <v>38.72</v>
      </c>
      <c r="H16" s="60">
        <v>15.14</v>
      </c>
      <c r="I16" s="60">
        <v>3.89</v>
      </c>
      <c r="J16" s="60">
        <v>2.56</v>
      </c>
      <c r="K16" s="60">
        <v>164.08</v>
      </c>
      <c r="L16" s="60">
        <v>32.700000000000003</v>
      </c>
      <c r="M16" s="60">
        <v>92.72</v>
      </c>
      <c r="N16" s="60">
        <v>313</v>
      </c>
      <c r="O16" s="60">
        <v>0</v>
      </c>
      <c r="P16" s="60">
        <v>2.11</v>
      </c>
      <c r="Q16" s="60">
        <v>10.09</v>
      </c>
      <c r="R16" s="198"/>
      <c r="S16" s="198"/>
      <c r="T16" s="198"/>
      <c r="U16" s="198"/>
    </row>
    <row r="17" spans="1:21" s="12" customFormat="1" ht="15">
      <c r="A17" s="201" t="s">
        <v>2079</v>
      </c>
      <c r="B17" s="60">
        <v>4.82</v>
      </c>
      <c r="C17" s="60">
        <v>14.77</v>
      </c>
      <c r="D17" s="60">
        <v>19.59</v>
      </c>
      <c r="E17" s="60">
        <v>8.4700000000000006</v>
      </c>
      <c r="F17" s="60">
        <v>0.38</v>
      </c>
      <c r="G17" s="60">
        <v>38.659999999999997</v>
      </c>
      <c r="H17" s="60">
        <v>15.85</v>
      </c>
      <c r="I17" s="60">
        <v>3.91</v>
      </c>
      <c r="J17" s="60">
        <v>2.5499999999999998</v>
      </c>
      <c r="K17" s="60">
        <v>165.20</v>
      </c>
      <c r="L17" s="60">
        <v>32.729999999999997</v>
      </c>
      <c r="M17" s="60">
        <v>92.30</v>
      </c>
      <c r="N17" s="60">
        <v>344.90</v>
      </c>
      <c r="O17" s="60">
        <v>0</v>
      </c>
      <c r="P17" s="60">
        <v>2.10</v>
      </c>
      <c r="Q17" s="60">
        <v>10.37</v>
      </c>
      <c r="R17" s="198"/>
      <c r="S17" s="198"/>
      <c r="T17" s="198"/>
      <c r="U17" s="198"/>
    </row>
    <row r="18" spans="1:21" s="12" customFormat="1" ht="15">
      <c r="A18" s="201" t="s">
        <v>2080</v>
      </c>
      <c r="B18" s="60">
        <v>4.3899999999999997</v>
      </c>
      <c r="C18" s="60">
        <v>14.75</v>
      </c>
      <c r="D18" s="60">
        <v>19.149999999999999</v>
      </c>
      <c r="E18" s="60">
        <v>8.32</v>
      </c>
      <c r="F18" s="60">
        <v>0.35</v>
      </c>
      <c r="G18" s="60">
        <v>38.659999999999997</v>
      </c>
      <c r="H18" s="60">
        <v>15.85</v>
      </c>
      <c r="I18" s="60">
        <v>3.93</v>
      </c>
      <c r="J18" s="60">
        <v>2.2599999999999998</v>
      </c>
      <c r="K18" s="60">
        <v>170.77</v>
      </c>
      <c r="L18" s="60">
        <v>32.71</v>
      </c>
      <c r="M18" s="60">
        <v>92.46</v>
      </c>
      <c r="N18" s="60">
        <v>343.5</v>
      </c>
      <c r="O18" s="60">
        <v>0</v>
      </c>
      <c r="P18" s="60">
        <v>2.09</v>
      </c>
      <c r="Q18" s="60">
        <v>10.80</v>
      </c>
      <c r="R18" s="198"/>
      <c r="S18" s="198"/>
      <c r="T18" s="198"/>
      <c r="U18" s="198"/>
    </row>
    <row r="19" spans="1:21" s="12" customFormat="1" ht="15">
      <c r="A19" s="201" t="s">
        <v>2081</v>
      </c>
      <c r="B19" s="60">
        <v>4.09</v>
      </c>
      <c r="C19" s="60">
        <v>14.98</v>
      </c>
      <c r="D19" s="60">
        <v>19.07</v>
      </c>
      <c r="E19" s="60">
        <v>7.57</v>
      </c>
      <c r="F19" s="60">
        <v>0.27</v>
      </c>
      <c r="G19" s="60">
        <v>38.659999999999997</v>
      </c>
      <c r="H19" s="60">
        <v>15.85</v>
      </c>
      <c r="I19" s="60">
        <v>3.83</v>
      </c>
      <c r="J19" s="60">
        <v>2.25</v>
      </c>
      <c r="K19" s="60">
        <v>165.77</v>
      </c>
      <c r="L19" s="60">
        <v>32.68</v>
      </c>
      <c r="M19" s="60">
        <v>92.75</v>
      </c>
      <c r="N19" s="60">
        <v>352.10</v>
      </c>
      <c r="O19" s="60">
        <v>0</v>
      </c>
      <c r="P19" s="60">
        <v>2.08</v>
      </c>
      <c r="Q19" s="60">
        <v>11.24</v>
      </c>
      <c r="R19" s="198"/>
      <c r="S19" s="198"/>
      <c r="T19" s="198"/>
      <c r="U19" s="198"/>
    </row>
    <row r="20" spans="1:21" s="12" customFormat="1" ht="15">
      <c r="A20" s="201" t="s">
        <v>2082</v>
      </c>
      <c r="B20" s="60">
        <v>3.80</v>
      </c>
      <c r="C20" s="60">
        <v>15.04</v>
      </c>
      <c r="D20" s="60">
        <v>18.84</v>
      </c>
      <c r="E20" s="60">
        <v>7.62</v>
      </c>
      <c r="F20" s="60">
        <v>0.48</v>
      </c>
      <c r="G20" s="60">
        <v>35.69</v>
      </c>
      <c r="H20" s="60">
        <v>13.15</v>
      </c>
      <c r="I20" s="60">
        <v>3.72</v>
      </c>
      <c r="J20" s="60">
        <v>2.23</v>
      </c>
      <c r="K20" s="60">
        <v>168.42</v>
      </c>
      <c r="L20" s="60">
        <v>32.71</v>
      </c>
      <c r="M20" s="60">
        <v>92.53</v>
      </c>
      <c r="N20" s="60">
        <v>374.30</v>
      </c>
      <c r="O20" s="60">
        <v>0</v>
      </c>
      <c r="P20" s="60">
        <v>2.0699999999999998</v>
      </c>
      <c r="Q20" s="60">
        <v>11.42</v>
      </c>
      <c r="R20" s="198"/>
      <c r="S20" s="198"/>
      <c r="T20" s="198"/>
      <c r="U20" s="198"/>
    </row>
    <row r="21" spans="1:21" s="12" customFormat="1" ht="15">
      <c r="A21" s="201" t="s">
        <v>2083</v>
      </c>
      <c r="B21" s="60">
        <v>3.54</v>
      </c>
      <c r="C21" s="60">
        <v>15.26</v>
      </c>
      <c r="D21" s="60">
        <v>18.80</v>
      </c>
      <c r="E21" s="60">
        <v>7.46</v>
      </c>
      <c r="F21" s="60">
        <v>0.32</v>
      </c>
      <c r="G21" s="60">
        <v>34.76</v>
      </c>
      <c r="H21" s="60">
        <v>11.17</v>
      </c>
      <c r="I21" s="60">
        <v>3.61</v>
      </c>
      <c r="J21" s="60">
        <v>1.28</v>
      </c>
      <c r="K21" s="60">
        <v>161.68</v>
      </c>
      <c r="L21" s="60">
        <v>32.72</v>
      </c>
      <c r="M21" s="60">
        <v>92.83</v>
      </c>
      <c r="N21" s="60">
        <v>357.40</v>
      </c>
      <c r="O21" s="60">
        <v>0</v>
      </c>
      <c r="P21" s="60">
        <v>2.06</v>
      </c>
      <c r="Q21" s="60">
        <v>11.40</v>
      </c>
      <c r="R21" s="198"/>
      <c r="S21" s="198"/>
      <c r="T21" s="198"/>
      <c r="U21" s="198"/>
    </row>
    <row r="22" spans="1:21" s="12" customFormat="1" ht="15">
      <c r="A22" s="201" t="s">
        <v>2084</v>
      </c>
      <c r="B22" s="60">
        <v>3.35</v>
      </c>
      <c r="C22" s="60">
        <v>14.98</v>
      </c>
      <c r="D22" s="60">
        <v>18.329999999999998</v>
      </c>
      <c r="E22" s="60">
        <v>7.38</v>
      </c>
      <c r="F22" s="60">
        <v>0.40</v>
      </c>
      <c r="G22" s="60">
        <v>34.76</v>
      </c>
      <c r="H22" s="60">
        <v>11.17</v>
      </c>
      <c r="I22" s="60">
        <v>3.55</v>
      </c>
      <c r="J22" s="60">
        <v>1.19</v>
      </c>
      <c r="K22" s="60">
        <v>98.28</v>
      </c>
      <c r="L22" s="60">
        <v>32.71</v>
      </c>
      <c r="M22" s="60">
        <v>92.67</v>
      </c>
      <c r="N22" s="60">
        <v>369.80</v>
      </c>
      <c r="O22" s="60">
        <v>0</v>
      </c>
      <c r="P22" s="60">
        <v>2.0499999999999998</v>
      </c>
      <c r="Q22" s="60">
        <v>11.45</v>
      </c>
      <c r="R22" s="198"/>
      <c r="S22" s="198"/>
      <c r="T22" s="198"/>
      <c r="U22" s="198"/>
    </row>
    <row r="23" spans="1:21" s="12" customFormat="1" ht="15">
      <c r="A23" s="201" t="s">
        <v>2085</v>
      </c>
      <c r="B23" s="60">
        <v>3.16</v>
      </c>
      <c r="C23" s="60">
        <v>14.63</v>
      </c>
      <c r="D23" s="60">
        <v>17.79</v>
      </c>
      <c r="E23" s="60">
        <v>7.35</v>
      </c>
      <c r="F23" s="60">
        <v>0.21</v>
      </c>
      <c r="G23" s="60">
        <v>34.76</v>
      </c>
      <c r="H23" s="60">
        <v>11.17</v>
      </c>
      <c r="I23" s="60">
        <v>3.48</v>
      </c>
      <c r="J23" s="60">
        <v>1.87</v>
      </c>
      <c r="K23" s="60">
        <v>163.16</v>
      </c>
      <c r="L23" s="60">
        <v>32.81</v>
      </c>
      <c r="M23" s="60">
        <v>91.46</v>
      </c>
      <c r="N23" s="60">
        <v>357.70</v>
      </c>
      <c r="O23" s="60">
        <v>0</v>
      </c>
      <c r="P23" s="60">
        <v>2.0499999999999998</v>
      </c>
      <c r="Q23" s="60">
        <v>11.42</v>
      </c>
      <c r="R23" s="198"/>
      <c r="S23" s="198"/>
      <c r="T23" s="198"/>
      <c r="U23" s="198"/>
    </row>
    <row r="24" spans="1:21" s="12" customFormat="1" ht="15">
      <c r="A24" s="201" t="s">
        <v>2086</v>
      </c>
      <c r="B24" s="60">
        <v>2.98</v>
      </c>
      <c r="C24" s="60">
        <v>14.67</v>
      </c>
      <c r="D24" s="60">
        <v>17.649999999999999</v>
      </c>
      <c r="E24" s="60">
        <v>3.23</v>
      </c>
      <c r="F24" s="60">
        <v>0.46</v>
      </c>
      <c r="G24" s="60">
        <v>31.72</v>
      </c>
      <c r="H24" s="60">
        <v>11.57</v>
      </c>
      <c r="I24" s="60">
        <v>3.41</v>
      </c>
      <c r="J24" s="60">
        <v>1.35</v>
      </c>
      <c r="K24" s="60">
        <v>226.5</v>
      </c>
      <c r="L24" s="60">
        <v>32.880000000000003</v>
      </c>
      <c r="M24" s="60">
        <v>90.76</v>
      </c>
      <c r="N24" s="60">
        <v>333.70</v>
      </c>
      <c r="O24" s="60">
        <v>0</v>
      </c>
      <c r="P24" s="60">
        <v>2.0299999999999998</v>
      </c>
      <c r="Q24" s="60">
        <v>11.34</v>
      </c>
      <c r="R24" s="198"/>
      <c r="S24" s="198"/>
      <c r="T24" s="198"/>
      <c r="U24" s="198"/>
    </row>
    <row r="25" spans="1:21" s="12" customFormat="1" ht="15">
      <c r="A25" s="201" t="s">
        <v>2087</v>
      </c>
      <c r="B25" s="60">
        <v>3.04</v>
      </c>
      <c r="C25" s="60">
        <v>14.62</v>
      </c>
      <c r="D25" s="60">
        <v>17.66</v>
      </c>
      <c r="E25" s="60">
        <v>6.46</v>
      </c>
      <c r="F25" s="60">
        <v>0.41</v>
      </c>
      <c r="G25" s="60">
        <v>30.82</v>
      </c>
      <c r="H25" s="60">
        <v>11.86</v>
      </c>
      <c r="I25" s="60">
        <v>3.32</v>
      </c>
      <c r="J25" s="60">
        <v>1.39</v>
      </c>
      <c r="K25" s="60">
        <v>204.04</v>
      </c>
      <c r="L25" s="60">
        <v>32.869999999999997</v>
      </c>
      <c r="M25" s="60">
        <v>91.45</v>
      </c>
      <c r="N25" s="60">
        <v>374.20</v>
      </c>
      <c r="O25" s="60">
        <v>0</v>
      </c>
      <c r="P25" s="60">
        <v>2.0299999999999998</v>
      </c>
      <c r="Q25" s="60">
        <v>11.26</v>
      </c>
      <c r="R25" s="198"/>
      <c r="S25" s="198"/>
      <c r="T25" s="198"/>
      <c r="U25" s="198"/>
    </row>
    <row r="26" spans="1:21" s="12" customFormat="1" ht="15">
      <c r="A26" s="201" t="s">
        <v>2088</v>
      </c>
      <c r="B26" s="60">
        <v>3.29</v>
      </c>
      <c r="C26" s="60">
        <v>15.16</v>
      </c>
      <c r="D26" s="60">
        <v>18.45</v>
      </c>
      <c r="E26" s="60">
        <v>6.44</v>
      </c>
      <c r="F26" s="60">
        <v>0.26</v>
      </c>
      <c r="G26" s="60">
        <v>30.82</v>
      </c>
      <c r="H26" s="60">
        <v>11.86</v>
      </c>
      <c r="I26" s="60">
        <v>3.27</v>
      </c>
      <c r="J26" s="60">
        <v>1.06</v>
      </c>
      <c r="K26" s="60">
        <v>194.58</v>
      </c>
      <c r="L26" s="60">
        <v>32.99</v>
      </c>
      <c r="M26" s="60">
        <v>91.36</v>
      </c>
      <c r="N26" s="60">
        <v>333.10</v>
      </c>
      <c r="O26" s="60">
        <v>0</v>
      </c>
      <c r="P26" s="60">
        <v>2.0299999999999998</v>
      </c>
      <c r="Q26" s="60">
        <v>11.41</v>
      </c>
      <c r="R26" s="198"/>
      <c r="S26" s="198"/>
      <c r="T26" s="198"/>
      <c r="U26" s="198"/>
    </row>
    <row r="27" spans="1:21" s="12" customFormat="1" ht="15">
      <c r="A27" s="201" t="s">
        <v>2089</v>
      </c>
      <c r="B27" s="60">
        <v>3.95</v>
      </c>
      <c r="C27" s="60">
        <v>14.73</v>
      </c>
      <c r="D27" s="60">
        <v>18.68</v>
      </c>
      <c r="E27" s="60">
        <v>6.24</v>
      </c>
      <c r="F27" s="60">
        <v>0.35</v>
      </c>
      <c r="G27" s="60">
        <v>30.82</v>
      </c>
      <c r="H27" s="60">
        <v>11.86</v>
      </c>
      <c r="I27" s="60">
        <v>3.23</v>
      </c>
      <c r="J27" s="60">
        <v>1</v>
      </c>
      <c r="K27" s="60">
        <v>260.10000000000002</v>
      </c>
      <c r="L27" s="60">
        <v>32.840000000000003</v>
      </c>
      <c r="M27" s="60">
        <v>92.27</v>
      </c>
      <c r="N27" s="60">
        <v>368.70</v>
      </c>
      <c r="O27" s="60">
        <v>0</v>
      </c>
      <c r="P27" s="60">
        <v>2.0299999999999998</v>
      </c>
      <c r="Q27" s="60">
        <v>11.54</v>
      </c>
      <c r="R27" s="198"/>
      <c r="S27" s="198"/>
      <c r="T27" s="198"/>
      <c r="U27" s="198"/>
    </row>
    <row r="28" spans="1:21" s="12" customFormat="1" ht="15">
      <c r="A28" s="201" t="s">
        <v>2090</v>
      </c>
      <c r="B28" s="60">
        <v>4.79</v>
      </c>
      <c r="C28" s="60">
        <v>14.78</v>
      </c>
      <c r="D28" s="60">
        <v>19.57</v>
      </c>
      <c r="E28" s="60">
        <v>6.92</v>
      </c>
      <c r="F28" s="60">
        <v>0.30</v>
      </c>
      <c r="G28" s="60">
        <v>33.64</v>
      </c>
      <c r="H28" s="60">
        <v>10.83</v>
      </c>
      <c r="I28" s="60">
        <v>3.18</v>
      </c>
      <c r="J28" s="60">
        <v>1.38</v>
      </c>
      <c r="K28" s="60">
        <v>200.31</v>
      </c>
      <c r="L28" s="60">
        <v>32.83</v>
      </c>
      <c r="M28" s="60">
        <v>92.59</v>
      </c>
      <c r="N28" s="60">
        <v>287.30</v>
      </c>
      <c r="O28" s="60">
        <v>0</v>
      </c>
      <c r="P28" s="60">
        <v>2.04</v>
      </c>
      <c r="Q28" s="60">
        <v>11.08</v>
      </c>
      <c r="R28" s="198"/>
      <c r="S28" s="198"/>
      <c r="T28" s="198"/>
      <c r="U28" s="198"/>
    </row>
    <row r="29" spans="1:21" s="12" customFormat="1" ht="15">
      <c r="A29" s="201" t="s">
        <v>2091</v>
      </c>
      <c r="B29" s="60">
        <v>5.44</v>
      </c>
      <c r="C29" s="60">
        <v>14.44</v>
      </c>
      <c r="D29" s="60">
        <v>19.88</v>
      </c>
      <c r="E29" s="60">
        <v>7.15</v>
      </c>
      <c r="F29" s="60">
        <v>0.28999999999999998</v>
      </c>
      <c r="G29" s="60">
        <v>34.479999999999997</v>
      </c>
      <c r="H29" s="60">
        <v>10.07</v>
      </c>
      <c r="I29" s="60">
        <v>3.25</v>
      </c>
      <c r="J29" s="60">
        <v>1.73</v>
      </c>
      <c r="K29" s="60">
        <v>301.57</v>
      </c>
      <c r="L29" s="60">
        <v>32.68</v>
      </c>
      <c r="M29" s="60">
        <v>93.07</v>
      </c>
      <c r="N29" s="60">
        <v>256.60000000000002</v>
      </c>
      <c r="O29" s="60">
        <v>0</v>
      </c>
      <c r="P29" s="60">
        <v>2.04</v>
      </c>
      <c r="Q29" s="60">
        <v>10.59</v>
      </c>
      <c r="R29" s="198"/>
      <c r="S29" s="198"/>
      <c r="T29" s="198"/>
      <c r="U29" s="198"/>
    </row>
    <row r="30" spans="1:21" s="12" customFormat="1" ht="15">
      <c r="A30" s="201" t="s">
        <v>2092</v>
      </c>
      <c r="B30" s="60">
        <v>6.39</v>
      </c>
      <c r="C30" s="60">
        <v>14.24</v>
      </c>
      <c r="D30" s="60">
        <v>20.63</v>
      </c>
      <c r="E30" s="60">
        <v>7.41</v>
      </c>
      <c r="F30" s="60">
        <v>0.38</v>
      </c>
      <c r="G30" s="60">
        <v>34.479999999999997</v>
      </c>
      <c r="H30" s="60">
        <v>10.07</v>
      </c>
      <c r="I30" s="60">
        <v>3.28</v>
      </c>
      <c r="J30" s="60">
        <v>1.32</v>
      </c>
      <c r="K30" s="60">
        <v>330.55</v>
      </c>
      <c r="L30" s="60">
        <v>32.67</v>
      </c>
      <c r="M30" s="60">
        <v>92.96</v>
      </c>
      <c r="N30" s="60">
        <v>257.89999999999998</v>
      </c>
      <c r="O30" s="60">
        <v>0</v>
      </c>
      <c r="P30" s="60">
        <v>2.0499999999999998</v>
      </c>
      <c r="Q30" s="60">
        <v>10.56</v>
      </c>
      <c r="R30" s="198"/>
      <c r="S30" s="198"/>
      <c r="T30" s="198"/>
      <c r="U30" s="198"/>
    </row>
    <row r="31" spans="1:21" s="12" customFormat="1" ht="15">
      <c r="A31" s="201" t="s">
        <v>2093</v>
      </c>
      <c r="B31" s="60">
        <v>7.37</v>
      </c>
      <c r="C31" s="60">
        <v>14.26</v>
      </c>
      <c r="D31" s="60">
        <v>21.63</v>
      </c>
      <c r="E31" s="60">
        <v>7.54</v>
      </c>
      <c r="F31" s="60">
        <v>0.14000000000000001</v>
      </c>
      <c r="G31" s="60">
        <v>34.479999999999997</v>
      </c>
      <c r="H31" s="60">
        <v>10.07</v>
      </c>
      <c r="I31" s="60">
        <v>3.40</v>
      </c>
      <c r="J31" s="60">
        <v>1.68</v>
      </c>
      <c r="K31" s="60">
        <v>314.89</v>
      </c>
      <c r="L31" s="60">
        <v>32.729999999999997</v>
      </c>
      <c r="M31" s="60">
        <v>91.46</v>
      </c>
      <c r="N31" s="60">
        <v>269.10000000000002</v>
      </c>
      <c r="O31" s="60">
        <v>0</v>
      </c>
      <c r="P31" s="60">
        <v>2.06</v>
      </c>
      <c r="Q31" s="60">
        <v>10.75</v>
      </c>
      <c r="R31" s="198"/>
      <c r="S31" s="198"/>
      <c r="T31" s="198"/>
      <c r="U31" s="198"/>
    </row>
    <row r="32" spans="1:21" s="12" customFormat="1" ht="15">
      <c r="A32" s="201" t="s">
        <v>2094</v>
      </c>
      <c r="B32" s="60">
        <v>8.7899999999999991</v>
      </c>
      <c r="C32" s="60">
        <v>14.61</v>
      </c>
      <c r="D32" s="60">
        <v>23.39</v>
      </c>
      <c r="E32" s="60">
        <v>8.09</v>
      </c>
      <c r="F32" s="60">
        <v>0.070000000000000007</v>
      </c>
      <c r="G32" s="60">
        <v>38.49</v>
      </c>
      <c r="H32" s="60">
        <v>14.37</v>
      </c>
      <c r="I32" s="60">
        <v>3.46</v>
      </c>
      <c r="J32" s="60">
        <v>1.5</v>
      </c>
      <c r="K32" s="60">
        <v>342.98</v>
      </c>
      <c r="L32" s="60">
        <v>32.93</v>
      </c>
      <c r="M32" s="60">
        <v>90.89</v>
      </c>
      <c r="N32" s="60">
        <v>328.5</v>
      </c>
      <c r="O32" s="60">
        <v>0</v>
      </c>
      <c r="P32" s="60">
        <v>2.0699999999999998</v>
      </c>
      <c r="Q32" s="60">
        <v>11.16</v>
      </c>
      <c r="R32" s="198"/>
      <c r="S32" s="198"/>
      <c r="T32" s="198"/>
      <c r="U32" s="198"/>
    </row>
    <row r="33" spans="1:21" s="12" customFormat="1" ht="15">
      <c r="A33" s="201" t="s">
        <v>2095</v>
      </c>
      <c r="B33" s="60">
        <v>9.91</v>
      </c>
      <c r="C33" s="60">
        <v>14.5</v>
      </c>
      <c r="D33" s="60">
        <v>24.41</v>
      </c>
      <c r="E33" s="60">
        <v>7.99</v>
      </c>
      <c r="F33" s="60">
        <v>0.25</v>
      </c>
      <c r="G33" s="60">
        <v>40.64</v>
      </c>
      <c r="H33" s="60">
        <v>17.510000000000002</v>
      </c>
      <c r="I33" s="60">
        <v>3.59</v>
      </c>
      <c r="J33" s="60">
        <v>1.66</v>
      </c>
      <c r="K33" s="60">
        <v>322.44</v>
      </c>
      <c r="L33" s="60">
        <v>33.22</v>
      </c>
      <c r="M33" s="60">
        <v>90.48</v>
      </c>
      <c r="N33" s="60">
        <v>393.5</v>
      </c>
      <c r="O33" s="60">
        <v>0</v>
      </c>
      <c r="P33" s="60">
        <v>2.0699999999999998</v>
      </c>
      <c r="Q33" s="60">
        <v>11.32</v>
      </c>
      <c r="R33" s="198"/>
      <c r="S33" s="198"/>
      <c r="T33" s="198"/>
      <c r="U33" s="198"/>
    </row>
    <row r="34" spans="1:21" s="12" customFormat="1" ht="15">
      <c r="A34" s="201" t="s">
        <v>2096</v>
      </c>
      <c r="B34" s="60">
        <v>10.72</v>
      </c>
      <c r="C34" s="60">
        <v>14.67</v>
      </c>
      <c r="D34" s="60">
        <v>25.39</v>
      </c>
      <c r="E34" s="60">
        <v>7.76</v>
      </c>
      <c r="F34" s="60">
        <v>0.38</v>
      </c>
      <c r="G34" s="60">
        <v>40.64</v>
      </c>
      <c r="H34" s="60">
        <v>17.510000000000002</v>
      </c>
      <c r="I34" s="60">
        <v>3.63</v>
      </c>
      <c r="J34" s="60">
        <v>0.99</v>
      </c>
      <c r="K34" s="60">
        <v>351.87</v>
      </c>
      <c r="L34" s="60">
        <v>33.53</v>
      </c>
      <c r="M34" s="60">
        <v>89.68</v>
      </c>
      <c r="N34" s="60">
        <v>421.20</v>
      </c>
      <c r="O34" s="60">
        <v>0</v>
      </c>
      <c r="P34" s="60">
        <v>2.10</v>
      </c>
      <c r="Q34" s="60">
        <v>11.70</v>
      </c>
      <c r="R34" s="198"/>
      <c r="S34" s="198"/>
      <c r="T34" s="198"/>
      <c r="U34" s="198"/>
    </row>
    <row r="35" spans="1:21" s="12" customFormat="1" ht="15">
      <c r="A35" s="201" t="s">
        <v>2097</v>
      </c>
      <c r="B35" s="60">
        <v>12.02</v>
      </c>
      <c r="C35" s="60">
        <v>15.77</v>
      </c>
      <c r="D35" s="60">
        <v>27.79</v>
      </c>
      <c r="E35" s="60">
        <v>7.70</v>
      </c>
      <c r="F35" s="60">
        <v>0.070000000000000007</v>
      </c>
      <c r="G35" s="60">
        <v>40.64</v>
      </c>
      <c r="H35" s="60">
        <v>17.510000000000002</v>
      </c>
      <c r="I35" s="60">
        <v>3.74</v>
      </c>
      <c r="J35" s="60">
        <v>1.34</v>
      </c>
      <c r="K35" s="60">
        <v>320.26</v>
      </c>
      <c r="L35" s="60">
        <v>33.82</v>
      </c>
      <c r="M35" s="60">
        <v>88.42</v>
      </c>
      <c r="N35" s="60">
        <v>486.40</v>
      </c>
      <c r="O35" s="60">
        <v>0</v>
      </c>
      <c r="P35" s="60">
        <v>2.13</v>
      </c>
      <c r="Q35" s="60">
        <v>12.86</v>
      </c>
      <c r="R35" s="198"/>
      <c r="S35" s="198"/>
      <c r="T35" s="198"/>
      <c r="U35" s="198"/>
    </row>
    <row r="36" spans="1:21" s="12" customFormat="1" ht="15">
      <c r="A36" s="201" t="s">
        <v>2098</v>
      </c>
      <c r="B36" s="60">
        <v>13.62</v>
      </c>
      <c r="C36" s="60">
        <v>17.010000000000002</v>
      </c>
      <c r="D36" s="60">
        <v>30.63</v>
      </c>
      <c r="E36" s="60">
        <v>7.56</v>
      </c>
      <c r="F36" s="60">
        <v>0.48</v>
      </c>
      <c r="G36" s="60">
        <v>47.16</v>
      </c>
      <c r="H36" s="60">
        <v>16.95</v>
      </c>
      <c r="I36" s="60">
        <v>3.93</v>
      </c>
      <c r="J36" s="60">
        <v>1.36</v>
      </c>
      <c r="K36" s="60">
        <v>326.68</v>
      </c>
      <c r="L36" s="60">
        <v>34.39</v>
      </c>
      <c r="M36" s="60">
        <v>85.84</v>
      </c>
      <c r="N36" s="60">
        <v>505.70</v>
      </c>
      <c r="O36" s="60">
        <v>0</v>
      </c>
      <c r="P36" s="60">
        <v>2.17</v>
      </c>
      <c r="Q36" s="60">
        <v>14.28</v>
      </c>
      <c r="R36" s="198"/>
      <c r="S36" s="198"/>
      <c r="T36" s="198"/>
      <c r="U36" s="198"/>
    </row>
    <row r="37" spans="1:21" s="12" customFormat="1" ht="15">
      <c r="A37" s="201" t="s">
        <v>2099</v>
      </c>
      <c r="B37" s="60">
        <v>14.19</v>
      </c>
      <c r="C37" s="60">
        <v>18.57</v>
      </c>
      <c r="D37" s="60">
        <v>32.770000000000003</v>
      </c>
      <c r="E37" s="60">
        <v>7.11</v>
      </c>
      <c r="F37" s="60">
        <v>0.21</v>
      </c>
      <c r="G37" s="60">
        <v>49.97</v>
      </c>
      <c r="H37" s="60">
        <v>16.54</v>
      </c>
      <c r="I37" s="60">
        <v>4.05</v>
      </c>
      <c r="J37" s="60">
        <v>1.63</v>
      </c>
      <c r="K37" s="60">
        <v>318.27999999999997</v>
      </c>
      <c r="L37" s="60">
        <v>34.979999999999997</v>
      </c>
      <c r="M37" s="60">
        <v>83.82</v>
      </c>
      <c r="N37" s="60">
        <v>513.29999999999995</v>
      </c>
      <c r="O37" s="60">
        <v>0</v>
      </c>
      <c r="P37" s="60">
        <v>2.21</v>
      </c>
      <c r="Q37" s="60">
        <v>15.08</v>
      </c>
      <c r="R37" s="198"/>
      <c r="S37" s="198"/>
      <c r="T37" s="198"/>
      <c r="U37" s="198"/>
    </row>
    <row r="38" spans="1:21" s="12" customFormat="1" ht="15">
      <c r="A38" s="201" t="s">
        <v>2100</v>
      </c>
      <c r="B38" s="60">
        <v>14.89</v>
      </c>
      <c r="C38" s="60">
        <v>19.760000000000002</v>
      </c>
      <c r="D38" s="60">
        <v>34.659999999999997</v>
      </c>
      <c r="E38" s="60">
        <v>7.04</v>
      </c>
      <c r="F38" s="60">
        <v>0.39</v>
      </c>
      <c r="G38" s="60">
        <v>49.97</v>
      </c>
      <c r="H38" s="60">
        <v>16.54</v>
      </c>
      <c r="I38" s="60">
        <v>4.2300000000000004</v>
      </c>
      <c r="J38" s="60">
        <v>1.45</v>
      </c>
      <c r="K38" s="60">
        <v>312.83999999999997</v>
      </c>
      <c r="L38" s="60">
        <v>35.60</v>
      </c>
      <c r="M38" s="60">
        <v>81.849999999999994</v>
      </c>
      <c r="N38" s="60">
        <v>540.10</v>
      </c>
      <c r="O38" s="60">
        <v>0</v>
      </c>
      <c r="P38" s="60">
        <v>2.27</v>
      </c>
      <c r="Q38" s="60">
        <v>15.94</v>
      </c>
      <c r="R38" s="198"/>
      <c r="S38" s="198"/>
      <c r="T38" s="198"/>
      <c r="U38" s="198"/>
    </row>
    <row r="39" spans="1:21" s="12" customFormat="1" ht="15">
      <c r="A39" s="201" t="s">
        <v>2101</v>
      </c>
      <c r="B39" s="60">
        <v>16</v>
      </c>
      <c r="C39" s="60">
        <v>21.21</v>
      </c>
      <c r="D39" s="60">
        <v>37.200000000000003</v>
      </c>
      <c r="E39" s="60">
        <v>7.13</v>
      </c>
      <c r="F39" s="60">
        <v>0.30</v>
      </c>
      <c r="G39" s="60">
        <v>49.97</v>
      </c>
      <c r="H39" s="60">
        <v>16.54</v>
      </c>
      <c r="I39" s="60">
        <v>4.38</v>
      </c>
      <c r="J39" s="60">
        <v>2.31</v>
      </c>
      <c r="K39" s="60">
        <v>316.32</v>
      </c>
      <c r="L39" s="60">
        <v>36.06</v>
      </c>
      <c r="M39" s="60">
        <v>80.52</v>
      </c>
      <c r="N39" s="60">
        <v>505.30</v>
      </c>
      <c r="O39" s="60">
        <v>0</v>
      </c>
      <c r="P39" s="60">
        <v>2.3199999999999998</v>
      </c>
      <c r="Q39" s="60">
        <v>16.989999999999998</v>
      </c>
      <c r="R39" s="198"/>
      <c r="S39" s="198"/>
      <c r="T39" s="198"/>
      <c r="U39" s="198"/>
    </row>
    <row r="40" spans="1:21" s="12" customFormat="1" ht="15">
      <c r="A40" s="201" t="s">
        <v>2102</v>
      </c>
      <c r="B40" s="60">
        <v>17.41</v>
      </c>
      <c r="C40" s="60">
        <v>22.52</v>
      </c>
      <c r="D40" s="60">
        <v>39.93</v>
      </c>
      <c r="E40" s="60">
        <v>3.07</v>
      </c>
      <c r="F40" s="60">
        <v>0.24</v>
      </c>
      <c r="G40" s="60">
        <v>63.51</v>
      </c>
      <c r="H40" s="60">
        <v>19.84</v>
      </c>
      <c r="I40" s="60">
        <v>4.6399999999999997</v>
      </c>
      <c r="J40" s="60">
        <v>2.73</v>
      </c>
      <c r="K40" s="60">
        <v>323.56</v>
      </c>
      <c r="L40" s="60">
        <v>35.68</v>
      </c>
      <c r="M40" s="60">
        <v>81.84</v>
      </c>
      <c r="N40" s="60">
        <v>477.10</v>
      </c>
      <c r="O40" s="60">
        <v>0</v>
      </c>
      <c r="P40" s="60">
        <v>2.36</v>
      </c>
      <c r="Q40" s="60">
        <v>17.97</v>
      </c>
      <c r="R40" s="198"/>
      <c r="S40" s="198"/>
      <c r="T40" s="198"/>
      <c r="U40" s="198"/>
    </row>
    <row r="41" spans="1:21" s="12" customFormat="1" ht="15">
      <c r="A41" s="201" t="s">
        <v>2103</v>
      </c>
      <c r="B41" s="60">
        <v>17.61</v>
      </c>
      <c r="C41" s="60">
        <v>23.18</v>
      </c>
      <c r="D41" s="60">
        <v>40.79</v>
      </c>
      <c r="E41" s="60">
        <v>6.15</v>
      </c>
      <c r="F41" s="60">
        <v>0.22</v>
      </c>
      <c r="G41" s="60">
        <v>67.489999999999995</v>
      </c>
      <c r="H41" s="60">
        <v>22.24</v>
      </c>
      <c r="I41" s="60">
        <v>4.8499999999999996</v>
      </c>
      <c r="J41" s="60">
        <v>2.94</v>
      </c>
      <c r="K41" s="60">
        <v>335.44</v>
      </c>
      <c r="L41" s="60">
        <v>35.270000000000003</v>
      </c>
      <c r="M41" s="60">
        <v>85.41</v>
      </c>
      <c r="N41" s="60">
        <v>430.20</v>
      </c>
      <c r="O41" s="60">
        <v>0.60</v>
      </c>
      <c r="P41" s="60">
        <v>2.39</v>
      </c>
      <c r="Q41" s="60">
        <v>18.20</v>
      </c>
      <c r="R41" s="198"/>
      <c r="S41" s="198"/>
      <c r="T41" s="198"/>
      <c r="U41" s="198"/>
    </row>
    <row r="42" spans="1:21" s="12" customFormat="1" ht="15">
      <c r="A42" s="201" t="s">
        <v>2104</v>
      </c>
      <c r="B42" s="60">
        <v>17.649999999999999</v>
      </c>
      <c r="C42" s="60">
        <v>23.55</v>
      </c>
      <c r="D42" s="60">
        <v>41.21</v>
      </c>
      <c r="E42" s="60">
        <v>5.99</v>
      </c>
      <c r="F42" s="60">
        <v>0.19</v>
      </c>
      <c r="G42" s="60">
        <v>67.489999999999995</v>
      </c>
      <c r="H42" s="60">
        <v>22.24</v>
      </c>
      <c r="I42" s="60">
        <v>5.0599999999999996</v>
      </c>
      <c r="J42" s="60">
        <v>2.78</v>
      </c>
      <c r="K42" s="60">
        <v>6.45</v>
      </c>
      <c r="L42" s="60">
        <v>33.979999999999997</v>
      </c>
      <c r="M42" s="60">
        <v>93.48</v>
      </c>
      <c r="N42" s="60">
        <v>497.30</v>
      </c>
      <c r="O42" s="60">
        <v>0</v>
      </c>
      <c r="P42" s="60">
        <v>2.42</v>
      </c>
      <c r="Q42" s="60">
        <v>18.28</v>
      </c>
      <c r="R42" s="198"/>
      <c r="S42" s="198"/>
      <c r="T42" s="198"/>
      <c r="U42" s="198"/>
    </row>
    <row r="43" spans="1:21" s="12" customFormat="1" ht="15">
      <c r="A43" s="201" t="s">
        <v>2105</v>
      </c>
      <c r="B43" s="60">
        <v>19.27</v>
      </c>
      <c r="C43" s="60">
        <v>23.51</v>
      </c>
      <c r="D43" s="60">
        <v>42.79</v>
      </c>
      <c r="E43" s="60">
        <v>6.14</v>
      </c>
      <c r="F43" s="60">
        <v>0.12</v>
      </c>
      <c r="G43" s="60">
        <v>67.489999999999995</v>
      </c>
      <c r="H43" s="60">
        <v>22.24</v>
      </c>
      <c r="I43" s="60">
        <v>5.14</v>
      </c>
      <c r="J43" s="60">
        <v>2.42</v>
      </c>
      <c r="K43" s="60">
        <v>7.86</v>
      </c>
      <c r="L43" s="60">
        <v>34.25</v>
      </c>
      <c r="M43" s="60">
        <v>93.02</v>
      </c>
      <c r="N43" s="60">
        <v>615.10</v>
      </c>
      <c r="O43" s="60">
        <v>0</v>
      </c>
      <c r="P43" s="60">
        <v>2.5099999999999998</v>
      </c>
      <c r="Q43" s="60">
        <v>18.88</v>
      </c>
      <c r="R43" s="198"/>
      <c r="S43" s="198"/>
      <c r="T43" s="198"/>
      <c r="U43" s="198"/>
    </row>
    <row r="44" spans="1:21" s="12" customFormat="1" ht="15">
      <c r="A44" s="201" t="s">
        <v>2106</v>
      </c>
      <c r="B44" s="60">
        <v>21.44</v>
      </c>
      <c r="C44" s="60">
        <v>23.17</v>
      </c>
      <c r="D44" s="60">
        <v>44.61</v>
      </c>
      <c r="E44" s="60">
        <v>6.29</v>
      </c>
      <c r="F44" s="60">
        <v>0.60</v>
      </c>
      <c r="G44" s="60">
        <v>82.55</v>
      </c>
      <c r="H44" s="60">
        <v>29.90</v>
      </c>
      <c r="I44" s="60">
        <v>5.33</v>
      </c>
      <c r="J44" s="60">
        <v>1.70</v>
      </c>
      <c r="K44" s="60">
        <v>86.63</v>
      </c>
      <c r="L44" s="60">
        <v>34.869999999999997</v>
      </c>
      <c r="M44" s="60">
        <v>87.78</v>
      </c>
      <c r="N44" s="60">
        <v>654.70000000000005</v>
      </c>
      <c r="O44" s="60">
        <v>0</v>
      </c>
      <c r="P44" s="60">
        <v>2.57</v>
      </c>
      <c r="Q44" s="60">
        <v>19.54</v>
      </c>
      <c r="R44" s="198"/>
      <c r="S44" s="198"/>
      <c r="T44" s="198"/>
      <c r="U44" s="198"/>
    </row>
    <row r="45" spans="1:21" s="12" customFormat="1" ht="15">
      <c r="A45" s="201" t="s">
        <v>2107</v>
      </c>
      <c r="B45" s="60">
        <v>21.78</v>
      </c>
      <c r="C45" s="60">
        <v>21.51</v>
      </c>
      <c r="D45" s="60">
        <v>43.29</v>
      </c>
      <c r="E45" s="60">
        <v>6.38</v>
      </c>
      <c r="F45" s="60">
        <v>0.61</v>
      </c>
      <c r="G45" s="60">
        <v>86.98</v>
      </c>
      <c r="H45" s="60">
        <v>35.5</v>
      </c>
      <c r="I45" s="60">
        <v>5.61</v>
      </c>
      <c r="J45" s="60">
        <v>1.86</v>
      </c>
      <c r="K45" s="60">
        <v>184.13</v>
      </c>
      <c r="L45" s="60">
        <v>34.729999999999997</v>
      </c>
      <c r="M45" s="60">
        <v>86.22</v>
      </c>
      <c r="N45" s="60">
        <v>336.5</v>
      </c>
      <c r="O45" s="60">
        <v>0</v>
      </c>
      <c r="P45" s="60">
        <v>2.57</v>
      </c>
      <c r="Q45" s="60">
        <v>19.05</v>
      </c>
      <c r="R45" s="198"/>
      <c r="S45" s="198"/>
      <c r="T45" s="198"/>
      <c r="U45" s="198"/>
    </row>
    <row r="46" spans="1:21" s="12" customFormat="1" ht="15">
      <c r="A46" s="201" t="s">
        <v>2108</v>
      </c>
      <c r="B46" s="60">
        <v>20.88</v>
      </c>
      <c r="C46" s="60">
        <v>21.04</v>
      </c>
      <c r="D46" s="60">
        <v>41.92</v>
      </c>
      <c r="E46" s="60">
        <v>7.02</v>
      </c>
      <c r="F46" s="60">
        <v>0.31</v>
      </c>
      <c r="G46" s="60">
        <v>86.98</v>
      </c>
      <c r="H46" s="60">
        <v>35.5</v>
      </c>
      <c r="I46" s="60">
        <v>5.76</v>
      </c>
      <c r="J46" s="60">
        <v>2.11</v>
      </c>
      <c r="K46" s="60">
        <v>211.28</v>
      </c>
      <c r="L46" s="60">
        <v>34.15</v>
      </c>
      <c r="M46" s="60">
        <v>89.56</v>
      </c>
      <c r="N46" s="60">
        <v>237.40</v>
      </c>
      <c r="O46" s="60">
        <v>0</v>
      </c>
      <c r="P46" s="60">
        <v>2.57</v>
      </c>
      <c r="Q46" s="60">
        <v>17.88</v>
      </c>
      <c r="R46" s="198"/>
      <c r="S46" s="198"/>
      <c r="T46" s="198"/>
      <c r="U46" s="198"/>
    </row>
    <row r="47" spans="1:21" s="12" customFormat="1" ht="15">
      <c r="A47" s="201" t="s">
        <v>2109</v>
      </c>
      <c r="B47" s="60">
        <v>19.86</v>
      </c>
      <c r="C47" s="60">
        <v>20.91</v>
      </c>
      <c r="D47" s="60">
        <v>40.770000000000003</v>
      </c>
      <c r="E47" s="60">
        <v>6.73</v>
      </c>
      <c r="F47" s="60">
        <v>0.17</v>
      </c>
      <c r="G47" s="60">
        <v>86.98</v>
      </c>
      <c r="H47" s="60">
        <v>35.5</v>
      </c>
      <c r="I47" s="60">
        <v>5.82</v>
      </c>
      <c r="J47" s="60">
        <v>2.92</v>
      </c>
      <c r="K47" s="60">
        <v>168.86</v>
      </c>
      <c r="L47" s="60">
        <v>33.89</v>
      </c>
      <c r="M47" s="60">
        <v>91.34</v>
      </c>
      <c r="N47" s="60">
        <v>280.89999999999998</v>
      </c>
      <c r="O47" s="60">
        <v>0</v>
      </c>
      <c r="P47" s="60">
        <v>2.56</v>
      </c>
      <c r="Q47" s="60">
        <v>17.100000000000001</v>
      </c>
      <c r="R47" s="198"/>
      <c r="S47" s="198"/>
      <c r="T47" s="198"/>
      <c r="U47" s="198"/>
    </row>
    <row r="48" spans="1:21" s="12" customFormat="1" ht="15">
      <c r="A48" s="201" t="s">
        <v>2110</v>
      </c>
      <c r="B48" s="60">
        <v>19.14</v>
      </c>
      <c r="C48" s="60">
        <v>20.55</v>
      </c>
      <c r="D48" s="60">
        <v>39.68</v>
      </c>
      <c r="E48" s="60">
        <v>7.15</v>
      </c>
      <c r="F48" s="60">
        <v>0.28000000000000003</v>
      </c>
      <c r="G48" s="60">
        <v>89.95</v>
      </c>
      <c r="H48" s="60">
        <v>37.65</v>
      </c>
      <c r="I48" s="60">
        <v>5.92</v>
      </c>
      <c r="J48" s="60">
        <v>2.0699999999999998</v>
      </c>
      <c r="K48" s="60">
        <v>182.76</v>
      </c>
      <c r="L48" s="60">
        <v>33.880000000000003</v>
      </c>
      <c r="M48" s="60">
        <v>91.08</v>
      </c>
      <c r="N48" s="60">
        <v>396.60</v>
      </c>
      <c r="O48" s="60">
        <v>0</v>
      </c>
      <c r="P48" s="60">
        <v>2.56</v>
      </c>
      <c r="Q48" s="60">
        <v>16.45</v>
      </c>
      <c r="R48" s="198"/>
      <c r="S48" s="198"/>
      <c r="T48" s="198"/>
      <c r="U48" s="198"/>
    </row>
    <row r="49" spans="1:21" s="12" customFormat="1" ht="15">
      <c r="A49" s="201" t="s">
        <v>2111</v>
      </c>
      <c r="B49" s="60">
        <v>17.78</v>
      </c>
      <c r="C49" s="60">
        <v>20.71</v>
      </c>
      <c r="D49" s="60">
        <v>38.479999999999997</v>
      </c>
      <c r="E49" s="60">
        <v>6.85</v>
      </c>
      <c r="F49" s="60">
        <v>0.55000000000000004</v>
      </c>
      <c r="G49" s="60">
        <v>90.81</v>
      </c>
      <c r="H49" s="60">
        <v>39.22</v>
      </c>
      <c r="I49" s="60">
        <v>6.06</v>
      </c>
      <c r="J49" s="60">
        <v>1.06</v>
      </c>
      <c r="K49" s="60">
        <v>223.22</v>
      </c>
      <c r="L49" s="60">
        <v>33.590000000000003</v>
      </c>
      <c r="M49" s="60">
        <v>91.16</v>
      </c>
      <c r="N49" s="60">
        <v>324.80</v>
      </c>
      <c r="O49" s="60">
        <v>0</v>
      </c>
      <c r="P49" s="60">
        <v>2.54</v>
      </c>
      <c r="Q49" s="60">
        <v>15.77</v>
      </c>
      <c r="R49" s="198"/>
      <c r="S49" s="198"/>
      <c r="T49" s="198"/>
      <c r="U49" s="198"/>
    </row>
    <row r="50" spans="1:21" s="12" customFormat="1" ht="15">
      <c r="A50" s="201" t="s">
        <v>2112</v>
      </c>
      <c r="B50" s="60">
        <v>14.66</v>
      </c>
      <c r="C50" s="60">
        <v>22.35</v>
      </c>
      <c r="D50" s="60">
        <v>37.01</v>
      </c>
      <c r="E50" s="60">
        <v>6.59</v>
      </c>
      <c r="F50" s="60">
        <v>0.55000000000000004</v>
      </c>
      <c r="G50" s="60">
        <v>90.81</v>
      </c>
      <c r="H50" s="60">
        <v>39.22</v>
      </c>
      <c r="I50" s="60">
        <v>6.24</v>
      </c>
      <c r="J50" s="60">
        <v>0.23</v>
      </c>
      <c r="K50" s="60">
        <v>41.67</v>
      </c>
      <c r="L50" s="60">
        <v>32.93</v>
      </c>
      <c r="M50" s="60">
        <v>91.08</v>
      </c>
      <c r="N50" s="60">
        <v>316.70</v>
      </c>
      <c r="O50" s="60">
        <v>0</v>
      </c>
      <c r="P50" s="60">
        <v>2.4900000000000002</v>
      </c>
      <c r="Q50" s="60">
        <v>14.88</v>
      </c>
      <c r="R50" s="198"/>
      <c r="S50" s="198"/>
      <c r="T50" s="198"/>
      <c r="U50" s="198"/>
    </row>
    <row r="51" spans="1:21" s="12" customFormat="1" ht="15">
      <c r="A51" s="201" t="s">
        <v>2113</v>
      </c>
      <c r="B51" s="60">
        <v>11.07</v>
      </c>
      <c r="C51" s="60">
        <v>24.44</v>
      </c>
      <c r="D51" s="60">
        <v>35.51</v>
      </c>
      <c r="E51" s="60">
        <v>5.86</v>
      </c>
      <c r="F51" s="60">
        <v>0.63</v>
      </c>
      <c r="G51" s="60">
        <v>90.81</v>
      </c>
      <c r="H51" s="60">
        <v>39.22</v>
      </c>
      <c r="I51" s="60">
        <v>6.22</v>
      </c>
      <c r="J51" s="60">
        <v>0.41</v>
      </c>
      <c r="K51" s="60">
        <v>220.02</v>
      </c>
      <c r="L51" s="60">
        <v>32.22</v>
      </c>
      <c r="M51" s="60">
        <v>94.05</v>
      </c>
      <c r="N51" s="60">
        <v>292.30</v>
      </c>
      <c r="O51" s="60">
        <v>0.40</v>
      </c>
      <c r="P51" s="60">
        <v>2.4500000000000002</v>
      </c>
      <c r="Q51" s="60">
        <v>13.90</v>
      </c>
      <c r="R51" s="198"/>
      <c r="S51" s="198"/>
      <c r="T51" s="198"/>
      <c r="U51" s="198"/>
    </row>
    <row r="52" spans="1:21" s="12" customFormat="1" ht="15">
      <c r="A52" s="201" t="s">
        <v>2114</v>
      </c>
      <c r="B52" s="60">
        <v>8.25</v>
      </c>
      <c r="C52" s="60">
        <v>26.24</v>
      </c>
      <c r="D52" s="60">
        <v>34.49</v>
      </c>
      <c r="E52" s="60">
        <v>5.70</v>
      </c>
      <c r="F52" s="60">
        <v>0.56999999999999995</v>
      </c>
      <c r="G52" s="60">
        <v>72.33</v>
      </c>
      <c r="H52" s="60">
        <v>35.07</v>
      </c>
      <c r="I52" s="60">
        <v>5.82</v>
      </c>
      <c r="J52" s="60">
        <v>0.27</v>
      </c>
      <c r="K52" s="60">
        <v>231.62</v>
      </c>
      <c r="L52" s="60">
        <v>31.67</v>
      </c>
      <c r="M52" s="60">
        <v>94.53</v>
      </c>
      <c r="N52" s="60">
        <v>324</v>
      </c>
      <c r="O52" s="60">
        <v>0.20</v>
      </c>
      <c r="P52" s="60">
        <v>2.40</v>
      </c>
      <c r="Q52" s="60">
        <v>13.36</v>
      </c>
      <c r="R52" s="198"/>
      <c r="S52" s="198"/>
      <c r="T52" s="198"/>
      <c r="U52" s="198"/>
    </row>
    <row r="53" spans="1:21" s="12" customFormat="1" ht="15">
      <c r="A53" s="201" t="s">
        <v>2115</v>
      </c>
      <c r="B53" s="60">
        <v>6</v>
      </c>
      <c r="C53" s="60">
        <v>25.71</v>
      </c>
      <c r="D53" s="60">
        <v>31.71</v>
      </c>
      <c r="E53" s="60">
        <v>4.7699999999999996</v>
      </c>
      <c r="F53" s="60">
        <v>0.98</v>
      </c>
      <c r="G53" s="60">
        <v>66.989999999999995</v>
      </c>
      <c r="H53" s="60">
        <v>32.04</v>
      </c>
      <c r="I53" s="60">
        <v>5.51</v>
      </c>
      <c r="J53" s="60">
        <v>1.80</v>
      </c>
      <c r="K53" s="60">
        <v>217.32</v>
      </c>
      <c r="L53" s="60">
        <v>31.52</v>
      </c>
      <c r="M53" s="60">
        <v>95.48</v>
      </c>
      <c r="N53" s="60">
        <v>365.10</v>
      </c>
      <c r="O53" s="60">
        <v>0.40</v>
      </c>
      <c r="P53" s="60">
        <v>2.37</v>
      </c>
      <c r="Q53" s="60">
        <v>12.86</v>
      </c>
      <c r="R53" s="198"/>
      <c r="S53" s="198"/>
      <c r="T53" s="198"/>
      <c r="U53" s="198"/>
    </row>
    <row r="54" spans="1:21" s="12" customFormat="1" ht="15">
      <c r="A54" s="201" t="s">
        <v>2116</v>
      </c>
      <c r="B54" s="60">
        <v>4.5199999999999996</v>
      </c>
      <c r="C54" s="60">
        <v>23.85</v>
      </c>
      <c r="D54" s="60">
        <v>28.37</v>
      </c>
      <c r="E54" s="60">
        <v>4.9800000000000004</v>
      </c>
      <c r="F54" s="60">
        <v>0.74</v>
      </c>
      <c r="G54" s="60">
        <v>66.989999999999995</v>
      </c>
      <c r="H54" s="60">
        <v>32.04</v>
      </c>
      <c r="I54" s="60">
        <v>5.15</v>
      </c>
      <c r="J54" s="60">
        <v>1.28</v>
      </c>
      <c r="K54" s="60">
        <v>221.43</v>
      </c>
      <c r="L54" s="60">
        <v>31.46</v>
      </c>
      <c r="M54" s="60">
        <v>96.27</v>
      </c>
      <c r="N54" s="60">
        <v>447</v>
      </c>
      <c r="O54" s="60">
        <v>0.20</v>
      </c>
      <c r="P54" s="60">
        <v>2.33</v>
      </c>
      <c r="Q54" s="60">
        <v>12.51</v>
      </c>
      <c r="R54" s="198"/>
      <c r="S54" s="198"/>
      <c r="T54" s="198"/>
      <c r="U54" s="198"/>
    </row>
    <row r="55" spans="1:21" s="12" customFormat="1" ht="15">
      <c r="A55" s="201" t="s">
        <v>2117</v>
      </c>
      <c r="B55" s="60">
        <v>3.49</v>
      </c>
      <c r="C55" s="60">
        <v>22.26</v>
      </c>
      <c r="D55" s="60">
        <v>25.75</v>
      </c>
      <c r="E55" s="60">
        <v>5.20</v>
      </c>
      <c r="F55" s="60">
        <v>0.85</v>
      </c>
      <c r="G55" s="60">
        <v>66.989999999999995</v>
      </c>
      <c r="H55" s="60">
        <v>32.04</v>
      </c>
      <c r="I55" s="60">
        <v>4.84</v>
      </c>
      <c r="J55" s="60">
        <v>2.14</v>
      </c>
      <c r="K55" s="60">
        <v>217.37</v>
      </c>
      <c r="L55" s="60">
        <v>31.48</v>
      </c>
      <c r="M55" s="60">
        <v>96.55</v>
      </c>
      <c r="N55" s="60">
        <v>468.20</v>
      </c>
      <c r="O55" s="60">
        <v>0</v>
      </c>
      <c r="P55" s="60">
        <v>2.29</v>
      </c>
      <c r="Q55" s="60">
        <v>12.29</v>
      </c>
      <c r="R55" s="198"/>
      <c r="S55" s="198"/>
      <c r="T55" s="198"/>
      <c r="U55" s="198"/>
    </row>
    <row r="56" spans="1:21" s="12" customFormat="1" ht="15">
      <c r="A56" s="201" t="s">
        <v>2118</v>
      </c>
      <c r="B56" s="60">
        <v>2.91</v>
      </c>
      <c r="C56" s="60">
        <v>20.96</v>
      </c>
      <c r="D56" s="60">
        <v>23.87</v>
      </c>
      <c r="E56" s="60">
        <v>3.43</v>
      </c>
      <c r="F56" s="60">
        <v>0.97</v>
      </c>
      <c r="G56" s="60">
        <v>49.68</v>
      </c>
      <c r="H56" s="60">
        <v>27.19</v>
      </c>
      <c r="I56" s="60">
        <v>4.59</v>
      </c>
      <c r="J56" s="60">
        <v>2</v>
      </c>
      <c r="K56" s="60">
        <v>197.95</v>
      </c>
      <c r="L56" s="60">
        <v>31.46</v>
      </c>
      <c r="M56" s="60">
        <v>96.22</v>
      </c>
      <c r="N56" s="60">
        <v>486.30</v>
      </c>
      <c r="O56" s="60">
        <v>0.20</v>
      </c>
      <c r="P56" s="60">
        <v>2.2599999999999998</v>
      </c>
      <c r="Q56" s="60">
        <v>12.11</v>
      </c>
      <c r="R56" s="198"/>
      <c r="S56" s="198"/>
      <c r="T56" s="198"/>
      <c r="U56" s="198"/>
    </row>
    <row r="57" spans="1:21" s="12" customFormat="1" ht="15">
      <c r="A57" s="201" t="s">
        <v>2119</v>
      </c>
      <c r="B57" s="60">
        <v>2.59</v>
      </c>
      <c r="C57" s="60">
        <v>20.07</v>
      </c>
      <c r="D57" s="60">
        <v>22.66</v>
      </c>
      <c r="E57" s="60">
        <v>6.69</v>
      </c>
      <c r="F57" s="60">
        <v>0.82</v>
      </c>
      <c r="G57" s="60">
        <v>40.06</v>
      </c>
      <c r="H57" s="60">
        <v>23.66</v>
      </c>
      <c r="I57" s="60">
        <v>4.3899999999999997</v>
      </c>
      <c r="J57" s="60">
        <v>2.2000000000000002</v>
      </c>
      <c r="K57" s="60">
        <v>185.18</v>
      </c>
      <c r="L57" s="60">
        <v>31.54</v>
      </c>
      <c r="M57" s="60">
        <v>95.93</v>
      </c>
      <c r="N57" s="60">
        <v>485.30</v>
      </c>
      <c r="O57" s="60">
        <v>0.20</v>
      </c>
      <c r="P57" s="60">
        <v>2.2400000000000002</v>
      </c>
      <c r="Q57" s="60">
        <v>11.72</v>
      </c>
      <c r="R57" s="198"/>
      <c r="S57" s="198"/>
      <c r="T57" s="198"/>
      <c r="U57" s="198"/>
    </row>
    <row r="58" spans="1:21" s="12" customFormat="1" ht="15">
      <c r="A58" s="201" t="s">
        <v>2120</v>
      </c>
      <c r="B58" s="60">
        <v>2.75</v>
      </c>
      <c r="C58" s="60">
        <v>19.55</v>
      </c>
      <c r="D58" s="60">
        <v>22.30</v>
      </c>
      <c r="E58" s="60">
        <v>6.79</v>
      </c>
      <c r="F58" s="60">
        <v>0.65</v>
      </c>
      <c r="G58" s="60">
        <v>40.06</v>
      </c>
      <c r="H58" s="60">
        <v>23.66</v>
      </c>
      <c r="I58" s="60">
        <v>4.24</v>
      </c>
      <c r="J58" s="60">
        <v>1.02</v>
      </c>
      <c r="K58" s="60">
        <v>225.94</v>
      </c>
      <c r="L58" s="60">
        <v>31.67</v>
      </c>
      <c r="M58" s="60">
        <v>96.58</v>
      </c>
      <c r="N58" s="60">
        <v>521.60</v>
      </c>
      <c r="O58" s="60">
        <v>0</v>
      </c>
      <c r="P58" s="60">
        <v>2.2200000000000002</v>
      </c>
      <c r="Q58" s="60">
        <v>11.71</v>
      </c>
      <c r="R58" s="198"/>
      <c r="S58" s="198"/>
      <c r="T58" s="198"/>
      <c r="U58" s="198"/>
    </row>
    <row r="59" spans="1:21" s="12" customFormat="1" ht="15">
      <c r="A59" s="201" t="s">
        <v>2121</v>
      </c>
      <c r="B59" s="60">
        <v>3.23</v>
      </c>
      <c r="C59" s="60">
        <v>19.66</v>
      </c>
      <c r="D59" s="60">
        <v>22.89</v>
      </c>
      <c r="E59" s="60">
        <v>6.90</v>
      </c>
      <c r="F59" s="60">
        <v>0.77</v>
      </c>
      <c r="G59" s="60">
        <v>40.06</v>
      </c>
      <c r="H59" s="60">
        <v>23.66</v>
      </c>
      <c r="I59" s="60">
        <v>4.07</v>
      </c>
      <c r="J59" s="60">
        <v>0.75</v>
      </c>
      <c r="K59" s="60">
        <v>250.01</v>
      </c>
      <c r="L59" s="60">
        <v>32.090000000000003</v>
      </c>
      <c r="M59" s="60">
        <v>95.53</v>
      </c>
      <c r="N59" s="60">
        <v>620.5</v>
      </c>
      <c r="O59" s="60">
        <v>0</v>
      </c>
      <c r="P59" s="60">
        <v>2.23</v>
      </c>
      <c r="Q59" s="60">
        <v>12.03</v>
      </c>
      <c r="R59" s="198"/>
      <c r="S59" s="198"/>
      <c r="T59" s="198"/>
      <c r="U59" s="198"/>
    </row>
    <row r="60" spans="1:21" s="12" customFormat="1" ht="15">
      <c r="A60" s="201" t="s">
        <v>2122</v>
      </c>
      <c r="B60" s="60">
        <v>4.09</v>
      </c>
      <c r="C60" s="60">
        <v>20.51</v>
      </c>
      <c r="D60" s="60">
        <v>24.59</v>
      </c>
      <c r="E60" s="60">
        <v>6.28</v>
      </c>
      <c r="F60" s="60">
        <v>0.72</v>
      </c>
      <c r="G60" s="60">
        <v>28.63</v>
      </c>
      <c r="H60" s="60">
        <v>19.82</v>
      </c>
      <c r="I60" s="60">
        <v>3.95</v>
      </c>
      <c r="J60" s="60">
        <v>0.82</v>
      </c>
      <c r="K60" s="60">
        <v>234.56</v>
      </c>
      <c r="L60" s="60">
        <v>32.479999999999997</v>
      </c>
      <c r="M60" s="60">
        <v>94.05</v>
      </c>
      <c r="N60" s="60">
        <v>708.30</v>
      </c>
      <c r="O60" s="60">
        <v>0</v>
      </c>
      <c r="P60" s="60">
        <v>2.2400000000000002</v>
      </c>
      <c r="Q60" s="60">
        <v>12.53</v>
      </c>
      <c r="R60" s="198"/>
      <c r="S60" s="198"/>
      <c r="T60" s="198"/>
      <c r="U60" s="198"/>
    </row>
    <row r="61" spans="1:21" s="12" customFormat="1" ht="15">
      <c r="A61" s="201" t="s">
        <v>2123</v>
      </c>
      <c r="B61" s="60">
        <v>4.2699999999999996</v>
      </c>
      <c r="C61" s="60">
        <v>20.63</v>
      </c>
      <c r="D61" s="60">
        <v>24.90</v>
      </c>
      <c r="E61" s="60">
        <v>6.94</v>
      </c>
      <c r="F61" s="60">
        <v>0.85</v>
      </c>
      <c r="G61" s="60">
        <v>25.27</v>
      </c>
      <c r="H61" s="60">
        <v>17.02</v>
      </c>
      <c r="I61" s="60">
        <v>3.92</v>
      </c>
      <c r="J61" s="60">
        <v>0.37</v>
      </c>
      <c r="K61" s="60">
        <v>276.52</v>
      </c>
      <c r="L61" s="60">
        <v>33.049999999999997</v>
      </c>
      <c r="M61" s="60">
        <v>93.43</v>
      </c>
      <c r="N61" s="60">
        <v>710.60</v>
      </c>
      <c r="O61" s="60">
        <v>0</v>
      </c>
      <c r="P61" s="60">
        <v>2.2400000000000002</v>
      </c>
      <c r="Q61" s="60">
        <v>12.49</v>
      </c>
      <c r="R61" s="198"/>
      <c r="S61" s="198"/>
      <c r="T61" s="198"/>
      <c r="U61" s="198"/>
    </row>
    <row r="62" spans="1:21" s="12" customFormat="1" ht="15">
      <c r="A62" s="201" t="s">
        <v>2124</v>
      </c>
      <c r="B62" s="60">
        <v>4.6100000000000003</v>
      </c>
      <c r="C62" s="60">
        <v>21.68</v>
      </c>
      <c r="D62" s="60">
        <v>26.29</v>
      </c>
      <c r="E62" s="60">
        <v>6.83</v>
      </c>
      <c r="F62" s="60">
        <v>0.73</v>
      </c>
      <c r="G62" s="60">
        <v>25.27</v>
      </c>
      <c r="H62" s="60">
        <v>17.02</v>
      </c>
      <c r="I62" s="60">
        <v>3.96</v>
      </c>
      <c r="J62" s="60">
        <v>0.41</v>
      </c>
      <c r="K62" s="60">
        <v>40.44</v>
      </c>
      <c r="L62" s="60">
        <v>33.67</v>
      </c>
      <c r="M62" s="60">
        <v>90.81</v>
      </c>
      <c r="N62" s="60">
        <v>691.90</v>
      </c>
      <c r="O62" s="60">
        <v>0</v>
      </c>
      <c r="P62" s="60">
        <v>2.25</v>
      </c>
      <c r="Q62" s="60">
        <v>12.73</v>
      </c>
      <c r="R62" s="198"/>
      <c r="S62" s="198"/>
      <c r="T62" s="198"/>
      <c r="U62" s="198"/>
    </row>
    <row r="63" spans="1:21" s="12" customFormat="1" ht="15">
      <c r="A63" s="201" t="s">
        <v>2125</v>
      </c>
      <c r="B63" s="60">
        <v>5.0999999999999996</v>
      </c>
      <c r="C63" s="60">
        <v>21.53</v>
      </c>
      <c r="D63" s="60">
        <v>26.62</v>
      </c>
      <c r="E63" s="60">
        <v>6.76</v>
      </c>
      <c r="F63" s="60">
        <v>0.91</v>
      </c>
      <c r="G63" s="60">
        <v>25.27</v>
      </c>
      <c r="H63" s="60">
        <v>17.02</v>
      </c>
      <c r="I63" s="60">
        <v>3.90</v>
      </c>
      <c r="J63" s="60">
        <v>0.44</v>
      </c>
      <c r="K63" s="60">
        <v>58.39</v>
      </c>
      <c r="L63" s="60">
        <v>34.380000000000003</v>
      </c>
      <c r="M63" s="60">
        <v>88.72</v>
      </c>
      <c r="N63" s="60">
        <v>696.90</v>
      </c>
      <c r="O63" s="60">
        <v>0</v>
      </c>
      <c r="P63" s="60">
        <v>2.2799999999999998</v>
      </c>
      <c r="Q63" s="60">
        <v>12.54</v>
      </c>
      <c r="R63" s="198"/>
      <c r="S63" s="198"/>
      <c r="T63" s="198"/>
      <c r="U63" s="198"/>
    </row>
    <row r="64" spans="1:21" s="12" customFormat="1" ht="15">
      <c r="A64" s="201" t="s">
        <v>2126</v>
      </c>
      <c r="B64" s="60">
        <v>5.61</v>
      </c>
      <c r="C64" s="60">
        <v>21.61</v>
      </c>
      <c r="D64" s="60">
        <v>27.22</v>
      </c>
      <c r="E64" s="60">
        <v>6.77</v>
      </c>
      <c r="F64" s="60">
        <v>0.92</v>
      </c>
      <c r="G64" s="60">
        <v>25.43</v>
      </c>
      <c r="H64" s="60">
        <v>14.52</v>
      </c>
      <c r="I64" s="60">
        <v>3.89</v>
      </c>
      <c r="J64" s="60">
        <v>1.08</v>
      </c>
      <c r="K64" s="60">
        <v>231.72</v>
      </c>
      <c r="L64" s="60">
        <v>34.18</v>
      </c>
      <c r="M64" s="60">
        <v>86.38</v>
      </c>
      <c r="N64" s="60">
        <v>768.10</v>
      </c>
      <c r="O64" s="60">
        <v>0</v>
      </c>
      <c r="P64" s="60">
        <v>2.29</v>
      </c>
      <c r="Q64" s="60">
        <v>12.03</v>
      </c>
      <c r="R64" s="198"/>
      <c r="S64" s="198"/>
      <c r="T64" s="198"/>
      <c r="U64" s="198"/>
    </row>
    <row r="65" spans="1:21" s="12" customFormat="1" ht="15">
      <c r="A65" s="201" t="s">
        <v>2127</v>
      </c>
      <c r="B65" s="60">
        <v>5.17</v>
      </c>
      <c r="C65" s="60">
        <v>21.51</v>
      </c>
      <c r="D65" s="60">
        <v>26.69</v>
      </c>
      <c r="E65" s="60">
        <v>7.19</v>
      </c>
      <c r="F65" s="60">
        <v>0.92</v>
      </c>
      <c r="G65" s="60">
        <v>25.47</v>
      </c>
      <c r="H65" s="60">
        <v>12.69</v>
      </c>
      <c r="I65" s="60">
        <v>4</v>
      </c>
      <c r="J65" s="60">
        <v>0.30</v>
      </c>
      <c r="K65" s="60">
        <v>38.229999999999997</v>
      </c>
      <c r="L65" s="60">
        <v>34.700000000000003</v>
      </c>
      <c r="M65" s="60">
        <v>85.37</v>
      </c>
      <c r="N65" s="60">
        <v>729.90</v>
      </c>
      <c r="O65" s="60">
        <v>0</v>
      </c>
      <c r="P65" s="60">
        <v>2.27</v>
      </c>
      <c r="Q65" s="60">
        <v>11.31</v>
      </c>
      <c r="R65" s="198"/>
      <c r="S65" s="198"/>
      <c r="T65" s="198"/>
      <c r="U65" s="198"/>
    </row>
    <row r="66" spans="1:21" s="12" customFormat="1" ht="15">
      <c r="A66" s="201" t="s">
        <v>2128</v>
      </c>
      <c r="B66" s="60">
        <v>4.79</v>
      </c>
      <c r="C66" s="60">
        <v>22.28</v>
      </c>
      <c r="D66" s="60">
        <v>27.08</v>
      </c>
      <c r="E66" s="60">
        <v>6.89</v>
      </c>
      <c r="F66" s="60">
        <v>1.18</v>
      </c>
      <c r="G66" s="60">
        <v>25.47</v>
      </c>
      <c r="H66" s="60">
        <v>12.69</v>
      </c>
      <c r="I66" s="60">
        <v>4.0999999999999996</v>
      </c>
      <c r="J66" s="60">
        <v>0.52</v>
      </c>
      <c r="K66" s="60">
        <v>358.55</v>
      </c>
      <c r="L66" s="60">
        <v>35.51</v>
      </c>
      <c r="M66" s="60">
        <v>83.19</v>
      </c>
      <c r="N66" s="60">
        <v>693.5</v>
      </c>
      <c r="O66" s="60">
        <v>0</v>
      </c>
      <c r="P66" s="60">
        <v>2.2799999999999998</v>
      </c>
      <c r="Q66" s="60">
        <v>11.02</v>
      </c>
      <c r="R66" s="198"/>
      <c r="S66" s="198"/>
      <c r="T66" s="198"/>
      <c r="U66" s="198"/>
    </row>
    <row r="67" spans="1:21" s="12" customFormat="1" ht="15">
      <c r="A67" s="201" t="s">
        <v>2129</v>
      </c>
      <c r="B67" s="60">
        <v>4.59</v>
      </c>
      <c r="C67" s="60">
        <v>23.04</v>
      </c>
      <c r="D67" s="60">
        <v>27.62</v>
      </c>
      <c r="E67" s="60">
        <v>7.12</v>
      </c>
      <c r="F67" s="60">
        <v>1.1499999999999999</v>
      </c>
      <c r="G67" s="60">
        <v>25.47</v>
      </c>
      <c r="H67" s="60">
        <v>12.69</v>
      </c>
      <c r="I67" s="60">
        <v>3.91</v>
      </c>
      <c r="J67" s="60">
        <v>0.80</v>
      </c>
      <c r="K67" s="60">
        <v>6.06</v>
      </c>
      <c r="L67" s="60">
        <v>35.79</v>
      </c>
      <c r="M67" s="60">
        <v>81.849999999999994</v>
      </c>
      <c r="N67" s="60">
        <v>512.79999999999995</v>
      </c>
      <c r="O67" s="60">
        <v>0</v>
      </c>
      <c r="P67" s="60">
        <v>2.29</v>
      </c>
      <c r="Q67" s="60">
        <v>10.88</v>
      </c>
      <c r="R67" s="198"/>
      <c r="S67" s="198"/>
      <c r="T67" s="198"/>
      <c r="U67" s="198"/>
    </row>
    <row r="68" spans="1:21" s="12" customFormat="1" ht="15">
      <c r="A68" s="201" t="s">
        <v>2130</v>
      </c>
      <c r="B68" s="60">
        <v>4.22</v>
      </c>
      <c r="C68" s="60">
        <v>23.33</v>
      </c>
      <c r="D68" s="60">
        <v>27.55</v>
      </c>
      <c r="E68" s="60">
        <v>6.48</v>
      </c>
      <c r="F68" s="60">
        <v>1</v>
      </c>
      <c r="G68" s="60">
        <v>36.32</v>
      </c>
      <c r="H68" s="60">
        <v>14.56</v>
      </c>
      <c r="I68" s="60">
        <v>3.91</v>
      </c>
      <c r="J68" s="60">
        <v>0.43</v>
      </c>
      <c r="K68" s="60">
        <v>43.27</v>
      </c>
      <c r="L68" s="60">
        <v>35.299999999999997</v>
      </c>
      <c r="M68" s="60">
        <v>83.56</v>
      </c>
      <c r="N68" s="60">
        <v>456.5</v>
      </c>
      <c r="O68" s="60">
        <v>0</v>
      </c>
      <c r="P68" s="60">
        <v>2.2799999999999998</v>
      </c>
      <c r="Q68" s="60">
        <v>10.70</v>
      </c>
      <c r="R68" s="198"/>
      <c r="S68" s="198"/>
      <c r="T68" s="198"/>
      <c r="U68" s="198"/>
    </row>
    <row r="69" spans="1:21" s="12" customFormat="1" ht="15">
      <c r="A69" s="201" t="s">
        <v>2131</v>
      </c>
      <c r="B69" s="60">
        <v>3.90</v>
      </c>
      <c r="C69" s="60">
        <v>23.36</v>
      </c>
      <c r="D69" s="60">
        <v>27.26</v>
      </c>
      <c r="E69" s="60">
        <v>6.60</v>
      </c>
      <c r="F69" s="60">
        <v>1.08</v>
      </c>
      <c r="G69" s="60">
        <v>39.450000000000003</v>
      </c>
      <c r="H69" s="60">
        <v>15.93</v>
      </c>
      <c r="I69" s="60">
        <v>3.92</v>
      </c>
      <c r="J69" s="60">
        <v>1.02</v>
      </c>
      <c r="K69" s="60">
        <v>229.12</v>
      </c>
      <c r="L69" s="60">
        <v>34.950000000000003</v>
      </c>
      <c r="M69" s="60">
        <v>82.94</v>
      </c>
      <c r="N69" s="60">
        <v>452.40</v>
      </c>
      <c r="O69" s="60">
        <v>0</v>
      </c>
      <c r="P69" s="60">
        <v>2.2799999999999998</v>
      </c>
      <c r="Q69" s="60">
        <v>10.49</v>
      </c>
      <c r="R69" s="198"/>
      <c r="S69" s="198"/>
      <c r="T69" s="198"/>
      <c r="U69" s="198"/>
    </row>
    <row r="70" spans="1:21" s="12" customFormat="1" ht="15">
      <c r="A70" s="201" t="s">
        <v>2132</v>
      </c>
      <c r="B70" s="60">
        <v>3.27</v>
      </c>
      <c r="C70" s="60">
        <v>22.64</v>
      </c>
      <c r="D70" s="60">
        <v>25.90</v>
      </c>
      <c r="E70" s="60">
        <v>7</v>
      </c>
      <c r="F70" s="60">
        <v>1.1200000000000001</v>
      </c>
      <c r="G70" s="60">
        <v>39.450000000000003</v>
      </c>
      <c r="H70" s="60">
        <v>15.93</v>
      </c>
      <c r="I70" s="60">
        <v>3.88</v>
      </c>
      <c r="J70" s="60">
        <v>0.68</v>
      </c>
      <c r="K70" s="60">
        <v>225.22</v>
      </c>
      <c r="L70" s="60">
        <v>35.14</v>
      </c>
      <c r="M70" s="60">
        <v>82.19</v>
      </c>
      <c r="N70" s="60">
        <v>545.70000000000005</v>
      </c>
      <c r="O70" s="60">
        <v>0</v>
      </c>
      <c r="P70" s="60">
        <v>2.27</v>
      </c>
      <c r="Q70" s="60">
        <v>10.44</v>
      </c>
      <c r="R70" s="198"/>
      <c r="S70" s="198"/>
      <c r="T70" s="198"/>
      <c r="U70" s="198"/>
    </row>
    <row r="71" spans="1:21" s="12" customFormat="1" ht="15">
      <c r="A71" s="201" t="s">
        <v>2133</v>
      </c>
      <c r="B71" s="60">
        <v>2.4900000000000002</v>
      </c>
      <c r="C71" s="60">
        <v>21.22</v>
      </c>
      <c r="D71" s="60">
        <v>23.71</v>
      </c>
      <c r="E71" s="60">
        <v>6.75</v>
      </c>
      <c r="F71" s="60">
        <v>1.30</v>
      </c>
      <c r="G71" s="60">
        <v>39.450000000000003</v>
      </c>
      <c r="H71" s="60">
        <v>15.93</v>
      </c>
      <c r="I71" s="60">
        <v>3.92</v>
      </c>
      <c r="J71" s="60">
        <v>1.67</v>
      </c>
      <c r="K71" s="60">
        <v>194.39</v>
      </c>
      <c r="L71" s="60">
        <v>35.49</v>
      </c>
      <c r="M71" s="60">
        <v>80.53</v>
      </c>
      <c r="N71" s="60">
        <v>621.29999999999995</v>
      </c>
      <c r="O71" s="60">
        <v>0</v>
      </c>
      <c r="P71" s="60">
        <v>2.2400000000000002</v>
      </c>
      <c r="Q71" s="60">
        <v>10.43</v>
      </c>
      <c r="R71" s="198"/>
      <c r="S71" s="198"/>
      <c r="T71" s="198"/>
      <c r="U71" s="198"/>
    </row>
    <row r="72" spans="1:21" s="12" customFormat="1" ht="15">
      <c r="A72" s="201" t="s">
        <v>2134</v>
      </c>
      <c r="B72" s="60">
        <v>1.88</v>
      </c>
      <c r="C72" s="60">
        <v>20.02</v>
      </c>
      <c r="D72" s="60">
        <v>21.90</v>
      </c>
      <c r="E72" s="60">
        <v>2.44</v>
      </c>
      <c r="F72" s="60">
        <v>1.58</v>
      </c>
      <c r="G72" s="60">
        <v>33.85</v>
      </c>
      <c r="H72" s="60">
        <v>14.19</v>
      </c>
      <c r="I72" s="60">
        <v>3.82</v>
      </c>
      <c r="J72" s="60">
        <v>1.62</v>
      </c>
      <c r="K72" s="60">
        <v>191.92</v>
      </c>
      <c r="L72" s="60">
        <v>35.69</v>
      </c>
      <c r="M72" s="60">
        <v>80.180000000000007</v>
      </c>
      <c r="N72" s="60">
        <v>604.29999999999995</v>
      </c>
      <c r="O72" s="60">
        <v>0</v>
      </c>
      <c r="P72" s="60">
        <v>2.2200000000000002</v>
      </c>
      <c r="Q72" s="60">
        <v>10.34</v>
      </c>
      <c r="R72" s="198"/>
      <c r="S72" s="198"/>
      <c r="T72" s="198"/>
      <c r="U72" s="198"/>
    </row>
    <row r="73" spans="1:21" s="12" customFormat="1" ht="15">
      <c r="A73" s="201" t="s">
        <v>2135</v>
      </c>
      <c r="B73" s="60">
        <v>1.45</v>
      </c>
      <c r="C73" s="60">
        <v>18.79</v>
      </c>
      <c r="D73" s="60">
        <v>20.25</v>
      </c>
      <c r="E73" s="60">
        <v>4.76</v>
      </c>
      <c r="F73" s="60">
        <v>1.73</v>
      </c>
      <c r="G73" s="60">
        <v>31.48</v>
      </c>
      <c r="H73" s="60">
        <v>12.92</v>
      </c>
      <c r="I73" s="60">
        <v>3.70</v>
      </c>
      <c r="J73" s="60">
        <v>2.0299999999999998</v>
      </c>
      <c r="K73" s="60">
        <v>211.60</v>
      </c>
      <c r="L73" s="60">
        <v>35.75</v>
      </c>
      <c r="M73" s="60">
        <v>79.540000000000006</v>
      </c>
      <c r="N73" s="60">
        <v>656.40</v>
      </c>
      <c r="O73" s="60">
        <v>0</v>
      </c>
      <c r="P73" s="60">
        <v>2.2000000000000002</v>
      </c>
      <c r="Q73" s="60">
        <v>10.06</v>
      </c>
      <c r="R73" s="198"/>
      <c r="S73" s="198"/>
      <c r="T73" s="198"/>
      <c r="U73" s="198"/>
    </row>
    <row r="74" spans="1:21" s="12" customFormat="1" ht="15">
      <c r="A74" s="201" t="s">
        <v>2136</v>
      </c>
      <c r="B74" s="60">
        <v>1.18</v>
      </c>
      <c r="C74" s="60">
        <v>18</v>
      </c>
      <c r="D74" s="60">
        <v>19.18</v>
      </c>
      <c r="E74" s="60">
        <v>4.62</v>
      </c>
      <c r="F74" s="60">
        <v>1.56</v>
      </c>
      <c r="G74" s="60">
        <v>31.48</v>
      </c>
      <c r="H74" s="60">
        <v>12.92</v>
      </c>
      <c r="I74" s="60">
        <v>3.59</v>
      </c>
      <c r="J74" s="60">
        <v>1.45</v>
      </c>
      <c r="K74" s="60">
        <v>219.04</v>
      </c>
      <c r="L74" s="60">
        <v>35.89</v>
      </c>
      <c r="M74" s="60">
        <v>79.760000000000005</v>
      </c>
      <c r="N74" s="60">
        <v>616.60</v>
      </c>
      <c r="O74" s="60">
        <v>0</v>
      </c>
      <c r="P74" s="60">
        <v>2.19</v>
      </c>
      <c r="Q74" s="60">
        <v>10</v>
      </c>
      <c r="R74" s="198"/>
      <c r="S74" s="198"/>
      <c r="T74" s="198"/>
      <c r="U74" s="198"/>
    </row>
    <row r="75" spans="1:21" s="12" customFormat="1" ht="15">
      <c r="A75" s="201" t="s">
        <v>2137</v>
      </c>
      <c r="B75" s="60">
        <v>1.06</v>
      </c>
      <c r="C75" s="60">
        <v>17.41</v>
      </c>
      <c r="D75" s="60">
        <v>18.47</v>
      </c>
      <c r="E75" s="60">
        <v>4.59</v>
      </c>
      <c r="F75" s="60">
        <v>1.5</v>
      </c>
      <c r="G75" s="60">
        <v>31.48</v>
      </c>
      <c r="H75" s="60">
        <v>12.92</v>
      </c>
      <c r="I75" s="60">
        <v>3.5</v>
      </c>
      <c r="J75" s="60">
        <v>1.90</v>
      </c>
      <c r="K75" s="60">
        <v>193.49</v>
      </c>
      <c r="L75" s="60">
        <v>35.880000000000003</v>
      </c>
      <c r="M75" s="60">
        <v>79.88</v>
      </c>
      <c r="N75" s="60">
        <v>647.20000000000005</v>
      </c>
      <c r="O75" s="60">
        <v>0</v>
      </c>
      <c r="P75" s="60">
        <v>2.1800000000000002</v>
      </c>
      <c r="Q75" s="60">
        <v>9.9700000000000006</v>
      </c>
      <c r="R75" s="198"/>
      <c r="S75" s="198"/>
      <c r="T75" s="198"/>
      <c r="U75" s="198"/>
    </row>
    <row r="76" spans="1:21" s="12" customFormat="1" ht="15">
      <c r="A76" s="201" t="s">
        <v>2138</v>
      </c>
      <c r="B76" s="60">
        <v>0.98</v>
      </c>
      <c r="C76" s="60">
        <v>17.05</v>
      </c>
      <c r="D76" s="60">
        <v>18.04</v>
      </c>
      <c r="E76" s="60">
        <v>4.99</v>
      </c>
      <c r="F76" s="60">
        <v>1.5</v>
      </c>
      <c r="G76" s="60">
        <v>35.270000000000003</v>
      </c>
      <c r="H76" s="60">
        <v>12.07</v>
      </c>
      <c r="I76" s="60">
        <v>3.40</v>
      </c>
      <c r="J76" s="60">
        <v>2.4500000000000002</v>
      </c>
      <c r="K76" s="60">
        <v>176.54</v>
      </c>
      <c r="L76" s="60">
        <v>35.82</v>
      </c>
      <c r="M76" s="60">
        <v>80.81</v>
      </c>
      <c r="N76" s="60">
        <v>594.5</v>
      </c>
      <c r="O76" s="60">
        <v>0</v>
      </c>
      <c r="P76" s="60">
        <v>2.16</v>
      </c>
      <c r="Q76" s="60">
        <v>9.90</v>
      </c>
      <c r="R76" s="198"/>
      <c r="S76" s="198"/>
      <c r="T76" s="198"/>
      <c r="U76" s="198"/>
    </row>
    <row r="77" spans="1:21" s="12" customFormat="1" ht="15">
      <c r="A77" s="201" t="s">
        <v>2139</v>
      </c>
      <c r="B77" s="60">
        <v>0.97</v>
      </c>
      <c r="C77" s="60">
        <v>16.75</v>
      </c>
      <c r="D77" s="60">
        <v>17.73</v>
      </c>
      <c r="E77" s="60">
        <v>4.5599999999999996</v>
      </c>
      <c r="F77" s="60">
        <v>1.44</v>
      </c>
      <c r="G77" s="60">
        <v>36.369999999999997</v>
      </c>
      <c r="H77" s="60">
        <v>11.47</v>
      </c>
      <c r="I77" s="60">
        <v>3.31</v>
      </c>
      <c r="J77" s="60">
        <v>1.63</v>
      </c>
      <c r="K77" s="60">
        <v>194.63</v>
      </c>
      <c r="L77" s="60">
        <v>35.76</v>
      </c>
      <c r="M77" s="60">
        <v>81.5</v>
      </c>
      <c r="N77" s="60">
        <v>575.10</v>
      </c>
      <c r="O77" s="60">
        <v>0</v>
      </c>
      <c r="P77" s="60">
        <v>2.15</v>
      </c>
      <c r="Q77" s="60">
        <v>9.67</v>
      </c>
      <c r="R77" s="198"/>
      <c r="S77" s="198"/>
      <c r="T77" s="198"/>
      <c r="U77" s="198"/>
    </row>
    <row r="78" spans="1:21" s="12" customFormat="1" ht="15">
      <c r="A78" s="201" t="s">
        <v>2140</v>
      </c>
      <c r="B78" s="60">
        <v>0.95</v>
      </c>
      <c r="C78" s="60">
        <v>16.61</v>
      </c>
      <c r="D78" s="60">
        <v>17.559999999999999</v>
      </c>
      <c r="E78" s="60">
        <v>4.70</v>
      </c>
      <c r="F78" s="60">
        <v>1.47</v>
      </c>
      <c r="G78" s="60">
        <v>36.369999999999997</v>
      </c>
      <c r="H78" s="60">
        <v>11.47</v>
      </c>
      <c r="I78" s="60">
        <v>3.26</v>
      </c>
      <c r="J78" s="60">
        <v>2.29</v>
      </c>
      <c r="K78" s="60">
        <v>199.78</v>
      </c>
      <c r="L78" s="60">
        <v>35.68</v>
      </c>
      <c r="M78" s="60">
        <v>81.83</v>
      </c>
      <c r="N78" s="60">
        <v>609.29999999999995</v>
      </c>
      <c r="O78" s="60">
        <v>0</v>
      </c>
      <c r="P78" s="60">
        <v>2.15</v>
      </c>
      <c r="Q78" s="60">
        <v>9.58</v>
      </c>
      <c r="R78" s="198"/>
      <c r="S78" s="198"/>
      <c r="T78" s="198"/>
      <c r="U78" s="198"/>
    </row>
    <row r="79" spans="1:21" s="12" customFormat="1" ht="15">
      <c r="A79" s="201" t="s">
        <v>2141</v>
      </c>
      <c r="B79" s="60">
        <v>0.87</v>
      </c>
      <c r="C79" s="60">
        <v>16.329999999999998</v>
      </c>
      <c r="D79" s="60">
        <v>17.20</v>
      </c>
      <c r="E79" s="60">
        <v>4.9400000000000004</v>
      </c>
      <c r="F79" s="60">
        <v>1.54</v>
      </c>
      <c r="G79" s="60">
        <v>36.369999999999997</v>
      </c>
      <c r="H79" s="60">
        <v>11.47</v>
      </c>
      <c r="I79" s="60">
        <v>3.24</v>
      </c>
      <c r="J79" s="60">
        <v>2.4700000000000002</v>
      </c>
      <c r="K79" s="60">
        <v>196.68</v>
      </c>
      <c r="L79" s="60">
        <v>35.54</v>
      </c>
      <c r="M79" s="60">
        <v>83.03</v>
      </c>
      <c r="N79" s="60">
        <v>556.70000000000005</v>
      </c>
      <c r="O79" s="60">
        <v>0</v>
      </c>
      <c r="P79" s="60">
        <v>2.13</v>
      </c>
      <c r="Q79" s="60">
        <v>9.5</v>
      </c>
      <c r="R79" s="198"/>
      <c r="S79" s="198"/>
      <c r="T79" s="198"/>
      <c r="U79" s="198"/>
    </row>
    <row r="80" spans="1:21" s="12" customFormat="1" ht="15">
      <c r="A80" s="201" t="s">
        <v>2142</v>
      </c>
      <c r="B80" s="60">
        <v>0.90</v>
      </c>
      <c r="C80" s="60">
        <v>15.37</v>
      </c>
      <c r="D80" s="60">
        <v>16.27</v>
      </c>
      <c r="E80" s="60">
        <v>4.62</v>
      </c>
      <c r="F80" s="60">
        <v>1.61</v>
      </c>
      <c r="G80" s="60">
        <v>36.450000000000003</v>
      </c>
      <c r="H80" s="60">
        <v>9.7899999999999991</v>
      </c>
      <c r="I80" s="60">
        <v>3.33</v>
      </c>
      <c r="J80" s="60">
        <v>1.96</v>
      </c>
      <c r="K80" s="60">
        <v>185.44</v>
      </c>
      <c r="L80" s="60">
        <v>35.44</v>
      </c>
      <c r="M80" s="60">
        <v>84.07</v>
      </c>
      <c r="N80" s="60">
        <v>553.90</v>
      </c>
      <c r="O80" s="60">
        <v>0</v>
      </c>
      <c r="P80" s="60">
        <v>2.13</v>
      </c>
      <c r="Q80" s="60">
        <v>9.14</v>
      </c>
      <c r="R80" s="198"/>
      <c r="S80" s="198"/>
      <c r="T80" s="198"/>
      <c r="U80" s="198"/>
    </row>
    <row r="81" spans="1:21" s="12" customFormat="1" ht="15">
      <c r="A81" s="201" t="s">
        <v>2143</v>
      </c>
      <c r="B81" s="60">
        <v>1.0900000000000001</v>
      </c>
      <c r="C81" s="60">
        <v>15.13</v>
      </c>
      <c r="D81" s="60">
        <v>16.22</v>
      </c>
      <c r="E81" s="60">
        <v>5.05</v>
      </c>
      <c r="F81" s="60">
        <v>1.37</v>
      </c>
      <c r="G81" s="60">
        <v>36.51</v>
      </c>
      <c r="H81" s="60">
        <v>8.56</v>
      </c>
      <c r="I81" s="60">
        <v>3.80</v>
      </c>
      <c r="J81" s="60">
        <v>2.40</v>
      </c>
      <c r="K81" s="60">
        <v>177.63</v>
      </c>
      <c r="L81" s="60">
        <v>35.28</v>
      </c>
      <c r="M81" s="60">
        <v>85.87</v>
      </c>
      <c r="N81" s="60">
        <v>545.40</v>
      </c>
      <c r="O81" s="60">
        <v>0</v>
      </c>
      <c r="P81" s="60">
        <v>2.13</v>
      </c>
      <c r="Q81" s="60">
        <v>8.52</v>
      </c>
      <c r="R81" s="198"/>
      <c r="S81" s="198"/>
      <c r="T81" s="198"/>
      <c r="U81" s="198"/>
    </row>
    <row r="82" spans="1:21" s="12" customFormat="1" ht="15">
      <c r="A82" s="201" t="s">
        <v>2144</v>
      </c>
      <c r="B82" s="60">
        <v>1.35</v>
      </c>
      <c r="C82" s="60">
        <v>15.14</v>
      </c>
      <c r="D82" s="60">
        <v>16.489999999999998</v>
      </c>
      <c r="E82" s="60">
        <v>5</v>
      </c>
      <c r="F82" s="60">
        <v>0.93</v>
      </c>
      <c r="G82" s="60">
        <v>36.51</v>
      </c>
      <c r="H82" s="60">
        <v>8.56</v>
      </c>
      <c r="I82" s="60">
        <v>4.46</v>
      </c>
      <c r="J82" s="60">
        <v>3.26</v>
      </c>
      <c r="K82" s="60">
        <v>168.69</v>
      </c>
      <c r="L82" s="60">
        <v>34.97</v>
      </c>
      <c r="M82" s="60">
        <v>87.91</v>
      </c>
      <c r="N82" s="60">
        <v>378.10</v>
      </c>
      <c r="O82" s="60">
        <v>0</v>
      </c>
      <c r="P82" s="60">
        <v>2.13</v>
      </c>
      <c r="Q82" s="60">
        <v>8.07</v>
      </c>
      <c r="R82" s="198"/>
      <c r="S82" s="198"/>
      <c r="T82" s="198"/>
      <c r="U82" s="198"/>
    </row>
    <row r="83" spans="1:21" s="12" customFormat="1" ht="15">
      <c r="A83" s="201" t="s">
        <v>2145</v>
      </c>
      <c r="B83" s="60">
        <v>1.56</v>
      </c>
      <c r="C83" s="60">
        <v>15.23</v>
      </c>
      <c r="D83" s="60">
        <v>16.78</v>
      </c>
      <c r="E83" s="60">
        <v>5.68</v>
      </c>
      <c r="F83" s="60">
        <v>1.01</v>
      </c>
      <c r="G83" s="60">
        <v>36.51</v>
      </c>
      <c r="H83" s="60">
        <v>8.56</v>
      </c>
      <c r="I83" s="60">
        <v>4.82</v>
      </c>
      <c r="J83" s="60">
        <v>3.52</v>
      </c>
      <c r="K83" s="60">
        <v>168.01</v>
      </c>
      <c r="L83" s="60">
        <v>34.72</v>
      </c>
      <c r="M83" s="60">
        <v>88.14</v>
      </c>
      <c r="N83" s="60">
        <v>214.60</v>
      </c>
      <c r="O83" s="60">
        <v>0</v>
      </c>
      <c r="P83" s="60">
        <v>2.13</v>
      </c>
      <c r="Q83" s="60">
        <v>7.86</v>
      </c>
      <c r="R83" s="198"/>
      <c r="S83" s="198"/>
      <c r="T83" s="198"/>
      <c r="U83" s="198"/>
    </row>
    <row r="84" spans="1:21" s="12" customFormat="1" ht="15">
      <c r="A84" s="201" t="s">
        <v>2146</v>
      </c>
      <c r="B84" s="60">
        <v>1.63</v>
      </c>
      <c r="C84" s="60">
        <v>15.40</v>
      </c>
      <c r="D84" s="60">
        <v>17.03</v>
      </c>
      <c r="E84" s="60">
        <v>5.72</v>
      </c>
      <c r="F84" s="60">
        <v>1.07</v>
      </c>
      <c r="G84" s="60">
        <v>44.30</v>
      </c>
      <c r="H84" s="60">
        <v>10.32</v>
      </c>
      <c r="I84" s="60">
        <v>4.84</v>
      </c>
      <c r="J84" s="60">
        <v>2.82</v>
      </c>
      <c r="K84" s="60">
        <v>171.62</v>
      </c>
      <c r="L84" s="60">
        <v>34.53</v>
      </c>
      <c r="M84" s="60">
        <v>88.91</v>
      </c>
      <c r="N84" s="60">
        <v>292.60000000000002</v>
      </c>
      <c r="O84" s="60">
        <v>0</v>
      </c>
      <c r="P84" s="60">
        <v>2.13</v>
      </c>
      <c r="Q84" s="60">
        <v>7.79</v>
      </c>
      <c r="R84" s="198"/>
      <c r="S84" s="198"/>
      <c r="T84" s="198"/>
      <c r="U84" s="198"/>
    </row>
    <row r="85" spans="1:21" s="12" customFormat="1" ht="15">
      <c r="A85" s="201" t="s">
        <v>2147</v>
      </c>
      <c r="B85" s="60">
        <v>1.72</v>
      </c>
      <c r="C85" s="60">
        <v>15.41</v>
      </c>
      <c r="D85" s="60">
        <v>17.13</v>
      </c>
      <c r="E85" s="60">
        <v>6.06</v>
      </c>
      <c r="F85" s="60">
        <v>1.17</v>
      </c>
      <c r="G85" s="60">
        <v>46.55</v>
      </c>
      <c r="H85" s="60">
        <v>11.61</v>
      </c>
      <c r="I85" s="60">
        <v>4.74</v>
      </c>
      <c r="J85" s="60">
        <v>2.98</v>
      </c>
      <c r="K85" s="60">
        <v>168.12</v>
      </c>
      <c r="L85" s="60">
        <v>34.369999999999997</v>
      </c>
      <c r="M85" s="60">
        <v>89.52</v>
      </c>
      <c r="N85" s="60">
        <v>320.5</v>
      </c>
      <c r="O85" s="60">
        <v>0</v>
      </c>
      <c r="P85" s="60">
        <v>2.13</v>
      </c>
      <c r="Q85" s="60">
        <v>7.75</v>
      </c>
      <c r="R85" s="198"/>
      <c r="S85" s="198"/>
      <c r="T85" s="198"/>
      <c r="U85" s="198"/>
    </row>
    <row r="86" spans="1:21" s="12" customFormat="1" ht="15">
      <c r="A86" s="201" t="s">
        <v>2148</v>
      </c>
      <c r="B86" s="60">
        <v>1.89</v>
      </c>
      <c r="C86" s="60">
        <v>15.61</v>
      </c>
      <c r="D86" s="60">
        <v>17.5</v>
      </c>
      <c r="E86" s="60">
        <v>6.41</v>
      </c>
      <c r="F86" s="60">
        <v>0.76</v>
      </c>
      <c r="G86" s="60">
        <v>46.55</v>
      </c>
      <c r="H86" s="60">
        <v>11.61</v>
      </c>
      <c r="I86" s="60">
        <v>4.70</v>
      </c>
      <c r="J86" s="60">
        <v>3.21</v>
      </c>
      <c r="K86" s="60">
        <v>165.42</v>
      </c>
      <c r="L86" s="60">
        <v>34.29</v>
      </c>
      <c r="M86" s="60">
        <v>89.65</v>
      </c>
      <c r="N86" s="60">
        <v>244.90</v>
      </c>
      <c r="O86" s="60">
        <v>0</v>
      </c>
      <c r="P86" s="60">
        <v>2.13</v>
      </c>
      <c r="Q86" s="60">
        <v>7.78</v>
      </c>
      <c r="R86" s="198"/>
      <c r="S86" s="198"/>
      <c r="T86" s="198"/>
      <c r="U86" s="198"/>
    </row>
    <row r="87" spans="1:21" s="12" customFormat="1" ht="15">
      <c r="A87" s="201" t="s">
        <v>2149</v>
      </c>
      <c r="B87" s="60">
        <v>2.17</v>
      </c>
      <c r="C87" s="60">
        <v>16.47</v>
      </c>
      <c r="D87" s="60">
        <v>18.649999999999999</v>
      </c>
      <c r="E87" s="60">
        <v>6.25</v>
      </c>
      <c r="F87" s="60">
        <v>0.98</v>
      </c>
      <c r="G87" s="60">
        <v>46.55</v>
      </c>
      <c r="H87" s="60">
        <v>11.61</v>
      </c>
      <c r="I87" s="60">
        <v>4.67</v>
      </c>
      <c r="J87" s="60">
        <v>2.3199999999999998</v>
      </c>
      <c r="K87" s="60">
        <v>181.54</v>
      </c>
      <c r="L87" s="60">
        <v>34.200000000000003</v>
      </c>
      <c r="M87" s="60">
        <v>90.41</v>
      </c>
      <c r="N87" s="60">
        <v>397.5</v>
      </c>
      <c r="O87" s="60">
        <v>0</v>
      </c>
      <c r="P87" s="60">
        <v>2.14</v>
      </c>
      <c r="Q87" s="60">
        <v>8.06</v>
      </c>
      <c r="R87" s="198"/>
      <c r="S87" s="198"/>
      <c r="T87" s="198"/>
      <c r="U87" s="198"/>
    </row>
    <row r="88" spans="1:21" s="12" customFormat="1" ht="15">
      <c r="A88" s="201" t="s">
        <v>2150</v>
      </c>
      <c r="B88" s="60">
        <v>2.36</v>
      </c>
      <c r="C88" s="60">
        <v>17.63</v>
      </c>
      <c r="D88" s="60">
        <v>19.989999999999998</v>
      </c>
      <c r="E88" s="60">
        <v>3.18</v>
      </c>
      <c r="F88" s="60">
        <v>1.29</v>
      </c>
      <c r="G88" s="60">
        <v>44.73</v>
      </c>
      <c r="H88" s="60">
        <v>13</v>
      </c>
      <c r="I88" s="60">
        <v>4.6900000000000004</v>
      </c>
      <c r="J88" s="60">
        <v>3.22</v>
      </c>
      <c r="K88" s="60">
        <v>160.06</v>
      </c>
      <c r="L88" s="60">
        <v>34.119999999999997</v>
      </c>
      <c r="M88" s="60">
        <v>90.81</v>
      </c>
      <c r="N88" s="60">
        <v>533.20000000000005</v>
      </c>
      <c r="O88" s="60">
        <v>0</v>
      </c>
      <c r="P88" s="60">
        <v>2.16</v>
      </c>
      <c r="Q88" s="60">
        <v>8.6300000000000008</v>
      </c>
      <c r="R88" s="198"/>
      <c r="S88" s="198"/>
      <c r="T88" s="198"/>
      <c r="U88" s="198"/>
    </row>
    <row r="89" spans="1:21" s="12" customFormat="1" ht="15">
      <c r="A89" s="201" t="s">
        <v>2151</v>
      </c>
      <c r="B89" s="60">
        <v>2.41</v>
      </c>
      <c r="C89" s="60">
        <v>17.75</v>
      </c>
      <c r="D89" s="60">
        <v>20.16</v>
      </c>
      <c r="E89" s="60">
        <v>6.53</v>
      </c>
      <c r="F89" s="60">
        <v>0.92</v>
      </c>
      <c r="G89" s="60">
        <v>44.21</v>
      </c>
      <c r="H89" s="60">
        <v>14.02</v>
      </c>
      <c r="I89" s="60">
        <v>4.67</v>
      </c>
      <c r="J89" s="60">
        <v>2.06</v>
      </c>
      <c r="K89" s="60">
        <v>183.32</v>
      </c>
      <c r="L89" s="60">
        <v>34.020000000000003</v>
      </c>
      <c r="M89" s="60">
        <v>91.52</v>
      </c>
      <c r="N89" s="60">
        <v>573.29999999999995</v>
      </c>
      <c r="O89" s="60">
        <v>0</v>
      </c>
      <c r="P89" s="60">
        <v>2.17</v>
      </c>
      <c r="Q89" s="60">
        <v>9.06</v>
      </c>
      <c r="R89" s="198"/>
      <c r="S89" s="198"/>
      <c r="T89" s="198"/>
      <c r="U89" s="198"/>
    </row>
    <row r="90" spans="1:21" s="12" customFormat="1" ht="15">
      <c r="A90" s="201" t="s">
        <v>2152</v>
      </c>
      <c r="B90" s="60">
        <v>2.87</v>
      </c>
      <c r="C90" s="60">
        <v>18.37</v>
      </c>
      <c r="D90" s="60">
        <v>21.24</v>
      </c>
      <c r="E90" s="60">
        <v>6.30</v>
      </c>
      <c r="F90" s="60">
        <v>0.60</v>
      </c>
      <c r="G90" s="60">
        <v>44.21</v>
      </c>
      <c r="H90" s="60">
        <v>14.02</v>
      </c>
      <c r="I90" s="60">
        <v>4.6500000000000004</v>
      </c>
      <c r="J90" s="60">
        <v>1.82</v>
      </c>
      <c r="K90" s="60">
        <v>194.09</v>
      </c>
      <c r="L90" s="60">
        <v>33.96</v>
      </c>
      <c r="M90" s="60">
        <v>92.13</v>
      </c>
      <c r="N90" s="60">
        <v>441.70</v>
      </c>
      <c r="O90" s="60">
        <v>0</v>
      </c>
      <c r="P90" s="60">
        <v>2.19</v>
      </c>
      <c r="Q90" s="60">
        <v>9.6999999999999993</v>
      </c>
      <c r="R90" s="198"/>
      <c r="S90" s="198"/>
      <c r="T90" s="198"/>
      <c r="U90" s="198"/>
    </row>
    <row r="91" spans="1:21" s="12" customFormat="1" ht="15">
      <c r="A91" s="201" t="s">
        <v>2153</v>
      </c>
      <c r="B91" s="60">
        <v>3.45</v>
      </c>
      <c r="C91" s="60">
        <v>19.399999999999999</v>
      </c>
      <c r="D91" s="60">
        <v>22.85</v>
      </c>
      <c r="E91" s="60">
        <v>6.21</v>
      </c>
      <c r="F91" s="60">
        <v>1.07</v>
      </c>
      <c r="G91" s="60">
        <v>44.21</v>
      </c>
      <c r="H91" s="60">
        <v>14.02</v>
      </c>
      <c r="I91" s="60">
        <v>4.57</v>
      </c>
      <c r="J91" s="60">
        <v>2.2799999999999998</v>
      </c>
      <c r="K91" s="60">
        <v>187.96</v>
      </c>
      <c r="L91" s="60">
        <v>33.97</v>
      </c>
      <c r="M91" s="60">
        <v>91.93</v>
      </c>
      <c r="N91" s="60">
        <v>511.10</v>
      </c>
      <c r="O91" s="60">
        <v>0</v>
      </c>
      <c r="P91" s="60">
        <v>2.21</v>
      </c>
      <c r="Q91" s="60">
        <v>10.28</v>
      </c>
      <c r="R91" s="198"/>
      <c r="S91" s="198"/>
      <c r="T91" s="198"/>
      <c r="U91" s="198"/>
    </row>
    <row r="92" spans="1:21" s="12" customFormat="1" ht="15">
      <c r="A92" s="201" t="s">
        <v>2154</v>
      </c>
      <c r="B92" s="60">
        <v>4.04</v>
      </c>
      <c r="C92" s="60">
        <v>20.02</v>
      </c>
      <c r="D92" s="60">
        <v>24.06</v>
      </c>
      <c r="E92" s="60">
        <v>6.10</v>
      </c>
      <c r="F92" s="60">
        <v>0.37</v>
      </c>
      <c r="G92" s="60">
        <v>50.18</v>
      </c>
      <c r="H92" s="60">
        <v>14.59</v>
      </c>
      <c r="I92" s="60">
        <v>4.54</v>
      </c>
      <c r="J92" s="60">
        <v>2.48</v>
      </c>
      <c r="K92" s="60">
        <v>168.98</v>
      </c>
      <c r="L92" s="60">
        <v>33.93</v>
      </c>
      <c r="M92" s="60">
        <v>92.35</v>
      </c>
      <c r="N92" s="60">
        <v>456</v>
      </c>
      <c r="O92" s="60">
        <v>0</v>
      </c>
      <c r="P92" s="60">
        <v>2.23</v>
      </c>
      <c r="Q92" s="60">
        <v>10.69</v>
      </c>
      <c r="R92" s="198"/>
      <c r="S92" s="198"/>
      <c r="T92" s="198"/>
      <c r="U92" s="198"/>
    </row>
    <row r="93" spans="1:21" s="12" customFormat="1" ht="15">
      <c r="A93" s="201" t="s">
        <v>2155</v>
      </c>
      <c r="B93" s="60">
        <v>4.43</v>
      </c>
      <c r="C93" s="60">
        <v>20.23</v>
      </c>
      <c r="D93" s="60">
        <v>24.66</v>
      </c>
      <c r="E93" s="60">
        <v>5.88</v>
      </c>
      <c r="F93" s="60">
        <v>0.15</v>
      </c>
      <c r="G93" s="60">
        <v>51.90</v>
      </c>
      <c r="H93" s="60">
        <v>15</v>
      </c>
      <c r="I93" s="60">
        <v>4.55</v>
      </c>
      <c r="J93" s="60">
        <v>2.04</v>
      </c>
      <c r="K93" s="60">
        <v>184.99</v>
      </c>
      <c r="L93" s="60">
        <v>33.950000000000003</v>
      </c>
      <c r="M93" s="60">
        <v>92.35</v>
      </c>
      <c r="N93" s="60">
        <v>470.80</v>
      </c>
      <c r="O93" s="60">
        <v>0</v>
      </c>
      <c r="P93" s="60">
        <v>2.2400000000000002</v>
      </c>
      <c r="Q93" s="60">
        <v>10.87</v>
      </c>
      <c r="R93" s="198"/>
      <c r="S93" s="198"/>
      <c r="T93" s="198"/>
      <c r="U93" s="198"/>
    </row>
    <row r="94" spans="1:21" s="12" customFormat="1" ht="15">
      <c r="A94" s="201" t="s">
        <v>2156</v>
      </c>
      <c r="B94" s="60">
        <v>4.7699999999999996</v>
      </c>
      <c r="C94" s="60">
        <v>20.170000000000002</v>
      </c>
      <c r="D94" s="60">
        <v>24.95</v>
      </c>
      <c r="E94" s="60">
        <v>5.83</v>
      </c>
      <c r="F94" s="60">
        <v>0.41</v>
      </c>
      <c r="G94" s="60">
        <v>51.90</v>
      </c>
      <c r="H94" s="60">
        <v>15</v>
      </c>
      <c r="I94" s="60">
        <v>4.53</v>
      </c>
      <c r="J94" s="60">
        <v>3.28</v>
      </c>
      <c r="K94" s="60">
        <v>163.98</v>
      </c>
      <c r="L94" s="60">
        <v>33.979999999999997</v>
      </c>
      <c r="M94" s="60">
        <v>92.04</v>
      </c>
      <c r="N94" s="60">
        <v>489.60</v>
      </c>
      <c r="O94" s="60">
        <v>0</v>
      </c>
      <c r="P94" s="60">
        <v>2.25</v>
      </c>
      <c r="Q94" s="60">
        <v>11.08</v>
      </c>
      <c r="R94" s="198"/>
      <c r="S94" s="198"/>
      <c r="T94" s="198"/>
      <c r="U94" s="198"/>
    </row>
    <row r="95" spans="1:21" s="12" customFormat="1" ht="15">
      <c r="A95" s="201" t="s">
        <v>2157</v>
      </c>
      <c r="B95" s="60">
        <v>4.76</v>
      </c>
      <c r="C95" s="60">
        <v>20.309999999999999</v>
      </c>
      <c r="D95" s="60">
        <v>25.07</v>
      </c>
      <c r="E95" s="60">
        <v>6.05</v>
      </c>
      <c r="F95" s="60">
        <v>0.56000000000000005</v>
      </c>
      <c r="G95" s="60">
        <v>51.90</v>
      </c>
      <c r="H95" s="60">
        <v>15</v>
      </c>
      <c r="I95" s="60">
        <v>4.5</v>
      </c>
      <c r="J95" s="60">
        <v>2.91</v>
      </c>
      <c r="K95" s="60">
        <v>173.20</v>
      </c>
      <c r="L95" s="60">
        <v>33.96</v>
      </c>
      <c r="M95" s="60">
        <v>92.13</v>
      </c>
      <c r="N95" s="60">
        <v>439.60</v>
      </c>
      <c r="O95" s="60">
        <v>0</v>
      </c>
      <c r="P95" s="60">
        <v>2.2599999999999998</v>
      </c>
      <c r="Q95" s="60">
        <v>11.17</v>
      </c>
      <c r="R95" s="198"/>
      <c r="S95" s="198"/>
      <c r="T95" s="198"/>
      <c r="U95" s="198"/>
    </row>
    <row r="96" spans="1:26" s="12" customFormat="1" ht="15">
      <c r="A96" s="201" t="s">
        <v>2158</v>
      </c>
      <c r="B96" s="60">
        <v>4.46</v>
      </c>
      <c r="C96" s="60">
        <v>19.39</v>
      </c>
      <c r="D96" s="60">
        <v>23.85</v>
      </c>
      <c r="E96" s="60">
        <v>5.72</v>
      </c>
      <c r="F96" s="60">
        <v>0.47</v>
      </c>
      <c r="G96" s="60">
        <v>50.99</v>
      </c>
      <c r="H96" s="60">
        <v>17.29</v>
      </c>
      <c r="I96" s="60">
        <v>4.47</v>
      </c>
      <c r="J96" s="60">
        <v>3.46</v>
      </c>
      <c r="K96" s="60">
        <v>163.44999999999999</v>
      </c>
      <c r="L96" s="60">
        <v>33.86</v>
      </c>
      <c r="M96" s="60">
        <v>92.43</v>
      </c>
      <c r="N96" s="60">
        <v>407.5</v>
      </c>
      <c r="O96" s="60">
        <v>0</v>
      </c>
      <c r="P96" s="60">
        <v>2.25</v>
      </c>
      <c r="Q96" s="60">
        <v>10.94</v>
      </c>
      <c r="R96" s="198"/>
      <c r="S96" s="198"/>
      <c r="T96" s="198"/>
      <c r="U96" s="198"/>
      <c r="Z96" s="109"/>
    </row>
    <row r="97" spans="1:21" s="12" customFormat="1" ht="15">
      <c r="A97" s="201" t="s">
        <v>2159</v>
      </c>
      <c r="B97" s="60">
        <v>4.03</v>
      </c>
      <c r="C97" s="60">
        <v>18.899999999999999</v>
      </c>
      <c r="D97" s="60">
        <v>22.93</v>
      </c>
      <c r="E97" s="60">
        <v>5.76</v>
      </c>
      <c r="F97" s="60">
        <v>0.5</v>
      </c>
      <c r="G97" s="60">
        <v>50.73</v>
      </c>
      <c r="H97" s="60">
        <v>18.96</v>
      </c>
      <c r="I97" s="60">
        <v>4.46</v>
      </c>
      <c r="J97" s="60">
        <v>3.59</v>
      </c>
      <c r="K97" s="60">
        <v>162.13</v>
      </c>
      <c r="L97" s="60">
        <v>33.869999999999997</v>
      </c>
      <c r="M97" s="60">
        <v>92.39</v>
      </c>
      <c r="N97" s="60">
        <v>367.30</v>
      </c>
      <c r="O97" s="60">
        <v>0</v>
      </c>
      <c r="P97" s="60">
        <v>2.23</v>
      </c>
      <c r="Q97" s="60">
        <v>10.61</v>
      </c>
      <c r="R97" s="198"/>
      <c r="S97" s="198"/>
      <c r="T97" s="198"/>
      <c r="U97" s="198"/>
    </row>
    <row r="98" spans="1:21" s="12" customFormat="1" ht="15">
      <c r="A98" s="201" t="s">
        <v>2160</v>
      </c>
      <c r="B98" s="60">
        <v>3.83</v>
      </c>
      <c r="C98" s="60">
        <v>17.75</v>
      </c>
      <c r="D98" s="60">
        <v>21.59</v>
      </c>
      <c r="E98" s="60">
        <v>6</v>
      </c>
      <c r="F98" s="60">
        <v>0.77</v>
      </c>
      <c r="G98" s="60">
        <v>50.73</v>
      </c>
      <c r="H98" s="60">
        <v>18.96</v>
      </c>
      <c r="I98" s="60">
        <v>4.33</v>
      </c>
      <c r="J98" s="60">
        <v>2.64</v>
      </c>
      <c r="K98" s="60">
        <v>163.47999999999999</v>
      </c>
      <c r="L98" s="60">
        <v>33.86</v>
      </c>
      <c r="M98" s="60">
        <v>92.68</v>
      </c>
      <c r="N98" s="60">
        <v>415.80</v>
      </c>
      <c r="O98" s="60">
        <v>0</v>
      </c>
      <c r="P98" s="60">
        <v>2.2200000000000002</v>
      </c>
      <c r="Q98" s="60">
        <v>10.25</v>
      </c>
      <c r="R98" s="198"/>
      <c r="S98" s="198"/>
      <c r="T98" s="198"/>
      <c r="U98" s="198"/>
    </row>
    <row r="99" spans="1:21" s="12" customFormat="1" ht="15">
      <c r="A99" s="201" t="s">
        <v>2161</v>
      </c>
      <c r="B99" s="60">
        <v>3.90</v>
      </c>
      <c r="C99" s="60">
        <v>16.87</v>
      </c>
      <c r="D99" s="60">
        <v>20.77</v>
      </c>
      <c r="E99" s="60">
        <v>6.19</v>
      </c>
      <c r="F99" s="60">
        <v>0.92</v>
      </c>
      <c r="G99" s="60">
        <v>50.73</v>
      </c>
      <c r="H99" s="60">
        <v>18.96</v>
      </c>
      <c r="I99" s="60">
        <v>4.20</v>
      </c>
      <c r="J99" s="60">
        <v>3.33</v>
      </c>
      <c r="K99" s="60">
        <v>156.94</v>
      </c>
      <c r="L99" s="60">
        <v>33.82</v>
      </c>
      <c r="M99" s="60">
        <v>92.59</v>
      </c>
      <c r="N99" s="60">
        <v>497.90</v>
      </c>
      <c r="O99" s="60">
        <v>0</v>
      </c>
      <c r="P99" s="60">
        <v>2.2200000000000002</v>
      </c>
      <c r="Q99" s="60">
        <v>9.5500000000000007</v>
      </c>
      <c r="R99" s="198"/>
      <c r="S99" s="198"/>
      <c r="T99" s="198"/>
      <c r="U99" s="198"/>
    </row>
    <row r="100" spans="1:33" s="12" customFormat="1" ht="15">
      <c r="A100" s="201" t="s">
        <v>2162</v>
      </c>
      <c r="B100" s="60">
        <v>4.04</v>
      </c>
      <c r="C100" s="60">
        <v>16.41</v>
      </c>
      <c r="D100" s="60">
        <v>20.46</v>
      </c>
      <c r="E100" s="60">
        <v>6.35</v>
      </c>
      <c r="F100" s="60">
        <v>0.70</v>
      </c>
      <c r="G100" s="60">
        <v>48.88</v>
      </c>
      <c r="H100" s="60">
        <v>18.579999999999998</v>
      </c>
      <c r="I100" s="60">
        <v>4.2300000000000004</v>
      </c>
      <c r="J100" s="60">
        <v>1.32</v>
      </c>
      <c r="K100" s="60">
        <v>202.56</v>
      </c>
      <c r="L100" s="60">
        <v>33.770000000000003</v>
      </c>
      <c r="M100" s="60">
        <v>92.58</v>
      </c>
      <c r="N100" s="60">
        <v>482</v>
      </c>
      <c r="O100" s="60">
        <v>0</v>
      </c>
      <c r="P100" s="60">
        <v>2.21</v>
      </c>
      <c r="Q100" s="60">
        <v>9.02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2163</v>
      </c>
      <c r="B101" s="60">
        <v>4.37</v>
      </c>
      <c r="C101" s="60">
        <v>15.87</v>
      </c>
      <c r="D101" s="60">
        <v>20.239999999999998</v>
      </c>
      <c r="E101" s="60">
        <v>6.86</v>
      </c>
      <c r="F101" s="60">
        <v>0.11</v>
      </c>
      <c r="G101" s="60">
        <v>48.35</v>
      </c>
      <c r="H101" s="60">
        <v>18.30</v>
      </c>
      <c r="I101" s="60">
        <v>4.2300000000000004</v>
      </c>
      <c r="J101" s="60">
        <v>2.2200000000000002</v>
      </c>
      <c r="K101" s="60">
        <v>176.86</v>
      </c>
      <c r="L101" s="60">
        <v>33.76</v>
      </c>
      <c r="M101" s="60">
        <v>92.65</v>
      </c>
      <c r="N101" s="60">
        <v>421.80</v>
      </c>
      <c r="O101" s="60">
        <v>0</v>
      </c>
      <c r="P101" s="60">
        <v>2.21</v>
      </c>
      <c r="Q101" s="60">
        <v>8.82</v>
      </c>
      <c r="R101" s="198"/>
      <c r="S101" s="198"/>
      <c r="T101" s="198"/>
      <c r="U101" s="198"/>
    </row>
    <row r="102" spans="1:21" s="12" customFormat="1" ht="15">
      <c r="A102" s="201" t="s">
        <v>2164</v>
      </c>
      <c r="B102" s="60">
        <v>4.57</v>
      </c>
      <c r="C102" s="60">
        <v>15.33</v>
      </c>
      <c r="D102" s="60">
        <v>19.899999999999999</v>
      </c>
      <c r="E102" s="60">
        <v>7.32</v>
      </c>
      <c r="F102" s="60">
        <v>0.22</v>
      </c>
      <c r="G102" s="60">
        <v>48.35</v>
      </c>
      <c r="H102" s="60">
        <v>18.30</v>
      </c>
      <c r="I102" s="60">
        <v>4.26</v>
      </c>
      <c r="J102" s="60">
        <v>0.5</v>
      </c>
      <c r="K102" s="60">
        <v>209</v>
      </c>
      <c r="L102" s="60">
        <v>33.69</v>
      </c>
      <c r="M102" s="60">
        <v>93.04</v>
      </c>
      <c r="N102" s="60">
        <v>431.60</v>
      </c>
      <c r="O102" s="60">
        <v>0</v>
      </c>
      <c r="P102" s="60">
        <v>2.21</v>
      </c>
      <c r="Q102" s="60">
        <v>8.69</v>
      </c>
      <c r="R102" s="198"/>
      <c r="S102" s="198"/>
      <c r="T102" s="198"/>
      <c r="U102" s="198"/>
    </row>
    <row r="103" spans="1:21" s="12" customFormat="1" ht="15">
      <c r="A103" s="201" t="s">
        <v>2165</v>
      </c>
      <c r="B103" s="60">
        <v>4.75</v>
      </c>
      <c r="C103" s="60">
        <v>14.86</v>
      </c>
      <c r="D103" s="60">
        <v>19.61</v>
      </c>
      <c r="E103" s="60">
        <v>7.51</v>
      </c>
      <c r="F103" s="60">
        <v>0.35</v>
      </c>
      <c r="G103" s="60">
        <v>48.35</v>
      </c>
      <c r="H103" s="60">
        <v>18.30</v>
      </c>
      <c r="I103" s="60">
        <v>4.28</v>
      </c>
      <c r="J103" s="60">
        <v>1.88</v>
      </c>
      <c r="K103" s="60">
        <v>135.47</v>
      </c>
      <c r="L103" s="60">
        <v>32.869999999999997</v>
      </c>
      <c r="M103" s="60">
        <v>92.83</v>
      </c>
      <c r="N103" s="60">
        <v>469.40</v>
      </c>
      <c r="O103" s="60">
        <v>0</v>
      </c>
      <c r="P103" s="60">
        <v>2.21</v>
      </c>
      <c r="Q103" s="60">
        <v>8.64</v>
      </c>
      <c r="R103" s="198"/>
      <c r="S103" s="198"/>
      <c r="T103" s="198"/>
      <c r="U103" s="198"/>
    </row>
    <row r="104" spans="1:21" s="12" customFormat="1" ht="15">
      <c r="A104" s="201" t="s">
        <v>2166</v>
      </c>
      <c r="B104" s="60">
        <v>5.05</v>
      </c>
      <c r="C104" s="60">
        <v>14.73</v>
      </c>
      <c r="D104" s="60">
        <v>19.78</v>
      </c>
      <c r="E104" s="60">
        <v>4.01</v>
      </c>
      <c r="F104" s="60">
        <v>0.35</v>
      </c>
      <c r="G104" s="60">
        <v>55.52</v>
      </c>
      <c r="H104" s="60">
        <v>23.13</v>
      </c>
      <c r="I104" s="60">
        <v>4.30</v>
      </c>
      <c r="J104" s="60">
        <v>1.80</v>
      </c>
      <c r="K104" s="60">
        <v>144.06</v>
      </c>
      <c r="L104" s="60">
        <v>32.39</v>
      </c>
      <c r="M104" s="60">
        <v>92.49</v>
      </c>
      <c r="N104" s="60">
        <v>378.80</v>
      </c>
      <c r="O104" s="60">
        <v>0</v>
      </c>
      <c r="P104" s="60">
        <v>2.2000000000000002</v>
      </c>
      <c r="Q104" s="60">
        <v>8.67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0.87</v>
      </c>
      <c r="C106" s="67">
        <f>MIN(C9:C104)</f>
        <v>14.24</v>
      </c>
      <c r="D106" s="67">
        <f t="shared" si="0" ref="D106:Q106">MIN(D9:D104)</f>
        <v>16.219999999999999</v>
      </c>
      <c r="E106" s="67">
        <f t="shared" si="0"/>
        <v>2.4399999999999999</v>
      </c>
      <c r="F106" s="67">
        <f t="shared" si="0"/>
        <v>0.070000000000000007</v>
      </c>
      <c r="G106" s="67">
        <f t="shared" si="0"/>
        <v>25.27</v>
      </c>
      <c r="H106" s="67">
        <f t="shared" si="0"/>
        <v>8.5600000000000005</v>
      </c>
      <c r="I106" s="67">
        <f t="shared" si="0"/>
        <v>3.1800000000000002</v>
      </c>
      <c r="J106" s="67">
        <f t="shared" si="0"/>
        <v>0.23000000000000001</v>
      </c>
      <c r="K106" s="67">
        <f t="shared" si="0"/>
        <v>6.0599999999999996</v>
      </c>
      <c r="L106" s="67">
        <f t="shared" si="0"/>
        <v>31.460000000000001</v>
      </c>
      <c r="M106" s="67">
        <f t="shared" si="0"/>
        <v>79.540000000000006</v>
      </c>
      <c r="N106" s="67">
        <f t="shared" si="0"/>
        <v>214.59999999999999</v>
      </c>
      <c r="O106" s="67">
        <f t="shared" si="0"/>
        <v>0</v>
      </c>
      <c r="P106" s="67">
        <f t="shared" si="0"/>
        <v>2.0299999999999998</v>
      </c>
      <c r="Q106" s="67">
        <f t="shared" si="0"/>
        <v>7.75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21.780000000000001</v>
      </c>
      <c r="C107" s="66">
        <f t="shared" si="1" ref="C107:Q107">MAX(C9:C104)</f>
        <v>26.239999999999998</v>
      </c>
      <c r="D107" s="66">
        <f t="shared" si="1"/>
        <v>44.609999999999999</v>
      </c>
      <c r="E107" s="66">
        <f t="shared" si="1"/>
        <v>8.5800000000000001</v>
      </c>
      <c r="F107" s="66">
        <f t="shared" si="1"/>
        <v>1.73</v>
      </c>
      <c r="G107" s="66">
        <f t="shared" si="1"/>
        <v>90.810000000000002</v>
      </c>
      <c r="H107" s="66">
        <f t="shared" si="1"/>
        <v>39.219999999999999</v>
      </c>
      <c r="I107" s="66">
        <f t="shared" si="1"/>
        <v>6.2400000000000002</v>
      </c>
      <c r="J107" s="66">
        <f t="shared" si="1"/>
        <v>3.5899999999999999</v>
      </c>
      <c r="K107" s="66">
        <f t="shared" si="1"/>
        <v>358.55000000000001</v>
      </c>
      <c r="L107" s="66">
        <f t="shared" si="1"/>
        <v>36.060000000000002</v>
      </c>
      <c r="M107" s="66">
        <f t="shared" si="1"/>
        <v>96.579999999999998</v>
      </c>
      <c r="N107" s="66">
        <f t="shared" si="1"/>
        <v>768.10000000000002</v>
      </c>
      <c r="O107" s="66">
        <f t="shared" si="1"/>
        <v>0.59999999999999998</v>
      </c>
      <c r="P107" s="66">
        <f t="shared" si="1"/>
        <v>2.5699999999999998</v>
      </c>
      <c r="Q107" s="66">
        <f t="shared" si="1"/>
        <v>19.539999999999999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6.2438541666666652</v>
      </c>
      <c r="C108" s="67">
        <f t="shared" si="2" ref="C108:Q108">AVERAGE(C9:C104)</f>
        <v>18.355624999999996</v>
      </c>
      <c r="D108" s="67">
        <f t="shared" si="2"/>
        <v>24.599791666666665</v>
      </c>
      <c r="E108" s="67">
        <f t="shared" si="2"/>
        <v>6.3582291666666677</v>
      </c>
      <c r="F108" s="67">
        <f t="shared" si="2"/>
        <v>0.68135416666666637</v>
      </c>
      <c r="G108" s="67">
        <f t="shared" si="2"/>
        <v>45.99197916666666</v>
      </c>
      <c r="H108" s="67">
        <f t="shared" si="2"/>
        <v>17.670729166666664</v>
      </c>
      <c r="I108" s="67">
        <f t="shared" si="2"/>
        <v>4.2171874999999979</v>
      </c>
      <c r="J108" s="67">
        <f t="shared" si="2"/>
        <v>1.7797916666666664</v>
      </c>
      <c r="K108" s="67">
        <f t="shared" si="2"/>
        <v>192.9204166666668</v>
      </c>
      <c r="L108" s="67">
        <f t="shared" si="2"/>
        <v>33.774479166666666</v>
      </c>
      <c r="M108" s="67">
        <f t="shared" si="2"/>
        <v>89.688125000000056</v>
      </c>
      <c r="N108" s="67">
        <f t="shared" si="2"/>
        <v>447.546875</v>
      </c>
      <c r="O108" s="67">
        <f t="shared" si="2"/>
        <v>0.022916666666666669</v>
      </c>
      <c r="P108" s="67">
        <f t="shared" si="2"/>
        <v>2.2163541666666662</v>
      </c>
      <c r="Q108" s="67">
        <f t="shared" si="2"/>
        <v>11.650625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5.490299267040613</v>
      </c>
      <c r="C109" s="67">
        <f t="shared" si="3" ref="C109:Q109">STDEV(C9:C104)</f>
        <v>3.2617130831577406</v>
      </c>
      <c r="D109" s="67">
        <f t="shared" si="3"/>
        <v>7.4367732078915942</v>
      </c>
      <c r="E109" s="67">
        <f t="shared" si="3"/>
        <v>1.2637304799193467</v>
      </c>
      <c r="F109" s="67">
        <f t="shared" si="3"/>
        <v>0.42118784355843414</v>
      </c>
      <c r="G109" s="67">
        <f t="shared" si="3"/>
        <v>16.568419523761175</v>
      </c>
      <c r="H109" s="67">
        <f t="shared" si="3"/>
        <v>7.6848411612241962</v>
      </c>
      <c r="I109" s="67">
        <f t="shared" si="3"/>
        <v>0.73835336444651412</v>
      </c>
      <c r="J109" s="67">
        <f t="shared" si="3"/>
        <v>0.84341034424053152</v>
      </c>
      <c r="K109" s="67">
        <f t="shared" si="3"/>
        <v>76.510470104515818</v>
      </c>
      <c r="L109" s="67">
        <f t="shared" si="3"/>
        <v>1.2461569300446251</v>
      </c>
      <c r="M109" s="67">
        <f t="shared" si="3"/>
        <v>4.6184149280211289</v>
      </c>
      <c r="N109" s="67">
        <f t="shared" si="3"/>
        <v>131.94617638952539</v>
      </c>
      <c r="O109" s="67">
        <f t="shared" si="3"/>
        <v>0.091166899194674439</v>
      </c>
      <c r="P109" s="67">
        <f t="shared" si="3"/>
        <v>0.13699880746055429</v>
      </c>
      <c r="Q109" s="67">
        <f t="shared" si="3"/>
        <v>2.7538038046921223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cd3ed7-3bda-4f6f-b74b-94393b63a405}">
  <sheetPr codeName=""/>
  <dimension ref="A1:AG117"/>
  <sheetViews>
    <sheetView workbookViewId="0" topLeftCell="A1">
      <pane xSplit="1" ySplit="8" topLeftCell="B105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3" sqref="L113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21-06-2022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2167</v>
      </c>
      <c r="B9" s="60">
        <v>5.18</v>
      </c>
      <c r="C9" s="60">
        <v>15</v>
      </c>
      <c r="D9" s="60">
        <v>20.18</v>
      </c>
      <c r="E9" s="60">
        <v>7.76</v>
      </c>
      <c r="F9" s="60">
        <v>0.31</v>
      </c>
      <c r="G9" s="60">
        <v>59.23</v>
      </c>
      <c r="H9" s="60">
        <v>26.5</v>
      </c>
      <c r="I9" s="60">
        <v>4.34</v>
      </c>
      <c r="J9" s="60">
        <v>2.69</v>
      </c>
      <c r="K9" s="60">
        <v>160.99</v>
      </c>
      <c r="L9" s="60">
        <v>32.409999999999997</v>
      </c>
      <c r="M9" s="60">
        <v>91.87</v>
      </c>
      <c r="N9" s="60">
        <v>415.10</v>
      </c>
      <c r="O9" s="60">
        <v>0</v>
      </c>
      <c r="P9" s="60">
        <v>2.2000000000000002</v>
      </c>
      <c r="Q9" s="60">
        <v>8.73</v>
      </c>
      <c r="R9" s="198"/>
      <c r="S9" s="198"/>
      <c r="T9" s="198"/>
      <c r="U9" s="198"/>
    </row>
    <row r="10" spans="1:21" s="12" customFormat="1" ht="15">
      <c r="A10" s="201" t="s">
        <v>2168</v>
      </c>
      <c r="B10" s="60">
        <v>4.70</v>
      </c>
      <c r="C10" s="60">
        <v>15.40</v>
      </c>
      <c r="D10" s="60">
        <v>20.100000000000001</v>
      </c>
      <c r="E10" s="60">
        <v>8.27</v>
      </c>
      <c r="F10" s="60">
        <v>0.43</v>
      </c>
      <c r="G10" s="60">
        <v>59.23</v>
      </c>
      <c r="H10" s="60">
        <v>26.5</v>
      </c>
      <c r="I10" s="60">
        <v>4.3499999999999996</v>
      </c>
      <c r="J10" s="60">
        <v>2.0499999999999998</v>
      </c>
      <c r="K10" s="60">
        <v>89.28</v>
      </c>
      <c r="L10" s="60">
        <v>32.25</v>
      </c>
      <c r="M10" s="60">
        <v>91.86</v>
      </c>
      <c r="N10" s="60">
        <v>538.20000000000005</v>
      </c>
      <c r="O10" s="60">
        <v>0</v>
      </c>
      <c r="P10" s="60">
        <v>2.19</v>
      </c>
      <c r="Q10" s="60">
        <v>9.11</v>
      </c>
      <c r="R10" s="198"/>
      <c r="S10" s="198"/>
      <c r="T10" s="198"/>
      <c r="U10" s="198"/>
    </row>
    <row r="11" spans="1:21" s="12" customFormat="1" ht="15">
      <c r="A11" s="201" t="s">
        <v>2169</v>
      </c>
      <c r="B11" s="60">
        <v>4.07</v>
      </c>
      <c r="C11" s="60">
        <v>15.28</v>
      </c>
      <c r="D11" s="60">
        <v>19.34</v>
      </c>
      <c r="E11" s="60">
        <v>7.58</v>
      </c>
      <c r="F11" s="60">
        <v>0.37</v>
      </c>
      <c r="G11" s="60">
        <v>59.23</v>
      </c>
      <c r="H11" s="60">
        <v>26.5</v>
      </c>
      <c r="I11" s="60">
        <v>4.38</v>
      </c>
      <c r="J11" s="60">
        <v>2.2000000000000002</v>
      </c>
      <c r="K11" s="60">
        <v>181.24</v>
      </c>
      <c r="L11" s="60">
        <v>32.28</v>
      </c>
      <c r="M11" s="60">
        <v>92.15</v>
      </c>
      <c r="N11" s="60">
        <v>585.70000000000005</v>
      </c>
      <c r="O11" s="60">
        <v>0</v>
      </c>
      <c r="P11" s="60">
        <v>2.1800000000000002</v>
      </c>
      <c r="Q11" s="60">
        <v>9.41</v>
      </c>
      <c r="R11" s="198"/>
      <c r="S11" s="198"/>
      <c r="T11" s="198"/>
      <c r="U11" s="198"/>
    </row>
    <row r="12" spans="1:21" s="12" customFormat="1" ht="15">
      <c r="A12" s="201" t="s">
        <v>2170</v>
      </c>
      <c r="B12" s="60">
        <v>3.48</v>
      </c>
      <c r="C12" s="60">
        <v>15.25</v>
      </c>
      <c r="D12" s="60">
        <v>18.72</v>
      </c>
      <c r="E12" s="60">
        <v>7.54</v>
      </c>
      <c r="F12" s="60">
        <v>0.43</v>
      </c>
      <c r="G12" s="60">
        <v>52.99</v>
      </c>
      <c r="H12" s="60">
        <v>22.36</v>
      </c>
      <c r="I12" s="60">
        <v>4.21</v>
      </c>
      <c r="J12" s="60">
        <v>1.75</v>
      </c>
      <c r="K12" s="60">
        <v>164.59</v>
      </c>
      <c r="L12" s="60">
        <v>32.15</v>
      </c>
      <c r="M12" s="60">
        <v>92.71</v>
      </c>
      <c r="N12" s="60">
        <v>490.40</v>
      </c>
      <c r="O12" s="60">
        <v>0</v>
      </c>
      <c r="P12" s="60">
        <v>2.16</v>
      </c>
      <c r="Q12" s="60">
        <v>9.5</v>
      </c>
      <c r="R12" s="198"/>
      <c r="S12" s="198"/>
      <c r="T12" s="198"/>
      <c r="U12" s="198"/>
    </row>
    <row r="13" spans="1:21" s="12" customFormat="1" ht="15">
      <c r="A13" s="201" t="s">
        <v>2171</v>
      </c>
      <c r="B13" s="60">
        <v>3.08</v>
      </c>
      <c r="C13" s="60">
        <v>15.32</v>
      </c>
      <c r="D13" s="60">
        <v>18.399999999999999</v>
      </c>
      <c r="E13" s="60">
        <v>7.46</v>
      </c>
      <c r="F13" s="60">
        <v>0.28000000000000003</v>
      </c>
      <c r="G13" s="60">
        <v>51.19</v>
      </c>
      <c r="H13" s="60">
        <v>19.46</v>
      </c>
      <c r="I13" s="60">
        <v>4.0599999999999996</v>
      </c>
      <c r="J13" s="60">
        <v>0.19</v>
      </c>
      <c r="K13" s="60">
        <v>178.42</v>
      </c>
      <c r="L13" s="60">
        <v>32.15</v>
      </c>
      <c r="M13" s="60">
        <v>93.48</v>
      </c>
      <c r="N13" s="60">
        <v>448.5</v>
      </c>
      <c r="O13" s="60">
        <v>0</v>
      </c>
      <c r="P13" s="60">
        <v>2.15</v>
      </c>
      <c r="Q13" s="60">
        <v>9.40</v>
      </c>
      <c r="R13" s="198"/>
      <c r="S13" s="198"/>
      <c r="T13" s="198"/>
      <c r="U13" s="198"/>
    </row>
    <row r="14" spans="1:21" s="12" customFormat="1" ht="15">
      <c r="A14" s="201" t="s">
        <v>2172</v>
      </c>
      <c r="B14" s="60">
        <v>2.87</v>
      </c>
      <c r="C14" s="60">
        <v>15.18</v>
      </c>
      <c r="D14" s="60">
        <v>18.059999999999999</v>
      </c>
      <c r="E14" s="60">
        <v>6.93</v>
      </c>
      <c r="F14" s="60">
        <v>0.11</v>
      </c>
      <c r="G14" s="60">
        <v>51.19</v>
      </c>
      <c r="H14" s="60">
        <v>19.46</v>
      </c>
      <c r="I14" s="60">
        <v>3.93</v>
      </c>
      <c r="J14" s="60">
        <v>0.60</v>
      </c>
      <c r="K14" s="60">
        <v>61</v>
      </c>
      <c r="L14" s="60">
        <v>32.200000000000003</v>
      </c>
      <c r="M14" s="60">
        <v>93.30</v>
      </c>
      <c r="N14" s="60">
        <v>530.10</v>
      </c>
      <c r="O14" s="60">
        <v>0</v>
      </c>
      <c r="P14" s="60">
        <v>2.13</v>
      </c>
      <c r="Q14" s="60">
        <v>9.51</v>
      </c>
      <c r="R14" s="198"/>
      <c r="S14" s="198"/>
      <c r="T14" s="198"/>
      <c r="U14" s="198"/>
    </row>
    <row r="15" spans="1:21" s="12" customFormat="1" ht="15">
      <c r="A15" s="201" t="s">
        <v>2173</v>
      </c>
      <c r="B15" s="60">
        <v>2.76</v>
      </c>
      <c r="C15" s="60">
        <v>14.67</v>
      </c>
      <c r="D15" s="60">
        <v>17.43</v>
      </c>
      <c r="E15" s="60">
        <v>7.07</v>
      </c>
      <c r="F15" s="60">
        <v>0.57999999999999996</v>
      </c>
      <c r="G15" s="60">
        <v>51.19</v>
      </c>
      <c r="H15" s="60">
        <v>19.46</v>
      </c>
      <c r="I15" s="60">
        <v>3.85</v>
      </c>
      <c r="J15" s="60">
        <v>0.69</v>
      </c>
      <c r="K15" s="60">
        <v>342.29</v>
      </c>
      <c r="L15" s="60">
        <v>32.14</v>
      </c>
      <c r="M15" s="60">
        <v>94.02</v>
      </c>
      <c r="N15" s="60">
        <v>428.70</v>
      </c>
      <c r="O15" s="60">
        <v>0</v>
      </c>
      <c r="P15" s="60">
        <v>2.12</v>
      </c>
      <c r="Q15" s="60">
        <v>9.59</v>
      </c>
      <c r="R15" s="198"/>
      <c r="S15" s="198"/>
      <c r="T15" s="198"/>
      <c r="U15" s="198"/>
    </row>
    <row r="16" spans="1:21" s="12" customFormat="1" ht="15">
      <c r="A16" s="201" t="s">
        <v>2174</v>
      </c>
      <c r="B16" s="60">
        <v>2.58</v>
      </c>
      <c r="C16" s="60">
        <v>14.58</v>
      </c>
      <c r="D16" s="60">
        <v>17.16</v>
      </c>
      <c r="E16" s="60">
        <v>6.30</v>
      </c>
      <c r="F16" s="60">
        <v>0.54</v>
      </c>
      <c r="G16" s="60">
        <v>47.93</v>
      </c>
      <c r="H16" s="60">
        <v>17.850000000000001</v>
      </c>
      <c r="I16" s="60">
        <v>3.70</v>
      </c>
      <c r="J16" s="60">
        <v>1.19</v>
      </c>
      <c r="K16" s="60">
        <v>187.54</v>
      </c>
      <c r="L16" s="60">
        <v>31.99</v>
      </c>
      <c r="M16" s="60">
        <v>94.22</v>
      </c>
      <c r="N16" s="60">
        <v>439.70</v>
      </c>
      <c r="O16" s="60">
        <v>0</v>
      </c>
      <c r="P16" s="60">
        <v>2.11</v>
      </c>
      <c r="Q16" s="60">
        <v>9.4499999999999993</v>
      </c>
      <c r="R16" s="198"/>
      <c r="S16" s="198"/>
      <c r="T16" s="198"/>
      <c r="U16" s="198"/>
    </row>
    <row r="17" spans="1:21" s="12" customFormat="1" ht="15">
      <c r="A17" s="201" t="s">
        <v>2175</v>
      </c>
      <c r="B17" s="60">
        <v>2.4500000000000002</v>
      </c>
      <c r="C17" s="60">
        <v>14.17</v>
      </c>
      <c r="D17" s="60">
        <v>16.62</v>
      </c>
      <c r="E17" s="60">
        <v>6.75</v>
      </c>
      <c r="F17" s="60">
        <v>0.61</v>
      </c>
      <c r="G17" s="60">
        <v>46.91</v>
      </c>
      <c r="H17" s="60">
        <v>16.670000000000002</v>
      </c>
      <c r="I17" s="60">
        <v>3.60</v>
      </c>
      <c r="J17" s="60">
        <v>2.65</v>
      </c>
      <c r="K17" s="60">
        <v>170.24</v>
      </c>
      <c r="L17" s="60">
        <v>31.94</v>
      </c>
      <c r="M17" s="60">
        <v>94.33</v>
      </c>
      <c r="N17" s="60">
        <v>630.29999999999995</v>
      </c>
      <c r="O17" s="60">
        <v>0</v>
      </c>
      <c r="P17" s="60">
        <v>2.10</v>
      </c>
      <c r="Q17" s="60">
        <v>9.23</v>
      </c>
      <c r="R17" s="198"/>
      <c r="S17" s="198"/>
      <c r="T17" s="198"/>
      <c r="U17" s="198"/>
    </row>
    <row r="18" spans="1:21" s="12" customFormat="1" ht="15">
      <c r="A18" s="201" t="s">
        <v>2176</v>
      </c>
      <c r="B18" s="60">
        <v>2.27</v>
      </c>
      <c r="C18" s="60">
        <v>14.03</v>
      </c>
      <c r="D18" s="60">
        <v>16.29</v>
      </c>
      <c r="E18" s="60">
        <v>6.45</v>
      </c>
      <c r="F18" s="60">
        <v>0.65</v>
      </c>
      <c r="G18" s="60">
        <v>46.91</v>
      </c>
      <c r="H18" s="60">
        <v>16.670000000000002</v>
      </c>
      <c r="I18" s="60">
        <v>3.51</v>
      </c>
      <c r="J18" s="60">
        <v>2.37</v>
      </c>
      <c r="K18" s="60">
        <v>186.97</v>
      </c>
      <c r="L18" s="60">
        <v>31.46</v>
      </c>
      <c r="M18" s="60">
        <v>92.48</v>
      </c>
      <c r="N18" s="60">
        <v>700.60</v>
      </c>
      <c r="O18" s="60">
        <v>0</v>
      </c>
      <c r="P18" s="60">
        <v>2.09</v>
      </c>
      <c r="Q18" s="60">
        <v>9.1199999999999992</v>
      </c>
      <c r="R18" s="198"/>
      <c r="S18" s="198"/>
      <c r="T18" s="198"/>
      <c r="U18" s="198"/>
    </row>
    <row r="19" spans="1:21" s="12" customFormat="1" ht="15">
      <c r="A19" s="201" t="s">
        <v>2177</v>
      </c>
      <c r="B19" s="60">
        <v>1.83</v>
      </c>
      <c r="C19" s="60">
        <v>13.5</v>
      </c>
      <c r="D19" s="60">
        <v>15.32</v>
      </c>
      <c r="E19" s="60">
        <v>6.33</v>
      </c>
      <c r="F19" s="60">
        <v>1.44</v>
      </c>
      <c r="G19" s="60">
        <v>46.91</v>
      </c>
      <c r="H19" s="60">
        <v>16.670000000000002</v>
      </c>
      <c r="I19" s="60">
        <v>3.43</v>
      </c>
      <c r="J19" s="60">
        <v>0.74</v>
      </c>
      <c r="K19" s="60">
        <v>216.43</v>
      </c>
      <c r="L19" s="60">
        <v>29.94</v>
      </c>
      <c r="M19" s="60">
        <v>92.99</v>
      </c>
      <c r="N19" s="60">
        <v>643</v>
      </c>
      <c r="O19" s="60">
        <v>0</v>
      </c>
      <c r="P19" s="60">
        <v>2.06</v>
      </c>
      <c r="Q19" s="60">
        <v>8.94</v>
      </c>
      <c r="R19" s="198"/>
      <c r="S19" s="198"/>
      <c r="T19" s="198"/>
      <c r="U19" s="198"/>
    </row>
    <row r="20" spans="1:21" s="12" customFormat="1" ht="15">
      <c r="A20" s="201" t="s">
        <v>2178</v>
      </c>
      <c r="B20" s="60">
        <v>1.37</v>
      </c>
      <c r="C20" s="60">
        <v>13</v>
      </c>
      <c r="D20" s="60">
        <v>14.37</v>
      </c>
      <c r="E20" s="60">
        <v>6.55</v>
      </c>
      <c r="F20" s="60">
        <v>1.43</v>
      </c>
      <c r="G20" s="60">
        <v>34.46</v>
      </c>
      <c r="H20" s="60">
        <v>13.95</v>
      </c>
      <c r="I20" s="60">
        <v>3.30</v>
      </c>
      <c r="J20" s="60">
        <v>1.1599999999999999</v>
      </c>
      <c r="K20" s="60">
        <v>356.30</v>
      </c>
      <c r="L20" s="60">
        <v>30.11</v>
      </c>
      <c r="M20" s="60">
        <v>95.70</v>
      </c>
      <c r="N20" s="60">
        <v>611.10</v>
      </c>
      <c r="O20" s="60">
        <v>0</v>
      </c>
      <c r="P20" s="60">
        <v>2.0499999999999998</v>
      </c>
      <c r="Q20" s="60">
        <v>8.41</v>
      </c>
      <c r="R20" s="198"/>
      <c r="S20" s="198"/>
      <c r="T20" s="198"/>
      <c r="U20" s="198"/>
    </row>
    <row r="21" spans="1:21" s="12" customFormat="1" ht="15">
      <c r="A21" s="201" t="s">
        <v>2179</v>
      </c>
      <c r="B21" s="60">
        <v>1.1399999999999999</v>
      </c>
      <c r="C21" s="60">
        <v>13.65</v>
      </c>
      <c r="D21" s="60">
        <v>14.79</v>
      </c>
      <c r="E21" s="60">
        <v>6.24</v>
      </c>
      <c r="F21" s="60">
        <v>1.42</v>
      </c>
      <c r="G21" s="60">
        <v>30.80</v>
      </c>
      <c r="H21" s="60">
        <v>11.96</v>
      </c>
      <c r="I21" s="60">
        <v>3.13</v>
      </c>
      <c r="J21" s="60">
        <v>0.21</v>
      </c>
      <c r="K21" s="60">
        <v>1.1599999999999999</v>
      </c>
      <c r="L21" s="60">
        <v>30.41</v>
      </c>
      <c r="M21" s="60">
        <v>92.83</v>
      </c>
      <c r="N21" s="60">
        <v>531.10</v>
      </c>
      <c r="O21" s="60">
        <v>0.20</v>
      </c>
      <c r="P21" s="60">
        <v>2.0499999999999998</v>
      </c>
      <c r="Q21" s="60">
        <v>7.66</v>
      </c>
      <c r="R21" s="198"/>
      <c r="S21" s="198"/>
      <c r="T21" s="198"/>
      <c r="U21" s="198"/>
    </row>
    <row r="22" spans="1:21" s="12" customFormat="1" ht="15">
      <c r="A22" s="201" t="s">
        <v>2180</v>
      </c>
      <c r="B22" s="60">
        <v>0.64</v>
      </c>
      <c r="C22" s="60">
        <v>13.93</v>
      </c>
      <c r="D22" s="60">
        <v>14.57</v>
      </c>
      <c r="E22" s="60">
        <v>5.89</v>
      </c>
      <c r="F22" s="60">
        <v>2.92</v>
      </c>
      <c r="G22" s="60">
        <v>30.80</v>
      </c>
      <c r="H22" s="60">
        <v>11.96</v>
      </c>
      <c r="I22" s="60">
        <v>3.07</v>
      </c>
      <c r="J22" s="60">
        <v>0.28999999999999998</v>
      </c>
      <c r="K22" s="60">
        <v>328.42</v>
      </c>
      <c r="L22" s="60">
        <v>29.63</v>
      </c>
      <c r="M22" s="60">
        <v>93.21</v>
      </c>
      <c r="N22" s="60">
        <v>729.20</v>
      </c>
      <c r="O22" s="60">
        <v>0.20</v>
      </c>
      <c r="P22" s="60">
        <v>2.02</v>
      </c>
      <c r="Q22" s="60">
        <v>6.94</v>
      </c>
      <c r="R22" s="198"/>
      <c r="S22" s="198"/>
      <c r="T22" s="198"/>
      <c r="U22" s="198"/>
    </row>
    <row r="23" spans="1:21" s="12" customFormat="1" ht="15">
      <c r="A23" s="201" t="s">
        <v>2181</v>
      </c>
      <c r="B23" s="60">
        <v>0.32</v>
      </c>
      <c r="C23" s="60">
        <v>13.31</v>
      </c>
      <c r="D23" s="60">
        <v>13.64</v>
      </c>
      <c r="E23" s="60">
        <v>5.47</v>
      </c>
      <c r="F23" s="60">
        <v>3.28</v>
      </c>
      <c r="G23" s="60">
        <v>30.80</v>
      </c>
      <c r="H23" s="60">
        <v>11.96</v>
      </c>
      <c r="I23" s="60">
        <v>3.12</v>
      </c>
      <c r="J23" s="60">
        <v>0.41</v>
      </c>
      <c r="K23" s="60">
        <v>237.19</v>
      </c>
      <c r="L23" s="60">
        <v>29.15</v>
      </c>
      <c r="M23" s="60">
        <v>95.34</v>
      </c>
      <c r="N23" s="60">
        <v>769.40</v>
      </c>
      <c r="O23" s="60">
        <v>0.60</v>
      </c>
      <c r="P23" s="60">
        <v>1.99</v>
      </c>
      <c r="Q23" s="60">
        <v>6.33</v>
      </c>
      <c r="R23" s="198"/>
      <c r="S23" s="198"/>
      <c r="T23" s="198"/>
      <c r="U23" s="198"/>
    </row>
    <row r="24" spans="1:21" s="12" customFormat="1" ht="15">
      <c r="A24" s="201" t="s">
        <v>2182</v>
      </c>
      <c r="B24" s="60">
        <v>0.28000000000000003</v>
      </c>
      <c r="C24" s="60">
        <v>12.77</v>
      </c>
      <c r="D24" s="60">
        <v>13.05</v>
      </c>
      <c r="E24" s="60">
        <v>2.5</v>
      </c>
      <c r="F24" s="60">
        <v>2.2200000000000002</v>
      </c>
      <c r="G24" s="60">
        <v>22.95</v>
      </c>
      <c r="H24" s="60">
        <v>13.01</v>
      </c>
      <c r="I24" s="60">
        <v>2.78</v>
      </c>
      <c r="J24" s="60">
        <v>1.69</v>
      </c>
      <c r="K24" s="60">
        <v>224.42</v>
      </c>
      <c r="L24" s="60">
        <v>28.92</v>
      </c>
      <c r="M24" s="60">
        <v>95.21</v>
      </c>
      <c r="N24" s="60">
        <v>659.80</v>
      </c>
      <c r="O24" s="60">
        <v>0.20</v>
      </c>
      <c r="P24" s="60">
        <v>1.97</v>
      </c>
      <c r="Q24" s="60">
        <v>6.01</v>
      </c>
      <c r="R24" s="198"/>
      <c r="S24" s="198"/>
      <c r="T24" s="198"/>
      <c r="U24" s="198"/>
    </row>
    <row r="25" spans="1:21" s="12" customFormat="1" ht="15">
      <c r="A25" s="201" t="s">
        <v>2183</v>
      </c>
      <c r="B25" s="60">
        <v>0.39</v>
      </c>
      <c r="C25" s="60">
        <v>12.11</v>
      </c>
      <c r="D25" s="60">
        <v>12.5</v>
      </c>
      <c r="E25" s="60">
        <v>4.79</v>
      </c>
      <c r="F25" s="60">
        <v>1.52</v>
      </c>
      <c r="G25" s="60">
        <v>20.64</v>
      </c>
      <c r="H25" s="60">
        <v>13.79</v>
      </c>
      <c r="I25" s="60">
        <v>2.5299999999999998</v>
      </c>
      <c r="J25" s="60">
        <v>1.92</v>
      </c>
      <c r="K25" s="60">
        <v>219.81</v>
      </c>
      <c r="L25" s="60">
        <v>28.90</v>
      </c>
      <c r="M25" s="60">
        <v>95.25</v>
      </c>
      <c r="N25" s="60">
        <v>569.90</v>
      </c>
      <c r="O25" s="60">
        <v>0</v>
      </c>
      <c r="P25" s="60">
        <v>1.97</v>
      </c>
      <c r="Q25" s="60">
        <v>5.79</v>
      </c>
      <c r="R25" s="198"/>
      <c r="S25" s="198"/>
      <c r="T25" s="198"/>
      <c r="U25" s="198"/>
    </row>
    <row r="26" spans="1:21" s="12" customFormat="1" ht="15">
      <c r="A26" s="201" t="s">
        <v>2184</v>
      </c>
      <c r="B26" s="60">
        <v>0.54</v>
      </c>
      <c r="C26" s="60">
        <v>11.78</v>
      </c>
      <c r="D26" s="60">
        <v>12.32</v>
      </c>
      <c r="E26" s="60">
        <v>5.38</v>
      </c>
      <c r="F26" s="60">
        <v>1.53</v>
      </c>
      <c r="G26" s="60">
        <v>20.64</v>
      </c>
      <c r="H26" s="60">
        <v>13.79</v>
      </c>
      <c r="I26" s="60">
        <v>2.4500000000000002</v>
      </c>
      <c r="J26" s="60">
        <v>1.39</v>
      </c>
      <c r="K26" s="60">
        <v>229.66</v>
      </c>
      <c r="L26" s="60">
        <v>28.95</v>
      </c>
      <c r="M26" s="60">
        <v>94.65</v>
      </c>
      <c r="N26" s="60">
        <v>457.60</v>
      </c>
      <c r="O26" s="60">
        <v>0.20</v>
      </c>
      <c r="P26" s="60">
        <v>1.96</v>
      </c>
      <c r="Q26" s="60">
        <v>5.77</v>
      </c>
      <c r="R26" s="198"/>
      <c r="S26" s="198"/>
      <c r="T26" s="198"/>
      <c r="U26" s="198"/>
    </row>
    <row r="27" spans="1:21" s="12" customFormat="1" ht="15">
      <c r="A27" s="201" t="s">
        <v>2185</v>
      </c>
      <c r="B27" s="60">
        <v>0.67</v>
      </c>
      <c r="C27" s="60">
        <v>12.28</v>
      </c>
      <c r="D27" s="60">
        <v>12.95</v>
      </c>
      <c r="E27" s="60">
        <v>5.53</v>
      </c>
      <c r="F27" s="60">
        <v>1.27</v>
      </c>
      <c r="G27" s="60">
        <v>20.64</v>
      </c>
      <c r="H27" s="60">
        <v>13.79</v>
      </c>
      <c r="I27" s="60">
        <v>2.44</v>
      </c>
      <c r="J27" s="60">
        <v>1.44</v>
      </c>
      <c r="K27" s="60">
        <v>220.86</v>
      </c>
      <c r="L27" s="60">
        <v>29</v>
      </c>
      <c r="M27" s="60">
        <v>94.59</v>
      </c>
      <c r="N27" s="60">
        <v>603.10</v>
      </c>
      <c r="O27" s="60">
        <v>0</v>
      </c>
      <c r="P27" s="60">
        <v>1.96</v>
      </c>
      <c r="Q27" s="60">
        <v>6.11</v>
      </c>
      <c r="R27" s="198"/>
      <c r="S27" s="198"/>
      <c r="T27" s="198"/>
      <c r="U27" s="198"/>
    </row>
    <row r="28" spans="1:21" s="12" customFormat="1" ht="15">
      <c r="A28" s="201" t="s">
        <v>2186</v>
      </c>
      <c r="B28" s="60">
        <v>0.65</v>
      </c>
      <c r="C28" s="60">
        <v>12.08</v>
      </c>
      <c r="D28" s="60">
        <v>12.73</v>
      </c>
      <c r="E28" s="60">
        <v>5.33</v>
      </c>
      <c r="F28" s="60">
        <v>1.26</v>
      </c>
      <c r="G28" s="60">
        <v>17.13</v>
      </c>
      <c r="H28" s="60">
        <v>11.72</v>
      </c>
      <c r="I28" s="60">
        <v>2.41</v>
      </c>
      <c r="J28" s="60">
        <v>1.82</v>
      </c>
      <c r="K28" s="60">
        <v>218.20</v>
      </c>
      <c r="L28" s="60">
        <v>29.06</v>
      </c>
      <c r="M28" s="60">
        <v>94.66</v>
      </c>
      <c r="N28" s="60">
        <v>554.70000000000005</v>
      </c>
      <c r="O28" s="60">
        <v>0</v>
      </c>
      <c r="P28" s="60">
        <v>1.95</v>
      </c>
      <c r="Q28" s="60">
        <v>6.49</v>
      </c>
      <c r="R28" s="198"/>
      <c r="S28" s="198"/>
      <c r="T28" s="198"/>
      <c r="U28" s="198"/>
    </row>
    <row r="29" spans="1:21" s="12" customFormat="1" ht="15">
      <c r="A29" s="201" t="s">
        <v>2187</v>
      </c>
      <c r="B29" s="60">
        <v>0.63</v>
      </c>
      <c r="C29" s="60">
        <v>12.08</v>
      </c>
      <c r="D29" s="60">
        <v>12.71</v>
      </c>
      <c r="E29" s="60">
        <v>5.63</v>
      </c>
      <c r="F29" s="60">
        <v>1.36</v>
      </c>
      <c r="G29" s="60">
        <v>16.03</v>
      </c>
      <c r="H29" s="60">
        <v>10.199999999999999</v>
      </c>
      <c r="I29" s="60">
        <v>2.44</v>
      </c>
      <c r="J29" s="60">
        <v>1.94</v>
      </c>
      <c r="K29" s="60">
        <v>221.43</v>
      </c>
      <c r="L29" s="60">
        <v>29.11</v>
      </c>
      <c r="M29" s="60">
        <v>93.99</v>
      </c>
      <c r="N29" s="60">
        <v>607.5</v>
      </c>
      <c r="O29" s="60">
        <v>0</v>
      </c>
      <c r="P29" s="60">
        <v>1.95</v>
      </c>
      <c r="Q29" s="60">
        <v>6.82</v>
      </c>
      <c r="R29" s="198"/>
      <c r="S29" s="198"/>
      <c r="T29" s="198"/>
      <c r="U29" s="198"/>
    </row>
    <row r="30" spans="1:21" s="12" customFormat="1" ht="15">
      <c r="A30" s="201" t="s">
        <v>2188</v>
      </c>
      <c r="B30" s="60">
        <v>0.61</v>
      </c>
      <c r="C30" s="60">
        <v>12.21</v>
      </c>
      <c r="D30" s="60">
        <v>12.82</v>
      </c>
      <c r="E30" s="60">
        <v>5.47</v>
      </c>
      <c r="F30" s="60">
        <v>1.21</v>
      </c>
      <c r="G30" s="60">
        <v>16.03</v>
      </c>
      <c r="H30" s="60">
        <v>10.199999999999999</v>
      </c>
      <c r="I30" s="60">
        <v>2.36</v>
      </c>
      <c r="J30" s="60">
        <v>1.22</v>
      </c>
      <c r="K30" s="60">
        <v>239.99</v>
      </c>
      <c r="L30" s="60">
        <v>29.16</v>
      </c>
      <c r="M30" s="60">
        <v>93.59</v>
      </c>
      <c r="N30" s="60">
        <v>541.40</v>
      </c>
      <c r="O30" s="60">
        <v>0</v>
      </c>
      <c r="P30" s="60">
        <v>1.94</v>
      </c>
      <c r="Q30" s="60">
        <v>7.10</v>
      </c>
      <c r="R30" s="198"/>
      <c r="S30" s="198"/>
      <c r="T30" s="198"/>
      <c r="U30" s="198"/>
    </row>
    <row r="31" spans="1:21" s="12" customFormat="1" ht="15">
      <c r="A31" s="201" t="s">
        <v>2189</v>
      </c>
      <c r="B31" s="60">
        <v>0.63</v>
      </c>
      <c r="C31" s="60">
        <v>12.31</v>
      </c>
      <c r="D31" s="60">
        <v>12.93</v>
      </c>
      <c r="E31" s="60">
        <v>5.63</v>
      </c>
      <c r="F31" s="60">
        <v>1.49</v>
      </c>
      <c r="G31" s="60">
        <v>16.03</v>
      </c>
      <c r="H31" s="60">
        <v>10.199999999999999</v>
      </c>
      <c r="I31" s="60">
        <v>2.2999999999999998</v>
      </c>
      <c r="J31" s="60">
        <v>1.58</v>
      </c>
      <c r="K31" s="60">
        <v>214.60</v>
      </c>
      <c r="L31" s="60">
        <v>29.20</v>
      </c>
      <c r="M31" s="60">
        <v>93.87</v>
      </c>
      <c r="N31" s="60">
        <v>506.80</v>
      </c>
      <c r="O31" s="60">
        <v>0</v>
      </c>
      <c r="P31" s="60">
        <v>1.95</v>
      </c>
      <c r="Q31" s="60">
        <v>7.31</v>
      </c>
      <c r="R31" s="198"/>
      <c r="S31" s="198"/>
      <c r="T31" s="198"/>
      <c r="U31" s="198"/>
    </row>
    <row r="32" spans="1:21" s="12" customFormat="1" ht="15">
      <c r="A32" s="201" t="s">
        <v>2190</v>
      </c>
      <c r="B32" s="60">
        <v>0.68</v>
      </c>
      <c r="C32" s="60">
        <v>12.39</v>
      </c>
      <c r="D32" s="60">
        <v>13.06</v>
      </c>
      <c r="E32" s="60">
        <v>5.37</v>
      </c>
      <c r="F32" s="60">
        <v>1.35</v>
      </c>
      <c r="G32" s="60">
        <v>13.05</v>
      </c>
      <c r="H32" s="60">
        <v>8.68</v>
      </c>
      <c r="I32" s="60">
        <v>2.25</v>
      </c>
      <c r="J32" s="60">
        <v>1.41</v>
      </c>
      <c r="K32" s="60">
        <v>205.55</v>
      </c>
      <c r="L32" s="60">
        <v>29.20</v>
      </c>
      <c r="M32" s="60">
        <v>95.07</v>
      </c>
      <c r="N32" s="60">
        <v>528.10</v>
      </c>
      <c r="O32" s="60">
        <v>0</v>
      </c>
      <c r="P32" s="60">
        <v>1.95</v>
      </c>
      <c r="Q32" s="60">
        <v>7.5</v>
      </c>
      <c r="R32" s="198"/>
      <c r="S32" s="198"/>
      <c r="T32" s="198"/>
      <c r="U32" s="198"/>
    </row>
    <row r="33" spans="1:21" s="12" customFormat="1" ht="15">
      <c r="A33" s="201" t="s">
        <v>2191</v>
      </c>
      <c r="B33" s="60">
        <v>0.84</v>
      </c>
      <c r="C33" s="60">
        <v>12.97</v>
      </c>
      <c r="D33" s="60">
        <v>13.81</v>
      </c>
      <c r="E33" s="60">
        <v>5.5</v>
      </c>
      <c r="F33" s="60">
        <v>1.32</v>
      </c>
      <c r="G33" s="60">
        <v>11.45</v>
      </c>
      <c r="H33" s="60">
        <v>7.57</v>
      </c>
      <c r="I33" s="60">
        <v>2.23</v>
      </c>
      <c r="J33" s="60">
        <v>1.23</v>
      </c>
      <c r="K33" s="60">
        <v>224.14</v>
      </c>
      <c r="L33" s="60">
        <v>29.34</v>
      </c>
      <c r="M33" s="60">
        <v>95.08</v>
      </c>
      <c r="N33" s="60">
        <v>445.20</v>
      </c>
      <c r="O33" s="60">
        <v>0</v>
      </c>
      <c r="P33" s="60">
        <v>1.95</v>
      </c>
      <c r="Q33" s="60">
        <v>7.59</v>
      </c>
      <c r="R33" s="198"/>
      <c r="S33" s="198"/>
      <c r="T33" s="198"/>
      <c r="U33" s="198"/>
    </row>
    <row r="34" spans="1:21" s="12" customFormat="1" ht="15">
      <c r="A34" s="201" t="s">
        <v>2192</v>
      </c>
      <c r="B34" s="60">
        <v>1.30</v>
      </c>
      <c r="C34" s="60">
        <v>13.92</v>
      </c>
      <c r="D34" s="60">
        <v>15.22</v>
      </c>
      <c r="E34" s="60">
        <v>5.43</v>
      </c>
      <c r="F34" s="60">
        <v>1.17</v>
      </c>
      <c r="G34" s="60">
        <v>11.45</v>
      </c>
      <c r="H34" s="60">
        <v>7.57</v>
      </c>
      <c r="I34" s="60">
        <v>2.2000000000000002</v>
      </c>
      <c r="J34" s="60">
        <v>1.25</v>
      </c>
      <c r="K34" s="60">
        <v>237.16</v>
      </c>
      <c r="L34" s="60">
        <v>29.56</v>
      </c>
      <c r="M34" s="60">
        <v>95.25</v>
      </c>
      <c r="N34" s="60">
        <v>559.90</v>
      </c>
      <c r="O34" s="60">
        <v>0</v>
      </c>
      <c r="P34" s="60">
        <v>1.97</v>
      </c>
      <c r="Q34" s="60">
        <v>8.0299999999999994</v>
      </c>
      <c r="R34" s="198"/>
      <c r="S34" s="198"/>
      <c r="T34" s="198"/>
      <c r="U34" s="198"/>
    </row>
    <row r="35" spans="1:21" s="12" customFormat="1" ht="15">
      <c r="A35" s="201" t="s">
        <v>2193</v>
      </c>
      <c r="B35" s="60">
        <v>1.89</v>
      </c>
      <c r="C35" s="60">
        <v>14.70</v>
      </c>
      <c r="D35" s="60">
        <v>16.59</v>
      </c>
      <c r="E35" s="60">
        <v>5.78</v>
      </c>
      <c r="F35" s="60">
        <v>1.08</v>
      </c>
      <c r="G35" s="60">
        <v>11.45</v>
      </c>
      <c r="H35" s="60">
        <v>7.57</v>
      </c>
      <c r="I35" s="60">
        <v>2.23</v>
      </c>
      <c r="J35" s="60">
        <v>1.97</v>
      </c>
      <c r="K35" s="60">
        <v>218.91</v>
      </c>
      <c r="L35" s="60">
        <v>29.82</v>
      </c>
      <c r="M35" s="60">
        <v>94.18</v>
      </c>
      <c r="N35" s="60">
        <v>678</v>
      </c>
      <c r="O35" s="60">
        <v>0</v>
      </c>
      <c r="P35" s="60">
        <v>1.98</v>
      </c>
      <c r="Q35" s="60">
        <v>8.5399999999999991</v>
      </c>
      <c r="R35" s="198"/>
      <c r="S35" s="198"/>
      <c r="T35" s="198"/>
      <c r="U35" s="198"/>
    </row>
    <row r="36" spans="1:21" s="12" customFormat="1" ht="15">
      <c r="A36" s="201" t="s">
        <v>2194</v>
      </c>
      <c r="B36" s="60">
        <v>1.95</v>
      </c>
      <c r="C36" s="60">
        <v>15.20</v>
      </c>
      <c r="D36" s="60">
        <v>17.149999999999999</v>
      </c>
      <c r="E36" s="60">
        <v>5.73</v>
      </c>
      <c r="F36" s="60">
        <v>0.94</v>
      </c>
      <c r="G36" s="60">
        <v>9.4700000000000006</v>
      </c>
      <c r="H36" s="60">
        <v>8.68</v>
      </c>
      <c r="I36" s="60">
        <v>2.2799999999999998</v>
      </c>
      <c r="J36" s="60">
        <v>0.24</v>
      </c>
      <c r="K36" s="60">
        <v>274.02999999999997</v>
      </c>
      <c r="L36" s="60">
        <v>30.19</v>
      </c>
      <c r="M36" s="60">
        <v>93.40</v>
      </c>
      <c r="N36" s="60">
        <v>681.70</v>
      </c>
      <c r="O36" s="60">
        <v>0</v>
      </c>
      <c r="P36" s="60">
        <v>1.98</v>
      </c>
      <c r="Q36" s="60">
        <v>8.7200000000000006</v>
      </c>
      <c r="R36" s="198"/>
      <c r="S36" s="198"/>
      <c r="T36" s="198"/>
      <c r="U36" s="198"/>
    </row>
    <row r="37" spans="1:21" s="12" customFormat="1" ht="15">
      <c r="A37" s="201" t="s">
        <v>2195</v>
      </c>
      <c r="B37" s="60">
        <v>2.37</v>
      </c>
      <c r="C37" s="60">
        <v>15.99</v>
      </c>
      <c r="D37" s="60">
        <v>18.36</v>
      </c>
      <c r="E37" s="60">
        <v>6.17</v>
      </c>
      <c r="F37" s="60">
        <v>0.95</v>
      </c>
      <c r="G37" s="60">
        <v>8.89</v>
      </c>
      <c r="H37" s="60">
        <v>9.49</v>
      </c>
      <c r="I37" s="60">
        <v>2.35</v>
      </c>
      <c r="J37" s="60">
        <v>0.69</v>
      </c>
      <c r="K37" s="60">
        <v>322.32</v>
      </c>
      <c r="L37" s="60">
        <v>30.76</v>
      </c>
      <c r="M37" s="60">
        <v>91.75</v>
      </c>
      <c r="N37" s="60">
        <v>534.29999999999995</v>
      </c>
      <c r="O37" s="60">
        <v>0</v>
      </c>
      <c r="P37" s="60">
        <v>2</v>
      </c>
      <c r="Q37" s="60">
        <v>8.99</v>
      </c>
      <c r="R37" s="198"/>
      <c r="S37" s="198"/>
      <c r="T37" s="198"/>
      <c r="U37" s="198"/>
    </row>
    <row r="38" spans="1:21" s="12" customFormat="1" ht="15">
      <c r="A38" s="201" t="s">
        <v>2196</v>
      </c>
      <c r="B38" s="60">
        <v>2.89</v>
      </c>
      <c r="C38" s="60">
        <v>16.59</v>
      </c>
      <c r="D38" s="60">
        <v>19.48</v>
      </c>
      <c r="E38" s="60">
        <v>5.70</v>
      </c>
      <c r="F38" s="60">
        <v>0.99</v>
      </c>
      <c r="G38" s="60">
        <v>8.89</v>
      </c>
      <c r="H38" s="60">
        <v>9.49</v>
      </c>
      <c r="I38" s="60">
        <v>2.4300000000000002</v>
      </c>
      <c r="J38" s="60">
        <v>0.67</v>
      </c>
      <c r="K38" s="60">
        <v>38.89</v>
      </c>
      <c r="L38" s="60">
        <v>31.02</v>
      </c>
      <c r="M38" s="60">
        <v>90.59</v>
      </c>
      <c r="N38" s="60">
        <v>517</v>
      </c>
      <c r="O38" s="60">
        <v>0</v>
      </c>
      <c r="P38" s="60">
        <v>2.0299999999999998</v>
      </c>
      <c r="Q38" s="60">
        <v>9.06</v>
      </c>
      <c r="R38" s="198"/>
      <c r="S38" s="198"/>
      <c r="T38" s="198"/>
      <c r="U38" s="198"/>
    </row>
    <row r="39" spans="1:21" s="12" customFormat="1" ht="15">
      <c r="A39" s="201" t="s">
        <v>2197</v>
      </c>
      <c r="B39" s="60">
        <v>2.82</v>
      </c>
      <c r="C39" s="60">
        <v>17.57</v>
      </c>
      <c r="D39" s="60">
        <v>20.39</v>
      </c>
      <c r="E39" s="60">
        <v>5.38</v>
      </c>
      <c r="F39" s="60">
        <v>1.19</v>
      </c>
      <c r="G39" s="60">
        <v>8.89</v>
      </c>
      <c r="H39" s="60">
        <v>9.49</v>
      </c>
      <c r="I39" s="60">
        <v>2.56</v>
      </c>
      <c r="J39" s="60">
        <v>0.18</v>
      </c>
      <c r="K39" s="60">
        <v>21.09</v>
      </c>
      <c r="L39" s="60">
        <v>31.04</v>
      </c>
      <c r="M39" s="60">
        <v>90.42</v>
      </c>
      <c r="N39" s="60">
        <v>545.90</v>
      </c>
      <c r="O39" s="60">
        <v>0</v>
      </c>
      <c r="P39" s="60">
        <v>2.0499999999999998</v>
      </c>
      <c r="Q39" s="60">
        <v>8.64</v>
      </c>
      <c r="R39" s="198"/>
      <c r="S39" s="198"/>
      <c r="T39" s="198"/>
      <c r="U39" s="198"/>
    </row>
    <row r="40" spans="1:21" s="12" customFormat="1" ht="15">
      <c r="A40" s="201" t="s">
        <v>2198</v>
      </c>
      <c r="B40" s="60">
        <v>2.54</v>
      </c>
      <c r="C40" s="60">
        <v>18.260000000000002</v>
      </c>
      <c r="D40" s="60">
        <v>20.81</v>
      </c>
      <c r="E40" s="60">
        <v>2.56</v>
      </c>
      <c r="F40" s="60">
        <v>1.35</v>
      </c>
      <c r="G40" s="60">
        <v>9.3800000000000008</v>
      </c>
      <c r="H40" s="60">
        <v>7.95</v>
      </c>
      <c r="I40" s="60">
        <v>2.63</v>
      </c>
      <c r="J40" s="60">
        <v>0.61</v>
      </c>
      <c r="K40" s="60">
        <v>351.58</v>
      </c>
      <c r="L40" s="60">
        <v>31.39</v>
      </c>
      <c r="M40" s="60">
        <v>89.62</v>
      </c>
      <c r="N40" s="60">
        <v>630.60</v>
      </c>
      <c r="O40" s="60">
        <v>0</v>
      </c>
      <c r="P40" s="60">
        <v>2.06</v>
      </c>
      <c r="Q40" s="60">
        <v>8.26</v>
      </c>
      <c r="R40" s="198"/>
      <c r="S40" s="198"/>
      <c r="T40" s="198"/>
      <c r="U40" s="198"/>
    </row>
    <row r="41" spans="1:21" s="12" customFormat="1" ht="15">
      <c r="A41" s="201" t="s">
        <v>2199</v>
      </c>
      <c r="B41" s="60">
        <v>2.5299999999999998</v>
      </c>
      <c r="C41" s="60">
        <v>18.760000000000002</v>
      </c>
      <c r="D41" s="60">
        <v>21.29</v>
      </c>
      <c r="E41" s="60">
        <v>4.57</v>
      </c>
      <c r="F41" s="60">
        <v>1.47</v>
      </c>
      <c r="G41" s="60">
        <v>9.52</v>
      </c>
      <c r="H41" s="60">
        <v>6.82</v>
      </c>
      <c r="I41" s="60">
        <v>2.74</v>
      </c>
      <c r="J41" s="60">
        <v>0.37</v>
      </c>
      <c r="K41" s="60">
        <v>40.020000000000003</v>
      </c>
      <c r="L41" s="60">
        <v>31.89</v>
      </c>
      <c r="M41" s="60">
        <v>87.87</v>
      </c>
      <c r="N41" s="60">
        <v>687.40</v>
      </c>
      <c r="O41" s="60">
        <v>0</v>
      </c>
      <c r="P41" s="60">
        <v>2.0699999999999998</v>
      </c>
      <c r="Q41" s="60">
        <v>8.07</v>
      </c>
      <c r="R41" s="198"/>
      <c r="S41" s="198"/>
      <c r="T41" s="198"/>
      <c r="U41" s="198"/>
    </row>
    <row r="42" spans="1:21" s="12" customFormat="1" ht="15">
      <c r="A42" s="201" t="s">
        <v>2200</v>
      </c>
      <c r="B42" s="60">
        <v>2.36</v>
      </c>
      <c r="C42" s="60">
        <v>18.77</v>
      </c>
      <c r="D42" s="60">
        <v>21.13</v>
      </c>
      <c r="E42" s="60">
        <v>4.6399999999999997</v>
      </c>
      <c r="F42" s="60">
        <v>0.95</v>
      </c>
      <c r="G42" s="60">
        <v>9.52</v>
      </c>
      <c r="H42" s="60">
        <v>6.82</v>
      </c>
      <c r="I42" s="60">
        <v>2.74</v>
      </c>
      <c r="J42" s="60">
        <v>0.43</v>
      </c>
      <c r="K42" s="60">
        <v>237.98</v>
      </c>
      <c r="L42" s="60">
        <v>32.08</v>
      </c>
      <c r="M42" s="60">
        <v>86.67</v>
      </c>
      <c r="N42" s="60">
        <v>616.40</v>
      </c>
      <c r="O42" s="60">
        <v>0</v>
      </c>
      <c r="P42" s="60">
        <v>2.08</v>
      </c>
      <c r="Q42" s="60">
        <v>7.90</v>
      </c>
      <c r="R42" s="198"/>
      <c r="S42" s="198"/>
      <c r="T42" s="198"/>
      <c r="U42" s="198"/>
    </row>
    <row r="43" spans="1:21" s="12" customFormat="1" ht="15">
      <c r="A43" s="201" t="s">
        <v>2201</v>
      </c>
      <c r="B43" s="60">
        <v>2.3199999999999998</v>
      </c>
      <c r="C43" s="60">
        <v>18.73</v>
      </c>
      <c r="D43" s="60">
        <v>21.05</v>
      </c>
      <c r="E43" s="60">
        <v>4.46</v>
      </c>
      <c r="F43" s="60">
        <v>1.30</v>
      </c>
      <c r="G43" s="60">
        <v>9.52</v>
      </c>
      <c r="H43" s="60">
        <v>6.82</v>
      </c>
      <c r="I43" s="60">
        <v>2.75</v>
      </c>
      <c r="J43" s="60">
        <v>0.09</v>
      </c>
      <c r="K43" s="60">
        <v>320.31</v>
      </c>
      <c r="L43" s="60">
        <v>32.08</v>
      </c>
      <c r="M43" s="60">
        <v>86.82</v>
      </c>
      <c r="N43" s="60">
        <v>512.70000000000005</v>
      </c>
      <c r="O43" s="60">
        <v>0</v>
      </c>
      <c r="P43" s="60">
        <v>2.09</v>
      </c>
      <c r="Q43" s="60">
        <v>7.84</v>
      </c>
      <c r="R43" s="198"/>
      <c r="S43" s="198"/>
      <c r="T43" s="198"/>
      <c r="U43" s="198"/>
    </row>
    <row r="44" spans="1:21" s="12" customFormat="1" ht="15">
      <c r="A44" s="201" t="s">
        <v>2202</v>
      </c>
      <c r="B44" s="60">
        <v>2.39</v>
      </c>
      <c r="C44" s="60">
        <v>18.98</v>
      </c>
      <c r="D44" s="60">
        <v>21.37</v>
      </c>
      <c r="E44" s="60">
        <v>4.20</v>
      </c>
      <c r="F44" s="60">
        <v>1.39</v>
      </c>
      <c r="G44" s="60">
        <v>21.73</v>
      </c>
      <c r="H44" s="60">
        <v>9.2799999999999994</v>
      </c>
      <c r="I44" s="60">
        <v>2.80</v>
      </c>
      <c r="J44" s="60">
        <v>0.78</v>
      </c>
      <c r="K44" s="60">
        <v>217.48</v>
      </c>
      <c r="L44" s="60">
        <v>32.04</v>
      </c>
      <c r="M44" s="60">
        <v>86.82</v>
      </c>
      <c r="N44" s="60">
        <v>574.29999999999995</v>
      </c>
      <c r="O44" s="60">
        <v>0</v>
      </c>
      <c r="P44" s="60">
        <v>2.10</v>
      </c>
      <c r="Q44" s="60">
        <v>7.84</v>
      </c>
      <c r="R44" s="198"/>
      <c r="S44" s="198"/>
      <c r="T44" s="198"/>
      <c r="U44" s="198"/>
    </row>
    <row r="45" spans="1:21" s="12" customFormat="1" ht="15">
      <c r="A45" s="201" t="s">
        <v>2203</v>
      </c>
      <c r="B45" s="60">
        <v>2.83</v>
      </c>
      <c r="C45" s="60">
        <v>19.39</v>
      </c>
      <c r="D45" s="60">
        <v>22.21</v>
      </c>
      <c r="E45" s="60">
        <v>4.32</v>
      </c>
      <c r="F45" s="60">
        <v>1.26</v>
      </c>
      <c r="G45" s="60">
        <v>25.32</v>
      </c>
      <c r="H45" s="60">
        <v>11.07</v>
      </c>
      <c r="I45" s="60">
        <v>2.92</v>
      </c>
      <c r="J45" s="60">
        <v>1.30</v>
      </c>
      <c r="K45" s="60">
        <v>220.28</v>
      </c>
      <c r="L45" s="60">
        <v>32.5</v>
      </c>
      <c r="M45" s="60">
        <v>84.96</v>
      </c>
      <c r="N45" s="60">
        <v>650.79999999999995</v>
      </c>
      <c r="O45" s="60">
        <v>0</v>
      </c>
      <c r="P45" s="60">
        <v>2.12</v>
      </c>
      <c r="Q45" s="60">
        <v>8.26</v>
      </c>
      <c r="R45" s="198"/>
      <c r="S45" s="198"/>
      <c r="T45" s="198"/>
      <c r="U45" s="198"/>
    </row>
    <row r="46" spans="1:21" s="12" customFormat="1" ht="15">
      <c r="A46" s="201" t="s">
        <v>2204</v>
      </c>
      <c r="B46" s="60">
        <v>2.75</v>
      </c>
      <c r="C46" s="60">
        <v>18.899999999999999</v>
      </c>
      <c r="D46" s="60">
        <v>21.65</v>
      </c>
      <c r="E46" s="60">
        <v>4.1500000000000004</v>
      </c>
      <c r="F46" s="60">
        <v>1.32</v>
      </c>
      <c r="G46" s="60">
        <v>25.32</v>
      </c>
      <c r="H46" s="60">
        <v>11.07</v>
      </c>
      <c r="I46" s="60">
        <v>3.11</v>
      </c>
      <c r="J46" s="60">
        <v>0.96</v>
      </c>
      <c r="K46" s="60">
        <v>218.97</v>
      </c>
      <c r="L46" s="60">
        <v>32.67</v>
      </c>
      <c r="M46" s="60">
        <v>84.28</v>
      </c>
      <c r="N46" s="60">
        <v>740.60</v>
      </c>
      <c r="O46" s="60">
        <v>0</v>
      </c>
      <c r="P46" s="60">
        <v>2.12</v>
      </c>
      <c r="Q46" s="60">
        <v>8.58</v>
      </c>
      <c r="R46" s="198"/>
      <c r="S46" s="198"/>
      <c r="T46" s="198"/>
      <c r="U46" s="198"/>
    </row>
    <row r="47" spans="1:21" s="12" customFormat="1" ht="15">
      <c r="A47" s="201" t="s">
        <v>2205</v>
      </c>
      <c r="B47" s="60">
        <v>2.3199999999999998</v>
      </c>
      <c r="C47" s="60">
        <v>18.43</v>
      </c>
      <c r="D47" s="60">
        <v>20.75</v>
      </c>
      <c r="E47" s="60">
        <v>4.41</v>
      </c>
      <c r="F47" s="60">
        <v>1.20</v>
      </c>
      <c r="G47" s="60">
        <v>25.32</v>
      </c>
      <c r="H47" s="60">
        <v>11.07</v>
      </c>
      <c r="I47" s="60">
        <v>3.24</v>
      </c>
      <c r="J47" s="60">
        <v>1.59</v>
      </c>
      <c r="K47" s="60">
        <v>214.23</v>
      </c>
      <c r="L47" s="60">
        <v>32.57</v>
      </c>
      <c r="M47" s="60">
        <v>84.56</v>
      </c>
      <c r="N47" s="60">
        <v>707.80</v>
      </c>
      <c r="O47" s="60">
        <v>0</v>
      </c>
      <c r="P47" s="60">
        <v>2.12</v>
      </c>
      <c r="Q47" s="60">
        <v>8.8000000000000007</v>
      </c>
      <c r="R47" s="198"/>
      <c r="S47" s="198"/>
      <c r="T47" s="198"/>
      <c r="U47" s="198"/>
    </row>
    <row r="48" spans="1:21" s="12" customFormat="1" ht="15">
      <c r="A48" s="201" t="s">
        <v>2206</v>
      </c>
      <c r="B48" s="60">
        <v>1.86</v>
      </c>
      <c r="C48" s="60">
        <v>17.739999999999998</v>
      </c>
      <c r="D48" s="60">
        <v>19.600000000000001</v>
      </c>
      <c r="E48" s="60">
        <v>4.30</v>
      </c>
      <c r="F48" s="60">
        <v>1.23</v>
      </c>
      <c r="G48" s="60">
        <v>23.99</v>
      </c>
      <c r="H48" s="60">
        <v>9.5299999999999994</v>
      </c>
      <c r="I48" s="60">
        <v>3.22</v>
      </c>
      <c r="J48" s="60">
        <v>0.31</v>
      </c>
      <c r="K48" s="60">
        <v>202</v>
      </c>
      <c r="L48" s="60">
        <v>32.630000000000003</v>
      </c>
      <c r="M48" s="60">
        <v>84.74</v>
      </c>
      <c r="N48" s="60">
        <v>710.40</v>
      </c>
      <c r="O48" s="60">
        <v>0</v>
      </c>
      <c r="P48" s="60">
        <v>2.13</v>
      </c>
      <c r="Q48" s="60">
        <v>8.7200000000000006</v>
      </c>
      <c r="R48" s="198"/>
      <c r="S48" s="198"/>
      <c r="T48" s="198"/>
      <c r="U48" s="198"/>
    </row>
    <row r="49" spans="1:21" s="12" customFormat="1" ht="15">
      <c r="A49" s="201" t="s">
        <v>2207</v>
      </c>
      <c r="B49" s="60">
        <v>2.0099999999999998</v>
      </c>
      <c r="C49" s="60">
        <v>18.010000000000002</v>
      </c>
      <c r="D49" s="60">
        <v>20.02</v>
      </c>
      <c r="E49" s="60">
        <v>4.01</v>
      </c>
      <c r="F49" s="60">
        <v>1.24</v>
      </c>
      <c r="G49" s="60">
        <v>23.60</v>
      </c>
      <c r="H49" s="60">
        <v>8.40</v>
      </c>
      <c r="I49" s="60">
        <v>3.21</v>
      </c>
      <c r="J49" s="60">
        <v>0.60</v>
      </c>
      <c r="K49" s="60">
        <v>349.70</v>
      </c>
      <c r="L49" s="60">
        <v>33.69</v>
      </c>
      <c r="M49" s="60">
        <v>82.03</v>
      </c>
      <c r="N49" s="60">
        <v>858.80</v>
      </c>
      <c r="O49" s="60">
        <v>0</v>
      </c>
      <c r="P49" s="60">
        <v>2.16</v>
      </c>
      <c r="Q49" s="60">
        <v>8.85</v>
      </c>
      <c r="R49" s="198"/>
      <c r="S49" s="198"/>
      <c r="T49" s="198"/>
      <c r="U49" s="198"/>
    </row>
    <row r="50" spans="1:21" s="12" customFormat="1" ht="15">
      <c r="A50" s="201" t="s">
        <v>2208</v>
      </c>
      <c r="B50" s="60">
        <v>2.66</v>
      </c>
      <c r="C50" s="60">
        <v>18.75</v>
      </c>
      <c r="D50" s="60">
        <v>21.41</v>
      </c>
      <c r="E50" s="60">
        <v>4.34</v>
      </c>
      <c r="F50" s="60">
        <v>1.25</v>
      </c>
      <c r="G50" s="60">
        <v>23.60</v>
      </c>
      <c r="H50" s="60">
        <v>8.40</v>
      </c>
      <c r="I50" s="60">
        <v>3.18</v>
      </c>
      <c r="J50" s="60">
        <v>1.41</v>
      </c>
      <c r="K50" s="60">
        <v>19.46</v>
      </c>
      <c r="L50" s="60">
        <v>34.56</v>
      </c>
      <c r="M50" s="60">
        <v>78.930000000000007</v>
      </c>
      <c r="N50" s="60">
        <v>798.90</v>
      </c>
      <c r="O50" s="60">
        <v>0</v>
      </c>
      <c r="P50" s="60">
        <v>2.19</v>
      </c>
      <c r="Q50" s="60">
        <v>9.3800000000000008</v>
      </c>
      <c r="R50" s="198"/>
      <c r="S50" s="198"/>
      <c r="T50" s="198"/>
      <c r="U50" s="198"/>
    </row>
    <row r="51" spans="1:21" s="12" customFormat="1" ht="15">
      <c r="A51" s="201" t="s">
        <v>2209</v>
      </c>
      <c r="B51" s="60">
        <v>2.99</v>
      </c>
      <c r="C51" s="60">
        <v>19.64</v>
      </c>
      <c r="D51" s="60">
        <v>22.63</v>
      </c>
      <c r="E51" s="60">
        <v>3.98</v>
      </c>
      <c r="F51" s="60">
        <v>1.53</v>
      </c>
      <c r="G51" s="60">
        <v>23.60</v>
      </c>
      <c r="H51" s="60">
        <v>8.40</v>
      </c>
      <c r="I51" s="60">
        <v>3.28</v>
      </c>
      <c r="J51" s="60">
        <v>1.1499999999999999</v>
      </c>
      <c r="K51" s="60">
        <v>15.66</v>
      </c>
      <c r="L51" s="60">
        <v>34.99</v>
      </c>
      <c r="M51" s="60">
        <v>78.17</v>
      </c>
      <c r="N51" s="60">
        <v>875.40</v>
      </c>
      <c r="O51" s="60">
        <v>0</v>
      </c>
      <c r="P51" s="60">
        <v>2.21</v>
      </c>
      <c r="Q51" s="60">
        <v>9.84</v>
      </c>
      <c r="R51" s="198"/>
      <c r="S51" s="198"/>
      <c r="T51" s="198"/>
      <c r="U51" s="198"/>
    </row>
    <row r="52" spans="1:21" s="12" customFormat="1" ht="15">
      <c r="A52" s="201" t="s">
        <v>2210</v>
      </c>
      <c r="B52" s="60">
        <v>3.12</v>
      </c>
      <c r="C52" s="60">
        <v>20.38</v>
      </c>
      <c r="D52" s="60">
        <v>23.5</v>
      </c>
      <c r="E52" s="60">
        <v>4.34</v>
      </c>
      <c r="F52" s="60">
        <v>1.45</v>
      </c>
      <c r="G52" s="60">
        <v>26.20</v>
      </c>
      <c r="H52" s="60">
        <v>7.11</v>
      </c>
      <c r="I52" s="60">
        <v>3.31</v>
      </c>
      <c r="J52" s="60">
        <v>1.1499999999999999</v>
      </c>
      <c r="K52" s="60">
        <v>348.70</v>
      </c>
      <c r="L52" s="60">
        <v>35.68</v>
      </c>
      <c r="M52" s="60">
        <v>76.33</v>
      </c>
      <c r="N52" s="60">
        <v>881.40</v>
      </c>
      <c r="O52" s="60">
        <v>0</v>
      </c>
      <c r="P52" s="60">
        <v>2.2400000000000002</v>
      </c>
      <c r="Q52" s="60">
        <v>10.11</v>
      </c>
      <c r="R52" s="198"/>
      <c r="S52" s="198"/>
      <c r="T52" s="198"/>
      <c r="U52" s="198"/>
    </row>
    <row r="53" spans="1:21" s="12" customFormat="1" ht="15">
      <c r="A53" s="201" t="s">
        <v>2211</v>
      </c>
      <c r="B53" s="60">
        <v>3.23</v>
      </c>
      <c r="C53" s="60">
        <v>21.10</v>
      </c>
      <c r="D53" s="60">
        <v>24.33</v>
      </c>
      <c r="E53" s="60">
        <v>4.22</v>
      </c>
      <c r="F53" s="60">
        <v>1.34</v>
      </c>
      <c r="G53" s="60">
        <v>27.02</v>
      </c>
      <c r="H53" s="60">
        <v>6.17</v>
      </c>
      <c r="I53" s="60">
        <v>3.28</v>
      </c>
      <c r="J53" s="60">
        <v>0.91</v>
      </c>
      <c r="K53" s="60">
        <v>347.23</v>
      </c>
      <c r="L53" s="60">
        <v>35.549999999999997</v>
      </c>
      <c r="M53" s="60">
        <v>76.930000000000007</v>
      </c>
      <c r="N53" s="60">
        <v>894.80</v>
      </c>
      <c r="O53" s="60">
        <v>0</v>
      </c>
      <c r="P53" s="60">
        <v>2.27</v>
      </c>
      <c r="Q53" s="60">
        <v>10.24</v>
      </c>
      <c r="R53" s="198"/>
      <c r="S53" s="198"/>
      <c r="T53" s="198"/>
      <c r="U53" s="198"/>
    </row>
    <row r="54" spans="1:21" s="12" customFormat="1" ht="15">
      <c r="A54" s="201" t="s">
        <v>2212</v>
      </c>
      <c r="B54" s="60">
        <v>3.72</v>
      </c>
      <c r="C54" s="60">
        <v>21.82</v>
      </c>
      <c r="D54" s="60">
        <v>25.55</v>
      </c>
      <c r="E54" s="60">
        <v>4.01</v>
      </c>
      <c r="F54" s="60">
        <v>1.33</v>
      </c>
      <c r="G54" s="60">
        <v>27.02</v>
      </c>
      <c r="H54" s="60">
        <v>6.17</v>
      </c>
      <c r="I54" s="60">
        <v>3.33</v>
      </c>
      <c r="J54" s="60">
        <v>1.06</v>
      </c>
      <c r="K54" s="60">
        <v>327.72</v>
      </c>
      <c r="L54" s="60">
        <v>35.82</v>
      </c>
      <c r="M54" s="60">
        <v>76.099999999999994</v>
      </c>
      <c r="N54" s="60">
        <v>790.90</v>
      </c>
      <c r="O54" s="60">
        <v>0</v>
      </c>
      <c r="P54" s="60">
        <v>2.3199999999999998</v>
      </c>
      <c r="Q54" s="60">
        <v>10.64</v>
      </c>
      <c r="R54" s="198"/>
      <c r="S54" s="198"/>
      <c r="T54" s="198"/>
      <c r="U54" s="198"/>
    </row>
    <row r="55" spans="1:21" s="12" customFormat="1" ht="15">
      <c r="A55" s="201" t="s">
        <v>2213</v>
      </c>
      <c r="B55" s="60">
        <v>4.13</v>
      </c>
      <c r="C55" s="60">
        <v>22.41</v>
      </c>
      <c r="D55" s="60">
        <v>26.55</v>
      </c>
      <c r="E55" s="60">
        <v>4.29</v>
      </c>
      <c r="F55" s="60">
        <v>1.33</v>
      </c>
      <c r="G55" s="60">
        <v>27.02</v>
      </c>
      <c r="H55" s="60">
        <v>6.17</v>
      </c>
      <c r="I55" s="60">
        <v>3.52</v>
      </c>
      <c r="J55" s="60">
        <v>1.48</v>
      </c>
      <c r="K55" s="60">
        <v>315.43</v>
      </c>
      <c r="L55" s="60">
        <v>36.17</v>
      </c>
      <c r="M55" s="60">
        <v>76.39</v>
      </c>
      <c r="N55" s="60">
        <v>912.60</v>
      </c>
      <c r="O55" s="60">
        <v>0</v>
      </c>
      <c r="P55" s="60">
        <v>2.34</v>
      </c>
      <c r="Q55" s="60">
        <v>10.91</v>
      </c>
      <c r="R55" s="198"/>
      <c r="S55" s="198"/>
      <c r="T55" s="198"/>
      <c r="U55" s="198"/>
    </row>
    <row r="56" spans="1:21" s="12" customFormat="1" ht="15">
      <c r="A56" s="201" t="s">
        <v>2214</v>
      </c>
      <c r="B56" s="60">
        <v>4.54</v>
      </c>
      <c r="C56" s="60">
        <v>22.48</v>
      </c>
      <c r="D56" s="60">
        <v>27.02</v>
      </c>
      <c r="E56" s="60">
        <v>2.0099999999999998</v>
      </c>
      <c r="F56" s="60">
        <v>0.84</v>
      </c>
      <c r="G56" s="60">
        <v>41.12</v>
      </c>
      <c r="H56" s="60">
        <v>8.61</v>
      </c>
      <c r="I56" s="60">
        <v>3.86</v>
      </c>
      <c r="J56" s="60">
        <v>1.69</v>
      </c>
      <c r="K56" s="60">
        <v>330.56</v>
      </c>
      <c r="L56" s="60">
        <v>36.94</v>
      </c>
      <c r="M56" s="60">
        <v>73.56</v>
      </c>
      <c r="N56" s="60">
        <v>825.30</v>
      </c>
      <c r="O56" s="60">
        <v>0</v>
      </c>
      <c r="P56" s="60">
        <v>2.37</v>
      </c>
      <c r="Q56" s="60">
        <v>10.77</v>
      </c>
      <c r="R56" s="198"/>
      <c r="S56" s="198"/>
      <c r="T56" s="198"/>
      <c r="U56" s="198"/>
    </row>
    <row r="57" spans="1:21" s="12" customFormat="1" ht="15">
      <c r="A57" s="201" t="s">
        <v>2215</v>
      </c>
      <c r="B57" s="60">
        <v>4.58</v>
      </c>
      <c r="C57" s="60">
        <v>22.63</v>
      </c>
      <c r="D57" s="60">
        <v>27.21</v>
      </c>
      <c r="E57" s="60">
        <v>4.59</v>
      </c>
      <c r="F57" s="60">
        <v>0.93</v>
      </c>
      <c r="G57" s="60">
        <v>48.68</v>
      </c>
      <c r="H57" s="60">
        <v>10.38</v>
      </c>
      <c r="I57" s="60">
        <v>4.0999999999999996</v>
      </c>
      <c r="J57" s="60">
        <v>1.66</v>
      </c>
      <c r="K57" s="60">
        <v>331.38</v>
      </c>
      <c r="L57" s="60">
        <v>37.04</v>
      </c>
      <c r="M57" s="60">
        <v>73.599999999999994</v>
      </c>
      <c r="N57" s="60">
        <v>738.10</v>
      </c>
      <c r="O57" s="60">
        <v>0</v>
      </c>
      <c r="P57" s="60">
        <v>2.40</v>
      </c>
      <c r="Q57" s="60">
        <v>10.16</v>
      </c>
      <c r="R57" s="198"/>
      <c r="S57" s="198"/>
      <c r="T57" s="198"/>
      <c r="U57" s="198"/>
    </row>
    <row r="58" spans="1:21" s="12" customFormat="1" ht="15">
      <c r="A58" s="201" t="s">
        <v>2216</v>
      </c>
      <c r="B58" s="60">
        <v>4.6900000000000004</v>
      </c>
      <c r="C58" s="60">
        <v>23</v>
      </c>
      <c r="D58" s="60">
        <v>27.69</v>
      </c>
      <c r="E58" s="60">
        <v>4.49</v>
      </c>
      <c r="F58" s="60">
        <v>1.27</v>
      </c>
      <c r="G58" s="60">
        <v>48.68</v>
      </c>
      <c r="H58" s="60">
        <v>10.38</v>
      </c>
      <c r="I58" s="60">
        <v>4.4000000000000004</v>
      </c>
      <c r="J58" s="60">
        <v>0.81</v>
      </c>
      <c r="K58" s="60">
        <v>354.47</v>
      </c>
      <c r="L58" s="60">
        <v>36.97</v>
      </c>
      <c r="M58" s="60">
        <v>73.06</v>
      </c>
      <c r="N58" s="60">
        <v>1028.80</v>
      </c>
      <c r="O58" s="60">
        <v>0</v>
      </c>
      <c r="P58" s="60">
        <v>2.42</v>
      </c>
      <c r="Q58" s="60">
        <v>9.94</v>
      </c>
      <c r="R58" s="198"/>
      <c r="S58" s="198"/>
      <c r="T58" s="198"/>
      <c r="U58" s="198"/>
    </row>
    <row r="59" spans="1:21" s="12" customFormat="1" ht="15">
      <c r="A59" s="201" t="s">
        <v>2217</v>
      </c>
      <c r="B59" s="60">
        <v>4.8499999999999996</v>
      </c>
      <c r="C59" s="60">
        <v>23.76</v>
      </c>
      <c r="D59" s="60">
        <v>28.62</v>
      </c>
      <c r="E59" s="60">
        <v>4.83</v>
      </c>
      <c r="F59" s="60">
        <v>1.02</v>
      </c>
      <c r="G59" s="60">
        <v>48.68</v>
      </c>
      <c r="H59" s="60">
        <v>10.38</v>
      </c>
      <c r="I59" s="60">
        <v>4.70</v>
      </c>
      <c r="J59" s="60">
        <v>1.61</v>
      </c>
      <c r="K59" s="60">
        <v>301.70999999999998</v>
      </c>
      <c r="L59" s="60">
        <v>37.340000000000003</v>
      </c>
      <c r="M59" s="60">
        <v>73.39</v>
      </c>
      <c r="N59" s="60">
        <v>782.5</v>
      </c>
      <c r="O59" s="60">
        <v>0</v>
      </c>
      <c r="P59" s="60">
        <v>2.4300000000000002</v>
      </c>
      <c r="Q59" s="60">
        <v>10.029999999999999</v>
      </c>
      <c r="R59" s="198"/>
      <c r="S59" s="198"/>
      <c r="T59" s="198"/>
      <c r="U59" s="198"/>
    </row>
    <row r="60" spans="1:21" s="12" customFormat="1" ht="15">
      <c r="A60" s="201" t="s">
        <v>2218</v>
      </c>
      <c r="B60" s="60">
        <v>4.8499999999999996</v>
      </c>
      <c r="C60" s="60">
        <v>23.62</v>
      </c>
      <c r="D60" s="60">
        <v>28.47</v>
      </c>
      <c r="E60" s="60">
        <v>5.43</v>
      </c>
      <c r="F60" s="60">
        <v>0.85</v>
      </c>
      <c r="G60" s="60">
        <v>53.89</v>
      </c>
      <c r="H60" s="60">
        <v>13.07</v>
      </c>
      <c r="I60" s="60">
        <v>5</v>
      </c>
      <c r="J60" s="60">
        <v>1.31</v>
      </c>
      <c r="K60" s="60">
        <v>309.39999999999998</v>
      </c>
      <c r="L60" s="60">
        <v>38.549999999999997</v>
      </c>
      <c r="M60" s="60">
        <v>72.260000000000005</v>
      </c>
      <c r="N60" s="60">
        <v>1047.70</v>
      </c>
      <c r="O60" s="60">
        <v>0</v>
      </c>
      <c r="P60" s="60">
        <v>2.44</v>
      </c>
      <c r="Q60" s="60">
        <v>9.9700000000000006</v>
      </c>
      <c r="R60" s="198"/>
      <c r="S60" s="198"/>
      <c r="T60" s="198"/>
      <c r="U60" s="198"/>
    </row>
    <row r="61" spans="1:21" s="12" customFormat="1" ht="15">
      <c r="A61" s="201" t="s">
        <v>2219</v>
      </c>
      <c r="B61" s="60">
        <v>5.08</v>
      </c>
      <c r="C61" s="60">
        <v>23.62</v>
      </c>
      <c r="D61" s="60">
        <v>28.70</v>
      </c>
      <c r="E61" s="60">
        <v>5.12</v>
      </c>
      <c r="F61" s="60">
        <v>1.01</v>
      </c>
      <c r="G61" s="60">
        <v>56.29</v>
      </c>
      <c r="H61" s="60">
        <v>15.02</v>
      </c>
      <c r="I61" s="60">
        <v>5.22</v>
      </c>
      <c r="J61" s="60">
        <v>0.08</v>
      </c>
      <c r="K61" s="60">
        <v>327.06</v>
      </c>
      <c r="L61" s="60">
        <v>39.880000000000003</v>
      </c>
      <c r="M61" s="60">
        <v>68.20</v>
      </c>
      <c r="N61" s="60">
        <v>1215</v>
      </c>
      <c r="O61" s="60">
        <v>0</v>
      </c>
      <c r="P61" s="60">
        <v>2.4500000000000002</v>
      </c>
      <c r="Q61" s="60">
        <v>10</v>
      </c>
      <c r="R61" s="198"/>
      <c r="S61" s="198"/>
      <c r="T61" s="198"/>
      <c r="U61" s="198"/>
    </row>
    <row r="62" spans="1:21" s="12" customFormat="1" ht="15">
      <c r="A62" s="201" t="s">
        <v>2220</v>
      </c>
      <c r="B62" s="60">
        <v>4.80</v>
      </c>
      <c r="C62" s="60">
        <v>23.92</v>
      </c>
      <c r="D62" s="60">
        <v>28.72</v>
      </c>
      <c r="E62" s="60">
        <v>5.37</v>
      </c>
      <c r="F62" s="60">
        <v>1.42</v>
      </c>
      <c r="G62" s="60">
        <v>56.29</v>
      </c>
      <c r="H62" s="60">
        <v>15.02</v>
      </c>
      <c r="I62" s="60">
        <v>5.33</v>
      </c>
      <c r="J62" s="60">
        <v>0.84</v>
      </c>
      <c r="K62" s="60">
        <v>336.12</v>
      </c>
      <c r="L62" s="60">
        <v>39.51</v>
      </c>
      <c r="M62" s="60">
        <v>70.08</v>
      </c>
      <c r="N62" s="60">
        <v>1195.9000000000001</v>
      </c>
      <c r="O62" s="60">
        <v>0</v>
      </c>
      <c r="P62" s="60">
        <v>2.4500000000000002</v>
      </c>
      <c r="Q62" s="60">
        <v>10.050000000000001</v>
      </c>
      <c r="R62" s="198"/>
      <c r="S62" s="198"/>
      <c r="T62" s="198"/>
      <c r="U62" s="198"/>
    </row>
    <row r="63" spans="1:21" s="12" customFormat="1" ht="15">
      <c r="A63" s="201" t="s">
        <v>2221</v>
      </c>
      <c r="B63" s="60">
        <v>3.99</v>
      </c>
      <c r="C63" s="60">
        <v>24.63</v>
      </c>
      <c r="D63" s="60">
        <v>28.63</v>
      </c>
      <c r="E63" s="60">
        <v>5.0999999999999996</v>
      </c>
      <c r="F63" s="60">
        <v>1.70</v>
      </c>
      <c r="G63" s="60">
        <v>56.29</v>
      </c>
      <c r="H63" s="60">
        <v>15.02</v>
      </c>
      <c r="I63" s="60">
        <v>5.28</v>
      </c>
      <c r="J63" s="60">
        <v>0.98</v>
      </c>
      <c r="K63" s="60">
        <v>282.77</v>
      </c>
      <c r="L63" s="60">
        <v>40.340000000000003</v>
      </c>
      <c r="M63" s="60">
        <v>67.77</v>
      </c>
      <c r="N63" s="60">
        <v>1372.20</v>
      </c>
      <c r="O63" s="60">
        <v>0</v>
      </c>
      <c r="P63" s="60">
        <v>2.4700000000000002</v>
      </c>
      <c r="Q63" s="60">
        <v>10.35</v>
      </c>
      <c r="R63" s="198"/>
      <c r="S63" s="198"/>
      <c r="T63" s="198"/>
      <c r="U63" s="198"/>
    </row>
    <row r="64" spans="1:21" s="12" customFormat="1" ht="15">
      <c r="A64" s="201" t="s">
        <v>2222</v>
      </c>
      <c r="B64" s="60">
        <v>3.52</v>
      </c>
      <c r="C64" s="60">
        <v>25.46</v>
      </c>
      <c r="D64" s="60">
        <v>28.97</v>
      </c>
      <c r="E64" s="60">
        <v>5.14</v>
      </c>
      <c r="F64" s="60">
        <v>1.66</v>
      </c>
      <c r="G64" s="60">
        <v>63.83</v>
      </c>
      <c r="H64" s="60">
        <v>14.62</v>
      </c>
      <c r="I64" s="60">
        <v>5.31</v>
      </c>
      <c r="J64" s="60">
        <v>1.60</v>
      </c>
      <c r="K64" s="60">
        <v>302.54000000000002</v>
      </c>
      <c r="L64" s="60">
        <v>41.51</v>
      </c>
      <c r="M64" s="60">
        <v>64.989999999999995</v>
      </c>
      <c r="N64" s="60">
        <v>1472.5</v>
      </c>
      <c r="O64" s="60">
        <v>0</v>
      </c>
      <c r="P64" s="60">
        <v>2.5099999999999998</v>
      </c>
      <c r="Q64" s="60">
        <v>10.91</v>
      </c>
      <c r="R64" s="198"/>
      <c r="S64" s="198"/>
      <c r="T64" s="198"/>
      <c r="U64" s="198"/>
    </row>
    <row r="65" spans="1:21" s="12" customFormat="1" ht="15">
      <c r="A65" s="201" t="s">
        <v>2223</v>
      </c>
      <c r="B65" s="60">
        <v>2.60</v>
      </c>
      <c r="C65" s="60">
        <v>25.83</v>
      </c>
      <c r="D65" s="60">
        <v>28.43</v>
      </c>
      <c r="E65" s="60">
        <v>5</v>
      </c>
      <c r="F65" s="60">
        <v>2.25</v>
      </c>
      <c r="G65" s="60">
        <v>66.19</v>
      </c>
      <c r="H65" s="60">
        <v>14.32</v>
      </c>
      <c r="I65" s="60">
        <v>5.49</v>
      </c>
      <c r="J65" s="60">
        <v>0.42</v>
      </c>
      <c r="K65" s="60">
        <v>262.05</v>
      </c>
      <c r="L65" s="60">
        <v>39.950000000000003</v>
      </c>
      <c r="M65" s="60">
        <v>68.66</v>
      </c>
      <c r="N65" s="60">
        <v>1120.5999999999999</v>
      </c>
      <c r="O65" s="60">
        <v>0</v>
      </c>
      <c r="P65" s="60">
        <v>2.5099999999999998</v>
      </c>
      <c r="Q65" s="60">
        <v>10.92</v>
      </c>
      <c r="R65" s="198"/>
      <c r="S65" s="198"/>
      <c r="T65" s="198"/>
      <c r="U65" s="198"/>
    </row>
    <row r="66" spans="1:21" s="12" customFormat="1" ht="15">
      <c r="A66" s="201" t="s">
        <v>2224</v>
      </c>
      <c r="B66" s="60">
        <v>1.87</v>
      </c>
      <c r="C66" s="60">
        <v>25.57</v>
      </c>
      <c r="D66" s="60">
        <v>27.44</v>
      </c>
      <c r="E66" s="60">
        <v>4.57</v>
      </c>
      <c r="F66" s="60">
        <v>2.81</v>
      </c>
      <c r="G66" s="60">
        <v>66.19</v>
      </c>
      <c r="H66" s="60">
        <v>14.32</v>
      </c>
      <c r="I66" s="60">
        <v>5.79</v>
      </c>
      <c r="J66" s="60">
        <v>0.57999999999999996</v>
      </c>
      <c r="K66" s="60">
        <v>285.45</v>
      </c>
      <c r="L66" s="60">
        <v>40.08</v>
      </c>
      <c r="M66" s="60">
        <v>67.62</v>
      </c>
      <c r="N66" s="60">
        <v>1344.30</v>
      </c>
      <c r="O66" s="60">
        <v>0</v>
      </c>
      <c r="P66" s="60">
        <v>2.5099999999999998</v>
      </c>
      <c r="Q66" s="60">
        <v>10.81</v>
      </c>
      <c r="R66" s="198"/>
      <c r="S66" s="198"/>
      <c r="T66" s="198"/>
      <c r="U66" s="198"/>
    </row>
    <row r="67" spans="1:21" s="12" customFormat="1" ht="15">
      <c r="A67" s="201" t="s">
        <v>2225</v>
      </c>
      <c r="B67" s="60">
        <v>1.42</v>
      </c>
      <c r="C67" s="60">
        <v>25.03</v>
      </c>
      <c r="D67" s="60">
        <v>26.45</v>
      </c>
      <c r="E67" s="60">
        <v>4.4800000000000004</v>
      </c>
      <c r="F67" s="60">
        <v>3.18</v>
      </c>
      <c r="G67" s="60">
        <v>66.19</v>
      </c>
      <c r="H67" s="60">
        <v>14.32</v>
      </c>
      <c r="I67" s="60">
        <v>5.88</v>
      </c>
      <c r="J67" s="60">
        <v>0.52</v>
      </c>
      <c r="K67" s="60">
        <v>230.92</v>
      </c>
      <c r="L67" s="60">
        <v>40.020000000000003</v>
      </c>
      <c r="M67" s="60">
        <v>68.09</v>
      </c>
      <c r="N67" s="60">
        <v>1365.90</v>
      </c>
      <c r="O67" s="60">
        <v>0</v>
      </c>
      <c r="P67" s="60">
        <v>2.4900000000000002</v>
      </c>
      <c r="Q67" s="60">
        <v>10.66</v>
      </c>
      <c r="R67" s="198"/>
      <c r="S67" s="198"/>
      <c r="T67" s="198"/>
      <c r="U67" s="198"/>
    </row>
    <row r="68" spans="1:21" s="12" customFormat="1" ht="15">
      <c r="A68" s="201" t="s">
        <v>2226</v>
      </c>
      <c r="B68" s="60">
        <v>1.1399999999999999</v>
      </c>
      <c r="C68" s="60">
        <v>24.34</v>
      </c>
      <c r="D68" s="60">
        <v>25.48</v>
      </c>
      <c r="E68" s="60">
        <v>4.21</v>
      </c>
      <c r="F68" s="60">
        <v>3.15</v>
      </c>
      <c r="G68" s="60">
        <v>65.36</v>
      </c>
      <c r="H68" s="60">
        <v>18.05</v>
      </c>
      <c r="I68" s="60">
        <v>6.09</v>
      </c>
      <c r="J68" s="60">
        <v>0.74</v>
      </c>
      <c r="K68" s="60">
        <v>271.68</v>
      </c>
      <c r="L68" s="60">
        <v>40.26</v>
      </c>
      <c r="M68" s="60">
        <v>67.5</v>
      </c>
      <c r="N68" s="60">
        <v>1253</v>
      </c>
      <c r="O68" s="60">
        <v>0</v>
      </c>
      <c r="P68" s="60">
        <v>2.4700000000000002</v>
      </c>
      <c r="Q68" s="60">
        <v>10.42</v>
      </c>
      <c r="R68" s="198"/>
      <c r="S68" s="198"/>
      <c r="T68" s="198"/>
      <c r="U68" s="198"/>
    </row>
    <row r="69" spans="1:21" s="12" customFormat="1" ht="15">
      <c r="A69" s="201" t="s">
        <v>2227</v>
      </c>
      <c r="B69" s="60">
        <v>0.94</v>
      </c>
      <c r="C69" s="60">
        <v>23.35</v>
      </c>
      <c r="D69" s="60">
        <v>24.29</v>
      </c>
      <c r="E69" s="60">
        <v>4.07</v>
      </c>
      <c r="F69" s="60">
        <v>2.99</v>
      </c>
      <c r="G69" s="60">
        <v>65.02</v>
      </c>
      <c r="H69" s="60">
        <v>20.77</v>
      </c>
      <c r="I69" s="60">
        <v>6.02</v>
      </c>
      <c r="J69" s="60">
        <v>0.93</v>
      </c>
      <c r="K69" s="60">
        <v>221.09</v>
      </c>
      <c r="L69" s="60">
        <v>39.74</v>
      </c>
      <c r="M69" s="60">
        <v>67.680000000000007</v>
      </c>
      <c r="N69" s="60">
        <v>1294.4000000000001</v>
      </c>
      <c r="O69" s="60">
        <v>0</v>
      </c>
      <c r="P69" s="60">
        <v>2.4500000000000002</v>
      </c>
      <c r="Q69" s="60">
        <v>10.08</v>
      </c>
      <c r="R69" s="198"/>
      <c r="S69" s="198"/>
      <c r="T69" s="198"/>
      <c r="U69" s="198"/>
    </row>
    <row r="70" spans="1:21" s="12" customFormat="1" ht="15">
      <c r="A70" s="201" t="s">
        <v>2228</v>
      </c>
      <c r="B70" s="60">
        <v>0.82</v>
      </c>
      <c r="C70" s="60">
        <v>22.16</v>
      </c>
      <c r="D70" s="60">
        <v>22.98</v>
      </c>
      <c r="E70" s="60">
        <v>4.01</v>
      </c>
      <c r="F70" s="60">
        <v>3.23</v>
      </c>
      <c r="G70" s="60">
        <v>65.02</v>
      </c>
      <c r="H70" s="60">
        <v>20.77</v>
      </c>
      <c r="I70" s="60">
        <v>5.82</v>
      </c>
      <c r="J70" s="60">
        <v>1.1599999999999999</v>
      </c>
      <c r="K70" s="60">
        <v>210.18</v>
      </c>
      <c r="L70" s="60">
        <v>40.11</v>
      </c>
      <c r="M70" s="60">
        <v>65.08</v>
      </c>
      <c r="N70" s="60">
        <v>1316.60</v>
      </c>
      <c r="O70" s="60">
        <v>0</v>
      </c>
      <c r="P70" s="60">
        <v>2.4500000000000002</v>
      </c>
      <c r="Q70" s="60">
        <v>9.86</v>
      </c>
      <c r="R70" s="198"/>
      <c r="S70" s="198"/>
      <c r="T70" s="198"/>
      <c r="U70" s="198"/>
    </row>
    <row r="71" spans="1:21" s="12" customFormat="1" ht="15">
      <c r="A71" s="201" t="s">
        <v>2229</v>
      </c>
      <c r="B71" s="60">
        <v>0.73</v>
      </c>
      <c r="C71" s="60">
        <v>21.45</v>
      </c>
      <c r="D71" s="60">
        <v>22.18</v>
      </c>
      <c r="E71" s="60">
        <v>4.2699999999999996</v>
      </c>
      <c r="F71" s="60">
        <v>3.49</v>
      </c>
      <c r="G71" s="60">
        <v>65.02</v>
      </c>
      <c r="H71" s="60">
        <v>20.77</v>
      </c>
      <c r="I71" s="60">
        <v>5.80</v>
      </c>
      <c r="J71" s="60">
        <v>0.36</v>
      </c>
      <c r="K71" s="60">
        <v>296.38</v>
      </c>
      <c r="L71" s="60">
        <v>40.130000000000003</v>
      </c>
      <c r="M71" s="60">
        <v>66.27</v>
      </c>
      <c r="N71" s="60">
        <v>1186</v>
      </c>
      <c r="O71" s="60">
        <v>0</v>
      </c>
      <c r="P71" s="60">
        <v>2.44</v>
      </c>
      <c r="Q71" s="60">
        <v>9.6300000000000008</v>
      </c>
      <c r="R71" s="198"/>
      <c r="S71" s="198"/>
      <c r="T71" s="198"/>
      <c r="U71" s="198"/>
    </row>
    <row r="72" spans="1:21" s="12" customFormat="1" ht="15">
      <c r="A72" s="201" t="s">
        <v>2230</v>
      </c>
      <c r="B72" s="60">
        <v>0.76</v>
      </c>
      <c r="C72" s="60">
        <v>21.86</v>
      </c>
      <c r="D72" s="60">
        <v>22.61</v>
      </c>
      <c r="E72" s="60">
        <v>2.83</v>
      </c>
      <c r="F72" s="60">
        <v>3.16</v>
      </c>
      <c r="G72" s="60">
        <v>62.36</v>
      </c>
      <c r="H72" s="60">
        <v>18.79</v>
      </c>
      <c r="I72" s="60">
        <v>5.74</v>
      </c>
      <c r="J72" s="60">
        <v>0.99</v>
      </c>
      <c r="K72" s="60">
        <v>228.02</v>
      </c>
      <c r="L72" s="60">
        <v>39.89</v>
      </c>
      <c r="M72" s="60">
        <v>66.290000000000006</v>
      </c>
      <c r="N72" s="60">
        <v>1109.70</v>
      </c>
      <c r="O72" s="60">
        <v>0</v>
      </c>
      <c r="P72" s="60">
        <v>2.44</v>
      </c>
      <c r="Q72" s="60">
        <v>9.7799999999999994</v>
      </c>
      <c r="R72" s="198"/>
      <c r="S72" s="198"/>
      <c r="T72" s="198"/>
      <c r="U72" s="198"/>
    </row>
    <row r="73" spans="1:21" s="12" customFormat="1" ht="15">
      <c r="A73" s="201" t="s">
        <v>2231</v>
      </c>
      <c r="B73" s="60">
        <v>0.74</v>
      </c>
      <c r="C73" s="60">
        <v>20.86</v>
      </c>
      <c r="D73" s="60">
        <v>21.60</v>
      </c>
      <c r="E73" s="60">
        <v>4.29</v>
      </c>
      <c r="F73" s="60">
        <v>3.04</v>
      </c>
      <c r="G73" s="60">
        <v>61.59</v>
      </c>
      <c r="H73" s="60">
        <v>17.350000000000001</v>
      </c>
      <c r="I73" s="60">
        <v>5.67</v>
      </c>
      <c r="J73" s="60">
        <v>1.02</v>
      </c>
      <c r="K73" s="60">
        <v>205.23</v>
      </c>
      <c r="L73" s="60">
        <v>39.71</v>
      </c>
      <c r="M73" s="60">
        <v>67.069999999999993</v>
      </c>
      <c r="N73" s="60">
        <v>1051.0999999999999</v>
      </c>
      <c r="O73" s="60">
        <v>0</v>
      </c>
      <c r="P73" s="60">
        <v>2.42</v>
      </c>
      <c r="Q73" s="60">
        <v>9.16</v>
      </c>
      <c r="R73" s="198"/>
      <c r="S73" s="198"/>
      <c r="T73" s="198"/>
      <c r="U73" s="198"/>
    </row>
    <row r="74" spans="1:21" s="12" customFormat="1" ht="15">
      <c r="A74" s="201" t="s">
        <v>2232</v>
      </c>
      <c r="B74" s="60">
        <v>0.86</v>
      </c>
      <c r="C74" s="60">
        <v>20.420000000000002</v>
      </c>
      <c r="D74" s="60">
        <v>21.28</v>
      </c>
      <c r="E74" s="60">
        <v>4.6500000000000004</v>
      </c>
      <c r="F74" s="60">
        <v>2.4700000000000002</v>
      </c>
      <c r="G74" s="60">
        <v>61.59</v>
      </c>
      <c r="H74" s="60">
        <v>17.350000000000001</v>
      </c>
      <c r="I74" s="60">
        <v>5.61</v>
      </c>
      <c r="J74" s="60">
        <v>1.96</v>
      </c>
      <c r="K74" s="60">
        <v>214.61</v>
      </c>
      <c r="L74" s="60">
        <v>39.14</v>
      </c>
      <c r="M74" s="60">
        <v>68.75</v>
      </c>
      <c r="N74" s="60">
        <v>939.40</v>
      </c>
      <c r="O74" s="60">
        <v>0</v>
      </c>
      <c r="P74" s="60">
        <v>2.40</v>
      </c>
      <c r="Q74" s="60">
        <v>8.81</v>
      </c>
      <c r="R74" s="198"/>
      <c r="S74" s="198"/>
      <c r="T74" s="198"/>
      <c r="U74" s="198"/>
    </row>
    <row r="75" spans="1:21" s="12" customFormat="1" ht="15">
      <c r="A75" s="201" t="s">
        <v>2233</v>
      </c>
      <c r="B75" s="60">
        <v>0.76</v>
      </c>
      <c r="C75" s="60">
        <v>19.48</v>
      </c>
      <c r="D75" s="60">
        <v>20.239999999999998</v>
      </c>
      <c r="E75" s="60">
        <v>5.0999999999999996</v>
      </c>
      <c r="F75" s="60">
        <v>2.10</v>
      </c>
      <c r="G75" s="60">
        <v>61.59</v>
      </c>
      <c r="H75" s="60">
        <v>17.350000000000001</v>
      </c>
      <c r="I75" s="60">
        <v>5.47</v>
      </c>
      <c r="J75" s="60">
        <v>0.31</v>
      </c>
      <c r="K75" s="60">
        <v>228.18</v>
      </c>
      <c r="L75" s="60">
        <v>39.380000000000003</v>
      </c>
      <c r="M75" s="60">
        <v>68.5</v>
      </c>
      <c r="N75" s="60">
        <v>858.70</v>
      </c>
      <c r="O75" s="60">
        <v>0</v>
      </c>
      <c r="P75" s="60">
        <v>2.37</v>
      </c>
      <c r="Q75" s="60">
        <v>8.09</v>
      </c>
      <c r="R75" s="198"/>
      <c r="S75" s="198"/>
      <c r="T75" s="198"/>
      <c r="U75" s="198"/>
    </row>
    <row r="76" spans="1:21" s="12" customFormat="1" ht="15">
      <c r="A76" s="201" t="s">
        <v>2234</v>
      </c>
      <c r="B76" s="60">
        <v>0.76</v>
      </c>
      <c r="C76" s="60">
        <v>19.05</v>
      </c>
      <c r="D76" s="60">
        <v>19.809999999999999</v>
      </c>
      <c r="E76" s="60">
        <v>4.95</v>
      </c>
      <c r="F76" s="60">
        <v>2.13</v>
      </c>
      <c r="G76" s="60">
        <v>64.31</v>
      </c>
      <c r="H76" s="60">
        <v>19.47</v>
      </c>
      <c r="I76" s="60">
        <v>5.30</v>
      </c>
      <c r="J76" s="60">
        <v>1.23</v>
      </c>
      <c r="K76" s="60">
        <v>196.61</v>
      </c>
      <c r="L76" s="60">
        <v>39.26</v>
      </c>
      <c r="M76" s="60">
        <v>69.02</v>
      </c>
      <c r="N76" s="60">
        <v>829.40</v>
      </c>
      <c r="O76" s="60">
        <v>0</v>
      </c>
      <c r="P76" s="60">
        <v>2.36</v>
      </c>
      <c r="Q76" s="60">
        <v>7.67</v>
      </c>
      <c r="R76" s="198"/>
      <c r="S76" s="198"/>
      <c r="T76" s="198"/>
      <c r="U76" s="198"/>
    </row>
    <row r="77" spans="1:21" s="12" customFormat="1" ht="15">
      <c r="A77" s="201" t="s">
        <v>2235</v>
      </c>
      <c r="B77" s="60">
        <v>0.95</v>
      </c>
      <c r="C77" s="60">
        <v>18.86</v>
      </c>
      <c r="D77" s="60">
        <v>19.809999999999999</v>
      </c>
      <c r="E77" s="60">
        <v>5.12</v>
      </c>
      <c r="F77" s="60">
        <v>2.17</v>
      </c>
      <c r="G77" s="60">
        <v>65.099999999999994</v>
      </c>
      <c r="H77" s="60">
        <v>21.02</v>
      </c>
      <c r="I77" s="60">
        <v>5.19</v>
      </c>
      <c r="J77" s="60">
        <v>0.63</v>
      </c>
      <c r="K77" s="60">
        <v>233.36</v>
      </c>
      <c r="L77" s="60">
        <v>38.99</v>
      </c>
      <c r="M77" s="60">
        <v>70.87</v>
      </c>
      <c r="N77" s="60">
        <v>799.80</v>
      </c>
      <c r="O77" s="60">
        <v>0</v>
      </c>
      <c r="P77" s="60">
        <v>2.35</v>
      </c>
      <c r="Q77" s="60">
        <v>7.49</v>
      </c>
      <c r="R77" s="198"/>
      <c r="S77" s="198"/>
      <c r="T77" s="198"/>
      <c r="U77" s="198"/>
    </row>
    <row r="78" spans="1:21" s="12" customFormat="1" ht="15">
      <c r="A78" s="201" t="s">
        <v>2236</v>
      </c>
      <c r="B78" s="60">
        <v>1.38</v>
      </c>
      <c r="C78" s="60">
        <v>19.02</v>
      </c>
      <c r="D78" s="60">
        <v>20.39</v>
      </c>
      <c r="E78" s="60">
        <v>4.78</v>
      </c>
      <c r="F78" s="60">
        <v>1.81</v>
      </c>
      <c r="G78" s="60">
        <v>65.099999999999994</v>
      </c>
      <c r="H78" s="60">
        <v>21.02</v>
      </c>
      <c r="I78" s="60">
        <v>5.0999999999999996</v>
      </c>
      <c r="J78" s="60">
        <v>1.56</v>
      </c>
      <c r="K78" s="60">
        <v>209.55</v>
      </c>
      <c r="L78" s="60">
        <v>38.72</v>
      </c>
      <c r="M78" s="60">
        <v>71.80</v>
      </c>
      <c r="N78" s="60">
        <v>711.80</v>
      </c>
      <c r="O78" s="60">
        <v>0</v>
      </c>
      <c r="P78" s="60">
        <v>2.35</v>
      </c>
      <c r="Q78" s="60">
        <v>7.60</v>
      </c>
      <c r="R78" s="198"/>
      <c r="S78" s="198"/>
      <c r="T78" s="198"/>
      <c r="U78" s="198"/>
    </row>
    <row r="79" spans="1:21" s="12" customFormat="1" ht="15">
      <c r="A79" s="201" t="s">
        <v>2237</v>
      </c>
      <c r="B79" s="60">
        <v>1.35</v>
      </c>
      <c r="C79" s="60">
        <v>18.829999999999998</v>
      </c>
      <c r="D79" s="60">
        <v>20.18</v>
      </c>
      <c r="E79" s="60">
        <v>5.43</v>
      </c>
      <c r="F79" s="60">
        <v>1.99</v>
      </c>
      <c r="G79" s="60">
        <v>65.099999999999994</v>
      </c>
      <c r="H79" s="60">
        <v>21.02</v>
      </c>
      <c r="I79" s="60">
        <v>5.04</v>
      </c>
      <c r="J79" s="60">
        <v>1.52</v>
      </c>
      <c r="K79" s="60">
        <v>227.91</v>
      </c>
      <c r="L79" s="60">
        <v>38.380000000000003</v>
      </c>
      <c r="M79" s="60">
        <v>72.98</v>
      </c>
      <c r="N79" s="60">
        <v>758.20</v>
      </c>
      <c r="O79" s="60">
        <v>0</v>
      </c>
      <c r="P79" s="60">
        <v>2.33</v>
      </c>
      <c r="Q79" s="60">
        <v>7.53</v>
      </c>
      <c r="R79" s="198"/>
      <c r="S79" s="198"/>
      <c r="T79" s="198"/>
      <c r="U79" s="198"/>
    </row>
    <row r="80" spans="1:21" s="12" customFormat="1" ht="15">
      <c r="A80" s="201" t="s">
        <v>2238</v>
      </c>
      <c r="B80" s="60">
        <v>1.26</v>
      </c>
      <c r="C80" s="60">
        <v>19.25</v>
      </c>
      <c r="D80" s="60">
        <v>20.51</v>
      </c>
      <c r="E80" s="60">
        <v>5.52</v>
      </c>
      <c r="F80" s="60">
        <v>1.72</v>
      </c>
      <c r="G80" s="60">
        <v>63.35</v>
      </c>
      <c r="H80" s="60">
        <v>24.85</v>
      </c>
      <c r="I80" s="60">
        <v>5.01</v>
      </c>
      <c r="J80" s="60">
        <v>1.08</v>
      </c>
      <c r="K80" s="60">
        <v>219.55</v>
      </c>
      <c r="L80" s="60">
        <v>38.17</v>
      </c>
      <c r="M80" s="60">
        <v>73.30</v>
      </c>
      <c r="N80" s="60">
        <v>711.60</v>
      </c>
      <c r="O80" s="60">
        <v>0</v>
      </c>
      <c r="P80" s="60">
        <v>2.3199999999999998</v>
      </c>
      <c r="Q80" s="60">
        <v>7.70</v>
      </c>
      <c r="R80" s="198"/>
      <c r="S80" s="198"/>
      <c r="T80" s="198"/>
      <c r="U80" s="198"/>
    </row>
    <row r="81" spans="1:21" s="12" customFormat="1" ht="15">
      <c r="A81" s="201" t="s">
        <v>2239</v>
      </c>
      <c r="B81" s="60">
        <v>1.20</v>
      </c>
      <c r="C81" s="60">
        <v>18.670000000000002</v>
      </c>
      <c r="D81" s="60">
        <v>19.87</v>
      </c>
      <c r="E81" s="60">
        <v>5.65</v>
      </c>
      <c r="F81" s="60">
        <v>1.98</v>
      </c>
      <c r="G81" s="60">
        <v>62.44</v>
      </c>
      <c r="H81" s="60">
        <v>27.53</v>
      </c>
      <c r="I81" s="60">
        <v>4.91</v>
      </c>
      <c r="J81" s="60">
        <v>1.85</v>
      </c>
      <c r="K81" s="60">
        <v>208.52</v>
      </c>
      <c r="L81" s="60">
        <v>38.06</v>
      </c>
      <c r="M81" s="60">
        <v>72.81</v>
      </c>
      <c r="N81" s="60">
        <v>690.30</v>
      </c>
      <c r="O81" s="60">
        <v>0</v>
      </c>
      <c r="P81" s="60">
        <v>2.2999999999999998</v>
      </c>
      <c r="Q81" s="60">
        <v>7.82</v>
      </c>
      <c r="R81" s="198"/>
      <c r="S81" s="198"/>
      <c r="T81" s="198"/>
      <c r="U81" s="198"/>
    </row>
    <row r="82" spans="1:21" s="12" customFormat="1" ht="15">
      <c r="A82" s="201" t="s">
        <v>2240</v>
      </c>
      <c r="B82" s="60">
        <v>0.97</v>
      </c>
      <c r="C82" s="60">
        <v>17.88</v>
      </c>
      <c r="D82" s="60">
        <v>18.850000000000001</v>
      </c>
      <c r="E82" s="60">
        <v>5.54</v>
      </c>
      <c r="F82" s="60">
        <v>1.85</v>
      </c>
      <c r="G82" s="60">
        <v>62.44</v>
      </c>
      <c r="H82" s="60">
        <v>27.53</v>
      </c>
      <c r="I82" s="60">
        <v>4.80</v>
      </c>
      <c r="J82" s="60">
        <v>2.2000000000000002</v>
      </c>
      <c r="K82" s="60">
        <v>206.19</v>
      </c>
      <c r="L82" s="60">
        <v>37.81</v>
      </c>
      <c r="M82" s="60">
        <v>73.95</v>
      </c>
      <c r="N82" s="60">
        <v>620.20000000000005</v>
      </c>
      <c r="O82" s="60">
        <v>0</v>
      </c>
      <c r="P82" s="60">
        <v>2.2799999999999998</v>
      </c>
      <c r="Q82" s="60">
        <v>7.92</v>
      </c>
      <c r="R82" s="198"/>
      <c r="S82" s="198"/>
      <c r="T82" s="198"/>
      <c r="U82" s="198"/>
    </row>
    <row r="83" spans="1:21" s="12" customFormat="1" ht="15">
      <c r="A83" s="201" t="s">
        <v>2241</v>
      </c>
      <c r="B83" s="60">
        <v>0.86</v>
      </c>
      <c r="C83" s="60">
        <v>17.579999999999998</v>
      </c>
      <c r="D83" s="60">
        <v>18.45</v>
      </c>
      <c r="E83" s="60">
        <v>5.28</v>
      </c>
      <c r="F83" s="60">
        <v>1.72</v>
      </c>
      <c r="G83" s="60">
        <v>62.44</v>
      </c>
      <c r="H83" s="60">
        <v>27.53</v>
      </c>
      <c r="I83" s="60">
        <v>4.5999999999999996</v>
      </c>
      <c r="J83" s="60">
        <v>2.2799999999999998</v>
      </c>
      <c r="K83" s="60">
        <v>201.56</v>
      </c>
      <c r="L83" s="60">
        <v>37.51</v>
      </c>
      <c r="M83" s="60">
        <v>75.569999999999993</v>
      </c>
      <c r="N83" s="60">
        <v>615.40</v>
      </c>
      <c r="O83" s="60">
        <v>0</v>
      </c>
      <c r="P83" s="60">
        <v>2.2599999999999998</v>
      </c>
      <c r="Q83" s="60">
        <v>8.08</v>
      </c>
      <c r="R83" s="198"/>
      <c r="S83" s="198"/>
      <c r="T83" s="198"/>
      <c r="U83" s="198"/>
    </row>
    <row r="84" spans="1:21" s="12" customFormat="1" ht="15">
      <c r="A84" s="201" t="s">
        <v>2242</v>
      </c>
      <c r="B84" s="60">
        <v>0.88</v>
      </c>
      <c r="C84" s="60">
        <v>17.66</v>
      </c>
      <c r="D84" s="60">
        <v>18.54</v>
      </c>
      <c r="E84" s="60">
        <v>5.38</v>
      </c>
      <c r="F84" s="60">
        <v>1.65</v>
      </c>
      <c r="G84" s="60">
        <v>57.52</v>
      </c>
      <c r="H84" s="60">
        <v>24.02</v>
      </c>
      <c r="I84" s="60">
        <v>4.3600000000000003</v>
      </c>
      <c r="J84" s="60">
        <v>2.5</v>
      </c>
      <c r="K84" s="60">
        <v>182.73</v>
      </c>
      <c r="L84" s="60">
        <v>37.24</v>
      </c>
      <c r="M84" s="60">
        <v>76.77</v>
      </c>
      <c r="N84" s="60">
        <v>561.10</v>
      </c>
      <c r="O84" s="60">
        <v>0</v>
      </c>
      <c r="P84" s="60">
        <v>2.25</v>
      </c>
      <c r="Q84" s="60">
        <v>8.2200000000000006</v>
      </c>
      <c r="R84" s="198"/>
      <c r="S84" s="198"/>
      <c r="T84" s="198"/>
      <c r="U84" s="198"/>
    </row>
    <row r="85" spans="1:21" s="12" customFormat="1" ht="15">
      <c r="A85" s="201" t="s">
        <v>2243</v>
      </c>
      <c r="B85" s="60">
        <v>0.94</v>
      </c>
      <c r="C85" s="60">
        <v>18.190000000000001</v>
      </c>
      <c r="D85" s="60">
        <v>19.13</v>
      </c>
      <c r="E85" s="60">
        <v>5.35</v>
      </c>
      <c r="F85" s="60">
        <v>1.30</v>
      </c>
      <c r="G85" s="60">
        <v>56.10</v>
      </c>
      <c r="H85" s="60">
        <v>21.45</v>
      </c>
      <c r="I85" s="60">
        <v>4.20</v>
      </c>
      <c r="J85" s="60">
        <v>1.85</v>
      </c>
      <c r="K85" s="60">
        <v>214.76</v>
      </c>
      <c r="L85" s="60">
        <v>36.97</v>
      </c>
      <c r="M85" s="60">
        <v>77.75</v>
      </c>
      <c r="N85" s="60">
        <v>591.90</v>
      </c>
      <c r="O85" s="60">
        <v>0</v>
      </c>
      <c r="P85" s="60">
        <v>2.25</v>
      </c>
      <c r="Q85" s="60">
        <v>8.35</v>
      </c>
      <c r="R85" s="198"/>
      <c r="S85" s="198"/>
      <c r="T85" s="198"/>
      <c r="U85" s="198"/>
    </row>
    <row r="86" spans="1:21" s="12" customFormat="1" ht="15">
      <c r="A86" s="201" t="s">
        <v>2244</v>
      </c>
      <c r="B86" s="60">
        <v>1.08</v>
      </c>
      <c r="C86" s="60">
        <v>18.420000000000002</v>
      </c>
      <c r="D86" s="60">
        <v>19.5</v>
      </c>
      <c r="E86" s="60">
        <v>5.09</v>
      </c>
      <c r="F86" s="60">
        <v>1.17</v>
      </c>
      <c r="G86" s="60">
        <v>56.10</v>
      </c>
      <c r="H86" s="60">
        <v>21.45</v>
      </c>
      <c r="I86" s="60">
        <v>4.13</v>
      </c>
      <c r="J86" s="60">
        <v>1.48</v>
      </c>
      <c r="K86" s="60">
        <v>223.34</v>
      </c>
      <c r="L86" s="60">
        <v>36.74</v>
      </c>
      <c r="M86" s="60">
        <v>78.95</v>
      </c>
      <c r="N86" s="60">
        <v>526</v>
      </c>
      <c r="O86" s="60">
        <v>0</v>
      </c>
      <c r="P86" s="60">
        <v>2.25</v>
      </c>
      <c r="Q86" s="60">
        <v>8.40</v>
      </c>
      <c r="R86" s="198"/>
      <c r="S86" s="198"/>
      <c r="T86" s="198"/>
      <c r="U86" s="198"/>
    </row>
    <row r="87" spans="1:21" s="12" customFormat="1" ht="15">
      <c r="A87" s="201" t="s">
        <v>2245</v>
      </c>
      <c r="B87" s="60">
        <v>1.33</v>
      </c>
      <c r="C87" s="60">
        <v>18.89</v>
      </c>
      <c r="D87" s="60">
        <v>20.22</v>
      </c>
      <c r="E87" s="60">
        <v>5.47</v>
      </c>
      <c r="F87" s="60">
        <v>1.18</v>
      </c>
      <c r="G87" s="60">
        <v>56.10</v>
      </c>
      <c r="H87" s="60">
        <v>21.45</v>
      </c>
      <c r="I87" s="60">
        <v>4.08</v>
      </c>
      <c r="J87" s="60">
        <v>1.32</v>
      </c>
      <c r="K87" s="60">
        <v>224.10</v>
      </c>
      <c r="L87" s="60">
        <v>36.729999999999997</v>
      </c>
      <c r="M87" s="60">
        <v>78.75</v>
      </c>
      <c r="N87" s="60">
        <v>579.70000000000005</v>
      </c>
      <c r="O87" s="60">
        <v>0</v>
      </c>
      <c r="P87" s="60">
        <v>2.27</v>
      </c>
      <c r="Q87" s="60">
        <v>8.61</v>
      </c>
      <c r="R87" s="198"/>
      <c r="S87" s="198"/>
      <c r="T87" s="198"/>
      <c r="U87" s="198"/>
    </row>
    <row r="88" spans="1:21" s="12" customFormat="1" ht="15">
      <c r="A88" s="201" t="s">
        <v>2246</v>
      </c>
      <c r="B88" s="60">
        <v>1.48</v>
      </c>
      <c r="C88" s="60">
        <v>19.39</v>
      </c>
      <c r="D88" s="60">
        <v>20.86</v>
      </c>
      <c r="E88" s="60">
        <v>2.23</v>
      </c>
      <c r="F88" s="60">
        <v>0.93</v>
      </c>
      <c r="G88" s="60">
        <v>59.20</v>
      </c>
      <c r="H88" s="60">
        <v>25.34</v>
      </c>
      <c r="I88" s="60">
        <v>4.0599999999999996</v>
      </c>
      <c r="J88" s="60">
        <v>1.65</v>
      </c>
      <c r="K88" s="60">
        <v>226.06</v>
      </c>
      <c r="L88" s="60">
        <v>36.60</v>
      </c>
      <c r="M88" s="60">
        <v>79.260000000000005</v>
      </c>
      <c r="N88" s="60">
        <v>564.79999999999995</v>
      </c>
      <c r="O88" s="60">
        <v>0</v>
      </c>
      <c r="P88" s="60">
        <v>2.29</v>
      </c>
      <c r="Q88" s="60">
        <v>8.6999999999999993</v>
      </c>
      <c r="R88" s="198"/>
      <c r="S88" s="198"/>
      <c r="T88" s="198"/>
      <c r="U88" s="198"/>
    </row>
    <row r="89" spans="1:21" s="12" customFormat="1" ht="15">
      <c r="A89" s="201" t="s">
        <v>2247</v>
      </c>
      <c r="B89" s="60">
        <v>1.49</v>
      </c>
      <c r="C89" s="60">
        <v>18.95</v>
      </c>
      <c r="D89" s="60">
        <v>20.45</v>
      </c>
      <c r="E89" s="60">
        <v>4.2699999999999996</v>
      </c>
      <c r="F89" s="60">
        <v>1.22</v>
      </c>
      <c r="G89" s="60">
        <v>60.10</v>
      </c>
      <c r="H89" s="60">
        <v>28.19</v>
      </c>
      <c r="I89" s="60">
        <v>4.0999999999999996</v>
      </c>
      <c r="J89" s="60">
        <v>0.96</v>
      </c>
      <c r="K89" s="60">
        <v>221.86</v>
      </c>
      <c r="L89" s="60">
        <v>36.46</v>
      </c>
      <c r="M89" s="60">
        <v>80.16</v>
      </c>
      <c r="N89" s="60">
        <v>511</v>
      </c>
      <c r="O89" s="60">
        <v>0</v>
      </c>
      <c r="P89" s="60">
        <v>2.29</v>
      </c>
      <c r="Q89" s="60">
        <v>8.5399999999999991</v>
      </c>
      <c r="R89" s="198"/>
      <c r="S89" s="198"/>
      <c r="T89" s="198"/>
      <c r="U89" s="198"/>
    </row>
    <row r="90" spans="1:21" s="12" customFormat="1" ht="15">
      <c r="A90" s="201" t="s">
        <v>2248</v>
      </c>
      <c r="B90" s="60">
        <v>1.71</v>
      </c>
      <c r="C90" s="60">
        <v>19.25</v>
      </c>
      <c r="D90" s="60">
        <v>20.95</v>
      </c>
      <c r="E90" s="60">
        <v>4.49</v>
      </c>
      <c r="F90" s="60">
        <v>0.96</v>
      </c>
      <c r="G90" s="60">
        <v>60.10</v>
      </c>
      <c r="H90" s="60">
        <v>28.19</v>
      </c>
      <c r="I90" s="60">
        <v>4.18</v>
      </c>
      <c r="J90" s="60">
        <v>1.30</v>
      </c>
      <c r="K90" s="60">
        <v>227.06</v>
      </c>
      <c r="L90" s="60">
        <v>36.35</v>
      </c>
      <c r="M90" s="60">
        <v>80.459999999999994</v>
      </c>
      <c r="N90" s="60">
        <v>738.40</v>
      </c>
      <c r="O90" s="60">
        <v>0</v>
      </c>
      <c r="P90" s="60">
        <v>2.2999999999999998</v>
      </c>
      <c r="Q90" s="60">
        <v>8.64</v>
      </c>
      <c r="R90" s="198"/>
      <c r="S90" s="198"/>
      <c r="T90" s="198"/>
      <c r="U90" s="198"/>
    </row>
    <row r="91" spans="1:21" s="12" customFormat="1" ht="15">
      <c r="A91" s="201" t="s">
        <v>2249</v>
      </c>
      <c r="B91" s="60">
        <v>1.95</v>
      </c>
      <c r="C91" s="60">
        <v>18.25</v>
      </c>
      <c r="D91" s="60">
        <v>20.20</v>
      </c>
      <c r="E91" s="60">
        <v>4.5599999999999996</v>
      </c>
      <c r="F91" s="60">
        <v>0.97</v>
      </c>
      <c r="G91" s="60">
        <v>60.10</v>
      </c>
      <c r="H91" s="60">
        <v>28.19</v>
      </c>
      <c r="I91" s="60">
        <v>4.20</v>
      </c>
      <c r="J91" s="60">
        <v>1.61</v>
      </c>
      <c r="K91" s="60">
        <v>229.45</v>
      </c>
      <c r="L91" s="60">
        <v>36.22</v>
      </c>
      <c r="M91" s="60">
        <v>81.209999999999994</v>
      </c>
      <c r="N91" s="60">
        <v>789.80</v>
      </c>
      <c r="O91" s="60">
        <v>0</v>
      </c>
      <c r="P91" s="60">
        <v>2.31</v>
      </c>
      <c r="Q91" s="60">
        <v>8.49</v>
      </c>
      <c r="R91" s="198"/>
      <c r="S91" s="198"/>
      <c r="T91" s="198"/>
      <c r="U91" s="198"/>
    </row>
    <row r="92" spans="1:21" s="12" customFormat="1" ht="15">
      <c r="A92" s="201" t="s">
        <v>2250</v>
      </c>
      <c r="B92" s="60">
        <v>2.25</v>
      </c>
      <c r="C92" s="60">
        <v>17.829999999999998</v>
      </c>
      <c r="D92" s="60">
        <v>20.09</v>
      </c>
      <c r="E92" s="60">
        <v>4.9800000000000004</v>
      </c>
      <c r="F92" s="60">
        <v>0.61</v>
      </c>
      <c r="G92" s="60">
        <v>62.82</v>
      </c>
      <c r="H92" s="60">
        <v>25.5</v>
      </c>
      <c r="I92" s="60">
        <v>4.21</v>
      </c>
      <c r="J92" s="60">
        <v>1.32</v>
      </c>
      <c r="K92" s="60">
        <v>231.71</v>
      </c>
      <c r="L92" s="60">
        <v>36.06</v>
      </c>
      <c r="M92" s="60">
        <v>81.72</v>
      </c>
      <c r="N92" s="60">
        <v>691.70</v>
      </c>
      <c r="O92" s="60">
        <v>0</v>
      </c>
      <c r="P92" s="60">
        <v>2.33</v>
      </c>
      <c r="Q92" s="60">
        <v>8.0399999999999991</v>
      </c>
      <c r="R92" s="198"/>
      <c r="S92" s="198"/>
      <c r="T92" s="198"/>
      <c r="U92" s="198"/>
    </row>
    <row r="93" spans="1:21" s="12" customFormat="1" ht="15">
      <c r="A93" s="201" t="s">
        <v>2251</v>
      </c>
      <c r="B93" s="60">
        <v>2.73</v>
      </c>
      <c r="C93" s="60">
        <v>17.45</v>
      </c>
      <c r="D93" s="60">
        <v>20.18</v>
      </c>
      <c r="E93" s="60">
        <v>5.38</v>
      </c>
      <c r="F93" s="60">
        <v>0.63</v>
      </c>
      <c r="G93" s="60">
        <v>64.08</v>
      </c>
      <c r="H93" s="60">
        <v>23.54</v>
      </c>
      <c r="I93" s="60">
        <v>4.30</v>
      </c>
      <c r="J93" s="60">
        <v>1.89</v>
      </c>
      <c r="K93" s="60">
        <v>207.01</v>
      </c>
      <c r="L93" s="60">
        <v>35.94</v>
      </c>
      <c r="M93" s="60">
        <v>82.54</v>
      </c>
      <c r="N93" s="60">
        <v>620.10</v>
      </c>
      <c r="O93" s="60">
        <v>0</v>
      </c>
      <c r="P93" s="60">
        <v>2.33</v>
      </c>
      <c r="Q93" s="60">
        <v>7.70</v>
      </c>
      <c r="R93" s="198"/>
      <c r="S93" s="198"/>
      <c r="T93" s="198"/>
      <c r="U93" s="198"/>
    </row>
    <row r="94" spans="1:21" s="12" customFormat="1" ht="15">
      <c r="A94" s="201" t="s">
        <v>2252</v>
      </c>
      <c r="B94" s="60">
        <v>3.23</v>
      </c>
      <c r="C94" s="60">
        <v>17.329999999999998</v>
      </c>
      <c r="D94" s="60">
        <v>20.55</v>
      </c>
      <c r="E94" s="60">
        <v>5.79</v>
      </c>
      <c r="F94" s="60">
        <v>0.68</v>
      </c>
      <c r="G94" s="60">
        <v>64.08</v>
      </c>
      <c r="H94" s="60">
        <v>23.54</v>
      </c>
      <c r="I94" s="60">
        <v>4.46</v>
      </c>
      <c r="J94" s="60">
        <v>1.72</v>
      </c>
      <c r="K94" s="60">
        <v>247.03</v>
      </c>
      <c r="L94" s="60">
        <v>35.74</v>
      </c>
      <c r="M94" s="60">
        <v>83.28</v>
      </c>
      <c r="N94" s="60">
        <v>767.40</v>
      </c>
      <c r="O94" s="60">
        <v>0</v>
      </c>
      <c r="P94" s="60">
        <v>2.34</v>
      </c>
      <c r="Q94" s="60">
        <v>7.65</v>
      </c>
      <c r="R94" s="198"/>
      <c r="S94" s="198"/>
      <c r="T94" s="198"/>
      <c r="U94" s="198"/>
    </row>
    <row r="95" spans="1:21" s="12" customFormat="1" ht="15">
      <c r="A95" s="201" t="s">
        <v>2253</v>
      </c>
      <c r="B95" s="60">
        <v>3.60</v>
      </c>
      <c r="C95" s="60">
        <v>17.149999999999999</v>
      </c>
      <c r="D95" s="60">
        <v>20.75</v>
      </c>
      <c r="E95" s="60">
        <v>6.01</v>
      </c>
      <c r="F95" s="60">
        <v>0.61</v>
      </c>
      <c r="G95" s="60">
        <v>64.08</v>
      </c>
      <c r="H95" s="60">
        <v>23.54</v>
      </c>
      <c r="I95" s="60">
        <v>4.5599999999999996</v>
      </c>
      <c r="J95" s="60">
        <v>2.0099999999999998</v>
      </c>
      <c r="K95" s="60">
        <v>212.30</v>
      </c>
      <c r="L95" s="60">
        <v>35.69</v>
      </c>
      <c r="M95" s="60">
        <v>83.42</v>
      </c>
      <c r="N95" s="60">
        <v>786.70</v>
      </c>
      <c r="O95" s="60">
        <v>0</v>
      </c>
      <c r="P95" s="60">
        <v>2.35</v>
      </c>
      <c r="Q95" s="60">
        <v>7.73</v>
      </c>
      <c r="R95" s="198"/>
      <c r="S95" s="198"/>
      <c r="T95" s="198"/>
      <c r="U95" s="198"/>
    </row>
    <row r="96" spans="1:26" s="12" customFormat="1" ht="15">
      <c r="A96" s="201" t="s">
        <v>2254</v>
      </c>
      <c r="B96" s="60">
        <v>3.93</v>
      </c>
      <c r="C96" s="60">
        <v>17.02</v>
      </c>
      <c r="D96" s="60">
        <v>20.95</v>
      </c>
      <c r="E96" s="60">
        <v>6.14</v>
      </c>
      <c r="F96" s="60">
        <v>0.39</v>
      </c>
      <c r="G96" s="60">
        <v>65.84</v>
      </c>
      <c r="H96" s="60">
        <v>27.58</v>
      </c>
      <c r="I96" s="60">
        <v>4.67</v>
      </c>
      <c r="J96" s="60">
        <v>1.82</v>
      </c>
      <c r="K96" s="60">
        <v>192.25</v>
      </c>
      <c r="L96" s="60">
        <v>35.64</v>
      </c>
      <c r="M96" s="60">
        <v>83.79</v>
      </c>
      <c r="N96" s="60">
        <v>680</v>
      </c>
      <c r="O96" s="60">
        <v>0</v>
      </c>
      <c r="P96" s="60">
        <v>2.35</v>
      </c>
      <c r="Q96" s="60">
        <v>7.80</v>
      </c>
      <c r="R96" s="198"/>
      <c r="S96" s="198"/>
      <c r="T96" s="198"/>
      <c r="U96" s="198"/>
      <c r="Z96" s="109"/>
    </row>
    <row r="97" spans="1:21" s="12" customFormat="1" ht="15">
      <c r="A97" s="201" t="s">
        <v>2255</v>
      </c>
      <c r="B97" s="60">
        <v>4.22</v>
      </c>
      <c r="C97" s="60">
        <v>16.760000000000002</v>
      </c>
      <c r="D97" s="60">
        <v>20.98</v>
      </c>
      <c r="E97" s="60">
        <v>6.23</v>
      </c>
      <c r="F97" s="60">
        <v>0.42</v>
      </c>
      <c r="G97" s="60">
        <v>66.349999999999994</v>
      </c>
      <c r="H97" s="60">
        <v>30.53</v>
      </c>
      <c r="I97" s="60">
        <v>4.78</v>
      </c>
      <c r="J97" s="60">
        <v>2.66</v>
      </c>
      <c r="K97" s="60">
        <v>167.66</v>
      </c>
      <c r="L97" s="60">
        <v>35.49</v>
      </c>
      <c r="M97" s="60">
        <v>84.91</v>
      </c>
      <c r="N97" s="60">
        <v>754.40</v>
      </c>
      <c r="O97" s="60">
        <v>0</v>
      </c>
      <c r="P97" s="60">
        <v>2.35</v>
      </c>
      <c r="Q97" s="60">
        <v>7.85</v>
      </c>
      <c r="R97" s="198"/>
      <c r="S97" s="198"/>
      <c r="T97" s="198"/>
      <c r="U97" s="198"/>
    </row>
    <row r="98" spans="1:21" s="12" customFormat="1" ht="15">
      <c r="A98" s="201" t="s">
        <v>2256</v>
      </c>
      <c r="B98" s="60">
        <v>4.20</v>
      </c>
      <c r="C98" s="60">
        <v>17.22</v>
      </c>
      <c r="D98" s="60">
        <v>21.41</v>
      </c>
      <c r="E98" s="60">
        <v>6.47</v>
      </c>
      <c r="F98" s="60">
        <v>0.63</v>
      </c>
      <c r="G98" s="60">
        <v>66.349999999999994</v>
      </c>
      <c r="H98" s="60">
        <v>30.53</v>
      </c>
      <c r="I98" s="60">
        <v>4.84</v>
      </c>
      <c r="J98" s="60">
        <v>2.54</v>
      </c>
      <c r="K98" s="60">
        <v>163.93</v>
      </c>
      <c r="L98" s="60">
        <v>35.44</v>
      </c>
      <c r="M98" s="60">
        <v>85.28</v>
      </c>
      <c r="N98" s="60">
        <v>728.40</v>
      </c>
      <c r="O98" s="60">
        <v>0</v>
      </c>
      <c r="P98" s="60">
        <v>2.34</v>
      </c>
      <c r="Q98" s="60">
        <v>8.11</v>
      </c>
      <c r="R98" s="198"/>
      <c r="S98" s="198"/>
      <c r="T98" s="198"/>
      <c r="U98" s="198"/>
    </row>
    <row r="99" spans="1:21" s="12" customFormat="1" ht="15">
      <c r="A99" s="201" t="s">
        <v>2257</v>
      </c>
      <c r="B99" s="60">
        <v>3.85</v>
      </c>
      <c r="C99" s="60">
        <v>17.420000000000002</v>
      </c>
      <c r="D99" s="60">
        <v>21.27</v>
      </c>
      <c r="E99" s="60">
        <v>6.06</v>
      </c>
      <c r="F99" s="60">
        <v>0.56999999999999995</v>
      </c>
      <c r="G99" s="60">
        <v>66.349999999999994</v>
      </c>
      <c r="H99" s="60">
        <v>30.53</v>
      </c>
      <c r="I99" s="60">
        <v>4.82</v>
      </c>
      <c r="J99" s="60">
        <v>2.2400000000000002</v>
      </c>
      <c r="K99" s="60">
        <v>149.97</v>
      </c>
      <c r="L99" s="60">
        <v>35.39</v>
      </c>
      <c r="M99" s="60">
        <v>85.30</v>
      </c>
      <c r="N99" s="60">
        <v>678.60</v>
      </c>
      <c r="O99" s="60">
        <v>0</v>
      </c>
      <c r="P99" s="60">
        <v>2.33</v>
      </c>
      <c r="Q99" s="60">
        <v>8.4700000000000006</v>
      </c>
      <c r="R99" s="198"/>
      <c r="S99" s="198"/>
      <c r="T99" s="198"/>
      <c r="U99" s="198"/>
    </row>
    <row r="100" spans="1:33" s="12" customFormat="1" ht="15">
      <c r="A100" s="201" t="s">
        <v>2258</v>
      </c>
      <c r="B100" s="60">
        <v>3.62</v>
      </c>
      <c r="C100" s="60">
        <v>18.11</v>
      </c>
      <c r="D100" s="60">
        <v>21.73</v>
      </c>
      <c r="E100" s="60">
        <v>5.98</v>
      </c>
      <c r="F100" s="60">
        <v>0.40</v>
      </c>
      <c r="G100" s="60">
        <v>64.63</v>
      </c>
      <c r="H100" s="60">
        <v>28.15</v>
      </c>
      <c r="I100" s="60">
        <v>4.78</v>
      </c>
      <c r="J100" s="60">
        <v>3.01</v>
      </c>
      <c r="K100" s="60">
        <v>159.10</v>
      </c>
      <c r="L100" s="60">
        <v>35.35</v>
      </c>
      <c r="M100" s="60">
        <v>85.43</v>
      </c>
      <c r="N100" s="60">
        <v>652.70000000000005</v>
      </c>
      <c r="O100" s="60">
        <v>0</v>
      </c>
      <c r="P100" s="60">
        <v>2.31</v>
      </c>
      <c r="Q100" s="60">
        <v>8.86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2259</v>
      </c>
      <c r="B101" s="60">
        <v>3.46</v>
      </c>
      <c r="C101" s="60">
        <v>18.55</v>
      </c>
      <c r="D101" s="60">
        <v>22.01</v>
      </c>
      <c r="E101" s="60">
        <v>5.68</v>
      </c>
      <c r="F101" s="60">
        <v>0.41</v>
      </c>
      <c r="G101" s="60">
        <v>64.14</v>
      </c>
      <c r="H101" s="60">
        <v>26.48</v>
      </c>
      <c r="I101" s="60">
        <v>4.6399999999999997</v>
      </c>
      <c r="J101" s="60">
        <v>2.83</v>
      </c>
      <c r="K101" s="60">
        <v>166.78</v>
      </c>
      <c r="L101" s="60">
        <v>35.340000000000003</v>
      </c>
      <c r="M101" s="60">
        <v>85.63</v>
      </c>
      <c r="N101" s="60">
        <v>676.80</v>
      </c>
      <c r="O101" s="60">
        <v>0</v>
      </c>
      <c r="P101" s="60">
        <v>2.29</v>
      </c>
      <c r="Q101" s="60">
        <v>9</v>
      </c>
      <c r="R101" s="198"/>
      <c r="S101" s="198"/>
      <c r="T101" s="198"/>
      <c r="U101" s="198"/>
    </row>
    <row r="102" spans="1:21" s="12" customFormat="1" ht="15">
      <c r="A102" s="201" t="s">
        <v>2260</v>
      </c>
      <c r="B102" s="60">
        <v>3.23</v>
      </c>
      <c r="C102" s="60">
        <v>18.27</v>
      </c>
      <c r="D102" s="60">
        <v>21.5</v>
      </c>
      <c r="E102" s="60">
        <v>5.94</v>
      </c>
      <c r="F102" s="60">
        <v>0.52</v>
      </c>
      <c r="G102" s="60">
        <v>64.14</v>
      </c>
      <c r="H102" s="60">
        <v>26.48</v>
      </c>
      <c r="I102" s="60">
        <v>4.54</v>
      </c>
      <c r="J102" s="60">
        <v>1.33</v>
      </c>
      <c r="K102" s="60">
        <v>184.64</v>
      </c>
      <c r="L102" s="60">
        <v>35.18</v>
      </c>
      <c r="M102" s="60">
        <v>86.64</v>
      </c>
      <c r="N102" s="60">
        <v>740.70</v>
      </c>
      <c r="O102" s="60">
        <v>0</v>
      </c>
      <c r="P102" s="60">
        <v>2.2799999999999998</v>
      </c>
      <c r="Q102" s="60">
        <v>8.99</v>
      </c>
      <c r="R102" s="198"/>
      <c r="S102" s="198"/>
      <c r="T102" s="198"/>
      <c r="U102" s="198"/>
    </row>
    <row r="103" spans="1:21" s="12" customFormat="1" ht="15">
      <c r="A103" s="201" t="s">
        <v>2261</v>
      </c>
      <c r="B103" s="60">
        <v>2.97</v>
      </c>
      <c r="C103" s="60">
        <v>18.010000000000002</v>
      </c>
      <c r="D103" s="60">
        <v>20.98</v>
      </c>
      <c r="E103" s="60">
        <v>5.37</v>
      </c>
      <c r="F103" s="60">
        <v>0.37</v>
      </c>
      <c r="G103" s="60">
        <v>64.14</v>
      </c>
      <c r="H103" s="60">
        <v>26.48</v>
      </c>
      <c r="I103" s="60">
        <v>4.4400000000000004</v>
      </c>
      <c r="J103" s="60">
        <v>2.0699999999999998</v>
      </c>
      <c r="K103" s="60">
        <v>182.86</v>
      </c>
      <c r="L103" s="60">
        <v>35.090000000000003</v>
      </c>
      <c r="M103" s="60">
        <v>86.65</v>
      </c>
      <c r="N103" s="60">
        <v>654.79999999999995</v>
      </c>
      <c r="O103" s="60">
        <v>0</v>
      </c>
      <c r="P103" s="60">
        <v>2.2599999999999998</v>
      </c>
      <c r="Q103" s="60">
        <v>8.89</v>
      </c>
      <c r="R103" s="198"/>
      <c r="S103" s="198"/>
      <c r="T103" s="198"/>
      <c r="U103" s="198"/>
    </row>
    <row r="104" spans="1:21" s="12" customFormat="1" ht="15">
      <c r="A104" s="201" t="s">
        <v>2262</v>
      </c>
      <c r="B104" s="60">
        <v>2.85</v>
      </c>
      <c r="C104" s="60">
        <v>17.75</v>
      </c>
      <c r="D104" s="60">
        <v>20.60</v>
      </c>
      <c r="E104" s="60">
        <v>3.34</v>
      </c>
      <c r="F104" s="60">
        <v>0.09</v>
      </c>
      <c r="G104" s="60">
        <v>60.96</v>
      </c>
      <c r="H104" s="60">
        <v>26.64</v>
      </c>
      <c r="I104" s="60">
        <v>4.32</v>
      </c>
      <c r="J104" s="60">
        <v>2.80</v>
      </c>
      <c r="K104" s="60">
        <v>168</v>
      </c>
      <c r="L104" s="60">
        <v>35.07</v>
      </c>
      <c r="M104" s="60">
        <v>87.05</v>
      </c>
      <c r="N104" s="60">
        <v>490.30</v>
      </c>
      <c r="O104" s="60">
        <v>0</v>
      </c>
      <c r="P104" s="60">
        <v>2.25</v>
      </c>
      <c r="Q104" s="60">
        <v>8.75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0.28000000000000003</v>
      </c>
      <c r="C106" s="67">
        <f>MIN(C9:C104)</f>
        <v>11.779999999999999</v>
      </c>
      <c r="D106" s="67">
        <f t="shared" si="0" ref="D106:Q106">MIN(D9:D104)</f>
        <v>12.32</v>
      </c>
      <c r="E106" s="67">
        <f t="shared" si="0"/>
        <v>2.0099999999999998</v>
      </c>
      <c r="F106" s="67">
        <f t="shared" si="0"/>
        <v>0.089999999999999997</v>
      </c>
      <c r="G106" s="67">
        <f t="shared" si="0"/>
        <v>8.8900000000000006</v>
      </c>
      <c r="H106" s="67">
        <f t="shared" si="0"/>
        <v>6.1699999999999999</v>
      </c>
      <c r="I106" s="67">
        <f t="shared" si="0"/>
        <v>2.2000000000000002</v>
      </c>
      <c r="J106" s="67">
        <f t="shared" si="0"/>
        <v>0.080000000000000002</v>
      </c>
      <c r="K106" s="67">
        <f t="shared" si="0"/>
        <v>1.1599999999999999</v>
      </c>
      <c r="L106" s="67">
        <f t="shared" si="0"/>
        <v>28.899999999999999</v>
      </c>
      <c r="M106" s="67">
        <f t="shared" si="0"/>
        <v>64.989999999999995</v>
      </c>
      <c r="N106" s="67">
        <f t="shared" si="0"/>
        <v>415.10000000000002</v>
      </c>
      <c r="O106" s="67">
        <f t="shared" si="0"/>
        <v>0</v>
      </c>
      <c r="P106" s="67">
        <f t="shared" si="0"/>
        <v>1.9399999999999999</v>
      </c>
      <c r="Q106" s="67">
        <f t="shared" si="0"/>
        <v>5.7699999999999996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5.1799999999999997</v>
      </c>
      <c r="C107" s="66">
        <f t="shared" si="1" ref="C107:Q107">MAX(C9:C104)</f>
        <v>25.829999999999998</v>
      </c>
      <c r="D107" s="66">
        <f t="shared" si="1"/>
        <v>28.969999999999999</v>
      </c>
      <c r="E107" s="66">
        <f t="shared" si="1"/>
        <v>8.2699999999999996</v>
      </c>
      <c r="F107" s="66">
        <f t="shared" si="1"/>
        <v>3.4900000000000002</v>
      </c>
      <c r="G107" s="66">
        <f t="shared" si="1"/>
        <v>66.349999999999994</v>
      </c>
      <c r="H107" s="66">
        <f t="shared" si="1"/>
        <v>30.530000000000001</v>
      </c>
      <c r="I107" s="66">
        <f t="shared" si="1"/>
        <v>6.0899999999999999</v>
      </c>
      <c r="J107" s="66">
        <f t="shared" si="1"/>
        <v>3.0099999999999998</v>
      </c>
      <c r="K107" s="66">
        <f t="shared" si="1"/>
        <v>356.30000000000001</v>
      </c>
      <c r="L107" s="66">
        <f t="shared" si="1"/>
        <v>41.509999999999998</v>
      </c>
      <c r="M107" s="66">
        <f t="shared" si="1"/>
        <v>95.700000000000003</v>
      </c>
      <c r="N107" s="66">
        <f t="shared" si="1"/>
        <v>1472.5</v>
      </c>
      <c r="O107" s="66">
        <f t="shared" si="1"/>
        <v>0.59999999999999998</v>
      </c>
      <c r="P107" s="66">
        <f t="shared" si="1"/>
        <v>2.5099999999999998</v>
      </c>
      <c r="Q107" s="66">
        <f t="shared" si="1"/>
        <v>10.92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2.2803124999999991</v>
      </c>
      <c r="C108" s="67">
        <f t="shared" si="2" ref="C108:Q108">AVERAGE(C9:C104)</f>
        <v>18.060104166666665</v>
      </c>
      <c r="D108" s="67">
        <f t="shared" si="2"/>
        <v>20.34</v>
      </c>
      <c r="E108" s="67">
        <f t="shared" si="2"/>
        <v>5.1744791666666652</v>
      </c>
      <c r="F108" s="67">
        <f t="shared" si="2"/>
        <v>1.3566666666666671</v>
      </c>
      <c r="G108" s="67">
        <f t="shared" si="2"/>
        <v>44.421979166666659</v>
      </c>
      <c r="H108" s="67">
        <f t="shared" si="2"/>
        <v>16.863020833333334</v>
      </c>
      <c r="I108" s="67">
        <f t="shared" si="2"/>
        <v>3.9862500000000005</v>
      </c>
      <c r="J108" s="67">
        <f t="shared" si="2"/>
        <v>1.3214583333333325</v>
      </c>
      <c r="K108" s="67">
        <f t="shared" si="2"/>
        <v>222.45333333333326</v>
      </c>
      <c r="L108" s="67">
        <f t="shared" si="2"/>
        <v>34.665312499999985</v>
      </c>
      <c r="M108" s="67">
        <f t="shared" si="2"/>
        <v>82.46802083333337</v>
      </c>
      <c r="N108" s="67">
        <f t="shared" si="2"/>
        <v>743.390625</v>
      </c>
      <c r="O108" s="67">
        <f t="shared" si="2"/>
        <v>0.014583333333333332</v>
      </c>
      <c r="P108" s="67">
        <f t="shared" si="2"/>
        <v>2.2243750000000002</v>
      </c>
      <c r="Q108" s="67">
        <f t="shared" si="2"/>
        <v>8.6670833333333341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1.3532747440541182</v>
      </c>
      <c r="C109" s="67">
        <f t="shared" si="3" ref="C109:Q109">STDEV(C9:C104)</f>
        <v>3.6113891465725998</v>
      </c>
      <c r="D109" s="67">
        <f t="shared" si="3"/>
        <v>4.2918873286824679</v>
      </c>
      <c r="E109" s="67">
        <f t="shared" si="3"/>
        <v>1.1425731530574887</v>
      </c>
      <c r="F109" s="67">
        <f t="shared" si="3"/>
        <v>0.79172917574085822</v>
      </c>
      <c r="G109" s="67">
        <f t="shared" si="3"/>
        <v>20.690480476718225</v>
      </c>
      <c r="H109" s="67">
        <f t="shared" si="3"/>
        <v>7.3487376817621533</v>
      </c>
      <c r="I109" s="67">
        <f t="shared" si="3"/>
        <v>1.1082857792198937</v>
      </c>
      <c r="J109" s="67">
        <f t="shared" si="3"/>
        <v>0.71415018200385771</v>
      </c>
      <c r="K109" s="67">
        <f t="shared" si="3"/>
        <v>78.482966233265827</v>
      </c>
      <c r="L109" s="67">
        <f t="shared" si="3"/>
        <v>3.6836052000367738</v>
      </c>
      <c r="M109" s="67">
        <f t="shared" si="3"/>
        <v>9.7766208369266501</v>
      </c>
      <c r="N109" s="67">
        <f t="shared" si="3"/>
        <v>244.02397599119794</v>
      </c>
      <c r="O109" s="67">
        <f t="shared" si="3"/>
        <v>0.072517390533751017</v>
      </c>
      <c r="P109" s="67">
        <f t="shared" si="3"/>
        <v>0.16867790857757647</v>
      </c>
      <c r="Q109" s="67">
        <f t="shared" si="3"/>
        <v>1.203747583845562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ae07a4-08d7-46ab-879b-4aee0579327f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22-06-2022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2263</v>
      </c>
      <c r="B9" s="60">
        <v>2.73</v>
      </c>
      <c r="C9" s="60">
        <v>17.23</v>
      </c>
      <c r="D9" s="60">
        <v>19.96</v>
      </c>
      <c r="E9" s="60">
        <v>6.94</v>
      </c>
      <c r="F9" s="60">
        <v>0.75</v>
      </c>
      <c r="G9" s="60">
        <v>59.32</v>
      </c>
      <c r="H9" s="60">
        <v>26.76</v>
      </c>
      <c r="I9" s="60">
        <v>4.20</v>
      </c>
      <c r="J9" s="60">
        <v>2.0499999999999998</v>
      </c>
      <c r="K9" s="60">
        <v>185.64</v>
      </c>
      <c r="L9" s="60">
        <v>35</v>
      </c>
      <c r="M9" s="60">
        <v>87.39</v>
      </c>
      <c r="N9" s="60">
        <v>486.30</v>
      </c>
      <c r="O9" s="60">
        <v>0</v>
      </c>
      <c r="P9" s="60">
        <v>2.2400000000000002</v>
      </c>
      <c r="Q9" s="60">
        <v>8.4499999999999993</v>
      </c>
      <c r="R9" s="198"/>
      <c r="S9" s="198"/>
      <c r="T9" s="198"/>
      <c r="U9" s="198"/>
    </row>
    <row r="10" spans="1:21" s="12" customFormat="1" ht="15">
      <c r="A10" s="201" t="s">
        <v>2264</v>
      </c>
      <c r="B10" s="60">
        <v>2.5</v>
      </c>
      <c r="C10" s="60">
        <v>16.53</v>
      </c>
      <c r="D10" s="60">
        <v>19.02</v>
      </c>
      <c r="E10" s="60">
        <v>6.49</v>
      </c>
      <c r="F10" s="60">
        <v>0.66</v>
      </c>
      <c r="G10" s="60">
        <v>59.32</v>
      </c>
      <c r="H10" s="60">
        <v>26.76</v>
      </c>
      <c r="I10" s="60">
        <v>4.12</v>
      </c>
      <c r="J10" s="60">
        <v>1.83</v>
      </c>
      <c r="K10" s="60">
        <v>223.93</v>
      </c>
      <c r="L10" s="60">
        <v>34.76</v>
      </c>
      <c r="M10" s="60">
        <v>88.41</v>
      </c>
      <c r="N10" s="60">
        <v>508.90</v>
      </c>
      <c r="O10" s="60">
        <v>0</v>
      </c>
      <c r="P10" s="60">
        <v>2.2200000000000002</v>
      </c>
      <c r="Q10" s="60">
        <v>8.25</v>
      </c>
      <c r="R10" s="198"/>
      <c r="S10" s="198"/>
      <c r="T10" s="198"/>
      <c r="U10" s="198"/>
    </row>
    <row r="11" spans="1:21" s="12" customFormat="1" ht="15">
      <c r="A11" s="201" t="s">
        <v>2265</v>
      </c>
      <c r="B11" s="60">
        <v>2.33</v>
      </c>
      <c r="C11" s="60">
        <v>15.97</v>
      </c>
      <c r="D11" s="60">
        <v>18.30</v>
      </c>
      <c r="E11" s="60">
        <v>6.48</v>
      </c>
      <c r="F11" s="60">
        <v>0.65</v>
      </c>
      <c r="G11" s="60">
        <v>59.32</v>
      </c>
      <c r="H11" s="60">
        <v>26.76</v>
      </c>
      <c r="I11" s="60">
        <v>4.03</v>
      </c>
      <c r="J11" s="60">
        <v>1.74</v>
      </c>
      <c r="K11" s="60">
        <v>181.79</v>
      </c>
      <c r="L11" s="60">
        <v>34.5</v>
      </c>
      <c r="M11" s="60">
        <v>90.02</v>
      </c>
      <c r="N11" s="60">
        <v>523.90</v>
      </c>
      <c r="O11" s="60">
        <v>0</v>
      </c>
      <c r="P11" s="60">
        <v>2.21</v>
      </c>
      <c r="Q11" s="60">
        <v>8.14</v>
      </c>
      <c r="R11" s="198"/>
      <c r="S11" s="198"/>
      <c r="T11" s="198"/>
      <c r="U11" s="198"/>
    </row>
    <row r="12" spans="1:21" s="12" customFormat="1" ht="15">
      <c r="A12" s="201" t="s">
        <v>2266</v>
      </c>
      <c r="B12" s="60">
        <v>2.34</v>
      </c>
      <c r="C12" s="60">
        <v>15.59</v>
      </c>
      <c r="D12" s="60">
        <v>17.93</v>
      </c>
      <c r="E12" s="60">
        <v>6.16</v>
      </c>
      <c r="F12" s="60">
        <v>0.79</v>
      </c>
      <c r="G12" s="60">
        <v>56.83</v>
      </c>
      <c r="H12" s="60">
        <v>23.94</v>
      </c>
      <c r="I12" s="60">
        <v>3.95</v>
      </c>
      <c r="J12" s="60">
        <v>1.84</v>
      </c>
      <c r="K12" s="60">
        <v>225.86</v>
      </c>
      <c r="L12" s="60">
        <v>34.229999999999997</v>
      </c>
      <c r="M12" s="60">
        <v>91.14</v>
      </c>
      <c r="N12" s="60">
        <v>517.70000000000005</v>
      </c>
      <c r="O12" s="60">
        <v>0</v>
      </c>
      <c r="P12" s="60">
        <v>2.19</v>
      </c>
      <c r="Q12" s="60">
        <v>7.99</v>
      </c>
      <c r="R12" s="198"/>
      <c r="S12" s="198"/>
      <c r="T12" s="198"/>
      <c r="U12" s="198"/>
    </row>
    <row r="13" spans="1:21" s="12" customFormat="1" ht="15">
      <c r="A13" s="201" t="s">
        <v>2267</v>
      </c>
      <c r="B13" s="60">
        <v>2.5499999999999998</v>
      </c>
      <c r="C13" s="60">
        <v>14.58</v>
      </c>
      <c r="D13" s="60">
        <v>17.14</v>
      </c>
      <c r="E13" s="60">
        <v>6.67</v>
      </c>
      <c r="F13" s="60">
        <v>0.74</v>
      </c>
      <c r="G13" s="60">
        <v>55.58</v>
      </c>
      <c r="H13" s="60">
        <v>21.98</v>
      </c>
      <c r="I13" s="60">
        <v>3.84</v>
      </c>
      <c r="J13" s="60">
        <v>1.63</v>
      </c>
      <c r="K13" s="60">
        <v>213.98</v>
      </c>
      <c r="L13" s="60">
        <v>34.159999999999997</v>
      </c>
      <c r="M13" s="60">
        <v>91.47</v>
      </c>
      <c r="N13" s="60">
        <v>567.40</v>
      </c>
      <c r="O13" s="60">
        <v>0</v>
      </c>
      <c r="P13" s="60">
        <v>2.19</v>
      </c>
      <c r="Q13" s="60">
        <v>7.75</v>
      </c>
      <c r="R13" s="198"/>
      <c r="S13" s="198"/>
      <c r="T13" s="198"/>
      <c r="U13" s="198"/>
    </row>
    <row r="14" spans="1:21" s="12" customFormat="1" ht="15">
      <c r="A14" s="201" t="s">
        <v>2268</v>
      </c>
      <c r="B14" s="60">
        <v>2.83</v>
      </c>
      <c r="C14" s="60">
        <v>14.02</v>
      </c>
      <c r="D14" s="60">
        <v>16.850000000000001</v>
      </c>
      <c r="E14" s="60">
        <v>7.15</v>
      </c>
      <c r="F14" s="60">
        <v>0.51</v>
      </c>
      <c r="G14" s="60">
        <v>55.58</v>
      </c>
      <c r="H14" s="60">
        <v>21.98</v>
      </c>
      <c r="I14" s="60">
        <v>3.76</v>
      </c>
      <c r="J14" s="60">
        <v>1.43</v>
      </c>
      <c r="K14" s="60">
        <v>192.48</v>
      </c>
      <c r="L14" s="60">
        <v>34.229999999999997</v>
      </c>
      <c r="M14" s="60">
        <v>90.95</v>
      </c>
      <c r="N14" s="60">
        <v>510.20</v>
      </c>
      <c r="O14" s="60">
        <v>0</v>
      </c>
      <c r="P14" s="60">
        <v>2.19</v>
      </c>
      <c r="Q14" s="60">
        <v>7.25</v>
      </c>
      <c r="R14" s="198"/>
      <c r="S14" s="198"/>
      <c r="T14" s="198"/>
      <c r="U14" s="198"/>
    </row>
    <row r="15" spans="1:21" s="12" customFormat="1" ht="15">
      <c r="A15" s="201" t="s">
        <v>2269</v>
      </c>
      <c r="B15" s="60">
        <v>3.10</v>
      </c>
      <c r="C15" s="60">
        <v>13.61</v>
      </c>
      <c r="D15" s="60">
        <v>16.71</v>
      </c>
      <c r="E15" s="60">
        <v>7.36</v>
      </c>
      <c r="F15" s="60">
        <v>0.45</v>
      </c>
      <c r="G15" s="60">
        <v>55.58</v>
      </c>
      <c r="H15" s="60">
        <v>21.98</v>
      </c>
      <c r="I15" s="60">
        <v>3.88</v>
      </c>
      <c r="J15" s="60">
        <v>0.72</v>
      </c>
      <c r="K15" s="60">
        <v>260.92</v>
      </c>
      <c r="L15" s="60">
        <v>34.22</v>
      </c>
      <c r="M15" s="60">
        <v>90.90</v>
      </c>
      <c r="N15" s="60">
        <v>640.60</v>
      </c>
      <c r="O15" s="60">
        <v>0</v>
      </c>
      <c r="P15" s="60">
        <v>2.1800000000000002</v>
      </c>
      <c r="Q15" s="60">
        <v>6.99</v>
      </c>
      <c r="R15" s="198"/>
      <c r="S15" s="198"/>
      <c r="T15" s="198"/>
      <c r="U15" s="198"/>
    </row>
    <row r="16" spans="1:21" s="12" customFormat="1" ht="15">
      <c r="A16" s="201" t="s">
        <v>2270</v>
      </c>
      <c r="B16" s="60">
        <v>3.32</v>
      </c>
      <c r="C16" s="60">
        <v>13.33</v>
      </c>
      <c r="D16" s="60">
        <v>16.649999999999999</v>
      </c>
      <c r="E16" s="60">
        <v>7.73</v>
      </c>
      <c r="F16" s="60">
        <v>0.33</v>
      </c>
      <c r="G16" s="60">
        <v>52.99</v>
      </c>
      <c r="H16" s="60">
        <v>22.06</v>
      </c>
      <c r="I16" s="60">
        <v>3.87</v>
      </c>
      <c r="J16" s="60">
        <v>0.16</v>
      </c>
      <c r="K16" s="60">
        <v>22.94</v>
      </c>
      <c r="L16" s="60">
        <v>34.24</v>
      </c>
      <c r="M16" s="60">
        <v>90.52</v>
      </c>
      <c r="N16" s="60">
        <v>602.70000000000005</v>
      </c>
      <c r="O16" s="60">
        <v>0</v>
      </c>
      <c r="P16" s="60">
        <v>2.17</v>
      </c>
      <c r="Q16" s="60">
        <v>6.89</v>
      </c>
      <c r="R16" s="198"/>
      <c r="S16" s="198"/>
      <c r="T16" s="198"/>
      <c r="U16" s="198"/>
    </row>
    <row r="17" spans="1:21" s="12" customFormat="1" ht="15">
      <c r="A17" s="201" t="s">
        <v>2271</v>
      </c>
      <c r="B17" s="60">
        <v>3.42</v>
      </c>
      <c r="C17" s="60">
        <v>13.08</v>
      </c>
      <c r="D17" s="60">
        <v>16.5</v>
      </c>
      <c r="E17" s="60">
        <v>7.74</v>
      </c>
      <c r="F17" s="60">
        <v>0.5</v>
      </c>
      <c r="G17" s="60">
        <v>52.17</v>
      </c>
      <c r="H17" s="60">
        <v>22.12</v>
      </c>
      <c r="I17" s="60">
        <v>3.89</v>
      </c>
      <c r="J17" s="60">
        <v>1.0900000000000001</v>
      </c>
      <c r="K17" s="60">
        <v>218.05</v>
      </c>
      <c r="L17" s="60">
        <v>34.299999999999997</v>
      </c>
      <c r="M17" s="60">
        <v>89.87</v>
      </c>
      <c r="N17" s="60">
        <v>654.70000000000005</v>
      </c>
      <c r="O17" s="60">
        <v>0</v>
      </c>
      <c r="P17" s="60">
        <v>2.16</v>
      </c>
      <c r="Q17" s="60">
        <v>6.82</v>
      </c>
      <c r="R17" s="198"/>
      <c r="S17" s="198"/>
      <c r="T17" s="198"/>
      <c r="U17" s="198"/>
    </row>
    <row r="18" spans="1:21" s="12" customFormat="1" ht="15">
      <c r="A18" s="201" t="s">
        <v>2272</v>
      </c>
      <c r="B18" s="60">
        <v>3.47</v>
      </c>
      <c r="C18" s="60">
        <v>12.96</v>
      </c>
      <c r="D18" s="60">
        <v>16.43</v>
      </c>
      <c r="E18" s="60">
        <v>7.67</v>
      </c>
      <c r="F18" s="60">
        <v>0.73</v>
      </c>
      <c r="G18" s="60">
        <v>52.17</v>
      </c>
      <c r="H18" s="60">
        <v>22.12</v>
      </c>
      <c r="I18" s="60">
        <v>3.94</v>
      </c>
      <c r="J18" s="60">
        <v>1.32</v>
      </c>
      <c r="K18" s="60">
        <v>222.06</v>
      </c>
      <c r="L18" s="60">
        <v>34.25</v>
      </c>
      <c r="M18" s="60">
        <v>90.06</v>
      </c>
      <c r="N18" s="60">
        <v>735.40</v>
      </c>
      <c r="O18" s="60">
        <v>0</v>
      </c>
      <c r="P18" s="60">
        <v>2.15</v>
      </c>
      <c r="Q18" s="60">
        <v>6.75</v>
      </c>
      <c r="R18" s="198"/>
      <c r="S18" s="198"/>
      <c r="T18" s="198"/>
      <c r="U18" s="198"/>
    </row>
    <row r="19" spans="1:21" s="12" customFormat="1" ht="15">
      <c r="A19" s="201" t="s">
        <v>2273</v>
      </c>
      <c r="B19" s="60">
        <v>3.55</v>
      </c>
      <c r="C19" s="60">
        <v>13.14</v>
      </c>
      <c r="D19" s="60">
        <v>16.690000000000001</v>
      </c>
      <c r="E19" s="60">
        <v>7.88</v>
      </c>
      <c r="F19" s="60">
        <v>0.40</v>
      </c>
      <c r="G19" s="60">
        <v>52.17</v>
      </c>
      <c r="H19" s="60">
        <v>22.12</v>
      </c>
      <c r="I19" s="60">
        <v>3.89</v>
      </c>
      <c r="J19" s="60">
        <v>1.57</v>
      </c>
      <c r="K19" s="60">
        <v>210.38</v>
      </c>
      <c r="L19" s="60">
        <v>34.15</v>
      </c>
      <c r="M19" s="60">
        <v>90.49</v>
      </c>
      <c r="N19" s="60">
        <v>801.5</v>
      </c>
      <c r="O19" s="60">
        <v>0</v>
      </c>
      <c r="P19" s="60">
        <v>2.14</v>
      </c>
      <c r="Q19" s="60">
        <v>6.87</v>
      </c>
      <c r="R19" s="198"/>
      <c r="S19" s="198"/>
      <c r="T19" s="198"/>
      <c r="U19" s="198"/>
    </row>
    <row r="20" spans="1:21" s="12" customFormat="1" ht="15">
      <c r="A20" s="201" t="s">
        <v>2274</v>
      </c>
      <c r="B20" s="60">
        <v>3.46</v>
      </c>
      <c r="C20" s="60">
        <v>13.47</v>
      </c>
      <c r="D20" s="60">
        <v>16.93</v>
      </c>
      <c r="E20" s="60">
        <v>7.98</v>
      </c>
      <c r="F20" s="60">
        <v>0.37</v>
      </c>
      <c r="G20" s="60">
        <v>48.16</v>
      </c>
      <c r="H20" s="60">
        <v>19.14</v>
      </c>
      <c r="I20" s="60">
        <v>3.84</v>
      </c>
      <c r="J20" s="60">
        <v>0.59</v>
      </c>
      <c r="K20" s="60">
        <v>358.34</v>
      </c>
      <c r="L20" s="60">
        <v>34.119999999999997</v>
      </c>
      <c r="M20" s="60">
        <v>90.57</v>
      </c>
      <c r="N20" s="60">
        <v>883.40</v>
      </c>
      <c r="O20" s="60">
        <v>0</v>
      </c>
      <c r="P20" s="60">
        <v>2.13</v>
      </c>
      <c r="Q20" s="60">
        <v>7.14</v>
      </c>
      <c r="R20" s="198"/>
      <c r="S20" s="198"/>
      <c r="T20" s="198"/>
      <c r="U20" s="198"/>
    </row>
    <row r="21" spans="1:21" s="12" customFormat="1" ht="15">
      <c r="A21" s="201" t="s">
        <v>2275</v>
      </c>
      <c r="B21" s="60">
        <v>3.15</v>
      </c>
      <c r="C21" s="60">
        <v>13.42</v>
      </c>
      <c r="D21" s="60">
        <v>16.57</v>
      </c>
      <c r="E21" s="60">
        <v>7.5</v>
      </c>
      <c r="F21" s="60">
        <v>0.44</v>
      </c>
      <c r="G21" s="60">
        <v>46.90</v>
      </c>
      <c r="H21" s="60">
        <v>16.96</v>
      </c>
      <c r="I21" s="60">
        <v>3.87</v>
      </c>
      <c r="J21" s="60">
        <v>0.32</v>
      </c>
      <c r="K21" s="60">
        <v>302.38</v>
      </c>
      <c r="L21" s="60">
        <v>34.07</v>
      </c>
      <c r="M21" s="60">
        <v>90.72</v>
      </c>
      <c r="N21" s="60">
        <v>831</v>
      </c>
      <c r="O21" s="60">
        <v>0</v>
      </c>
      <c r="P21" s="60">
        <v>2.11</v>
      </c>
      <c r="Q21" s="60">
        <v>7.32</v>
      </c>
      <c r="R21" s="198"/>
      <c r="S21" s="198"/>
      <c r="T21" s="198"/>
      <c r="U21" s="198"/>
    </row>
    <row r="22" spans="1:21" s="12" customFormat="1" ht="15">
      <c r="A22" s="201" t="s">
        <v>2276</v>
      </c>
      <c r="B22" s="60">
        <v>2.85</v>
      </c>
      <c r="C22" s="60">
        <v>13.32</v>
      </c>
      <c r="D22" s="60">
        <v>16.170000000000002</v>
      </c>
      <c r="E22" s="60">
        <v>7.73</v>
      </c>
      <c r="F22" s="60">
        <v>0.39</v>
      </c>
      <c r="G22" s="60">
        <v>46.90</v>
      </c>
      <c r="H22" s="60">
        <v>16.96</v>
      </c>
      <c r="I22" s="60">
        <v>3.74</v>
      </c>
      <c r="J22" s="60">
        <v>0.78</v>
      </c>
      <c r="K22" s="60">
        <v>218.87</v>
      </c>
      <c r="L22" s="60">
        <v>34.04</v>
      </c>
      <c r="M22" s="60">
        <v>91.13</v>
      </c>
      <c r="N22" s="60">
        <v>833.40</v>
      </c>
      <c r="O22" s="60">
        <v>0</v>
      </c>
      <c r="P22" s="60">
        <v>2.10</v>
      </c>
      <c r="Q22" s="60">
        <v>7.52</v>
      </c>
      <c r="R22" s="198"/>
      <c r="S22" s="198"/>
      <c r="T22" s="198"/>
      <c r="U22" s="198"/>
    </row>
    <row r="23" spans="1:21" s="12" customFormat="1" ht="15">
      <c r="A23" s="201" t="s">
        <v>2277</v>
      </c>
      <c r="B23" s="60">
        <v>2.59</v>
      </c>
      <c r="C23" s="60">
        <v>13.39</v>
      </c>
      <c r="D23" s="60">
        <v>15.98</v>
      </c>
      <c r="E23" s="60">
        <v>7.25</v>
      </c>
      <c r="F23" s="60">
        <v>0.38</v>
      </c>
      <c r="G23" s="60">
        <v>46.90</v>
      </c>
      <c r="H23" s="60">
        <v>16.96</v>
      </c>
      <c r="I23" s="60">
        <v>3.59</v>
      </c>
      <c r="J23" s="60">
        <v>1.53</v>
      </c>
      <c r="K23" s="60">
        <v>236.32</v>
      </c>
      <c r="L23" s="60">
        <v>33.97</v>
      </c>
      <c r="M23" s="60">
        <v>91.02</v>
      </c>
      <c r="N23" s="60">
        <v>870.10</v>
      </c>
      <c r="O23" s="60">
        <v>0</v>
      </c>
      <c r="P23" s="60">
        <v>2.10</v>
      </c>
      <c r="Q23" s="60">
        <v>7.62</v>
      </c>
      <c r="R23" s="198"/>
      <c r="S23" s="198"/>
      <c r="T23" s="198"/>
      <c r="U23" s="198"/>
    </row>
    <row r="24" spans="1:21" s="12" customFormat="1" ht="15">
      <c r="A24" s="201" t="s">
        <v>2278</v>
      </c>
      <c r="B24" s="60">
        <v>2.38</v>
      </c>
      <c r="C24" s="60">
        <v>13.51</v>
      </c>
      <c r="D24" s="60">
        <v>15.89</v>
      </c>
      <c r="E24" s="60">
        <v>3.43</v>
      </c>
      <c r="F24" s="60">
        <v>0.57999999999999996</v>
      </c>
      <c r="G24" s="60">
        <v>35.08</v>
      </c>
      <c r="H24" s="60">
        <v>14.40</v>
      </c>
      <c r="I24" s="60">
        <v>3.47</v>
      </c>
      <c r="J24" s="60">
        <v>1.61</v>
      </c>
      <c r="K24" s="60">
        <v>231.84</v>
      </c>
      <c r="L24" s="60">
        <v>33.909999999999997</v>
      </c>
      <c r="M24" s="60">
        <v>91.21</v>
      </c>
      <c r="N24" s="60">
        <v>850.10</v>
      </c>
      <c r="O24" s="60">
        <v>0</v>
      </c>
      <c r="P24" s="60">
        <v>2.08</v>
      </c>
      <c r="Q24" s="60">
        <v>7.61</v>
      </c>
      <c r="R24" s="198"/>
      <c r="S24" s="198"/>
      <c r="T24" s="198"/>
      <c r="U24" s="198"/>
    </row>
    <row r="25" spans="1:21" s="12" customFormat="1" ht="15">
      <c r="A25" s="201" t="s">
        <v>2279</v>
      </c>
      <c r="B25" s="60">
        <v>2.17</v>
      </c>
      <c r="C25" s="60">
        <v>13.37</v>
      </c>
      <c r="D25" s="60">
        <v>15.54</v>
      </c>
      <c r="E25" s="60">
        <v>6.13</v>
      </c>
      <c r="F25" s="60">
        <v>0.65</v>
      </c>
      <c r="G25" s="60">
        <v>31.37</v>
      </c>
      <c r="H25" s="60">
        <v>12.53</v>
      </c>
      <c r="I25" s="60">
        <v>3.34</v>
      </c>
      <c r="J25" s="60">
        <v>0.57999999999999996</v>
      </c>
      <c r="K25" s="60">
        <v>237.19</v>
      </c>
      <c r="L25" s="60">
        <v>33.770000000000003</v>
      </c>
      <c r="M25" s="60">
        <v>91.75</v>
      </c>
      <c r="N25" s="60">
        <v>726.10</v>
      </c>
      <c r="O25" s="60">
        <v>0</v>
      </c>
      <c r="P25" s="60">
        <v>2.0699999999999998</v>
      </c>
      <c r="Q25" s="60">
        <v>7.45</v>
      </c>
      <c r="R25" s="198"/>
      <c r="S25" s="198"/>
      <c r="T25" s="198"/>
      <c r="U25" s="198"/>
    </row>
    <row r="26" spans="1:21" s="12" customFormat="1" ht="15">
      <c r="A26" s="201" t="s">
        <v>2280</v>
      </c>
      <c r="B26" s="60">
        <v>2.04</v>
      </c>
      <c r="C26" s="60">
        <v>13.10</v>
      </c>
      <c r="D26" s="60">
        <v>15.15</v>
      </c>
      <c r="E26" s="60">
        <v>6</v>
      </c>
      <c r="F26" s="60">
        <v>0.59</v>
      </c>
      <c r="G26" s="60">
        <v>31.37</v>
      </c>
      <c r="H26" s="60">
        <v>12.53</v>
      </c>
      <c r="I26" s="60">
        <v>3.25</v>
      </c>
      <c r="J26" s="60">
        <v>0.56000000000000005</v>
      </c>
      <c r="K26" s="60">
        <v>230.98</v>
      </c>
      <c r="L26" s="60">
        <v>33.68</v>
      </c>
      <c r="M26" s="60">
        <v>91.31</v>
      </c>
      <c r="N26" s="60">
        <v>811.90</v>
      </c>
      <c r="O26" s="60">
        <v>0</v>
      </c>
      <c r="P26" s="60">
        <v>2.06</v>
      </c>
      <c r="Q26" s="60">
        <v>7.37</v>
      </c>
      <c r="R26" s="198"/>
      <c r="S26" s="198"/>
      <c r="T26" s="198"/>
      <c r="U26" s="198"/>
    </row>
    <row r="27" spans="1:21" s="12" customFormat="1" ht="15">
      <c r="A27" s="201" t="s">
        <v>2281</v>
      </c>
      <c r="B27" s="60">
        <v>2.0099999999999998</v>
      </c>
      <c r="C27" s="60">
        <v>13.40</v>
      </c>
      <c r="D27" s="60">
        <v>15.41</v>
      </c>
      <c r="E27" s="60">
        <v>5.86</v>
      </c>
      <c r="F27" s="60">
        <v>0.67</v>
      </c>
      <c r="G27" s="60">
        <v>31.37</v>
      </c>
      <c r="H27" s="60">
        <v>12.53</v>
      </c>
      <c r="I27" s="60">
        <v>3.13</v>
      </c>
      <c r="J27" s="60">
        <v>0.49</v>
      </c>
      <c r="K27" s="60">
        <v>341.12</v>
      </c>
      <c r="L27" s="60">
        <v>33.67</v>
      </c>
      <c r="M27" s="60">
        <v>90.63</v>
      </c>
      <c r="N27" s="60">
        <v>734.70</v>
      </c>
      <c r="O27" s="60">
        <v>0</v>
      </c>
      <c r="P27" s="60">
        <v>2.0499999999999998</v>
      </c>
      <c r="Q27" s="60">
        <v>7.41</v>
      </c>
      <c r="R27" s="198"/>
      <c r="S27" s="198"/>
      <c r="T27" s="198"/>
      <c r="U27" s="198"/>
    </row>
    <row r="28" spans="1:21" s="12" customFormat="1" ht="15">
      <c r="A28" s="201" t="s">
        <v>2282</v>
      </c>
      <c r="B28" s="60">
        <v>2.2599999999999998</v>
      </c>
      <c r="C28" s="60">
        <v>13.71</v>
      </c>
      <c r="D28" s="60">
        <v>15.97</v>
      </c>
      <c r="E28" s="60">
        <v>5.90</v>
      </c>
      <c r="F28" s="60">
        <v>0.68</v>
      </c>
      <c r="G28" s="60">
        <v>28.29</v>
      </c>
      <c r="H28" s="60">
        <v>12.28</v>
      </c>
      <c r="I28" s="60">
        <v>3.04</v>
      </c>
      <c r="J28" s="60">
        <v>0.47</v>
      </c>
      <c r="K28" s="60">
        <v>18.38</v>
      </c>
      <c r="L28" s="60">
        <v>33.67</v>
      </c>
      <c r="M28" s="60">
        <v>90.34</v>
      </c>
      <c r="N28" s="60">
        <v>781.60</v>
      </c>
      <c r="O28" s="60">
        <v>0</v>
      </c>
      <c r="P28" s="60">
        <v>2.06</v>
      </c>
      <c r="Q28" s="60">
        <v>7.60</v>
      </c>
      <c r="R28" s="198"/>
      <c r="S28" s="198"/>
      <c r="T28" s="198"/>
      <c r="U28" s="198"/>
    </row>
    <row r="29" spans="1:21" s="12" customFormat="1" ht="15">
      <c r="A29" s="201" t="s">
        <v>2283</v>
      </c>
      <c r="B29" s="60">
        <v>2.68</v>
      </c>
      <c r="C29" s="60">
        <v>14.44</v>
      </c>
      <c r="D29" s="60">
        <v>17.12</v>
      </c>
      <c r="E29" s="60">
        <v>6.01</v>
      </c>
      <c r="F29" s="60">
        <v>0.39</v>
      </c>
      <c r="G29" s="60">
        <v>27.32</v>
      </c>
      <c r="H29" s="60">
        <v>12.09</v>
      </c>
      <c r="I29" s="60">
        <v>3.03</v>
      </c>
      <c r="J29" s="60">
        <v>0.78</v>
      </c>
      <c r="K29" s="60">
        <v>235.38</v>
      </c>
      <c r="L29" s="60">
        <v>33.64</v>
      </c>
      <c r="M29" s="60">
        <v>90.03</v>
      </c>
      <c r="N29" s="60">
        <v>774.70</v>
      </c>
      <c r="O29" s="60">
        <v>0</v>
      </c>
      <c r="P29" s="60">
        <v>2.0699999999999998</v>
      </c>
      <c r="Q29" s="60">
        <v>7.82</v>
      </c>
      <c r="R29" s="198"/>
      <c r="S29" s="198"/>
      <c r="T29" s="198"/>
      <c r="U29" s="198"/>
    </row>
    <row r="30" spans="1:21" s="12" customFormat="1" ht="15">
      <c r="A30" s="201" t="s">
        <v>2284</v>
      </c>
      <c r="B30" s="60">
        <v>2.73</v>
      </c>
      <c r="C30" s="60">
        <v>14.24</v>
      </c>
      <c r="D30" s="60">
        <v>16.97</v>
      </c>
      <c r="E30" s="60">
        <v>5.99</v>
      </c>
      <c r="F30" s="60">
        <v>0.53</v>
      </c>
      <c r="G30" s="60">
        <v>27.32</v>
      </c>
      <c r="H30" s="60">
        <v>12.09</v>
      </c>
      <c r="I30" s="60">
        <v>3.05</v>
      </c>
      <c r="J30" s="60">
        <v>1.36</v>
      </c>
      <c r="K30" s="60">
        <v>238.03</v>
      </c>
      <c r="L30" s="60">
        <v>33.49</v>
      </c>
      <c r="M30" s="60">
        <v>90.65</v>
      </c>
      <c r="N30" s="60">
        <v>675.20</v>
      </c>
      <c r="O30" s="60">
        <v>0</v>
      </c>
      <c r="P30" s="60">
        <v>2.0699999999999998</v>
      </c>
      <c r="Q30" s="60">
        <v>7.70</v>
      </c>
      <c r="R30" s="198"/>
      <c r="S30" s="198"/>
      <c r="T30" s="198"/>
      <c r="U30" s="198"/>
    </row>
    <row r="31" spans="1:21" s="12" customFormat="1" ht="15">
      <c r="A31" s="201" t="s">
        <v>2285</v>
      </c>
      <c r="B31" s="60">
        <v>2.98</v>
      </c>
      <c r="C31" s="60">
        <v>14.32</v>
      </c>
      <c r="D31" s="60">
        <v>17.30</v>
      </c>
      <c r="E31" s="60">
        <v>6.25</v>
      </c>
      <c r="F31" s="60">
        <v>0.44</v>
      </c>
      <c r="G31" s="60">
        <v>27.32</v>
      </c>
      <c r="H31" s="60">
        <v>12.09</v>
      </c>
      <c r="I31" s="60">
        <v>3.27</v>
      </c>
      <c r="J31" s="60">
        <v>0.83</v>
      </c>
      <c r="K31" s="60">
        <v>252.90</v>
      </c>
      <c r="L31" s="60">
        <v>33.49</v>
      </c>
      <c r="M31" s="60">
        <v>90.37</v>
      </c>
      <c r="N31" s="60">
        <v>749.10</v>
      </c>
      <c r="O31" s="60">
        <v>0</v>
      </c>
      <c r="P31" s="60">
        <v>2.09</v>
      </c>
      <c r="Q31" s="60">
        <v>7.43</v>
      </c>
      <c r="R31" s="198"/>
      <c r="S31" s="198"/>
      <c r="T31" s="198"/>
      <c r="U31" s="198"/>
    </row>
    <row r="32" spans="1:21" s="12" customFormat="1" ht="15">
      <c r="A32" s="201" t="s">
        <v>2286</v>
      </c>
      <c r="B32" s="60">
        <v>3.44</v>
      </c>
      <c r="C32" s="60">
        <v>14.42</v>
      </c>
      <c r="D32" s="60">
        <v>17.850000000000001</v>
      </c>
      <c r="E32" s="60">
        <v>5.90</v>
      </c>
      <c r="F32" s="60">
        <v>0.19</v>
      </c>
      <c r="G32" s="60">
        <v>31.83</v>
      </c>
      <c r="H32" s="60">
        <v>12.80</v>
      </c>
      <c r="I32" s="60">
        <v>3.47</v>
      </c>
      <c r="J32" s="60">
        <v>0.88</v>
      </c>
      <c r="K32" s="60">
        <v>244.03</v>
      </c>
      <c r="L32" s="60">
        <v>33.71</v>
      </c>
      <c r="M32" s="60">
        <v>89.23</v>
      </c>
      <c r="N32" s="60">
        <v>678.60</v>
      </c>
      <c r="O32" s="60">
        <v>0</v>
      </c>
      <c r="P32" s="60">
        <v>2.11</v>
      </c>
      <c r="Q32" s="60">
        <v>7.18</v>
      </c>
      <c r="R32" s="198"/>
      <c r="S32" s="198"/>
      <c r="T32" s="198"/>
      <c r="U32" s="198"/>
    </row>
    <row r="33" spans="1:21" s="12" customFormat="1" ht="15">
      <c r="A33" s="201" t="s">
        <v>2287</v>
      </c>
      <c r="B33" s="60">
        <v>3.95</v>
      </c>
      <c r="C33" s="60">
        <v>14.33</v>
      </c>
      <c r="D33" s="60">
        <v>18.27</v>
      </c>
      <c r="E33" s="60">
        <v>6.54</v>
      </c>
      <c r="F33" s="60">
        <v>0.49</v>
      </c>
      <c r="G33" s="60">
        <v>34.17</v>
      </c>
      <c r="H33" s="60">
        <v>13.32</v>
      </c>
      <c r="I33" s="60">
        <v>3.61</v>
      </c>
      <c r="J33" s="60">
        <v>0.76</v>
      </c>
      <c r="K33" s="60">
        <v>234.10</v>
      </c>
      <c r="L33" s="60">
        <v>34</v>
      </c>
      <c r="M33" s="60">
        <v>87.57</v>
      </c>
      <c r="N33" s="60">
        <v>714.20</v>
      </c>
      <c r="O33" s="60">
        <v>0</v>
      </c>
      <c r="P33" s="60">
        <v>2.11</v>
      </c>
      <c r="Q33" s="60">
        <v>7.07</v>
      </c>
      <c r="R33" s="198"/>
      <c r="S33" s="198"/>
      <c r="T33" s="198"/>
      <c r="U33" s="198"/>
    </row>
    <row r="34" spans="1:21" s="12" customFormat="1" ht="15">
      <c r="A34" s="201" t="s">
        <v>2288</v>
      </c>
      <c r="B34" s="60">
        <v>4.70</v>
      </c>
      <c r="C34" s="60">
        <v>14.78</v>
      </c>
      <c r="D34" s="60">
        <v>19.48</v>
      </c>
      <c r="E34" s="60">
        <v>6.05</v>
      </c>
      <c r="F34" s="60">
        <v>0.51</v>
      </c>
      <c r="G34" s="60">
        <v>34.17</v>
      </c>
      <c r="H34" s="60">
        <v>13.32</v>
      </c>
      <c r="I34" s="60">
        <v>3.90</v>
      </c>
      <c r="J34" s="60">
        <v>0.36</v>
      </c>
      <c r="K34" s="60">
        <v>356.62</v>
      </c>
      <c r="L34" s="60">
        <v>34.58</v>
      </c>
      <c r="M34" s="60">
        <v>85.33</v>
      </c>
      <c r="N34" s="60">
        <v>844.10</v>
      </c>
      <c r="O34" s="60">
        <v>0</v>
      </c>
      <c r="P34" s="60">
        <v>2.14</v>
      </c>
      <c r="Q34" s="60">
        <v>7.30</v>
      </c>
      <c r="R34" s="198"/>
      <c r="S34" s="198"/>
      <c r="T34" s="198"/>
      <c r="U34" s="198"/>
    </row>
    <row r="35" spans="1:21" s="12" customFormat="1" ht="15">
      <c r="A35" s="201" t="s">
        <v>2289</v>
      </c>
      <c r="B35" s="60">
        <v>5.77</v>
      </c>
      <c r="C35" s="60">
        <v>15.55</v>
      </c>
      <c r="D35" s="60">
        <v>21.32</v>
      </c>
      <c r="E35" s="60">
        <v>7.04</v>
      </c>
      <c r="F35" s="60">
        <v>0.49</v>
      </c>
      <c r="G35" s="60">
        <v>34.17</v>
      </c>
      <c r="H35" s="60">
        <v>13.32</v>
      </c>
      <c r="I35" s="60">
        <v>4.20</v>
      </c>
      <c r="J35" s="60">
        <v>0.63</v>
      </c>
      <c r="K35" s="60">
        <v>4.8499999999999996</v>
      </c>
      <c r="L35" s="60">
        <v>35.51</v>
      </c>
      <c r="M35" s="60">
        <v>81.89</v>
      </c>
      <c r="N35" s="60">
        <v>898.90</v>
      </c>
      <c r="O35" s="60">
        <v>0</v>
      </c>
      <c r="P35" s="60">
        <v>2.17</v>
      </c>
      <c r="Q35" s="60">
        <v>7.82</v>
      </c>
      <c r="R35" s="198"/>
      <c r="S35" s="198"/>
      <c r="T35" s="198"/>
      <c r="U35" s="198"/>
    </row>
    <row r="36" spans="1:21" s="12" customFormat="1" ht="15">
      <c r="A36" s="201" t="s">
        <v>2290</v>
      </c>
      <c r="B36" s="60">
        <v>6.61</v>
      </c>
      <c r="C36" s="60">
        <v>16.09</v>
      </c>
      <c r="D36" s="60">
        <v>22.70</v>
      </c>
      <c r="E36" s="60">
        <v>6.68</v>
      </c>
      <c r="F36" s="60">
        <v>0.27</v>
      </c>
      <c r="G36" s="60">
        <v>42.04</v>
      </c>
      <c r="H36" s="60">
        <v>15.97</v>
      </c>
      <c r="I36" s="60">
        <v>4.49</v>
      </c>
      <c r="J36" s="60">
        <v>1.04</v>
      </c>
      <c r="K36" s="60">
        <v>323.86</v>
      </c>
      <c r="L36" s="60">
        <v>36.130000000000003</v>
      </c>
      <c r="M36" s="60">
        <v>79.73</v>
      </c>
      <c r="N36" s="60">
        <v>987.20</v>
      </c>
      <c r="O36" s="60">
        <v>0</v>
      </c>
      <c r="P36" s="60">
        <v>2.2000000000000002</v>
      </c>
      <c r="Q36" s="60">
        <v>8.26</v>
      </c>
      <c r="R36" s="198"/>
      <c r="S36" s="198"/>
      <c r="T36" s="198"/>
      <c r="U36" s="198"/>
    </row>
    <row r="37" spans="1:21" s="12" customFormat="1" ht="15">
      <c r="A37" s="201" t="s">
        <v>2291</v>
      </c>
      <c r="B37" s="60">
        <v>7.03</v>
      </c>
      <c r="C37" s="60">
        <v>16.59</v>
      </c>
      <c r="D37" s="60">
        <v>23.63</v>
      </c>
      <c r="E37" s="60">
        <v>6.84</v>
      </c>
      <c r="F37" s="60">
        <v>0.41</v>
      </c>
      <c r="G37" s="60">
        <v>44.98</v>
      </c>
      <c r="H37" s="60">
        <v>17.91</v>
      </c>
      <c r="I37" s="60">
        <v>4.82</v>
      </c>
      <c r="J37" s="60">
        <v>1.37</v>
      </c>
      <c r="K37" s="60">
        <v>331.79</v>
      </c>
      <c r="L37" s="60">
        <v>37.450000000000003</v>
      </c>
      <c r="M37" s="60">
        <v>75.80</v>
      </c>
      <c r="N37" s="60">
        <v>1140.20</v>
      </c>
      <c r="O37" s="60">
        <v>0</v>
      </c>
      <c r="P37" s="60">
        <v>2.23</v>
      </c>
      <c r="Q37" s="60">
        <v>8.49</v>
      </c>
      <c r="R37" s="198"/>
      <c r="S37" s="198"/>
      <c r="T37" s="198"/>
      <c r="U37" s="198"/>
    </row>
    <row r="38" spans="1:21" s="12" customFormat="1" ht="15">
      <c r="A38" s="201" t="s">
        <v>2292</v>
      </c>
      <c r="B38" s="60">
        <v>7.69</v>
      </c>
      <c r="C38" s="60">
        <v>17.670000000000002</v>
      </c>
      <c r="D38" s="60">
        <v>25.37</v>
      </c>
      <c r="E38" s="60">
        <v>7.24</v>
      </c>
      <c r="F38" s="60">
        <v>0.60</v>
      </c>
      <c r="G38" s="60">
        <v>44.98</v>
      </c>
      <c r="H38" s="60">
        <v>17.91</v>
      </c>
      <c r="I38" s="60">
        <v>5.08</v>
      </c>
      <c r="J38" s="60">
        <v>0.35</v>
      </c>
      <c r="K38" s="60">
        <v>32.26</v>
      </c>
      <c r="L38" s="60">
        <v>37.64</v>
      </c>
      <c r="M38" s="60">
        <v>74.58</v>
      </c>
      <c r="N38" s="60">
        <v>1211.5999999999999</v>
      </c>
      <c r="O38" s="60">
        <v>0</v>
      </c>
      <c r="P38" s="60">
        <v>2.2799999999999998</v>
      </c>
      <c r="Q38" s="60">
        <v>9.19</v>
      </c>
      <c r="R38" s="198"/>
      <c r="S38" s="198"/>
      <c r="T38" s="198"/>
      <c r="U38" s="198"/>
    </row>
    <row r="39" spans="1:21" s="12" customFormat="1" ht="15">
      <c r="A39" s="201" t="s">
        <v>2293</v>
      </c>
      <c r="B39" s="60">
        <v>7.84</v>
      </c>
      <c r="C39" s="60">
        <v>19.02</v>
      </c>
      <c r="D39" s="60">
        <v>26.86</v>
      </c>
      <c r="E39" s="60">
        <v>6.71</v>
      </c>
      <c r="F39" s="60">
        <v>0.60</v>
      </c>
      <c r="G39" s="60">
        <v>44.98</v>
      </c>
      <c r="H39" s="60">
        <v>17.91</v>
      </c>
      <c r="I39" s="60">
        <v>5.63</v>
      </c>
      <c r="J39" s="60">
        <v>1.49</v>
      </c>
      <c r="K39" s="60">
        <v>334.26</v>
      </c>
      <c r="L39" s="60">
        <v>38.840000000000003</v>
      </c>
      <c r="M39" s="60">
        <v>72.010000000000005</v>
      </c>
      <c r="N39" s="60">
        <v>1231.5</v>
      </c>
      <c r="O39" s="60">
        <v>0</v>
      </c>
      <c r="P39" s="60">
        <v>2.39</v>
      </c>
      <c r="Q39" s="60">
        <v>10</v>
      </c>
      <c r="R39" s="198"/>
      <c r="S39" s="198"/>
      <c r="T39" s="198"/>
      <c r="U39" s="198"/>
    </row>
    <row r="40" spans="1:21" s="12" customFormat="1" ht="15">
      <c r="A40" s="201" t="s">
        <v>2294</v>
      </c>
      <c r="B40" s="60">
        <v>7.91</v>
      </c>
      <c r="C40" s="60">
        <v>20.73</v>
      </c>
      <c r="D40" s="60">
        <v>28.64</v>
      </c>
      <c r="E40" s="60">
        <v>3.65</v>
      </c>
      <c r="F40" s="60">
        <v>0.49</v>
      </c>
      <c r="G40" s="60">
        <v>57.42</v>
      </c>
      <c r="H40" s="60">
        <v>17.97</v>
      </c>
      <c r="I40" s="60">
        <v>6.58</v>
      </c>
      <c r="J40" s="60">
        <v>0.92</v>
      </c>
      <c r="K40" s="60">
        <v>329.32</v>
      </c>
      <c r="L40" s="60">
        <v>38.700000000000003</v>
      </c>
      <c r="M40" s="60">
        <v>72.05</v>
      </c>
      <c r="N40" s="60">
        <v>1203.30</v>
      </c>
      <c r="O40" s="60">
        <v>0</v>
      </c>
      <c r="P40" s="60">
        <v>2.48</v>
      </c>
      <c r="Q40" s="60">
        <v>10.67</v>
      </c>
      <c r="R40" s="198"/>
      <c r="S40" s="198"/>
      <c r="T40" s="198"/>
      <c r="U40" s="198"/>
    </row>
    <row r="41" spans="1:21" s="12" customFormat="1" ht="15">
      <c r="A41" s="201" t="s">
        <v>2295</v>
      </c>
      <c r="B41" s="60">
        <v>7.52</v>
      </c>
      <c r="C41" s="60">
        <v>21.75</v>
      </c>
      <c r="D41" s="60">
        <v>29.27</v>
      </c>
      <c r="E41" s="60">
        <v>5.80</v>
      </c>
      <c r="F41" s="60">
        <v>0.68</v>
      </c>
      <c r="G41" s="60">
        <v>63.41</v>
      </c>
      <c r="H41" s="60">
        <v>18.010000000000002</v>
      </c>
      <c r="I41" s="60">
        <v>7.65</v>
      </c>
      <c r="J41" s="60">
        <v>0.33</v>
      </c>
      <c r="K41" s="60">
        <v>268.72000000000003</v>
      </c>
      <c r="L41" s="60">
        <v>37.97</v>
      </c>
      <c r="M41" s="60">
        <v>72.959999999999994</v>
      </c>
      <c r="N41" s="60">
        <v>1264.9000000000001</v>
      </c>
      <c r="O41" s="60">
        <v>0</v>
      </c>
      <c r="P41" s="60">
        <v>2.4700000000000002</v>
      </c>
      <c r="Q41" s="60">
        <v>10.76</v>
      </c>
      <c r="R41" s="198"/>
      <c r="S41" s="198"/>
      <c r="T41" s="198"/>
      <c r="U41" s="198"/>
    </row>
    <row r="42" spans="1:21" s="12" customFormat="1" ht="15">
      <c r="A42" s="201" t="s">
        <v>2296</v>
      </c>
      <c r="B42" s="60">
        <v>7.17</v>
      </c>
      <c r="C42" s="60">
        <v>22.71</v>
      </c>
      <c r="D42" s="60">
        <v>29.88</v>
      </c>
      <c r="E42" s="60">
        <v>5.51</v>
      </c>
      <c r="F42" s="60">
        <v>0.87</v>
      </c>
      <c r="G42" s="60">
        <v>63.41</v>
      </c>
      <c r="H42" s="60">
        <v>18.010000000000002</v>
      </c>
      <c r="I42" s="60">
        <v>8.2899999999999991</v>
      </c>
      <c r="J42" s="60">
        <v>0.18</v>
      </c>
      <c r="K42" s="60">
        <v>254.33</v>
      </c>
      <c r="L42" s="60">
        <v>38.19</v>
      </c>
      <c r="M42" s="60">
        <v>71.45</v>
      </c>
      <c r="N42" s="60">
        <v>1351.60</v>
      </c>
      <c r="O42" s="60">
        <v>0</v>
      </c>
      <c r="P42" s="60">
        <v>2.4300000000000002</v>
      </c>
      <c r="Q42" s="60">
        <v>10.86</v>
      </c>
      <c r="R42" s="198"/>
      <c r="S42" s="198"/>
      <c r="T42" s="198"/>
      <c r="U42" s="198"/>
    </row>
    <row r="43" spans="1:21" s="12" customFormat="1" ht="15">
      <c r="A43" s="201" t="s">
        <v>2297</v>
      </c>
      <c r="B43" s="60">
        <v>6.16</v>
      </c>
      <c r="C43" s="60">
        <v>23.44</v>
      </c>
      <c r="D43" s="60">
        <v>29.61</v>
      </c>
      <c r="E43" s="60">
        <v>5.63</v>
      </c>
      <c r="F43" s="60">
        <v>0.83</v>
      </c>
      <c r="G43" s="60">
        <v>63.41</v>
      </c>
      <c r="H43" s="60">
        <v>18.010000000000002</v>
      </c>
      <c r="I43" s="60">
        <v>8.09</v>
      </c>
      <c r="J43" s="60">
        <v>0.63</v>
      </c>
      <c r="K43" s="60">
        <v>294.61</v>
      </c>
      <c r="L43" s="60">
        <v>38.67</v>
      </c>
      <c r="M43" s="60">
        <v>70.30</v>
      </c>
      <c r="N43" s="60">
        <v>1260.80</v>
      </c>
      <c r="O43" s="60">
        <v>0</v>
      </c>
      <c r="P43" s="60">
        <v>2.41</v>
      </c>
      <c r="Q43" s="60">
        <v>10.76</v>
      </c>
      <c r="R43" s="198"/>
      <c r="S43" s="198"/>
      <c r="T43" s="198"/>
      <c r="U43" s="198"/>
    </row>
    <row r="44" spans="1:21" s="12" customFormat="1" ht="15">
      <c r="A44" s="201" t="s">
        <v>2298</v>
      </c>
      <c r="B44" s="60">
        <v>5.0199999999999996</v>
      </c>
      <c r="C44" s="60">
        <v>23.70</v>
      </c>
      <c r="D44" s="60">
        <v>28.72</v>
      </c>
      <c r="E44" s="60">
        <v>5.15</v>
      </c>
      <c r="F44" s="60">
        <v>1.07</v>
      </c>
      <c r="G44" s="60">
        <v>58.29</v>
      </c>
      <c r="H44" s="60">
        <v>18.16</v>
      </c>
      <c r="I44" s="60">
        <v>7.52</v>
      </c>
      <c r="J44" s="60">
        <v>0.19</v>
      </c>
      <c r="K44" s="60">
        <v>163.19999999999999</v>
      </c>
      <c r="L44" s="60">
        <v>38.549999999999997</v>
      </c>
      <c r="M44" s="60">
        <v>69.77</v>
      </c>
      <c r="N44" s="60">
        <v>1344.60</v>
      </c>
      <c r="O44" s="60">
        <v>0</v>
      </c>
      <c r="P44" s="60">
        <v>2.38</v>
      </c>
      <c r="Q44" s="60">
        <v>10.43</v>
      </c>
      <c r="R44" s="198"/>
      <c r="S44" s="198"/>
      <c r="T44" s="198"/>
      <c r="U44" s="198"/>
    </row>
    <row r="45" spans="1:21" s="12" customFormat="1" ht="15">
      <c r="A45" s="201" t="s">
        <v>2299</v>
      </c>
      <c r="B45" s="60">
        <v>3.96</v>
      </c>
      <c r="C45" s="60">
        <v>23.77</v>
      </c>
      <c r="D45" s="60">
        <v>27.73</v>
      </c>
      <c r="E45" s="60">
        <v>4.79</v>
      </c>
      <c r="F45" s="60">
        <v>1.49</v>
      </c>
      <c r="G45" s="60">
        <v>56.72</v>
      </c>
      <c r="H45" s="60">
        <v>18.27</v>
      </c>
      <c r="I45" s="60">
        <v>7.09</v>
      </c>
      <c r="J45" s="60">
        <v>0.13</v>
      </c>
      <c r="K45" s="60">
        <v>331.49</v>
      </c>
      <c r="L45" s="60">
        <v>39.090000000000003</v>
      </c>
      <c r="M45" s="60">
        <v>68.36</v>
      </c>
      <c r="N45" s="60">
        <v>1395.60</v>
      </c>
      <c r="O45" s="60">
        <v>0</v>
      </c>
      <c r="P45" s="60">
        <v>2.38</v>
      </c>
      <c r="Q45" s="60">
        <v>10</v>
      </c>
      <c r="R45" s="198"/>
      <c r="S45" s="198"/>
      <c r="T45" s="198"/>
      <c r="U45" s="198"/>
    </row>
    <row r="46" spans="1:21" s="12" customFormat="1" ht="15">
      <c r="A46" s="201" t="s">
        <v>2300</v>
      </c>
      <c r="B46" s="60">
        <v>3.12</v>
      </c>
      <c r="C46" s="60">
        <v>23.75</v>
      </c>
      <c r="D46" s="60">
        <v>26.87</v>
      </c>
      <c r="E46" s="60">
        <v>4.92</v>
      </c>
      <c r="F46" s="60">
        <v>1.63</v>
      </c>
      <c r="G46" s="60">
        <v>56.72</v>
      </c>
      <c r="H46" s="60">
        <v>18.27</v>
      </c>
      <c r="I46" s="60">
        <v>6.68</v>
      </c>
      <c r="J46" s="60">
        <v>0.67</v>
      </c>
      <c r="K46" s="60">
        <v>218.64</v>
      </c>
      <c r="L46" s="60">
        <v>39.5</v>
      </c>
      <c r="M46" s="60">
        <v>66.489999999999995</v>
      </c>
      <c r="N46" s="60">
        <v>1472.30</v>
      </c>
      <c r="O46" s="60">
        <v>0</v>
      </c>
      <c r="P46" s="60">
        <v>2.39</v>
      </c>
      <c r="Q46" s="60">
        <v>9.73</v>
      </c>
      <c r="R46" s="198"/>
      <c r="S46" s="198"/>
      <c r="T46" s="198"/>
      <c r="U46" s="198"/>
    </row>
    <row r="47" spans="1:21" s="12" customFormat="1" ht="15">
      <c r="A47" s="201" t="s">
        <v>2301</v>
      </c>
      <c r="B47" s="60">
        <v>2.64</v>
      </c>
      <c r="C47" s="60">
        <v>23.62</v>
      </c>
      <c r="D47" s="60">
        <v>26.26</v>
      </c>
      <c r="E47" s="60">
        <v>4.66</v>
      </c>
      <c r="F47" s="60">
        <v>1.58</v>
      </c>
      <c r="G47" s="60">
        <v>56.72</v>
      </c>
      <c r="H47" s="60">
        <v>18.27</v>
      </c>
      <c r="I47" s="60">
        <v>6.62</v>
      </c>
      <c r="J47" s="60">
        <v>0.60</v>
      </c>
      <c r="K47" s="60">
        <v>226.61</v>
      </c>
      <c r="L47" s="60">
        <v>39.61</v>
      </c>
      <c r="M47" s="60">
        <v>66.20</v>
      </c>
      <c r="N47" s="60">
        <v>1518.90</v>
      </c>
      <c r="O47" s="60">
        <v>0</v>
      </c>
      <c r="P47" s="60">
        <v>2.40</v>
      </c>
      <c r="Q47" s="60">
        <v>9.57</v>
      </c>
      <c r="R47" s="198"/>
      <c r="S47" s="198"/>
      <c r="T47" s="198"/>
      <c r="U47" s="198"/>
    </row>
    <row r="48" spans="1:21" s="12" customFormat="1" ht="15">
      <c r="A48" s="201" t="s">
        <v>2302</v>
      </c>
      <c r="B48" s="60">
        <v>2.38</v>
      </c>
      <c r="C48" s="60">
        <v>22.09</v>
      </c>
      <c r="D48" s="60">
        <v>24.47</v>
      </c>
      <c r="E48" s="60">
        <v>4.5199999999999996</v>
      </c>
      <c r="F48" s="60">
        <v>1.92</v>
      </c>
      <c r="G48" s="60">
        <v>53.72</v>
      </c>
      <c r="H48" s="60">
        <v>16.71</v>
      </c>
      <c r="I48" s="60">
        <v>6.75</v>
      </c>
      <c r="J48" s="60">
        <v>0.37</v>
      </c>
      <c r="K48" s="60">
        <v>273.05</v>
      </c>
      <c r="L48" s="60">
        <v>41.04</v>
      </c>
      <c r="M48" s="60">
        <v>62.17</v>
      </c>
      <c r="N48" s="60">
        <v>1542.70</v>
      </c>
      <c r="O48" s="60">
        <v>0</v>
      </c>
      <c r="P48" s="60">
        <v>2.41</v>
      </c>
      <c r="Q48" s="60">
        <v>9.0500000000000007</v>
      </c>
      <c r="R48" s="198"/>
      <c r="S48" s="198"/>
      <c r="T48" s="198"/>
      <c r="U48" s="198"/>
    </row>
    <row r="49" spans="1:21" s="12" customFormat="1" ht="15">
      <c r="A49" s="201" t="s">
        <v>2303</v>
      </c>
      <c r="B49" s="60">
        <v>2.35</v>
      </c>
      <c r="C49" s="60">
        <v>21.83</v>
      </c>
      <c r="D49" s="60">
        <v>24.18</v>
      </c>
      <c r="E49" s="60">
        <v>4.8600000000000003</v>
      </c>
      <c r="F49" s="60">
        <v>1.42</v>
      </c>
      <c r="G49" s="60">
        <v>52.80</v>
      </c>
      <c r="H49" s="60">
        <v>15.56</v>
      </c>
      <c r="I49" s="60">
        <v>6.81</v>
      </c>
      <c r="J49" s="60">
        <v>1.03</v>
      </c>
      <c r="K49" s="60">
        <v>322.45</v>
      </c>
      <c r="L49" s="60">
        <v>42.28</v>
      </c>
      <c r="M49" s="60">
        <v>60.14</v>
      </c>
      <c r="N49" s="60">
        <v>1486.60</v>
      </c>
      <c r="O49" s="60">
        <v>0</v>
      </c>
      <c r="P49" s="60">
        <v>2.42</v>
      </c>
      <c r="Q49" s="60">
        <v>8.69</v>
      </c>
      <c r="R49" s="198"/>
      <c r="S49" s="198"/>
      <c r="T49" s="198"/>
      <c r="U49" s="198"/>
    </row>
    <row r="50" spans="1:21" s="12" customFormat="1" ht="15">
      <c r="A50" s="201" t="s">
        <v>2304</v>
      </c>
      <c r="B50" s="60">
        <v>2.41</v>
      </c>
      <c r="C50" s="60">
        <v>21.41</v>
      </c>
      <c r="D50" s="60">
        <v>23.83</v>
      </c>
      <c r="E50" s="60">
        <v>4.63</v>
      </c>
      <c r="F50" s="60">
        <v>1.45</v>
      </c>
      <c r="G50" s="60">
        <v>52.80</v>
      </c>
      <c r="H50" s="60">
        <v>15.56</v>
      </c>
      <c r="I50" s="60">
        <v>6.78</v>
      </c>
      <c r="J50" s="60">
        <v>1.25</v>
      </c>
      <c r="K50" s="60">
        <v>198.42</v>
      </c>
      <c r="L50" s="60">
        <v>40.770000000000003</v>
      </c>
      <c r="M50" s="60">
        <v>62.25</v>
      </c>
      <c r="N50" s="60">
        <v>1565</v>
      </c>
      <c r="O50" s="60">
        <v>0</v>
      </c>
      <c r="P50" s="60">
        <v>2.42</v>
      </c>
      <c r="Q50" s="60">
        <v>8.16</v>
      </c>
      <c r="R50" s="198"/>
      <c r="S50" s="198"/>
      <c r="T50" s="198"/>
      <c r="U50" s="198"/>
    </row>
    <row r="51" spans="1:21" s="12" customFormat="1" ht="15">
      <c r="A51" s="201" t="s">
        <v>2305</v>
      </c>
      <c r="B51" s="60">
        <v>2.0099999999999998</v>
      </c>
      <c r="C51" s="60">
        <v>21.03</v>
      </c>
      <c r="D51" s="60">
        <v>23.04</v>
      </c>
      <c r="E51" s="60">
        <v>4.9400000000000004</v>
      </c>
      <c r="F51" s="60">
        <v>1.76</v>
      </c>
      <c r="G51" s="60">
        <v>52.80</v>
      </c>
      <c r="H51" s="60">
        <v>15.56</v>
      </c>
      <c r="I51" s="60">
        <v>6.78</v>
      </c>
      <c r="J51" s="60">
        <v>1.26</v>
      </c>
      <c r="K51" s="60">
        <v>224.40</v>
      </c>
      <c r="L51" s="60">
        <v>40.75</v>
      </c>
      <c r="M51" s="60">
        <v>62.83</v>
      </c>
      <c r="N51" s="60">
        <v>1445.5</v>
      </c>
      <c r="O51" s="60">
        <v>0</v>
      </c>
      <c r="P51" s="60">
        <v>2.41</v>
      </c>
      <c r="Q51" s="60">
        <v>7.82</v>
      </c>
      <c r="R51" s="198"/>
      <c r="S51" s="198"/>
      <c r="T51" s="198"/>
      <c r="U51" s="198"/>
    </row>
    <row r="52" spans="1:21" s="12" customFormat="1" ht="15">
      <c r="A52" s="201" t="s">
        <v>2306</v>
      </c>
      <c r="B52" s="60">
        <v>1.71</v>
      </c>
      <c r="C52" s="60">
        <v>20.309999999999999</v>
      </c>
      <c r="D52" s="60">
        <v>22.01</v>
      </c>
      <c r="E52" s="60">
        <v>4.75</v>
      </c>
      <c r="F52" s="60">
        <v>1.83</v>
      </c>
      <c r="G52" s="60">
        <v>51</v>
      </c>
      <c r="H52" s="60">
        <v>16.47</v>
      </c>
      <c r="I52" s="60">
        <v>7.96</v>
      </c>
      <c r="J52" s="60">
        <v>1.44</v>
      </c>
      <c r="K52" s="60">
        <v>320.31</v>
      </c>
      <c r="L52" s="60">
        <v>42.68</v>
      </c>
      <c r="M52" s="60">
        <v>58.75</v>
      </c>
      <c r="N52" s="60">
        <v>1569.5</v>
      </c>
      <c r="O52" s="60">
        <v>0</v>
      </c>
      <c r="P52" s="60">
        <v>2.42</v>
      </c>
      <c r="Q52" s="60">
        <v>7.47</v>
      </c>
      <c r="R52" s="198"/>
      <c r="S52" s="198"/>
      <c r="T52" s="198"/>
      <c r="U52" s="198"/>
    </row>
    <row r="53" spans="1:21" s="12" customFormat="1" ht="15">
      <c r="A53" s="201" t="s">
        <v>2307</v>
      </c>
      <c r="B53" s="60">
        <v>1.94</v>
      </c>
      <c r="C53" s="60">
        <v>20.149999999999999</v>
      </c>
      <c r="D53" s="60">
        <v>22.09</v>
      </c>
      <c r="E53" s="60">
        <v>4.99</v>
      </c>
      <c r="F53" s="60">
        <v>1.67</v>
      </c>
      <c r="G53" s="60">
        <v>50.44</v>
      </c>
      <c r="H53" s="60">
        <v>17.13</v>
      </c>
      <c r="I53" s="60">
        <v>14.31</v>
      </c>
      <c r="J53" s="60">
        <v>1.41</v>
      </c>
      <c r="K53" s="60">
        <v>337.98</v>
      </c>
      <c r="L53" s="60">
        <v>44.23</v>
      </c>
      <c r="M53" s="60">
        <v>56.29</v>
      </c>
      <c r="N53" s="60">
        <v>1642.40</v>
      </c>
      <c r="O53" s="60">
        <v>0</v>
      </c>
      <c r="P53" s="60">
        <v>2.42</v>
      </c>
      <c r="Q53" s="60">
        <v>7.45</v>
      </c>
      <c r="R53" s="198"/>
      <c r="S53" s="198"/>
      <c r="T53" s="198"/>
      <c r="U53" s="198"/>
    </row>
    <row r="54" spans="1:21" s="12" customFormat="1" ht="15">
      <c r="A54" s="201" t="s">
        <v>2308</v>
      </c>
      <c r="B54" s="60">
        <v>2.19</v>
      </c>
      <c r="C54" s="60">
        <v>21.34</v>
      </c>
      <c r="D54" s="60">
        <v>23.53</v>
      </c>
      <c r="E54" s="60">
        <v>5.33</v>
      </c>
      <c r="F54" s="60">
        <v>1.82</v>
      </c>
      <c r="G54" s="60">
        <v>50.44</v>
      </c>
      <c r="H54" s="60">
        <v>17.13</v>
      </c>
      <c r="I54" s="60">
        <v>9.48</v>
      </c>
      <c r="J54" s="60">
        <v>0.72</v>
      </c>
      <c r="K54" s="60">
        <v>302.35000000000002</v>
      </c>
      <c r="L54" s="60">
        <v>43.86</v>
      </c>
      <c r="M54" s="60">
        <v>54.25</v>
      </c>
      <c r="N54" s="60">
        <v>1672.40</v>
      </c>
      <c r="O54" s="60">
        <v>0</v>
      </c>
      <c r="P54" s="60">
        <v>2.4300000000000002</v>
      </c>
      <c r="Q54" s="60">
        <v>7.79</v>
      </c>
      <c r="R54" s="198"/>
      <c r="S54" s="198"/>
      <c r="T54" s="198"/>
      <c r="U54" s="198"/>
    </row>
    <row r="55" spans="1:21" s="12" customFormat="1" ht="15">
      <c r="A55" s="201" t="s">
        <v>2309</v>
      </c>
      <c r="B55" s="60">
        <v>1.84</v>
      </c>
      <c r="C55" s="60">
        <v>22.20</v>
      </c>
      <c r="D55" s="60">
        <v>24.04</v>
      </c>
      <c r="E55" s="60">
        <v>5.28</v>
      </c>
      <c r="F55" s="60">
        <v>2.34</v>
      </c>
      <c r="G55" s="60">
        <v>50.44</v>
      </c>
      <c r="H55" s="60">
        <v>17.13</v>
      </c>
      <c r="I55" s="60">
        <v>8.5500000000000007</v>
      </c>
      <c r="J55" s="60">
        <v>0.23</v>
      </c>
      <c r="K55" s="60">
        <v>188.09</v>
      </c>
      <c r="L55" s="60">
        <v>43.37</v>
      </c>
      <c r="M55" s="60">
        <v>55.47</v>
      </c>
      <c r="N55" s="60">
        <v>1688.5</v>
      </c>
      <c r="O55" s="60">
        <v>0</v>
      </c>
      <c r="P55" s="60">
        <v>2.42</v>
      </c>
      <c r="Q55" s="60">
        <v>7.97</v>
      </c>
      <c r="R55" s="198"/>
      <c r="S55" s="198"/>
      <c r="T55" s="198"/>
      <c r="U55" s="198"/>
    </row>
    <row r="56" spans="1:21" s="12" customFormat="1" ht="15">
      <c r="A56" s="201" t="s">
        <v>2310</v>
      </c>
      <c r="B56" s="60">
        <v>1.59</v>
      </c>
      <c r="C56" s="60">
        <v>22.07</v>
      </c>
      <c r="D56" s="60">
        <v>23.65</v>
      </c>
      <c r="E56" s="60">
        <v>3.15</v>
      </c>
      <c r="F56" s="60">
        <v>2.79</v>
      </c>
      <c r="G56" s="60">
        <v>62.45</v>
      </c>
      <c r="H56" s="60">
        <v>18.36</v>
      </c>
      <c r="I56" s="60">
        <v>8.51</v>
      </c>
      <c r="J56" s="60">
        <v>1.1299999999999999</v>
      </c>
      <c r="K56" s="60">
        <v>137.07</v>
      </c>
      <c r="L56" s="60">
        <v>43.88</v>
      </c>
      <c r="M56" s="60">
        <v>51.99</v>
      </c>
      <c r="N56" s="60">
        <v>1391.90</v>
      </c>
      <c r="O56" s="60">
        <v>0</v>
      </c>
      <c r="P56" s="60">
        <v>2.4300000000000002</v>
      </c>
      <c r="Q56" s="60">
        <v>8.31</v>
      </c>
      <c r="R56" s="198"/>
      <c r="S56" s="198"/>
      <c r="T56" s="198"/>
      <c r="U56" s="198"/>
    </row>
    <row r="57" spans="1:21" s="12" customFormat="1" ht="15">
      <c r="A57" s="201" t="s">
        <v>2311</v>
      </c>
      <c r="B57" s="60">
        <v>1.08</v>
      </c>
      <c r="C57" s="60">
        <v>21.20</v>
      </c>
      <c r="D57" s="60">
        <v>22.28</v>
      </c>
      <c r="E57" s="60">
        <v>5.62</v>
      </c>
      <c r="F57" s="60">
        <v>3.25</v>
      </c>
      <c r="G57" s="60">
        <v>67.78</v>
      </c>
      <c r="H57" s="60">
        <v>19.260000000000002</v>
      </c>
      <c r="I57" s="60">
        <v>8.1999999999999993</v>
      </c>
      <c r="J57" s="60">
        <v>3.46</v>
      </c>
      <c r="K57" s="60">
        <v>150.91</v>
      </c>
      <c r="L57" s="60">
        <v>41.48</v>
      </c>
      <c r="M57" s="60">
        <v>58.10</v>
      </c>
      <c r="N57" s="60">
        <v>915.80</v>
      </c>
      <c r="O57" s="60">
        <v>0</v>
      </c>
      <c r="P57" s="60">
        <v>2.40</v>
      </c>
      <c r="Q57" s="60">
        <v>8.26</v>
      </c>
      <c r="R57" s="198"/>
      <c r="S57" s="198"/>
      <c r="T57" s="198"/>
      <c r="U57" s="198"/>
    </row>
    <row r="58" spans="1:21" s="12" customFormat="1" ht="15">
      <c r="A58" s="201" t="s">
        <v>2312</v>
      </c>
      <c r="B58" s="60">
        <v>0.63</v>
      </c>
      <c r="C58" s="60">
        <v>19.63</v>
      </c>
      <c r="D58" s="60">
        <v>20.260000000000002</v>
      </c>
      <c r="E58" s="60">
        <v>6.01</v>
      </c>
      <c r="F58" s="60">
        <v>3.45</v>
      </c>
      <c r="G58" s="60">
        <v>67.78</v>
      </c>
      <c r="H58" s="60">
        <v>19.260000000000002</v>
      </c>
      <c r="I58" s="60">
        <v>7.80</v>
      </c>
      <c r="J58" s="60">
        <v>2.48</v>
      </c>
      <c r="K58" s="60">
        <v>155.52000000000001</v>
      </c>
      <c r="L58" s="60">
        <v>42.02</v>
      </c>
      <c r="M58" s="60">
        <v>56.95</v>
      </c>
      <c r="N58" s="60">
        <v>1463.20</v>
      </c>
      <c r="O58" s="60">
        <v>0</v>
      </c>
      <c r="P58" s="60">
        <v>2.38</v>
      </c>
      <c r="Q58" s="60">
        <v>8.1199999999999992</v>
      </c>
      <c r="R58" s="198"/>
      <c r="S58" s="198"/>
      <c r="T58" s="198"/>
      <c r="U58" s="198"/>
    </row>
    <row r="59" spans="1:21" s="12" customFormat="1" ht="15">
      <c r="A59" s="201" t="s">
        <v>2313</v>
      </c>
      <c r="B59" s="60">
        <v>0.40</v>
      </c>
      <c r="C59" s="60">
        <v>17.89</v>
      </c>
      <c r="D59" s="60">
        <v>18.29</v>
      </c>
      <c r="E59" s="60">
        <v>5.79</v>
      </c>
      <c r="F59" s="60">
        <v>4.07</v>
      </c>
      <c r="G59" s="60">
        <v>67.78</v>
      </c>
      <c r="H59" s="60">
        <v>19.260000000000002</v>
      </c>
      <c r="I59" s="60">
        <v>7.47</v>
      </c>
      <c r="J59" s="60">
        <v>3.06</v>
      </c>
      <c r="K59" s="60">
        <v>163.94</v>
      </c>
      <c r="L59" s="60">
        <v>42.19</v>
      </c>
      <c r="M59" s="60">
        <v>56.65</v>
      </c>
      <c r="N59" s="60">
        <v>1194.70</v>
      </c>
      <c r="O59" s="60">
        <v>0</v>
      </c>
      <c r="P59" s="60">
        <v>2.33</v>
      </c>
      <c r="Q59" s="60">
        <v>7.83</v>
      </c>
      <c r="R59" s="198"/>
      <c r="S59" s="198"/>
      <c r="T59" s="198"/>
      <c r="U59" s="198"/>
    </row>
    <row r="60" spans="1:21" s="12" customFormat="1" ht="15">
      <c r="A60" s="201" t="s">
        <v>2314</v>
      </c>
      <c r="B60" s="60">
        <v>0.30</v>
      </c>
      <c r="C60" s="60">
        <v>17.32</v>
      </c>
      <c r="D60" s="60">
        <v>17.62</v>
      </c>
      <c r="E60" s="60">
        <v>5.63</v>
      </c>
      <c r="F60" s="60">
        <v>3.96</v>
      </c>
      <c r="G60" s="60">
        <v>62.10</v>
      </c>
      <c r="H60" s="60">
        <v>19.850000000000001</v>
      </c>
      <c r="I60" s="60">
        <v>7.29</v>
      </c>
      <c r="J60" s="60">
        <v>0.88</v>
      </c>
      <c r="K60" s="60">
        <v>236.54</v>
      </c>
      <c r="L60" s="60">
        <v>43.57</v>
      </c>
      <c r="M60" s="60">
        <v>54.63</v>
      </c>
      <c r="N60" s="60">
        <v>1143.30</v>
      </c>
      <c r="O60" s="60">
        <v>0</v>
      </c>
      <c r="P60" s="60">
        <v>2.3199999999999998</v>
      </c>
      <c r="Q60" s="60">
        <v>7.90</v>
      </c>
      <c r="R60" s="198"/>
      <c r="S60" s="198"/>
      <c r="T60" s="198"/>
      <c r="U60" s="198"/>
    </row>
    <row r="61" spans="1:21" s="12" customFormat="1" ht="15">
      <c r="A61" s="201" t="s">
        <v>2315</v>
      </c>
      <c r="B61" s="60">
        <v>0.35</v>
      </c>
      <c r="C61" s="60">
        <v>17.010000000000002</v>
      </c>
      <c r="D61" s="60">
        <v>17.350000000000001</v>
      </c>
      <c r="E61" s="60">
        <v>5.42</v>
      </c>
      <c r="F61" s="60">
        <v>4.30</v>
      </c>
      <c r="G61" s="60">
        <v>60.35</v>
      </c>
      <c r="H61" s="60">
        <v>20.28</v>
      </c>
      <c r="I61" s="60">
        <v>6.85</v>
      </c>
      <c r="J61" s="60">
        <v>1.89</v>
      </c>
      <c r="K61" s="60">
        <v>207.92</v>
      </c>
      <c r="L61" s="60">
        <v>43.49</v>
      </c>
      <c r="M61" s="60">
        <v>54.20</v>
      </c>
      <c r="N61" s="60">
        <v>1294</v>
      </c>
      <c r="O61" s="60">
        <v>0</v>
      </c>
      <c r="P61" s="60">
        <v>2.29</v>
      </c>
      <c r="Q61" s="60">
        <v>7.60</v>
      </c>
      <c r="R61" s="198"/>
      <c r="S61" s="198"/>
      <c r="T61" s="198"/>
      <c r="U61" s="198"/>
    </row>
    <row r="62" spans="1:21" s="12" customFormat="1" ht="15">
      <c r="A62" s="201" t="s">
        <v>2316</v>
      </c>
      <c r="B62" s="60">
        <v>0.36</v>
      </c>
      <c r="C62" s="60">
        <v>16.86</v>
      </c>
      <c r="D62" s="60">
        <v>17.22</v>
      </c>
      <c r="E62" s="60">
        <v>5.44</v>
      </c>
      <c r="F62" s="60">
        <v>4.07</v>
      </c>
      <c r="G62" s="60">
        <v>60.35</v>
      </c>
      <c r="H62" s="60">
        <v>20.28</v>
      </c>
      <c r="I62" s="60">
        <v>6.60</v>
      </c>
      <c r="J62" s="60">
        <v>0.51</v>
      </c>
      <c r="K62" s="60">
        <v>222.49</v>
      </c>
      <c r="L62" s="60">
        <v>44.59</v>
      </c>
      <c r="M62" s="60">
        <v>52.53</v>
      </c>
      <c r="N62" s="60">
        <v>1381.10</v>
      </c>
      <c r="O62" s="60">
        <v>0</v>
      </c>
      <c r="P62" s="60">
        <v>2.2799999999999998</v>
      </c>
      <c r="Q62" s="60">
        <v>7.62</v>
      </c>
      <c r="R62" s="198"/>
      <c r="S62" s="198"/>
      <c r="T62" s="198"/>
      <c r="U62" s="198"/>
    </row>
    <row r="63" spans="1:21" s="12" customFormat="1" ht="15">
      <c r="A63" s="201" t="s">
        <v>2317</v>
      </c>
      <c r="B63" s="60">
        <v>0.38</v>
      </c>
      <c r="C63" s="60">
        <v>16.84</v>
      </c>
      <c r="D63" s="60">
        <v>17.22</v>
      </c>
      <c r="E63" s="60">
        <v>5.0999999999999996</v>
      </c>
      <c r="F63" s="60">
        <v>3.88</v>
      </c>
      <c r="G63" s="60">
        <v>60.35</v>
      </c>
      <c r="H63" s="60">
        <v>20.28</v>
      </c>
      <c r="I63" s="60">
        <v>6.17</v>
      </c>
      <c r="J63" s="60">
        <v>0.47</v>
      </c>
      <c r="K63" s="60">
        <v>267.04000000000002</v>
      </c>
      <c r="L63" s="60">
        <v>44.62</v>
      </c>
      <c r="M63" s="60">
        <v>51.75</v>
      </c>
      <c r="N63" s="60">
        <v>1208.4000000000001</v>
      </c>
      <c r="O63" s="60">
        <v>0</v>
      </c>
      <c r="P63" s="60">
        <v>2.25</v>
      </c>
      <c r="Q63" s="60">
        <v>7.55</v>
      </c>
      <c r="R63" s="198"/>
      <c r="S63" s="198"/>
      <c r="T63" s="198"/>
      <c r="U63" s="198"/>
    </row>
    <row r="64" spans="1:21" s="12" customFormat="1" ht="15">
      <c r="A64" s="201" t="s">
        <v>2318</v>
      </c>
      <c r="B64" s="60">
        <v>0.40</v>
      </c>
      <c r="C64" s="60">
        <v>16.489999999999998</v>
      </c>
      <c r="D64" s="60">
        <v>16.899999999999999</v>
      </c>
      <c r="E64" s="60">
        <v>5.75</v>
      </c>
      <c r="F64" s="60">
        <v>3.79</v>
      </c>
      <c r="G64" s="60">
        <v>55.75</v>
      </c>
      <c r="H64" s="60">
        <v>18.14</v>
      </c>
      <c r="I64" s="60">
        <v>5.96</v>
      </c>
      <c r="J64" s="60">
        <v>0.64</v>
      </c>
      <c r="K64" s="60">
        <v>237.54</v>
      </c>
      <c r="L64" s="60">
        <v>44.65</v>
      </c>
      <c r="M64" s="60">
        <v>52.23</v>
      </c>
      <c r="N64" s="60">
        <v>1280.0999999999999</v>
      </c>
      <c r="O64" s="60">
        <v>0</v>
      </c>
      <c r="P64" s="60">
        <v>2.2400000000000002</v>
      </c>
      <c r="Q64" s="60">
        <v>7.57</v>
      </c>
      <c r="R64" s="198"/>
      <c r="S64" s="198"/>
      <c r="T64" s="198"/>
      <c r="U64" s="198"/>
    </row>
    <row r="65" spans="1:21" s="12" customFormat="1" ht="15">
      <c r="A65" s="201" t="s">
        <v>2319</v>
      </c>
      <c r="B65" s="60">
        <v>0.48</v>
      </c>
      <c r="C65" s="60">
        <v>17.37</v>
      </c>
      <c r="D65" s="60">
        <v>17.86</v>
      </c>
      <c r="E65" s="60">
        <v>4.97</v>
      </c>
      <c r="F65" s="60">
        <v>2.89</v>
      </c>
      <c r="G65" s="60">
        <v>54.33</v>
      </c>
      <c r="H65" s="60">
        <v>16.579999999999998</v>
      </c>
      <c r="I65" s="60">
        <v>5.65</v>
      </c>
      <c r="J65" s="60">
        <v>0.42</v>
      </c>
      <c r="K65" s="60">
        <v>205.84</v>
      </c>
      <c r="L65" s="60">
        <v>45.59</v>
      </c>
      <c r="M65" s="60">
        <v>49.77</v>
      </c>
      <c r="N65" s="60">
        <v>1290.5</v>
      </c>
      <c r="O65" s="60">
        <v>0</v>
      </c>
      <c r="P65" s="60">
        <v>2.2400000000000002</v>
      </c>
      <c r="Q65" s="60">
        <v>7.58</v>
      </c>
      <c r="R65" s="198"/>
      <c r="S65" s="198"/>
      <c r="T65" s="198"/>
      <c r="U65" s="198"/>
    </row>
    <row r="66" spans="1:21" s="12" customFormat="1" ht="15">
      <c r="A66" s="201" t="s">
        <v>2320</v>
      </c>
      <c r="B66" s="60">
        <v>0.54</v>
      </c>
      <c r="C66" s="60">
        <v>16.47</v>
      </c>
      <c r="D66" s="60">
        <v>17.010000000000002</v>
      </c>
      <c r="E66" s="60">
        <v>5.69</v>
      </c>
      <c r="F66" s="60">
        <v>2.98</v>
      </c>
      <c r="G66" s="60">
        <v>54.33</v>
      </c>
      <c r="H66" s="60">
        <v>16.579999999999998</v>
      </c>
      <c r="I66" s="60">
        <v>5.5</v>
      </c>
      <c r="J66" s="60">
        <v>2.31</v>
      </c>
      <c r="K66" s="60">
        <v>164.23</v>
      </c>
      <c r="L66" s="60">
        <v>48.01</v>
      </c>
      <c r="M66" s="60">
        <v>50.26</v>
      </c>
      <c r="N66" s="60">
        <v>1406.40</v>
      </c>
      <c r="O66" s="60">
        <v>0</v>
      </c>
      <c r="P66" s="60">
        <v>2.23</v>
      </c>
      <c r="Q66" s="60">
        <v>7.30</v>
      </c>
      <c r="R66" s="198"/>
      <c r="S66" s="198"/>
      <c r="T66" s="198"/>
      <c r="U66" s="198"/>
    </row>
    <row r="67" spans="1:21" s="12" customFormat="1" ht="15">
      <c r="A67" s="201" t="s">
        <v>2321</v>
      </c>
      <c r="B67" s="60">
        <v>0.54</v>
      </c>
      <c r="C67" s="60">
        <v>15.91</v>
      </c>
      <c r="D67" s="60">
        <v>16.440000000000001</v>
      </c>
      <c r="E67" s="60">
        <v>5.67</v>
      </c>
      <c r="F67" s="60">
        <v>2.86</v>
      </c>
      <c r="G67" s="60">
        <v>54.33</v>
      </c>
      <c r="H67" s="60">
        <v>16.579999999999998</v>
      </c>
      <c r="I67" s="60">
        <v>5.5</v>
      </c>
      <c r="J67" s="60">
        <v>0.86</v>
      </c>
      <c r="K67" s="60">
        <v>223.43</v>
      </c>
      <c r="L67" s="60">
        <v>48.11</v>
      </c>
      <c r="M67" s="60">
        <v>50.79</v>
      </c>
      <c r="N67" s="60">
        <v>1284.0999999999999</v>
      </c>
      <c r="O67" s="60">
        <v>0</v>
      </c>
      <c r="P67" s="60">
        <v>2.2200000000000002</v>
      </c>
      <c r="Q67" s="60">
        <v>6.95</v>
      </c>
      <c r="R67" s="198"/>
      <c r="S67" s="198"/>
      <c r="T67" s="198"/>
      <c r="U67" s="198"/>
    </row>
    <row r="68" spans="1:21" s="12" customFormat="1" ht="15">
      <c r="A68" s="201" t="s">
        <v>2322</v>
      </c>
      <c r="B68" s="60">
        <v>0.70</v>
      </c>
      <c r="C68" s="60">
        <v>16.05</v>
      </c>
      <c r="D68" s="60">
        <v>16.75</v>
      </c>
      <c r="E68" s="60">
        <v>5.72</v>
      </c>
      <c r="F68" s="60">
        <v>2.4300000000000002</v>
      </c>
      <c r="G68" s="60">
        <v>55.91</v>
      </c>
      <c r="H68" s="60">
        <v>16.45</v>
      </c>
      <c r="I68" s="60">
        <v>5.51</v>
      </c>
      <c r="J68" s="60">
        <v>2.31</v>
      </c>
      <c r="K68" s="60">
        <v>314.5</v>
      </c>
      <c r="L68" s="60">
        <v>50.22</v>
      </c>
      <c r="M68" s="60">
        <v>47.04</v>
      </c>
      <c r="N68" s="60">
        <v>1414.70</v>
      </c>
      <c r="O68" s="60">
        <v>0</v>
      </c>
      <c r="P68" s="60">
        <v>2.23</v>
      </c>
      <c r="Q68" s="60">
        <v>6.68</v>
      </c>
      <c r="R68" s="198"/>
      <c r="S68" s="198"/>
      <c r="T68" s="198"/>
      <c r="U68" s="198"/>
    </row>
    <row r="69" spans="1:21" s="12" customFormat="1" ht="15">
      <c r="A69" s="201" t="s">
        <v>2323</v>
      </c>
      <c r="B69" s="60">
        <v>1.04</v>
      </c>
      <c r="C69" s="60">
        <v>16.70</v>
      </c>
      <c r="D69" s="60">
        <v>17.739999999999998</v>
      </c>
      <c r="E69" s="60">
        <v>6.20</v>
      </c>
      <c r="F69" s="60">
        <v>2.61</v>
      </c>
      <c r="G69" s="60">
        <v>56.40</v>
      </c>
      <c r="H69" s="60">
        <v>16.36</v>
      </c>
      <c r="I69" s="60">
        <v>5.51</v>
      </c>
      <c r="J69" s="60">
        <v>1.66</v>
      </c>
      <c r="K69" s="60">
        <v>313.27</v>
      </c>
      <c r="L69" s="60">
        <v>52.45</v>
      </c>
      <c r="M69" s="60">
        <v>44.26</v>
      </c>
      <c r="N69" s="60">
        <v>1180</v>
      </c>
      <c r="O69" s="60">
        <v>0</v>
      </c>
      <c r="P69" s="60">
        <v>2.2400000000000002</v>
      </c>
      <c r="Q69" s="60">
        <v>6.60</v>
      </c>
      <c r="R69" s="198"/>
      <c r="S69" s="198"/>
      <c r="T69" s="198"/>
      <c r="U69" s="198"/>
    </row>
    <row r="70" spans="1:21" s="12" customFormat="1" ht="15">
      <c r="A70" s="201" t="s">
        <v>2324</v>
      </c>
      <c r="B70" s="60">
        <v>1.22</v>
      </c>
      <c r="C70" s="60">
        <v>17.87</v>
      </c>
      <c r="D70" s="60">
        <v>19.09</v>
      </c>
      <c r="E70" s="60">
        <v>6.26</v>
      </c>
      <c r="F70" s="60">
        <v>2.79</v>
      </c>
      <c r="G70" s="60">
        <v>56.40</v>
      </c>
      <c r="H70" s="60">
        <v>16.36</v>
      </c>
      <c r="I70" s="60">
        <v>5.56</v>
      </c>
      <c r="J70" s="60">
        <v>3.26</v>
      </c>
      <c r="K70" s="60">
        <v>353.08</v>
      </c>
      <c r="L70" s="60">
        <v>48.36</v>
      </c>
      <c r="M70" s="60">
        <v>50.65</v>
      </c>
      <c r="N70" s="60">
        <v>843.5</v>
      </c>
      <c r="O70" s="60">
        <v>0</v>
      </c>
      <c r="P70" s="60">
        <v>2.2400000000000002</v>
      </c>
      <c r="Q70" s="60">
        <v>6.75</v>
      </c>
      <c r="R70" s="198"/>
      <c r="S70" s="198"/>
      <c r="T70" s="198"/>
      <c r="U70" s="198"/>
    </row>
    <row r="71" spans="1:21" s="12" customFormat="1" ht="15">
      <c r="A71" s="201" t="s">
        <v>2325</v>
      </c>
      <c r="B71" s="60">
        <v>1.31</v>
      </c>
      <c r="C71" s="60">
        <v>19.38</v>
      </c>
      <c r="D71" s="60">
        <v>20.69</v>
      </c>
      <c r="E71" s="60">
        <v>6.21</v>
      </c>
      <c r="F71" s="60">
        <v>4.32</v>
      </c>
      <c r="G71" s="60">
        <v>56.40</v>
      </c>
      <c r="H71" s="60">
        <v>16.36</v>
      </c>
      <c r="I71" s="60">
        <v>5.53</v>
      </c>
      <c r="J71" s="60">
        <v>5.31</v>
      </c>
      <c r="K71" s="60">
        <v>5.85</v>
      </c>
      <c r="L71" s="60">
        <v>45.76</v>
      </c>
      <c r="M71" s="60">
        <v>61.20</v>
      </c>
      <c r="N71" s="60">
        <v>1042.70</v>
      </c>
      <c r="O71" s="60">
        <v>0</v>
      </c>
      <c r="P71" s="60">
        <v>2.2400000000000002</v>
      </c>
      <c r="Q71" s="60">
        <v>7.04</v>
      </c>
      <c r="R71" s="198"/>
      <c r="S71" s="198"/>
      <c r="T71" s="198"/>
      <c r="U71" s="198"/>
    </row>
    <row r="72" spans="1:21" s="12" customFormat="1" ht="15">
      <c r="A72" s="201" t="s">
        <v>2326</v>
      </c>
      <c r="B72" s="60">
        <v>1.40</v>
      </c>
      <c r="C72" s="60">
        <v>22.07</v>
      </c>
      <c r="D72" s="60">
        <v>23.47</v>
      </c>
      <c r="E72" s="60">
        <v>2.97</v>
      </c>
      <c r="F72" s="60">
        <v>4.16</v>
      </c>
      <c r="G72" s="60">
        <v>67.80</v>
      </c>
      <c r="H72" s="60">
        <v>18.79</v>
      </c>
      <c r="I72" s="60">
        <v>5.53</v>
      </c>
      <c r="J72" s="60">
        <v>3.75</v>
      </c>
      <c r="K72" s="60">
        <v>39.57</v>
      </c>
      <c r="L72" s="60">
        <v>43.61</v>
      </c>
      <c r="M72" s="60">
        <v>67.36</v>
      </c>
      <c r="N72" s="60">
        <v>987.60</v>
      </c>
      <c r="O72" s="60">
        <v>0</v>
      </c>
      <c r="P72" s="60">
        <v>2.27</v>
      </c>
      <c r="Q72" s="60">
        <v>7.53</v>
      </c>
      <c r="R72" s="198"/>
      <c r="S72" s="198"/>
      <c r="T72" s="198"/>
      <c r="U72" s="198"/>
    </row>
    <row r="73" spans="1:21" s="12" customFormat="1" ht="15">
      <c r="A73" s="201" t="s">
        <v>2327</v>
      </c>
      <c r="B73" s="60">
        <v>1.28</v>
      </c>
      <c r="C73" s="60">
        <v>23.52</v>
      </c>
      <c r="D73" s="60">
        <v>24.81</v>
      </c>
      <c r="E73" s="60">
        <v>6.18</v>
      </c>
      <c r="F73" s="60">
        <v>3.33</v>
      </c>
      <c r="G73" s="60">
        <v>71.09</v>
      </c>
      <c r="H73" s="60">
        <v>20.55</v>
      </c>
      <c r="I73" s="60">
        <v>5.33</v>
      </c>
      <c r="J73" s="60">
        <v>3.03</v>
      </c>
      <c r="K73" s="60">
        <v>37.479999999999997</v>
      </c>
      <c r="L73" s="60">
        <v>41.90</v>
      </c>
      <c r="M73" s="60">
        <v>73.069999999999993</v>
      </c>
      <c r="N73" s="60">
        <v>957.40</v>
      </c>
      <c r="O73" s="60">
        <v>0</v>
      </c>
      <c r="P73" s="60">
        <v>2.27</v>
      </c>
      <c r="Q73" s="60">
        <v>7.93</v>
      </c>
      <c r="R73" s="198"/>
      <c r="S73" s="198"/>
      <c r="T73" s="198"/>
      <c r="U73" s="198"/>
    </row>
    <row r="74" spans="1:21" s="12" customFormat="1" ht="15">
      <c r="A74" s="201" t="s">
        <v>2328</v>
      </c>
      <c r="B74" s="60">
        <v>1.37</v>
      </c>
      <c r="C74" s="60">
        <v>23.36</v>
      </c>
      <c r="D74" s="60">
        <v>24.73</v>
      </c>
      <c r="E74" s="60">
        <v>6</v>
      </c>
      <c r="F74" s="60">
        <v>2.91</v>
      </c>
      <c r="G74" s="60">
        <v>71.09</v>
      </c>
      <c r="H74" s="60">
        <v>20.55</v>
      </c>
      <c r="I74" s="60">
        <v>5.27</v>
      </c>
      <c r="J74" s="60">
        <v>3.46</v>
      </c>
      <c r="K74" s="60">
        <v>62.72</v>
      </c>
      <c r="L74" s="60">
        <v>41.83</v>
      </c>
      <c r="M74" s="60">
        <v>70.13</v>
      </c>
      <c r="N74" s="60">
        <v>881.10</v>
      </c>
      <c r="O74" s="60">
        <v>0</v>
      </c>
      <c r="P74" s="60">
        <v>2.29</v>
      </c>
      <c r="Q74" s="60">
        <v>8.3000000000000007</v>
      </c>
      <c r="R74" s="198"/>
      <c r="S74" s="198"/>
      <c r="T74" s="198"/>
      <c r="U74" s="198"/>
    </row>
    <row r="75" spans="1:21" s="12" customFormat="1" ht="15">
      <c r="A75" s="201" t="s">
        <v>2329</v>
      </c>
      <c r="B75" s="60">
        <v>1.38</v>
      </c>
      <c r="C75" s="60">
        <v>23.49</v>
      </c>
      <c r="D75" s="60">
        <v>24.87</v>
      </c>
      <c r="E75" s="60">
        <v>6.09</v>
      </c>
      <c r="F75" s="60">
        <v>2.81</v>
      </c>
      <c r="G75" s="60">
        <v>71.09</v>
      </c>
      <c r="H75" s="60">
        <v>20.55</v>
      </c>
      <c r="I75" s="60">
        <v>5.18</v>
      </c>
      <c r="J75" s="60">
        <v>3.49</v>
      </c>
      <c r="K75" s="60">
        <v>73.47</v>
      </c>
      <c r="L75" s="60">
        <v>40.60</v>
      </c>
      <c r="M75" s="60">
        <v>66.260000000000005</v>
      </c>
      <c r="N75" s="60">
        <v>864.10</v>
      </c>
      <c r="O75" s="60">
        <v>0</v>
      </c>
      <c r="P75" s="60">
        <v>2.29</v>
      </c>
      <c r="Q75" s="60">
        <v>8.61</v>
      </c>
      <c r="R75" s="198"/>
      <c r="S75" s="198"/>
      <c r="T75" s="198"/>
      <c r="U75" s="198"/>
    </row>
    <row r="76" spans="1:21" s="12" customFormat="1" ht="15">
      <c r="A76" s="201" t="s">
        <v>2330</v>
      </c>
      <c r="B76" s="60">
        <v>1.17</v>
      </c>
      <c r="C76" s="60">
        <v>23.03</v>
      </c>
      <c r="D76" s="60">
        <v>24.20</v>
      </c>
      <c r="E76" s="60">
        <v>6.12</v>
      </c>
      <c r="F76" s="60">
        <v>2.56</v>
      </c>
      <c r="G76" s="60">
        <v>71.66</v>
      </c>
      <c r="H76" s="60">
        <v>20.53</v>
      </c>
      <c r="I76" s="60">
        <v>5.19</v>
      </c>
      <c r="J76" s="60">
        <v>4.3099999999999996</v>
      </c>
      <c r="K76" s="60">
        <v>94.05</v>
      </c>
      <c r="L76" s="60">
        <v>39.83</v>
      </c>
      <c r="M76" s="60">
        <v>70.59</v>
      </c>
      <c r="N76" s="60">
        <v>717</v>
      </c>
      <c r="O76" s="60">
        <v>0</v>
      </c>
      <c r="P76" s="60">
        <v>2.29</v>
      </c>
      <c r="Q76" s="60">
        <v>8.75</v>
      </c>
      <c r="R76" s="198"/>
      <c r="S76" s="198"/>
      <c r="T76" s="198"/>
      <c r="U76" s="198"/>
    </row>
    <row r="77" spans="1:21" s="12" customFormat="1" ht="15">
      <c r="A77" s="201" t="s">
        <v>2331</v>
      </c>
      <c r="B77" s="60">
        <v>0.83</v>
      </c>
      <c r="C77" s="60">
        <v>21.41</v>
      </c>
      <c r="D77" s="60">
        <v>22.23</v>
      </c>
      <c r="E77" s="60">
        <v>6.14</v>
      </c>
      <c r="F77" s="60">
        <v>2.48</v>
      </c>
      <c r="G77" s="60">
        <v>71.83</v>
      </c>
      <c r="H77" s="60">
        <v>20.51</v>
      </c>
      <c r="I77" s="60">
        <v>5.13</v>
      </c>
      <c r="J77" s="60">
        <v>3.88</v>
      </c>
      <c r="K77" s="60">
        <v>96.32</v>
      </c>
      <c r="L77" s="60">
        <v>41.18</v>
      </c>
      <c r="M77" s="60">
        <v>68.069999999999993</v>
      </c>
      <c r="N77" s="60">
        <v>720.40</v>
      </c>
      <c r="O77" s="60">
        <v>0</v>
      </c>
      <c r="P77" s="60">
        <v>2.2599999999999998</v>
      </c>
      <c r="Q77" s="60">
        <v>8.31</v>
      </c>
      <c r="R77" s="198"/>
      <c r="S77" s="198"/>
      <c r="T77" s="198"/>
      <c r="U77" s="198"/>
    </row>
    <row r="78" spans="1:21" s="12" customFormat="1" ht="15">
      <c r="A78" s="201" t="s">
        <v>2332</v>
      </c>
      <c r="B78" s="60">
        <v>0.61</v>
      </c>
      <c r="C78" s="60">
        <v>19.829999999999998</v>
      </c>
      <c r="D78" s="60">
        <v>20.440000000000001</v>
      </c>
      <c r="E78" s="60">
        <v>5.96</v>
      </c>
      <c r="F78" s="60">
        <v>2.78</v>
      </c>
      <c r="G78" s="60">
        <v>71.83</v>
      </c>
      <c r="H78" s="60">
        <v>20.51</v>
      </c>
      <c r="I78" s="60">
        <v>5.07</v>
      </c>
      <c r="J78" s="60">
        <v>2.16</v>
      </c>
      <c r="K78" s="60">
        <v>72.83</v>
      </c>
      <c r="L78" s="60">
        <v>41.11</v>
      </c>
      <c r="M78" s="60">
        <v>68.55</v>
      </c>
      <c r="N78" s="60">
        <v>769.60</v>
      </c>
      <c r="O78" s="60">
        <v>0</v>
      </c>
      <c r="P78" s="60">
        <v>2.2400000000000002</v>
      </c>
      <c r="Q78" s="60">
        <v>7.92</v>
      </c>
      <c r="R78" s="198"/>
      <c r="S78" s="198"/>
      <c r="T78" s="198"/>
      <c r="U78" s="198"/>
    </row>
    <row r="79" spans="1:21" s="12" customFormat="1" ht="15">
      <c r="A79" s="201" t="s">
        <v>2333</v>
      </c>
      <c r="B79" s="60">
        <v>0.80</v>
      </c>
      <c r="C79" s="60">
        <v>19.91</v>
      </c>
      <c r="D79" s="60">
        <v>20.71</v>
      </c>
      <c r="E79" s="60">
        <v>5.67</v>
      </c>
      <c r="F79" s="60">
        <v>2.3199999999999998</v>
      </c>
      <c r="G79" s="60">
        <v>71.83</v>
      </c>
      <c r="H79" s="60">
        <v>20.51</v>
      </c>
      <c r="I79" s="60">
        <v>4.91</v>
      </c>
      <c r="J79" s="60">
        <v>2.23</v>
      </c>
      <c r="K79" s="60">
        <v>59.79</v>
      </c>
      <c r="L79" s="60">
        <v>42.01</v>
      </c>
      <c r="M79" s="60">
        <v>68.05</v>
      </c>
      <c r="N79" s="60">
        <v>798.80</v>
      </c>
      <c r="O79" s="60">
        <v>0</v>
      </c>
      <c r="P79" s="60">
        <v>2.25</v>
      </c>
      <c r="Q79" s="60">
        <v>8.0399999999999991</v>
      </c>
      <c r="R79" s="198"/>
      <c r="S79" s="198"/>
      <c r="T79" s="198"/>
      <c r="U79" s="198"/>
    </row>
    <row r="80" spans="1:21" s="12" customFormat="1" ht="15">
      <c r="A80" s="201" t="s">
        <v>2334</v>
      </c>
      <c r="B80" s="60">
        <v>1.22</v>
      </c>
      <c r="C80" s="60">
        <v>21.04</v>
      </c>
      <c r="D80" s="60">
        <v>22.26</v>
      </c>
      <c r="E80" s="60">
        <v>6</v>
      </c>
      <c r="F80" s="60">
        <v>2.11</v>
      </c>
      <c r="G80" s="60">
        <v>65.489999999999995</v>
      </c>
      <c r="H80" s="60">
        <v>20.67</v>
      </c>
      <c r="I80" s="60">
        <v>4.82</v>
      </c>
      <c r="J80" s="60">
        <v>1.70</v>
      </c>
      <c r="K80" s="60">
        <v>30.73</v>
      </c>
      <c r="L80" s="60">
        <v>42.01</v>
      </c>
      <c r="M80" s="60">
        <v>68.14</v>
      </c>
      <c r="N80" s="60">
        <v>770.70</v>
      </c>
      <c r="O80" s="60">
        <v>0</v>
      </c>
      <c r="P80" s="60">
        <v>2.2799999999999998</v>
      </c>
      <c r="Q80" s="60">
        <v>8.34</v>
      </c>
      <c r="R80" s="198"/>
      <c r="S80" s="198"/>
      <c r="T80" s="198"/>
      <c r="U80" s="198"/>
    </row>
    <row r="81" spans="1:21" s="12" customFormat="1" ht="15">
      <c r="A81" s="201" t="s">
        <v>2335</v>
      </c>
      <c r="B81" s="60">
        <v>1.75</v>
      </c>
      <c r="C81" s="60">
        <v>23.01</v>
      </c>
      <c r="D81" s="60">
        <v>24.76</v>
      </c>
      <c r="E81" s="60">
        <v>5.88</v>
      </c>
      <c r="F81" s="60">
        <v>1.75</v>
      </c>
      <c r="G81" s="60">
        <v>62.21</v>
      </c>
      <c r="H81" s="60">
        <v>20.79</v>
      </c>
      <c r="I81" s="60">
        <v>4.83</v>
      </c>
      <c r="J81" s="60">
        <v>1.82</v>
      </c>
      <c r="K81" s="60">
        <v>51.68</v>
      </c>
      <c r="L81" s="60">
        <v>42.65</v>
      </c>
      <c r="M81" s="60">
        <v>69.430000000000007</v>
      </c>
      <c r="N81" s="60">
        <v>641.70000000000005</v>
      </c>
      <c r="O81" s="60">
        <v>0</v>
      </c>
      <c r="P81" s="60">
        <v>2.33</v>
      </c>
      <c r="Q81" s="60">
        <v>8.73</v>
      </c>
      <c r="R81" s="198"/>
      <c r="S81" s="198"/>
      <c r="T81" s="198"/>
      <c r="U81" s="198"/>
    </row>
    <row r="82" spans="1:21" s="12" customFormat="1" ht="15">
      <c r="A82" s="201" t="s">
        <v>2336</v>
      </c>
      <c r="B82" s="60">
        <v>2.27</v>
      </c>
      <c r="C82" s="60">
        <v>24.73</v>
      </c>
      <c r="D82" s="60">
        <v>26.99</v>
      </c>
      <c r="E82" s="60">
        <v>5.92</v>
      </c>
      <c r="F82" s="60">
        <v>1.47</v>
      </c>
      <c r="G82" s="60">
        <v>62.21</v>
      </c>
      <c r="H82" s="60">
        <v>20.79</v>
      </c>
      <c r="I82" s="60">
        <v>4.95</v>
      </c>
      <c r="J82" s="60">
        <v>2.06</v>
      </c>
      <c r="K82" s="60">
        <v>27.35</v>
      </c>
      <c r="L82" s="60">
        <v>44.69</v>
      </c>
      <c r="M82" s="60">
        <v>68.80</v>
      </c>
      <c r="N82" s="60">
        <v>645.79999999999995</v>
      </c>
      <c r="O82" s="60">
        <v>0</v>
      </c>
      <c r="P82" s="60">
        <v>2.37</v>
      </c>
      <c r="Q82" s="60">
        <v>9.24</v>
      </c>
      <c r="R82" s="198"/>
      <c r="S82" s="198"/>
      <c r="T82" s="198"/>
      <c r="U82" s="198"/>
    </row>
    <row r="83" spans="1:21" s="12" customFormat="1" ht="15">
      <c r="A83" s="201" t="s">
        <v>2337</v>
      </c>
      <c r="B83" s="60">
        <v>2.42</v>
      </c>
      <c r="C83" s="60">
        <v>25.30</v>
      </c>
      <c r="D83" s="60">
        <v>27.72</v>
      </c>
      <c r="E83" s="60">
        <v>6.24</v>
      </c>
      <c r="F83" s="60">
        <v>1.32</v>
      </c>
      <c r="G83" s="60">
        <v>62.21</v>
      </c>
      <c r="H83" s="60">
        <v>20.79</v>
      </c>
      <c r="I83" s="60">
        <v>5.21</v>
      </c>
      <c r="J83" s="60">
        <v>1.95</v>
      </c>
      <c r="K83" s="60">
        <v>89.65</v>
      </c>
      <c r="L83" s="60">
        <v>43.35</v>
      </c>
      <c r="M83" s="60">
        <v>66.53</v>
      </c>
      <c r="N83" s="60">
        <v>703.70</v>
      </c>
      <c r="O83" s="60">
        <v>0</v>
      </c>
      <c r="P83" s="60">
        <v>2.40</v>
      </c>
      <c r="Q83" s="60">
        <v>9.40</v>
      </c>
      <c r="R83" s="198"/>
      <c r="S83" s="198"/>
      <c r="T83" s="198"/>
      <c r="U83" s="198"/>
    </row>
    <row r="84" spans="1:21" s="12" customFormat="1" ht="15">
      <c r="A84" s="201" t="s">
        <v>2338</v>
      </c>
      <c r="B84" s="60">
        <v>2.40</v>
      </c>
      <c r="C84" s="60">
        <v>24.09</v>
      </c>
      <c r="D84" s="60">
        <v>26.49</v>
      </c>
      <c r="E84" s="60">
        <v>6.29</v>
      </c>
      <c r="F84" s="60">
        <v>0.96</v>
      </c>
      <c r="G84" s="60">
        <v>66.16</v>
      </c>
      <c r="H84" s="60">
        <v>20.29</v>
      </c>
      <c r="I84" s="60">
        <v>5.47</v>
      </c>
      <c r="J84" s="60">
        <v>2.29</v>
      </c>
      <c r="K84" s="60">
        <v>75.209999999999994</v>
      </c>
      <c r="L84" s="60">
        <v>43.65</v>
      </c>
      <c r="M84" s="60">
        <v>63.82</v>
      </c>
      <c r="N84" s="60">
        <v>790.40</v>
      </c>
      <c r="O84" s="60">
        <v>0</v>
      </c>
      <c r="P84" s="60">
        <v>2.41</v>
      </c>
      <c r="Q84" s="60">
        <v>8.9700000000000006</v>
      </c>
      <c r="R84" s="198"/>
      <c r="S84" s="198"/>
      <c r="T84" s="198"/>
      <c r="U84" s="198"/>
    </row>
    <row r="85" spans="1:21" s="12" customFormat="1" ht="15">
      <c r="A85" s="201" t="s">
        <v>2339</v>
      </c>
      <c r="B85" s="60">
        <v>2.4300000000000002</v>
      </c>
      <c r="C85" s="60">
        <v>22.92</v>
      </c>
      <c r="D85" s="60">
        <v>25.35</v>
      </c>
      <c r="E85" s="60">
        <v>6.60</v>
      </c>
      <c r="F85" s="60">
        <v>0.90</v>
      </c>
      <c r="G85" s="60">
        <v>67.319999999999993</v>
      </c>
      <c r="H85" s="60">
        <v>19.93</v>
      </c>
      <c r="I85" s="60">
        <v>5.69</v>
      </c>
      <c r="J85" s="60">
        <v>3.11</v>
      </c>
      <c r="K85" s="60">
        <v>84.16</v>
      </c>
      <c r="L85" s="60">
        <v>41.97</v>
      </c>
      <c r="M85" s="60">
        <v>62.91</v>
      </c>
      <c r="N85" s="60">
        <v>750.60</v>
      </c>
      <c r="O85" s="60">
        <v>0</v>
      </c>
      <c r="P85" s="60">
        <v>2.41</v>
      </c>
      <c r="Q85" s="60">
        <v>8.26</v>
      </c>
      <c r="R85" s="198"/>
      <c r="S85" s="198"/>
      <c r="T85" s="198"/>
      <c r="U85" s="198"/>
    </row>
    <row r="86" spans="1:21" s="12" customFormat="1" ht="15">
      <c r="A86" s="201" t="s">
        <v>2340</v>
      </c>
      <c r="B86" s="60">
        <v>2.34</v>
      </c>
      <c r="C86" s="60">
        <v>21.89</v>
      </c>
      <c r="D86" s="60">
        <v>24.23</v>
      </c>
      <c r="E86" s="60">
        <v>6.88</v>
      </c>
      <c r="F86" s="60">
        <v>1.06</v>
      </c>
      <c r="G86" s="60">
        <v>67.319999999999993</v>
      </c>
      <c r="H86" s="60">
        <v>19.93</v>
      </c>
      <c r="I86" s="60">
        <v>5.77</v>
      </c>
      <c r="J86" s="60">
        <v>3.08</v>
      </c>
      <c r="K86" s="60">
        <v>84.86</v>
      </c>
      <c r="L86" s="60">
        <v>40.90</v>
      </c>
      <c r="M86" s="60">
        <v>66.95</v>
      </c>
      <c r="N86" s="60">
        <v>659</v>
      </c>
      <c r="O86" s="60">
        <v>0</v>
      </c>
      <c r="P86" s="60">
        <v>2.39</v>
      </c>
      <c r="Q86" s="60">
        <v>7.84</v>
      </c>
      <c r="R86" s="198"/>
      <c r="S86" s="198"/>
      <c r="T86" s="198"/>
      <c r="U86" s="198"/>
    </row>
    <row r="87" spans="1:21" s="12" customFormat="1" ht="15">
      <c r="A87" s="201" t="s">
        <v>2341</v>
      </c>
      <c r="B87" s="60">
        <v>2.31</v>
      </c>
      <c r="C87" s="60">
        <v>21.13</v>
      </c>
      <c r="D87" s="60">
        <v>23.44</v>
      </c>
      <c r="E87" s="60">
        <v>6.94</v>
      </c>
      <c r="F87" s="60">
        <v>1.1299999999999999</v>
      </c>
      <c r="G87" s="60">
        <v>67.319999999999993</v>
      </c>
      <c r="H87" s="60">
        <v>19.93</v>
      </c>
      <c r="I87" s="60">
        <v>5.82</v>
      </c>
      <c r="J87" s="60">
        <v>1.95</v>
      </c>
      <c r="K87" s="60">
        <v>53.38</v>
      </c>
      <c r="L87" s="60">
        <v>41.70</v>
      </c>
      <c r="M87" s="60">
        <v>69.14</v>
      </c>
      <c r="N87" s="60">
        <v>643.5</v>
      </c>
      <c r="O87" s="60">
        <v>0</v>
      </c>
      <c r="P87" s="60">
        <v>2.40</v>
      </c>
      <c r="Q87" s="60">
        <v>7.57</v>
      </c>
      <c r="R87" s="198"/>
      <c r="S87" s="198"/>
      <c r="T87" s="198"/>
      <c r="U87" s="198"/>
    </row>
    <row r="88" spans="1:21" s="12" customFormat="1" ht="15">
      <c r="A88" s="201" t="s">
        <v>2342</v>
      </c>
      <c r="B88" s="60">
        <v>2.48</v>
      </c>
      <c r="C88" s="60">
        <v>20.84</v>
      </c>
      <c r="D88" s="60">
        <v>23.31</v>
      </c>
      <c r="E88" s="60">
        <v>3.24</v>
      </c>
      <c r="F88" s="60">
        <v>0.89</v>
      </c>
      <c r="G88" s="60">
        <v>67.03</v>
      </c>
      <c r="H88" s="60">
        <v>19.88</v>
      </c>
      <c r="I88" s="60">
        <v>5.87</v>
      </c>
      <c r="J88" s="60">
        <v>1.55</v>
      </c>
      <c r="K88" s="60">
        <v>57.92</v>
      </c>
      <c r="L88" s="60">
        <v>43.56</v>
      </c>
      <c r="M88" s="60">
        <v>67.94</v>
      </c>
      <c r="N88" s="60">
        <v>682.80</v>
      </c>
      <c r="O88" s="60">
        <v>0</v>
      </c>
      <c r="P88" s="60">
        <v>2.42</v>
      </c>
      <c r="Q88" s="60">
        <v>7.55</v>
      </c>
      <c r="R88" s="198"/>
      <c r="S88" s="198"/>
      <c r="T88" s="198"/>
      <c r="U88" s="198"/>
    </row>
    <row r="89" spans="1:21" s="12" customFormat="1" ht="15">
      <c r="A89" s="201" t="s">
        <v>2343</v>
      </c>
      <c r="B89" s="60">
        <v>2.5</v>
      </c>
      <c r="C89" s="60">
        <v>20.100000000000001</v>
      </c>
      <c r="D89" s="60">
        <v>22.60</v>
      </c>
      <c r="E89" s="60">
        <v>6.68</v>
      </c>
      <c r="F89" s="60">
        <v>1.03</v>
      </c>
      <c r="G89" s="60">
        <v>66.95</v>
      </c>
      <c r="H89" s="60">
        <v>19.850000000000001</v>
      </c>
      <c r="I89" s="60">
        <v>5.92</v>
      </c>
      <c r="J89" s="60">
        <v>1.69</v>
      </c>
      <c r="K89" s="60">
        <v>131.69999999999999</v>
      </c>
      <c r="L89" s="60">
        <v>42.20</v>
      </c>
      <c r="M89" s="60">
        <v>67.33</v>
      </c>
      <c r="N89" s="60">
        <v>692.40</v>
      </c>
      <c r="O89" s="60">
        <v>0</v>
      </c>
      <c r="P89" s="60">
        <v>2.42</v>
      </c>
      <c r="Q89" s="60">
        <v>7.35</v>
      </c>
      <c r="R89" s="198"/>
      <c r="S89" s="198"/>
      <c r="T89" s="198"/>
      <c r="U89" s="198"/>
    </row>
    <row r="90" spans="1:21" s="12" customFormat="1" ht="15">
      <c r="A90" s="201" t="s">
        <v>2344</v>
      </c>
      <c r="B90" s="60">
        <v>2.39</v>
      </c>
      <c r="C90" s="60">
        <v>19.88</v>
      </c>
      <c r="D90" s="60">
        <v>22.27</v>
      </c>
      <c r="E90" s="60">
        <v>7.26</v>
      </c>
      <c r="F90" s="60">
        <v>0.97</v>
      </c>
      <c r="G90" s="60">
        <v>66.95</v>
      </c>
      <c r="H90" s="60">
        <v>19.850000000000001</v>
      </c>
      <c r="I90" s="60">
        <v>5.99</v>
      </c>
      <c r="J90" s="60">
        <v>2.21</v>
      </c>
      <c r="K90" s="60">
        <v>84.49</v>
      </c>
      <c r="L90" s="60">
        <v>41.45</v>
      </c>
      <c r="M90" s="60">
        <v>67.510000000000005</v>
      </c>
      <c r="N90" s="60">
        <v>683.60</v>
      </c>
      <c r="O90" s="60">
        <v>0</v>
      </c>
      <c r="P90" s="60">
        <v>2.41</v>
      </c>
      <c r="Q90" s="60">
        <v>7.28</v>
      </c>
      <c r="R90" s="198"/>
      <c r="S90" s="198"/>
      <c r="T90" s="198"/>
      <c r="U90" s="198"/>
    </row>
    <row r="91" spans="1:21" s="12" customFormat="1" ht="15">
      <c r="A91" s="201" t="s">
        <v>2345</v>
      </c>
      <c r="B91" s="60">
        <v>2</v>
      </c>
      <c r="C91" s="60">
        <v>19.899999999999999</v>
      </c>
      <c r="D91" s="60">
        <v>21.90</v>
      </c>
      <c r="E91" s="60">
        <v>7.43</v>
      </c>
      <c r="F91" s="60">
        <v>1.21</v>
      </c>
      <c r="G91" s="60">
        <v>66.95</v>
      </c>
      <c r="H91" s="60">
        <v>19.850000000000001</v>
      </c>
      <c r="I91" s="60">
        <v>6.03</v>
      </c>
      <c r="J91" s="60">
        <v>1.33</v>
      </c>
      <c r="K91" s="60">
        <v>125.75</v>
      </c>
      <c r="L91" s="60">
        <v>44.03</v>
      </c>
      <c r="M91" s="60">
        <v>68.56</v>
      </c>
      <c r="N91" s="60">
        <v>681</v>
      </c>
      <c r="O91" s="60">
        <v>0</v>
      </c>
      <c r="P91" s="60">
        <v>2.39</v>
      </c>
      <c r="Q91" s="60">
        <v>7.40</v>
      </c>
      <c r="R91" s="198"/>
      <c r="S91" s="198"/>
      <c r="T91" s="198"/>
      <c r="U91" s="198"/>
    </row>
    <row r="92" spans="1:21" s="12" customFormat="1" ht="15">
      <c r="A92" s="201" t="s">
        <v>2346</v>
      </c>
      <c r="B92" s="60">
        <v>1.48</v>
      </c>
      <c r="C92" s="60">
        <v>20.02</v>
      </c>
      <c r="D92" s="60">
        <v>21.51</v>
      </c>
      <c r="E92" s="60">
        <v>6.78</v>
      </c>
      <c r="F92" s="60">
        <v>1.48</v>
      </c>
      <c r="G92" s="60">
        <v>65.75</v>
      </c>
      <c r="H92" s="60">
        <v>22.59</v>
      </c>
      <c r="I92" s="60">
        <v>6</v>
      </c>
      <c r="J92" s="60">
        <v>1.25</v>
      </c>
      <c r="K92" s="60">
        <v>108.28</v>
      </c>
      <c r="L92" s="60">
        <v>40.98</v>
      </c>
      <c r="M92" s="60">
        <v>69.52</v>
      </c>
      <c r="N92" s="60">
        <v>685.20</v>
      </c>
      <c r="O92" s="60">
        <v>0</v>
      </c>
      <c r="P92" s="60">
        <v>2.37</v>
      </c>
      <c r="Q92" s="60">
        <v>7.63</v>
      </c>
      <c r="R92" s="198"/>
      <c r="S92" s="198"/>
      <c r="T92" s="198"/>
      <c r="U92" s="198"/>
    </row>
    <row r="93" spans="1:21" s="12" customFormat="1" ht="15">
      <c r="A93" s="201" t="s">
        <v>2347</v>
      </c>
      <c r="B93" s="60">
        <v>1.1499999999999999</v>
      </c>
      <c r="C93" s="60">
        <v>20</v>
      </c>
      <c r="D93" s="60">
        <v>21.15</v>
      </c>
      <c r="E93" s="60">
        <v>6.55</v>
      </c>
      <c r="F93" s="60">
        <v>1.75</v>
      </c>
      <c r="G93" s="60">
        <v>65.260000000000005</v>
      </c>
      <c r="H93" s="60">
        <v>24.59</v>
      </c>
      <c r="I93" s="60">
        <v>5.85</v>
      </c>
      <c r="J93" s="60">
        <v>3.07</v>
      </c>
      <c r="K93" s="60">
        <v>88.25</v>
      </c>
      <c r="L93" s="60">
        <v>40.10</v>
      </c>
      <c r="M93" s="60">
        <v>70.739999999999995</v>
      </c>
      <c r="N93" s="60">
        <v>648.70000000000005</v>
      </c>
      <c r="O93" s="60">
        <v>0</v>
      </c>
      <c r="P93" s="60">
        <v>2.35</v>
      </c>
      <c r="Q93" s="60">
        <v>7.77</v>
      </c>
      <c r="R93" s="198"/>
      <c r="S93" s="198"/>
      <c r="T93" s="198"/>
      <c r="U93" s="198"/>
    </row>
    <row r="94" spans="1:21" s="12" customFormat="1" ht="15">
      <c r="A94" s="201" t="s">
        <v>2348</v>
      </c>
      <c r="B94" s="60">
        <v>1.03</v>
      </c>
      <c r="C94" s="60">
        <v>20.21</v>
      </c>
      <c r="D94" s="60">
        <v>21.25</v>
      </c>
      <c r="E94" s="60">
        <v>6.66</v>
      </c>
      <c r="F94" s="60">
        <v>1.53</v>
      </c>
      <c r="G94" s="60">
        <v>65.260000000000005</v>
      </c>
      <c r="H94" s="60">
        <v>24.59</v>
      </c>
      <c r="I94" s="60">
        <v>5.64</v>
      </c>
      <c r="J94" s="60">
        <v>2.86</v>
      </c>
      <c r="K94" s="60">
        <v>89.07</v>
      </c>
      <c r="L94" s="60">
        <v>41.59</v>
      </c>
      <c r="M94" s="60">
        <v>70.569999999999993</v>
      </c>
      <c r="N94" s="60">
        <v>687.30</v>
      </c>
      <c r="O94" s="60">
        <v>0</v>
      </c>
      <c r="P94" s="60">
        <v>2.33</v>
      </c>
      <c r="Q94" s="60">
        <v>7.88</v>
      </c>
      <c r="R94" s="198"/>
      <c r="S94" s="198"/>
      <c r="T94" s="198"/>
      <c r="U94" s="198"/>
    </row>
    <row r="95" spans="1:21" s="12" customFormat="1" ht="15">
      <c r="A95" s="201" t="s">
        <v>2349</v>
      </c>
      <c r="B95" s="60">
        <v>1.04</v>
      </c>
      <c r="C95" s="60">
        <v>20.68</v>
      </c>
      <c r="D95" s="60">
        <v>21.72</v>
      </c>
      <c r="E95" s="60">
        <v>6.33</v>
      </c>
      <c r="F95" s="60">
        <v>1.63</v>
      </c>
      <c r="G95" s="60">
        <v>65.260000000000005</v>
      </c>
      <c r="H95" s="60">
        <v>24.59</v>
      </c>
      <c r="I95" s="60">
        <v>5.52</v>
      </c>
      <c r="J95" s="60">
        <v>2.96</v>
      </c>
      <c r="K95" s="60">
        <v>89.64</v>
      </c>
      <c r="L95" s="60">
        <v>41.84</v>
      </c>
      <c r="M95" s="60">
        <v>71.02</v>
      </c>
      <c r="N95" s="60">
        <v>693.40</v>
      </c>
      <c r="O95" s="60">
        <v>0</v>
      </c>
      <c r="P95" s="60">
        <v>2.31</v>
      </c>
      <c r="Q95" s="60">
        <v>8.06</v>
      </c>
      <c r="R95" s="198"/>
      <c r="S95" s="198"/>
      <c r="T95" s="198"/>
      <c r="U95" s="198"/>
    </row>
    <row r="96" spans="1:26" s="12" customFormat="1" ht="15">
      <c r="A96" s="201" t="s">
        <v>2350</v>
      </c>
      <c r="B96" s="60">
        <v>1.01</v>
      </c>
      <c r="C96" s="60">
        <v>20.29</v>
      </c>
      <c r="D96" s="60">
        <v>21.30</v>
      </c>
      <c r="E96" s="60">
        <v>6.56</v>
      </c>
      <c r="F96" s="60">
        <v>1.75</v>
      </c>
      <c r="G96" s="60">
        <v>59.63</v>
      </c>
      <c r="H96" s="60">
        <v>20.90</v>
      </c>
      <c r="I96" s="60">
        <v>5.36</v>
      </c>
      <c r="J96" s="60">
        <v>1.5</v>
      </c>
      <c r="K96" s="60">
        <v>117.13</v>
      </c>
      <c r="L96" s="60">
        <v>42.36</v>
      </c>
      <c r="M96" s="60">
        <v>71.97</v>
      </c>
      <c r="N96" s="60">
        <v>573.90</v>
      </c>
      <c r="O96" s="60">
        <v>0</v>
      </c>
      <c r="P96" s="60">
        <v>2.29</v>
      </c>
      <c r="Q96" s="60">
        <v>8.0399999999999991</v>
      </c>
      <c r="R96" s="198"/>
      <c r="S96" s="198"/>
      <c r="T96" s="198"/>
      <c r="U96" s="198"/>
      <c r="Z96" s="109"/>
    </row>
    <row r="97" spans="1:21" s="12" customFormat="1" ht="15">
      <c r="A97" s="201" t="s">
        <v>2351</v>
      </c>
      <c r="B97" s="60">
        <v>0.97</v>
      </c>
      <c r="C97" s="60">
        <v>20.41</v>
      </c>
      <c r="D97" s="60">
        <v>21.38</v>
      </c>
      <c r="E97" s="60">
        <v>6.10</v>
      </c>
      <c r="F97" s="60">
        <v>1.40</v>
      </c>
      <c r="G97" s="60">
        <v>58.01</v>
      </c>
      <c r="H97" s="60">
        <v>18.329999999999998</v>
      </c>
      <c r="I97" s="60">
        <v>5.24</v>
      </c>
      <c r="J97" s="60">
        <v>1.66</v>
      </c>
      <c r="K97" s="60">
        <v>130.75</v>
      </c>
      <c r="L97" s="60">
        <v>41.24</v>
      </c>
      <c r="M97" s="60">
        <v>72.510000000000005</v>
      </c>
      <c r="N97" s="60">
        <v>580.70000000000005</v>
      </c>
      <c r="O97" s="60">
        <v>0</v>
      </c>
      <c r="P97" s="60">
        <v>2.27</v>
      </c>
      <c r="Q97" s="60">
        <v>7.92</v>
      </c>
      <c r="R97" s="198"/>
      <c r="S97" s="198"/>
      <c r="T97" s="198"/>
      <c r="U97" s="198"/>
    </row>
    <row r="98" spans="1:21" s="12" customFormat="1" ht="15">
      <c r="A98" s="201" t="s">
        <v>2352</v>
      </c>
      <c r="B98" s="60">
        <v>0.95</v>
      </c>
      <c r="C98" s="60">
        <v>19.72</v>
      </c>
      <c r="D98" s="60">
        <v>20.68</v>
      </c>
      <c r="E98" s="60">
        <v>6</v>
      </c>
      <c r="F98" s="60">
        <v>1.63</v>
      </c>
      <c r="G98" s="60">
        <v>58.01</v>
      </c>
      <c r="H98" s="60">
        <v>18.329999999999998</v>
      </c>
      <c r="I98" s="60">
        <v>5.14</v>
      </c>
      <c r="J98" s="60">
        <v>2.17</v>
      </c>
      <c r="K98" s="60">
        <v>179.28</v>
      </c>
      <c r="L98" s="60">
        <v>39.090000000000003</v>
      </c>
      <c r="M98" s="60">
        <v>72.91</v>
      </c>
      <c r="N98" s="60">
        <v>588.60</v>
      </c>
      <c r="O98" s="60">
        <v>0</v>
      </c>
      <c r="P98" s="60">
        <v>2.25</v>
      </c>
      <c r="Q98" s="60">
        <v>7.84</v>
      </c>
      <c r="R98" s="198"/>
      <c r="S98" s="198"/>
      <c r="T98" s="198"/>
      <c r="U98" s="198"/>
    </row>
    <row r="99" spans="1:21" s="12" customFormat="1" ht="15">
      <c r="A99" s="201" t="s">
        <v>2353</v>
      </c>
      <c r="B99" s="60">
        <v>0.92</v>
      </c>
      <c r="C99" s="60">
        <v>19.09</v>
      </c>
      <c r="D99" s="60">
        <v>20.010000000000002</v>
      </c>
      <c r="E99" s="60">
        <v>6.09</v>
      </c>
      <c r="F99" s="60">
        <v>1.94</v>
      </c>
      <c r="G99" s="60">
        <v>58.01</v>
      </c>
      <c r="H99" s="60">
        <v>18.329999999999998</v>
      </c>
      <c r="I99" s="60">
        <v>5</v>
      </c>
      <c r="J99" s="60">
        <v>1.06</v>
      </c>
      <c r="K99" s="60">
        <v>125.48</v>
      </c>
      <c r="L99" s="60">
        <v>37.53</v>
      </c>
      <c r="M99" s="60">
        <v>73.73</v>
      </c>
      <c r="N99" s="60">
        <v>578</v>
      </c>
      <c r="O99" s="60">
        <v>0</v>
      </c>
      <c r="P99" s="60">
        <v>2.2400000000000002</v>
      </c>
      <c r="Q99" s="60">
        <v>7.76</v>
      </c>
      <c r="R99" s="198"/>
      <c r="S99" s="198"/>
      <c r="T99" s="198"/>
      <c r="U99" s="198"/>
    </row>
    <row r="100" spans="1:33" s="12" customFormat="1" ht="15">
      <c r="A100" s="201" t="s">
        <v>2354</v>
      </c>
      <c r="B100" s="60">
        <v>1.1499999999999999</v>
      </c>
      <c r="C100" s="60">
        <v>19.57</v>
      </c>
      <c r="D100" s="60">
        <v>20.73</v>
      </c>
      <c r="E100" s="60">
        <v>5.81</v>
      </c>
      <c r="F100" s="60">
        <v>1.38</v>
      </c>
      <c r="G100" s="60">
        <v>50.92</v>
      </c>
      <c r="H100" s="60">
        <v>19.47</v>
      </c>
      <c r="I100" s="60">
        <v>4.91</v>
      </c>
      <c r="J100" s="60">
        <v>0.22</v>
      </c>
      <c r="K100" s="60">
        <v>56.47</v>
      </c>
      <c r="L100" s="60">
        <v>37.42</v>
      </c>
      <c r="M100" s="60">
        <v>74.75</v>
      </c>
      <c r="N100" s="60">
        <v>588.20000000000005</v>
      </c>
      <c r="O100" s="60">
        <v>0</v>
      </c>
      <c r="P100" s="60">
        <v>2.23</v>
      </c>
      <c r="Q100" s="60">
        <v>7.87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2355</v>
      </c>
      <c r="B101" s="60">
        <v>1.73</v>
      </c>
      <c r="C101" s="60">
        <v>19.07</v>
      </c>
      <c r="D101" s="60">
        <v>20.81</v>
      </c>
      <c r="E101" s="60">
        <v>5.98</v>
      </c>
      <c r="F101" s="60">
        <v>0.97</v>
      </c>
      <c r="G101" s="60">
        <v>48.74</v>
      </c>
      <c r="H101" s="60">
        <v>20.309999999999999</v>
      </c>
      <c r="I101" s="60">
        <v>4.83</v>
      </c>
      <c r="J101" s="60">
        <v>1.66</v>
      </c>
      <c r="K101" s="60">
        <v>295.33999999999997</v>
      </c>
      <c r="L101" s="60">
        <v>37.340000000000003</v>
      </c>
      <c r="M101" s="60">
        <v>77.84</v>
      </c>
      <c r="N101" s="60">
        <v>539.40</v>
      </c>
      <c r="O101" s="60">
        <v>0</v>
      </c>
      <c r="P101" s="60">
        <v>2.2400000000000002</v>
      </c>
      <c r="Q101" s="60">
        <v>7.79</v>
      </c>
      <c r="R101" s="198"/>
      <c r="S101" s="198"/>
      <c r="T101" s="198"/>
      <c r="U101" s="198"/>
    </row>
    <row r="102" spans="1:21" s="12" customFormat="1" ht="15">
      <c r="A102" s="201" t="s">
        <v>2356</v>
      </c>
      <c r="B102" s="60">
        <v>2.2599999999999998</v>
      </c>
      <c r="C102" s="60">
        <v>19.170000000000002</v>
      </c>
      <c r="D102" s="60">
        <v>21.43</v>
      </c>
      <c r="E102" s="60">
        <v>6.22</v>
      </c>
      <c r="F102" s="60">
        <v>0.67</v>
      </c>
      <c r="G102" s="60">
        <v>48.74</v>
      </c>
      <c r="H102" s="60">
        <v>20.309999999999999</v>
      </c>
      <c r="I102" s="60">
        <v>4.76</v>
      </c>
      <c r="J102" s="60">
        <v>1.66</v>
      </c>
      <c r="K102" s="60">
        <v>276.33</v>
      </c>
      <c r="L102" s="60">
        <v>42.67</v>
      </c>
      <c r="M102" s="60">
        <v>75.92</v>
      </c>
      <c r="N102" s="60">
        <v>618</v>
      </c>
      <c r="O102" s="60">
        <v>0</v>
      </c>
      <c r="P102" s="60">
        <v>2.27</v>
      </c>
      <c r="Q102" s="60">
        <v>7.73</v>
      </c>
      <c r="R102" s="198"/>
      <c r="S102" s="198"/>
      <c r="T102" s="198"/>
      <c r="U102" s="198"/>
    </row>
    <row r="103" spans="1:21" s="12" customFormat="1" ht="15">
      <c r="A103" s="201" t="s">
        <v>2357</v>
      </c>
      <c r="B103" s="60">
        <v>2.58</v>
      </c>
      <c r="C103" s="60">
        <v>19.09</v>
      </c>
      <c r="D103" s="60">
        <v>21.67</v>
      </c>
      <c r="E103" s="60">
        <v>6.39</v>
      </c>
      <c r="F103" s="60">
        <v>0.64</v>
      </c>
      <c r="G103" s="60">
        <v>48.74</v>
      </c>
      <c r="H103" s="60">
        <v>20.309999999999999</v>
      </c>
      <c r="I103" s="60">
        <v>4.8099999999999996</v>
      </c>
      <c r="J103" s="60">
        <v>1.52</v>
      </c>
      <c r="K103" s="60">
        <v>238.41</v>
      </c>
      <c r="L103" s="60">
        <v>38.43</v>
      </c>
      <c r="M103" s="60">
        <v>74.97</v>
      </c>
      <c r="N103" s="60">
        <v>558.40</v>
      </c>
      <c r="O103" s="60">
        <v>0</v>
      </c>
      <c r="P103" s="60">
        <v>2.2599999999999998</v>
      </c>
      <c r="Q103" s="60">
        <v>7.46</v>
      </c>
      <c r="R103" s="198"/>
      <c r="S103" s="198"/>
      <c r="T103" s="198"/>
      <c r="U103" s="198"/>
    </row>
    <row r="104" spans="1:21" s="12" customFormat="1" ht="15">
      <c r="A104" s="201" t="s">
        <v>2358</v>
      </c>
      <c r="B104" s="60">
        <v>2.61</v>
      </c>
      <c r="C104" s="60">
        <v>18.54</v>
      </c>
      <c r="D104" s="60">
        <v>21.15</v>
      </c>
      <c r="E104" s="60">
        <v>3.34</v>
      </c>
      <c r="F104" s="60">
        <v>0.75</v>
      </c>
      <c r="G104" s="60">
        <v>53.93</v>
      </c>
      <c r="H104" s="60">
        <v>23.59</v>
      </c>
      <c r="I104" s="60">
        <v>4.95</v>
      </c>
      <c r="J104" s="60">
        <v>1.1499999999999999</v>
      </c>
      <c r="K104" s="60">
        <v>217.55</v>
      </c>
      <c r="L104" s="60">
        <v>42.34</v>
      </c>
      <c r="M104" s="60">
        <v>75.099999999999994</v>
      </c>
      <c r="N104" s="60">
        <v>641.79999999999995</v>
      </c>
      <c r="O104" s="60">
        <v>0</v>
      </c>
      <c r="P104" s="60">
        <v>2.25</v>
      </c>
      <c r="Q104" s="60">
        <v>7.21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0.29999999999999999</v>
      </c>
      <c r="C106" s="67">
        <f>MIN(C9:C104)</f>
        <v>12.960000000000001</v>
      </c>
      <c r="D106" s="67">
        <f t="shared" si="0" ref="D106:Q106">MIN(D9:D104)</f>
        <v>15.15</v>
      </c>
      <c r="E106" s="67">
        <f t="shared" si="0"/>
        <v>2.9700000000000002</v>
      </c>
      <c r="F106" s="67">
        <f t="shared" si="0"/>
        <v>0.19</v>
      </c>
      <c r="G106" s="67">
        <f t="shared" si="0"/>
        <v>27.32</v>
      </c>
      <c r="H106" s="67">
        <f t="shared" si="0"/>
        <v>12.09</v>
      </c>
      <c r="I106" s="67">
        <f t="shared" si="0"/>
        <v>3.0299999999999998</v>
      </c>
      <c r="J106" s="67">
        <f t="shared" si="0"/>
        <v>0.13</v>
      </c>
      <c r="K106" s="67">
        <f t="shared" si="0"/>
        <v>4.8499999999999996</v>
      </c>
      <c r="L106" s="67">
        <f t="shared" si="0"/>
        <v>33.490000000000002</v>
      </c>
      <c r="M106" s="67">
        <f t="shared" si="0"/>
        <v>44.259999999999998</v>
      </c>
      <c r="N106" s="67">
        <f t="shared" si="0"/>
        <v>486.30000000000001</v>
      </c>
      <c r="O106" s="67">
        <f t="shared" si="0"/>
        <v>0</v>
      </c>
      <c r="P106" s="67">
        <f t="shared" si="0"/>
        <v>2.0499999999999998</v>
      </c>
      <c r="Q106" s="67">
        <f t="shared" si="0"/>
        <v>6.5999999999999996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7.9100000000000001</v>
      </c>
      <c r="C107" s="66">
        <f t="shared" si="1" ref="C107:Q107">MAX(C9:C104)</f>
        <v>25.300000000000001</v>
      </c>
      <c r="D107" s="66">
        <f t="shared" si="1"/>
        <v>29.879999999999999</v>
      </c>
      <c r="E107" s="66">
        <f t="shared" si="1"/>
        <v>7.9800000000000004</v>
      </c>
      <c r="F107" s="66">
        <f t="shared" si="1"/>
        <v>4.3200000000000003</v>
      </c>
      <c r="G107" s="66">
        <f t="shared" si="1"/>
        <v>71.829999999999998</v>
      </c>
      <c r="H107" s="66">
        <f t="shared" si="1"/>
        <v>26.760000000000002</v>
      </c>
      <c r="I107" s="66">
        <f t="shared" si="1"/>
        <v>14.31</v>
      </c>
      <c r="J107" s="66">
        <f t="shared" si="1"/>
        <v>5.3099999999999996</v>
      </c>
      <c r="K107" s="66">
        <f t="shared" si="1"/>
        <v>358.33999999999997</v>
      </c>
      <c r="L107" s="66">
        <f t="shared" si="1"/>
        <v>52.450000000000003</v>
      </c>
      <c r="M107" s="66">
        <f t="shared" si="1"/>
        <v>91.75</v>
      </c>
      <c r="N107" s="66">
        <f t="shared" si="1"/>
        <v>1688.5</v>
      </c>
      <c r="O107" s="66">
        <f t="shared" si="1"/>
        <v>0</v>
      </c>
      <c r="P107" s="66">
        <f t="shared" si="1"/>
        <v>2.48</v>
      </c>
      <c r="Q107" s="66">
        <f t="shared" si="1"/>
        <v>10.859999999999999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2.4619791666666662</v>
      </c>
      <c r="C108" s="67">
        <f t="shared" si="2" ref="C108:Q108">AVERAGE(C9:C104)</f>
        <v>18.628958333333333</v>
      </c>
      <c r="D108" s="67">
        <f t="shared" si="2"/>
        <v>21.091354166666669</v>
      </c>
      <c r="E108" s="67">
        <f t="shared" si="2"/>
        <v>5.9858333333333347</v>
      </c>
      <c r="F108" s="67">
        <f t="shared" si="2"/>
        <v>1.5535416666666662</v>
      </c>
      <c r="G108" s="67">
        <f t="shared" si="2"/>
        <v>55.172708333333333</v>
      </c>
      <c r="H108" s="67">
        <f t="shared" si="2"/>
        <v>18.743229166666648</v>
      </c>
      <c r="I108" s="67">
        <f t="shared" si="2"/>
        <v>5.4659374999999999</v>
      </c>
      <c r="J108" s="67">
        <f t="shared" si="2"/>
        <v>1.54125</v>
      </c>
      <c r="K108" s="67">
        <f t="shared" si="2"/>
        <v>187.28916666666669</v>
      </c>
      <c r="L108" s="67">
        <f t="shared" si="2"/>
        <v>39.75864583333334</v>
      </c>
      <c r="M108" s="67">
        <f t="shared" si="2"/>
        <v>71.984479166666674</v>
      </c>
      <c r="N108" s="67">
        <f t="shared" si="2"/>
        <v>937.06979166666645</v>
      </c>
      <c r="O108" s="67">
        <f t="shared" si="2"/>
        <v>0</v>
      </c>
      <c r="P108" s="67">
        <f t="shared" si="2"/>
        <v>2.2745833333333336</v>
      </c>
      <c r="Q108" s="67">
        <f t="shared" si="2"/>
        <v>8.0059374999999999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1.8063214260751721</v>
      </c>
      <c r="C109" s="67">
        <f t="shared" si="3" ref="C109:Q109">STDEV(C9:C104)</f>
        <v>3.511810892632754</v>
      </c>
      <c r="D109" s="67">
        <f t="shared" si="3"/>
        <v>3.8542863684588213</v>
      </c>
      <c r="E109" s="67">
        <f t="shared" si="3"/>
        <v>1.0478757124640039</v>
      </c>
      <c r="F109" s="67">
        <f t="shared" si="3"/>
        <v>1.1323110779255776</v>
      </c>
      <c r="G109" s="67">
        <f t="shared" si="3"/>
        <v>11.628263886271769</v>
      </c>
      <c r="H109" s="67">
        <f t="shared" si="3"/>
        <v>3.3238064719113782</v>
      </c>
      <c r="I109" s="67">
        <f t="shared" si="3"/>
        <v>1.7128778972213585</v>
      </c>
      <c r="J109" s="67">
        <f t="shared" si="3"/>
        <v>1.0531898914101012</v>
      </c>
      <c r="K109" s="67">
        <f t="shared" si="3"/>
        <v>99.249735257943797</v>
      </c>
      <c r="L109" s="67">
        <f t="shared" si="3"/>
        <v>4.4129225594100321</v>
      </c>
      <c r="M109" s="67">
        <f t="shared" si="3"/>
        <v>13.387441630501579</v>
      </c>
      <c r="N109" s="67">
        <f t="shared" si="3"/>
        <v>339.50093500213632</v>
      </c>
      <c r="O109" s="67">
        <f t="shared" si="3"/>
        <v>0</v>
      </c>
      <c r="P109" s="67">
        <f t="shared" si="3"/>
        <v>0.11497291824523104</v>
      </c>
      <c r="Q109" s="67">
        <f t="shared" si="3"/>
        <v>0.94682136160390606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fde32e-5d7c-4d1b-b691-2f6019f508df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H7" sqref="H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23-06-2022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2359</v>
      </c>
      <c r="B9" s="60">
        <v>2.5</v>
      </c>
      <c r="C9" s="60">
        <v>17.850000000000001</v>
      </c>
      <c r="D9" s="60">
        <v>20.350000000000001</v>
      </c>
      <c r="E9" s="60">
        <v>6.80</v>
      </c>
      <c r="F9" s="60">
        <v>0.72</v>
      </c>
      <c r="G9" s="60">
        <v>56.61</v>
      </c>
      <c r="H9" s="60">
        <v>25.88</v>
      </c>
      <c r="I9" s="60">
        <v>5.01</v>
      </c>
      <c r="J9" s="60">
        <v>1.23</v>
      </c>
      <c r="K9" s="60">
        <v>235.47</v>
      </c>
      <c r="L9" s="60">
        <v>42.30</v>
      </c>
      <c r="M9" s="60">
        <v>75.39</v>
      </c>
      <c r="N9" s="60">
        <v>685.90</v>
      </c>
      <c r="O9" s="60">
        <v>0</v>
      </c>
      <c r="P9" s="60">
        <v>2.2400000000000002</v>
      </c>
      <c r="Q9" s="60">
        <v>6.93</v>
      </c>
      <c r="R9" s="198"/>
      <c r="S9" s="198"/>
      <c r="T9" s="198"/>
      <c r="U9" s="198"/>
    </row>
    <row r="10" spans="1:21" s="12" customFormat="1" ht="15">
      <c r="A10" s="201" t="s">
        <v>2360</v>
      </c>
      <c r="B10" s="60">
        <v>2.38</v>
      </c>
      <c r="C10" s="60">
        <v>17.260000000000002</v>
      </c>
      <c r="D10" s="60">
        <v>19.64</v>
      </c>
      <c r="E10" s="60">
        <v>7.28</v>
      </c>
      <c r="F10" s="60">
        <v>0.78</v>
      </c>
      <c r="G10" s="60">
        <v>56.61</v>
      </c>
      <c r="H10" s="60">
        <v>25.88</v>
      </c>
      <c r="I10" s="60">
        <v>5</v>
      </c>
      <c r="J10" s="60">
        <v>1.82</v>
      </c>
      <c r="K10" s="60">
        <v>242.55</v>
      </c>
      <c r="L10" s="60">
        <v>43.14</v>
      </c>
      <c r="M10" s="60">
        <v>75.31</v>
      </c>
      <c r="N10" s="60">
        <v>361.20</v>
      </c>
      <c r="O10" s="60">
        <v>0</v>
      </c>
      <c r="P10" s="60">
        <v>2.2400000000000002</v>
      </c>
      <c r="Q10" s="60">
        <v>6.77</v>
      </c>
      <c r="R10" s="198"/>
      <c r="S10" s="198"/>
      <c r="T10" s="198"/>
      <c r="U10" s="198"/>
    </row>
    <row r="11" spans="1:21" s="12" customFormat="1" ht="15">
      <c r="A11" s="201" t="s">
        <v>2361</v>
      </c>
      <c r="B11" s="60">
        <v>2.40</v>
      </c>
      <c r="C11" s="60">
        <v>16.829999999999998</v>
      </c>
      <c r="D11" s="60">
        <v>19.23</v>
      </c>
      <c r="E11" s="60">
        <v>7.34</v>
      </c>
      <c r="F11" s="60">
        <v>0.85</v>
      </c>
      <c r="G11" s="60">
        <v>56.61</v>
      </c>
      <c r="H11" s="60">
        <v>25.88</v>
      </c>
      <c r="I11" s="60">
        <v>5.05</v>
      </c>
      <c r="J11" s="60">
        <v>1.72</v>
      </c>
      <c r="K11" s="60">
        <v>239.86</v>
      </c>
      <c r="L11" s="60">
        <v>37.79</v>
      </c>
      <c r="M11" s="60">
        <v>75.709999999999994</v>
      </c>
      <c r="N11" s="60">
        <v>141.40</v>
      </c>
      <c r="O11" s="60">
        <v>0</v>
      </c>
      <c r="P11" s="60">
        <v>2.23</v>
      </c>
      <c r="Q11" s="60">
        <v>6.75</v>
      </c>
      <c r="R11" s="198"/>
      <c r="S11" s="198"/>
      <c r="T11" s="198"/>
      <c r="U11" s="198"/>
    </row>
    <row r="12" spans="1:21" s="12" customFormat="1" ht="15">
      <c r="A12" s="201" t="s">
        <v>2362</v>
      </c>
      <c r="B12" s="60">
        <v>2.57</v>
      </c>
      <c r="C12" s="60">
        <v>16.77</v>
      </c>
      <c r="D12" s="60">
        <v>19.34</v>
      </c>
      <c r="E12" s="60">
        <v>7.71</v>
      </c>
      <c r="F12" s="60">
        <v>0.67</v>
      </c>
      <c r="G12" s="60">
        <v>54.87</v>
      </c>
      <c r="H12" s="60">
        <v>29.45</v>
      </c>
      <c r="I12" s="60">
        <v>5.07</v>
      </c>
      <c r="J12" s="60">
        <v>1.68</v>
      </c>
      <c r="K12" s="60">
        <v>253.45</v>
      </c>
      <c r="L12" s="60">
        <v>36.78</v>
      </c>
      <c r="M12" s="60">
        <v>75.86</v>
      </c>
      <c r="N12" s="60">
        <v>107.5</v>
      </c>
      <c r="O12" s="60">
        <v>0</v>
      </c>
      <c r="P12" s="60">
        <v>2.2400000000000002</v>
      </c>
      <c r="Q12" s="60">
        <v>6.85</v>
      </c>
      <c r="R12" s="198"/>
      <c r="S12" s="198"/>
      <c r="T12" s="198"/>
      <c r="U12" s="198"/>
    </row>
    <row r="13" spans="1:21" s="12" customFormat="1" ht="15">
      <c r="A13" s="201" t="s">
        <v>2363</v>
      </c>
      <c r="B13" s="60">
        <v>2.31</v>
      </c>
      <c r="C13" s="60">
        <v>17.149999999999999</v>
      </c>
      <c r="D13" s="60">
        <v>19.47</v>
      </c>
      <c r="E13" s="60">
        <v>7.37</v>
      </c>
      <c r="F13" s="60">
        <v>1.04</v>
      </c>
      <c r="G13" s="60">
        <v>54.36</v>
      </c>
      <c r="H13" s="60">
        <v>32.06</v>
      </c>
      <c r="I13" s="60">
        <v>5.1100000000000003</v>
      </c>
      <c r="J13" s="60">
        <v>2.19</v>
      </c>
      <c r="K13" s="60">
        <v>0.84</v>
      </c>
      <c r="L13" s="60">
        <v>36.380000000000003</v>
      </c>
      <c r="M13" s="60">
        <v>79.37</v>
      </c>
      <c r="N13" s="60">
        <v>123.40</v>
      </c>
      <c r="O13" s="60">
        <v>0</v>
      </c>
      <c r="P13" s="60">
        <v>2.23</v>
      </c>
      <c r="Q13" s="60">
        <v>7.08</v>
      </c>
      <c r="R13" s="198"/>
      <c r="S13" s="198"/>
      <c r="T13" s="198"/>
      <c r="U13" s="198"/>
    </row>
    <row r="14" spans="1:21" s="12" customFormat="1" ht="15">
      <c r="A14" s="201" t="s">
        <v>2364</v>
      </c>
      <c r="B14" s="60">
        <v>1.85</v>
      </c>
      <c r="C14" s="60">
        <v>17.18</v>
      </c>
      <c r="D14" s="60">
        <v>19.03</v>
      </c>
      <c r="E14" s="60">
        <v>7.49</v>
      </c>
      <c r="F14" s="60">
        <v>1.1599999999999999</v>
      </c>
      <c r="G14" s="60">
        <v>54.36</v>
      </c>
      <c r="H14" s="60">
        <v>32.06</v>
      </c>
      <c r="I14" s="60">
        <v>5.08</v>
      </c>
      <c r="J14" s="60">
        <v>1.57</v>
      </c>
      <c r="K14" s="60">
        <v>64.20</v>
      </c>
      <c r="L14" s="60">
        <v>36.14</v>
      </c>
      <c r="M14" s="60">
        <v>76.739999999999995</v>
      </c>
      <c r="N14" s="60">
        <v>137.19999999999999</v>
      </c>
      <c r="O14" s="60">
        <v>0</v>
      </c>
      <c r="P14" s="60">
        <v>2.23</v>
      </c>
      <c r="Q14" s="60">
        <v>7.36</v>
      </c>
      <c r="R14" s="198"/>
      <c r="S14" s="198"/>
      <c r="T14" s="198"/>
      <c r="U14" s="198"/>
    </row>
    <row r="15" spans="1:21" s="12" customFormat="1" ht="15">
      <c r="A15" s="201" t="s">
        <v>2365</v>
      </c>
      <c r="B15" s="60">
        <v>1.46</v>
      </c>
      <c r="C15" s="60">
        <v>17.239999999999998</v>
      </c>
      <c r="D15" s="60">
        <v>18.70</v>
      </c>
      <c r="E15" s="60">
        <v>6.96</v>
      </c>
      <c r="F15" s="60">
        <v>1.27</v>
      </c>
      <c r="G15" s="60">
        <v>54.36</v>
      </c>
      <c r="H15" s="60">
        <v>32.06</v>
      </c>
      <c r="I15" s="60">
        <v>5.09</v>
      </c>
      <c r="J15" s="60">
        <v>1.71</v>
      </c>
      <c r="K15" s="60">
        <v>71.099999999999994</v>
      </c>
      <c r="L15" s="60">
        <v>36.54</v>
      </c>
      <c r="M15" s="60">
        <v>75.72</v>
      </c>
      <c r="N15" s="60">
        <v>144.90</v>
      </c>
      <c r="O15" s="60">
        <v>0</v>
      </c>
      <c r="P15" s="60">
        <v>2.2200000000000002</v>
      </c>
      <c r="Q15" s="60">
        <v>7.59</v>
      </c>
      <c r="R15" s="198"/>
      <c r="S15" s="198"/>
      <c r="T15" s="198"/>
      <c r="U15" s="198"/>
    </row>
    <row r="16" spans="1:21" s="12" customFormat="1" ht="15">
      <c r="A16" s="201" t="s">
        <v>2366</v>
      </c>
      <c r="B16" s="60">
        <v>1.22</v>
      </c>
      <c r="C16" s="60">
        <v>17.37</v>
      </c>
      <c r="D16" s="60">
        <v>18.579999999999998</v>
      </c>
      <c r="E16" s="60">
        <v>7.08</v>
      </c>
      <c r="F16" s="60">
        <v>1.04</v>
      </c>
      <c r="G16" s="60">
        <v>59.19</v>
      </c>
      <c r="H16" s="60">
        <v>29.59</v>
      </c>
      <c r="I16" s="60">
        <v>5.1100000000000003</v>
      </c>
      <c r="J16" s="60">
        <v>2.34</v>
      </c>
      <c r="K16" s="60">
        <v>358.83</v>
      </c>
      <c r="L16" s="60">
        <v>36.49</v>
      </c>
      <c r="M16" s="60">
        <v>79.790000000000006</v>
      </c>
      <c r="N16" s="60">
        <v>153.30000000000001</v>
      </c>
      <c r="O16" s="60">
        <v>0</v>
      </c>
      <c r="P16" s="60">
        <v>2.2200000000000002</v>
      </c>
      <c r="Q16" s="60">
        <v>7.66</v>
      </c>
      <c r="R16" s="198"/>
      <c r="S16" s="198"/>
      <c r="T16" s="198"/>
      <c r="U16" s="198"/>
    </row>
    <row r="17" spans="1:21" s="12" customFormat="1" ht="15">
      <c r="A17" s="201" t="s">
        <v>2367</v>
      </c>
      <c r="B17" s="60">
        <v>1.28</v>
      </c>
      <c r="C17" s="60">
        <v>17.95</v>
      </c>
      <c r="D17" s="60">
        <v>19.23</v>
      </c>
      <c r="E17" s="60">
        <v>6.53</v>
      </c>
      <c r="F17" s="60">
        <v>0.70</v>
      </c>
      <c r="G17" s="60">
        <v>60.71</v>
      </c>
      <c r="H17" s="60">
        <v>27.78</v>
      </c>
      <c r="I17" s="60">
        <v>5.0599999999999996</v>
      </c>
      <c r="J17" s="60">
        <v>2.48</v>
      </c>
      <c r="K17" s="60">
        <v>12.94</v>
      </c>
      <c r="L17" s="60">
        <v>36.42</v>
      </c>
      <c r="M17" s="60">
        <v>79.45</v>
      </c>
      <c r="N17" s="60">
        <v>158.10</v>
      </c>
      <c r="O17" s="60">
        <v>0</v>
      </c>
      <c r="P17" s="60">
        <v>2.2200000000000002</v>
      </c>
      <c r="Q17" s="60">
        <v>7.78</v>
      </c>
      <c r="R17" s="198"/>
      <c r="S17" s="198"/>
      <c r="T17" s="198"/>
      <c r="U17" s="198"/>
    </row>
    <row r="18" spans="1:21" s="12" customFormat="1" ht="15">
      <c r="A18" s="201" t="s">
        <v>2368</v>
      </c>
      <c r="B18" s="60">
        <v>1.56</v>
      </c>
      <c r="C18" s="60">
        <v>18.989999999999998</v>
      </c>
      <c r="D18" s="60">
        <v>20.56</v>
      </c>
      <c r="E18" s="60">
        <v>6.58</v>
      </c>
      <c r="F18" s="60">
        <v>0.57999999999999996</v>
      </c>
      <c r="G18" s="60">
        <v>60.71</v>
      </c>
      <c r="H18" s="60">
        <v>27.78</v>
      </c>
      <c r="I18" s="60">
        <v>5.03</v>
      </c>
      <c r="J18" s="60">
        <v>2.25</v>
      </c>
      <c r="K18" s="60">
        <v>17.16</v>
      </c>
      <c r="L18" s="60">
        <v>36.32</v>
      </c>
      <c r="M18" s="60">
        <v>80.069999999999993</v>
      </c>
      <c r="N18" s="60">
        <v>165.30</v>
      </c>
      <c r="O18" s="60">
        <v>0</v>
      </c>
      <c r="P18" s="60">
        <v>2.2599999999999998</v>
      </c>
      <c r="Q18" s="60">
        <v>8.1999999999999993</v>
      </c>
      <c r="R18" s="198"/>
      <c r="S18" s="198"/>
      <c r="T18" s="198"/>
      <c r="U18" s="198"/>
    </row>
    <row r="19" spans="1:21" s="12" customFormat="1" ht="15">
      <c r="A19" s="201" t="s">
        <v>2369</v>
      </c>
      <c r="B19" s="60">
        <v>1.69</v>
      </c>
      <c r="C19" s="60">
        <v>19.170000000000002</v>
      </c>
      <c r="D19" s="60">
        <v>20.86</v>
      </c>
      <c r="E19" s="60">
        <v>6.34</v>
      </c>
      <c r="F19" s="60">
        <v>0.53</v>
      </c>
      <c r="G19" s="60">
        <v>60.71</v>
      </c>
      <c r="H19" s="60">
        <v>27.78</v>
      </c>
      <c r="I19" s="60">
        <v>5.13</v>
      </c>
      <c r="J19" s="60">
        <v>1.75</v>
      </c>
      <c r="K19" s="60">
        <v>47.24</v>
      </c>
      <c r="L19" s="60">
        <v>36.28</v>
      </c>
      <c r="M19" s="60">
        <v>81.94</v>
      </c>
      <c r="N19" s="60">
        <v>177.90</v>
      </c>
      <c r="O19" s="60">
        <v>0</v>
      </c>
      <c r="P19" s="60">
        <v>2.2999999999999998</v>
      </c>
      <c r="Q19" s="60">
        <v>8.42</v>
      </c>
      <c r="R19" s="198"/>
      <c r="S19" s="198"/>
      <c r="T19" s="198"/>
      <c r="U19" s="198"/>
    </row>
    <row r="20" spans="1:21" s="12" customFormat="1" ht="15">
      <c r="A20" s="201" t="s">
        <v>2370</v>
      </c>
      <c r="B20" s="60">
        <v>2.0099999999999998</v>
      </c>
      <c r="C20" s="60">
        <v>19.71</v>
      </c>
      <c r="D20" s="60">
        <v>21.72</v>
      </c>
      <c r="E20" s="60">
        <v>6.56</v>
      </c>
      <c r="F20" s="60">
        <v>0.31</v>
      </c>
      <c r="G20" s="60">
        <v>85.02</v>
      </c>
      <c r="H20" s="60">
        <v>34.799999999999997</v>
      </c>
      <c r="I20" s="60">
        <v>5.45</v>
      </c>
      <c r="J20" s="60">
        <v>2.2400000000000002</v>
      </c>
      <c r="K20" s="60">
        <v>14.03</v>
      </c>
      <c r="L20" s="60">
        <v>38.799999999999997</v>
      </c>
      <c r="M20" s="60">
        <v>82.82</v>
      </c>
      <c r="N20" s="60">
        <v>185.70</v>
      </c>
      <c r="O20" s="60">
        <v>0</v>
      </c>
      <c r="P20" s="60">
        <v>2.38</v>
      </c>
      <c r="Q20" s="60">
        <v>8.69</v>
      </c>
      <c r="R20" s="198"/>
      <c r="S20" s="198"/>
      <c r="T20" s="198"/>
      <c r="U20" s="198"/>
    </row>
    <row r="21" spans="1:21" s="12" customFormat="1" ht="15">
      <c r="A21" s="201" t="s">
        <v>2371</v>
      </c>
      <c r="B21" s="60">
        <v>2.36</v>
      </c>
      <c r="C21" s="60">
        <v>20.28</v>
      </c>
      <c r="D21" s="60">
        <v>22.64</v>
      </c>
      <c r="E21" s="60">
        <v>6.48</v>
      </c>
      <c r="F21" s="60">
        <v>0.11</v>
      </c>
      <c r="G21" s="60">
        <v>92.65</v>
      </c>
      <c r="H21" s="60">
        <v>39.92</v>
      </c>
      <c r="I21" s="60">
        <v>5.65</v>
      </c>
      <c r="J21" s="60">
        <v>1.92</v>
      </c>
      <c r="K21" s="60">
        <v>40.21</v>
      </c>
      <c r="L21" s="60">
        <v>38.65</v>
      </c>
      <c r="M21" s="60">
        <v>82.44</v>
      </c>
      <c r="N21" s="60">
        <v>168.80</v>
      </c>
      <c r="O21" s="60">
        <v>0</v>
      </c>
      <c r="P21" s="60">
        <v>2.4500000000000002</v>
      </c>
      <c r="Q21" s="60">
        <v>8.91</v>
      </c>
      <c r="R21" s="198"/>
      <c r="S21" s="198"/>
      <c r="T21" s="198"/>
      <c r="U21" s="198"/>
    </row>
    <row r="22" spans="1:21" s="12" customFormat="1" ht="15">
      <c r="A22" s="201" t="s">
        <v>2372</v>
      </c>
      <c r="B22" s="60">
        <v>2.62</v>
      </c>
      <c r="C22" s="60">
        <v>19.70</v>
      </c>
      <c r="D22" s="60">
        <v>22.31</v>
      </c>
      <c r="E22" s="60">
        <v>6.34</v>
      </c>
      <c r="F22" s="60">
        <v>0.65</v>
      </c>
      <c r="G22" s="60">
        <v>92.65</v>
      </c>
      <c r="H22" s="60">
        <v>39.92</v>
      </c>
      <c r="I22" s="60">
        <v>5.82</v>
      </c>
      <c r="J22" s="60">
        <v>2.21</v>
      </c>
      <c r="K22" s="60">
        <v>70.900000000000006</v>
      </c>
      <c r="L22" s="60">
        <v>38.03</v>
      </c>
      <c r="M22" s="60">
        <v>82.10</v>
      </c>
      <c r="N22" s="60">
        <v>203.60</v>
      </c>
      <c r="O22" s="60">
        <v>0</v>
      </c>
      <c r="P22" s="60">
        <v>2.4700000000000002</v>
      </c>
      <c r="Q22" s="60">
        <v>8.94</v>
      </c>
      <c r="R22" s="198"/>
      <c r="S22" s="198"/>
      <c r="T22" s="198"/>
      <c r="U22" s="198"/>
    </row>
    <row r="23" spans="1:21" s="12" customFormat="1" ht="15">
      <c r="A23" s="201" t="s">
        <v>2373</v>
      </c>
      <c r="B23" s="60">
        <v>2.92</v>
      </c>
      <c r="C23" s="60">
        <v>18.22</v>
      </c>
      <c r="D23" s="60">
        <v>21.13</v>
      </c>
      <c r="E23" s="60">
        <v>6.77</v>
      </c>
      <c r="F23" s="60">
        <v>0.56999999999999995</v>
      </c>
      <c r="G23" s="60">
        <v>92.65</v>
      </c>
      <c r="H23" s="60">
        <v>39.92</v>
      </c>
      <c r="I23" s="60">
        <v>6.08</v>
      </c>
      <c r="J23" s="60">
        <v>2.76</v>
      </c>
      <c r="K23" s="60">
        <v>82.28</v>
      </c>
      <c r="L23" s="60">
        <v>37.06</v>
      </c>
      <c r="M23" s="60">
        <v>81.52</v>
      </c>
      <c r="N23" s="60">
        <v>192.5</v>
      </c>
      <c r="O23" s="60">
        <v>0</v>
      </c>
      <c r="P23" s="60">
        <v>2.48</v>
      </c>
      <c r="Q23" s="60">
        <v>8.75</v>
      </c>
      <c r="R23" s="198"/>
      <c r="S23" s="198"/>
      <c r="T23" s="198"/>
      <c r="U23" s="198"/>
    </row>
    <row r="24" spans="1:21" s="12" customFormat="1" ht="15">
      <c r="A24" s="201" t="s">
        <v>2374</v>
      </c>
      <c r="B24" s="60">
        <v>3.15</v>
      </c>
      <c r="C24" s="60">
        <v>17.41</v>
      </c>
      <c r="D24" s="60">
        <v>20.56</v>
      </c>
      <c r="E24" s="60">
        <v>2.66</v>
      </c>
      <c r="F24" s="60">
        <v>0.41</v>
      </c>
      <c r="G24" s="60">
        <v>115.27</v>
      </c>
      <c r="H24" s="60">
        <v>45.14</v>
      </c>
      <c r="I24" s="60">
        <v>6.24</v>
      </c>
      <c r="J24" s="60">
        <v>2.74</v>
      </c>
      <c r="K24" s="60">
        <v>95.61</v>
      </c>
      <c r="L24" s="60">
        <v>37.909999999999997</v>
      </c>
      <c r="M24" s="60">
        <v>81.459999999999994</v>
      </c>
      <c r="N24" s="60">
        <v>185.40</v>
      </c>
      <c r="O24" s="60">
        <v>0</v>
      </c>
      <c r="P24" s="60">
        <v>2.4900000000000002</v>
      </c>
      <c r="Q24" s="60">
        <v>8.2100000000000009</v>
      </c>
      <c r="R24" s="198"/>
      <c r="S24" s="198"/>
      <c r="T24" s="198"/>
      <c r="U24" s="198"/>
    </row>
    <row r="25" spans="1:21" s="12" customFormat="1" ht="15">
      <c r="A25" s="201" t="s">
        <v>2375</v>
      </c>
      <c r="B25" s="60">
        <v>3.43</v>
      </c>
      <c r="C25" s="60">
        <v>16.579999999999998</v>
      </c>
      <c r="D25" s="60">
        <v>20.010000000000002</v>
      </c>
      <c r="E25" s="60">
        <v>6.28</v>
      </c>
      <c r="F25" s="60">
        <v>0.32</v>
      </c>
      <c r="G25" s="60">
        <v>122.37</v>
      </c>
      <c r="H25" s="60">
        <v>48.96</v>
      </c>
      <c r="I25" s="60">
        <v>6.28</v>
      </c>
      <c r="J25" s="60">
        <v>3.06</v>
      </c>
      <c r="K25" s="60">
        <v>94.15</v>
      </c>
      <c r="L25" s="60">
        <v>38.200000000000003</v>
      </c>
      <c r="M25" s="60">
        <v>81.540000000000006</v>
      </c>
      <c r="N25" s="60">
        <v>194.30</v>
      </c>
      <c r="O25" s="60">
        <v>0</v>
      </c>
      <c r="P25" s="60">
        <v>2.4900000000000002</v>
      </c>
      <c r="Q25" s="60">
        <v>7.85</v>
      </c>
      <c r="R25" s="198"/>
      <c r="S25" s="198"/>
      <c r="T25" s="198"/>
      <c r="U25" s="198"/>
    </row>
    <row r="26" spans="1:21" s="12" customFormat="1" ht="15">
      <c r="A26" s="201" t="s">
        <v>2376</v>
      </c>
      <c r="B26" s="60">
        <v>3.61</v>
      </c>
      <c r="C26" s="60">
        <v>16.010000000000002</v>
      </c>
      <c r="D26" s="60">
        <v>19.62</v>
      </c>
      <c r="E26" s="60">
        <v>6.87</v>
      </c>
      <c r="F26" s="60">
        <v>0.5</v>
      </c>
      <c r="G26" s="60">
        <v>122.37</v>
      </c>
      <c r="H26" s="60">
        <v>48.96</v>
      </c>
      <c r="I26" s="60">
        <v>6.32</v>
      </c>
      <c r="J26" s="60">
        <v>3.01</v>
      </c>
      <c r="K26" s="60">
        <v>88.37</v>
      </c>
      <c r="L26" s="60">
        <v>37.909999999999997</v>
      </c>
      <c r="M26" s="60">
        <v>82.89</v>
      </c>
      <c r="N26" s="60">
        <v>199.40</v>
      </c>
      <c r="O26" s="60">
        <v>0</v>
      </c>
      <c r="P26" s="60">
        <v>2.48</v>
      </c>
      <c r="Q26" s="60">
        <v>7.71</v>
      </c>
      <c r="R26" s="198"/>
      <c r="S26" s="198"/>
      <c r="T26" s="198"/>
      <c r="U26" s="198"/>
    </row>
    <row r="27" spans="1:21" s="12" customFormat="1" ht="15">
      <c r="A27" s="201" t="s">
        <v>2377</v>
      </c>
      <c r="B27" s="60">
        <v>3.66</v>
      </c>
      <c r="C27" s="60">
        <v>15.81</v>
      </c>
      <c r="D27" s="60">
        <v>19.47</v>
      </c>
      <c r="E27" s="60">
        <v>7.46</v>
      </c>
      <c r="F27" s="60">
        <v>0.69</v>
      </c>
      <c r="G27" s="60">
        <v>122.37</v>
      </c>
      <c r="H27" s="60">
        <v>48.96</v>
      </c>
      <c r="I27" s="60">
        <v>6.41</v>
      </c>
      <c r="J27" s="60">
        <v>3.17</v>
      </c>
      <c r="K27" s="60">
        <v>99.85</v>
      </c>
      <c r="L27" s="60">
        <v>38.380000000000003</v>
      </c>
      <c r="M27" s="60">
        <v>83.51</v>
      </c>
      <c r="N27" s="60">
        <v>216.90</v>
      </c>
      <c r="O27" s="60">
        <v>0</v>
      </c>
      <c r="P27" s="60">
        <v>2.46</v>
      </c>
      <c r="Q27" s="60">
        <v>7.62</v>
      </c>
      <c r="R27" s="198"/>
      <c r="S27" s="198"/>
      <c r="T27" s="198"/>
      <c r="U27" s="198"/>
    </row>
    <row r="28" spans="1:21" s="12" customFormat="1" ht="15">
      <c r="A28" s="201" t="s">
        <v>2378</v>
      </c>
      <c r="B28" s="60">
        <v>3.69</v>
      </c>
      <c r="C28" s="60">
        <v>15.69</v>
      </c>
      <c r="D28" s="60">
        <v>19.38</v>
      </c>
      <c r="E28" s="60">
        <v>7.81</v>
      </c>
      <c r="F28" s="60">
        <v>0.5</v>
      </c>
      <c r="G28" s="60">
        <v>130.86000000000001</v>
      </c>
      <c r="H28" s="60">
        <v>51.16</v>
      </c>
      <c r="I28" s="60">
        <v>6.42</v>
      </c>
      <c r="J28" s="60">
        <v>2.97</v>
      </c>
      <c r="K28" s="60">
        <v>91.25</v>
      </c>
      <c r="L28" s="60">
        <v>37.76</v>
      </c>
      <c r="M28" s="60">
        <v>84.56</v>
      </c>
      <c r="N28" s="60">
        <v>246.80</v>
      </c>
      <c r="O28" s="60">
        <v>0</v>
      </c>
      <c r="P28" s="60">
        <v>2.4500000000000002</v>
      </c>
      <c r="Q28" s="60">
        <v>7.57</v>
      </c>
      <c r="R28" s="198"/>
      <c r="S28" s="198"/>
      <c r="T28" s="198"/>
      <c r="U28" s="198"/>
    </row>
    <row r="29" spans="1:21" s="12" customFormat="1" ht="15">
      <c r="A29" s="201" t="s">
        <v>2379</v>
      </c>
      <c r="B29" s="60">
        <v>3.81</v>
      </c>
      <c r="C29" s="60">
        <v>15.49</v>
      </c>
      <c r="D29" s="60">
        <v>19.30</v>
      </c>
      <c r="E29" s="60">
        <v>7.90</v>
      </c>
      <c r="F29" s="60">
        <v>0.47</v>
      </c>
      <c r="G29" s="60">
        <v>133.52000000000001</v>
      </c>
      <c r="H29" s="60">
        <v>52.77</v>
      </c>
      <c r="I29" s="60">
        <v>6.41</v>
      </c>
      <c r="J29" s="60">
        <v>3.03</v>
      </c>
      <c r="K29" s="60">
        <v>90.47</v>
      </c>
      <c r="L29" s="60">
        <v>37.22</v>
      </c>
      <c r="M29" s="60">
        <v>84.12</v>
      </c>
      <c r="N29" s="60">
        <v>249.40</v>
      </c>
      <c r="O29" s="60">
        <v>0</v>
      </c>
      <c r="P29" s="60">
        <v>2.4500000000000002</v>
      </c>
      <c r="Q29" s="60">
        <v>7.61</v>
      </c>
      <c r="R29" s="198"/>
      <c r="S29" s="198"/>
      <c r="T29" s="198"/>
      <c r="U29" s="198"/>
    </row>
    <row r="30" spans="1:21" s="12" customFormat="1" ht="15">
      <c r="A30" s="201" t="s">
        <v>2380</v>
      </c>
      <c r="B30" s="60">
        <v>3.73</v>
      </c>
      <c r="C30" s="60">
        <v>16.690000000000001</v>
      </c>
      <c r="D30" s="60">
        <v>20.420000000000002</v>
      </c>
      <c r="E30" s="60">
        <v>8</v>
      </c>
      <c r="F30" s="60">
        <v>0.60</v>
      </c>
      <c r="G30" s="60">
        <v>133.52000000000001</v>
      </c>
      <c r="H30" s="60">
        <v>52.77</v>
      </c>
      <c r="I30" s="60">
        <v>6.45</v>
      </c>
      <c r="J30" s="60">
        <v>3</v>
      </c>
      <c r="K30" s="60">
        <v>91.95</v>
      </c>
      <c r="L30" s="60">
        <v>36.69</v>
      </c>
      <c r="M30" s="60">
        <v>84.09</v>
      </c>
      <c r="N30" s="60">
        <v>255.90</v>
      </c>
      <c r="O30" s="60">
        <v>0</v>
      </c>
      <c r="P30" s="60">
        <v>2.42</v>
      </c>
      <c r="Q30" s="60">
        <v>7.97</v>
      </c>
      <c r="R30" s="198"/>
      <c r="S30" s="198"/>
      <c r="T30" s="198"/>
      <c r="U30" s="198"/>
    </row>
    <row r="31" spans="1:21" s="12" customFormat="1" ht="15">
      <c r="A31" s="201" t="s">
        <v>2381</v>
      </c>
      <c r="B31" s="60">
        <v>3.21</v>
      </c>
      <c r="C31" s="60">
        <v>17.12</v>
      </c>
      <c r="D31" s="60">
        <v>20.32</v>
      </c>
      <c r="E31" s="60">
        <v>7.66</v>
      </c>
      <c r="F31" s="60">
        <v>0.69</v>
      </c>
      <c r="G31" s="60">
        <v>133.52000000000001</v>
      </c>
      <c r="H31" s="60">
        <v>52.77</v>
      </c>
      <c r="I31" s="60">
        <v>6.45</v>
      </c>
      <c r="J31" s="60">
        <v>2.61</v>
      </c>
      <c r="K31" s="60">
        <v>80.52</v>
      </c>
      <c r="L31" s="60">
        <v>36.29</v>
      </c>
      <c r="M31" s="60">
        <v>84.5</v>
      </c>
      <c r="N31" s="60">
        <v>238.10</v>
      </c>
      <c r="O31" s="60">
        <v>0</v>
      </c>
      <c r="P31" s="60">
        <v>2.40</v>
      </c>
      <c r="Q31" s="60">
        <v>8.25</v>
      </c>
      <c r="R31" s="198"/>
      <c r="S31" s="198"/>
      <c r="T31" s="198"/>
      <c r="U31" s="198"/>
    </row>
    <row r="32" spans="1:21" s="12" customFormat="1" ht="15">
      <c r="A32" s="201" t="s">
        <v>2382</v>
      </c>
      <c r="B32" s="60">
        <v>2.74</v>
      </c>
      <c r="C32" s="60">
        <v>17.07</v>
      </c>
      <c r="D32" s="60">
        <v>19.809999999999999</v>
      </c>
      <c r="E32" s="60">
        <v>7.63</v>
      </c>
      <c r="F32" s="60">
        <v>0.64</v>
      </c>
      <c r="G32" s="60">
        <v>124.89</v>
      </c>
      <c r="H32" s="60">
        <v>48.14</v>
      </c>
      <c r="I32" s="60">
        <v>6.26</v>
      </c>
      <c r="J32" s="60">
        <v>2.76</v>
      </c>
      <c r="K32" s="60">
        <v>89.61</v>
      </c>
      <c r="L32" s="60">
        <v>36.32</v>
      </c>
      <c r="M32" s="60">
        <v>84.17</v>
      </c>
      <c r="N32" s="60">
        <v>269.60000000000002</v>
      </c>
      <c r="O32" s="60">
        <v>0</v>
      </c>
      <c r="P32" s="60">
        <v>2.38</v>
      </c>
      <c r="Q32" s="60">
        <v>8.4499999999999993</v>
      </c>
      <c r="R32" s="198"/>
      <c r="S32" s="198"/>
      <c r="T32" s="198"/>
      <c r="U32" s="198"/>
    </row>
    <row r="33" spans="1:21" s="12" customFormat="1" ht="15">
      <c r="A33" s="201" t="s">
        <v>2383</v>
      </c>
      <c r="B33" s="60">
        <v>2.3199999999999998</v>
      </c>
      <c r="C33" s="60">
        <v>17.100000000000001</v>
      </c>
      <c r="D33" s="60">
        <v>19.420000000000002</v>
      </c>
      <c r="E33" s="60">
        <v>7.07</v>
      </c>
      <c r="F33" s="60">
        <v>0.70</v>
      </c>
      <c r="G33" s="60">
        <v>119.96</v>
      </c>
      <c r="H33" s="60">
        <v>44.76</v>
      </c>
      <c r="I33" s="60">
        <v>6.09</v>
      </c>
      <c r="J33" s="60">
        <v>2.67</v>
      </c>
      <c r="K33" s="60">
        <v>80.53</v>
      </c>
      <c r="L33" s="60">
        <v>36.35</v>
      </c>
      <c r="M33" s="60">
        <v>84.69</v>
      </c>
      <c r="N33" s="60">
        <v>282.70</v>
      </c>
      <c r="O33" s="60">
        <v>0</v>
      </c>
      <c r="P33" s="60">
        <v>2.35</v>
      </c>
      <c r="Q33" s="60">
        <v>8.41</v>
      </c>
      <c r="R33" s="198"/>
      <c r="S33" s="198"/>
      <c r="T33" s="198"/>
      <c r="U33" s="198"/>
    </row>
    <row r="34" spans="1:21" s="12" customFormat="1" ht="15">
      <c r="A34" s="201" t="s">
        <v>2384</v>
      </c>
      <c r="B34" s="60">
        <v>2.0099999999999998</v>
      </c>
      <c r="C34" s="60">
        <v>17</v>
      </c>
      <c r="D34" s="60">
        <v>19.02</v>
      </c>
      <c r="E34" s="60">
        <v>6.65</v>
      </c>
      <c r="F34" s="60">
        <v>1</v>
      </c>
      <c r="G34" s="60">
        <v>119.96</v>
      </c>
      <c r="H34" s="60">
        <v>44.76</v>
      </c>
      <c r="I34" s="60">
        <v>5.90</v>
      </c>
      <c r="J34" s="60">
        <v>2.72</v>
      </c>
      <c r="K34" s="60">
        <v>96.99</v>
      </c>
      <c r="L34" s="60">
        <v>36.60</v>
      </c>
      <c r="M34" s="60">
        <v>84.78</v>
      </c>
      <c r="N34" s="60">
        <v>288.39999999999998</v>
      </c>
      <c r="O34" s="60">
        <v>0</v>
      </c>
      <c r="P34" s="60">
        <v>2.33</v>
      </c>
      <c r="Q34" s="60">
        <v>8.42</v>
      </c>
      <c r="R34" s="198"/>
      <c r="S34" s="198"/>
      <c r="T34" s="198"/>
      <c r="U34" s="198"/>
    </row>
    <row r="35" spans="1:21" s="12" customFormat="1" ht="15">
      <c r="A35" s="201" t="s">
        <v>2385</v>
      </c>
      <c r="B35" s="60">
        <v>1.82</v>
      </c>
      <c r="C35" s="60">
        <v>16.600000000000001</v>
      </c>
      <c r="D35" s="60">
        <v>18.420000000000002</v>
      </c>
      <c r="E35" s="60">
        <v>6.47</v>
      </c>
      <c r="F35" s="60">
        <v>1</v>
      </c>
      <c r="G35" s="60">
        <v>119.96</v>
      </c>
      <c r="H35" s="60">
        <v>44.76</v>
      </c>
      <c r="I35" s="60">
        <v>5.77</v>
      </c>
      <c r="J35" s="60">
        <v>1.65</v>
      </c>
      <c r="K35" s="60">
        <v>131.18</v>
      </c>
      <c r="L35" s="60">
        <v>36.78</v>
      </c>
      <c r="M35" s="60">
        <v>83.60</v>
      </c>
      <c r="N35" s="60">
        <v>558</v>
      </c>
      <c r="O35" s="60">
        <v>0</v>
      </c>
      <c r="P35" s="60">
        <v>2.2999999999999998</v>
      </c>
      <c r="Q35" s="60">
        <v>8.49</v>
      </c>
      <c r="R35" s="198"/>
      <c r="S35" s="198"/>
      <c r="T35" s="198"/>
      <c r="U35" s="198"/>
    </row>
    <row r="36" spans="1:21" s="12" customFormat="1" ht="15">
      <c r="A36" s="201" t="s">
        <v>2386</v>
      </c>
      <c r="B36" s="60">
        <v>1.81</v>
      </c>
      <c r="C36" s="60">
        <v>17.52</v>
      </c>
      <c r="D36" s="60">
        <v>19.34</v>
      </c>
      <c r="E36" s="60">
        <v>6.43</v>
      </c>
      <c r="F36" s="60">
        <v>0.89</v>
      </c>
      <c r="G36" s="60">
        <v>104.41</v>
      </c>
      <c r="H36" s="60">
        <v>39.700000000000003</v>
      </c>
      <c r="I36" s="60">
        <v>5.61</v>
      </c>
      <c r="J36" s="60">
        <v>1.59</v>
      </c>
      <c r="K36" s="60">
        <v>126.86</v>
      </c>
      <c r="L36" s="60">
        <v>36.67</v>
      </c>
      <c r="M36" s="60">
        <v>82.89</v>
      </c>
      <c r="N36" s="60">
        <v>522.40</v>
      </c>
      <c r="O36" s="60">
        <v>0</v>
      </c>
      <c r="P36" s="60">
        <v>2.29</v>
      </c>
      <c r="Q36" s="60">
        <v>8.66</v>
      </c>
      <c r="R36" s="198"/>
      <c r="S36" s="198"/>
      <c r="T36" s="198"/>
      <c r="U36" s="198"/>
    </row>
    <row r="37" spans="1:21" s="12" customFormat="1" ht="15">
      <c r="A37" s="201" t="s">
        <v>2387</v>
      </c>
      <c r="B37" s="60">
        <v>1.96</v>
      </c>
      <c r="C37" s="60">
        <v>17.80</v>
      </c>
      <c r="D37" s="60">
        <v>19.760000000000002</v>
      </c>
      <c r="E37" s="60">
        <v>6.26</v>
      </c>
      <c r="F37" s="60">
        <v>0.81</v>
      </c>
      <c r="G37" s="60">
        <v>99.62</v>
      </c>
      <c r="H37" s="60">
        <v>36.01</v>
      </c>
      <c r="I37" s="60">
        <v>5.5</v>
      </c>
      <c r="J37" s="60">
        <v>3.17</v>
      </c>
      <c r="K37" s="60">
        <v>79.33</v>
      </c>
      <c r="L37" s="60">
        <v>36.630000000000003</v>
      </c>
      <c r="M37" s="60">
        <v>83.82</v>
      </c>
      <c r="N37" s="60">
        <v>466.20</v>
      </c>
      <c r="O37" s="60">
        <v>0</v>
      </c>
      <c r="P37" s="60">
        <v>2.27</v>
      </c>
      <c r="Q37" s="60">
        <v>8.74</v>
      </c>
      <c r="R37" s="198"/>
      <c r="S37" s="198"/>
      <c r="T37" s="198"/>
      <c r="U37" s="198"/>
    </row>
    <row r="38" spans="1:21" s="12" customFormat="1" ht="15">
      <c r="A38" s="201" t="s">
        <v>2388</v>
      </c>
      <c r="B38" s="60">
        <v>1.97</v>
      </c>
      <c r="C38" s="60">
        <v>17.89</v>
      </c>
      <c r="D38" s="60">
        <v>19.86</v>
      </c>
      <c r="E38" s="60">
        <v>6.18</v>
      </c>
      <c r="F38" s="60">
        <v>1.03</v>
      </c>
      <c r="G38" s="60">
        <v>99.62</v>
      </c>
      <c r="H38" s="60">
        <v>36.01</v>
      </c>
      <c r="I38" s="60">
        <v>5.40</v>
      </c>
      <c r="J38" s="60">
        <v>2.59</v>
      </c>
      <c r="K38" s="60">
        <v>84.87</v>
      </c>
      <c r="L38" s="60">
        <v>36.659999999999997</v>
      </c>
      <c r="M38" s="60">
        <v>83.90</v>
      </c>
      <c r="N38" s="60">
        <v>499.40</v>
      </c>
      <c r="O38" s="60">
        <v>0</v>
      </c>
      <c r="P38" s="60">
        <v>2.2599999999999998</v>
      </c>
      <c r="Q38" s="60">
        <v>8.86</v>
      </c>
      <c r="R38" s="198"/>
      <c r="S38" s="198"/>
      <c r="T38" s="198"/>
      <c r="U38" s="198"/>
    </row>
    <row r="39" spans="1:21" s="12" customFormat="1" ht="15">
      <c r="A39" s="201" t="s">
        <v>2389</v>
      </c>
      <c r="B39" s="60">
        <v>1.77</v>
      </c>
      <c r="C39" s="60">
        <v>17.489999999999998</v>
      </c>
      <c r="D39" s="60">
        <v>19.260000000000002</v>
      </c>
      <c r="E39" s="60">
        <v>6.01</v>
      </c>
      <c r="F39" s="60">
        <v>1.17</v>
      </c>
      <c r="G39" s="60">
        <v>99.62</v>
      </c>
      <c r="H39" s="60">
        <v>36.01</v>
      </c>
      <c r="I39" s="60">
        <v>5.25</v>
      </c>
      <c r="J39" s="60">
        <v>1.74</v>
      </c>
      <c r="K39" s="60">
        <v>122.27</v>
      </c>
      <c r="L39" s="60">
        <v>36.909999999999997</v>
      </c>
      <c r="M39" s="60">
        <v>82.67</v>
      </c>
      <c r="N39" s="60">
        <v>769.10</v>
      </c>
      <c r="O39" s="60">
        <v>0</v>
      </c>
      <c r="P39" s="60">
        <v>2.2400000000000002</v>
      </c>
      <c r="Q39" s="60">
        <v>8.74</v>
      </c>
      <c r="R39" s="198"/>
      <c r="S39" s="198"/>
      <c r="T39" s="198"/>
      <c r="U39" s="198"/>
    </row>
    <row r="40" spans="1:21" s="12" customFormat="1" ht="15">
      <c r="A40" s="201" t="s">
        <v>2390</v>
      </c>
      <c r="B40" s="60">
        <v>1.61</v>
      </c>
      <c r="C40" s="60">
        <v>17.5</v>
      </c>
      <c r="D40" s="60">
        <v>19.11</v>
      </c>
      <c r="E40" s="60">
        <v>3.57</v>
      </c>
      <c r="F40" s="60">
        <v>1.31</v>
      </c>
      <c r="G40" s="60">
        <v>81.83</v>
      </c>
      <c r="H40" s="60">
        <v>35.520000000000003</v>
      </c>
      <c r="I40" s="60">
        <v>5.20</v>
      </c>
      <c r="J40" s="60">
        <v>2.0499999999999998</v>
      </c>
      <c r="K40" s="60">
        <v>104.04</v>
      </c>
      <c r="L40" s="60">
        <v>36.79</v>
      </c>
      <c r="M40" s="60">
        <v>81.81</v>
      </c>
      <c r="N40" s="60">
        <v>986.70</v>
      </c>
      <c r="O40" s="60">
        <v>0</v>
      </c>
      <c r="P40" s="60">
        <v>2.23</v>
      </c>
      <c r="Q40" s="60">
        <v>8.7200000000000006</v>
      </c>
      <c r="R40" s="198"/>
      <c r="S40" s="198"/>
      <c r="T40" s="198"/>
      <c r="U40" s="198"/>
    </row>
    <row r="41" spans="1:21" s="12" customFormat="1" ht="15">
      <c r="A41" s="201" t="s">
        <v>2391</v>
      </c>
      <c r="B41" s="60">
        <v>1.75</v>
      </c>
      <c r="C41" s="60">
        <v>16.649999999999999</v>
      </c>
      <c r="D41" s="60">
        <v>18.39</v>
      </c>
      <c r="E41" s="60">
        <v>6.34</v>
      </c>
      <c r="F41" s="60">
        <v>0.88</v>
      </c>
      <c r="G41" s="60">
        <v>76.25</v>
      </c>
      <c r="H41" s="60">
        <v>35.159999999999997</v>
      </c>
      <c r="I41" s="60">
        <v>5.13</v>
      </c>
      <c r="J41" s="60">
        <v>1.56</v>
      </c>
      <c r="K41" s="60">
        <v>80.010000000000005</v>
      </c>
      <c r="L41" s="60">
        <v>36.89</v>
      </c>
      <c r="M41" s="60">
        <v>81.069999999999993</v>
      </c>
      <c r="N41" s="60">
        <v>963.80</v>
      </c>
      <c r="O41" s="60">
        <v>0</v>
      </c>
      <c r="P41" s="60">
        <v>2.23</v>
      </c>
      <c r="Q41" s="60">
        <v>8.41</v>
      </c>
      <c r="R41" s="198"/>
      <c r="S41" s="198"/>
      <c r="T41" s="198"/>
      <c r="U41" s="198"/>
    </row>
    <row r="42" spans="1:21" s="12" customFormat="1" ht="15">
      <c r="A42" s="201" t="s">
        <v>2392</v>
      </c>
      <c r="B42" s="60">
        <v>2.27</v>
      </c>
      <c r="C42" s="60">
        <v>16.39</v>
      </c>
      <c r="D42" s="60">
        <v>18.66</v>
      </c>
      <c r="E42" s="60">
        <v>7.21</v>
      </c>
      <c r="F42" s="60">
        <v>0.53</v>
      </c>
      <c r="G42" s="60">
        <v>76.25</v>
      </c>
      <c r="H42" s="60">
        <v>35.159999999999997</v>
      </c>
      <c r="I42" s="60">
        <v>5.16</v>
      </c>
      <c r="J42" s="60">
        <v>1.57</v>
      </c>
      <c r="K42" s="60">
        <v>49.06</v>
      </c>
      <c r="L42" s="60">
        <v>37.57</v>
      </c>
      <c r="M42" s="60">
        <v>78.760000000000005</v>
      </c>
      <c r="N42" s="60">
        <v>903.60</v>
      </c>
      <c r="O42" s="60">
        <v>0</v>
      </c>
      <c r="P42" s="60">
        <v>2.2400000000000002</v>
      </c>
      <c r="Q42" s="60">
        <v>8.07</v>
      </c>
      <c r="R42" s="198"/>
      <c r="S42" s="198"/>
      <c r="T42" s="198"/>
      <c r="U42" s="198"/>
    </row>
    <row r="43" spans="1:21" s="12" customFormat="1" ht="15">
      <c r="A43" s="201" t="s">
        <v>2393</v>
      </c>
      <c r="B43" s="60">
        <v>3.33</v>
      </c>
      <c r="C43" s="60">
        <v>16.70</v>
      </c>
      <c r="D43" s="60">
        <v>20.03</v>
      </c>
      <c r="E43" s="60">
        <v>7.32</v>
      </c>
      <c r="F43" s="60">
        <v>0.75</v>
      </c>
      <c r="G43" s="60">
        <v>76.25</v>
      </c>
      <c r="H43" s="60">
        <v>35.159999999999997</v>
      </c>
      <c r="I43" s="60">
        <v>5.27</v>
      </c>
      <c r="J43" s="60">
        <v>2.15</v>
      </c>
      <c r="K43" s="60">
        <v>92.55</v>
      </c>
      <c r="L43" s="60">
        <v>37.950000000000003</v>
      </c>
      <c r="M43" s="60">
        <v>75.930000000000007</v>
      </c>
      <c r="N43" s="60">
        <v>971.10</v>
      </c>
      <c r="O43" s="60">
        <v>0</v>
      </c>
      <c r="P43" s="60">
        <v>2.2599999999999998</v>
      </c>
      <c r="Q43" s="60">
        <v>8.17</v>
      </c>
      <c r="R43" s="198"/>
      <c r="S43" s="198"/>
      <c r="T43" s="198"/>
      <c r="U43" s="198"/>
    </row>
    <row r="44" spans="1:21" s="12" customFormat="1" ht="15">
      <c r="A44" s="201" t="s">
        <v>2394</v>
      </c>
      <c r="B44" s="60">
        <v>3.5</v>
      </c>
      <c r="C44" s="60">
        <v>16.5</v>
      </c>
      <c r="D44" s="60">
        <v>20</v>
      </c>
      <c r="E44" s="60">
        <v>7.42</v>
      </c>
      <c r="F44" s="60">
        <v>0.88</v>
      </c>
      <c r="G44" s="60">
        <v>77.849999999999994</v>
      </c>
      <c r="H44" s="60">
        <v>36.15</v>
      </c>
      <c r="I44" s="60">
        <v>5.36</v>
      </c>
      <c r="J44" s="60">
        <v>1.71</v>
      </c>
      <c r="K44" s="60">
        <v>100.72</v>
      </c>
      <c r="L44" s="60">
        <v>38.229999999999997</v>
      </c>
      <c r="M44" s="60">
        <v>75.63</v>
      </c>
      <c r="N44" s="60">
        <v>1070</v>
      </c>
      <c r="O44" s="60">
        <v>0</v>
      </c>
      <c r="P44" s="60">
        <v>2.2599999999999998</v>
      </c>
      <c r="Q44" s="60">
        <v>8.1300000000000008</v>
      </c>
      <c r="R44" s="198"/>
      <c r="S44" s="198"/>
      <c r="T44" s="198"/>
      <c r="U44" s="198"/>
    </row>
    <row r="45" spans="1:21" s="12" customFormat="1" ht="15">
      <c r="A45" s="201" t="s">
        <v>2395</v>
      </c>
      <c r="B45" s="60">
        <v>3.36</v>
      </c>
      <c r="C45" s="60">
        <v>16.29</v>
      </c>
      <c r="D45" s="60">
        <v>19.649999999999999</v>
      </c>
      <c r="E45" s="60">
        <v>7.91</v>
      </c>
      <c r="F45" s="60">
        <v>0.80</v>
      </c>
      <c r="G45" s="60">
        <v>78.36</v>
      </c>
      <c r="H45" s="60">
        <v>36.869999999999997</v>
      </c>
      <c r="I45" s="60">
        <v>5.52</v>
      </c>
      <c r="J45" s="60">
        <v>0.47</v>
      </c>
      <c r="K45" s="60">
        <v>87.97</v>
      </c>
      <c r="L45" s="60">
        <v>38.76</v>
      </c>
      <c r="M45" s="60">
        <v>73.930000000000007</v>
      </c>
      <c r="N45" s="60">
        <v>1061</v>
      </c>
      <c r="O45" s="60">
        <v>0</v>
      </c>
      <c r="P45" s="60">
        <v>2.2799999999999998</v>
      </c>
      <c r="Q45" s="60">
        <v>7.96</v>
      </c>
      <c r="R45" s="198"/>
      <c r="S45" s="198"/>
      <c r="T45" s="198"/>
      <c r="U45" s="198"/>
    </row>
    <row r="46" spans="1:21" s="12" customFormat="1" ht="15">
      <c r="A46" s="201" t="s">
        <v>2396</v>
      </c>
      <c r="B46" s="60">
        <v>3.44</v>
      </c>
      <c r="C46" s="60">
        <v>16.84</v>
      </c>
      <c r="D46" s="60">
        <v>20.28</v>
      </c>
      <c r="E46" s="60">
        <v>7.76</v>
      </c>
      <c r="F46" s="60">
        <v>0.95</v>
      </c>
      <c r="G46" s="60">
        <v>78.36</v>
      </c>
      <c r="H46" s="60">
        <v>36.869999999999997</v>
      </c>
      <c r="I46" s="60">
        <v>5.63</v>
      </c>
      <c r="J46" s="60">
        <v>1.72</v>
      </c>
      <c r="K46" s="60">
        <v>347.24</v>
      </c>
      <c r="L46" s="60">
        <v>40.409999999999997</v>
      </c>
      <c r="M46" s="60">
        <v>67.87</v>
      </c>
      <c r="N46" s="60">
        <v>1122.70</v>
      </c>
      <c r="O46" s="60">
        <v>0</v>
      </c>
      <c r="P46" s="60">
        <v>2.2999999999999998</v>
      </c>
      <c r="Q46" s="60">
        <v>8.0500000000000007</v>
      </c>
      <c r="R46" s="198"/>
      <c r="S46" s="198"/>
      <c r="T46" s="198"/>
      <c r="U46" s="198"/>
    </row>
    <row r="47" spans="1:21" s="12" customFormat="1" ht="15">
      <c r="A47" s="201" t="s">
        <v>2397</v>
      </c>
      <c r="B47" s="60">
        <v>3.49</v>
      </c>
      <c r="C47" s="60">
        <v>17.82</v>
      </c>
      <c r="D47" s="60">
        <v>21.31</v>
      </c>
      <c r="E47" s="60">
        <v>8.10</v>
      </c>
      <c r="F47" s="60">
        <v>1.1399999999999999</v>
      </c>
      <c r="G47" s="60">
        <v>78.36</v>
      </c>
      <c r="H47" s="60">
        <v>36.869999999999997</v>
      </c>
      <c r="I47" s="60">
        <v>5.82</v>
      </c>
      <c r="J47" s="60">
        <v>0.53</v>
      </c>
      <c r="K47" s="60">
        <v>46.19</v>
      </c>
      <c r="L47" s="60">
        <v>40.22</v>
      </c>
      <c r="M47" s="60">
        <v>67.25</v>
      </c>
      <c r="N47" s="60">
        <v>982.90</v>
      </c>
      <c r="O47" s="60">
        <v>0</v>
      </c>
      <c r="P47" s="60">
        <v>2.3199999999999998</v>
      </c>
      <c r="Q47" s="60">
        <v>8.31</v>
      </c>
      <c r="R47" s="198"/>
      <c r="S47" s="198"/>
      <c r="T47" s="198"/>
      <c r="U47" s="198"/>
    </row>
    <row r="48" spans="1:21" s="12" customFormat="1" ht="15">
      <c r="A48" s="201" t="s">
        <v>2398</v>
      </c>
      <c r="B48" s="60">
        <v>3.39</v>
      </c>
      <c r="C48" s="60">
        <v>20.29</v>
      </c>
      <c r="D48" s="60">
        <v>23.68</v>
      </c>
      <c r="E48" s="60">
        <v>8.25</v>
      </c>
      <c r="F48" s="60">
        <v>1.34</v>
      </c>
      <c r="G48" s="60">
        <v>78.900000000000006</v>
      </c>
      <c r="H48" s="60">
        <v>35.85</v>
      </c>
      <c r="I48" s="60">
        <v>6.05</v>
      </c>
      <c r="J48" s="60">
        <v>1.92</v>
      </c>
      <c r="K48" s="60">
        <v>356.87</v>
      </c>
      <c r="L48" s="60">
        <v>39.97</v>
      </c>
      <c r="M48" s="60">
        <v>68.319999999999993</v>
      </c>
      <c r="N48" s="60">
        <v>998.5</v>
      </c>
      <c r="O48" s="60">
        <v>0</v>
      </c>
      <c r="P48" s="60">
        <v>2.38</v>
      </c>
      <c r="Q48" s="60">
        <v>9.02</v>
      </c>
      <c r="R48" s="198"/>
      <c r="S48" s="198"/>
      <c r="T48" s="198"/>
      <c r="U48" s="198"/>
    </row>
    <row r="49" spans="1:21" s="12" customFormat="1" ht="15">
      <c r="A49" s="201" t="s">
        <v>2399</v>
      </c>
      <c r="B49" s="60">
        <v>3.83</v>
      </c>
      <c r="C49" s="60">
        <v>23.28</v>
      </c>
      <c r="D49" s="60">
        <v>27.11</v>
      </c>
      <c r="E49" s="60">
        <v>8.2200000000000006</v>
      </c>
      <c r="F49" s="60">
        <v>1.28</v>
      </c>
      <c r="G49" s="60">
        <v>79.06</v>
      </c>
      <c r="H49" s="60">
        <v>35.11</v>
      </c>
      <c r="I49" s="60">
        <v>6.31</v>
      </c>
      <c r="J49" s="60">
        <v>2.16</v>
      </c>
      <c r="K49" s="60">
        <v>356</v>
      </c>
      <c r="L49" s="60">
        <v>40.89</v>
      </c>
      <c r="M49" s="60">
        <v>65.06</v>
      </c>
      <c r="N49" s="60">
        <v>1131.0999999999999</v>
      </c>
      <c r="O49" s="60">
        <v>0</v>
      </c>
      <c r="P49" s="60">
        <v>2.4700000000000002</v>
      </c>
      <c r="Q49" s="60">
        <v>10.199999999999999</v>
      </c>
      <c r="R49" s="198"/>
      <c r="S49" s="198"/>
      <c r="T49" s="198"/>
      <c r="U49" s="198"/>
    </row>
    <row r="50" spans="1:21" s="12" customFormat="1" ht="15">
      <c r="A50" s="201" t="s">
        <v>2400</v>
      </c>
      <c r="B50" s="60">
        <v>4.33</v>
      </c>
      <c r="C50" s="60">
        <v>26.53</v>
      </c>
      <c r="D50" s="60">
        <v>30.86</v>
      </c>
      <c r="E50" s="60">
        <v>7.41</v>
      </c>
      <c r="F50" s="60">
        <v>1.29</v>
      </c>
      <c r="G50" s="60">
        <v>79.06</v>
      </c>
      <c r="H50" s="60">
        <v>35.11</v>
      </c>
      <c r="I50" s="60">
        <v>6.51</v>
      </c>
      <c r="J50" s="60">
        <v>1.0900000000000001</v>
      </c>
      <c r="K50" s="60">
        <v>351.68</v>
      </c>
      <c r="L50" s="60">
        <v>41.30</v>
      </c>
      <c r="M50" s="60">
        <v>63.45</v>
      </c>
      <c r="N50" s="60">
        <v>1103.5</v>
      </c>
      <c r="O50" s="60">
        <v>0</v>
      </c>
      <c r="P50" s="60">
        <v>2.5499999999999998</v>
      </c>
      <c r="Q50" s="60">
        <v>11.40</v>
      </c>
      <c r="R50" s="198"/>
      <c r="S50" s="198"/>
      <c r="T50" s="198"/>
      <c r="U50" s="198"/>
    </row>
    <row r="51" spans="1:21" s="12" customFormat="1" ht="15">
      <c r="A51" s="201" t="s">
        <v>2401</v>
      </c>
      <c r="B51" s="60">
        <v>4</v>
      </c>
      <c r="C51" s="60">
        <v>28.86</v>
      </c>
      <c r="D51" s="60">
        <v>32.86</v>
      </c>
      <c r="E51" s="60">
        <v>7.63</v>
      </c>
      <c r="F51" s="60">
        <v>1.47</v>
      </c>
      <c r="G51" s="60">
        <v>79.06</v>
      </c>
      <c r="H51" s="60">
        <v>35.11</v>
      </c>
      <c r="I51" s="60">
        <v>6.90</v>
      </c>
      <c r="J51" s="60">
        <v>1.83</v>
      </c>
      <c r="K51" s="60">
        <v>13.22</v>
      </c>
      <c r="L51" s="60">
        <v>40.96</v>
      </c>
      <c r="M51" s="60">
        <v>64.16</v>
      </c>
      <c r="N51" s="60">
        <v>1092.20</v>
      </c>
      <c r="O51" s="60">
        <v>0</v>
      </c>
      <c r="P51" s="60">
        <v>2.62</v>
      </c>
      <c r="Q51" s="60">
        <v>12.02</v>
      </c>
      <c r="R51" s="198"/>
      <c r="S51" s="198"/>
      <c r="T51" s="198"/>
      <c r="U51" s="198"/>
    </row>
    <row r="52" spans="1:21" s="12" customFormat="1" ht="15">
      <c r="A52" s="201" t="s">
        <v>2402</v>
      </c>
      <c r="B52" s="60">
        <v>3.97</v>
      </c>
      <c r="C52" s="60">
        <v>30.81</v>
      </c>
      <c r="D52" s="60">
        <v>34.78</v>
      </c>
      <c r="E52" s="60">
        <v>7.33</v>
      </c>
      <c r="F52" s="60">
        <v>1.23</v>
      </c>
      <c r="G52" s="60">
        <v>89.88</v>
      </c>
      <c r="H52" s="60">
        <v>33.729999999999997</v>
      </c>
      <c r="I52" s="60">
        <v>7.22</v>
      </c>
      <c r="J52" s="60">
        <v>2.2400000000000002</v>
      </c>
      <c r="K52" s="60">
        <v>354.06</v>
      </c>
      <c r="L52" s="60">
        <v>41.54</v>
      </c>
      <c r="M52" s="60">
        <v>62.54</v>
      </c>
      <c r="N52" s="60">
        <v>999</v>
      </c>
      <c r="O52" s="60">
        <v>0</v>
      </c>
      <c r="P52" s="60">
        <v>2.68</v>
      </c>
      <c r="Q52" s="60">
        <v>12.58</v>
      </c>
      <c r="R52" s="198"/>
      <c r="S52" s="198"/>
      <c r="T52" s="198"/>
      <c r="U52" s="198"/>
    </row>
    <row r="53" spans="1:21" s="12" customFormat="1" ht="15">
      <c r="A53" s="201" t="s">
        <v>2403</v>
      </c>
      <c r="B53" s="60">
        <v>3.73</v>
      </c>
      <c r="C53" s="60">
        <v>31.94</v>
      </c>
      <c r="D53" s="60">
        <v>35.67</v>
      </c>
      <c r="E53" s="60">
        <v>6.96</v>
      </c>
      <c r="F53" s="60">
        <v>1.42</v>
      </c>
      <c r="G53" s="60">
        <v>93.28</v>
      </c>
      <c r="H53" s="60">
        <v>32.72</v>
      </c>
      <c r="I53" s="60">
        <v>7.51</v>
      </c>
      <c r="J53" s="60">
        <v>2.82</v>
      </c>
      <c r="K53" s="60">
        <v>313.07</v>
      </c>
      <c r="L53" s="60">
        <v>41.15</v>
      </c>
      <c r="M53" s="60">
        <v>65.14</v>
      </c>
      <c r="N53" s="60">
        <v>931</v>
      </c>
      <c r="O53" s="60">
        <v>0</v>
      </c>
      <c r="P53" s="60">
        <v>2.76</v>
      </c>
      <c r="Q53" s="60">
        <v>12.73</v>
      </c>
      <c r="R53" s="198"/>
      <c r="S53" s="198"/>
      <c r="T53" s="198"/>
      <c r="U53" s="198"/>
    </row>
    <row r="54" spans="1:21" s="12" customFormat="1" ht="15">
      <c r="A54" s="201" t="s">
        <v>2404</v>
      </c>
      <c r="B54" s="60">
        <v>3.76</v>
      </c>
      <c r="C54" s="60">
        <v>32.799999999999997</v>
      </c>
      <c r="D54" s="60">
        <v>36.56</v>
      </c>
      <c r="E54" s="60">
        <v>7.07</v>
      </c>
      <c r="F54" s="60">
        <v>1.61</v>
      </c>
      <c r="G54" s="60">
        <v>93.28</v>
      </c>
      <c r="H54" s="60">
        <v>32.72</v>
      </c>
      <c r="I54" s="60">
        <v>7.87</v>
      </c>
      <c r="J54" s="60">
        <v>3.24</v>
      </c>
      <c r="K54" s="60">
        <v>337.33</v>
      </c>
      <c r="L54" s="60">
        <v>40.99</v>
      </c>
      <c r="M54" s="60">
        <v>65.42</v>
      </c>
      <c r="N54" s="60">
        <v>866.5</v>
      </c>
      <c r="O54" s="60">
        <v>0</v>
      </c>
      <c r="P54" s="60">
        <v>2.83</v>
      </c>
      <c r="Q54" s="60">
        <v>12.96</v>
      </c>
      <c r="R54" s="198"/>
      <c r="S54" s="198"/>
      <c r="T54" s="198"/>
      <c r="U54" s="198"/>
    </row>
    <row r="55" spans="1:21" s="12" customFormat="1" ht="15">
      <c r="A55" s="201" t="s">
        <v>2405</v>
      </c>
      <c r="B55" s="60">
        <v>4.26</v>
      </c>
      <c r="C55" s="60">
        <v>34.299999999999997</v>
      </c>
      <c r="D55" s="60">
        <v>38.56</v>
      </c>
      <c r="E55" s="60">
        <v>7.05</v>
      </c>
      <c r="F55" s="60">
        <v>1.46</v>
      </c>
      <c r="G55" s="60">
        <v>93.28</v>
      </c>
      <c r="H55" s="60">
        <v>32.72</v>
      </c>
      <c r="I55" s="60">
        <v>8.17</v>
      </c>
      <c r="J55" s="60">
        <v>3.57</v>
      </c>
      <c r="K55" s="60">
        <v>354.67</v>
      </c>
      <c r="L55" s="60">
        <v>40.520000000000003</v>
      </c>
      <c r="M55" s="60">
        <v>65.97</v>
      </c>
      <c r="N55" s="60">
        <v>864.60</v>
      </c>
      <c r="O55" s="60">
        <v>0</v>
      </c>
      <c r="P55" s="60">
        <v>2.93</v>
      </c>
      <c r="Q55" s="60">
        <v>13.52</v>
      </c>
      <c r="R55" s="198"/>
      <c r="S55" s="198"/>
      <c r="T55" s="198"/>
      <c r="U55" s="198"/>
    </row>
    <row r="56" spans="1:21" s="12" customFormat="1" ht="15">
      <c r="A56" s="201" t="s">
        <v>2406</v>
      </c>
      <c r="B56" s="60">
        <v>5.04</v>
      </c>
      <c r="C56" s="60">
        <v>35.450000000000003</v>
      </c>
      <c r="D56" s="60">
        <v>40.49</v>
      </c>
      <c r="E56" s="60">
        <v>3.60</v>
      </c>
      <c r="F56" s="60">
        <v>1.05</v>
      </c>
      <c r="G56" s="60">
        <v>114.36</v>
      </c>
      <c r="H56" s="60">
        <v>33.79</v>
      </c>
      <c r="I56" s="60">
        <v>8.58</v>
      </c>
      <c r="J56" s="60">
        <v>3.15</v>
      </c>
      <c r="K56" s="60">
        <v>336.42</v>
      </c>
      <c r="L56" s="60">
        <v>40.92</v>
      </c>
      <c r="M56" s="60">
        <v>64.69</v>
      </c>
      <c r="N56" s="60">
        <v>1007.10</v>
      </c>
      <c r="O56" s="60">
        <v>0</v>
      </c>
      <c r="P56" s="60">
        <v>2.97</v>
      </c>
      <c r="Q56" s="60">
        <v>14.02</v>
      </c>
      <c r="R56" s="198"/>
      <c r="S56" s="198"/>
      <c r="T56" s="198"/>
      <c r="U56" s="198"/>
    </row>
    <row r="57" spans="1:21" s="12" customFormat="1" ht="15">
      <c r="A57" s="201" t="s">
        <v>2407</v>
      </c>
      <c r="B57" s="60">
        <v>5.30</v>
      </c>
      <c r="C57" s="60">
        <v>35.18</v>
      </c>
      <c r="D57" s="60">
        <v>40.49</v>
      </c>
      <c r="E57" s="60">
        <v>5.54</v>
      </c>
      <c r="F57" s="60">
        <v>1.22</v>
      </c>
      <c r="G57" s="60">
        <v>125.99</v>
      </c>
      <c r="H57" s="60">
        <v>34.56</v>
      </c>
      <c r="I57" s="60">
        <v>9.06</v>
      </c>
      <c r="J57" s="60">
        <v>2.96</v>
      </c>
      <c r="K57" s="60">
        <v>339.93</v>
      </c>
      <c r="L57" s="60">
        <v>40.950000000000003</v>
      </c>
      <c r="M57" s="60">
        <v>64.5</v>
      </c>
      <c r="N57" s="60">
        <v>943.30</v>
      </c>
      <c r="O57" s="60">
        <v>0</v>
      </c>
      <c r="P57" s="60">
        <v>2.99</v>
      </c>
      <c r="Q57" s="60">
        <v>13.88</v>
      </c>
      <c r="R57" s="198"/>
      <c r="S57" s="198"/>
      <c r="T57" s="198"/>
      <c r="U57" s="198"/>
    </row>
    <row r="58" spans="1:21" s="12" customFormat="1" ht="15">
      <c r="A58" s="201" t="s">
        <v>2408</v>
      </c>
      <c r="B58" s="60">
        <v>5.43</v>
      </c>
      <c r="C58" s="60">
        <v>34.28</v>
      </c>
      <c r="D58" s="60">
        <v>39.71</v>
      </c>
      <c r="E58" s="60">
        <v>5.59</v>
      </c>
      <c r="F58" s="60">
        <v>1.32</v>
      </c>
      <c r="G58" s="60">
        <v>125.99</v>
      </c>
      <c r="H58" s="60">
        <v>34.56</v>
      </c>
      <c r="I58" s="60">
        <v>9.19</v>
      </c>
      <c r="J58" s="60">
        <v>3.09</v>
      </c>
      <c r="K58" s="60">
        <v>358.18</v>
      </c>
      <c r="L58" s="60">
        <v>40.479999999999997</v>
      </c>
      <c r="M58" s="60">
        <v>67.37</v>
      </c>
      <c r="N58" s="60">
        <v>1034.9000000000001</v>
      </c>
      <c r="O58" s="60">
        <v>0</v>
      </c>
      <c r="P58" s="60">
        <v>2.99</v>
      </c>
      <c r="Q58" s="60">
        <v>13.57</v>
      </c>
      <c r="R58" s="198"/>
      <c r="S58" s="198"/>
      <c r="T58" s="198"/>
      <c r="U58" s="198"/>
    </row>
    <row r="59" spans="1:21" s="12" customFormat="1" ht="15">
      <c r="A59" s="201" t="s">
        <v>2409</v>
      </c>
      <c r="B59" s="60">
        <v>6.13</v>
      </c>
      <c r="C59" s="60">
        <v>33.479999999999997</v>
      </c>
      <c r="D59" s="60">
        <v>39.61</v>
      </c>
      <c r="E59" s="60">
        <v>5.74</v>
      </c>
      <c r="F59" s="60">
        <v>0.94</v>
      </c>
      <c r="G59" s="60">
        <v>125.99</v>
      </c>
      <c r="H59" s="60">
        <v>34.56</v>
      </c>
      <c r="I59" s="60">
        <v>9.1199999999999992</v>
      </c>
      <c r="J59" s="60">
        <v>2.70</v>
      </c>
      <c r="K59" s="60">
        <v>3.05</v>
      </c>
      <c r="L59" s="60">
        <v>40.200000000000003</v>
      </c>
      <c r="M59" s="60">
        <v>68.09</v>
      </c>
      <c r="N59" s="60">
        <v>984</v>
      </c>
      <c r="O59" s="60">
        <v>0</v>
      </c>
      <c r="P59" s="60">
        <v>3.02</v>
      </c>
      <c r="Q59" s="60">
        <v>13.52</v>
      </c>
      <c r="R59" s="198"/>
      <c r="S59" s="198"/>
      <c r="T59" s="198"/>
      <c r="U59" s="198"/>
    </row>
    <row r="60" spans="1:21" s="12" customFormat="1" ht="15">
      <c r="A60" s="201" t="s">
        <v>2410</v>
      </c>
      <c r="B60" s="60">
        <v>6.78</v>
      </c>
      <c r="C60" s="60">
        <v>32.450000000000003</v>
      </c>
      <c r="D60" s="60">
        <v>39.24</v>
      </c>
      <c r="E60" s="60">
        <v>5.95</v>
      </c>
      <c r="F60" s="60">
        <v>0.80</v>
      </c>
      <c r="G60" s="60">
        <v>143.07</v>
      </c>
      <c r="H60" s="60">
        <v>36.47</v>
      </c>
      <c r="I60" s="60">
        <v>9.14</v>
      </c>
      <c r="J60" s="60">
        <v>2.63</v>
      </c>
      <c r="K60" s="60">
        <v>0.90</v>
      </c>
      <c r="L60" s="60">
        <v>40.340000000000003</v>
      </c>
      <c r="M60" s="60">
        <v>66.849999999999994</v>
      </c>
      <c r="N60" s="60">
        <v>880.5</v>
      </c>
      <c r="O60" s="60">
        <v>0</v>
      </c>
      <c r="P60" s="60">
        <v>3.03</v>
      </c>
      <c r="Q60" s="60">
        <v>13.06</v>
      </c>
      <c r="R60" s="198"/>
      <c r="S60" s="198"/>
      <c r="T60" s="198"/>
      <c r="U60" s="198"/>
    </row>
    <row r="61" spans="1:21" s="12" customFormat="1" ht="15">
      <c r="A61" s="201" t="s">
        <v>2411</v>
      </c>
      <c r="B61" s="60">
        <v>7.25</v>
      </c>
      <c r="C61" s="60">
        <v>31.51</v>
      </c>
      <c r="D61" s="60">
        <v>38.76</v>
      </c>
      <c r="E61" s="60">
        <v>5.95</v>
      </c>
      <c r="F61" s="60">
        <v>0.86</v>
      </c>
      <c r="G61" s="60">
        <v>148.09</v>
      </c>
      <c r="H61" s="60">
        <v>37.86</v>
      </c>
      <c r="I61" s="60">
        <v>9.25</v>
      </c>
      <c r="J61" s="60">
        <v>2.79</v>
      </c>
      <c r="K61" s="60">
        <v>346.27</v>
      </c>
      <c r="L61" s="60">
        <v>40.85</v>
      </c>
      <c r="M61" s="60">
        <v>64.39</v>
      </c>
      <c r="N61" s="60">
        <v>886.90</v>
      </c>
      <c r="O61" s="60">
        <v>0</v>
      </c>
      <c r="P61" s="60">
        <v>3.02</v>
      </c>
      <c r="Q61" s="60">
        <v>12.70</v>
      </c>
      <c r="R61" s="198"/>
      <c r="S61" s="198"/>
      <c r="T61" s="198"/>
      <c r="U61" s="198"/>
    </row>
    <row r="62" spans="1:21" s="12" customFormat="1" ht="15">
      <c r="A62" s="201" t="s">
        <v>2412</v>
      </c>
      <c r="B62" s="60">
        <v>7.35</v>
      </c>
      <c r="C62" s="60">
        <v>30.83</v>
      </c>
      <c r="D62" s="60">
        <v>38.18</v>
      </c>
      <c r="E62" s="60">
        <v>6.5</v>
      </c>
      <c r="F62" s="60">
        <v>0.92</v>
      </c>
      <c r="G62" s="60">
        <v>148.09</v>
      </c>
      <c r="H62" s="60">
        <v>37.86</v>
      </c>
      <c r="I62" s="60">
        <v>9.33</v>
      </c>
      <c r="J62" s="60">
        <v>1.20</v>
      </c>
      <c r="K62" s="60">
        <v>36.049999999999997</v>
      </c>
      <c r="L62" s="60">
        <v>39.81</v>
      </c>
      <c r="M62" s="60">
        <v>67.260000000000005</v>
      </c>
      <c r="N62" s="60">
        <v>867.30</v>
      </c>
      <c r="O62" s="60">
        <v>0</v>
      </c>
      <c r="P62" s="60">
        <v>3.02</v>
      </c>
      <c r="Q62" s="60">
        <v>12.45</v>
      </c>
      <c r="R62" s="198"/>
      <c r="S62" s="198"/>
      <c r="T62" s="198"/>
      <c r="U62" s="198"/>
    </row>
    <row r="63" spans="1:21" s="12" customFormat="1" ht="15">
      <c r="A63" s="201" t="s">
        <v>2413</v>
      </c>
      <c r="B63" s="60">
        <v>7.30</v>
      </c>
      <c r="C63" s="60">
        <v>29.84</v>
      </c>
      <c r="D63" s="60">
        <v>37.14</v>
      </c>
      <c r="E63" s="60">
        <v>6.78</v>
      </c>
      <c r="F63" s="60">
        <v>1.08</v>
      </c>
      <c r="G63" s="60">
        <v>148.09</v>
      </c>
      <c r="H63" s="60">
        <v>37.86</v>
      </c>
      <c r="I63" s="60">
        <v>9.35</v>
      </c>
      <c r="J63" s="60">
        <v>1.88</v>
      </c>
      <c r="K63" s="60">
        <v>8.16</v>
      </c>
      <c r="L63" s="60">
        <v>39.549999999999997</v>
      </c>
      <c r="M63" s="60">
        <v>67.03</v>
      </c>
      <c r="N63" s="60">
        <v>859.70</v>
      </c>
      <c r="O63" s="60">
        <v>0</v>
      </c>
      <c r="P63" s="60">
        <v>3.01</v>
      </c>
      <c r="Q63" s="60">
        <v>12.20</v>
      </c>
      <c r="R63" s="198"/>
      <c r="S63" s="198"/>
      <c r="T63" s="198"/>
      <c r="U63" s="198"/>
    </row>
    <row r="64" spans="1:21" s="12" customFormat="1" ht="15">
      <c r="A64" s="201" t="s">
        <v>2414</v>
      </c>
      <c r="B64" s="60">
        <v>7.32</v>
      </c>
      <c r="C64" s="60">
        <v>29.17</v>
      </c>
      <c r="D64" s="60">
        <v>36.479999999999997</v>
      </c>
      <c r="E64" s="60">
        <v>6.75</v>
      </c>
      <c r="F64" s="60">
        <v>0.81</v>
      </c>
      <c r="G64" s="60">
        <v>157.33000000000001</v>
      </c>
      <c r="H64" s="60">
        <v>42.39</v>
      </c>
      <c r="I64" s="60">
        <v>9.27</v>
      </c>
      <c r="J64" s="60">
        <v>3.22</v>
      </c>
      <c r="K64" s="60">
        <v>159.31</v>
      </c>
      <c r="L64" s="60">
        <v>38.72</v>
      </c>
      <c r="M64" s="60">
        <v>67.56</v>
      </c>
      <c r="N64" s="60">
        <v>764.70</v>
      </c>
      <c r="O64" s="60">
        <v>0</v>
      </c>
      <c r="P64" s="60">
        <v>3</v>
      </c>
      <c r="Q64" s="60">
        <v>12.07</v>
      </c>
      <c r="R64" s="198"/>
      <c r="S64" s="198"/>
      <c r="T64" s="198"/>
      <c r="U64" s="198"/>
    </row>
    <row r="65" spans="1:21" s="12" customFormat="1" ht="15">
      <c r="A65" s="201" t="s">
        <v>2415</v>
      </c>
      <c r="B65" s="60">
        <v>6.58</v>
      </c>
      <c r="C65" s="60">
        <v>28.05</v>
      </c>
      <c r="D65" s="60">
        <v>34.630000000000003</v>
      </c>
      <c r="E65" s="60">
        <v>7.14</v>
      </c>
      <c r="F65" s="60">
        <v>1.1399999999999999</v>
      </c>
      <c r="G65" s="60">
        <v>160.22999999999999</v>
      </c>
      <c r="H65" s="60">
        <v>45.70</v>
      </c>
      <c r="I65" s="60">
        <v>9.24</v>
      </c>
      <c r="J65" s="60">
        <v>3.76</v>
      </c>
      <c r="K65" s="60">
        <v>161.13</v>
      </c>
      <c r="L65" s="60">
        <v>36.56</v>
      </c>
      <c r="M65" s="60">
        <v>72.569999999999993</v>
      </c>
      <c r="N65" s="60">
        <v>795.80</v>
      </c>
      <c r="O65" s="60">
        <v>0</v>
      </c>
      <c r="P65" s="60">
        <v>2.94</v>
      </c>
      <c r="Q65" s="60">
        <v>11.61</v>
      </c>
      <c r="R65" s="198"/>
      <c r="S65" s="198"/>
      <c r="T65" s="198"/>
      <c r="U65" s="198"/>
    </row>
    <row r="66" spans="1:21" s="12" customFormat="1" ht="15">
      <c r="A66" s="201" t="s">
        <v>2416</v>
      </c>
      <c r="B66" s="60">
        <v>5</v>
      </c>
      <c r="C66" s="60">
        <v>27.41</v>
      </c>
      <c r="D66" s="60">
        <v>32.409999999999997</v>
      </c>
      <c r="E66" s="60">
        <v>7.37</v>
      </c>
      <c r="F66" s="60">
        <v>1.37</v>
      </c>
      <c r="G66" s="60">
        <v>160.22999999999999</v>
      </c>
      <c r="H66" s="60">
        <v>45.70</v>
      </c>
      <c r="I66" s="60">
        <v>9.24</v>
      </c>
      <c r="J66" s="60">
        <v>3.27</v>
      </c>
      <c r="K66" s="60">
        <v>166.47</v>
      </c>
      <c r="L66" s="60">
        <v>36.04</v>
      </c>
      <c r="M66" s="60">
        <v>73.11</v>
      </c>
      <c r="N66" s="60">
        <v>744.5</v>
      </c>
      <c r="O66" s="60">
        <v>0</v>
      </c>
      <c r="P66" s="60">
        <v>2.87</v>
      </c>
      <c r="Q66" s="60">
        <v>11.16</v>
      </c>
      <c r="R66" s="198"/>
      <c r="S66" s="198"/>
      <c r="T66" s="198"/>
      <c r="U66" s="198"/>
    </row>
    <row r="67" spans="1:21" s="12" customFormat="1" ht="15">
      <c r="A67" s="201" t="s">
        <v>2417</v>
      </c>
      <c r="B67" s="60">
        <v>3.29</v>
      </c>
      <c r="C67" s="60">
        <v>26.08</v>
      </c>
      <c r="D67" s="60">
        <v>29.38</v>
      </c>
      <c r="E67" s="60">
        <v>7.06</v>
      </c>
      <c r="F67" s="60">
        <v>1.62</v>
      </c>
      <c r="G67" s="60">
        <v>160.22999999999999</v>
      </c>
      <c r="H67" s="60">
        <v>45.70</v>
      </c>
      <c r="I67" s="60">
        <v>9.01</v>
      </c>
      <c r="J67" s="60">
        <v>3.25</v>
      </c>
      <c r="K67" s="60">
        <v>162.24</v>
      </c>
      <c r="L67" s="60">
        <v>35.97</v>
      </c>
      <c r="M67" s="60">
        <v>72.73</v>
      </c>
      <c r="N67" s="60">
        <v>791.10</v>
      </c>
      <c r="O67" s="60">
        <v>0</v>
      </c>
      <c r="P67" s="60">
        <v>2.80</v>
      </c>
      <c r="Q67" s="60">
        <v>10.80</v>
      </c>
      <c r="R67" s="198"/>
      <c r="S67" s="198"/>
      <c r="T67" s="198"/>
      <c r="U67" s="198"/>
    </row>
    <row r="68" spans="1:21" s="12" customFormat="1" ht="15">
      <c r="A68" s="201" t="s">
        <v>2418</v>
      </c>
      <c r="B68" s="60">
        <v>2.1800000000000002</v>
      </c>
      <c r="C68" s="60">
        <v>25.26</v>
      </c>
      <c r="D68" s="60">
        <v>27.44</v>
      </c>
      <c r="E68" s="60">
        <v>6.65</v>
      </c>
      <c r="F68" s="60">
        <v>1.48</v>
      </c>
      <c r="G68" s="60">
        <v>118.62</v>
      </c>
      <c r="H68" s="60">
        <v>36.83</v>
      </c>
      <c r="I68" s="60">
        <v>8.58</v>
      </c>
      <c r="J68" s="60">
        <v>3.49</v>
      </c>
      <c r="K68" s="60">
        <v>163.69</v>
      </c>
      <c r="L68" s="60">
        <v>35.82</v>
      </c>
      <c r="M68" s="60">
        <v>72.81</v>
      </c>
      <c r="N68" s="60">
        <v>793.30</v>
      </c>
      <c r="O68" s="60">
        <v>0</v>
      </c>
      <c r="P68" s="60">
        <v>2.72</v>
      </c>
      <c r="Q68" s="60">
        <v>10.48</v>
      </c>
      <c r="R68" s="198"/>
      <c r="S68" s="198"/>
      <c r="T68" s="198"/>
      <c r="U68" s="198"/>
    </row>
    <row r="69" spans="1:21" s="12" customFormat="1" ht="15">
      <c r="A69" s="201" t="s">
        <v>2419</v>
      </c>
      <c r="B69" s="60">
        <v>1.58</v>
      </c>
      <c r="C69" s="60">
        <v>24.41</v>
      </c>
      <c r="D69" s="60">
        <v>25.99</v>
      </c>
      <c r="E69" s="60">
        <v>6.43</v>
      </c>
      <c r="F69" s="60">
        <v>1.58</v>
      </c>
      <c r="G69" s="60">
        <v>106.38</v>
      </c>
      <c r="H69" s="60">
        <v>30.34</v>
      </c>
      <c r="I69" s="60">
        <v>8.11</v>
      </c>
      <c r="J69" s="60">
        <v>3.49</v>
      </c>
      <c r="K69" s="60">
        <v>162.96</v>
      </c>
      <c r="L69" s="60">
        <v>35.64</v>
      </c>
      <c r="M69" s="60">
        <v>73.16</v>
      </c>
      <c r="N69" s="60">
        <v>707.10</v>
      </c>
      <c r="O69" s="60">
        <v>0</v>
      </c>
      <c r="P69" s="60">
        <v>2.66</v>
      </c>
      <c r="Q69" s="60">
        <v>10.06</v>
      </c>
      <c r="R69" s="198"/>
      <c r="S69" s="198"/>
      <c r="T69" s="198"/>
      <c r="U69" s="198"/>
    </row>
    <row r="70" spans="1:21" s="12" customFormat="1" ht="15">
      <c r="A70" s="201" t="s">
        <v>2420</v>
      </c>
      <c r="B70" s="60">
        <v>1.27</v>
      </c>
      <c r="C70" s="60">
        <v>23.48</v>
      </c>
      <c r="D70" s="60">
        <v>24.74</v>
      </c>
      <c r="E70" s="60">
        <v>5.98</v>
      </c>
      <c r="F70" s="60">
        <v>1.68</v>
      </c>
      <c r="G70" s="60">
        <v>106.38</v>
      </c>
      <c r="H70" s="60">
        <v>30.34</v>
      </c>
      <c r="I70" s="60">
        <v>7.71</v>
      </c>
      <c r="J70" s="60">
        <v>3.79</v>
      </c>
      <c r="K70" s="60">
        <v>156.57</v>
      </c>
      <c r="L70" s="60">
        <v>35.81</v>
      </c>
      <c r="M70" s="60">
        <v>73.040000000000006</v>
      </c>
      <c r="N70" s="60">
        <v>754.5</v>
      </c>
      <c r="O70" s="60">
        <v>0</v>
      </c>
      <c r="P70" s="60">
        <v>2.60</v>
      </c>
      <c r="Q70" s="60">
        <v>9.76</v>
      </c>
      <c r="R70" s="198"/>
      <c r="S70" s="198"/>
      <c r="T70" s="198"/>
      <c r="U70" s="198"/>
    </row>
    <row r="71" spans="1:21" s="12" customFormat="1" ht="15">
      <c r="A71" s="201" t="s">
        <v>2421</v>
      </c>
      <c r="B71" s="60">
        <v>1.0900000000000001</v>
      </c>
      <c r="C71" s="60">
        <v>22.68</v>
      </c>
      <c r="D71" s="60">
        <v>23.77</v>
      </c>
      <c r="E71" s="60">
        <v>6.17</v>
      </c>
      <c r="F71" s="60">
        <v>1.82</v>
      </c>
      <c r="G71" s="60">
        <v>106.38</v>
      </c>
      <c r="H71" s="60">
        <v>30.34</v>
      </c>
      <c r="I71" s="60">
        <v>7.35</v>
      </c>
      <c r="J71" s="60">
        <v>2.85</v>
      </c>
      <c r="K71" s="60">
        <v>179.49</v>
      </c>
      <c r="L71" s="60">
        <v>35.869999999999997</v>
      </c>
      <c r="M71" s="60">
        <v>73.59</v>
      </c>
      <c r="N71" s="60">
        <v>815.40</v>
      </c>
      <c r="O71" s="60">
        <v>0</v>
      </c>
      <c r="P71" s="60">
        <v>2.5499999999999998</v>
      </c>
      <c r="Q71" s="60">
        <v>9.59</v>
      </c>
      <c r="R71" s="198"/>
      <c r="S71" s="198"/>
      <c r="T71" s="198"/>
      <c r="U71" s="198"/>
    </row>
    <row r="72" spans="1:21" s="12" customFormat="1" ht="15">
      <c r="A72" s="201" t="s">
        <v>2422</v>
      </c>
      <c r="B72" s="60">
        <v>0.92</v>
      </c>
      <c r="C72" s="60">
        <v>21.61</v>
      </c>
      <c r="D72" s="60">
        <v>22.52</v>
      </c>
      <c r="E72" s="60">
        <v>3.37</v>
      </c>
      <c r="F72" s="60">
        <v>1.90</v>
      </c>
      <c r="G72" s="60">
        <v>84.73</v>
      </c>
      <c r="H72" s="60">
        <v>28.88</v>
      </c>
      <c r="I72" s="60">
        <v>6.99</v>
      </c>
      <c r="J72" s="60">
        <v>3.08</v>
      </c>
      <c r="K72" s="60">
        <v>172.39</v>
      </c>
      <c r="L72" s="60">
        <v>35.93</v>
      </c>
      <c r="M72" s="60">
        <v>74.45</v>
      </c>
      <c r="N72" s="60">
        <v>822.90</v>
      </c>
      <c r="O72" s="60">
        <v>0</v>
      </c>
      <c r="P72" s="60">
        <v>2.5</v>
      </c>
      <c r="Q72" s="60">
        <v>9.23</v>
      </c>
      <c r="R72" s="198"/>
      <c r="S72" s="198"/>
      <c r="T72" s="198"/>
      <c r="U72" s="198"/>
    </row>
    <row r="73" spans="1:21" s="12" customFormat="1" ht="15">
      <c r="A73" s="201" t="s">
        <v>2423</v>
      </c>
      <c r="B73" s="60">
        <v>0.82</v>
      </c>
      <c r="C73" s="60">
        <v>20.92</v>
      </c>
      <c r="D73" s="60">
        <v>21.73</v>
      </c>
      <c r="E73" s="60">
        <v>6.72</v>
      </c>
      <c r="F73" s="60">
        <v>1.91</v>
      </c>
      <c r="G73" s="60">
        <v>78.48</v>
      </c>
      <c r="H73" s="60">
        <v>27.80</v>
      </c>
      <c r="I73" s="60">
        <v>6.65</v>
      </c>
      <c r="J73" s="60">
        <v>2.76</v>
      </c>
      <c r="K73" s="60">
        <v>181.09</v>
      </c>
      <c r="L73" s="60">
        <v>35.71</v>
      </c>
      <c r="M73" s="60">
        <v>77.069999999999993</v>
      </c>
      <c r="N73" s="60">
        <v>632.5</v>
      </c>
      <c r="O73" s="60">
        <v>0</v>
      </c>
      <c r="P73" s="60">
        <v>2.4500000000000002</v>
      </c>
      <c r="Q73" s="60">
        <v>8.9700000000000006</v>
      </c>
      <c r="R73" s="198"/>
      <c r="S73" s="198"/>
      <c r="T73" s="198"/>
      <c r="U73" s="198"/>
    </row>
    <row r="74" spans="1:21" s="12" customFormat="1" ht="15">
      <c r="A74" s="201" t="s">
        <v>2424</v>
      </c>
      <c r="B74" s="60">
        <v>0.74</v>
      </c>
      <c r="C74" s="60">
        <v>20.30</v>
      </c>
      <c r="D74" s="60">
        <v>21.05</v>
      </c>
      <c r="E74" s="60">
        <v>5.89</v>
      </c>
      <c r="F74" s="60">
        <v>1.99</v>
      </c>
      <c r="G74" s="60">
        <v>78.48</v>
      </c>
      <c r="H74" s="60">
        <v>27.80</v>
      </c>
      <c r="I74" s="60">
        <v>6.39</v>
      </c>
      <c r="J74" s="60">
        <v>2.1800000000000002</v>
      </c>
      <c r="K74" s="60">
        <v>187.45</v>
      </c>
      <c r="L74" s="60">
        <v>35.590000000000003</v>
      </c>
      <c r="M74" s="60">
        <v>76.97</v>
      </c>
      <c r="N74" s="60">
        <v>845.70</v>
      </c>
      <c r="O74" s="60">
        <v>0</v>
      </c>
      <c r="P74" s="60">
        <v>2.42</v>
      </c>
      <c r="Q74" s="60">
        <v>8.74</v>
      </c>
      <c r="R74" s="198"/>
      <c r="S74" s="198"/>
      <c r="T74" s="198"/>
      <c r="U74" s="198"/>
    </row>
    <row r="75" spans="1:21" s="12" customFormat="1" ht="15">
      <c r="A75" s="201" t="s">
        <v>2425</v>
      </c>
      <c r="B75" s="60">
        <v>0.71</v>
      </c>
      <c r="C75" s="60">
        <v>19.80</v>
      </c>
      <c r="D75" s="60">
        <v>20.51</v>
      </c>
      <c r="E75" s="60">
        <v>6.41</v>
      </c>
      <c r="F75" s="60">
        <v>2.14</v>
      </c>
      <c r="G75" s="60">
        <v>78.48</v>
      </c>
      <c r="H75" s="60">
        <v>27.80</v>
      </c>
      <c r="I75" s="60">
        <v>6.13</v>
      </c>
      <c r="J75" s="60">
        <v>0.14000000000000001</v>
      </c>
      <c r="K75" s="60">
        <v>100.65</v>
      </c>
      <c r="L75" s="60">
        <v>35.479999999999997</v>
      </c>
      <c r="M75" s="60">
        <v>78.760000000000005</v>
      </c>
      <c r="N75" s="60">
        <v>847.10</v>
      </c>
      <c r="O75" s="60">
        <v>0</v>
      </c>
      <c r="P75" s="60">
        <v>2.39</v>
      </c>
      <c r="Q75" s="60">
        <v>8.61</v>
      </c>
      <c r="R75" s="198"/>
      <c r="S75" s="198"/>
      <c r="T75" s="198"/>
      <c r="U75" s="198"/>
    </row>
    <row r="76" spans="1:21" s="12" customFormat="1" ht="15">
      <c r="A76" s="201" t="s">
        <v>2426</v>
      </c>
      <c r="B76" s="60">
        <v>0.85</v>
      </c>
      <c r="C76" s="60">
        <v>19.41</v>
      </c>
      <c r="D76" s="60">
        <v>20.25</v>
      </c>
      <c r="E76" s="60">
        <v>6.19</v>
      </c>
      <c r="F76" s="60">
        <v>2.16</v>
      </c>
      <c r="G76" s="60">
        <v>69.62</v>
      </c>
      <c r="H76" s="60">
        <v>25.68</v>
      </c>
      <c r="I76" s="60">
        <v>5.98</v>
      </c>
      <c r="J76" s="60">
        <v>1.28</v>
      </c>
      <c r="K76" s="60">
        <v>196.92</v>
      </c>
      <c r="L76" s="60">
        <v>35.28</v>
      </c>
      <c r="M76" s="60">
        <v>78.73</v>
      </c>
      <c r="N76" s="60">
        <v>806.20</v>
      </c>
      <c r="O76" s="60">
        <v>0</v>
      </c>
      <c r="P76" s="60">
        <v>2.37</v>
      </c>
      <c r="Q76" s="60">
        <v>8.44</v>
      </c>
      <c r="R76" s="198"/>
      <c r="S76" s="198"/>
      <c r="T76" s="198"/>
      <c r="U76" s="198"/>
    </row>
    <row r="77" spans="1:21" s="12" customFormat="1" ht="15">
      <c r="A77" s="201" t="s">
        <v>2427</v>
      </c>
      <c r="B77" s="60">
        <v>0.89</v>
      </c>
      <c r="C77" s="60">
        <v>19.07</v>
      </c>
      <c r="D77" s="60">
        <v>19.96</v>
      </c>
      <c r="E77" s="60">
        <v>6.47</v>
      </c>
      <c r="F77" s="60">
        <v>1.63</v>
      </c>
      <c r="G77" s="60">
        <v>67.06</v>
      </c>
      <c r="H77" s="60">
        <v>24.13</v>
      </c>
      <c r="I77" s="60">
        <v>5.79</v>
      </c>
      <c r="J77" s="60">
        <v>2.56</v>
      </c>
      <c r="K77" s="60">
        <v>177.30</v>
      </c>
      <c r="L77" s="60">
        <v>35.21</v>
      </c>
      <c r="M77" s="60">
        <v>78.67</v>
      </c>
      <c r="N77" s="60">
        <v>745.40</v>
      </c>
      <c r="O77" s="60">
        <v>0</v>
      </c>
      <c r="P77" s="60">
        <v>2.35</v>
      </c>
      <c r="Q77" s="60">
        <v>7.88</v>
      </c>
      <c r="R77" s="198"/>
      <c r="S77" s="198"/>
      <c r="T77" s="198"/>
      <c r="U77" s="198"/>
    </row>
    <row r="78" spans="1:21" s="12" customFormat="1" ht="15">
      <c r="A78" s="201" t="s">
        <v>2428</v>
      </c>
      <c r="B78" s="60">
        <v>1.02</v>
      </c>
      <c r="C78" s="60">
        <v>18.579999999999998</v>
      </c>
      <c r="D78" s="60">
        <v>19.600000000000001</v>
      </c>
      <c r="E78" s="60">
        <v>6.66</v>
      </c>
      <c r="F78" s="60">
        <v>1.20</v>
      </c>
      <c r="G78" s="60">
        <v>67.06</v>
      </c>
      <c r="H78" s="60">
        <v>24.13</v>
      </c>
      <c r="I78" s="60">
        <v>5.69</v>
      </c>
      <c r="J78" s="60">
        <v>2.2799999999999998</v>
      </c>
      <c r="K78" s="60">
        <v>177.74</v>
      </c>
      <c r="L78" s="60">
        <v>35.21</v>
      </c>
      <c r="M78" s="60">
        <v>78.88</v>
      </c>
      <c r="N78" s="60">
        <v>805</v>
      </c>
      <c r="O78" s="60">
        <v>0</v>
      </c>
      <c r="P78" s="60">
        <v>2.34</v>
      </c>
      <c r="Q78" s="60">
        <v>7.43</v>
      </c>
      <c r="R78" s="198"/>
      <c r="S78" s="198"/>
      <c r="T78" s="198"/>
      <c r="U78" s="198"/>
    </row>
    <row r="79" spans="1:21" s="12" customFormat="1" ht="15">
      <c r="A79" s="201" t="s">
        <v>2429</v>
      </c>
      <c r="B79" s="60">
        <v>1.1100000000000001</v>
      </c>
      <c r="C79" s="60">
        <v>18.30</v>
      </c>
      <c r="D79" s="60">
        <v>19.41</v>
      </c>
      <c r="E79" s="60">
        <v>6.74</v>
      </c>
      <c r="F79" s="60">
        <v>1.60</v>
      </c>
      <c r="G79" s="60">
        <v>67.06</v>
      </c>
      <c r="H79" s="60">
        <v>24.13</v>
      </c>
      <c r="I79" s="60">
        <v>5.66</v>
      </c>
      <c r="J79" s="60">
        <v>3.65</v>
      </c>
      <c r="K79" s="60">
        <v>164.49</v>
      </c>
      <c r="L79" s="60">
        <v>35.06</v>
      </c>
      <c r="M79" s="60">
        <v>79.739999999999995</v>
      </c>
      <c r="N79" s="60">
        <v>852.60</v>
      </c>
      <c r="O79" s="60">
        <v>0</v>
      </c>
      <c r="P79" s="60">
        <v>2.33</v>
      </c>
      <c r="Q79" s="60">
        <v>7.24</v>
      </c>
      <c r="R79" s="198"/>
      <c r="S79" s="198"/>
      <c r="T79" s="198"/>
      <c r="U79" s="198"/>
    </row>
    <row r="80" spans="1:21" s="12" customFormat="1" ht="15">
      <c r="A80" s="201" t="s">
        <v>2430</v>
      </c>
      <c r="B80" s="60">
        <v>1.1599999999999999</v>
      </c>
      <c r="C80" s="60">
        <v>18.079999999999998</v>
      </c>
      <c r="D80" s="60">
        <v>19.239999999999998</v>
      </c>
      <c r="E80" s="60">
        <v>6.5</v>
      </c>
      <c r="F80" s="60">
        <v>1.28</v>
      </c>
      <c r="G80" s="60">
        <v>59.44</v>
      </c>
      <c r="H80" s="60">
        <v>24.83</v>
      </c>
      <c r="I80" s="60">
        <v>5.61</v>
      </c>
      <c r="J80" s="60">
        <v>3.18</v>
      </c>
      <c r="K80" s="60">
        <v>171.34</v>
      </c>
      <c r="L80" s="60">
        <v>34.86</v>
      </c>
      <c r="M80" s="60">
        <v>81.150000000000006</v>
      </c>
      <c r="N80" s="60">
        <v>795.10</v>
      </c>
      <c r="O80" s="60">
        <v>0</v>
      </c>
      <c r="P80" s="60">
        <v>2.31</v>
      </c>
      <c r="Q80" s="60">
        <v>7.11</v>
      </c>
      <c r="R80" s="198"/>
      <c r="S80" s="198"/>
      <c r="T80" s="198"/>
      <c r="U80" s="198"/>
    </row>
    <row r="81" spans="1:21" s="12" customFormat="1" ht="15">
      <c r="A81" s="201" t="s">
        <v>2431</v>
      </c>
      <c r="B81" s="60">
        <v>1.1000000000000001</v>
      </c>
      <c r="C81" s="60">
        <v>18.41</v>
      </c>
      <c r="D81" s="60">
        <v>19.510000000000002</v>
      </c>
      <c r="E81" s="60">
        <v>6.55</v>
      </c>
      <c r="F81" s="60">
        <v>1.73</v>
      </c>
      <c r="G81" s="60">
        <v>57.06</v>
      </c>
      <c r="H81" s="60">
        <v>25.33</v>
      </c>
      <c r="I81" s="60">
        <v>5.52</v>
      </c>
      <c r="J81" s="60">
        <v>2.75</v>
      </c>
      <c r="K81" s="60">
        <v>189.32</v>
      </c>
      <c r="L81" s="60">
        <v>34.71</v>
      </c>
      <c r="M81" s="60">
        <v>82.05</v>
      </c>
      <c r="N81" s="60">
        <v>768.70</v>
      </c>
      <c r="O81" s="60">
        <v>0</v>
      </c>
      <c r="P81" s="60">
        <v>2.29</v>
      </c>
      <c r="Q81" s="60">
        <v>7.10</v>
      </c>
      <c r="R81" s="198"/>
      <c r="S81" s="198"/>
      <c r="T81" s="198"/>
      <c r="U81" s="198"/>
    </row>
    <row r="82" spans="1:21" s="12" customFormat="1" ht="15">
      <c r="A82" s="201" t="s">
        <v>2432</v>
      </c>
      <c r="B82" s="60">
        <v>0.87</v>
      </c>
      <c r="C82" s="60">
        <v>19.149999999999999</v>
      </c>
      <c r="D82" s="60">
        <v>20.02</v>
      </c>
      <c r="E82" s="60">
        <v>6.75</v>
      </c>
      <c r="F82" s="60">
        <v>1.89</v>
      </c>
      <c r="G82" s="60">
        <v>57.06</v>
      </c>
      <c r="H82" s="60">
        <v>25.33</v>
      </c>
      <c r="I82" s="60">
        <v>5.47</v>
      </c>
      <c r="J82" s="60">
        <v>3.06</v>
      </c>
      <c r="K82" s="60">
        <v>173.43</v>
      </c>
      <c r="L82" s="60">
        <v>34.590000000000003</v>
      </c>
      <c r="M82" s="60">
        <v>83.07</v>
      </c>
      <c r="N82" s="60">
        <v>805.80</v>
      </c>
      <c r="O82" s="60">
        <v>0</v>
      </c>
      <c r="P82" s="60">
        <v>2.27</v>
      </c>
      <c r="Q82" s="60">
        <v>7.23</v>
      </c>
      <c r="R82" s="198"/>
      <c r="S82" s="198"/>
      <c r="T82" s="198"/>
      <c r="U82" s="198"/>
    </row>
    <row r="83" spans="1:21" s="12" customFormat="1" ht="15">
      <c r="A83" s="201" t="s">
        <v>2433</v>
      </c>
      <c r="B83" s="60">
        <v>0.93</v>
      </c>
      <c r="C83" s="60">
        <v>19.190000000000001</v>
      </c>
      <c r="D83" s="60">
        <v>20.12</v>
      </c>
      <c r="E83" s="60">
        <v>6.75</v>
      </c>
      <c r="F83" s="60">
        <v>1.01</v>
      </c>
      <c r="G83" s="60">
        <v>57.06</v>
      </c>
      <c r="H83" s="60">
        <v>25.33</v>
      </c>
      <c r="I83" s="60">
        <v>5.30</v>
      </c>
      <c r="J83" s="60">
        <v>2.66</v>
      </c>
      <c r="K83" s="60">
        <v>182.84</v>
      </c>
      <c r="L83" s="60">
        <v>34.5</v>
      </c>
      <c r="M83" s="60">
        <v>83.52</v>
      </c>
      <c r="N83" s="60">
        <v>842.40</v>
      </c>
      <c r="O83" s="60">
        <v>0</v>
      </c>
      <c r="P83" s="60">
        <v>2.2599999999999998</v>
      </c>
      <c r="Q83" s="60">
        <v>7.47</v>
      </c>
      <c r="R83" s="198"/>
      <c r="S83" s="198"/>
      <c r="T83" s="198"/>
      <c r="U83" s="198"/>
    </row>
    <row r="84" spans="1:21" s="12" customFormat="1" ht="15">
      <c r="A84" s="201" t="s">
        <v>2434</v>
      </c>
      <c r="B84" s="60">
        <v>0.92</v>
      </c>
      <c r="C84" s="60">
        <v>19.02</v>
      </c>
      <c r="D84" s="60">
        <v>19.940000000000001</v>
      </c>
      <c r="E84" s="60">
        <v>6.54</v>
      </c>
      <c r="F84" s="60">
        <v>1.46</v>
      </c>
      <c r="G84" s="60">
        <v>54.14</v>
      </c>
      <c r="H84" s="60">
        <v>24.06</v>
      </c>
      <c r="I84" s="60">
        <v>5.15</v>
      </c>
      <c r="J84" s="60">
        <v>2.92</v>
      </c>
      <c r="K84" s="60">
        <v>171.05</v>
      </c>
      <c r="L84" s="60">
        <v>34.39</v>
      </c>
      <c r="M84" s="60">
        <v>84.79</v>
      </c>
      <c r="N84" s="60">
        <v>825.30</v>
      </c>
      <c r="O84" s="60">
        <v>0</v>
      </c>
      <c r="P84" s="60">
        <v>2.25</v>
      </c>
      <c r="Q84" s="60">
        <v>7.80</v>
      </c>
      <c r="R84" s="198"/>
      <c r="S84" s="198"/>
      <c r="T84" s="198"/>
      <c r="U84" s="198"/>
    </row>
    <row r="85" spans="1:21" s="12" customFormat="1" ht="15">
      <c r="A85" s="201" t="s">
        <v>2435</v>
      </c>
      <c r="B85" s="60">
        <v>0.85</v>
      </c>
      <c r="C85" s="60">
        <v>18.93</v>
      </c>
      <c r="D85" s="60">
        <v>19.78</v>
      </c>
      <c r="E85" s="60">
        <v>6.68</v>
      </c>
      <c r="F85" s="60">
        <v>1.49</v>
      </c>
      <c r="G85" s="60">
        <v>53.30</v>
      </c>
      <c r="H85" s="60">
        <v>23.14</v>
      </c>
      <c r="I85" s="60">
        <v>5.05</v>
      </c>
      <c r="J85" s="60">
        <v>2.83</v>
      </c>
      <c r="K85" s="60">
        <v>172.09</v>
      </c>
      <c r="L85" s="60">
        <v>34.40</v>
      </c>
      <c r="M85" s="60">
        <v>84.75</v>
      </c>
      <c r="N85" s="60">
        <v>790.20</v>
      </c>
      <c r="O85" s="60">
        <v>0</v>
      </c>
      <c r="P85" s="60">
        <v>2.25</v>
      </c>
      <c r="Q85" s="60">
        <v>8.02</v>
      </c>
      <c r="R85" s="198"/>
      <c r="S85" s="198"/>
      <c r="T85" s="198"/>
      <c r="U85" s="198"/>
    </row>
    <row r="86" spans="1:21" s="12" customFormat="1" ht="15">
      <c r="A86" s="201" t="s">
        <v>2436</v>
      </c>
      <c r="B86" s="60">
        <v>0.87</v>
      </c>
      <c r="C86" s="60">
        <v>18.80</v>
      </c>
      <c r="D86" s="60">
        <v>19.670000000000002</v>
      </c>
      <c r="E86" s="60">
        <v>6.28</v>
      </c>
      <c r="F86" s="60">
        <v>1.47</v>
      </c>
      <c r="G86" s="60">
        <v>53.30</v>
      </c>
      <c r="H86" s="60">
        <v>23.14</v>
      </c>
      <c r="I86" s="60">
        <v>4.95</v>
      </c>
      <c r="J86" s="60">
        <v>2.2400000000000002</v>
      </c>
      <c r="K86" s="60">
        <v>204.67</v>
      </c>
      <c r="L86" s="60">
        <v>34.42</v>
      </c>
      <c r="M86" s="60">
        <v>84.67</v>
      </c>
      <c r="N86" s="60">
        <v>775.30</v>
      </c>
      <c r="O86" s="60">
        <v>0</v>
      </c>
      <c r="P86" s="60">
        <v>2.2400000000000002</v>
      </c>
      <c r="Q86" s="60">
        <v>8.23</v>
      </c>
      <c r="R86" s="198"/>
      <c r="S86" s="198"/>
      <c r="T86" s="198"/>
      <c r="U86" s="198"/>
    </row>
    <row r="87" spans="1:21" s="12" customFormat="1" ht="15">
      <c r="A87" s="201" t="s">
        <v>2437</v>
      </c>
      <c r="B87" s="60">
        <v>0.96</v>
      </c>
      <c r="C87" s="60">
        <v>18.71</v>
      </c>
      <c r="D87" s="60">
        <v>19.670000000000002</v>
      </c>
      <c r="E87" s="60">
        <v>6.04</v>
      </c>
      <c r="F87" s="60">
        <v>1.47</v>
      </c>
      <c r="G87" s="60">
        <v>53.30</v>
      </c>
      <c r="H87" s="60">
        <v>23.14</v>
      </c>
      <c r="I87" s="60">
        <v>4.84</v>
      </c>
      <c r="J87" s="60">
        <v>1.82</v>
      </c>
      <c r="K87" s="60">
        <v>204.09</v>
      </c>
      <c r="L87" s="60">
        <v>34.409999999999997</v>
      </c>
      <c r="M87" s="60">
        <v>84.91</v>
      </c>
      <c r="N87" s="60">
        <v>737.90</v>
      </c>
      <c r="O87" s="60">
        <v>0</v>
      </c>
      <c r="P87" s="60">
        <v>2.2400000000000002</v>
      </c>
      <c r="Q87" s="60">
        <v>8.41</v>
      </c>
      <c r="R87" s="198"/>
      <c r="S87" s="198"/>
      <c r="T87" s="198"/>
      <c r="U87" s="198"/>
    </row>
    <row r="88" spans="1:21" s="12" customFormat="1" ht="15">
      <c r="A88" s="201" t="s">
        <v>2438</v>
      </c>
      <c r="B88" s="60">
        <v>1.07</v>
      </c>
      <c r="C88" s="60">
        <v>19.170000000000002</v>
      </c>
      <c r="D88" s="60">
        <v>20.25</v>
      </c>
      <c r="E88" s="60">
        <v>3.11</v>
      </c>
      <c r="F88" s="60">
        <v>1.24</v>
      </c>
      <c r="G88" s="60">
        <v>49.14</v>
      </c>
      <c r="H88" s="60">
        <v>20.92</v>
      </c>
      <c r="I88" s="60">
        <v>4.7699999999999996</v>
      </c>
      <c r="J88" s="60">
        <v>2.46</v>
      </c>
      <c r="K88" s="60">
        <v>193.89</v>
      </c>
      <c r="L88" s="60">
        <v>34.29</v>
      </c>
      <c r="M88" s="60">
        <v>85.20</v>
      </c>
      <c r="N88" s="60">
        <v>661.20</v>
      </c>
      <c r="O88" s="60">
        <v>0</v>
      </c>
      <c r="P88" s="60">
        <v>2.2400000000000002</v>
      </c>
      <c r="Q88" s="60">
        <v>8.51</v>
      </c>
      <c r="R88" s="198"/>
      <c r="S88" s="198"/>
      <c r="T88" s="198"/>
      <c r="U88" s="198"/>
    </row>
    <row r="89" spans="1:21" s="12" customFormat="1" ht="15">
      <c r="A89" s="201" t="s">
        <v>2439</v>
      </c>
      <c r="B89" s="60">
        <v>1.17</v>
      </c>
      <c r="C89" s="60">
        <v>19.13</v>
      </c>
      <c r="D89" s="60">
        <v>20.30</v>
      </c>
      <c r="E89" s="60">
        <v>6.14</v>
      </c>
      <c r="F89" s="60">
        <v>1.19</v>
      </c>
      <c r="G89" s="60">
        <v>47.94</v>
      </c>
      <c r="H89" s="60">
        <v>19.29</v>
      </c>
      <c r="I89" s="60">
        <v>4.71</v>
      </c>
      <c r="J89" s="60">
        <v>1.5</v>
      </c>
      <c r="K89" s="60">
        <v>212.19</v>
      </c>
      <c r="L89" s="60">
        <v>34.17</v>
      </c>
      <c r="M89" s="60">
        <v>85.98</v>
      </c>
      <c r="N89" s="60">
        <v>572.90</v>
      </c>
      <c r="O89" s="60">
        <v>0</v>
      </c>
      <c r="P89" s="60">
        <v>2.25</v>
      </c>
      <c r="Q89" s="60">
        <v>8.42</v>
      </c>
      <c r="R89" s="198"/>
      <c r="S89" s="198"/>
      <c r="T89" s="198"/>
      <c r="U89" s="198"/>
    </row>
    <row r="90" spans="1:21" s="12" customFormat="1" ht="15">
      <c r="A90" s="201" t="s">
        <v>2440</v>
      </c>
      <c r="B90" s="60">
        <v>1.30</v>
      </c>
      <c r="C90" s="60">
        <v>18.87</v>
      </c>
      <c r="D90" s="60">
        <v>20.170000000000002</v>
      </c>
      <c r="E90" s="60">
        <v>5.86</v>
      </c>
      <c r="F90" s="60">
        <v>1.29</v>
      </c>
      <c r="G90" s="60">
        <v>47.94</v>
      </c>
      <c r="H90" s="60">
        <v>19.29</v>
      </c>
      <c r="I90" s="60">
        <v>4.72</v>
      </c>
      <c r="J90" s="60">
        <v>0.44</v>
      </c>
      <c r="K90" s="60">
        <v>307.48</v>
      </c>
      <c r="L90" s="60">
        <v>34.130000000000003</v>
      </c>
      <c r="M90" s="60">
        <v>86.32</v>
      </c>
      <c r="N90" s="60">
        <v>644.60</v>
      </c>
      <c r="O90" s="60">
        <v>0</v>
      </c>
      <c r="P90" s="60">
        <v>2.27</v>
      </c>
      <c r="Q90" s="60">
        <v>8.39</v>
      </c>
      <c r="R90" s="198"/>
      <c r="S90" s="198"/>
      <c r="T90" s="198"/>
      <c r="U90" s="198"/>
    </row>
    <row r="91" spans="1:21" s="12" customFormat="1" ht="15">
      <c r="A91" s="201" t="s">
        <v>2441</v>
      </c>
      <c r="B91" s="60">
        <v>1.59</v>
      </c>
      <c r="C91" s="60">
        <v>19.77</v>
      </c>
      <c r="D91" s="60">
        <v>21.36</v>
      </c>
      <c r="E91" s="60">
        <v>5.73</v>
      </c>
      <c r="F91" s="60">
        <v>1.05</v>
      </c>
      <c r="G91" s="60">
        <v>47.94</v>
      </c>
      <c r="H91" s="60">
        <v>19.29</v>
      </c>
      <c r="I91" s="60">
        <v>4.67</v>
      </c>
      <c r="J91" s="60">
        <v>0.39</v>
      </c>
      <c r="K91" s="60">
        <v>244.59</v>
      </c>
      <c r="L91" s="60">
        <v>34.119999999999997</v>
      </c>
      <c r="M91" s="60">
        <v>86.42</v>
      </c>
      <c r="N91" s="60">
        <v>674.20</v>
      </c>
      <c r="O91" s="60">
        <v>0</v>
      </c>
      <c r="P91" s="60">
        <v>2.33</v>
      </c>
      <c r="Q91" s="60">
        <v>8.65</v>
      </c>
      <c r="R91" s="198"/>
      <c r="S91" s="198"/>
      <c r="T91" s="198"/>
      <c r="U91" s="198"/>
    </row>
    <row r="92" spans="1:21" s="12" customFormat="1" ht="15">
      <c r="A92" s="201" t="s">
        <v>2442</v>
      </c>
      <c r="B92" s="60">
        <v>1.88</v>
      </c>
      <c r="C92" s="60">
        <v>20.149999999999999</v>
      </c>
      <c r="D92" s="60">
        <v>22.03</v>
      </c>
      <c r="E92" s="60">
        <v>5.98</v>
      </c>
      <c r="F92" s="60">
        <v>1.18</v>
      </c>
      <c r="G92" s="60">
        <v>49.19</v>
      </c>
      <c r="H92" s="60">
        <v>20.329999999999998</v>
      </c>
      <c r="I92" s="60">
        <v>4.7300000000000004</v>
      </c>
      <c r="J92" s="60">
        <v>0.22</v>
      </c>
      <c r="K92" s="60">
        <v>245.35</v>
      </c>
      <c r="L92" s="60">
        <v>34.08</v>
      </c>
      <c r="M92" s="60">
        <v>86.74</v>
      </c>
      <c r="N92" s="60">
        <v>592.60</v>
      </c>
      <c r="O92" s="60">
        <v>0</v>
      </c>
      <c r="P92" s="60">
        <v>2.36</v>
      </c>
      <c r="Q92" s="60">
        <v>8.81</v>
      </c>
      <c r="R92" s="198"/>
      <c r="S92" s="198"/>
      <c r="T92" s="198"/>
      <c r="U92" s="198"/>
    </row>
    <row r="93" spans="1:21" s="12" customFormat="1" ht="15">
      <c r="A93" s="201" t="s">
        <v>2443</v>
      </c>
      <c r="B93" s="60">
        <v>1.84</v>
      </c>
      <c r="C93" s="60">
        <v>20.76</v>
      </c>
      <c r="D93" s="60">
        <v>22.60</v>
      </c>
      <c r="E93" s="60">
        <v>5.87</v>
      </c>
      <c r="F93" s="60">
        <v>1.1299999999999999</v>
      </c>
      <c r="G93" s="60">
        <v>49.55</v>
      </c>
      <c r="H93" s="60">
        <v>21.08</v>
      </c>
      <c r="I93" s="60">
        <v>4.99</v>
      </c>
      <c r="J93" s="60">
        <v>1.1299999999999999</v>
      </c>
      <c r="K93" s="60">
        <v>217.75</v>
      </c>
      <c r="L93" s="60">
        <v>34.01</v>
      </c>
      <c r="M93" s="60">
        <v>87.43</v>
      </c>
      <c r="N93" s="60">
        <v>625</v>
      </c>
      <c r="O93" s="60">
        <v>0</v>
      </c>
      <c r="P93" s="60">
        <v>2.37</v>
      </c>
      <c r="Q93" s="60">
        <v>8.82</v>
      </c>
      <c r="R93" s="198"/>
      <c r="S93" s="198"/>
      <c r="T93" s="198"/>
      <c r="U93" s="198"/>
    </row>
    <row r="94" spans="1:21" s="12" customFormat="1" ht="15">
      <c r="A94" s="201" t="s">
        <v>2444</v>
      </c>
      <c r="B94" s="60">
        <v>1.73</v>
      </c>
      <c r="C94" s="60">
        <v>19.739999999999998</v>
      </c>
      <c r="D94" s="60">
        <v>21.48</v>
      </c>
      <c r="E94" s="60">
        <v>5.79</v>
      </c>
      <c r="F94" s="60">
        <v>1.0900000000000001</v>
      </c>
      <c r="G94" s="60">
        <v>49.55</v>
      </c>
      <c r="H94" s="60">
        <v>21.08</v>
      </c>
      <c r="I94" s="60">
        <v>5.1100000000000003</v>
      </c>
      <c r="J94" s="60">
        <v>1.36</v>
      </c>
      <c r="K94" s="60">
        <v>210.06</v>
      </c>
      <c r="L94" s="60">
        <v>33.909999999999997</v>
      </c>
      <c r="M94" s="60">
        <v>88.26</v>
      </c>
      <c r="N94" s="60">
        <v>647.10</v>
      </c>
      <c r="O94" s="60">
        <v>0</v>
      </c>
      <c r="P94" s="60">
        <v>2.37</v>
      </c>
      <c r="Q94" s="60">
        <v>8.42</v>
      </c>
      <c r="R94" s="198"/>
      <c r="S94" s="198"/>
      <c r="T94" s="198"/>
      <c r="U94" s="198"/>
    </row>
    <row r="95" spans="1:21" s="12" customFormat="1" ht="15">
      <c r="A95" s="201" t="s">
        <v>2445</v>
      </c>
      <c r="B95" s="60">
        <v>1.84</v>
      </c>
      <c r="C95" s="60">
        <v>18.95</v>
      </c>
      <c r="D95" s="60">
        <v>20.79</v>
      </c>
      <c r="E95" s="60">
        <v>6.34</v>
      </c>
      <c r="F95" s="60">
        <v>0.70</v>
      </c>
      <c r="G95" s="60">
        <v>49.55</v>
      </c>
      <c r="H95" s="60">
        <v>21.08</v>
      </c>
      <c r="I95" s="60">
        <v>5.14</v>
      </c>
      <c r="J95" s="60">
        <v>1.80</v>
      </c>
      <c r="K95" s="60">
        <v>182.33</v>
      </c>
      <c r="L95" s="60">
        <v>33.75</v>
      </c>
      <c r="M95" s="60">
        <v>89.04</v>
      </c>
      <c r="N95" s="60">
        <v>594.60</v>
      </c>
      <c r="O95" s="60">
        <v>0</v>
      </c>
      <c r="P95" s="60">
        <v>2.37</v>
      </c>
      <c r="Q95" s="60">
        <v>7.93</v>
      </c>
      <c r="R95" s="198"/>
      <c r="S95" s="198"/>
      <c r="T95" s="198"/>
      <c r="U95" s="198"/>
    </row>
    <row r="96" spans="1:26" s="12" customFormat="1" ht="15">
      <c r="A96" s="201" t="s">
        <v>2446</v>
      </c>
      <c r="B96" s="60">
        <v>2.17</v>
      </c>
      <c r="C96" s="60">
        <v>18.47</v>
      </c>
      <c r="D96" s="60">
        <v>20.64</v>
      </c>
      <c r="E96" s="60">
        <v>6.15</v>
      </c>
      <c r="F96" s="60">
        <v>0.48</v>
      </c>
      <c r="G96" s="60">
        <v>55.15</v>
      </c>
      <c r="H96" s="60">
        <v>21.88</v>
      </c>
      <c r="I96" s="60">
        <v>5.13</v>
      </c>
      <c r="J96" s="60">
        <v>1.58</v>
      </c>
      <c r="K96" s="60">
        <v>219.42</v>
      </c>
      <c r="L96" s="60">
        <v>33.659999999999997</v>
      </c>
      <c r="M96" s="60">
        <v>89.05</v>
      </c>
      <c r="N96" s="60">
        <v>576.10</v>
      </c>
      <c r="O96" s="60">
        <v>0</v>
      </c>
      <c r="P96" s="60">
        <v>2.36</v>
      </c>
      <c r="Q96" s="60">
        <v>7.68</v>
      </c>
      <c r="R96" s="198"/>
      <c r="S96" s="198"/>
      <c r="T96" s="198"/>
      <c r="U96" s="198"/>
      <c r="Z96" s="109"/>
    </row>
    <row r="97" spans="1:21" s="12" customFormat="1" ht="15">
      <c r="A97" s="201" t="s">
        <v>2447</v>
      </c>
      <c r="B97" s="60">
        <v>2.44</v>
      </c>
      <c r="C97" s="60">
        <v>17.73</v>
      </c>
      <c r="D97" s="60">
        <v>20.170000000000002</v>
      </c>
      <c r="E97" s="60">
        <v>6.86</v>
      </c>
      <c r="F97" s="60">
        <v>0.56999999999999995</v>
      </c>
      <c r="G97" s="60">
        <v>57.46</v>
      </c>
      <c r="H97" s="60">
        <v>22.47</v>
      </c>
      <c r="I97" s="60">
        <v>5.15</v>
      </c>
      <c r="J97" s="60">
        <v>0.95</v>
      </c>
      <c r="K97" s="60">
        <v>242.28</v>
      </c>
      <c r="L97" s="60">
        <v>33.58</v>
      </c>
      <c r="M97" s="60">
        <v>89.73</v>
      </c>
      <c r="N97" s="60">
        <v>438.90</v>
      </c>
      <c r="O97" s="60">
        <v>0</v>
      </c>
      <c r="P97" s="60">
        <v>2.36</v>
      </c>
      <c r="Q97" s="60">
        <v>7.49</v>
      </c>
      <c r="R97" s="198"/>
      <c r="S97" s="198"/>
      <c r="T97" s="198"/>
      <c r="U97" s="198"/>
    </row>
    <row r="98" spans="1:21" s="12" customFormat="1" ht="15">
      <c r="A98" s="201" t="s">
        <v>2448</v>
      </c>
      <c r="B98" s="60">
        <v>2.77</v>
      </c>
      <c r="C98" s="60">
        <v>17.47</v>
      </c>
      <c r="D98" s="60">
        <v>20.239999999999998</v>
      </c>
      <c r="E98" s="60">
        <v>7.20</v>
      </c>
      <c r="F98" s="60">
        <v>0.13</v>
      </c>
      <c r="G98" s="60">
        <v>57.46</v>
      </c>
      <c r="H98" s="60">
        <v>22.47</v>
      </c>
      <c r="I98" s="60">
        <v>5.18</v>
      </c>
      <c r="J98" s="60">
        <v>0.70</v>
      </c>
      <c r="K98" s="60">
        <v>195.81</v>
      </c>
      <c r="L98" s="60">
        <v>33.700000000000003</v>
      </c>
      <c r="M98" s="60">
        <v>89.39</v>
      </c>
      <c r="N98" s="60">
        <v>296.30</v>
      </c>
      <c r="O98" s="60">
        <v>0</v>
      </c>
      <c r="P98" s="60">
        <v>2.36</v>
      </c>
      <c r="Q98" s="60">
        <v>7.56</v>
      </c>
      <c r="R98" s="198"/>
      <c r="S98" s="198"/>
      <c r="T98" s="198"/>
      <c r="U98" s="198"/>
    </row>
    <row r="99" spans="1:21" s="12" customFormat="1" ht="15">
      <c r="A99" s="201" t="s">
        <v>2449</v>
      </c>
      <c r="B99" s="60">
        <v>3.09</v>
      </c>
      <c r="C99" s="60">
        <v>17.440000000000001</v>
      </c>
      <c r="D99" s="60">
        <v>20.52</v>
      </c>
      <c r="E99" s="60">
        <v>7.05</v>
      </c>
      <c r="F99" s="60">
        <v>0.16</v>
      </c>
      <c r="G99" s="60">
        <v>57.46</v>
      </c>
      <c r="H99" s="60">
        <v>22.47</v>
      </c>
      <c r="I99" s="60">
        <v>5.19</v>
      </c>
      <c r="J99" s="60">
        <v>1.0900000000000001</v>
      </c>
      <c r="K99" s="60">
        <v>227.62</v>
      </c>
      <c r="L99" s="60">
        <v>33.68</v>
      </c>
      <c r="M99" s="60">
        <v>89.86</v>
      </c>
      <c r="N99" s="60">
        <v>279.5</v>
      </c>
      <c r="O99" s="60">
        <v>0</v>
      </c>
      <c r="P99" s="60">
        <v>2.36</v>
      </c>
      <c r="Q99" s="60">
        <v>7.69</v>
      </c>
      <c r="R99" s="198"/>
      <c r="S99" s="198"/>
      <c r="T99" s="198"/>
      <c r="U99" s="198"/>
    </row>
    <row r="100" spans="1:33" s="12" customFormat="1" ht="15">
      <c r="A100" s="201" t="s">
        <v>2450</v>
      </c>
      <c r="B100" s="60">
        <v>3.17</v>
      </c>
      <c r="C100" s="60">
        <v>16.98</v>
      </c>
      <c r="D100" s="60">
        <v>20.149999999999999</v>
      </c>
      <c r="E100" s="60">
        <v>7</v>
      </c>
      <c r="F100" s="60">
        <v>0.24</v>
      </c>
      <c r="G100" s="60">
        <v>53.29</v>
      </c>
      <c r="H100" s="60">
        <v>23.49</v>
      </c>
      <c r="I100" s="60">
        <v>5.21</v>
      </c>
      <c r="J100" s="60">
        <v>0.89</v>
      </c>
      <c r="K100" s="60">
        <v>219.06</v>
      </c>
      <c r="L100" s="60">
        <v>33.53</v>
      </c>
      <c r="M100" s="60">
        <v>90.77</v>
      </c>
      <c r="N100" s="60">
        <v>230.10</v>
      </c>
      <c r="O100" s="60">
        <v>0</v>
      </c>
      <c r="P100" s="60">
        <v>2.35</v>
      </c>
      <c r="Q100" s="60">
        <v>7.61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2451</v>
      </c>
      <c r="B101" s="60">
        <v>3.34</v>
      </c>
      <c r="C101" s="60">
        <v>17.95</v>
      </c>
      <c r="D101" s="60">
        <v>21.29</v>
      </c>
      <c r="E101" s="60">
        <v>7.19</v>
      </c>
      <c r="F101" s="60">
        <v>0.38</v>
      </c>
      <c r="G101" s="60">
        <v>51.74</v>
      </c>
      <c r="H101" s="60">
        <v>24.21</v>
      </c>
      <c r="I101" s="60">
        <v>5.22</v>
      </c>
      <c r="J101" s="60">
        <v>1.03</v>
      </c>
      <c r="K101" s="60">
        <v>340.17</v>
      </c>
      <c r="L101" s="60">
        <v>33.619999999999997</v>
      </c>
      <c r="M101" s="60">
        <v>90.47</v>
      </c>
      <c r="N101" s="60">
        <v>248.80</v>
      </c>
      <c r="O101" s="60">
        <v>0</v>
      </c>
      <c r="P101" s="60">
        <v>2.35</v>
      </c>
      <c r="Q101" s="60">
        <v>7.96</v>
      </c>
      <c r="R101" s="198"/>
      <c r="S101" s="198"/>
      <c r="T101" s="198"/>
      <c r="U101" s="198"/>
    </row>
    <row r="102" spans="1:21" s="12" customFormat="1" ht="15">
      <c r="A102" s="201" t="s">
        <v>2452</v>
      </c>
      <c r="B102" s="60">
        <v>3.57</v>
      </c>
      <c r="C102" s="60">
        <v>18.489999999999998</v>
      </c>
      <c r="D102" s="60">
        <v>22.05</v>
      </c>
      <c r="E102" s="60">
        <v>6.79</v>
      </c>
      <c r="F102" s="60">
        <v>0.74</v>
      </c>
      <c r="G102" s="60">
        <v>51.74</v>
      </c>
      <c r="H102" s="60">
        <v>24.21</v>
      </c>
      <c r="I102" s="60">
        <v>5.26</v>
      </c>
      <c r="J102" s="60">
        <v>0.31</v>
      </c>
      <c r="K102" s="60">
        <v>318.70999999999998</v>
      </c>
      <c r="L102" s="60">
        <v>33.659999999999997</v>
      </c>
      <c r="M102" s="60">
        <v>90.13</v>
      </c>
      <c r="N102" s="60">
        <v>254.90</v>
      </c>
      <c r="O102" s="60">
        <v>0</v>
      </c>
      <c r="P102" s="60">
        <v>2.34</v>
      </c>
      <c r="Q102" s="60">
        <v>8.49</v>
      </c>
      <c r="R102" s="198"/>
      <c r="S102" s="198"/>
      <c r="T102" s="198"/>
      <c r="U102" s="198"/>
    </row>
    <row r="103" spans="1:21" s="12" customFormat="1" ht="15">
      <c r="A103" s="201" t="s">
        <v>2453</v>
      </c>
      <c r="B103" s="60">
        <v>3.28</v>
      </c>
      <c r="C103" s="60">
        <v>18.5</v>
      </c>
      <c r="D103" s="60">
        <v>21.77</v>
      </c>
      <c r="E103" s="60">
        <v>6.99</v>
      </c>
      <c r="F103" s="60">
        <v>0.66</v>
      </c>
      <c r="G103" s="60">
        <v>51.74</v>
      </c>
      <c r="H103" s="60">
        <v>24.21</v>
      </c>
      <c r="I103" s="60">
        <v>5.19</v>
      </c>
      <c r="J103" s="60">
        <v>1.28</v>
      </c>
      <c r="K103" s="60">
        <v>221.72</v>
      </c>
      <c r="L103" s="60">
        <v>33.83</v>
      </c>
      <c r="M103" s="60">
        <v>88.74</v>
      </c>
      <c r="N103" s="60">
        <v>268.10000000000002</v>
      </c>
      <c r="O103" s="60">
        <v>0</v>
      </c>
      <c r="P103" s="60">
        <v>2.3199999999999998</v>
      </c>
      <c r="Q103" s="60">
        <v>8.84</v>
      </c>
      <c r="R103" s="198"/>
      <c r="S103" s="198"/>
      <c r="T103" s="198"/>
      <c r="U103" s="198"/>
    </row>
    <row r="104" spans="1:21" s="12" customFormat="1" ht="15">
      <c r="A104" s="201" t="s">
        <v>2454</v>
      </c>
      <c r="B104" s="60">
        <v>2.69</v>
      </c>
      <c r="C104" s="60">
        <v>18.39</v>
      </c>
      <c r="D104" s="60">
        <v>21.08</v>
      </c>
      <c r="E104" s="60">
        <v>3.38</v>
      </c>
      <c r="F104" s="60">
        <v>0.64</v>
      </c>
      <c r="G104" s="60">
        <v>47.90</v>
      </c>
      <c r="H104" s="60">
        <v>22.59</v>
      </c>
      <c r="I104" s="60">
        <v>5.07</v>
      </c>
      <c r="J104" s="60">
        <v>0.83</v>
      </c>
      <c r="K104" s="60">
        <v>238.57</v>
      </c>
      <c r="L104" s="60">
        <v>33.86</v>
      </c>
      <c r="M104" s="60">
        <v>88.25</v>
      </c>
      <c r="N104" s="60">
        <v>280.10000000000002</v>
      </c>
      <c r="O104" s="60">
        <v>0</v>
      </c>
      <c r="P104" s="60">
        <v>2.2999999999999998</v>
      </c>
      <c r="Q104" s="60">
        <v>8.7899999999999991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0.70999999999999996</v>
      </c>
      <c r="C106" s="67">
        <f>MIN(C9:C104)</f>
        <v>15.49</v>
      </c>
      <c r="D106" s="67">
        <f t="shared" si="0" ref="D106:Q106">MIN(D9:D104)</f>
        <v>18.390000000000001</v>
      </c>
      <c r="E106" s="67">
        <f t="shared" si="0"/>
        <v>2.6600000000000001</v>
      </c>
      <c r="F106" s="67">
        <f t="shared" si="0"/>
        <v>0.11</v>
      </c>
      <c r="G106" s="67">
        <f t="shared" si="0"/>
        <v>47.899999999999999</v>
      </c>
      <c r="H106" s="67">
        <f t="shared" si="0"/>
        <v>19.289999999999999</v>
      </c>
      <c r="I106" s="67">
        <f t="shared" si="0"/>
        <v>4.6699999999999999</v>
      </c>
      <c r="J106" s="67">
        <f t="shared" si="0"/>
        <v>0.14000000000000001</v>
      </c>
      <c r="K106" s="67">
        <f t="shared" si="0"/>
        <v>0.83999999999999997</v>
      </c>
      <c r="L106" s="67">
        <f t="shared" si="0"/>
        <v>33.530000000000001</v>
      </c>
      <c r="M106" s="67">
        <f t="shared" si="0"/>
        <v>62.539999999999999</v>
      </c>
      <c r="N106" s="67">
        <f t="shared" si="0"/>
        <v>107.5</v>
      </c>
      <c r="O106" s="67">
        <f t="shared" si="0"/>
        <v>0</v>
      </c>
      <c r="P106" s="67">
        <f t="shared" si="0"/>
        <v>2.2200000000000002</v>
      </c>
      <c r="Q106" s="67">
        <f t="shared" si="0"/>
        <v>6.75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7.3499999999999996</v>
      </c>
      <c r="C107" s="66">
        <f t="shared" si="1" ref="C107:Q107">MAX(C9:C104)</f>
        <v>35.450000000000003</v>
      </c>
      <c r="D107" s="66">
        <f t="shared" si="1"/>
        <v>40.490000000000002</v>
      </c>
      <c r="E107" s="66">
        <f t="shared" si="1"/>
        <v>8.25</v>
      </c>
      <c r="F107" s="66">
        <f t="shared" si="1"/>
        <v>2.1600000000000001</v>
      </c>
      <c r="G107" s="66">
        <f t="shared" si="1"/>
        <v>160.22999999999999</v>
      </c>
      <c r="H107" s="66">
        <f t="shared" si="1"/>
        <v>52.770000000000003</v>
      </c>
      <c r="I107" s="66">
        <f t="shared" si="1"/>
        <v>9.3499999999999996</v>
      </c>
      <c r="J107" s="66">
        <f t="shared" si="1"/>
        <v>3.79</v>
      </c>
      <c r="K107" s="66">
        <f t="shared" si="1"/>
        <v>358.82999999999998</v>
      </c>
      <c r="L107" s="66">
        <f t="shared" si="1"/>
        <v>43.140000000000001</v>
      </c>
      <c r="M107" s="66">
        <f t="shared" si="1"/>
        <v>90.769999999999996</v>
      </c>
      <c r="N107" s="66">
        <f t="shared" si="1"/>
        <v>1131.0999999999999</v>
      </c>
      <c r="O107" s="66">
        <f t="shared" si="1"/>
        <v>0</v>
      </c>
      <c r="P107" s="66">
        <f t="shared" si="1"/>
        <v>3.0299999999999998</v>
      </c>
      <c r="Q107" s="66">
        <f t="shared" si="1"/>
        <v>14.02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2.7332291666666664</v>
      </c>
      <c r="C108" s="67">
        <f t="shared" si="2" ref="C108:Q108">AVERAGE(C9:C104)</f>
        <v>20.835833333333337</v>
      </c>
      <c r="D108" s="67">
        <f t="shared" si="2"/>
        <v>23.568749999999998</v>
      </c>
      <c r="E108" s="67">
        <f t="shared" si="2"/>
        <v>6.5592708333333354</v>
      </c>
      <c r="F108" s="67">
        <f t="shared" si="2"/>
        <v>1.0378124999999994</v>
      </c>
      <c r="G108" s="67">
        <f t="shared" si="2"/>
        <v>86.135833333333309</v>
      </c>
      <c r="H108" s="67">
        <f t="shared" si="2"/>
        <v>32.636458333333316</v>
      </c>
      <c r="I108" s="67">
        <f t="shared" si="2"/>
        <v>6.1798958333333358</v>
      </c>
      <c r="J108" s="67">
        <f t="shared" si="2"/>
        <v>2.1651041666666666</v>
      </c>
      <c r="K108" s="67">
        <f t="shared" si="2"/>
        <v>169.2107291666666</v>
      </c>
      <c r="L108" s="67">
        <f t="shared" si="2"/>
        <v>36.91041666666667</v>
      </c>
      <c r="M108" s="67">
        <f t="shared" si="2"/>
        <v>78.608749999999972</v>
      </c>
      <c r="N108" s="67">
        <f t="shared" si="2"/>
        <v>612.60520833333328</v>
      </c>
      <c r="O108" s="67">
        <f t="shared" si="2"/>
        <v>0</v>
      </c>
      <c r="P108" s="67">
        <f t="shared" si="2"/>
        <v>2.4470833333333348</v>
      </c>
      <c r="Q108" s="67">
        <f t="shared" si="2"/>
        <v>9.0353124999999981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1.6586649639753346</v>
      </c>
      <c r="C109" s="67">
        <f t="shared" si="3" ref="C109:Q109">STDEV(C9:C104)</f>
        <v>5.3784908207387963</v>
      </c>
      <c r="D109" s="67">
        <f t="shared" si="3"/>
        <v>6.5690336147396042</v>
      </c>
      <c r="E109" s="67">
        <f t="shared" si="3"/>
        <v>1.0581823987550858</v>
      </c>
      <c r="F109" s="67">
        <f t="shared" si="3"/>
        <v>0.46673153136296952</v>
      </c>
      <c r="G109" s="67">
        <f t="shared" si="3"/>
        <v>33.010110657403835</v>
      </c>
      <c r="H109" s="67">
        <f t="shared" si="3"/>
        <v>8.8895162356288999</v>
      </c>
      <c r="I109" s="67">
        <f t="shared" si="3"/>
        <v>1.3967296349850908</v>
      </c>
      <c r="J109" s="67">
        <f t="shared" si="3"/>
        <v>0.90439976581349801</v>
      </c>
      <c r="K109" s="67">
        <f t="shared" si="3"/>
        <v>102.39384450295013</v>
      </c>
      <c r="L109" s="67">
        <f t="shared" si="3"/>
        <v>2.4667425426926548</v>
      </c>
      <c r="M109" s="67">
        <f t="shared" si="3"/>
        <v>7.8131724468496468</v>
      </c>
      <c r="N109" s="67">
        <f t="shared" si="3"/>
        <v>315.44306596805126</v>
      </c>
      <c r="O109" s="67">
        <f t="shared" si="3"/>
        <v>0</v>
      </c>
      <c r="P109" s="67">
        <f t="shared" si="3"/>
        <v>0.24301577452228632</v>
      </c>
      <c r="Q109" s="67">
        <f t="shared" si="3"/>
        <v>1.8829338547372845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8523e9-78e0-403e-9465-ab036509922a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24-06-2022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2455</v>
      </c>
      <c r="B9" s="60">
        <v>2.17</v>
      </c>
      <c r="C9" s="60">
        <v>18.25</v>
      </c>
      <c r="D9" s="60">
        <v>20.420000000000002</v>
      </c>
      <c r="E9" s="60">
        <v>5.56</v>
      </c>
      <c r="F9" s="60">
        <v>0.63</v>
      </c>
      <c r="G9" s="60">
        <v>45.91</v>
      </c>
      <c r="H9" s="60">
        <v>21.40</v>
      </c>
      <c r="I9" s="60">
        <v>4.92</v>
      </c>
      <c r="J9" s="60">
        <v>0.41</v>
      </c>
      <c r="K9" s="60">
        <v>277.27999999999997</v>
      </c>
      <c r="L9" s="60">
        <v>33.840000000000003</v>
      </c>
      <c r="M9" s="60">
        <v>87.98</v>
      </c>
      <c r="N9" s="60">
        <v>257.80</v>
      </c>
      <c r="O9" s="60">
        <v>0</v>
      </c>
      <c r="P9" s="60">
        <v>2.2799999999999998</v>
      </c>
      <c r="Q9" s="60">
        <v>8.44</v>
      </c>
      <c r="R9" s="198"/>
      <c r="S9" s="198"/>
      <c r="T9" s="198"/>
      <c r="U9" s="198"/>
    </row>
    <row r="10" spans="1:21" s="12" customFormat="1" ht="15">
      <c r="A10" s="201" t="s">
        <v>2456</v>
      </c>
      <c r="B10" s="60">
        <v>1.81</v>
      </c>
      <c r="C10" s="60">
        <v>17.559999999999999</v>
      </c>
      <c r="D10" s="60">
        <v>19.37</v>
      </c>
      <c r="E10" s="60">
        <v>5.77</v>
      </c>
      <c r="F10" s="60">
        <v>0.86</v>
      </c>
      <c r="G10" s="60">
        <v>45.91</v>
      </c>
      <c r="H10" s="60">
        <v>21.40</v>
      </c>
      <c r="I10" s="60">
        <v>4.7699999999999996</v>
      </c>
      <c r="J10" s="60">
        <v>1.19</v>
      </c>
      <c r="K10" s="60">
        <v>227.65</v>
      </c>
      <c r="L10" s="60">
        <v>33.82</v>
      </c>
      <c r="M10" s="60">
        <v>87.91</v>
      </c>
      <c r="N10" s="60">
        <v>277.89999999999998</v>
      </c>
      <c r="O10" s="60">
        <v>0</v>
      </c>
      <c r="P10" s="60">
        <v>2.2599999999999998</v>
      </c>
      <c r="Q10" s="60">
        <v>8.24</v>
      </c>
      <c r="R10" s="198"/>
      <c r="S10" s="198"/>
      <c r="T10" s="198"/>
      <c r="U10" s="198"/>
    </row>
    <row r="11" spans="1:21" s="12" customFormat="1" ht="15">
      <c r="A11" s="201" t="s">
        <v>2457</v>
      </c>
      <c r="B11" s="60">
        <v>1.53</v>
      </c>
      <c r="C11" s="60">
        <v>16.79</v>
      </c>
      <c r="D11" s="60">
        <v>18.329999999999998</v>
      </c>
      <c r="E11" s="60">
        <v>5.40</v>
      </c>
      <c r="F11" s="60">
        <v>0.94</v>
      </c>
      <c r="G11" s="60">
        <v>45.91</v>
      </c>
      <c r="H11" s="60">
        <v>21.40</v>
      </c>
      <c r="I11" s="60">
        <v>4.6399999999999997</v>
      </c>
      <c r="J11" s="60">
        <v>1</v>
      </c>
      <c r="K11" s="60">
        <v>226.06</v>
      </c>
      <c r="L11" s="60">
        <v>33.82</v>
      </c>
      <c r="M11" s="60">
        <v>87.81</v>
      </c>
      <c r="N11" s="60">
        <v>282.39999999999998</v>
      </c>
      <c r="O11" s="60">
        <v>0</v>
      </c>
      <c r="P11" s="60">
        <v>2.23</v>
      </c>
      <c r="Q11" s="60">
        <v>8.1300000000000008</v>
      </c>
      <c r="R11" s="198"/>
      <c r="S11" s="198"/>
      <c r="T11" s="198"/>
      <c r="U11" s="198"/>
    </row>
    <row r="12" spans="1:21" s="12" customFormat="1" ht="15">
      <c r="A12" s="201" t="s">
        <v>2458</v>
      </c>
      <c r="B12" s="60">
        <v>1.33</v>
      </c>
      <c r="C12" s="60">
        <v>16.23</v>
      </c>
      <c r="D12" s="60">
        <v>17.559999999999999</v>
      </c>
      <c r="E12" s="60">
        <v>5.5</v>
      </c>
      <c r="F12" s="60">
        <v>1.0900000000000001</v>
      </c>
      <c r="G12" s="60">
        <v>45.32</v>
      </c>
      <c r="H12" s="60">
        <v>18.14</v>
      </c>
      <c r="I12" s="60">
        <v>4.4800000000000004</v>
      </c>
      <c r="J12" s="60">
        <v>2.2000000000000002</v>
      </c>
      <c r="K12" s="60">
        <v>179.85</v>
      </c>
      <c r="L12" s="60">
        <v>33.64</v>
      </c>
      <c r="M12" s="60">
        <v>88.80</v>
      </c>
      <c r="N12" s="60">
        <v>316.70</v>
      </c>
      <c r="O12" s="60">
        <v>0</v>
      </c>
      <c r="P12" s="60">
        <v>2.21</v>
      </c>
      <c r="Q12" s="60">
        <v>7.97</v>
      </c>
      <c r="R12" s="198"/>
      <c r="S12" s="198"/>
      <c r="T12" s="198"/>
      <c r="U12" s="198"/>
    </row>
    <row r="13" spans="1:21" s="12" customFormat="1" ht="15">
      <c r="A13" s="201" t="s">
        <v>2459</v>
      </c>
      <c r="B13" s="60">
        <v>1.26</v>
      </c>
      <c r="C13" s="60">
        <v>15.75</v>
      </c>
      <c r="D13" s="60">
        <v>17.010000000000002</v>
      </c>
      <c r="E13" s="60">
        <v>5.41</v>
      </c>
      <c r="F13" s="60">
        <v>1.01</v>
      </c>
      <c r="G13" s="60">
        <v>45.15</v>
      </c>
      <c r="H13" s="60">
        <v>15.76</v>
      </c>
      <c r="I13" s="60">
        <v>4.3600000000000003</v>
      </c>
      <c r="J13" s="60">
        <v>1.1499999999999999</v>
      </c>
      <c r="K13" s="60">
        <v>229.94</v>
      </c>
      <c r="L13" s="60">
        <v>33.54</v>
      </c>
      <c r="M13" s="60">
        <v>89.27</v>
      </c>
      <c r="N13" s="60">
        <v>282.30</v>
      </c>
      <c r="O13" s="60">
        <v>0</v>
      </c>
      <c r="P13" s="60">
        <v>2.19</v>
      </c>
      <c r="Q13" s="60">
        <v>7.81</v>
      </c>
      <c r="R13" s="198"/>
      <c r="S13" s="198"/>
      <c r="T13" s="198"/>
      <c r="U13" s="198"/>
    </row>
    <row r="14" spans="1:21" s="12" customFormat="1" ht="15">
      <c r="A14" s="201" t="s">
        <v>2460</v>
      </c>
      <c r="B14" s="60">
        <v>1.22</v>
      </c>
      <c r="C14" s="60">
        <v>15.12</v>
      </c>
      <c r="D14" s="60">
        <v>16.34</v>
      </c>
      <c r="E14" s="60">
        <v>5.0199999999999996</v>
      </c>
      <c r="F14" s="60">
        <v>0.88</v>
      </c>
      <c r="G14" s="60">
        <v>45.15</v>
      </c>
      <c r="H14" s="60">
        <v>15.76</v>
      </c>
      <c r="I14" s="60">
        <v>4.25</v>
      </c>
      <c r="J14" s="60">
        <v>1.84</v>
      </c>
      <c r="K14" s="60">
        <v>204.38</v>
      </c>
      <c r="L14" s="60">
        <v>33.590000000000003</v>
      </c>
      <c r="M14" s="60">
        <v>88.71</v>
      </c>
      <c r="N14" s="60">
        <v>260.60000000000002</v>
      </c>
      <c r="O14" s="60">
        <v>0</v>
      </c>
      <c r="P14" s="60">
        <v>2.19</v>
      </c>
      <c r="Q14" s="60">
        <v>7.66</v>
      </c>
      <c r="R14" s="198"/>
      <c r="S14" s="198"/>
      <c r="T14" s="198"/>
      <c r="U14" s="198"/>
    </row>
    <row r="15" spans="1:21" s="12" customFormat="1" ht="15">
      <c r="A15" s="201" t="s">
        <v>2461</v>
      </c>
      <c r="B15" s="60">
        <v>1.19</v>
      </c>
      <c r="C15" s="60">
        <v>15.51</v>
      </c>
      <c r="D15" s="60">
        <v>16.70</v>
      </c>
      <c r="E15" s="60">
        <v>5.57</v>
      </c>
      <c r="F15" s="60">
        <v>0.73</v>
      </c>
      <c r="G15" s="60">
        <v>45.15</v>
      </c>
      <c r="H15" s="60">
        <v>15.76</v>
      </c>
      <c r="I15" s="60">
        <v>4.20</v>
      </c>
      <c r="J15" s="60">
        <v>1.65</v>
      </c>
      <c r="K15" s="60">
        <v>197.21</v>
      </c>
      <c r="L15" s="60">
        <v>33.47</v>
      </c>
      <c r="M15" s="60">
        <v>89.53</v>
      </c>
      <c r="N15" s="60">
        <v>295.30</v>
      </c>
      <c r="O15" s="60">
        <v>0</v>
      </c>
      <c r="P15" s="60">
        <v>2.17</v>
      </c>
      <c r="Q15" s="60">
        <v>7.75</v>
      </c>
      <c r="R15" s="198"/>
      <c r="S15" s="198"/>
      <c r="T15" s="198"/>
      <c r="U15" s="198"/>
    </row>
    <row r="16" spans="1:21" s="12" customFormat="1" ht="15">
      <c r="A16" s="201" t="s">
        <v>2462</v>
      </c>
      <c r="B16" s="60">
        <v>1.36</v>
      </c>
      <c r="C16" s="60">
        <v>14.84</v>
      </c>
      <c r="D16" s="60">
        <v>16.20</v>
      </c>
      <c r="E16" s="60">
        <v>5.75</v>
      </c>
      <c r="F16" s="60">
        <v>0.55000000000000004</v>
      </c>
      <c r="G16" s="60">
        <v>41.96</v>
      </c>
      <c r="H16" s="60">
        <v>18.82</v>
      </c>
      <c r="I16" s="60">
        <v>4.09</v>
      </c>
      <c r="J16" s="60">
        <v>1.25</v>
      </c>
      <c r="K16" s="60">
        <v>322.30</v>
      </c>
      <c r="L16" s="60">
        <v>33.5</v>
      </c>
      <c r="M16" s="60">
        <v>89.78</v>
      </c>
      <c r="N16" s="60">
        <v>284.70</v>
      </c>
      <c r="O16" s="60">
        <v>0</v>
      </c>
      <c r="P16" s="60">
        <v>2.1800000000000002</v>
      </c>
      <c r="Q16" s="60">
        <v>7.57</v>
      </c>
      <c r="R16" s="198"/>
      <c r="S16" s="198"/>
      <c r="T16" s="198"/>
      <c r="U16" s="198"/>
    </row>
    <row r="17" spans="1:21" s="12" customFormat="1" ht="15">
      <c r="A17" s="201" t="s">
        <v>2463</v>
      </c>
      <c r="B17" s="60">
        <v>1.64</v>
      </c>
      <c r="C17" s="60">
        <v>14.48</v>
      </c>
      <c r="D17" s="60">
        <v>16.12</v>
      </c>
      <c r="E17" s="60">
        <v>5.79</v>
      </c>
      <c r="F17" s="60">
        <v>0.56000000000000005</v>
      </c>
      <c r="G17" s="60">
        <v>40.96</v>
      </c>
      <c r="H17" s="60">
        <v>21.06</v>
      </c>
      <c r="I17" s="60">
        <v>4.0999999999999996</v>
      </c>
      <c r="J17" s="60">
        <v>1.95</v>
      </c>
      <c r="K17" s="60">
        <v>210.77</v>
      </c>
      <c r="L17" s="60">
        <v>33.58</v>
      </c>
      <c r="M17" s="60">
        <v>88.97</v>
      </c>
      <c r="N17" s="60">
        <v>288.60000000000002</v>
      </c>
      <c r="O17" s="60">
        <v>0</v>
      </c>
      <c r="P17" s="60">
        <v>2.17</v>
      </c>
      <c r="Q17" s="60">
        <v>7.13</v>
      </c>
      <c r="R17" s="198"/>
      <c r="S17" s="198"/>
      <c r="T17" s="198"/>
      <c r="U17" s="198"/>
    </row>
    <row r="18" spans="1:21" s="12" customFormat="1" ht="15">
      <c r="A18" s="201" t="s">
        <v>2464</v>
      </c>
      <c r="B18" s="60">
        <v>1.86</v>
      </c>
      <c r="C18" s="60">
        <v>14.08</v>
      </c>
      <c r="D18" s="60">
        <v>15.94</v>
      </c>
      <c r="E18" s="60">
        <v>6.05</v>
      </c>
      <c r="F18" s="60">
        <v>0.59</v>
      </c>
      <c r="G18" s="60">
        <v>40.96</v>
      </c>
      <c r="H18" s="60">
        <v>21.06</v>
      </c>
      <c r="I18" s="60">
        <v>4.1500000000000004</v>
      </c>
      <c r="J18" s="60">
        <v>1.93</v>
      </c>
      <c r="K18" s="60">
        <v>199.69</v>
      </c>
      <c r="L18" s="60">
        <v>33.47</v>
      </c>
      <c r="M18" s="60">
        <v>89.86</v>
      </c>
      <c r="N18" s="60">
        <v>275</v>
      </c>
      <c r="O18" s="60">
        <v>0</v>
      </c>
      <c r="P18" s="60">
        <v>2.16</v>
      </c>
      <c r="Q18" s="60">
        <v>6.90</v>
      </c>
      <c r="R18" s="198"/>
      <c r="S18" s="198"/>
      <c r="T18" s="198"/>
      <c r="U18" s="198"/>
    </row>
    <row r="19" spans="1:21" s="12" customFormat="1" ht="15">
      <c r="A19" s="201" t="s">
        <v>2465</v>
      </c>
      <c r="B19" s="60">
        <v>2.08</v>
      </c>
      <c r="C19" s="60">
        <v>13.78</v>
      </c>
      <c r="D19" s="60">
        <v>15.86</v>
      </c>
      <c r="E19" s="60">
        <v>6.14</v>
      </c>
      <c r="F19" s="60">
        <v>0.66</v>
      </c>
      <c r="G19" s="60">
        <v>40.96</v>
      </c>
      <c r="H19" s="60">
        <v>21.06</v>
      </c>
      <c r="I19" s="60">
        <v>4.17</v>
      </c>
      <c r="J19" s="60">
        <v>1.64</v>
      </c>
      <c r="K19" s="60">
        <v>201.46</v>
      </c>
      <c r="L19" s="60">
        <v>33.380000000000003</v>
      </c>
      <c r="M19" s="60">
        <v>90.40</v>
      </c>
      <c r="N19" s="60">
        <v>283.5</v>
      </c>
      <c r="O19" s="60">
        <v>0</v>
      </c>
      <c r="P19" s="60">
        <v>2.16</v>
      </c>
      <c r="Q19" s="60">
        <v>6.86</v>
      </c>
      <c r="R19" s="198"/>
      <c r="S19" s="198"/>
      <c r="T19" s="198"/>
      <c r="U19" s="198"/>
    </row>
    <row r="20" spans="1:21" s="12" customFormat="1" ht="15">
      <c r="A20" s="201" t="s">
        <v>2466</v>
      </c>
      <c r="B20" s="60">
        <v>2.2999999999999998</v>
      </c>
      <c r="C20" s="60">
        <v>13.71</v>
      </c>
      <c r="D20" s="60">
        <v>16</v>
      </c>
      <c r="E20" s="60">
        <v>6.62</v>
      </c>
      <c r="F20" s="60">
        <v>0.65</v>
      </c>
      <c r="G20" s="60">
        <v>41.53</v>
      </c>
      <c r="H20" s="60">
        <v>18.690000000000001</v>
      </c>
      <c r="I20" s="60">
        <v>4.22</v>
      </c>
      <c r="J20" s="60">
        <v>1.31</v>
      </c>
      <c r="K20" s="60">
        <v>189.66</v>
      </c>
      <c r="L20" s="60">
        <v>33.39</v>
      </c>
      <c r="M20" s="60">
        <v>90.28</v>
      </c>
      <c r="N20" s="60">
        <v>315.89999999999998</v>
      </c>
      <c r="O20" s="60">
        <v>0</v>
      </c>
      <c r="P20" s="60">
        <v>2.16</v>
      </c>
      <c r="Q20" s="60">
        <v>6.87</v>
      </c>
      <c r="R20" s="198"/>
      <c r="S20" s="198"/>
      <c r="T20" s="198"/>
      <c r="U20" s="198"/>
    </row>
    <row r="21" spans="1:21" s="12" customFormat="1" ht="15">
      <c r="A21" s="201" t="s">
        <v>2467</v>
      </c>
      <c r="B21" s="60">
        <v>2.48</v>
      </c>
      <c r="C21" s="60">
        <v>13.32</v>
      </c>
      <c r="D21" s="60">
        <v>15.80</v>
      </c>
      <c r="E21" s="60">
        <v>6.70</v>
      </c>
      <c r="F21" s="60">
        <v>1.03</v>
      </c>
      <c r="G21" s="60">
        <v>41.71</v>
      </c>
      <c r="H21" s="60">
        <v>16.95</v>
      </c>
      <c r="I21" s="60">
        <v>4.30</v>
      </c>
      <c r="J21" s="60">
        <v>2.17</v>
      </c>
      <c r="K21" s="60">
        <v>176.99</v>
      </c>
      <c r="L21" s="60">
        <v>33.409999999999997</v>
      </c>
      <c r="M21" s="60">
        <v>90.34</v>
      </c>
      <c r="N21" s="60">
        <v>302.20</v>
      </c>
      <c r="O21" s="60">
        <v>0</v>
      </c>
      <c r="P21" s="60">
        <v>2.15</v>
      </c>
      <c r="Q21" s="60">
        <v>6.81</v>
      </c>
      <c r="R21" s="198"/>
      <c r="S21" s="198"/>
      <c r="T21" s="198"/>
      <c r="U21" s="198"/>
    </row>
    <row r="22" spans="1:21" s="12" customFormat="1" ht="15">
      <c r="A22" s="201" t="s">
        <v>2468</v>
      </c>
      <c r="B22" s="60">
        <v>2.65</v>
      </c>
      <c r="C22" s="60">
        <v>13.25</v>
      </c>
      <c r="D22" s="60">
        <v>15.89</v>
      </c>
      <c r="E22" s="60">
        <v>7.23</v>
      </c>
      <c r="F22" s="60">
        <v>0.77</v>
      </c>
      <c r="G22" s="60">
        <v>41.71</v>
      </c>
      <c r="H22" s="60">
        <v>16.95</v>
      </c>
      <c r="I22" s="60">
        <v>4.34</v>
      </c>
      <c r="J22" s="60">
        <v>1.68</v>
      </c>
      <c r="K22" s="60">
        <v>197.13</v>
      </c>
      <c r="L22" s="60">
        <v>33.340000000000003</v>
      </c>
      <c r="M22" s="60">
        <v>90.74</v>
      </c>
      <c r="N22" s="60">
        <v>293</v>
      </c>
      <c r="O22" s="60">
        <v>0</v>
      </c>
      <c r="P22" s="60">
        <v>2.15</v>
      </c>
      <c r="Q22" s="60">
        <v>6.90</v>
      </c>
      <c r="R22" s="198"/>
      <c r="S22" s="198"/>
      <c r="T22" s="198"/>
      <c r="U22" s="198"/>
    </row>
    <row r="23" spans="1:21" s="12" customFormat="1" ht="15">
      <c r="A23" s="201" t="s">
        <v>2469</v>
      </c>
      <c r="B23" s="60">
        <v>2.62</v>
      </c>
      <c r="C23" s="60">
        <v>13.74</v>
      </c>
      <c r="D23" s="60">
        <v>16.36</v>
      </c>
      <c r="E23" s="60">
        <v>7.10</v>
      </c>
      <c r="F23" s="60">
        <v>0.78</v>
      </c>
      <c r="G23" s="60">
        <v>41.71</v>
      </c>
      <c r="H23" s="60">
        <v>16.95</v>
      </c>
      <c r="I23" s="60">
        <v>4.38</v>
      </c>
      <c r="J23" s="60">
        <v>1.51</v>
      </c>
      <c r="K23" s="60">
        <v>168.75</v>
      </c>
      <c r="L23" s="60">
        <v>33.369999999999997</v>
      </c>
      <c r="M23" s="60">
        <v>90.61</v>
      </c>
      <c r="N23" s="60">
        <v>304</v>
      </c>
      <c r="O23" s="60">
        <v>0</v>
      </c>
      <c r="P23" s="60">
        <v>2.14</v>
      </c>
      <c r="Q23" s="60">
        <v>7.29</v>
      </c>
      <c r="R23" s="198"/>
      <c r="S23" s="198"/>
      <c r="T23" s="198"/>
      <c r="U23" s="198"/>
    </row>
    <row r="24" spans="1:21" s="12" customFormat="1" ht="15">
      <c r="A24" s="201" t="s">
        <v>2470</v>
      </c>
      <c r="B24" s="60">
        <v>2.35</v>
      </c>
      <c r="C24" s="60">
        <v>13.93</v>
      </c>
      <c r="D24" s="60">
        <v>16.27</v>
      </c>
      <c r="E24" s="60">
        <v>2.86</v>
      </c>
      <c r="F24" s="60">
        <v>0.77</v>
      </c>
      <c r="G24" s="60">
        <v>42.44</v>
      </c>
      <c r="H24" s="60">
        <v>18.739999999999998</v>
      </c>
      <c r="I24" s="60">
        <v>4.3899999999999997</v>
      </c>
      <c r="J24" s="60">
        <v>1.86</v>
      </c>
      <c r="K24" s="60">
        <v>206</v>
      </c>
      <c r="L24" s="60">
        <v>33.39</v>
      </c>
      <c r="M24" s="60">
        <v>90.61</v>
      </c>
      <c r="N24" s="60">
        <v>328.40</v>
      </c>
      <c r="O24" s="60">
        <v>0</v>
      </c>
      <c r="P24" s="60">
        <v>2.13</v>
      </c>
      <c r="Q24" s="60">
        <v>7.67</v>
      </c>
      <c r="R24" s="198"/>
      <c r="S24" s="198"/>
      <c r="T24" s="198"/>
      <c r="U24" s="198"/>
    </row>
    <row r="25" spans="1:21" s="12" customFormat="1" ht="15">
      <c r="A25" s="201" t="s">
        <v>2471</v>
      </c>
      <c r="B25" s="60">
        <v>2.08</v>
      </c>
      <c r="C25" s="60">
        <v>13.92</v>
      </c>
      <c r="D25" s="60">
        <v>16</v>
      </c>
      <c r="E25" s="60">
        <v>5.49</v>
      </c>
      <c r="F25" s="60">
        <v>0.88</v>
      </c>
      <c r="G25" s="60">
        <v>42.69</v>
      </c>
      <c r="H25" s="60">
        <v>20.04</v>
      </c>
      <c r="I25" s="60">
        <v>4.28</v>
      </c>
      <c r="J25" s="60">
        <v>1.76</v>
      </c>
      <c r="K25" s="60">
        <v>193.22</v>
      </c>
      <c r="L25" s="60">
        <v>33.380000000000003</v>
      </c>
      <c r="M25" s="60">
        <v>91.05</v>
      </c>
      <c r="N25" s="60">
        <v>332.80</v>
      </c>
      <c r="O25" s="60">
        <v>0</v>
      </c>
      <c r="P25" s="60">
        <v>2.13</v>
      </c>
      <c r="Q25" s="60">
        <v>7.78</v>
      </c>
      <c r="R25" s="198"/>
      <c r="S25" s="198"/>
      <c r="T25" s="198"/>
      <c r="U25" s="198"/>
    </row>
    <row r="26" spans="1:21" s="12" customFormat="1" ht="15">
      <c r="A26" s="201" t="s">
        <v>2472</v>
      </c>
      <c r="B26" s="60">
        <v>1.87</v>
      </c>
      <c r="C26" s="60">
        <v>13.96</v>
      </c>
      <c r="D26" s="60">
        <v>15.83</v>
      </c>
      <c r="E26" s="60">
        <v>5.42</v>
      </c>
      <c r="F26" s="60">
        <v>0.85</v>
      </c>
      <c r="G26" s="60">
        <v>42.69</v>
      </c>
      <c r="H26" s="60">
        <v>20.04</v>
      </c>
      <c r="I26" s="60">
        <v>4.18</v>
      </c>
      <c r="J26" s="60">
        <v>2.42</v>
      </c>
      <c r="K26" s="60">
        <v>178.96</v>
      </c>
      <c r="L26" s="60">
        <v>33.39</v>
      </c>
      <c r="M26" s="60">
        <v>91.53</v>
      </c>
      <c r="N26" s="60">
        <v>320.70</v>
      </c>
      <c r="O26" s="60">
        <v>0</v>
      </c>
      <c r="P26" s="60">
        <v>2.12</v>
      </c>
      <c r="Q26" s="60">
        <v>7.88</v>
      </c>
      <c r="R26" s="198"/>
      <c r="S26" s="198"/>
      <c r="T26" s="198"/>
      <c r="U26" s="198"/>
    </row>
    <row r="27" spans="1:21" s="12" customFormat="1" ht="15">
      <c r="A27" s="201" t="s">
        <v>2473</v>
      </c>
      <c r="B27" s="60">
        <v>1.73</v>
      </c>
      <c r="C27" s="60">
        <v>13.78</v>
      </c>
      <c r="D27" s="60">
        <v>15.51</v>
      </c>
      <c r="E27" s="60">
        <v>5.36</v>
      </c>
      <c r="F27" s="60">
        <v>0.84</v>
      </c>
      <c r="G27" s="60">
        <v>42.69</v>
      </c>
      <c r="H27" s="60">
        <v>20.04</v>
      </c>
      <c r="I27" s="60">
        <v>4.0999999999999996</v>
      </c>
      <c r="J27" s="60">
        <v>2.19</v>
      </c>
      <c r="K27" s="60">
        <v>181.30</v>
      </c>
      <c r="L27" s="60">
        <v>33.369999999999997</v>
      </c>
      <c r="M27" s="60">
        <v>91.92</v>
      </c>
      <c r="N27" s="60">
        <v>312.30</v>
      </c>
      <c r="O27" s="60">
        <v>0</v>
      </c>
      <c r="P27" s="60">
        <v>2.11</v>
      </c>
      <c r="Q27" s="60">
        <v>7.91</v>
      </c>
      <c r="R27" s="198"/>
      <c r="S27" s="198"/>
      <c r="T27" s="198"/>
      <c r="U27" s="198"/>
    </row>
    <row r="28" spans="1:21" s="12" customFormat="1" ht="15">
      <c r="A28" s="201" t="s">
        <v>2474</v>
      </c>
      <c r="B28" s="60">
        <v>1.74</v>
      </c>
      <c r="C28" s="60">
        <v>13.91</v>
      </c>
      <c r="D28" s="60">
        <v>15.66</v>
      </c>
      <c r="E28" s="60">
        <v>5.5</v>
      </c>
      <c r="F28" s="60">
        <v>0.56000000000000005</v>
      </c>
      <c r="G28" s="60">
        <v>38.200000000000003</v>
      </c>
      <c r="H28" s="60">
        <v>20.03</v>
      </c>
      <c r="I28" s="60">
        <v>4</v>
      </c>
      <c r="J28" s="60">
        <v>1.63</v>
      </c>
      <c r="K28" s="60">
        <v>197.25</v>
      </c>
      <c r="L28" s="60">
        <v>33.33</v>
      </c>
      <c r="M28" s="60">
        <v>92.08</v>
      </c>
      <c r="N28" s="60">
        <v>325.70</v>
      </c>
      <c r="O28" s="60">
        <v>0</v>
      </c>
      <c r="P28" s="60">
        <v>2.11</v>
      </c>
      <c r="Q28" s="60">
        <v>7.88</v>
      </c>
      <c r="R28" s="198"/>
      <c r="S28" s="198"/>
      <c r="T28" s="198"/>
      <c r="U28" s="198"/>
    </row>
    <row r="29" spans="1:21" s="12" customFormat="1" ht="15">
      <c r="A29" s="201" t="s">
        <v>2475</v>
      </c>
      <c r="B29" s="60">
        <v>1.77</v>
      </c>
      <c r="C29" s="60">
        <v>13.69</v>
      </c>
      <c r="D29" s="60">
        <v>15.46</v>
      </c>
      <c r="E29" s="60">
        <v>5.54</v>
      </c>
      <c r="F29" s="60">
        <v>0.63</v>
      </c>
      <c r="G29" s="60">
        <v>36.35</v>
      </c>
      <c r="H29" s="60">
        <v>20.03</v>
      </c>
      <c r="I29" s="60">
        <v>3.91</v>
      </c>
      <c r="J29" s="60">
        <v>1.59</v>
      </c>
      <c r="K29" s="60">
        <v>220.56</v>
      </c>
      <c r="L29" s="60">
        <v>33.29</v>
      </c>
      <c r="M29" s="60">
        <v>92.21</v>
      </c>
      <c r="N29" s="60">
        <v>320.30</v>
      </c>
      <c r="O29" s="60">
        <v>0</v>
      </c>
      <c r="P29" s="60">
        <v>2.10</v>
      </c>
      <c r="Q29" s="60">
        <v>7.76</v>
      </c>
      <c r="R29" s="198"/>
      <c r="S29" s="198"/>
      <c r="T29" s="198"/>
      <c r="U29" s="198"/>
    </row>
    <row r="30" spans="1:21" s="12" customFormat="1" ht="15">
      <c r="A30" s="201" t="s">
        <v>2476</v>
      </c>
      <c r="B30" s="60">
        <v>1.93</v>
      </c>
      <c r="C30" s="60">
        <v>13.83</v>
      </c>
      <c r="D30" s="60">
        <v>15.76</v>
      </c>
      <c r="E30" s="60">
        <v>5.36</v>
      </c>
      <c r="F30" s="60">
        <v>0.61</v>
      </c>
      <c r="G30" s="60">
        <v>36.35</v>
      </c>
      <c r="H30" s="60">
        <v>20.03</v>
      </c>
      <c r="I30" s="60">
        <v>3.87</v>
      </c>
      <c r="J30" s="60">
        <v>1.23</v>
      </c>
      <c r="K30" s="60">
        <v>216.93</v>
      </c>
      <c r="L30" s="60">
        <v>33.299999999999997</v>
      </c>
      <c r="M30" s="60">
        <v>92.26</v>
      </c>
      <c r="N30" s="60">
        <v>305.39999999999998</v>
      </c>
      <c r="O30" s="60">
        <v>0</v>
      </c>
      <c r="P30" s="60">
        <v>2.10</v>
      </c>
      <c r="Q30" s="60">
        <v>7.87</v>
      </c>
      <c r="R30" s="198"/>
      <c r="S30" s="198"/>
      <c r="T30" s="198"/>
      <c r="U30" s="198"/>
    </row>
    <row r="31" spans="1:21" s="12" customFormat="1" ht="15">
      <c r="A31" s="201" t="s">
        <v>2477</v>
      </c>
      <c r="B31" s="60">
        <v>2.0499999999999998</v>
      </c>
      <c r="C31" s="60">
        <v>13.95</v>
      </c>
      <c r="D31" s="60">
        <v>16</v>
      </c>
      <c r="E31" s="60">
        <v>5.29</v>
      </c>
      <c r="F31" s="60">
        <v>0.47</v>
      </c>
      <c r="G31" s="60">
        <v>36.35</v>
      </c>
      <c r="H31" s="60">
        <v>20.03</v>
      </c>
      <c r="I31" s="60">
        <v>3.81</v>
      </c>
      <c r="J31" s="60">
        <v>1.63</v>
      </c>
      <c r="K31" s="60">
        <v>201.11</v>
      </c>
      <c r="L31" s="60">
        <v>33.35</v>
      </c>
      <c r="M31" s="60">
        <v>91.99</v>
      </c>
      <c r="N31" s="60">
        <v>302.5</v>
      </c>
      <c r="O31" s="60">
        <v>0</v>
      </c>
      <c r="P31" s="60">
        <v>2.10</v>
      </c>
      <c r="Q31" s="60">
        <v>7.91</v>
      </c>
      <c r="R31" s="198"/>
      <c r="S31" s="198"/>
      <c r="T31" s="198"/>
      <c r="U31" s="198"/>
    </row>
    <row r="32" spans="1:21" s="12" customFormat="1" ht="15">
      <c r="A32" s="201" t="s">
        <v>2478</v>
      </c>
      <c r="B32" s="60">
        <v>2.21</v>
      </c>
      <c r="C32" s="60">
        <v>14.57</v>
      </c>
      <c r="D32" s="60">
        <v>16.78</v>
      </c>
      <c r="E32" s="60">
        <v>4.88</v>
      </c>
      <c r="F32" s="60">
        <v>0.30</v>
      </c>
      <c r="G32" s="60">
        <v>34.39</v>
      </c>
      <c r="H32" s="60">
        <v>19.39</v>
      </c>
      <c r="I32" s="60">
        <v>3.79</v>
      </c>
      <c r="J32" s="60">
        <v>0.93</v>
      </c>
      <c r="K32" s="60">
        <v>240.91</v>
      </c>
      <c r="L32" s="60">
        <v>33.40</v>
      </c>
      <c r="M32" s="60">
        <v>91.68</v>
      </c>
      <c r="N32" s="60">
        <v>329.10</v>
      </c>
      <c r="O32" s="60">
        <v>0</v>
      </c>
      <c r="P32" s="60">
        <v>2.10</v>
      </c>
      <c r="Q32" s="60">
        <v>8.0399999999999991</v>
      </c>
      <c r="R32" s="198"/>
      <c r="S32" s="198"/>
      <c r="T32" s="198"/>
      <c r="U32" s="198"/>
    </row>
    <row r="33" spans="1:21" s="12" customFormat="1" ht="15">
      <c r="A33" s="201" t="s">
        <v>2479</v>
      </c>
      <c r="B33" s="60">
        <v>2.88</v>
      </c>
      <c r="C33" s="60">
        <v>15.49</v>
      </c>
      <c r="D33" s="60">
        <v>18.37</v>
      </c>
      <c r="E33" s="60">
        <v>5.60</v>
      </c>
      <c r="F33" s="60">
        <v>0.38</v>
      </c>
      <c r="G33" s="60">
        <v>33.35</v>
      </c>
      <c r="H33" s="60">
        <v>18.920000000000002</v>
      </c>
      <c r="I33" s="60">
        <v>3.81</v>
      </c>
      <c r="J33" s="60">
        <v>1.51</v>
      </c>
      <c r="K33" s="60">
        <v>319.32</v>
      </c>
      <c r="L33" s="60">
        <v>33.60</v>
      </c>
      <c r="M33" s="60">
        <v>91.02</v>
      </c>
      <c r="N33" s="60">
        <v>307.60000000000002</v>
      </c>
      <c r="O33" s="60">
        <v>0</v>
      </c>
      <c r="P33" s="60">
        <v>2.12</v>
      </c>
      <c r="Q33" s="60">
        <v>8.31</v>
      </c>
      <c r="R33" s="198"/>
      <c r="S33" s="198"/>
      <c r="T33" s="198"/>
      <c r="U33" s="198"/>
    </row>
    <row r="34" spans="1:21" s="12" customFormat="1" ht="15">
      <c r="A34" s="201" t="s">
        <v>2480</v>
      </c>
      <c r="B34" s="60">
        <v>4.1100000000000003</v>
      </c>
      <c r="C34" s="60">
        <v>15.72</v>
      </c>
      <c r="D34" s="60">
        <v>19.829999999999998</v>
      </c>
      <c r="E34" s="60">
        <v>5.46</v>
      </c>
      <c r="F34" s="60">
        <v>0.34</v>
      </c>
      <c r="G34" s="60">
        <v>33.35</v>
      </c>
      <c r="H34" s="60">
        <v>18.920000000000002</v>
      </c>
      <c r="I34" s="60">
        <v>3.79</v>
      </c>
      <c r="J34" s="60">
        <v>0.45</v>
      </c>
      <c r="K34" s="60">
        <v>296.13</v>
      </c>
      <c r="L34" s="60">
        <v>33.75</v>
      </c>
      <c r="M34" s="60">
        <v>89.88</v>
      </c>
      <c r="N34" s="60">
        <v>331.80</v>
      </c>
      <c r="O34" s="60">
        <v>0</v>
      </c>
      <c r="P34" s="60">
        <v>2.13</v>
      </c>
      <c r="Q34" s="60">
        <v>8.48</v>
      </c>
      <c r="R34" s="198"/>
      <c r="S34" s="198"/>
      <c r="T34" s="198"/>
      <c r="U34" s="198"/>
    </row>
    <row r="35" spans="1:21" s="12" customFormat="1" ht="15">
      <c r="A35" s="201" t="s">
        <v>2481</v>
      </c>
      <c r="B35" s="60">
        <v>5</v>
      </c>
      <c r="C35" s="60">
        <v>15.91</v>
      </c>
      <c r="D35" s="60">
        <v>20.92</v>
      </c>
      <c r="E35" s="60">
        <v>5.91</v>
      </c>
      <c r="F35" s="60">
        <v>0.42</v>
      </c>
      <c r="G35" s="60">
        <v>33.35</v>
      </c>
      <c r="H35" s="60">
        <v>18.920000000000002</v>
      </c>
      <c r="I35" s="60">
        <v>3.90</v>
      </c>
      <c r="J35" s="60">
        <v>1.18</v>
      </c>
      <c r="K35" s="60">
        <v>344.54</v>
      </c>
      <c r="L35" s="60">
        <v>33.76</v>
      </c>
      <c r="M35" s="60">
        <v>91.58</v>
      </c>
      <c r="N35" s="60">
        <v>373.40</v>
      </c>
      <c r="O35" s="60">
        <v>0.80</v>
      </c>
      <c r="P35" s="60">
        <v>2.15</v>
      </c>
      <c r="Q35" s="60">
        <v>8.48</v>
      </c>
      <c r="R35" s="198"/>
      <c r="S35" s="198"/>
      <c r="T35" s="198"/>
      <c r="U35" s="198"/>
    </row>
    <row r="36" spans="1:21" s="12" customFormat="1" ht="15">
      <c r="A36" s="201" t="s">
        <v>2482</v>
      </c>
      <c r="B36" s="60">
        <v>5.96</v>
      </c>
      <c r="C36" s="60">
        <v>16.010000000000002</v>
      </c>
      <c r="D36" s="60">
        <v>21.97</v>
      </c>
      <c r="E36" s="60">
        <v>5.95</v>
      </c>
      <c r="F36" s="60">
        <v>0.26</v>
      </c>
      <c r="G36" s="60">
        <v>37.340000000000003</v>
      </c>
      <c r="H36" s="60">
        <v>21.15</v>
      </c>
      <c r="I36" s="60">
        <v>4.07</v>
      </c>
      <c r="J36" s="60">
        <v>0.43</v>
      </c>
      <c r="K36" s="60">
        <v>249.76</v>
      </c>
      <c r="L36" s="60">
        <v>33.200000000000003</v>
      </c>
      <c r="M36" s="60">
        <v>95.60</v>
      </c>
      <c r="N36" s="60">
        <v>399.40</v>
      </c>
      <c r="O36" s="60">
        <v>0.60</v>
      </c>
      <c r="P36" s="60">
        <v>2.16</v>
      </c>
      <c r="Q36" s="60">
        <v>8.65</v>
      </c>
      <c r="R36" s="198"/>
      <c r="S36" s="198"/>
      <c r="T36" s="198"/>
      <c r="U36" s="198"/>
    </row>
    <row r="37" spans="1:21" s="12" customFormat="1" ht="15">
      <c r="A37" s="201" t="s">
        <v>2483</v>
      </c>
      <c r="B37" s="60">
        <v>6.47</v>
      </c>
      <c r="C37" s="60">
        <v>15.94</v>
      </c>
      <c r="D37" s="60">
        <v>22.42</v>
      </c>
      <c r="E37" s="60">
        <v>6.41</v>
      </c>
      <c r="F37" s="60">
        <v>0.28000000000000003</v>
      </c>
      <c r="G37" s="60">
        <v>38.51</v>
      </c>
      <c r="H37" s="60">
        <v>22.78</v>
      </c>
      <c r="I37" s="60">
        <v>4.1900000000000004</v>
      </c>
      <c r="J37" s="60">
        <v>0.66</v>
      </c>
      <c r="K37" s="60">
        <v>252.90</v>
      </c>
      <c r="L37" s="60">
        <v>33.049999999999997</v>
      </c>
      <c r="M37" s="60">
        <v>96.17</v>
      </c>
      <c r="N37" s="60">
        <v>343.5</v>
      </c>
      <c r="O37" s="60">
        <v>0.20</v>
      </c>
      <c r="P37" s="60">
        <v>2.17</v>
      </c>
      <c r="Q37" s="60">
        <v>8.7200000000000006</v>
      </c>
      <c r="R37" s="198"/>
      <c r="S37" s="198"/>
      <c r="T37" s="198"/>
      <c r="U37" s="198"/>
    </row>
    <row r="38" spans="1:21" s="12" customFormat="1" ht="15">
      <c r="A38" s="201" t="s">
        <v>2484</v>
      </c>
      <c r="B38" s="60">
        <v>6.66</v>
      </c>
      <c r="C38" s="60">
        <v>16.149999999999999</v>
      </c>
      <c r="D38" s="60">
        <v>22.82</v>
      </c>
      <c r="E38" s="60">
        <v>6.30</v>
      </c>
      <c r="F38" s="60">
        <v>0.46</v>
      </c>
      <c r="G38" s="60">
        <v>38.51</v>
      </c>
      <c r="H38" s="60">
        <v>22.78</v>
      </c>
      <c r="I38" s="60">
        <v>4.3099999999999996</v>
      </c>
      <c r="J38" s="60">
        <v>0.59</v>
      </c>
      <c r="K38" s="60">
        <v>284.52999999999997</v>
      </c>
      <c r="L38" s="60">
        <v>33.06</v>
      </c>
      <c r="M38" s="60">
        <v>96.34</v>
      </c>
      <c r="N38" s="60">
        <v>349.90</v>
      </c>
      <c r="O38" s="60">
        <v>0.20</v>
      </c>
      <c r="P38" s="60">
        <v>2.1800000000000002</v>
      </c>
      <c r="Q38" s="60">
        <v>8.81</v>
      </c>
      <c r="R38" s="198"/>
      <c r="S38" s="198"/>
      <c r="T38" s="198"/>
      <c r="U38" s="198"/>
    </row>
    <row r="39" spans="1:21" s="12" customFormat="1" ht="15">
      <c r="A39" s="201" t="s">
        <v>2485</v>
      </c>
      <c r="B39" s="60">
        <v>7.05</v>
      </c>
      <c r="C39" s="60">
        <v>16.309999999999999</v>
      </c>
      <c r="D39" s="60">
        <v>23.37</v>
      </c>
      <c r="E39" s="60">
        <v>6.47</v>
      </c>
      <c r="F39" s="60">
        <v>0.37</v>
      </c>
      <c r="G39" s="60">
        <v>38.51</v>
      </c>
      <c r="H39" s="60">
        <v>22.78</v>
      </c>
      <c r="I39" s="60">
        <v>4.4800000000000004</v>
      </c>
      <c r="J39" s="60">
        <v>0.37</v>
      </c>
      <c r="K39" s="60">
        <v>256.45999999999998</v>
      </c>
      <c r="L39" s="60">
        <v>33.159999999999997</v>
      </c>
      <c r="M39" s="60">
        <v>96.38</v>
      </c>
      <c r="N39" s="60">
        <v>366.20</v>
      </c>
      <c r="O39" s="60">
        <v>0.20</v>
      </c>
      <c r="P39" s="60">
        <v>2.2000000000000002</v>
      </c>
      <c r="Q39" s="60">
        <v>9.02</v>
      </c>
      <c r="R39" s="198"/>
      <c r="S39" s="198"/>
      <c r="T39" s="198"/>
      <c r="U39" s="198"/>
    </row>
    <row r="40" spans="1:21" s="12" customFormat="1" ht="15">
      <c r="A40" s="201" t="s">
        <v>2486</v>
      </c>
      <c r="B40" s="60">
        <v>7.40</v>
      </c>
      <c r="C40" s="60">
        <v>16.70</v>
      </c>
      <c r="D40" s="60">
        <v>24.10</v>
      </c>
      <c r="E40" s="60">
        <v>4.41</v>
      </c>
      <c r="F40" s="60">
        <v>0.25</v>
      </c>
      <c r="G40" s="60">
        <v>42.76</v>
      </c>
      <c r="H40" s="60">
        <v>25.03</v>
      </c>
      <c r="I40" s="60">
        <v>4.6100000000000003</v>
      </c>
      <c r="J40" s="60">
        <v>1.41</v>
      </c>
      <c r="K40" s="60">
        <v>224.33</v>
      </c>
      <c r="L40" s="60">
        <v>33.29</v>
      </c>
      <c r="M40" s="60">
        <v>96.36</v>
      </c>
      <c r="N40" s="60">
        <v>422.70</v>
      </c>
      <c r="O40" s="60">
        <v>0.20</v>
      </c>
      <c r="P40" s="60">
        <v>2.2200000000000002</v>
      </c>
      <c r="Q40" s="60">
        <v>9.25</v>
      </c>
      <c r="R40" s="198"/>
      <c r="S40" s="198"/>
      <c r="T40" s="198"/>
      <c r="U40" s="198"/>
    </row>
    <row r="41" spans="1:21" s="12" customFormat="1" ht="15">
      <c r="A41" s="201" t="s">
        <v>2487</v>
      </c>
      <c r="B41" s="60">
        <v>7.81</v>
      </c>
      <c r="C41" s="60">
        <v>17.18</v>
      </c>
      <c r="D41" s="60">
        <v>24.99</v>
      </c>
      <c r="E41" s="60">
        <v>7.35</v>
      </c>
      <c r="F41" s="60">
        <v>0.32</v>
      </c>
      <c r="G41" s="60">
        <v>44.10</v>
      </c>
      <c r="H41" s="60">
        <v>26.68</v>
      </c>
      <c r="I41" s="60">
        <v>4.80</v>
      </c>
      <c r="J41" s="60">
        <v>0.10</v>
      </c>
      <c r="K41" s="60">
        <v>272.13</v>
      </c>
      <c r="L41" s="60">
        <v>33.61</v>
      </c>
      <c r="M41" s="60">
        <v>95.66</v>
      </c>
      <c r="N41" s="60">
        <v>454.20</v>
      </c>
      <c r="O41" s="60">
        <v>0</v>
      </c>
      <c r="P41" s="60">
        <v>2.2599999999999998</v>
      </c>
      <c r="Q41" s="60">
        <v>9.83</v>
      </c>
      <c r="R41" s="198"/>
      <c r="S41" s="198"/>
      <c r="T41" s="198"/>
      <c r="U41" s="198"/>
    </row>
    <row r="42" spans="1:21" s="12" customFormat="1" ht="15">
      <c r="A42" s="201" t="s">
        <v>2488</v>
      </c>
      <c r="B42" s="60">
        <v>8.36</v>
      </c>
      <c r="C42" s="60">
        <v>17.93</v>
      </c>
      <c r="D42" s="60">
        <v>26.29</v>
      </c>
      <c r="E42" s="60">
        <v>7.90</v>
      </c>
      <c r="F42" s="60">
        <v>0.24</v>
      </c>
      <c r="G42" s="60">
        <v>44.10</v>
      </c>
      <c r="H42" s="60">
        <v>26.68</v>
      </c>
      <c r="I42" s="60">
        <v>4.97</v>
      </c>
      <c r="J42" s="60">
        <v>1.18</v>
      </c>
      <c r="K42" s="60">
        <v>229.10</v>
      </c>
      <c r="L42" s="60">
        <v>33.68</v>
      </c>
      <c r="M42" s="60">
        <v>94.68</v>
      </c>
      <c r="N42" s="60">
        <v>346.40</v>
      </c>
      <c r="O42" s="60">
        <v>0</v>
      </c>
      <c r="P42" s="60">
        <v>2.2999999999999998</v>
      </c>
      <c r="Q42" s="60">
        <v>10.67</v>
      </c>
      <c r="R42" s="198"/>
      <c r="S42" s="198"/>
      <c r="T42" s="198"/>
      <c r="U42" s="198"/>
    </row>
    <row r="43" spans="1:21" s="12" customFormat="1" ht="15">
      <c r="A43" s="201" t="s">
        <v>2489</v>
      </c>
      <c r="B43" s="60">
        <v>8.18</v>
      </c>
      <c r="C43" s="60">
        <v>18.940000000000001</v>
      </c>
      <c r="D43" s="60">
        <v>27.11</v>
      </c>
      <c r="E43" s="60">
        <v>7.41</v>
      </c>
      <c r="F43" s="60">
        <v>0.40</v>
      </c>
      <c r="G43" s="60">
        <v>44.10</v>
      </c>
      <c r="H43" s="60">
        <v>26.68</v>
      </c>
      <c r="I43" s="60">
        <v>5.15</v>
      </c>
      <c r="J43" s="60">
        <v>0.49</v>
      </c>
      <c r="K43" s="60">
        <v>253.67</v>
      </c>
      <c r="L43" s="60">
        <v>33.71</v>
      </c>
      <c r="M43" s="60">
        <v>94.55</v>
      </c>
      <c r="N43" s="60">
        <v>362.40</v>
      </c>
      <c r="O43" s="60">
        <v>0</v>
      </c>
      <c r="P43" s="60">
        <v>2.3199999999999998</v>
      </c>
      <c r="Q43" s="60">
        <v>11.11</v>
      </c>
      <c r="R43" s="198"/>
      <c r="S43" s="198"/>
      <c r="T43" s="198"/>
      <c r="U43" s="198"/>
    </row>
    <row r="44" spans="1:21" s="12" customFormat="1" ht="15">
      <c r="A44" s="201" t="s">
        <v>2490</v>
      </c>
      <c r="B44" s="60">
        <v>8.1999999999999993</v>
      </c>
      <c r="C44" s="60">
        <v>20.079999999999998</v>
      </c>
      <c r="D44" s="60">
        <v>28.28</v>
      </c>
      <c r="E44" s="60">
        <v>6.86</v>
      </c>
      <c r="F44" s="60">
        <v>0.25</v>
      </c>
      <c r="G44" s="60">
        <v>46.44</v>
      </c>
      <c r="H44" s="60">
        <v>29.24</v>
      </c>
      <c r="I44" s="60">
        <v>5.45</v>
      </c>
      <c r="J44" s="60">
        <v>0.77</v>
      </c>
      <c r="K44" s="60">
        <v>245.46</v>
      </c>
      <c r="L44" s="60">
        <v>34.090000000000003</v>
      </c>
      <c r="M44" s="60">
        <v>93.57</v>
      </c>
      <c r="N44" s="60">
        <v>504.30</v>
      </c>
      <c r="O44" s="60">
        <v>0</v>
      </c>
      <c r="P44" s="60">
        <v>2.36</v>
      </c>
      <c r="Q44" s="60">
        <v>11.46</v>
      </c>
      <c r="R44" s="198"/>
      <c r="S44" s="198"/>
      <c r="T44" s="198"/>
      <c r="U44" s="198"/>
    </row>
    <row r="45" spans="1:21" s="12" customFormat="1" ht="15">
      <c r="A45" s="201" t="s">
        <v>2491</v>
      </c>
      <c r="B45" s="60">
        <v>8.2100000000000009</v>
      </c>
      <c r="C45" s="60">
        <v>20.87</v>
      </c>
      <c r="D45" s="60">
        <v>29.08</v>
      </c>
      <c r="E45" s="60">
        <v>7.17</v>
      </c>
      <c r="F45" s="60">
        <v>0.09</v>
      </c>
      <c r="G45" s="60">
        <v>47.13</v>
      </c>
      <c r="H45" s="60">
        <v>31.12</v>
      </c>
      <c r="I45" s="60">
        <v>5.77</v>
      </c>
      <c r="J45" s="60">
        <v>0.30</v>
      </c>
      <c r="K45" s="60">
        <v>232.02</v>
      </c>
      <c r="L45" s="60">
        <v>34.83</v>
      </c>
      <c r="M45" s="60">
        <v>90.55</v>
      </c>
      <c r="N45" s="60">
        <v>604.60</v>
      </c>
      <c r="O45" s="60">
        <v>0</v>
      </c>
      <c r="P45" s="60">
        <v>2.39</v>
      </c>
      <c r="Q45" s="60">
        <v>11.47</v>
      </c>
      <c r="R45" s="198"/>
      <c r="S45" s="198"/>
      <c r="T45" s="198"/>
      <c r="U45" s="198"/>
    </row>
    <row r="46" spans="1:21" s="12" customFormat="1" ht="15">
      <c r="A46" s="201" t="s">
        <v>2492</v>
      </c>
      <c r="B46" s="60">
        <v>8.19</v>
      </c>
      <c r="C46" s="60">
        <v>21.60</v>
      </c>
      <c r="D46" s="60">
        <v>29.79</v>
      </c>
      <c r="E46" s="60">
        <v>6.61</v>
      </c>
      <c r="F46" s="60">
        <v>0.46</v>
      </c>
      <c r="G46" s="60">
        <v>47.13</v>
      </c>
      <c r="H46" s="60">
        <v>31.12</v>
      </c>
      <c r="I46" s="60">
        <v>6.02</v>
      </c>
      <c r="J46" s="60">
        <v>0.63</v>
      </c>
      <c r="K46" s="60">
        <v>40.5</v>
      </c>
      <c r="L46" s="60">
        <v>36.159999999999997</v>
      </c>
      <c r="M46" s="60">
        <v>85.94</v>
      </c>
      <c r="N46" s="60">
        <v>1111.70</v>
      </c>
      <c r="O46" s="60">
        <v>0</v>
      </c>
      <c r="P46" s="60">
        <v>2.42</v>
      </c>
      <c r="Q46" s="60">
        <v>11.66</v>
      </c>
      <c r="R46" s="198"/>
      <c r="S46" s="198"/>
      <c r="T46" s="198"/>
      <c r="U46" s="198"/>
    </row>
    <row r="47" spans="1:21" s="12" customFormat="1" ht="15">
      <c r="A47" s="201" t="s">
        <v>2493</v>
      </c>
      <c r="B47" s="60">
        <v>7.53</v>
      </c>
      <c r="C47" s="60">
        <v>22.5</v>
      </c>
      <c r="D47" s="60">
        <v>30.03</v>
      </c>
      <c r="E47" s="60">
        <v>6.33</v>
      </c>
      <c r="F47" s="60">
        <v>0.75</v>
      </c>
      <c r="G47" s="60">
        <v>47.13</v>
      </c>
      <c r="H47" s="60">
        <v>31.12</v>
      </c>
      <c r="I47" s="60">
        <v>6.27</v>
      </c>
      <c r="J47" s="60">
        <v>0.87</v>
      </c>
      <c r="K47" s="60">
        <v>219.38</v>
      </c>
      <c r="L47" s="60">
        <v>36.56</v>
      </c>
      <c r="M47" s="60">
        <v>83.38</v>
      </c>
      <c r="N47" s="60">
        <v>1080.0999999999999</v>
      </c>
      <c r="O47" s="60">
        <v>0</v>
      </c>
      <c r="P47" s="60">
        <v>2.4500000000000002</v>
      </c>
      <c r="Q47" s="60">
        <v>11.66</v>
      </c>
      <c r="R47" s="198"/>
      <c r="S47" s="198"/>
      <c r="T47" s="198"/>
      <c r="U47" s="198"/>
    </row>
    <row r="48" spans="1:21" s="12" customFormat="1" ht="15">
      <c r="A48" s="201" t="s">
        <v>2494</v>
      </c>
      <c r="B48" s="60">
        <v>6.26</v>
      </c>
      <c r="C48" s="60">
        <v>23.48</v>
      </c>
      <c r="D48" s="60">
        <v>29.74</v>
      </c>
      <c r="E48" s="60">
        <v>6.25</v>
      </c>
      <c r="F48" s="60">
        <v>0.66</v>
      </c>
      <c r="G48" s="60">
        <v>46.47</v>
      </c>
      <c r="H48" s="60">
        <v>26.60</v>
      </c>
      <c r="I48" s="60">
        <v>6.51</v>
      </c>
      <c r="J48" s="60">
        <v>0.17</v>
      </c>
      <c r="K48" s="60">
        <v>227.45</v>
      </c>
      <c r="L48" s="60">
        <v>37.630000000000003</v>
      </c>
      <c r="M48" s="60">
        <v>79.38</v>
      </c>
      <c r="N48" s="60">
        <v>777.60</v>
      </c>
      <c r="O48" s="60">
        <v>0</v>
      </c>
      <c r="P48" s="60">
        <v>2.4700000000000002</v>
      </c>
      <c r="Q48" s="60">
        <v>11.42</v>
      </c>
      <c r="R48" s="198"/>
      <c r="S48" s="198"/>
      <c r="T48" s="198"/>
      <c r="U48" s="198"/>
    </row>
    <row r="49" spans="1:21" s="12" customFormat="1" ht="15">
      <c r="A49" s="201" t="s">
        <v>2495</v>
      </c>
      <c r="B49" s="60">
        <v>5.08</v>
      </c>
      <c r="C49" s="60">
        <v>24.45</v>
      </c>
      <c r="D49" s="60">
        <v>29.54</v>
      </c>
      <c r="E49" s="60">
        <v>6.05</v>
      </c>
      <c r="F49" s="60">
        <v>0.92</v>
      </c>
      <c r="G49" s="60">
        <v>46.27</v>
      </c>
      <c r="H49" s="60">
        <v>23.30</v>
      </c>
      <c r="I49" s="60">
        <v>6.81</v>
      </c>
      <c r="J49" s="60">
        <v>1.37</v>
      </c>
      <c r="K49" s="60">
        <v>197.26</v>
      </c>
      <c r="L49" s="60">
        <v>37.799999999999997</v>
      </c>
      <c r="M49" s="60">
        <v>77.28</v>
      </c>
      <c r="N49" s="60">
        <v>635</v>
      </c>
      <c r="O49" s="60">
        <v>0</v>
      </c>
      <c r="P49" s="60">
        <v>2.52</v>
      </c>
      <c r="Q49" s="60">
        <v>11.15</v>
      </c>
      <c r="R49" s="198"/>
      <c r="S49" s="198"/>
      <c r="T49" s="198"/>
      <c r="U49" s="198"/>
    </row>
    <row r="50" spans="1:21" s="12" customFormat="1" ht="15">
      <c r="A50" s="201" t="s">
        <v>2496</v>
      </c>
      <c r="B50" s="60">
        <v>4.0599999999999996</v>
      </c>
      <c r="C50" s="60">
        <v>24.92</v>
      </c>
      <c r="D50" s="60">
        <v>28.98</v>
      </c>
      <c r="E50" s="60">
        <v>5.63</v>
      </c>
      <c r="F50" s="60">
        <v>1.03</v>
      </c>
      <c r="G50" s="60">
        <v>46.27</v>
      </c>
      <c r="H50" s="60">
        <v>23.30</v>
      </c>
      <c r="I50" s="60">
        <v>7.08</v>
      </c>
      <c r="J50" s="60">
        <v>1.44</v>
      </c>
      <c r="K50" s="60">
        <v>226.39</v>
      </c>
      <c r="L50" s="60">
        <v>37.58</v>
      </c>
      <c r="M50" s="60">
        <v>76.48</v>
      </c>
      <c r="N50" s="60">
        <v>595.90</v>
      </c>
      <c r="O50" s="60">
        <v>0</v>
      </c>
      <c r="P50" s="60">
        <v>2.56</v>
      </c>
      <c r="Q50" s="60">
        <v>10.97</v>
      </c>
      <c r="R50" s="198"/>
      <c r="S50" s="198"/>
      <c r="T50" s="198"/>
      <c r="U50" s="198"/>
    </row>
    <row r="51" spans="1:21" s="12" customFormat="1" ht="15">
      <c r="A51" s="201" t="s">
        <v>2497</v>
      </c>
      <c r="B51" s="60">
        <v>3.15</v>
      </c>
      <c r="C51" s="60">
        <v>24.31</v>
      </c>
      <c r="D51" s="60">
        <v>27.46</v>
      </c>
      <c r="E51" s="60">
        <v>5.95</v>
      </c>
      <c r="F51" s="60">
        <v>1.41</v>
      </c>
      <c r="G51" s="60">
        <v>46.27</v>
      </c>
      <c r="H51" s="60">
        <v>23.30</v>
      </c>
      <c r="I51" s="60">
        <v>7.5</v>
      </c>
      <c r="J51" s="60">
        <v>0.77</v>
      </c>
      <c r="K51" s="60">
        <v>204.42</v>
      </c>
      <c r="L51" s="60">
        <v>38.130000000000003</v>
      </c>
      <c r="M51" s="60">
        <v>74.489999999999995</v>
      </c>
      <c r="N51" s="60">
        <v>556.10</v>
      </c>
      <c r="O51" s="60">
        <v>0</v>
      </c>
      <c r="P51" s="60">
        <v>2.59</v>
      </c>
      <c r="Q51" s="60">
        <v>10.54</v>
      </c>
      <c r="R51" s="198"/>
      <c r="S51" s="198"/>
      <c r="T51" s="198"/>
      <c r="U51" s="198"/>
    </row>
    <row r="52" spans="1:21" s="12" customFormat="1" ht="15">
      <c r="A52" s="201" t="s">
        <v>2498</v>
      </c>
      <c r="B52" s="60">
        <v>2.60</v>
      </c>
      <c r="C52" s="60">
        <v>23.71</v>
      </c>
      <c r="D52" s="60">
        <v>26.31</v>
      </c>
      <c r="E52" s="60">
        <v>6.10</v>
      </c>
      <c r="F52" s="60">
        <v>1.23</v>
      </c>
      <c r="G52" s="60">
        <v>54.91</v>
      </c>
      <c r="H52" s="60">
        <v>22.47</v>
      </c>
      <c r="I52" s="60">
        <v>8.01</v>
      </c>
      <c r="J52" s="60">
        <v>1.67</v>
      </c>
      <c r="K52" s="60">
        <v>196.73</v>
      </c>
      <c r="L52" s="60">
        <v>38.229999999999997</v>
      </c>
      <c r="M52" s="60">
        <v>73.36</v>
      </c>
      <c r="N52" s="60">
        <v>667.70</v>
      </c>
      <c r="O52" s="60">
        <v>0</v>
      </c>
      <c r="P52" s="60">
        <v>2.60</v>
      </c>
      <c r="Q52" s="60">
        <v>9.84</v>
      </c>
      <c r="R52" s="198"/>
      <c r="S52" s="198"/>
      <c r="T52" s="198"/>
      <c r="U52" s="198"/>
    </row>
    <row r="53" spans="1:21" s="12" customFormat="1" ht="15">
      <c r="A53" s="201" t="s">
        <v>2499</v>
      </c>
      <c r="B53" s="60">
        <v>2.37</v>
      </c>
      <c r="C53" s="60">
        <v>22.98</v>
      </c>
      <c r="D53" s="60">
        <v>25.36</v>
      </c>
      <c r="E53" s="60">
        <v>6.48</v>
      </c>
      <c r="F53" s="60">
        <v>1.26</v>
      </c>
      <c r="G53" s="60">
        <v>57.40</v>
      </c>
      <c r="H53" s="60">
        <v>21.86</v>
      </c>
      <c r="I53" s="60">
        <v>8.23</v>
      </c>
      <c r="J53" s="60">
        <v>0.66</v>
      </c>
      <c r="K53" s="60">
        <v>340.90</v>
      </c>
      <c r="L53" s="60">
        <v>39.299999999999997</v>
      </c>
      <c r="M53" s="60">
        <v>70.06</v>
      </c>
      <c r="N53" s="60">
        <v>856.20</v>
      </c>
      <c r="O53" s="60">
        <v>0</v>
      </c>
      <c r="P53" s="60">
        <v>2.61</v>
      </c>
      <c r="Q53" s="60">
        <v>9.23</v>
      </c>
      <c r="R53" s="198"/>
      <c r="S53" s="198"/>
      <c r="T53" s="198"/>
      <c r="U53" s="198"/>
    </row>
    <row r="54" spans="1:21" s="12" customFormat="1" ht="15">
      <c r="A54" s="201" t="s">
        <v>2500</v>
      </c>
      <c r="B54" s="60">
        <v>2.2999999999999998</v>
      </c>
      <c r="C54" s="60">
        <v>23.77</v>
      </c>
      <c r="D54" s="60">
        <v>26.08</v>
      </c>
      <c r="E54" s="60">
        <v>6.28</v>
      </c>
      <c r="F54" s="60">
        <v>1.64</v>
      </c>
      <c r="G54" s="60">
        <v>57.40</v>
      </c>
      <c r="H54" s="60">
        <v>21.86</v>
      </c>
      <c r="I54" s="60">
        <v>8.31</v>
      </c>
      <c r="J54" s="60">
        <v>0.56999999999999995</v>
      </c>
      <c r="K54" s="60">
        <v>253.44</v>
      </c>
      <c r="L54" s="60">
        <v>40.130000000000003</v>
      </c>
      <c r="M54" s="60">
        <v>66.77</v>
      </c>
      <c r="N54" s="60">
        <v>1205.5999999999999</v>
      </c>
      <c r="O54" s="60">
        <v>0</v>
      </c>
      <c r="P54" s="60">
        <v>2.61</v>
      </c>
      <c r="Q54" s="60">
        <v>9.1999999999999993</v>
      </c>
      <c r="R54" s="198"/>
      <c r="S54" s="198"/>
      <c r="T54" s="198"/>
      <c r="U54" s="198"/>
    </row>
    <row r="55" spans="1:21" s="12" customFormat="1" ht="15">
      <c r="A55" s="201" t="s">
        <v>2501</v>
      </c>
      <c r="B55" s="60">
        <v>1.98</v>
      </c>
      <c r="C55" s="60">
        <v>23.85</v>
      </c>
      <c r="D55" s="60">
        <v>25.83</v>
      </c>
      <c r="E55" s="60">
        <v>6.23</v>
      </c>
      <c r="F55" s="60">
        <v>1.86</v>
      </c>
      <c r="G55" s="60">
        <v>57.40</v>
      </c>
      <c r="H55" s="60">
        <v>21.86</v>
      </c>
      <c r="I55" s="60">
        <v>8.43</v>
      </c>
      <c r="J55" s="60">
        <v>1.22</v>
      </c>
      <c r="K55" s="60">
        <v>318.11</v>
      </c>
      <c r="L55" s="60">
        <v>41.69</v>
      </c>
      <c r="M55" s="60">
        <v>63.67</v>
      </c>
      <c r="N55" s="60">
        <v>1534.10</v>
      </c>
      <c r="O55" s="60">
        <v>0</v>
      </c>
      <c r="P55" s="60">
        <v>2.63</v>
      </c>
      <c r="Q55" s="60">
        <v>9.0500000000000007</v>
      </c>
      <c r="R55" s="198"/>
      <c r="S55" s="198"/>
      <c r="T55" s="198"/>
      <c r="U55" s="198"/>
    </row>
    <row r="56" spans="1:21" s="12" customFormat="1" ht="15">
      <c r="A56" s="201" t="s">
        <v>2502</v>
      </c>
      <c r="B56" s="60">
        <v>2.02</v>
      </c>
      <c r="C56" s="60">
        <v>24.20</v>
      </c>
      <c r="D56" s="60">
        <v>26.21</v>
      </c>
      <c r="E56" s="60">
        <v>3.17</v>
      </c>
      <c r="F56" s="60">
        <v>1.74</v>
      </c>
      <c r="G56" s="60">
        <v>60.86</v>
      </c>
      <c r="H56" s="60">
        <v>24.64</v>
      </c>
      <c r="I56" s="60">
        <v>8.4600000000000009</v>
      </c>
      <c r="J56" s="60">
        <v>2.31</v>
      </c>
      <c r="K56" s="60">
        <v>323.20</v>
      </c>
      <c r="L56" s="60">
        <v>42.96</v>
      </c>
      <c r="M56" s="60">
        <v>61.31</v>
      </c>
      <c r="N56" s="60">
        <v>1492.5</v>
      </c>
      <c r="O56" s="60">
        <v>0</v>
      </c>
      <c r="P56" s="60">
        <v>2.65</v>
      </c>
      <c r="Q56" s="60">
        <v>9.09</v>
      </c>
      <c r="R56" s="198"/>
      <c r="S56" s="198"/>
      <c r="T56" s="198"/>
      <c r="U56" s="198"/>
    </row>
    <row r="57" spans="1:21" s="12" customFormat="1" ht="15">
      <c r="A57" s="201" t="s">
        <v>2503</v>
      </c>
      <c r="B57" s="60">
        <v>2</v>
      </c>
      <c r="C57" s="60">
        <v>24.5</v>
      </c>
      <c r="D57" s="60">
        <v>26.5</v>
      </c>
      <c r="E57" s="60">
        <v>6.16</v>
      </c>
      <c r="F57" s="60">
        <v>1.95</v>
      </c>
      <c r="G57" s="60">
        <v>62.71</v>
      </c>
      <c r="H57" s="60">
        <v>26.67</v>
      </c>
      <c r="I57" s="60">
        <v>8.48</v>
      </c>
      <c r="J57" s="60">
        <v>0.52</v>
      </c>
      <c r="K57" s="60">
        <v>302.95999999999998</v>
      </c>
      <c r="L57" s="60">
        <v>41.57</v>
      </c>
      <c r="M57" s="60">
        <v>61.87</v>
      </c>
      <c r="N57" s="60">
        <v>814.20</v>
      </c>
      <c r="O57" s="60">
        <v>0</v>
      </c>
      <c r="P57" s="60">
        <v>2.67</v>
      </c>
      <c r="Q57" s="60">
        <v>9.10</v>
      </c>
      <c r="R57" s="198"/>
      <c r="S57" s="198"/>
      <c r="T57" s="198"/>
      <c r="U57" s="198"/>
    </row>
    <row r="58" spans="1:21" s="12" customFormat="1" ht="15">
      <c r="A58" s="201" t="s">
        <v>2504</v>
      </c>
      <c r="B58" s="60">
        <v>1.62</v>
      </c>
      <c r="C58" s="60">
        <v>26.23</v>
      </c>
      <c r="D58" s="60">
        <v>27.85</v>
      </c>
      <c r="E58" s="60">
        <v>5.96</v>
      </c>
      <c r="F58" s="60">
        <v>2.1800000000000002</v>
      </c>
      <c r="G58" s="60">
        <v>62.71</v>
      </c>
      <c r="H58" s="60">
        <v>26.67</v>
      </c>
      <c r="I58" s="60">
        <v>8.75</v>
      </c>
      <c r="J58" s="60">
        <v>1.41</v>
      </c>
      <c r="K58" s="60">
        <v>326.60000000000002</v>
      </c>
      <c r="L58" s="60">
        <v>41.93</v>
      </c>
      <c r="M58" s="60">
        <v>61.96</v>
      </c>
      <c r="N58" s="60">
        <v>900.30</v>
      </c>
      <c r="O58" s="60">
        <v>0</v>
      </c>
      <c r="P58" s="60">
        <v>2.66</v>
      </c>
      <c r="Q58" s="60">
        <v>9.3699999999999992</v>
      </c>
      <c r="R58" s="198"/>
      <c r="S58" s="198"/>
      <c r="T58" s="198"/>
      <c r="U58" s="198"/>
    </row>
    <row r="59" spans="1:21" s="12" customFormat="1" ht="15">
      <c r="A59" s="201" t="s">
        <v>2505</v>
      </c>
      <c r="B59" s="60">
        <v>1.22</v>
      </c>
      <c r="C59" s="60">
        <v>25.92</v>
      </c>
      <c r="D59" s="60">
        <v>27.13</v>
      </c>
      <c r="E59" s="60">
        <v>6.20</v>
      </c>
      <c r="F59" s="60">
        <v>3.39</v>
      </c>
      <c r="G59" s="60">
        <v>62.71</v>
      </c>
      <c r="H59" s="60">
        <v>26.67</v>
      </c>
      <c r="I59" s="60">
        <v>9.11</v>
      </c>
      <c r="J59" s="60">
        <v>0.48</v>
      </c>
      <c r="K59" s="60">
        <v>341.74</v>
      </c>
      <c r="L59" s="60">
        <v>42.22</v>
      </c>
      <c r="M59" s="60">
        <v>60.13</v>
      </c>
      <c r="N59" s="60">
        <v>909.10</v>
      </c>
      <c r="O59" s="60">
        <v>0</v>
      </c>
      <c r="P59" s="60">
        <v>2.67</v>
      </c>
      <c r="Q59" s="60">
        <v>9.52</v>
      </c>
      <c r="R59" s="198"/>
      <c r="S59" s="198"/>
      <c r="T59" s="198"/>
      <c r="U59" s="198"/>
    </row>
    <row r="60" spans="1:21" s="12" customFormat="1" ht="15">
      <c r="A60" s="201" t="s">
        <v>2506</v>
      </c>
      <c r="B60" s="60">
        <v>0.93</v>
      </c>
      <c r="C60" s="60">
        <v>26.05</v>
      </c>
      <c r="D60" s="60">
        <v>26.98</v>
      </c>
      <c r="E60" s="60">
        <v>6.01</v>
      </c>
      <c r="F60" s="60">
        <v>3.53</v>
      </c>
      <c r="G60" s="60">
        <v>64.63</v>
      </c>
      <c r="H60" s="60">
        <v>27.95</v>
      </c>
      <c r="I60" s="60">
        <v>9.16</v>
      </c>
      <c r="J60" s="60">
        <v>1.22</v>
      </c>
      <c r="K60" s="60">
        <v>320.82</v>
      </c>
      <c r="L60" s="60">
        <v>42.81</v>
      </c>
      <c r="M60" s="60">
        <v>58.45</v>
      </c>
      <c r="N60" s="60">
        <v>1107.80</v>
      </c>
      <c r="O60" s="60">
        <v>0</v>
      </c>
      <c r="P60" s="60">
        <v>2.66</v>
      </c>
      <c r="Q60" s="60">
        <v>9.83</v>
      </c>
      <c r="R60" s="198"/>
      <c r="S60" s="198"/>
      <c r="T60" s="198"/>
      <c r="U60" s="198"/>
    </row>
    <row r="61" spans="1:21" s="12" customFormat="1" ht="15">
      <c r="A61" s="201" t="s">
        <v>2507</v>
      </c>
      <c r="B61" s="60">
        <v>0.87</v>
      </c>
      <c r="C61" s="60">
        <v>25.91</v>
      </c>
      <c r="D61" s="60">
        <v>26.78</v>
      </c>
      <c r="E61" s="60">
        <v>5.67</v>
      </c>
      <c r="F61" s="60">
        <v>3.71</v>
      </c>
      <c r="G61" s="60">
        <v>65.20</v>
      </c>
      <c r="H61" s="60">
        <v>28.88</v>
      </c>
      <c r="I61" s="60">
        <v>9.2200000000000006</v>
      </c>
      <c r="J61" s="60">
        <v>1.31</v>
      </c>
      <c r="K61" s="60">
        <v>334.96</v>
      </c>
      <c r="L61" s="60">
        <v>45.66</v>
      </c>
      <c r="M61" s="60">
        <v>55.26</v>
      </c>
      <c r="N61" s="60">
        <v>929.80</v>
      </c>
      <c r="O61" s="60">
        <v>0</v>
      </c>
      <c r="P61" s="60">
        <v>2.64</v>
      </c>
      <c r="Q61" s="60">
        <v>9.9600000000000009</v>
      </c>
      <c r="R61" s="198"/>
      <c r="S61" s="198"/>
      <c r="T61" s="198"/>
      <c r="U61" s="198"/>
    </row>
    <row r="62" spans="1:21" s="12" customFormat="1" ht="15">
      <c r="A62" s="201" t="s">
        <v>2508</v>
      </c>
      <c r="B62" s="60">
        <v>0.85</v>
      </c>
      <c r="C62" s="60">
        <v>25.66</v>
      </c>
      <c r="D62" s="60">
        <v>26.51</v>
      </c>
      <c r="E62" s="60">
        <v>5.68</v>
      </c>
      <c r="F62" s="60">
        <v>3.80</v>
      </c>
      <c r="G62" s="60">
        <v>65.20</v>
      </c>
      <c r="H62" s="60">
        <v>28.88</v>
      </c>
      <c r="I62" s="60">
        <v>9.35</v>
      </c>
      <c r="J62" s="60">
        <v>2</v>
      </c>
      <c r="K62" s="60">
        <v>323.52999999999997</v>
      </c>
      <c r="L62" s="60">
        <v>46.19</v>
      </c>
      <c r="M62" s="60">
        <v>55.43</v>
      </c>
      <c r="N62" s="60">
        <v>664.80</v>
      </c>
      <c r="O62" s="60">
        <v>0</v>
      </c>
      <c r="P62" s="60">
        <v>2.63</v>
      </c>
      <c r="Q62" s="60">
        <v>9.86</v>
      </c>
      <c r="R62" s="198"/>
      <c r="S62" s="198"/>
      <c r="T62" s="198"/>
      <c r="U62" s="198"/>
    </row>
    <row r="63" spans="1:21" s="12" customFormat="1" ht="15">
      <c r="A63" s="201" t="s">
        <v>2509</v>
      </c>
      <c r="B63" s="60">
        <v>0.91</v>
      </c>
      <c r="C63" s="60">
        <v>25.85</v>
      </c>
      <c r="D63" s="60">
        <v>26.76</v>
      </c>
      <c r="E63" s="60">
        <v>6.14</v>
      </c>
      <c r="F63" s="60">
        <v>4.04</v>
      </c>
      <c r="G63" s="60">
        <v>65.20</v>
      </c>
      <c r="H63" s="60">
        <v>28.88</v>
      </c>
      <c r="I63" s="60">
        <v>9.3699999999999992</v>
      </c>
      <c r="J63" s="60">
        <v>2.87</v>
      </c>
      <c r="K63" s="60">
        <v>313.88</v>
      </c>
      <c r="L63" s="60">
        <v>46.28</v>
      </c>
      <c r="M63" s="60">
        <v>53.85</v>
      </c>
      <c r="N63" s="60">
        <v>596.40</v>
      </c>
      <c r="O63" s="60">
        <v>0</v>
      </c>
      <c r="P63" s="60">
        <v>2.61</v>
      </c>
      <c r="Q63" s="60">
        <v>9.94</v>
      </c>
      <c r="R63" s="198"/>
      <c r="S63" s="198"/>
      <c r="T63" s="198"/>
      <c r="U63" s="198"/>
    </row>
    <row r="64" spans="1:21" s="12" customFormat="1" ht="15">
      <c r="A64" s="201" t="s">
        <v>2510</v>
      </c>
      <c r="B64" s="60">
        <v>1.02</v>
      </c>
      <c r="C64" s="60">
        <v>26.18</v>
      </c>
      <c r="D64" s="60">
        <v>27.20</v>
      </c>
      <c r="E64" s="60">
        <v>5.33</v>
      </c>
      <c r="F64" s="60">
        <v>3.69</v>
      </c>
      <c r="G64" s="60">
        <v>66.86</v>
      </c>
      <c r="H64" s="60">
        <v>28.65</v>
      </c>
      <c r="I64" s="60">
        <v>9.33</v>
      </c>
      <c r="J64" s="60">
        <v>2.19</v>
      </c>
      <c r="K64" s="60">
        <v>313.14999999999998</v>
      </c>
      <c r="L64" s="60">
        <v>46.21</v>
      </c>
      <c r="M64" s="60">
        <v>53.59</v>
      </c>
      <c r="N64" s="60">
        <v>663.40</v>
      </c>
      <c r="O64" s="60">
        <v>0</v>
      </c>
      <c r="P64" s="60">
        <v>2.60</v>
      </c>
      <c r="Q64" s="60">
        <v>10.16</v>
      </c>
      <c r="R64" s="198"/>
      <c r="S64" s="198"/>
      <c r="T64" s="198"/>
      <c r="U64" s="198"/>
    </row>
    <row r="65" spans="1:21" s="12" customFormat="1" ht="15">
      <c r="A65" s="201" t="s">
        <v>2511</v>
      </c>
      <c r="B65" s="60">
        <v>0.91</v>
      </c>
      <c r="C65" s="60">
        <v>25.91</v>
      </c>
      <c r="D65" s="60">
        <v>26.82</v>
      </c>
      <c r="E65" s="60">
        <v>5.61</v>
      </c>
      <c r="F65" s="60">
        <v>4.46</v>
      </c>
      <c r="G65" s="60">
        <v>67.34</v>
      </c>
      <c r="H65" s="60">
        <v>28.48</v>
      </c>
      <c r="I65" s="60">
        <v>8.91</v>
      </c>
      <c r="J65" s="60">
        <v>2.12</v>
      </c>
      <c r="K65" s="60">
        <v>309.87</v>
      </c>
      <c r="L65" s="60">
        <v>45.49</v>
      </c>
      <c r="M65" s="60">
        <v>54.13</v>
      </c>
      <c r="N65" s="60">
        <v>823.10</v>
      </c>
      <c r="O65" s="60">
        <v>0</v>
      </c>
      <c r="P65" s="60">
        <v>2.57</v>
      </c>
      <c r="Q65" s="60">
        <v>9.8699999999999992</v>
      </c>
      <c r="R65" s="198"/>
      <c r="S65" s="198"/>
      <c r="T65" s="198"/>
      <c r="U65" s="198"/>
    </row>
    <row r="66" spans="1:21" s="12" customFormat="1" ht="15">
      <c r="A66" s="201" t="s">
        <v>2512</v>
      </c>
      <c r="B66" s="60">
        <v>0.86</v>
      </c>
      <c r="C66" s="60">
        <v>25.75</v>
      </c>
      <c r="D66" s="60">
        <v>26.61</v>
      </c>
      <c r="E66" s="60">
        <v>5.54</v>
      </c>
      <c r="F66" s="60">
        <v>4.07</v>
      </c>
      <c r="G66" s="60">
        <v>67.34</v>
      </c>
      <c r="H66" s="60">
        <v>28.48</v>
      </c>
      <c r="I66" s="60">
        <v>8.3800000000000008</v>
      </c>
      <c r="J66" s="60">
        <v>2.71</v>
      </c>
      <c r="K66" s="60">
        <v>320.80</v>
      </c>
      <c r="L66" s="60">
        <v>47.05</v>
      </c>
      <c r="M66" s="60">
        <v>51.28</v>
      </c>
      <c r="N66" s="60">
        <v>725.60</v>
      </c>
      <c r="O66" s="60">
        <v>0</v>
      </c>
      <c r="P66" s="60">
        <v>2.56</v>
      </c>
      <c r="Q66" s="60">
        <v>9.9499999999999993</v>
      </c>
      <c r="R66" s="198"/>
      <c r="S66" s="198"/>
      <c r="T66" s="198"/>
      <c r="U66" s="198"/>
    </row>
    <row r="67" spans="1:21" s="12" customFormat="1" ht="15">
      <c r="A67" s="201" t="s">
        <v>2513</v>
      </c>
      <c r="B67" s="60">
        <v>0.88</v>
      </c>
      <c r="C67" s="60">
        <v>25.61</v>
      </c>
      <c r="D67" s="60">
        <v>26.5</v>
      </c>
      <c r="E67" s="60">
        <v>5.61</v>
      </c>
      <c r="F67" s="60">
        <v>4.04</v>
      </c>
      <c r="G67" s="60">
        <v>67.34</v>
      </c>
      <c r="H67" s="60">
        <v>28.48</v>
      </c>
      <c r="I67" s="60">
        <v>7.94</v>
      </c>
      <c r="J67" s="60">
        <v>1.81</v>
      </c>
      <c r="K67" s="60">
        <v>325.23</v>
      </c>
      <c r="L67" s="60">
        <v>46.79</v>
      </c>
      <c r="M67" s="60">
        <v>51.51</v>
      </c>
      <c r="N67" s="60">
        <v>852.40</v>
      </c>
      <c r="O67" s="60">
        <v>0</v>
      </c>
      <c r="P67" s="60">
        <v>2.54</v>
      </c>
      <c r="Q67" s="60">
        <v>9.73</v>
      </c>
      <c r="R67" s="198"/>
      <c r="S67" s="198"/>
      <c r="T67" s="198"/>
      <c r="U67" s="198"/>
    </row>
    <row r="68" spans="1:21" s="12" customFormat="1" ht="15">
      <c r="A68" s="201" t="s">
        <v>2514</v>
      </c>
      <c r="B68" s="60">
        <v>0.93</v>
      </c>
      <c r="C68" s="60">
        <v>25.94</v>
      </c>
      <c r="D68" s="60">
        <v>26.87</v>
      </c>
      <c r="E68" s="60">
        <v>5.58</v>
      </c>
      <c r="F68" s="60">
        <v>3.84</v>
      </c>
      <c r="G68" s="60">
        <v>75.41</v>
      </c>
      <c r="H68" s="60">
        <v>27.87</v>
      </c>
      <c r="I68" s="60">
        <v>7.51</v>
      </c>
      <c r="J68" s="60">
        <v>2.58</v>
      </c>
      <c r="K68" s="60">
        <v>313.08999999999997</v>
      </c>
      <c r="L68" s="60">
        <v>48.65</v>
      </c>
      <c r="M68" s="60">
        <v>48.54</v>
      </c>
      <c r="N68" s="60">
        <v>946.70</v>
      </c>
      <c r="O68" s="60">
        <v>0</v>
      </c>
      <c r="P68" s="60">
        <v>2.52</v>
      </c>
      <c r="Q68" s="60">
        <v>9.94</v>
      </c>
      <c r="R68" s="198"/>
      <c r="S68" s="198"/>
      <c r="T68" s="198"/>
      <c r="U68" s="198"/>
    </row>
    <row r="69" spans="1:21" s="12" customFormat="1" ht="15">
      <c r="A69" s="201" t="s">
        <v>2515</v>
      </c>
      <c r="B69" s="60">
        <v>0.81</v>
      </c>
      <c r="C69" s="60">
        <v>25.04</v>
      </c>
      <c r="D69" s="60">
        <v>25.86</v>
      </c>
      <c r="E69" s="60">
        <v>5.90</v>
      </c>
      <c r="F69" s="60">
        <v>3.52</v>
      </c>
      <c r="G69" s="60">
        <v>77.73</v>
      </c>
      <c r="H69" s="60">
        <v>27.42</v>
      </c>
      <c r="I69" s="60">
        <v>7.11</v>
      </c>
      <c r="J69" s="60">
        <v>0.28000000000000003</v>
      </c>
      <c r="K69" s="60">
        <v>197.21</v>
      </c>
      <c r="L69" s="60">
        <v>46.96</v>
      </c>
      <c r="M69" s="60">
        <v>49.89</v>
      </c>
      <c r="N69" s="60">
        <v>877.60</v>
      </c>
      <c r="O69" s="60">
        <v>0</v>
      </c>
      <c r="P69" s="60">
        <v>2.5</v>
      </c>
      <c r="Q69" s="60">
        <v>9.33</v>
      </c>
      <c r="R69" s="198"/>
      <c r="S69" s="198"/>
      <c r="T69" s="198"/>
      <c r="U69" s="198"/>
    </row>
    <row r="70" spans="1:21" s="12" customFormat="1" ht="15">
      <c r="A70" s="201" t="s">
        <v>2516</v>
      </c>
      <c r="B70" s="60">
        <v>0.77</v>
      </c>
      <c r="C70" s="60">
        <v>24.70</v>
      </c>
      <c r="D70" s="60">
        <v>25.48</v>
      </c>
      <c r="E70" s="60">
        <v>5.78</v>
      </c>
      <c r="F70" s="60">
        <v>3.51</v>
      </c>
      <c r="G70" s="60">
        <v>77.73</v>
      </c>
      <c r="H70" s="60">
        <v>27.42</v>
      </c>
      <c r="I70" s="60">
        <v>6.84</v>
      </c>
      <c r="J70" s="60">
        <v>1.68</v>
      </c>
      <c r="K70" s="60">
        <v>346.61</v>
      </c>
      <c r="L70" s="60">
        <v>49.68</v>
      </c>
      <c r="M70" s="60">
        <v>48.17</v>
      </c>
      <c r="N70" s="60">
        <v>873.20</v>
      </c>
      <c r="O70" s="60">
        <v>0</v>
      </c>
      <c r="P70" s="60">
        <v>2.48</v>
      </c>
      <c r="Q70" s="60">
        <v>9.01</v>
      </c>
      <c r="R70" s="198"/>
      <c r="S70" s="198"/>
      <c r="T70" s="198"/>
      <c r="U70" s="198"/>
    </row>
    <row r="71" spans="1:21" s="12" customFormat="1" ht="15">
      <c r="A71" s="201" t="s">
        <v>2517</v>
      </c>
      <c r="B71" s="60">
        <v>0.80</v>
      </c>
      <c r="C71" s="60">
        <v>23.99</v>
      </c>
      <c r="D71" s="60">
        <v>24.79</v>
      </c>
      <c r="E71" s="60">
        <v>5.91</v>
      </c>
      <c r="F71" s="60">
        <v>3.16</v>
      </c>
      <c r="G71" s="60">
        <v>77.73</v>
      </c>
      <c r="H71" s="60">
        <v>27.42</v>
      </c>
      <c r="I71" s="60">
        <v>6.61</v>
      </c>
      <c r="J71" s="60">
        <v>1.07</v>
      </c>
      <c r="K71" s="60">
        <v>332.23</v>
      </c>
      <c r="L71" s="60">
        <v>49.94</v>
      </c>
      <c r="M71" s="60">
        <v>49.18</v>
      </c>
      <c r="N71" s="60">
        <v>522.29999999999995</v>
      </c>
      <c r="O71" s="60">
        <v>0</v>
      </c>
      <c r="P71" s="60">
        <v>2.4700000000000002</v>
      </c>
      <c r="Q71" s="60">
        <v>8.56</v>
      </c>
      <c r="R71" s="198"/>
      <c r="S71" s="198"/>
      <c r="T71" s="198"/>
      <c r="U71" s="198"/>
    </row>
    <row r="72" spans="1:21" s="12" customFormat="1" ht="15">
      <c r="A72" s="201" t="s">
        <v>2518</v>
      </c>
      <c r="B72" s="60">
        <v>0.90</v>
      </c>
      <c r="C72" s="60">
        <v>23.95</v>
      </c>
      <c r="D72" s="60">
        <v>24.85</v>
      </c>
      <c r="E72" s="60">
        <v>2.5</v>
      </c>
      <c r="F72" s="60">
        <v>3.01</v>
      </c>
      <c r="G72" s="60">
        <v>76.19</v>
      </c>
      <c r="H72" s="60">
        <v>26.82</v>
      </c>
      <c r="I72" s="60">
        <v>6.43</v>
      </c>
      <c r="J72" s="60">
        <v>2.17</v>
      </c>
      <c r="K72" s="60">
        <v>310.30</v>
      </c>
      <c r="L72" s="60">
        <v>46.90</v>
      </c>
      <c r="M72" s="60">
        <v>51.05</v>
      </c>
      <c r="N72" s="60">
        <v>455.60</v>
      </c>
      <c r="O72" s="60">
        <v>0</v>
      </c>
      <c r="P72" s="60">
        <v>2.48</v>
      </c>
      <c r="Q72" s="60">
        <v>8.4600000000000009</v>
      </c>
      <c r="R72" s="198"/>
      <c r="S72" s="198"/>
      <c r="T72" s="198"/>
      <c r="U72" s="198"/>
    </row>
    <row r="73" spans="1:21" s="12" customFormat="1" ht="15">
      <c r="A73" s="201" t="s">
        <v>2519</v>
      </c>
      <c r="B73" s="60">
        <v>1.18</v>
      </c>
      <c r="C73" s="60">
        <v>24.17</v>
      </c>
      <c r="D73" s="60">
        <v>25.35</v>
      </c>
      <c r="E73" s="60">
        <v>4.87</v>
      </c>
      <c r="F73" s="60">
        <v>2.29</v>
      </c>
      <c r="G73" s="60">
        <v>75.73</v>
      </c>
      <c r="H73" s="60">
        <v>26.38</v>
      </c>
      <c r="I73" s="60">
        <v>6.36</v>
      </c>
      <c r="J73" s="60">
        <v>1.55</v>
      </c>
      <c r="K73" s="60">
        <v>332.70</v>
      </c>
      <c r="L73" s="60">
        <v>47.83</v>
      </c>
      <c r="M73" s="60">
        <v>52.66</v>
      </c>
      <c r="N73" s="60">
        <v>442.40</v>
      </c>
      <c r="O73" s="60">
        <v>0</v>
      </c>
      <c r="P73" s="60">
        <v>2.48</v>
      </c>
      <c r="Q73" s="60">
        <v>8.5299999999999994</v>
      </c>
      <c r="R73" s="198"/>
      <c r="S73" s="198"/>
      <c r="T73" s="198"/>
      <c r="U73" s="198"/>
    </row>
    <row r="74" spans="1:21" s="12" customFormat="1" ht="15">
      <c r="A74" s="201" t="s">
        <v>2520</v>
      </c>
      <c r="B74" s="60">
        <v>1.40</v>
      </c>
      <c r="C74" s="60">
        <v>24.65</v>
      </c>
      <c r="D74" s="60">
        <v>26.05</v>
      </c>
      <c r="E74" s="60">
        <v>5.14</v>
      </c>
      <c r="F74" s="60">
        <v>2.27</v>
      </c>
      <c r="G74" s="60">
        <v>75.73</v>
      </c>
      <c r="H74" s="60">
        <v>26.38</v>
      </c>
      <c r="I74" s="60">
        <v>6.32</v>
      </c>
      <c r="J74" s="60">
        <v>2.0499999999999998</v>
      </c>
      <c r="K74" s="60">
        <v>329.82</v>
      </c>
      <c r="L74" s="60">
        <v>47.56</v>
      </c>
      <c r="M74" s="60">
        <v>51.68</v>
      </c>
      <c r="N74" s="60">
        <v>330</v>
      </c>
      <c r="O74" s="60">
        <v>0</v>
      </c>
      <c r="P74" s="60">
        <v>2.4900000000000002</v>
      </c>
      <c r="Q74" s="60">
        <v>8.66</v>
      </c>
      <c r="R74" s="198"/>
      <c r="S74" s="198"/>
      <c r="T74" s="198"/>
      <c r="U74" s="198"/>
    </row>
    <row r="75" spans="1:21" s="12" customFormat="1" ht="15">
      <c r="A75" s="201" t="s">
        <v>2521</v>
      </c>
      <c r="B75" s="60">
        <v>1.55</v>
      </c>
      <c r="C75" s="60">
        <v>24.72</v>
      </c>
      <c r="D75" s="60">
        <v>26.27</v>
      </c>
      <c r="E75" s="60">
        <v>4.7300000000000004</v>
      </c>
      <c r="F75" s="60">
        <v>1.98</v>
      </c>
      <c r="G75" s="60">
        <v>75.73</v>
      </c>
      <c r="H75" s="60">
        <v>26.38</v>
      </c>
      <c r="I75" s="60">
        <v>6.26</v>
      </c>
      <c r="J75" s="60">
        <v>0.25</v>
      </c>
      <c r="K75" s="60">
        <v>319.63</v>
      </c>
      <c r="L75" s="60">
        <v>45.56</v>
      </c>
      <c r="M75" s="60">
        <v>52.93</v>
      </c>
      <c r="N75" s="60">
        <v>280.30</v>
      </c>
      <c r="O75" s="60">
        <v>0</v>
      </c>
      <c r="P75" s="60">
        <v>2.5</v>
      </c>
      <c r="Q75" s="60">
        <v>8.7899999999999991</v>
      </c>
      <c r="R75" s="198"/>
      <c r="S75" s="198"/>
      <c r="T75" s="198"/>
      <c r="U75" s="198"/>
    </row>
    <row r="76" spans="1:21" s="12" customFormat="1" ht="15">
      <c r="A76" s="201" t="s">
        <v>2522</v>
      </c>
      <c r="B76" s="60">
        <v>1.68</v>
      </c>
      <c r="C76" s="60">
        <v>25.28</v>
      </c>
      <c r="D76" s="60">
        <v>26.96</v>
      </c>
      <c r="E76" s="60">
        <v>5.38</v>
      </c>
      <c r="F76" s="60">
        <v>1.66</v>
      </c>
      <c r="G76" s="60">
        <v>76.95</v>
      </c>
      <c r="H76" s="60">
        <v>25.38</v>
      </c>
      <c r="I76" s="60">
        <v>6.24</v>
      </c>
      <c r="J76" s="60">
        <v>1.06</v>
      </c>
      <c r="K76" s="60">
        <v>248.48</v>
      </c>
      <c r="L76" s="60">
        <v>44.17</v>
      </c>
      <c r="M76" s="60">
        <v>53.51</v>
      </c>
      <c r="N76" s="60">
        <v>235</v>
      </c>
      <c r="O76" s="60">
        <v>0</v>
      </c>
      <c r="P76" s="60">
        <v>2.52</v>
      </c>
      <c r="Q76" s="60">
        <v>9.08</v>
      </c>
      <c r="R76" s="198"/>
      <c r="S76" s="198"/>
      <c r="T76" s="198"/>
      <c r="U76" s="198"/>
    </row>
    <row r="77" spans="1:21" s="12" customFormat="1" ht="15">
      <c r="A77" s="201" t="s">
        <v>2523</v>
      </c>
      <c r="B77" s="60">
        <v>1.34</v>
      </c>
      <c r="C77" s="60">
        <v>25.10</v>
      </c>
      <c r="D77" s="60">
        <v>26.44</v>
      </c>
      <c r="E77" s="60">
        <v>5.28</v>
      </c>
      <c r="F77" s="60">
        <v>2.39</v>
      </c>
      <c r="G77" s="60">
        <v>77.73</v>
      </c>
      <c r="H77" s="60">
        <v>24.64</v>
      </c>
      <c r="I77" s="60">
        <v>6.28</v>
      </c>
      <c r="J77" s="60">
        <v>2.27</v>
      </c>
      <c r="K77" s="60">
        <v>182.54</v>
      </c>
      <c r="L77" s="60">
        <v>44.60</v>
      </c>
      <c r="M77" s="60">
        <v>53.73</v>
      </c>
      <c r="N77" s="60">
        <v>199.40</v>
      </c>
      <c r="O77" s="60">
        <v>0</v>
      </c>
      <c r="P77" s="60">
        <v>2.5</v>
      </c>
      <c r="Q77" s="60">
        <v>9.1999999999999993</v>
      </c>
      <c r="R77" s="198"/>
      <c r="S77" s="198"/>
      <c r="T77" s="198"/>
      <c r="U77" s="198"/>
    </row>
    <row r="78" spans="1:21" s="12" customFormat="1" ht="15">
      <c r="A78" s="201" t="s">
        <v>2524</v>
      </c>
      <c r="B78" s="60">
        <v>0.77</v>
      </c>
      <c r="C78" s="60">
        <v>23.93</v>
      </c>
      <c r="D78" s="60">
        <v>24.71</v>
      </c>
      <c r="E78" s="60">
        <v>5.35</v>
      </c>
      <c r="F78" s="60">
        <v>3.08</v>
      </c>
      <c r="G78" s="60">
        <v>77.73</v>
      </c>
      <c r="H78" s="60">
        <v>24.64</v>
      </c>
      <c r="I78" s="60">
        <v>6.30</v>
      </c>
      <c r="J78" s="60">
        <v>2.5099999999999998</v>
      </c>
      <c r="K78" s="60">
        <v>160.29</v>
      </c>
      <c r="L78" s="60">
        <v>43.66</v>
      </c>
      <c r="M78" s="60">
        <v>55.18</v>
      </c>
      <c r="N78" s="60">
        <v>189.5</v>
      </c>
      <c r="O78" s="60">
        <v>0</v>
      </c>
      <c r="P78" s="60">
        <v>2.4700000000000002</v>
      </c>
      <c r="Q78" s="60">
        <v>8.9700000000000006</v>
      </c>
      <c r="R78" s="198"/>
      <c r="S78" s="198"/>
      <c r="T78" s="198"/>
      <c r="U78" s="198"/>
    </row>
    <row r="79" spans="1:21" s="12" customFormat="1" ht="15">
      <c r="A79" s="201" t="s">
        <v>2525</v>
      </c>
      <c r="B79" s="60">
        <v>0.51</v>
      </c>
      <c r="C79" s="60">
        <v>24.02</v>
      </c>
      <c r="D79" s="60">
        <v>24.53</v>
      </c>
      <c r="E79" s="60">
        <v>5.13</v>
      </c>
      <c r="F79" s="60">
        <v>2.68</v>
      </c>
      <c r="G79" s="60">
        <v>77.73</v>
      </c>
      <c r="H79" s="60">
        <v>24.64</v>
      </c>
      <c r="I79" s="60">
        <v>6.12</v>
      </c>
      <c r="J79" s="60">
        <v>2.4900000000000002</v>
      </c>
      <c r="K79" s="60">
        <v>160.47</v>
      </c>
      <c r="L79" s="60">
        <v>42.98</v>
      </c>
      <c r="M79" s="60">
        <v>57.24</v>
      </c>
      <c r="N79" s="60">
        <v>180.40</v>
      </c>
      <c r="O79" s="60">
        <v>0</v>
      </c>
      <c r="P79" s="60">
        <v>2.46</v>
      </c>
      <c r="Q79" s="60">
        <v>9.1300000000000008</v>
      </c>
      <c r="R79" s="198"/>
      <c r="S79" s="198"/>
      <c r="T79" s="198"/>
      <c r="U79" s="198"/>
    </row>
    <row r="80" spans="1:21" s="12" customFormat="1" ht="15">
      <c r="A80" s="201" t="s">
        <v>2526</v>
      </c>
      <c r="B80" s="60">
        <v>0.46</v>
      </c>
      <c r="C80" s="60">
        <v>23.77</v>
      </c>
      <c r="D80" s="60">
        <v>24.23</v>
      </c>
      <c r="E80" s="60">
        <v>5</v>
      </c>
      <c r="F80" s="60">
        <v>2.76</v>
      </c>
      <c r="G80" s="60">
        <v>78.739999999999995</v>
      </c>
      <c r="H80" s="60">
        <v>27.57</v>
      </c>
      <c r="I80" s="60">
        <v>6.06</v>
      </c>
      <c r="J80" s="60">
        <v>3.44</v>
      </c>
      <c r="K80" s="60">
        <v>158.28</v>
      </c>
      <c r="L80" s="60">
        <v>42.79</v>
      </c>
      <c r="M80" s="60">
        <v>56.38</v>
      </c>
      <c r="N80" s="60">
        <v>180.5</v>
      </c>
      <c r="O80" s="60">
        <v>0</v>
      </c>
      <c r="P80" s="60">
        <v>2.44</v>
      </c>
      <c r="Q80" s="60">
        <v>8.9600000000000009</v>
      </c>
      <c r="R80" s="198"/>
      <c r="S80" s="198"/>
      <c r="T80" s="198"/>
      <c r="U80" s="198"/>
    </row>
    <row r="81" spans="1:21" s="12" customFormat="1" ht="15">
      <c r="A81" s="201" t="s">
        <v>2527</v>
      </c>
      <c r="B81" s="60">
        <v>0.42</v>
      </c>
      <c r="C81" s="60">
        <v>23.71</v>
      </c>
      <c r="D81" s="60">
        <v>24.14</v>
      </c>
      <c r="E81" s="60">
        <v>4.95</v>
      </c>
      <c r="F81" s="60">
        <v>3</v>
      </c>
      <c r="G81" s="60">
        <v>79.55</v>
      </c>
      <c r="H81" s="60">
        <v>29.70</v>
      </c>
      <c r="I81" s="60">
        <v>6.15</v>
      </c>
      <c r="J81" s="60">
        <v>2.90</v>
      </c>
      <c r="K81" s="60">
        <v>166.81</v>
      </c>
      <c r="L81" s="60">
        <v>42</v>
      </c>
      <c r="M81" s="60">
        <v>56.79</v>
      </c>
      <c r="N81" s="60">
        <v>161.5</v>
      </c>
      <c r="O81" s="60">
        <v>0</v>
      </c>
      <c r="P81" s="60">
        <v>2.4500000000000002</v>
      </c>
      <c r="Q81" s="60">
        <v>8.8000000000000007</v>
      </c>
      <c r="R81" s="198"/>
      <c r="S81" s="198"/>
      <c r="T81" s="198"/>
      <c r="U81" s="198"/>
    </row>
    <row r="82" spans="1:21" s="12" customFormat="1" ht="15">
      <c r="A82" s="201" t="s">
        <v>2528</v>
      </c>
      <c r="B82" s="60">
        <v>0.37</v>
      </c>
      <c r="C82" s="60">
        <v>23.28</v>
      </c>
      <c r="D82" s="60">
        <v>23.65</v>
      </c>
      <c r="E82" s="60">
        <v>5.03</v>
      </c>
      <c r="F82" s="60">
        <v>3.06</v>
      </c>
      <c r="G82" s="60">
        <v>79.55</v>
      </c>
      <c r="H82" s="60">
        <v>29.70</v>
      </c>
      <c r="I82" s="60">
        <v>6.29</v>
      </c>
      <c r="J82" s="60">
        <v>2.67</v>
      </c>
      <c r="K82" s="60">
        <v>157.69999999999999</v>
      </c>
      <c r="L82" s="60">
        <v>41.57</v>
      </c>
      <c r="M82" s="60">
        <v>57.55</v>
      </c>
      <c r="N82" s="60">
        <v>150.60</v>
      </c>
      <c r="O82" s="60">
        <v>0</v>
      </c>
      <c r="P82" s="60">
        <v>2.4700000000000002</v>
      </c>
      <c r="Q82" s="60">
        <v>8.7200000000000006</v>
      </c>
      <c r="R82" s="198"/>
      <c r="S82" s="198"/>
      <c r="T82" s="198"/>
      <c r="U82" s="198"/>
    </row>
    <row r="83" spans="1:21" s="12" customFormat="1" ht="15">
      <c r="A83" s="201" t="s">
        <v>2529</v>
      </c>
      <c r="B83" s="60">
        <v>0.39</v>
      </c>
      <c r="C83" s="60">
        <v>23.09</v>
      </c>
      <c r="D83" s="60">
        <v>23.49</v>
      </c>
      <c r="E83" s="60">
        <v>4.9800000000000004</v>
      </c>
      <c r="F83" s="60">
        <v>2.88</v>
      </c>
      <c r="G83" s="60">
        <v>79.55</v>
      </c>
      <c r="H83" s="60">
        <v>29.70</v>
      </c>
      <c r="I83" s="60">
        <v>6.42</v>
      </c>
      <c r="J83" s="60">
        <v>2.69</v>
      </c>
      <c r="K83" s="60">
        <v>162.55000000000001</v>
      </c>
      <c r="L83" s="60">
        <v>41.26</v>
      </c>
      <c r="M83" s="60">
        <v>58.88</v>
      </c>
      <c r="N83" s="60">
        <v>133.90</v>
      </c>
      <c r="O83" s="60">
        <v>0</v>
      </c>
      <c r="P83" s="60">
        <v>2.48</v>
      </c>
      <c r="Q83" s="60">
        <v>8.6199999999999992</v>
      </c>
      <c r="R83" s="198"/>
      <c r="S83" s="198"/>
      <c r="T83" s="198"/>
      <c r="U83" s="198"/>
    </row>
    <row r="84" spans="1:21" s="12" customFormat="1" ht="15">
      <c r="A84" s="201" t="s">
        <v>2530</v>
      </c>
      <c r="B84" s="60">
        <v>0.52</v>
      </c>
      <c r="C84" s="60">
        <v>24.07</v>
      </c>
      <c r="D84" s="60">
        <v>24.58</v>
      </c>
      <c r="E84" s="60">
        <v>5.13</v>
      </c>
      <c r="F84" s="60">
        <v>2.4500000000000002</v>
      </c>
      <c r="G84" s="60">
        <v>86.69</v>
      </c>
      <c r="H84" s="60">
        <v>31.56</v>
      </c>
      <c r="I84" s="60">
        <v>6.60</v>
      </c>
      <c r="J84" s="60">
        <v>1.66</v>
      </c>
      <c r="K84" s="60">
        <v>164.61</v>
      </c>
      <c r="L84" s="60">
        <v>40.78</v>
      </c>
      <c r="M84" s="60">
        <v>61.73</v>
      </c>
      <c r="N84" s="60">
        <v>127.40</v>
      </c>
      <c r="O84" s="60">
        <v>0</v>
      </c>
      <c r="P84" s="60">
        <v>2.5099999999999998</v>
      </c>
      <c r="Q84" s="60">
        <v>8.81</v>
      </c>
      <c r="R84" s="198"/>
      <c r="S84" s="198"/>
      <c r="T84" s="198"/>
      <c r="U84" s="198"/>
    </row>
    <row r="85" spans="1:21" s="12" customFormat="1" ht="15">
      <c r="A85" s="201" t="s">
        <v>2531</v>
      </c>
      <c r="B85" s="60">
        <v>0.65</v>
      </c>
      <c r="C85" s="60">
        <v>25.13</v>
      </c>
      <c r="D85" s="60">
        <v>25.79</v>
      </c>
      <c r="E85" s="60">
        <v>4.9800000000000004</v>
      </c>
      <c r="F85" s="60">
        <v>2.09</v>
      </c>
      <c r="G85" s="60">
        <v>90.25</v>
      </c>
      <c r="H85" s="60">
        <v>32.909999999999997</v>
      </c>
      <c r="I85" s="60">
        <v>6.85</v>
      </c>
      <c r="J85" s="60">
        <v>3.40</v>
      </c>
      <c r="K85" s="60">
        <v>178.75</v>
      </c>
      <c r="L85" s="60">
        <v>39.99</v>
      </c>
      <c r="M85" s="60">
        <v>65.13</v>
      </c>
      <c r="N85" s="60">
        <v>128.19999999999999</v>
      </c>
      <c r="O85" s="60">
        <v>0</v>
      </c>
      <c r="P85" s="60">
        <v>2.5299999999999998</v>
      </c>
      <c r="Q85" s="60">
        <v>9.0500000000000007</v>
      </c>
      <c r="R85" s="198"/>
      <c r="S85" s="198"/>
      <c r="T85" s="198"/>
      <c r="U85" s="198"/>
    </row>
    <row r="86" spans="1:21" s="12" customFormat="1" ht="15">
      <c r="A86" s="201" t="s">
        <v>2532</v>
      </c>
      <c r="B86" s="60">
        <v>0.72</v>
      </c>
      <c r="C86" s="60">
        <v>23.51</v>
      </c>
      <c r="D86" s="60">
        <v>24.23</v>
      </c>
      <c r="E86" s="60">
        <v>4.9000000000000004</v>
      </c>
      <c r="F86" s="60">
        <v>2.48</v>
      </c>
      <c r="G86" s="60">
        <v>90.25</v>
      </c>
      <c r="H86" s="60">
        <v>32.909999999999997</v>
      </c>
      <c r="I86" s="60">
        <v>7.18</v>
      </c>
      <c r="J86" s="60">
        <v>3.30</v>
      </c>
      <c r="K86" s="60">
        <v>181.88</v>
      </c>
      <c r="L86" s="60">
        <v>38.5</v>
      </c>
      <c r="M86" s="60">
        <v>71.19</v>
      </c>
      <c r="N86" s="60">
        <v>131.19999999999999</v>
      </c>
      <c r="O86" s="60">
        <v>0</v>
      </c>
      <c r="P86" s="60">
        <v>2.5</v>
      </c>
      <c r="Q86" s="60">
        <v>8.7200000000000006</v>
      </c>
      <c r="R86" s="198"/>
      <c r="S86" s="198"/>
      <c r="T86" s="198"/>
      <c r="U86" s="198"/>
    </row>
    <row r="87" spans="1:21" s="12" customFormat="1" ht="15">
      <c r="A87" s="201" t="s">
        <v>2533</v>
      </c>
      <c r="B87" s="60">
        <v>0.86</v>
      </c>
      <c r="C87" s="60">
        <v>21.62</v>
      </c>
      <c r="D87" s="60">
        <v>22.48</v>
      </c>
      <c r="E87" s="60">
        <v>5.28</v>
      </c>
      <c r="F87" s="60">
        <v>1.85</v>
      </c>
      <c r="G87" s="60">
        <v>90.25</v>
      </c>
      <c r="H87" s="60">
        <v>32.909999999999997</v>
      </c>
      <c r="I87" s="60">
        <v>7.48</v>
      </c>
      <c r="J87" s="60">
        <v>3.41</v>
      </c>
      <c r="K87" s="60">
        <v>188.80</v>
      </c>
      <c r="L87" s="60">
        <v>38.090000000000003</v>
      </c>
      <c r="M87" s="60">
        <v>71.44</v>
      </c>
      <c r="N87" s="60">
        <v>138.80000000000001</v>
      </c>
      <c r="O87" s="60">
        <v>0</v>
      </c>
      <c r="P87" s="60">
        <v>2.4700000000000002</v>
      </c>
      <c r="Q87" s="60">
        <v>8.15</v>
      </c>
      <c r="R87" s="198"/>
      <c r="S87" s="198"/>
      <c r="T87" s="198"/>
      <c r="U87" s="198"/>
    </row>
    <row r="88" spans="1:21" s="12" customFormat="1" ht="15">
      <c r="A88" s="201" t="s">
        <v>2534</v>
      </c>
      <c r="B88" s="60">
        <v>0.85</v>
      </c>
      <c r="C88" s="60">
        <v>20.47</v>
      </c>
      <c r="D88" s="60">
        <v>21.33</v>
      </c>
      <c r="E88" s="60">
        <v>2.52</v>
      </c>
      <c r="F88" s="60">
        <v>1.65</v>
      </c>
      <c r="G88" s="60">
        <v>87.01</v>
      </c>
      <c r="H88" s="60">
        <v>29.86</v>
      </c>
      <c r="I88" s="60">
        <v>7.19</v>
      </c>
      <c r="J88" s="60">
        <v>2.89</v>
      </c>
      <c r="K88" s="60">
        <v>191.78</v>
      </c>
      <c r="L88" s="60">
        <v>38.21</v>
      </c>
      <c r="M88" s="60">
        <v>71.849999999999994</v>
      </c>
      <c r="N88" s="60">
        <v>132.30000000000001</v>
      </c>
      <c r="O88" s="60">
        <v>0</v>
      </c>
      <c r="P88" s="60">
        <v>2.44</v>
      </c>
      <c r="Q88" s="60">
        <v>7.55</v>
      </c>
      <c r="R88" s="198"/>
      <c r="S88" s="198"/>
      <c r="T88" s="198"/>
      <c r="U88" s="198"/>
    </row>
    <row r="89" spans="1:21" s="12" customFormat="1" ht="15">
      <c r="A89" s="201" t="s">
        <v>2535</v>
      </c>
      <c r="B89" s="60">
        <v>0.91</v>
      </c>
      <c r="C89" s="60">
        <v>19.64</v>
      </c>
      <c r="D89" s="60">
        <v>20.56</v>
      </c>
      <c r="E89" s="60">
        <v>4.78</v>
      </c>
      <c r="F89" s="60">
        <v>1.58</v>
      </c>
      <c r="G89" s="60">
        <v>85.39</v>
      </c>
      <c r="H89" s="60">
        <v>27.74</v>
      </c>
      <c r="I89" s="60">
        <v>6.89</v>
      </c>
      <c r="J89" s="60">
        <v>3.63</v>
      </c>
      <c r="K89" s="60">
        <v>180.38</v>
      </c>
      <c r="L89" s="60">
        <v>37.75</v>
      </c>
      <c r="M89" s="60">
        <v>73.88</v>
      </c>
      <c r="N89" s="60">
        <v>130</v>
      </c>
      <c r="O89" s="60">
        <v>0</v>
      </c>
      <c r="P89" s="60">
        <v>2.40</v>
      </c>
      <c r="Q89" s="60">
        <v>7.07</v>
      </c>
      <c r="R89" s="198"/>
      <c r="S89" s="198"/>
      <c r="T89" s="198"/>
      <c r="U89" s="198"/>
    </row>
    <row r="90" spans="1:21" s="12" customFormat="1" ht="15">
      <c r="A90" s="201" t="s">
        <v>2536</v>
      </c>
      <c r="B90" s="60">
        <v>0.95</v>
      </c>
      <c r="C90" s="60">
        <v>19</v>
      </c>
      <c r="D90" s="60">
        <v>19.940000000000001</v>
      </c>
      <c r="E90" s="60">
        <v>5.5</v>
      </c>
      <c r="F90" s="60">
        <v>1.79</v>
      </c>
      <c r="G90" s="60">
        <v>85.39</v>
      </c>
      <c r="H90" s="60">
        <v>27.74</v>
      </c>
      <c r="I90" s="60">
        <v>6.64</v>
      </c>
      <c r="J90" s="60">
        <v>3.01</v>
      </c>
      <c r="K90" s="60">
        <v>194.86</v>
      </c>
      <c r="L90" s="60">
        <v>37.10</v>
      </c>
      <c r="M90" s="60">
        <v>73.53</v>
      </c>
      <c r="N90" s="60">
        <v>135.19999999999999</v>
      </c>
      <c r="O90" s="60">
        <v>0</v>
      </c>
      <c r="P90" s="60">
        <v>2.38</v>
      </c>
      <c r="Q90" s="60">
        <v>6.83</v>
      </c>
      <c r="R90" s="198"/>
      <c r="S90" s="198"/>
      <c r="T90" s="198"/>
      <c r="U90" s="198"/>
    </row>
    <row r="91" spans="1:21" s="12" customFormat="1" ht="15">
      <c r="A91" s="201" t="s">
        <v>2537</v>
      </c>
      <c r="B91" s="60">
        <v>0.78</v>
      </c>
      <c r="C91" s="60">
        <v>18.55</v>
      </c>
      <c r="D91" s="60">
        <v>19.329999999999998</v>
      </c>
      <c r="E91" s="60">
        <v>5.20</v>
      </c>
      <c r="F91" s="60">
        <v>2.31</v>
      </c>
      <c r="G91" s="60">
        <v>85.39</v>
      </c>
      <c r="H91" s="60">
        <v>27.74</v>
      </c>
      <c r="I91" s="60">
        <v>6.45</v>
      </c>
      <c r="J91" s="60">
        <v>3</v>
      </c>
      <c r="K91" s="60">
        <v>206.34</v>
      </c>
      <c r="L91" s="60">
        <v>36.26</v>
      </c>
      <c r="M91" s="60">
        <v>73.28</v>
      </c>
      <c r="N91" s="60">
        <v>140.5</v>
      </c>
      <c r="O91" s="60">
        <v>0</v>
      </c>
      <c r="P91" s="60">
        <v>2.35</v>
      </c>
      <c r="Q91" s="60">
        <v>6.63</v>
      </c>
      <c r="R91" s="198"/>
      <c r="S91" s="198"/>
      <c r="T91" s="198"/>
      <c r="U91" s="198"/>
    </row>
    <row r="92" spans="1:21" s="12" customFormat="1" ht="15">
      <c r="A92" s="201" t="s">
        <v>2538</v>
      </c>
      <c r="B92" s="60">
        <v>0.52</v>
      </c>
      <c r="C92" s="60">
        <v>18.36</v>
      </c>
      <c r="D92" s="60">
        <v>18.88</v>
      </c>
      <c r="E92" s="60">
        <v>5.39</v>
      </c>
      <c r="F92" s="60">
        <v>3.22</v>
      </c>
      <c r="G92" s="60">
        <v>75.260000000000005</v>
      </c>
      <c r="H92" s="60">
        <v>25.06</v>
      </c>
      <c r="I92" s="60">
        <v>6.17</v>
      </c>
      <c r="J92" s="60">
        <v>1.58</v>
      </c>
      <c r="K92" s="60">
        <v>220.39</v>
      </c>
      <c r="L92" s="60">
        <v>38.92</v>
      </c>
      <c r="M92" s="60">
        <v>77.88</v>
      </c>
      <c r="N92" s="60">
        <v>134.5</v>
      </c>
      <c r="O92" s="60">
        <v>0</v>
      </c>
      <c r="P92" s="60">
        <v>2.3199999999999998</v>
      </c>
      <c r="Q92" s="60">
        <v>6.40</v>
      </c>
      <c r="R92" s="198"/>
      <c r="S92" s="198"/>
      <c r="T92" s="198"/>
      <c r="U92" s="198"/>
    </row>
    <row r="93" spans="1:21" s="12" customFormat="1" ht="15">
      <c r="A93" s="201" t="s">
        <v>2539</v>
      </c>
      <c r="B93" s="60">
        <v>0.43</v>
      </c>
      <c r="C93" s="60">
        <v>18.28</v>
      </c>
      <c r="D93" s="60">
        <v>18.71</v>
      </c>
      <c r="E93" s="60">
        <v>4.76</v>
      </c>
      <c r="F93" s="60">
        <v>3.99</v>
      </c>
      <c r="G93" s="60">
        <v>70.290000000000006</v>
      </c>
      <c r="H93" s="60">
        <v>23.11</v>
      </c>
      <c r="I93" s="60">
        <v>5.84</v>
      </c>
      <c r="J93" s="60">
        <v>1.56</v>
      </c>
      <c r="K93" s="60">
        <v>340.26</v>
      </c>
      <c r="L93" s="60">
        <v>38.60</v>
      </c>
      <c r="M93" s="60">
        <v>77.66</v>
      </c>
      <c r="N93" s="60">
        <v>134.10</v>
      </c>
      <c r="O93" s="60">
        <v>0</v>
      </c>
      <c r="P93" s="60">
        <v>2.31</v>
      </c>
      <c r="Q93" s="60">
        <v>6.24</v>
      </c>
      <c r="R93" s="198"/>
      <c r="S93" s="198"/>
      <c r="T93" s="198"/>
      <c r="U93" s="198"/>
    </row>
    <row r="94" spans="1:21" s="12" customFormat="1" ht="15">
      <c r="A94" s="201" t="s">
        <v>2540</v>
      </c>
      <c r="B94" s="60">
        <v>0.94</v>
      </c>
      <c r="C94" s="60">
        <v>20.51</v>
      </c>
      <c r="D94" s="60">
        <v>21.45</v>
      </c>
      <c r="E94" s="60">
        <v>4.55</v>
      </c>
      <c r="F94" s="60">
        <v>2.94</v>
      </c>
      <c r="G94" s="60">
        <v>70.290000000000006</v>
      </c>
      <c r="H94" s="60">
        <v>23.11</v>
      </c>
      <c r="I94" s="60">
        <v>5.46</v>
      </c>
      <c r="J94" s="60">
        <v>1.77</v>
      </c>
      <c r="K94" s="60">
        <v>344.67</v>
      </c>
      <c r="L94" s="60">
        <v>38.28</v>
      </c>
      <c r="M94" s="60">
        <v>76.91</v>
      </c>
      <c r="N94" s="60">
        <v>129.19999999999999</v>
      </c>
      <c r="O94" s="60">
        <v>0</v>
      </c>
      <c r="P94" s="60">
        <v>2.31</v>
      </c>
      <c r="Q94" s="60">
        <v>6.95</v>
      </c>
      <c r="R94" s="198"/>
      <c r="S94" s="198"/>
      <c r="T94" s="198"/>
      <c r="U94" s="198"/>
    </row>
    <row r="95" spans="1:21" s="12" customFormat="1" ht="15">
      <c r="A95" s="201" t="s">
        <v>2541</v>
      </c>
      <c r="B95" s="60">
        <v>1.18</v>
      </c>
      <c r="C95" s="60">
        <v>22.10</v>
      </c>
      <c r="D95" s="60">
        <v>23.28</v>
      </c>
      <c r="E95" s="60">
        <v>4.3899999999999997</v>
      </c>
      <c r="F95" s="60">
        <v>2.90</v>
      </c>
      <c r="G95" s="60">
        <v>70.290000000000006</v>
      </c>
      <c r="H95" s="60">
        <v>23.11</v>
      </c>
      <c r="I95" s="60">
        <v>5.1100000000000003</v>
      </c>
      <c r="J95" s="60">
        <v>1.62</v>
      </c>
      <c r="K95" s="60">
        <v>340.65</v>
      </c>
      <c r="L95" s="60">
        <v>37.18</v>
      </c>
      <c r="M95" s="60">
        <v>75.599999999999994</v>
      </c>
      <c r="N95" s="60">
        <v>123.5</v>
      </c>
      <c r="O95" s="60">
        <v>0</v>
      </c>
      <c r="P95" s="60">
        <v>2.3199999999999998</v>
      </c>
      <c r="Q95" s="60">
        <v>7.58</v>
      </c>
      <c r="R95" s="198"/>
      <c r="S95" s="198"/>
      <c r="T95" s="198"/>
      <c r="U95" s="198"/>
    </row>
    <row r="96" spans="1:26" s="12" customFormat="1" ht="15">
      <c r="A96" s="201" t="s">
        <v>2542</v>
      </c>
      <c r="B96" s="60">
        <v>1.1399999999999999</v>
      </c>
      <c r="C96" s="60">
        <v>23</v>
      </c>
      <c r="D96" s="60">
        <v>24.14</v>
      </c>
      <c r="E96" s="60">
        <v>4.38</v>
      </c>
      <c r="F96" s="60">
        <v>2.4700000000000002</v>
      </c>
      <c r="G96" s="60">
        <v>58.82</v>
      </c>
      <c r="H96" s="60">
        <v>23.25</v>
      </c>
      <c r="I96" s="60">
        <v>5.0199999999999996</v>
      </c>
      <c r="J96" s="60">
        <v>0.61</v>
      </c>
      <c r="K96" s="60">
        <v>203.96</v>
      </c>
      <c r="L96" s="60">
        <v>35.24</v>
      </c>
      <c r="M96" s="60">
        <v>73.98</v>
      </c>
      <c r="N96" s="60">
        <v>124.90</v>
      </c>
      <c r="O96" s="60">
        <v>0</v>
      </c>
      <c r="P96" s="60">
        <v>2.34</v>
      </c>
      <c r="Q96" s="60">
        <v>8.01</v>
      </c>
      <c r="R96" s="198"/>
      <c r="S96" s="198"/>
      <c r="T96" s="198"/>
      <c r="U96" s="198"/>
      <c r="Z96" s="109"/>
    </row>
    <row r="97" spans="1:21" s="12" customFormat="1" ht="15">
      <c r="A97" s="201" t="s">
        <v>2543</v>
      </c>
      <c r="B97" s="60">
        <v>0.96</v>
      </c>
      <c r="C97" s="60">
        <v>22.72</v>
      </c>
      <c r="D97" s="60">
        <v>23.68</v>
      </c>
      <c r="E97" s="60">
        <v>4.3499999999999996</v>
      </c>
      <c r="F97" s="60">
        <v>2.14</v>
      </c>
      <c r="G97" s="60">
        <v>52.64</v>
      </c>
      <c r="H97" s="60">
        <v>23.35</v>
      </c>
      <c r="I97" s="60">
        <v>4.8899999999999997</v>
      </c>
      <c r="J97" s="60">
        <v>2.86</v>
      </c>
      <c r="K97" s="60">
        <v>103.90</v>
      </c>
      <c r="L97" s="60">
        <v>34.99</v>
      </c>
      <c r="M97" s="60">
        <v>75.98</v>
      </c>
      <c r="N97" s="60">
        <v>131.5</v>
      </c>
      <c r="O97" s="60">
        <v>0.20</v>
      </c>
      <c r="P97" s="60">
        <v>2.3199999999999998</v>
      </c>
      <c r="Q97" s="60">
        <v>7.97</v>
      </c>
      <c r="R97" s="198"/>
      <c r="S97" s="198"/>
      <c r="T97" s="198"/>
      <c r="U97" s="198"/>
    </row>
    <row r="98" spans="1:21" s="12" customFormat="1" ht="15">
      <c r="A98" s="201" t="s">
        <v>2544</v>
      </c>
      <c r="B98" s="60">
        <v>0.75</v>
      </c>
      <c r="C98" s="60">
        <v>21.56</v>
      </c>
      <c r="D98" s="60">
        <v>22.31</v>
      </c>
      <c r="E98" s="60">
        <v>4.55</v>
      </c>
      <c r="F98" s="60">
        <v>2.13</v>
      </c>
      <c r="G98" s="60">
        <v>52.64</v>
      </c>
      <c r="H98" s="60">
        <v>23.35</v>
      </c>
      <c r="I98" s="60">
        <v>4.82</v>
      </c>
      <c r="J98" s="60">
        <v>2.29</v>
      </c>
      <c r="K98" s="60">
        <v>167.06</v>
      </c>
      <c r="L98" s="60">
        <v>33.90</v>
      </c>
      <c r="M98" s="60">
        <v>87.19</v>
      </c>
      <c r="N98" s="60">
        <v>132.40</v>
      </c>
      <c r="O98" s="60">
        <v>1.80</v>
      </c>
      <c r="P98" s="60">
        <v>2.31</v>
      </c>
      <c r="Q98" s="60">
        <v>7.77</v>
      </c>
      <c r="R98" s="198"/>
      <c r="S98" s="198"/>
      <c r="T98" s="198"/>
      <c r="U98" s="198"/>
    </row>
    <row r="99" spans="1:21" s="12" customFormat="1" ht="15">
      <c r="A99" s="201" t="s">
        <v>2545</v>
      </c>
      <c r="B99" s="60">
        <v>0.65</v>
      </c>
      <c r="C99" s="60">
        <v>20.43</v>
      </c>
      <c r="D99" s="60">
        <v>21.09</v>
      </c>
      <c r="E99" s="60">
        <v>4.51</v>
      </c>
      <c r="F99" s="60">
        <v>1.81</v>
      </c>
      <c r="G99" s="60">
        <v>52.64</v>
      </c>
      <c r="H99" s="60">
        <v>23.35</v>
      </c>
      <c r="I99" s="60">
        <v>4.79</v>
      </c>
      <c r="J99" s="60">
        <v>1.43</v>
      </c>
      <c r="K99" s="60">
        <v>234.33</v>
      </c>
      <c r="L99" s="60">
        <v>33</v>
      </c>
      <c r="M99" s="60">
        <v>93.77</v>
      </c>
      <c r="N99" s="60">
        <v>133.10</v>
      </c>
      <c r="O99" s="60">
        <v>0.40</v>
      </c>
      <c r="P99" s="60">
        <v>2.2999999999999998</v>
      </c>
      <c r="Q99" s="60">
        <v>7.55</v>
      </c>
      <c r="R99" s="198"/>
      <c r="S99" s="198"/>
      <c r="T99" s="198"/>
      <c r="U99" s="198"/>
    </row>
    <row r="100" spans="1:33" s="12" customFormat="1" ht="15">
      <c r="A100" s="201" t="s">
        <v>2546</v>
      </c>
      <c r="B100" s="60">
        <v>0.69</v>
      </c>
      <c r="C100" s="60">
        <v>20.010000000000002</v>
      </c>
      <c r="D100" s="60">
        <v>20.71</v>
      </c>
      <c r="E100" s="60">
        <v>4.33</v>
      </c>
      <c r="F100" s="60">
        <v>1.62</v>
      </c>
      <c r="G100" s="60">
        <v>49.86</v>
      </c>
      <c r="H100" s="60">
        <v>23.99</v>
      </c>
      <c r="I100" s="60">
        <v>4.78</v>
      </c>
      <c r="J100" s="60">
        <v>0.73</v>
      </c>
      <c r="K100" s="60">
        <v>40.56</v>
      </c>
      <c r="L100" s="60">
        <v>32.96</v>
      </c>
      <c r="M100" s="60">
        <v>94.62</v>
      </c>
      <c r="N100" s="60">
        <v>121.70</v>
      </c>
      <c r="O100" s="60">
        <v>0.20</v>
      </c>
      <c r="P100" s="60">
        <v>2.2999999999999998</v>
      </c>
      <c r="Q100" s="60">
        <v>7.45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2547</v>
      </c>
      <c r="B101" s="60">
        <v>0.82</v>
      </c>
      <c r="C101" s="60">
        <v>19.899999999999999</v>
      </c>
      <c r="D101" s="60">
        <v>20.73</v>
      </c>
      <c r="E101" s="60">
        <v>4.74</v>
      </c>
      <c r="F101" s="60">
        <v>2.0299999999999998</v>
      </c>
      <c r="G101" s="60">
        <v>48.63</v>
      </c>
      <c r="H101" s="60">
        <v>24.43</v>
      </c>
      <c r="I101" s="60">
        <v>4.70</v>
      </c>
      <c r="J101" s="60">
        <v>0.55000000000000004</v>
      </c>
      <c r="K101" s="60">
        <v>350.95</v>
      </c>
      <c r="L101" s="60">
        <v>32.83</v>
      </c>
      <c r="M101" s="60">
        <v>95.33</v>
      </c>
      <c r="N101" s="60">
        <v>130.30000000000001</v>
      </c>
      <c r="O101" s="60">
        <v>0</v>
      </c>
      <c r="P101" s="60">
        <v>2.29</v>
      </c>
      <c r="Q101" s="60">
        <v>7.36</v>
      </c>
      <c r="R101" s="198"/>
      <c r="S101" s="198"/>
      <c r="T101" s="198"/>
      <c r="U101" s="198"/>
    </row>
    <row r="102" spans="1:21" s="12" customFormat="1" ht="15">
      <c r="A102" s="201" t="s">
        <v>2548</v>
      </c>
      <c r="B102" s="60">
        <v>0.68</v>
      </c>
      <c r="C102" s="60">
        <v>18.88</v>
      </c>
      <c r="D102" s="60">
        <v>19.559999999999999</v>
      </c>
      <c r="E102" s="60">
        <v>4.42</v>
      </c>
      <c r="F102" s="60">
        <v>2.48</v>
      </c>
      <c r="G102" s="60">
        <v>48.63</v>
      </c>
      <c r="H102" s="60">
        <v>24.43</v>
      </c>
      <c r="I102" s="60">
        <v>4.6100000000000003</v>
      </c>
      <c r="J102" s="60">
        <v>1.59</v>
      </c>
      <c r="K102" s="60">
        <v>347.11</v>
      </c>
      <c r="L102" s="60">
        <v>32.369999999999997</v>
      </c>
      <c r="M102" s="60">
        <v>95.30</v>
      </c>
      <c r="N102" s="60">
        <v>130.69999999999999</v>
      </c>
      <c r="O102" s="60">
        <v>0</v>
      </c>
      <c r="P102" s="60">
        <v>2.2599999999999998</v>
      </c>
      <c r="Q102" s="60">
        <v>7.12</v>
      </c>
      <c r="R102" s="198"/>
      <c r="S102" s="198"/>
      <c r="T102" s="198"/>
      <c r="U102" s="198"/>
    </row>
    <row r="103" spans="1:21" s="12" customFormat="1" ht="15">
      <c r="A103" s="201" t="s">
        <v>2549</v>
      </c>
      <c r="B103" s="60">
        <v>0.66</v>
      </c>
      <c r="C103" s="60">
        <v>18.27</v>
      </c>
      <c r="D103" s="60">
        <v>18.93</v>
      </c>
      <c r="E103" s="60">
        <v>3.91</v>
      </c>
      <c r="F103" s="60">
        <v>2.11</v>
      </c>
      <c r="G103" s="60">
        <v>48.63</v>
      </c>
      <c r="H103" s="60">
        <v>24.43</v>
      </c>
      <c r="I103" s="60">
        <v>4.47</v>
      </c>
      <c r="J103" s="60">
        <v>0.90</v>
      </c>
      <c r="K103" s="60">
        <v>239.20</v>
      </c>
      <c r="L103" s="60">
        <v>32.17</v>
      </c>
      <c r="M103" s="60">
        <v>95.10</v>
      </c>
      <c r="N103" s="60">
        <v>121</v>
      </c>
      <c r="O103" s="60">
        <v>0</v>
      </c>
      <c r="P103" s="60">
        <v>2.27</v>
      </c>
      <c r="Q103" s="60">
        <v>7.01</v>
      </c>
      <c r="R103" s="198"/>
      <c r="S103" s="198"/>
      <c r="T103" s="198"/>
      <c r="U103" s="198"/>
    </row>
    <row r="104" spans="1:21" s="12" customFormat="1" ht="15">
      <c r="A104" s="201" t="s">
        <v>2550</v>
      </c>
      <c r="B104" s="60">
        <v>0.65</v>
      </c>
      <c r="C104" s="60">
        <v>17.989999999999998</v>
      </c>
      <c r="D104" s="60">
        <v>18.64</v>
      </c>
      <c r="E104" s="60">
        <v>2.79</v>
      </c>
      <c r="F104" s="60">
        <v>1.41</v>
      </c>
      <c r="G104" s="60">
        <v>39.33</v>
      </c>
      <c r="H104" s="60">
        <v>24.18</v>
      </c>
      <c r="I104" s="60">
        <v>4.30</v>
      </c>
      <c r="J104" s="60">
        <v>0.71</v>
      </c>
      <c r="K104" s="60">
        <v>195.73</v>
      </c>
      <c r="L104" s="60">
        <v>32.19</v>
      </c>
      <c r="M104" s="60">
        <v>95.79</v>
      </c>
      <c r="N104" s="60">
        <v>130.19999999999999</v>
      </c>
      <c r="O104" s="60">
        <v>0</v>
      </c>
      <c r="P104" s="60">
        <v>2.2799999999999998</v>
      </c>
      <c r="Q104" s="60">
        <v>6.90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0.37</v>
      </c>
      <c r="C106" s="67">
        <f>MIN(C9:C104)</f>
        <v>13.25</v>
      </c>
      <c r="D106" s="67">
        <f t="shared" si="0" ref="D106:Q106">MIN(D9:D104)</f>
        <v>15.460000000000001</v>
      </c>
      <c r="E106" s="67">
        <f t="shared" si="0"/>
        <v>2.5</v>
      </c>
      <c r="F106" s="67">
        <f t="shared" si="0"/>
        <v>0.089999999999999997</v>
      </c>
      <c r="G106" s="67">
        <f t="shared" si="0"/>
        <v>33.350000000000001</v>
      </c>
      <c r="H106" s="67">
        <f t="shared" si="0"/>
        <v>15.76</v>
      </c>
      <c r="I106" s="67">
        <f t="shared" si="0"/>
        <v>3.79</v>
      </c>
      <c r="J106" s="67">
        <f t="shared" si="0"/>
        <v>0.10000000000000001</v>
      </c>
      <c r="K106" s="67">
        <f t="shared" si="0"/>
        <v>40.5</v>
      </c>
      <c r="L106" s="67">
        <f t="shared" si="0"/>
        <v>32.170000000000002</v>
      </c>
      <c r="M106" s="67">
        <f t="shared" si="0"/>
        <v>48.170000000000002</v>
      </c>
      <c r="N106" s="67">
        <f t="shared" si="0"/>
        <v>121</v>
      </c>
      <c r="O106" s="67">
        <f t="shared" si="0"/>
        <v>0</v>
      </c>
      <c r="P106" s="67">
        <f t="shared" si="0"/>
        <v>2.1000000000000001</v>
      </c>
      <c r="Q106" s="67">
        <f t="shared" si="0"/>
        <v>6.2400000000000002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8.3599999999999994</v>
      </c>
      <c r="C107" s="66">
        <f t="shared" si="1" ref="C107:Q107">MAX(C9:C104)</f>
        <v>26.23</v>
      </c>
      <c r="D107" s="66">
        <f t="shared" si="1"/>
        <v>30.030000000000001</v>
      </c>
      <c r="E107" s="66">
        <f t="shared" si="1"/>
        <v>7.9000000000000004</v>
      </c>
      <c r="F107" s="66">
        <f t="shared" si="1"/>
        <v>4.46</v>
      </c>
      <c r="G107" s="66">
        <f t="shared" si="1"/>
        <v>90.25</v>
      </c>
      <c r="H107" s="66">
        <f t="shared" si="1"/>
        <v>32.909999999999997</v>
      </c>
      <c r="I107" s="66">
        <f t="shared" si="1"/>
        <v>9.3699999999999992</v>
      </c>
      <c r="J107" s="66">
        <f t="shared" si="1"/>
        <v>3.6299999999999999</v>
      </c>
      <c r="K107" s="66">
        <f t="shared" si="1"/>
        <v>350.94999999999999</v>
      </c>
      <c r="L107" s="66">
        <f t="shared" si="1"/>
        <v>49.939999999999998</v>
      </c>
      <c r="M107" s="66">
        <f t="shared" si="1"/>
        <v>96.379999999999995</v>
      </c>
      <c r="N107" s="66">
        <f t="shared" si="1"/>
        <v>1534.0999999999999</v>
      </c>
      <c r="O107" s="66">
        <f t="shared" si="1"/>
        <v>1.8</v>
      </c>
      <c r="P107" s="66">
        <f t="shared" si="1"/>
        <v>2.6699999999999999</v>
      </c>
      <c r="Q107" s="66">
        <f t="shared" si="1"/>
        <v>11.66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2.2887500000000016</v>
      </c>
      <c r="C108" s="67">
        <f t="shared" si="2" ref="C108:Q108">AVERAGE(C9:C104)</f>
        <v>20.227708333333336</v>
      </c>
      <c r="D108" s="67">
        <f t="shared" si="2"/>
        <v>22.517812499999994</v>
      </c>
      <c r="E108" s="67">
        <f t="shared" si="2"/>
        <v>5.462187499999998</v>
      </c>
      <c r="F108" s="67">
        <f t="shared" si="2"/>
        <v>1.7297916666666673</v>
      </c>
      <c r="G108" s="67">
        <f t="shared" si="2"/>
        <v>57.151354166666692</v>
      </c>
      <c r="H108" s="67">
        <f t="shared" si="2"/>
        <v>24.33239583333334</v>
      </c>
      <c r="I108" s="67">
        <f t="shared" si="2"/>
        <v>5.8767708333333353</v>
      </c>
      <c r="J108" s="67">
        <f t="shared" si="2"/>
        <v>1.5837500000000004</v>
      </c>
      <c r="K108" s="67">
        <f t="shared" si="2"/>
        <v>240.43656250000006</v>
      </c>
      <c r="L108" s="67">
        <f t="shared" si="2"/>
        <v>37.957708333333336</v>
      </c>
      <c r="M108" s="67">
        <f t="shared" si="2"/>
        <v>76.549375000000012</v>
      </c>
      <c r="N108" s="67">
        <f t="shared" si="2"/>
        <v>424.60937499999994</v>
      </c>
      <c r="O108" s="67">
        <f t="shared" si="2"/>
        <v>0.05000000000000001</v>
      </c>
      <c r="P108" s="67">
        <f t="shared" si="2"/>
        <v>2.363541666666666</v>
      </c>
      <c r="Q108" s="67">
        <f t="shared" si="2"/>
        <v>8.6278125000000028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2.2475564509039572</v>
      </c>
      <c r="C109" s="67">
        <f t="shared" si="3" ref="C109:Q109">STDEV(C9:C104)</f>
        <v>4.3435368753723456</v>
      </c>
      <c r="D109" s="67">
        <f t="shared" si="3"/>
        <v>4.4009487501351634</v>
      </c>
      <c r="E109" s="67">
        <f t="shared" si="3"/>
        <v>0.9907628141726863</v>
      </c>
      <c r="F109" s="67">
        <f t="shared" si="3"/>
        <v>1.1958674272296113</v>
      </c>
      <c r="G109" s="67">
        <f t="shared" si="3"/>
        <v>16.867593508811634</v>
      </c>
      <c r="H109" s="67">
        <f t="shared" si="3"/>
        <v>4.2424160804382085</v>
      </c>
      <c r="I109" s="67">
        <f t="shared" si="3"/>
        <v>1.66163742627671</v>
      </c>
      <c r="J109" s="67">
        <f t="shared" si="3"/>
        <v>0.86526570303121431</v>
      </c>
      <c r="K109" s="67">
        <f t="shared" si="3"/>
        <v>69.381995508134423</v>
      </c>
      <c r="L109" s="67">
        <f t="shared" si="3"/>
        <v>5.2002668917675354</v>
      </c>
      <c r="M109" s="67">
        <f t="shared" si="3"/>
        <v>16.367290796778576</v>
      </c>
      <c r="N109" s="67">
        <f t="shared" si="3"/>
        <v>320.47133317173387</v>
      </c>
      <c r="O109" s="67">
        <f t="shared" si="3"/>
        <v>0.21521103473958814</v>
      </c>
      <c r="P109" s="67">
        <f t="shared" si="3"/>
        <v>0.1772597212339278</v>
      </c>
      <c r="Q109" s="67">
        <f t="shared" si="3"/>
        <v>1.2976531067763406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e5216b-2e56-4ae8-a794-6ec877be201c}">
  <sheetPr codeName=""/>
  <dimension ref="A1:AG117"/>
  <sheetViews>
    <sheetView workbookViewId="0" topLeftCell="A1">
      <pane xSplit="1" ySplit="8" topLeftCell="B105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70" sqref="L70:L72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5.2857142857143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25-06-2022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2551</v>
      </c>
      <c r="B9" s="60">
        <v>0.82</v>
      </c>
      <c r="C9" s="60">
        <v>17.28</v>
      </c>
      <c r="D9" s="60">
        <v>18.100000000000001</v>
      </c>
      <c r="E9" s="60">
        <v>5.42</v>
      </c>
      <c r="F9" s="60">
        <v>1.20</v>
      </c>
      <c r="G9" s="60">
        <v>34.520000000000003</v>
      </c>
      <c r="H9" s="60">
        <v>24</v>
      </c>
      <c r="I9" s="60">
        <v>4.37</v>
      </c>
      <c r="J9" s="60">
        <v>0.14000000000000001</v>
      </c>
      <c r="K9" s="60">
        <v>263.48</v>
      </c>
      <c r="L9" s="60">
        <v>32.18</v>
      </c>
      <c r="M9" s="60">
        <v>95.91</v>
      </c>
      <c r="N9" s="60">
        <v>139.10</v>
      </c>
      <c r="O9" s="60">
        <v>0</v>
      </c>
      <c r="P9" s="60">
        <v>2.29</v>
      </c>
      <c r="Q9" s="60">
        <v>6.48</v>
      </c>
      <c r="R9" s="198"/>
      <c r="S9" s="198"/>
      <c r="T9" s="198"/>
      <c r="U9" s="198"/>
    </row>
    <row r="10" spans="1:21" s="12" customFormat="1" ht="15">
      <c r="A10" s="201" t="s">
        <v>2552</v>
      </c>
      <c r="B10" s="60">
        <v>0.97</v>
      </c>
      <c r="C10" s="60">
        <v>16.97</v>
      </c>
      <c r="D10" s="60">
        <v>17.95</v>
      </c>
      <c r="E10" s="60">
        <v>5.55</v>
      </c>
      <c r="F10" s="60">
        <v>1.1499999999999999</v>
      </c>
      <c r="G10" s="60">
        <v>34.520000000000003</v>
      </c>
      <c r="H10" s="60">
        <v>24</v>
      </c>
      <c r="I10" s="60">
        <v>4.7699999999999996</v>
      </c>
      <c r="J10" s="60">
        <v>0.32</v>
      </c>
      <c r="K10" s="60">
        <v>219.70</v>
      </c>
      <c r="L10" s="60">
        <v>32.270000000000003</v>
      </c>
      <c r="M10" s="60">
        <v>95.87</v>
      </c>
      <c r="N10" s="60">
        <v>143.19999999999999</v>
      </c>
      <c r="O10" s="60">
        <v>0</v>
      </c>
      <c r="P10" s="60">
        <v>2.2999999999999998</v>
      </c>
      <c r="Q10" s="60">
        <v>6.14</v>
      </c>
      <c r="R10" s="198"/>
      <c r="S10" s="198"/>
      <c r="T10" s="198"/>
      <c r="U10" s="198"/>
    </row>
    <row r="11" spans="1:21" s="12" customFormat="1" ht="15">
      <c r="A11" s="201" t="s">
        <v>2553</v>
      </c>
      <c r="B11" s="60">
        <v>1.0900000000000001</v>
      </c>
      <c r="C11" s="60">
        <v>16.920000000000002</v>
      </c>
      <c r="D11" s="60">
        <v>18</v>
      </c>
      <c r="E11" s="60">
        <v>5.62</v>
      </c>
      <c r="F11" s="60">
        <v>1.01</v>
      </c>
      <c r="G11" s="60">
        <v>34.520000000000003</v>
      </c>
      <c r="H11" s="60">
        <v>24</v>
      </c>
      <c r="I11" s="60">
        <v>5.07</v>
      </c>
      <c r="J11" s="60">
        <v>0.45</v>
      </c>
      <c r="K11" s="60">
        <v>232.08</v>
      </c>
      <c r="L11" s="60">
        <v>32.29</v>
      </c>
      <c r="M11" s="60">
        <v>95.49</v>
      </c>
      <c r="N11" s="60">
        <v>152.90</v>
      </c>
      <c r="O11" s="60">
        <v>0</v>
      </c>
      <c r="P11" s="60">
        <v>2.34</v>
      </c>
      <c r="Q11" s="60">
        <v>6.05</v>
      </c>
      <c r="R11" s="198"/>
      <c r="S11" s="198"/>
      <c r="T11" s="198"/>
      <c r="U11" s="198"/>
    </row>
    <row r="12" spans="1:21" s="12" customFormat="1" ht="15">
      <c r="A12" s="201" t="s">
        <v>2554</v>
      </c>
      <c r="B12" s="60">
        <v>1.17</v>
      </c>
      <c r="C12" s="60">
        <v>16.70</v>
      </c>
      <c r="D12" s="60">
        <v>17.88</v>
      </c>
      <c r="E12" s="60">
        <v>5.66</v>
      </c>
      <c r="F12" s="60">
        <v>1.1200000000000001</v>
      </c>
      <c r="G12" s="60">
        <v>35.130000000000003</v>
      </c>
      <c r="H12" s="60">
        <v>22.45</v>
      </c>
      <c r="I12" s="60">
        <v>5.43</v>
      </c>
      <c r="J12" s="60">
        <v>0.73</v>
      </c>
      <c r="K12" s="60">
        <v>212.37</v>
      </c>
      <c r="L12" s="60">
        <v>32.31</v>
      </c>
      <c r="M12" s="60">
        <v>95.43</v>
      </c>
      <c r="N12" s="60">
        <v>151.69999999999999</v>
      </c>
      <c r="O12" s="60">
        <v>0</v>
      </c>
      <c r="P12" s="60">
        <v>2.34</v>
      </c>
      <c r="Q12" s="60">
        <v>6.02</v>
      </c>
      <c r="R12" s="198"/>
      <c r="S12" s="198"/>
      <c r="T12" s="198"/>
      <c r="U12" s="198"/>
    </row>
    <row r="13" spans="1:21" s="12" customFormat="1" ht="15">
      <c r="A13" s="201" t="s">
        <v>2555</v>
      </c>
      <c r="B13" s="60">
        <v>1.17</v>
      </c>
      <c r="C13" s="60">
        <v>16.09</v>
      </c>
      <c r="D13" s="60">
        <v>17.260000000000002</v>
      </c>
      <c r="E13" s="60">
        <v>6.14</v>
      </c>
      <c r="F13" s="60">
        <v>0.91</v>
      </c>
      <c r="G13" s="60">
        <v>35.31</v>
      </c>
      <c r="H13" s="60">
        <v>21.32</v>
      </c>
      <c r="I13" s="60">
        <v>5.89</v>
      </c>
      <c r="J13" s="60">
        <v>0.93</v>
      </c>
      <c r="K13" s="60">
        <v>211.63</v>
      </c>
      <c r="L13" s="60">
        <v>32.28</v>
      </c>
      <c r="M13" s="60">
        <v>95.58</v>
      </c>
      <c r="N13" s="60">
        <v>140</v>
      </c>
      <c r="O13" s="60">
        <v>0</v>
      </c>
      <c r="P13" s="60">
        <v>2.34</v>
      </c>
      <c r="Q13" s="60">
        <v>5.81</v>
      </c>
      <c r="R13" s="198"/>
      <c r="S13" s="198"/>
      <c r="T13" s="198"/>
      <c r="U13" s="198"/>
    </row>
    <row r="14" spans="1:21" s="12" customFormat="1" ht="15">
      <c r="A14" s="201" t="s">
        <v>2556</v>
      </c>
      <c r="B14" s="60">
        <v>1.22</v>
      </c>
      <c r="C14" s="60">
        <v>15.57</v>
      </c>
      <c r="D14" s="60">
        <v>16.79</v>
      </c>
      <c r="E14" s="60">
        <v>6.34</v>
      </c>
      <c r="F14" s="60">
        <v>0.84</v>
      </c>
      <c r="G14" s="60">
        <v>35.31</v>
      </c>
      <c r="H14" s="60">
        <v>21.32</v>
      </c>
      <c r="I14" s="60">
        <v>5.99</v>
      </c>
      <c r="J14" s="60">
        <v>1.1000000000000001</v>
      </c>
      <c r="K14" s="60">
        <v>353.83</v>
      </c>
      <c r="L14" s="60">
        <v>32.119999999999997</v>
      </c>
      <c r="M14" s="60">
        <v>95.91</v>
      </c>
      <c r="N14" s="60">
        <v>134.30000000000001</v>
      </c>
      <c r="O14" s="60">
        <v>0</v>
      </c>
      <c r="P14" s="60">
        <v>2.3199999999999998</v>
      </c>
      <c r="Q14" s="60">
        <v>5.76</v>
      </c>
      <c r="R14" s="198"/>
      <c r="S14" s="198"/>
      <c r="T14" s="198"/>
      <c r="U14" s="198"/>
    </row>
    <row r="15" spans="1:21" s="12" customFormat="1" ht="15">
      <c r="A15" s="201" t="s">
        <v>2557</v>
      </c>
      <c r="B15" s="60">
        <v>1.23</v>
      </c>
      <c r="C15" s="60">
        <v>15.38</v>
      </c>
      <c r="D15" s="60">
        <v>16.61</v>
      </c>
      <c r="E15" s="60">
        <v>6.08</v>
      </c>
      <c r="F15" s="60">
        <v>0.67</v>
      </c>
      <c r="G15" s="60">
        <v>35.31</v>
      </c>
      <c r="H15" s="60">
        <v>21.32</v>
      </c>
      <c r="I15" s="60">
        <v>6</v>
      </c>
      <c r="J15" s="60">
        <v>0.63</v>
      </c>
      <c r="K15" s="60">
        <v>218.96</v>
      </c>
      <c r="L15" s="60">
        <v>32.090000000000003</v>
      </c>
      <c r="M15" s="60">
        <v>94.19</v>
      </c>
      <c r="N15" s="60">
        <v>142</v>
      </c>
      <c r="O15" s="60">
        <v>0</v>
      </c>
      <c r="P15" s="60">
        <v>2.34</v>
      </c>
      <c r="Q15" s="60">
        <v>5.79</v>
      </c>
      <c r="R15" s="198"/>
      <c r="S15" s="198"/>
      <c r="T15" s="198"/>
      <c r="U15" s="198"/>
    </row>
    <row r="16" spans="1:21" s="12" customFormat="1" ht="15">
      <c r="A16" s="201" t="s">
        <v>2558</v>
      </c>
      <c r="B16" s="60">
        <v>1.0900000000000001</v>
      </c>
      <c r="C16" s="60">
        <v>15.76</v>
      </c>
      <c r="D16" s="60">
        <v>16.850000000000001</v>
      </c>
      <c r="E16" s="60">
        <v>6.32</v>
      </c>
      <c r="F16" s="60">
        <v>0.98</v>
      </c>
      <c r="G16" s="60">
        <v>33.33</v>
      </c>
      <c r="H16" s="60">
        <v>22.49</v>
      </c>
      <c r="I16" s="60">
        <v>5.95</v>
      </c>
      <c r="J16" s="60">
        <v>0.67</v>
      </c>
      <c r="K16" s="60">
        <v>212.16</v>
      </c>
      <c r="L16" s="60">
        <v>32.049999999999997</v>
      </c>
      <c r="M16" s="60">
        <v>94.32</v>
      </c>
      <c r="N16" s="60">
        <v>122.60</v>
      </c>
      <c r="O16" s="60">
        <v>0.20</v>
      </c>
      <c r="P16" s="60">
        <v>2.36</v>
      </c>
      <c r="Q16" s="60">
        <v>6.07</v>
      </c>
      <c r="R16" s="198"/>
      <c r="S16" s="198"/>
      <c r="T16" s="198"/>
      <c r="U16" s="198"/>
    </row>
    <row r="17" spans="1:21" s="12" customFormat="1" ht="15">
      <c r="A17" s="201" t="s">
        <v>2559</v>
      </c>
      <c r="B17" s="60">
        <v>0.89</v>
      </c>
      <c r="C17" s="60">
        <v>16</v>
      </c>
      <c r="D17" s="60">
        <v>16.89</v>
      </c>
      <c r="E17" s="60">
        <v>5.95</v>
      </c>
      <c r="F17" s="60">
        <v>1.18</v>
      </c>
      <c r="G17" s="60">
        <v>32.71</v>
      </c>
      <c r="H17" s="60">
        <v>23.35</v>
      </c>
      <c r="I17" s="60">
        <v>6.47</v>
      </c>
      <c r="J17" s="60">
        <v>1.25</v>
      </c>
      <c r="K17" s="60">
        <v>206.07</v>
      </c>
      <c r="L17" s="60">
        <v>32</v>
      </c>
      <c r="M17" s="60">
        <v>94.79</v>
      </c>
      <c r="N17" s="60">
        <v>115.90</v>
      </c>
      <c r="O17" s="60">
        <v>0</v>
      </c>
      <c r="P17" s="60">
        <v>2.37</v>
      </c>
      <c r="Q17" s="60">
        <v>6.31</v>
      </c>
      <c r="R17" s="198"/>
      <c r="S17" s="198"/>
      <c r="T17" s="198"/>
      <c r="U17" s="198"/>
    </row>
    <row r="18" spans="1:21" s="12" customFormat="1" ht="15">
      <c r="A18" s="201" t="s">
        <v>2560</v>
      </c>
      <c r="B18" s="60">
        <v>0.77</v>
      </c>
      <c r="C18" s="60">
        <v>15.45</v>
      </c>
      <c r="D18" s="60">
        <v>16.22</v>
      </c>
      <c r="E18" s="60">
        <v>6.15</v>
      </c>
      <c r="F18" s="60">
        <v>1.36</v>
      </c>
      <c r="G18" s="60">
        <v>32.71</v>
      </c>
      <c r="H18" s="60">
        <v>23.35</v>
      </c>
      <c r="I18" s="60">
        <v>7.08</v>
      </c>
      <c r="J18" s="60">
        <v>1.99</v>
      </c>
      <c r="K18" s="60">
        <v>193.83</v>
      </c>
      <c r="L18" s="60">
        <v>31.89</v>
      </c>
      <c r="M18" s="60">
        <v>95.32</v>
      </c>
      <c r="N18" s="60">
        <v>118.30</v>
      </c>
      <c r="O18" s="60">
        <v>0</v>
      </c>
      <c r="P18" s="60">
        <v>2.36</v>
      </c>
      <c r="Q18" s="60">
        <v>6.45</v>
      </c>
      <c r="R18" s="198"/>
      <c r="S18" s="198"/>
      <c r="T18" s="198"/>
      <c r="U18" s="198"/>
    </row>
    <row r="19" spans="1:21" s="12" customFormat="1" ht="15">
      <c r="A19" s="201" t="s">
        <v>2561</v>
      </c>
      <c r="B19" s="60">
        <v>0.70</v>
      </c>
      <c r="C19" s="60">
        <v>15.12</v>
      </c>
      <c r="D19" s="60">
        <v>15.83</v>
      </c>
      <c r="E19" s="60">
        <v>6.11</v>
      </c>
      <c r="F19" s="60">
        <v>1.1499999999999999</v>
      </c>
      <c r="G19" s="60">
        <v>32.71</v>
      </c>
      <c r="H19" s="60">
        <v>23.35</v>
      </c>
      <c r="I19" s="60">
        <v>7.02</v>
      </c>
      <c r="J19" s="60">
        <v>2.10</v>
      </c>
      <c r="K19" s="60">
        <v>182.08</v>
      </c>
      <c r="L19" s="60">
        <v>31.80</v>
      </c>
      <c r="M19" s="60">
        <v>96.03</v>
      </c>
      <c r="N19" s="60">
        <v>126.60</v>
      </c>
      <c r="O19" s="60">
        <v>0</v>
      </c>
      <c r="P19" s="60">
        <v>2.36</v>
      </c>
      <c r="Q19" s="60">
        <v>6.51</v>
      </c>
      <c r="R19" s="198"/>
      <c r="S19" s="198"/>
      <c r="T19" s="198"/>
      <c r="U19" s="198"/>
    </row>
    <row r="20" spans="1:21" s="12" customFormat="1" ht="15">
      <c r="A20" s="201" t="s">
        <v>2562</v>
      </c>
      <c r="B20" s="60">
        <v>0.70</v>
      </c>
      <c r="C20" s="60">
        <v>14.89</v>
      </c>
      <c r="D20" s="60">
        <v>15.59</v>
      </c>
      <c r="E20" s="60">
        <v>5.78</v>
      </c>
      <c r="F20" s="60">
        <v>1.38</v>
      </c>
      <c r="G20" s="60">
        <v>33.159999999999997</v>
      </c>
      <c r="H20" s="60">
        <v>22.06</v>
      </c>
      <c r="I20" s="60">
        <v>6.82</v>
      </c>
      <c r="J20" s="60">
        <v>2.02</v>
      </c>
      <c r="K20" s="60">
        <v>173.33</v>
      </c>
      <c r="L20" s="60">
        <v>31.76</v>
      </c>
      <c r="M20" s="60">
        <v>95.69</v>
      </c>
      <c r="N20" s="60">
        <v>116.80</v>
      </c>
      <c r="O20" s="60">
        <v>0</v>
      </c>
      <c r="P20" s="60">
        <v>2.35</v>
      </c>
      <c r="Q20" s="60">
        <v>6.45</v>
      </c>
      <c r="R20" s="198"/>
      <c r="S20" s="198"/>
      <c r="T20" s="198"/>
      <c r="U20" s="198"/>
    </row>
    <row r="21" spans="1:21" s="12" customFormat="1" ht="15">
      <c r="A21" s="201" t="s">
        <v>2563</v>
      </c>
      <c r="B21" s="60">
        <v>0.70</v>
      </c>
      <c r="C21" s="60">
        <v>14.34</v>
      </c>
      <c r="D21" s="60">
        <v>15.03</v>
      </c>
      <c r="E21" s="60">
        <v>6.25</v>
      </c>
      <c r="F21" s="60">
        <v>1.51</v>
      </c>
      <c r="G21" s="60">
        <v>33.31</v>
      </c>
      <c r="H21" s="60">
        <v>21.13</v>
      </c>
      <c r="I21" s="60">
        <v>6.71</v>
      </c>
      <c r="J21" s="60">
        <v>0.56999999999999995</v>
      </c>
      <c r="K21" s="60">
        <v>186.69</v>
      </c>
      <c r="L21" s="60">
        <v>31.79</v>
      </c>
      <c r="M21" s="60">
        <v>95.73</v>
      </c>
      <c r="N21" s="60">
        <v>122.5</v>
      </c>
      <c r="O21" s="60">
        <v>0</v>
      </c>
      <c r="P21" s="60">
        <v>2.3199999999999998</v>
      </c>
      <c r="Q21" s="60">
        <v>6.31</v>
      </c>
      <c r="R21" s="198"/>
      <c r="S21" s="198"/>
      <c r="T21" s="198"/>
      <c r="U21" s="198"/>
    </row>
    <row r="22" spans="1:21" s="12" customFormat="1" ht="15">
      <c r="A22" s="201" t="s">
        <v>2564</v>
      </c>
      <c r="B22" s="60">
        <v>0.65</v>
      </c>
      <c r="C22" s="60">
        <v>13.64</v>
      </c>
      <c r="D22" s="60">
        <v>14.29</v>
      </c>
      <c r="E22" s="60">
        <v>5.86</v>
      </c>
      <c r="F22" s="60">
        <v>1.54</v>
      </c>
      <c r="G22" s="60">
        <v>33.31</v>
      </c>
      <c r="H22" s="60">
        <v>21.13</v>
      </c>
      <c r="I22" s="60">
        <v>6.69</v>
      </c>
      <c r="J22" s="60">
        <v>1</v>
      </c>
      <c r="K22" s="60">
        <v>198.64</v>
      </c>
      <c r="L22" s="60">
        <v>31.83</v>
      </c>
      <c r="M22" s="60">
        <v>94.80</v>
      </c>
      <c r="N22" s="60">
        <v>117.40</v>
      </c>
      <c r="O22" s="60">
        <v>0</v>
      </c>
      <c r="P22" s="60">
        <v>2.31</v>
      </c>
      <c r="Q22" s="60">
        <v>6.19</v>
      </c>
      <c r="R22" s="198"/>
      <c r="S22" s="198"/>
      <c r="T22" s="198"/>
      <c r="U22" s="198"/>
    </row>
    <row r="23" spans="1:21" s="12" customFormat="1" ht="15">
      <c r="A23" s="201" t="s">
        <v>2565</v>
      </c>
      <c r="B23" s="60">
        <v>0.56999999999999995</v>
      </c>
      <c r="C23" s="60">
        <v>13.44</v>
      </c>
      <c r="D23" s="60">
        <v>14.01</v>
      </c>
      <c r="E23" s="60">
        <v>6.28</v>
      </c>
      <c r="F23" s="60">
        <v>1.61</v>
      </c>
      <c r="G23" s="60">
        <v>33.31</v>
      </c>
      <c r="H23" s="60">
        <v>21.13</v>
      </c>
      <c r="I23" s="60">
        <v>6.40</v>
      </c>
      <c r="J23" s="60">
        <v>1.94</v>
      </c>
      <c r="K23" s="60">
        <v>169.23</v>
      </c>
      <c r="L23" s="60">
        <v>31.83</v>
      </c>
      <c r="M23" s="60">
        <v>94.68</v>
      </c>
      <c r="N23" s="60">
        <v>119.90</v>
      </c>
      <c r="O23" s="60">
        <v>0</v>
      </c>
      <c r="P23" s="60">
        <v>2.2799999999999998</v>
      </c>
      <c r="Q23" s="60">
        <v>6.13</v>
      </c>
      <c r="R23" s="198"/>
      <c r="S23" s="198"/>
      <c r="T23" s="198"/>
      <c r="U23" s="198"/>
    </row>
    <row r="24" spans="1:21" s="12" customFormat="1" ht="15">
      <c r="A24" s="201" t="s">
        <v>2566</v>
      </c>
      <c r="B24" s="60">
        <v>0.53</v>
      </c>
      <c r="C24" s="60">
        <v>13.33</v>
      </c>
      <c r="D24" s="60">
        <v>13.86</v>
      </c>
      <c r="E24" s="60">
        <v>2.86</v>
      </c>
      <c r="F24" s="60">
        <v>1.67</v>
      </c>
      <c r="G24" s="60">
        <v>27.68</v>
      </c>
      <c r="H24" s="60">
        <v>18.30</v>
      </c>
      <c r="I24" s="60">
        <v>6.08</v>
      </c>
      <c r="J24" s="60">
        <v>1.43</v>
      </c>
      <c r="K24" s="60">
        <v>231.87</v>
      </c>
      <c r="L24" s="60">
        <v>31.90</v>
      </c>
      <c r="M24" s="60">
        <v>94.24</v>
      </c>
      <c r="N24" s="60">
        <v>125.10</v>
      </c>
      <c r="O24" s="60">
        <v>0</v>
      </c>
      <c r="P24" s="60">
        <v>2.2599999999999998</v>
      </c>
      <c r="Q24" s="60">
        <v>6.05</v>
      </c>
      <c r="R24" s="198"/>
      <c r="S24" s="198"/>
      <c r="T24" s="198"/>
      <c r="U24" s="198"/>
    </row>
    <row r="25" spans="1:21" s="12" customFormat="1" ht="15">
      <c r="A25" s="201" t="s">
        <v>2567</v>
      </c>
      <c r="B25" s="60">
        <v>0.51</v>
      </c>
      <c r="C25" s="60">
        <v>13.08</v>
      </c>
      <c r="D25" s="60">
        <v>13.60</v>
      </c>
      <c r="E25" s="60">
        <v>4.79</v>
      </c>
      <c r="F25" s="60">
        <v>1.52</v>
      </c>
      <c r="G25" s="60">
        <v>25.91</v>
      </c>
      <c r="H25" s="60">
        <v>16.23</v>
      </c>
      <c r="I25" s="60">
        <v>5.75</v>
      </c>
      <c r="J25" s="60">
        <v>0.85</v>
      </c>
      <c r="K25" s="60">
        <v>221.52</v>
      </c>
      <c r="L25" s="60">
        <v>31.85</v>
      </c>
      <c r="M25" s="60">
        <v>95.26</v>
      </c>
      <c r="N25" s="60">
        <v>128.40</v>
      </c>
      <c r="O25" s="60">
        <v>0</v>
      </c>
      <c r="P25" s="60">
        <v>2.2400000000000002</v>
      </c>
      <c r="Q25" s="60">
        <v>5.97</v>
      </c>
      <c r="R25" s="198"/>
      <c r="S25" s="198"/>
      <c r="T25" s="198"/>
      <c r="U25" s="198"/>
    </row>
    <row r="26" spans="1:21" s="12" customFormat="1" ht="15">
      <c r="A26" s="201" t="s">
        <v>2568</v>
      </c>
      <c r="B26" s="60">
        <v>0.64</v>
      </c>
      <c r="C26" s="60">
        <v>12.55</v>
      </c>
      <c r="D26" s="60">
        <v>13.19</v>
      </c>
      <c r="E26" s="60">
        <v>5.25</v>
      </c>
      <c r="F26" s="60">
        <v>1.40</v>
      </c>
      <c r="G26" s="60">
        <v>25.91</v>
      </c>
      <c r="H26" s="60">
        <v>16.23</v>
      </c>
      <c r="I26" s="60">
        <v>5.5</v>
      </c>
      <c r="J26" s="60">
        <v>1.86</v>
      </c>
      <c r="K26" s="60">
        <v>163.13</v>
      </c>
      <c r="L26" s="60">
        <v>31.99</v>
      </c>
      <c r="M26" s="60">
        <v>94.49</v>
      </c>
      <c r="N26" s="60">
        <v>140.60</v>
      </c>
      <c r="O26" s="60">
        <v>0</v>
      </c>
      <c r="P26" s="60">
        <v>2.23</v>
      </c>
      <c r="Q26" s="60">
        <v>5.87</v>
      </c>
      <c r="R26" s="198"/>
      <c r="S26" s="198"/>
      <c r="T26" s="198"/>
      <c r="U26" s="198"/>
    </row>
    <row r="27" spans="1:21" s="12" customFormat="1" ht="15">
      <c r="A27" s="201" t="s">
        <v>2569</v>
      </c>
      <c r="B27" s="60">
        <v>0.91</v>
      </c>
      <c r="C27" s="60">
        <v>12.66</v>
      </c>
      <c r="D27" s="60">
        <v>13.57</v>
      </c>
      <c r="E27" s="60">
        <v>5.64</v>
      </c>
      <c r="F27" s="60">
        <v>0.80</v>
      </c>
      <c r="G27" s="60">
        <v>25.91</v>
      </c>
      <c r="H27" s="60">
        <v>16.23</v>
      </c>
      <c r="I27" s="60">
        <v>5.24</v>
      </c>
      <c r="J27" s="60">
        <v>1.1499999999999999</v>
      </c>
      <c r="K27" s="60">
        <v>94.55</v>
      </c>
      <c r="L27" s="60">
        <v>32.08</v>
      </c>
      <c r="M27" s="60">
        <v>94.03</v>
      </c>
      <c r="N27" s="60">
        <v>135.90</v>
      </c>
      <c r="O27" s="60">
        <v>0</v>
      </c>
      <c r="P27" s="60">
        <v>2.23</v>
      </c>
      <c r="Q27" s="60">
        <v>5.73</v>
      </c>
      <c r="R27" s="198"/>
      <c r="S27" s="198"/>
      <c r="T27" s="198"/>
      <c r="U27" s="198"/>
    </row>
    <row r="28" spans="1:21" s="12" customFormat="1" ht="15">
      <c r="A28" s="201" t="s">
        <v>2570</v>
      </c>
      <c r="B28" s="60">
        <v>1.20</v>
      </c>
      <c r="C28" s="60">
        <v>12.89</v>
      </c>
      <c r="D28" s="60">
        <v>14.08</v>
      </c>
      <c r="E28" s="60">
        <v>5.78</v>
      </c>
      <c r="F28" s="60">
        <v>0.74</v>
      </c>
      <c r="G28" s="60">
        <v>23.54</v>
      </c>
      <c r="H28" s="60">
        <v>14.01</v>
      </c>
      <c r="I28" s="60">
        <v>5.22</v>
      </c>
      <c r="J28" s="60">
        <v>1.34</v>
      </c>
      <c r="K28" s="60">
        <v>168.34</v>
      </c>
      <c r="L28" s="60">
        <v>32.14</v>
      </c>
      <c r="M28" s="60">
        <v>94.17</v>
      </c>
      <c r="N28" s="60">
        <v>135.80000000000001</v>
      </c>
      <c r="O28" s="60">
        <v>0</v>
      </c>
      <c r="P28" s="60">
        <v>2.23</v>
      </c>
      <c r="Q28" s="60">
        <v>5.63</v>
      </c>
      <c r="R28" s="198"/>
      <c r="S28" s="198"/>
      <c r="T28" s="198"/>
      <c r="U28" s="198"/>
    </row>
    <row r="29" spans="1:21" s="12" customFormat="1" ht="15">
      <c r="A29" s="201" t="s">
        <v>2571</v>
      </c>
      <c r="B29" s="60">
        <v>1.45</v>
      </c>
      <c r="C29" s="60">
        <v>12.88</v>
      </c>
      <c r="D29" s="60">
        <v>14.33</v>
      </c>
      <c r="E29" s="60">
        <v>6.46</v>
      </c>
      <c r="F29" s="60">
        <v>0.90</v>
      </c>
      <c r="G29" s="60">
        <v>22.79</v>
      </c>
      <c r="H29" s="60">
        <v>12.38</v>
      </c>
      <c r="I29" s="60">
        <v>5.20</v>
      </c>
      <c r="J29" s="60">
        <v>1.75</v>
      </c>
      <c r="K29" s="60">
        <v>253.32</v>
      </c>
      <c r="L29" s="60">
        <v>31.98</v>
      </c>
      <c r="M29" s="60">
        <v>94.79</v>
      </c>
      <c r="N29" s="60">
        <v>146.60</v>
      </c>
      <c r="O29" s="60">
        <v>0</v>
      </c>
      <c r="P29" s="60">
        <v>2.23</v>
      </c>
      <c r="Q29" s="60">
        <v>5.57</v>
      </c>
      <c r="R29" s="198"/>
      <c r="S29" s="198"/>
      <c r="T29" s="198"/>
      <c r="U29" s="198"/>
    </row>
    <row r="30" spans="1:21" s="12" customFormat="1" ht="15">
      <c r="A30" s="201" t="s">
        <v>2572</v>
      </c>
      <c r="B30" s="60">
        <v>1.64</v>
      </c>
      <c r="C30" s="60">
        <v>12.98</v>
      </c>
      <c r="D30" s="60">
        <v>14.62</v>
      </c>
      <c r="E30" s="60">
        <v>6.64</v>
      </c>
      <c r="F30" s="60">
        <v>0.76</v>
      </c>
      <c r="G30" s="60">
        <v>22.79</v>
      </c>
      <c r="H30" s="60">
        <v>12.38</v>
      </c>
      <c r="I30" s="60">
        <v>5.20</v>
      </c>
      <c r="J30" s="60">
        <v>1.99</v>
      </c>
      <c r="K30" s="60">
        <v>195.90</v>
      </c>
      <c r="L30" s="60">
        <v>31.81</v>
      </c>
      <c r="M30" s="60">
        <v>94.77</v>
      </c>
      <c r="N30" s="60">
        <v>145.69999999999999</v>
      </c>
      <c r="O30" s="60">
        <v>0</v>
      </c>
      <c r="P30" s="60">
        <v>2.2200000000000002</v>
      </c>
      <c r="Q30" s="60">
        <v>5.69</v>
      </c>
      <c r="R30" s="198"/>
      <c r="S30" s="198"/>
      <c r="T30" s="198"/>
      <c r="U30" s="198"/>
    </row>
    <row r="31" spans="1:21" s="12" customFormat="1" ht="15">
      <c r="A31" s="201" t="s">
        <v>2573</v>
      </c>
      <c r="B31" s="60">
        <v>1.83</v>
      </c>
      <c r="C31" s="60">
        <v>13.19</v>
      </c>
      <c r="D31" s="60">
        <v>15.02</v>
      </c>
      <c r="E31" s="60">
        <v>7.08</v>
      </c>
      <c r="F31" s="60">
        <v>0.37</v>
      </c>
      <c r="G31" s="60">
        <v>22.79</v>
      </c>
      <c r="H31" s="60">
        <v>12.38</v>
      </c>
      <c r="I31" s="60">
        <v>5.26</v>
      </c>
      <c r="J31" s="60">
        <v>2.17</v>
      </c>
      <c r="K31" s="60">
        <v>212.72</v>
      </c>
      <c r="L31" s="60">
        <v>31.90</v>
      </c>
      <c r="M31" s="60">
        <v>94.24</v>
      </c>
      <c r="N31" s="60">
        <v>144.80000000000001</v>
      </c>
      <c r="O31" s="60">
        <v>0</v>
      </c>
      <c r="P31" s="60">
        <v>2.23</v>
      </c>
      <c r="Q31" s="60">
        <v>5.87</v>
      </c>
      <c r="R31" s="198"/>
      <c r="S31" s="198"/>
      <c r="T31" s="198"/>
      <c r="U31" s="198"/>
    </row>
    <row r="32" spans="1:21" s="12" customFormat="1" ht="15">
      <c r="A32" s="201" t="s">
        <v>2574</v>
      </c>
      <c r="B32" s="60">
        <v>1.97</v>
      </c>
      <c r="C32" s="60">
        <v>13.42</v>
      </c>
      <c r="D32" s="60">
        <v>15.38</v>
      </c>
      <c r="E32" s="60">
        <v>7.03</v>
      </c>
      <c r="F32" s="60">
        <v>0.56000000000000005</v>
      </c>
      <c r="G32" s="60">
        <v>29.15</v>
      </c>
      <c r="H32" s="60">
        <v>15.30</v>
      </c>
      <c r="I32" s="60">
        <v>5.21</v>
      </c>
      <c r="J32" s="60">
        <v>2</v>
      </c>
      <c r="K32" s="60">
        <v>176.06</v>
      </c>
      <c r="L32" s="60">
        <v>31.83</v>
      </c>
      <c r="M32" s="60">
        <v>94.58</v>
      </c>
      <c r="N32" s="60">
        <v>152.60</v>
      </c>
      <c r="O32" s="60">
        <v>0</v>
      </c>
      <c r="P32" s="60">
        <v>2.2200000000000002</v>
      </c>
      <c r="Q32" s="60">
        <v>5.95</v>
      </c>
      <c r="R32" s="198"/>
      <c r="S32" s="198"/>
      <c r="T32" s="198"/>
      <c r="U32" s="198"/>
    </row>
    <row r="33" spans="1:21" s="12" customFormat="1" ht="15">
      <c r="A33" s="201" t="s">
        <v>2575</v>
      </c>
      <c r="B33" s="60">
        <v>2.13</v>
      </c>
      <c r="C33" s="60">
        <v>14.06</v>
      </c>
      <c r="D33" s="60">
        <v>16.190000000000001</v>
      </c>
      <c r="E33" s="60">
        <v>7.15</v>
      </c>
      <c r="F33" s="60">
        <v>0.49</v>
      </c>
      <c r="G33" s="60">
        <v>32.65</v>
      </c>
      <c r="H33" s="60">
        <v>17.43</v>
      </c>
      <c r="I33" s="60">
        <v>5.22</v>
      </c>
      <c r="J33" s="60">
        <v>2.5299999999999998</v>
      </c>
      <c r="K33" s="60">
        <v>181.24</v>
      </c>
      <c r="L33" s="60">
        <v>31.80</v>
      </c>
      <c r="M33" s="60">
        <v>95.10</v>
      </c>
      <c r="N33" s="60">
        <v>157.90</v>
      </c>
      <c r="O33" s="60">
        <v>0</v>
      </c>
      <c r="P33" s="60">
        <v>2.2200000000000002</v>
      </c>
      <c r="Q33" s="60">
        <v>6.16</v>
      </c>
      <c r="R33" s="198"/>
      <c r="S33" s="198"/>
      <c r="T33" s="198"/>
      <c r="U33" s="198"/>
    </row>
    <row r="34" spans="1:21" s="12" customFormat="1" ht="15">
      <c r="A34" s="201" t="s">
        <v>2576</v>
      </c>
      <c r="B34" s="60">
        <v>2.06</v>
      </c>
      <c r="C34" s="60">
        <v>14.30</v>
      </c>
      <c r="D34" s="60">
        <v>16.36</v>
      </c>
      <c r="E34" s="60">
        <v>6.86</v>
      </c>
      <c r="F34" s="60">
        <v>0.76</v>
      </c>
      <c r="G34" s="60">
        <v>32.65</v>
      </c>
      <c r="H34" s="60">
        <v>17.43</v>
      </c>
      <c r="I34" s="60">
        <v>5.23</v>
      </c>
      <c r="J34" s="60">
        <v>2.2799999999999998</v>
      </c>
      <c r="K34" s="60">
        <v>190.78</v>
      </c>
      <c r="L34" s="60">
        <v>31.82</v>
      </c>
      <c r="M34" s="60">
        <v>95</v>
      </c>
      <c r="N34" s="60">
        <v>169.10</v>
      </c>
      <c r="O34" s="60">
        <v>0</v>
      </c>
      <c r="P34" s="60">
        <v>2.21</v>
      </c>
      <c r="Q34" s="60">
        <v>6.48</v>
      </c>
      <c r="R34" s="198"/>
      <c r="S34" s="198"/>
      <c r="T34" s="198"/>
      <c r="U34" s="198"/>
    </row>
    <row r="35" spans="1:21" s="12" customFormat="1" ht="15">
      <c r="A35" s="201" t="s">
        <v>2577</v>
      </c>
      <c r="B35" s="60">
        <v>1.76</v>
      </c>
      <c r="C35" s="60">
        <v>14.48</v>
      </c>
      <c r="D35" s="60">
        <v>16.25</v>
      </c>
      <c r="E35" s="60">
        <v>6.85</v>
      </c>
      <c r="F35" s="60">
        <v>0.85</v>
      </c>
      <c r="G35" s="60">
        <v>32.65</v>
      </c>
      <c r="H35" s="60">
        <v>17.43</v>
      </c>
      <c r="I35" s="60">
        <v>5.21</v>
      </c>
      <c r="J35" s="60">
        <v>2</v>
      </c>
      <c r="K35" s="60">
        <v>206.37</v>
      </c>
      <c r="L35" s="60">
        <v>31.87</v>
      </c>
      <c r="M35" s="60">
        <v>94.45</v>
      </c>
      <c r="N35" s="60">
        <v>174.90</v>
      </c>
      <c r="O35" s="60">
        <v>0</v>
      </c>
      <c r="P35" s="60">
        <v>2.2000000000000002</v>
      </c>
      <c r="Q35" s="60">
        <v>6.82</v>
      </c>
      <c r="R35" s="198"/>
      <c r="S35" s="198"/>
      <c r="T35" s="198"/>
      <c r="U35" s="198"/>
    </row>
    <row r="36" spans="1:21" s="12" customFormat="1" ht="15">
      <c r="A36" s="201" t="s">
        <v>2578</v>
      </c>
      <c r="B36" s="60">
        <v>1.53</v>
      </c>
      <c r="C36" s="60">
        <v>14.62</v>
      </c>
      <c r="D36" s="60">
        <v>16.16</v>
      </c>
      <c r="E36" s="60">
        <v>6.57</v>
      </c>
      <c r="F36" s="60">
        <v>1.05</v>
      </c>
      <c r="G36" s="60">
        <v>27.26</v>
      </c>
      <c r="H36" s="60">
        <v>14.85</v>
      </c>
      <c r="I36" s="60">
        <v>5.03</v>
      </c>
      <c r="J36" s="60">
        <v>1.53</v>
      </c>
      <c r="K36" s="60">
        <v>202.16</v>
      </c>
      <c r="L36" s="60">
        <v>32.08</v>
      </c>
      <c r="M36" s="60">
        <v>94.17</v>
      </c>
      <c r="N36" s="60">
        <v>241.80</v>
      </c>
      <c r="O36" s="60">
        <v>0</v>
      </c>
      <c r="P36" s="60">
        <v>2.19</v>
      </c>
      <c r="Q36" s="60">
        <v>7.04</v>
      </c>
      <c r="R36" s="198"/>
      <c r="S36" s="198"/>
      <c r="T36" s="198"/>
      <c r="U36" s="198"/>
    </row>
    <row r="37" spans="1:21" s="12" customFormat="1" ht="15">
      <c r="A37" s="201" t="s">
        <v>2579</v>
      </c>
      <c r="B37" s="60">
        <v>1.34</v>
      </c>
      <c r="C37" s="60">
        <v>14.72</v>
      </c>
      <c r="D37" s="60">
        <v>16.059999999999999</v>
      </c>
      <c r="E37" s="60">
        <v>6.34</v>
      </c>
      <c r="F37" s="60">
        <v>1.30</v>
      </c>
      <c r="G37" s="60">
        <v>25.71</v>
      </c>
      <c r="H37" s="60">
        <v>12.96</v>
      </c>
      <c r="I37" s="60">
        <v>4.83</v>
      </c>
      <c r="J37" s="60">
        <v>1.73</v>
      </c>
      <c r="K37" s="60">
        <v>202.87</v>
      </c>
      <c r="L37" s="60">
        <v>32.49</v>
      </c>
      <c r="M37" s="60">
        <v>92.87</v>
      </c>
      <c r="N37" s="60">
        <v>252</v>
      </c>
      <c r="O37" s="60">
        <v>0</v>
      </c>
      <c r="P37" s="60">
        <v>2.19</v>
      </c>
      <c r="Q37" s="60">
        <v>6.97</v>
      </c>
      <c r="R37" s="198"/>
      <c r="S37" s="198"/>
      <c r="T37" s="198"/>
      <c r="U37" s="198"/>
    </row>
    <row r="38" spans="1:21" s="12" customFormat="1" ht="15">
      <c r="A38" s="201" t="s">
        <v>2580</v>
      </c>
      <c r="B38" s="60">
        <v>1.17</v>
      </c>
      <c r="C38" s="60">
        <v>14.68</v>
      </c>
      <c r="D38" s="60">
        <v>15.85</v>
      </c>
      <c r="E38" s="60">
        <v>6.30</v>
      </c>
      <c r="F38" s="60">
        <v>1.36</v>
      </c>
      <c r="G38" s="60">
        <v>25.71</v>
      </c>
      <c r="H38" s="60">
        <v>12.96</v>
      </c>
      <c r="I38" s="60">
        <v>4.70</v>
      </c>
      <c r="J38" s="60">
        <v>1.32</v>
      </c>
      <c r="K38" s="60">
        <v>233.80</v>
      </c>
      <c r="L38" s="60">
        <v>32.54</v>
      </c>
      <c r="M38" s="60">
        <v>92.08</v>
      </c>
      <c r="N38" s="60">
        <v>250</v>
      </c>
      <c r="O38" s="60">
        <v>0</v>
      </c>
      <c r="P38" s="60">
        <v>2.19</v>
      </c>
      <c r="Q38" s="60">
        <v>6.93</v>
      </c>
      <c r="R38" s="198"/>
      <c r="S38" s="198"/>
      <c r="T38" s="198"/>
      <c r="U38" s="198"/>
    </row>
    <row r="39" spans="1:21" s="12" customFormat="1" ht="15">
      <c r="A39" s="201" t="s">
        <v>2581</v>
      </c>
      <c r="B39" s="60">
        <v>1.01</v>
      </c>
      <c r="C39" s="60">
        <v>14.73</v>
      </c>
      <c r="D39" s="60">
        <v>15.74</v>
      </c>
      <c r="E39" s="60">
        <v>6.41</v>
      </c>
      <c r="F39" s="60">
        <v>1.36</v>
      </c>
      <c r="G39" s="60">
        <v>25.71</v>
      </c>
      <c r="H39" s="60">
        <v>12.96</v>
      </c>
      <c r="I39" s="60">
        <v>4.59</v>
      </c>
      <c r="J39" s="60">
        <v>1.29</v>
      </c>
      <c r="K39" s="60">
        <v>212.05</v>
      </c>
      <c r="L39" s="60">
        <v>32.700000000000003</v>
      </c>
      <c r="M39" s="60">
        <v>91.02</v>
      </c>
      <c r="N39" s="60">
        <v>258</v>
      </c>
      <c r="O39" s="60">
        <v>0</v>
      </c>
      <c r="P39" s="60">
        <v>2.1800000000000002</v>
      </c>
      <c r="Q39" s="60">
        <v>6.92</v>
      </c>
      <c r="R39" s="198"/>
      <c r="S39" s="198"/>
      <c r="T39" s="198"/>
      <c r="U39" s="198"/>
    </row>
    <row r="40" spans="1:21" s="12" customFormat="1" ht="15">
      <c r="A40" s="201" t="s">
        <v>2582</v>
      </c>
      <c r="B40" s="60">
        <v>1.03</v>
      </c>
      <c r="C40" s="60">
        <v>14.98</v>
      </c>
      <c r="D40" s="60">
        <v>16.010000000000002</v>
      </c>
      <c r="E40" s="60">
        <v>2.84</v>
      </c>
      <c r="F40" s="60">
        <v>1.1100000000000001</v>
      </c>
      <c r="G40" s="60">
        <v>27.42</v>
      </c>
      <c r="H40" s="60">
        <v>13.86</v>
      </c>
      <c r="I40" s="60">
        <v>4.46</v>
      </c>
      <c r="J40" s="60">
        <v>0.91</v>
      </c>
      <c r="K40" s="60">
        <v>216.63</v>
      </c>
      <c r="L40" s="60">
        <v>32.840000000000003</v>
      </c>
      <c r="M40" s="60">
        <v>90.08</v>
      </c>
      <c r="N40" s="60">
        <v>253.10</v>
      </c>
      <c r="O40" s="60">
        <v>0</v>
      </c>
      <c r="P40" s="60">
        <v>2.19</v>
      </c>
      <c r="Q40" s="60">
        <v>6.97</v>
      </c>
      <c r="R40" s="198"/>
      <c r="S40" s="198"/>
      <c r="T40" s="198"/>
      <c r="U40" s="198"/>
    </row>
    <row r="41" spans="1:21" s="12" customFormat="1" ht="15">
      <c r="A41" s="201" t="s">
        <v>2583</v>
      </c>
      <c r="B41" s="60">
        <v>1.22</v>
      </c>
      <c r="C41" s="60">
        <v>15.51</v>
      </c>
      <c r="D41" s="60">
        <v>16.73</v>
      </c>
      <c r="E41" s="60">
        <v>5.64</v>
      </c>
      <c r="F41" s="60">
        <v>1.21</v>
      </c>
      <c r="G41" s="60">
        <v>27.95</v>
      </c>
      <c r="H41" s="60">
        <v>14.52</v>
      </c>
      <c r="I41" s="60">
        <v>4.3899999999999997</v>
      </c>
      <c r="J41" s="60">
        <v>1.1399999999999999</v>
      </c>
      <c r="K41" s="60">
        <v>246.82</v>
      </c>
      <c r="L41" s="60">
        <v>32.979999999999997</v>
      </c>
      <c r="M41" s="60">
        <v>88.72</v>
      </c>
      <c r="N41" s="60">
        <v>287.60000000000002</v>
      </c>
      <c r="O41" s="60">
        <v>0</v>
      </c>
      <c r="P41" s="60">
        <v>2.2000000000000002</v>
      </c>
      <c r="Q41" s="60">
        <v>7.11</v>
      </c>
      <c r="R41" s="198"/>
      <c r="S41" s="198"/>
      <c r="T41" s="198"/>
      <c r="U41" s="198"/>
    </row>
    <row r="42" spans="1:21" s="12" customFormat="1" ht="15">
      <c r="A42" s="201" t="s">
        <v>2584</v>
      </c>
      <c r="B42" s="60">
        <v>1.24</v>
      </c>
      <c r="C42" s="60">
        <v>15.84</v>
      </c>
      <c r="D42" s="60">
        <v>17.079999999999998</v>
      </c>
      <c r="E42" s="60">
        <v>5.28</v>
      </c>
      <c r="F42" s="60">
        <v>1.34</v>
      </c>
      <c r="G42" s="60">
        <v>27.95</v>
      </c>
      <c r="H42" s="60">
        <v>14.52</v>
      </c>
      <c r="I42" s="60">
        <v>4.33</v>
      </c>
      <c r="J42" s="60">
        <v>1.34</v>
      </c>
      <c r="K42" s="60">
        <v>226.25</v>
      </c>
      <c r="L42" s="60">
        <v>33.15</v>
      </c>
      <c r="M42" s="60">
        <v>87.74</v>
      </c>
      <c r="N42" s="60">
        <v>387</v>
      </c>
      <c r="O42" s="60">
        <v>0</v>
      </c>
      <c r="P42" s="60">
        <v>2.21</v>
      </c>
      <c r="Q42" s="60">
        <v>7.22</v>
      </c>
      <c r="R42" s="198"/>
      <c r="S42" s="198"/>
      <c r="T42" s="198"/>
      <c r="U42" s="198"/>
    </row>
    <row r="43" spans="1:21" s="12" customFormat="1" ht="15">
      <c r="A43" s="201" t="s">
        <v>2585</v>
      </c>
      <c r="B43" s="60">
        <v>1.1299999999999999</v>
      </c>
      <c r="C43" s="60">
        <v>15.45</v>
      </c>
      <c r="D43" s="60">
        <v>16.579999999999998</v>
      </c>
      <c r="E43" s="60">
        <v>5.12</v>
      </c>
      <c r="F43" s="60">
        <v>1.75</v>
      </c>
      <c r="G43" s="60">
        <v>27.95</v>
      </c>
      <c r="H43" s="60">
        <v>14.52</v>
      </c>
      <c r="I43" s="60">
        <v>4.34</v>
      </c>
      <c r="J43" s="60">
        <v>0.44</v>
      </c>
      <c r="K43" s="60">
        <v>228.96</v>
      </c>
      <c r="L43" s="60">
        <v>33.409999999999997</v>
      </c>
      <c r="M43" s="60">
        <v>86.83</v>
      </c>
      <c r="N43" s="60">
        <v>369.80</v>
      </c>
      <c r="O43" s="60">
        <v>0</v>
      </c>
      <c r="P43" s="60">
        <v>2.21</v>
      </c>
      <c r="Q43" s="60">
        <v>7.14</v>
      </c>
      <c r="R43" s="198"/>
      <c r="S43" s="198"/>
      <c r="T43" s="198"/>
      <c r="U43" s="198"/>
    </row>
    <row r="44" spans="1:21" s="12" customFormat="1" ht="15">
      <c r="A44" s="201" t="s">
        <v>2586</v>
      </c>
      <c r="B44" s="60">
        <v>1.26</v>
      </c>
      <c r="C44" s="60">
        <v>15.53</v>
      </c>
      <c r="D44" s="60">
        <v>16.79</v>
      </c>
      <c r="E44" s="60">
        <v>4.96</v>
      </c>
      <c r="F44" s="60">
        <v>1.59</v>
      </c>
      <c r="G44" s="60">
        <v>28.55</v>
      </c>
      <c r="H44" s="60">
        <v>12.92</v>
      </c>
      <c r="I44" s="60">
        <v>4.34</v>
      </c>
      <c r="J44" s="60">
        <v>0.66</v>
      </c>
      <c r="K44" s="60">
        <v>244.24</v>
      </c>
      <c r="L44" s="60">
        <v>33.729999999999997</v>
      </c>
      <c r="M44" s="60">
        <v>85.65</v>
      </c>
      <c r="N44" s="60">
        <v>399.90</v>
      </c>
      <c r="O44" s="60">
        <v>0</v>
      </c>
      <c r="P44" s="60">
        <v>2.23</v>
      </c>
      <c r="Q44" s="60">
        <v>7.04</v>
      </c>
      <c r="R44" s="198"/>
      <c r="S44" s="198"/>
      <c r="T44" s="198"/>
      <c r="U44" s="198"/>
    </row>
    <row r="45" spans="1:21" s="12" customFormat="1" ht="15">
      <c r="A45" s="201" t="s">
        <v>2587</v>
      </c>
      <c r="B45" s="60">
        <v>1.99</v>
      </c>
      <c r="C45" s="60">
        <v>17.12</v>
      </c>
      <c r="D45" s="60">
        <v>19.12</v>
      </c>
      <c r="E45" s="60">
        <v>4.8099999999999996</v>
      </c>
      <c r="F45" s="60">
        <v>1.1000000000000001</v>
      </c>
      <c r="G45" s="60">
        <v>28.72</v>
      </c>
      <c r="H45" s="60">
        <v>11.76</v>
      </c>
      <c r="I45" s="60">
        <v>4.32</v>
      </c>
      <c r="J45" s="60">
        <v>1.01</v>
      </c>
      <c r="K45" s="60">
        <v>234.23</v>
      </c>
      <c r="L45" s="60">
        <v>33.85</v>
      </c>
      <c r="M45" s="60">
        <v>83.91</v>
      </c>
      <c r="N45" s="60">
        <v>425</v>
      </c>
      <c r="O45" s="60">
        <v>0</v>
      </c>
      <c r="P45" s="60">
        <v>2.25</v>
      </c>
      <c r="Q45" s="60">
        <v>7.06</v>
      </c>
      <c r="R45" s="198"/>
      <c r="S45" s="198"/>
      <c r="T45" s="198"/>
      <c r="U45" s="198"/>
    </row>
    <row r="46" spans="1:21" s="12" customFormat="1" ht="15">
      <c r="A46" s="201" t="s">
        <v>2588</v>
      </c>
      <c r="B46" s="60">
        <v>2.2400000000000002</v>
      </c>
      <c r="C46" s="60">
        <v>18.03</v>
      </c>
      <c r="D46" s="60">
        <v>20.27</v>
      </c>
      <c r="E46" s="60">
        <v>5.0999999999999996</v>
      </c>
      <c r="F46" s="60">
        <v>1.28</v>
      </c>
      <c r="G46" s="60">
        <v>28.72</v>
      </c>
      <c r="H46" s="60">
        <v>11.76</v>
      </c>
      <c r="I46" s="60">
        <v>4.3099999999999996</v>
      </c>
      <c r="J46" s="60">
        <v>0.87</v>
      </c>
      <c r="K46" s="60">
        <v>19.93</v>
      </c>
      <c r="L46" s="60">
        <v>34.06</v>
      </c>
      <c r="M46" s="60">
        <v>84.20</v>
      </c>
      <c r="N46" s="60">
        <v>410.20</v>
      </c>
      <c r="O46" s="60">
        <v>0</v>
      </c>
      <c r="P46" s="60">
        <v>2.2599999999999998</v>
      </c>
      <c r="Q46" s="60">
        <v>7.04</v>
      </c>
      <c r="R46" s="198"/>
      <c r="S46" s="198"/>
      <c r="T46" s="198"/>
      <c r="U46" s="198"/>
    </row>
    <row r="47" spans="1:21" s="12" customFormat="1" ht="15">
      <c r="A47" s="201" t="s">
        <v>2589</v>
      </c>
      <c r="B47" s="60">
        <v>2.39</v>
      </c>
      <c r="C47" s="60">
        <v>18.87</v>
      </c>
      <c r="D47" s="60">
        <v>21.26</v>
      </c>
      <c r="E47" s="60">
        <v>5.13</v>
      </c>
      <c r="F47" s="60">
        <v>1.35</v>
      </c>
      <c r="G47" s="60">
        <v>28.72</v>
      </c>
      <c r="H47" s="60">
        <v>11.76</v>
      </c>
      <c r="I47" s="60">
        <v>4.37</v>
      </c>
      <c r="J47" s="60">
        <v>0.95</v>
      </c>
      <c r="K47" s="60">
        <v>33.24</v>
      </c>
      <c r="L47" s="60">
        <v>34.28</v>
      </c>
      <c r="M47" s="60">
        <v>82.91</v>
      </c>
      <c r="N47" s="60">
        <v>391</v>
      </c>
      <c r="O47" s="60">
        <v>0</v>
      </c>
      <c r="P47" s="60">
        <v>2.2799999999999998</v>
      </c>
      <c r="Q47" s="60">
        <v>7.08</v>
      </c>
      <c r="R47" s="198"/>
      <c r="S47" s="198"/>
      <c r="T47" s="198"/>
      <c r="U47" s="198"/>
    </row>
    <row r="48" spans="1:21" s="12" customFormat="1" ht="15">
      <c r="A48" s="201" t="s">
        <v>2590</v>
      </c>
      <c r="B48" s="60">
        <v>2.4500000000000002</v>
      </c>
      <c r="C48" s="60">
        <v>20.149999999999999</v>
      </c>
      <c r="D48" s="60">
        <v>22.61</v>
      </c>
      <c r="E48" s="60">
        <v>4.5</v>
      </c>
      <c r="F48" s="60">
        <v>1.1499999999999999</v>
      </c>
      <c r="G48" s="60">
        <v>37.03</v>
      </c>
      <c r="H48" s="60">
        <v>11.89</v>
      </c>
      <c r="I48" s="60">
        <v>4.42</v>
      </c>
      <c r="J48" s="60">
        <v>0.24</v>
      </c>
      <c r="K48" s="60">
        <v>325.63</v>
      </c>
      <c r="L48" s="60">
        <v>34.619999999999997</v>
      </c>
      <c r="M48" s="60">
        <v>82.10</v>
      </c>
      <c r="N48" s="60">
        <v>672.90</v>
      </c>
      <c r="O48" s="60">
        <v>0</v>
      </c>
      <c r="P48" s="60">
        <v>2.31</v>
      </c>
      <c r="Q48" s="60">
        <v>7.30</v>
      </c>
      <c r="R48" s="198"/>
      <c r="S48" s="198"/>
      <c r="T48" s="198"/>
      <c r="U48" s="198"/>
    </row>
    <row r="49" spans="1:21" s="12" customFormat="1" ht="15">
      <c r="A49" s="201" t="s">
        <v>2591</v>
      </c>
      <c r="B49" s="60">
        <v>2.3199999999999998</v>
      </c>
      <c r="C49" s="60">
        <v>20.74</v>
      </c>
      <c r="D49" s="60">
        <v>23.06</v>
      </c>
      <c r="E49" s="60">
        <v>4.76</v>
      </c>
      <c r="F49" s="60">
        <v>1.35</v>
      </c>
      <c r="G49" s="60">
        <v>39.43</v>
      </c>
      <c r="H49" s="60">
        <v>11.98</v>
      </c>
      <c r="I49" s="60">
        <v>4.5</v>
      </c>
      <c r="J49" s="60">
        <v>1.02</v>
      </c>
      <c r="K49" s="60">
        <v>343.78</v>
      </c>
      <c r="L49" s="60">
        <v>35.729999999999997</v>
      </c>
      <c r="M49" s="60">
        <v>78.47</v>
      </c>
      <c r="N49" s="60">
        <v>615.70000000000005</v>
      </c>
      <c r="O49" s="60">
        <v>0</v>
      </c>
      <c r="P49" s="60">
        <v>2.33</v>
      </c>
      <c r="Q49" s="60">
        <v>7.30</v>
      </c>
      <c r="R49" s="198"/>
      <c r="S49" s="198"/>
      <c r="T49" s="198"/>
      <c r="U49" s="198"/>
    </row>
    <row r="50" spans="1:21" s="12" customFormat="1" ht="15">
      <c r="A50" s="201" t="s">
        <v>2592</v>
      </c>
      <c r="B50" s="60">
        <v>2.3199999999999998</v>
      </c>
      <c r="C50" s="60">
        <v>20.87</v>
      </c>
      <c r="D50" s="60">
        <v>23.19</v>
      </c>
      <c r="E50" s="60">
        <v>4.66</v>
      </c>
      <c r="F50" s="60">
        <v>1.59</v>
      </c>
      <c r="G50" s="60">
        <v>39.43</v>
      </c>
      <c r="H50" s="60">
        <v>11.98</v>
      </c>
      <c r="I50" s="60">
        <v>4.53</v>
      </c>
      <c r="J50" s="60">
        <v>0.67</v>
      </c>
      <c r="K50" s="60">
        <v>287.92</v>
      </c>
      <c r="L50" s="60">
        <v>36.03</v>
      </c>
      <c r="M50" s="60">
        <v>76.5</v>
      </c>
      <c r="N50" s="60">
        <v>713.80</v>
      </c>
      <c r="O50" s="60">
        <v>0</v>
      </c>
      <c r="P50" s="60">
        <v>2.35</v>
      </c>
      <c r="Q50" s="60">
        <v>7.35</v>
      </c>
      <c r="R50" s="198"/>
      <c r="S50" s="198"/>
      <c r="T50" s="198"/>
      <c r="U50" s="198"/>
    </row>
    <row r="51" spans="1:21" s="12" customFormat="1" ht="15">
      <c r="A51" s="201" t="s">
        <v>2593</v>
      </c>
      <c r="B51" s="60">
        <v>2.62</v>
      </c>
      <c r="C51" s="60">
        <v>22.65</v>
      </c>
      <c r="D51" s="60">
        <v>25.27</v>
      </c>
      <c r="E51" s="60">
        <v>4.74</v>
      </c>
      <c r="F51" s="60">
        <v>1.43</v>
      </c>
      <c r="G51" s="60">
        <v>39.43</v>
      </c>
      <c r="H51" s="60">
        <v>11.98</v>
      </c>
      <c r="I51" s="60">
        <v>4.53</v>
      </c>
      <c r="J51" s="60">
        <v>0.44</v>
      </c>
      <c r="K51" s="60">
        <v>21.86</v>
      </c>
      <c r="L51" s="60">
        <v>35.880000000000003</v>
      </c>
      <c r="M51" s="60">
        <v>76.06</v>
      </c>
      <c r="N51" s="60">
        <v>441.20</v>
      </c>
      <c r="O51" s="60">
        <v>0</v>
      </c>
      <c r="P51" s="60">
        <v>2.39</v>
      </c>
      <c r="Q51" s="60">
        <v>7.90</v>
      </c>
      <c r="R51" s="198"/>
      <c r="S51" s="198"/>
      <c r="T51" s="198"/>
      <c r="U51" s="198"/>
    </row>
    <row r="52" spans="1:21" s="12" customFormat="1" ht="15">
      <c r="A52" s="201" t="s">
        <v>2594</v>
      </c>
      <c r="B52" s="60">
        <v>4.0199999999999996</v>
      </c>
      <c r="C52" s="60">
        <v>33.33</v>
      </c>
      <c r="D52" s="60">
        <v>37.35</v>
      </c>
      <c r="E52" s="60">
        <v>4.09</v>
      </c>
      <c r="F52" s="60">
        <v>4.76</v>
      </c>
      <c r="G52" s="60">
        <v>39.43</v>
      </c>
      <c r="H52" s="60">
        <v>11.98</v>
      </c>
      <c r="I52" s="60">
        <v>4.6100000000000003</v>
      </c>
      <c r="J52" s="60">
        <v>0.48</v>
      </c>
      <c r="K52" s="60">
        <v>265.05</v>
      </c>
      <c r="L52" s="60">
        <v>35.28</v>
      </c>
      <c r="M52" s="60">
        <v>76.84</v>
      </c>
      <c r="N52" s="60">
        <v>305.60000000000002</v>
      </c>
      <c r="O52" s="60">
        <v>0</v>
      </c>
      <c r="P52" s="60">
        <v>2.63</v>
      </c>
      <c r="Q52" s="60">
        <v>10.45</v>
      </c>
      <c r="R52" s="198"/>
      <c r="S52" s="198"/>
      <c r="T52" s="198"/>
      <c r="U52" s="198"/>
    </row>
    <row r="53" spans="1:21" s="12" customFormat="1" ht="15">
      <c r="A53" s="201" t="s">
        <v>2595</v>
      </c>
      <c r="B53" s="60">
        <v>3.06</v>
      </c>
      <c r="C53" s="60">
        <v>31.57</v>
      </c>
      <c r="D53" s="60">
        <v>34.630000000000003</v>
      </c>
      <c r="E53" s="60">
        <v>3.01</v>
      </c>
      <c r="F53" s="60">
        <v>2.31</v>
      </c>
      <c r="G53" s="9" t="s">
        <v>36</v>
      </c>
      <c r="H53" s="9" t="s">
        <v>36</v>
      </c>
      <c r="I53" s="60">
        <v>4.91</v>
      </c>
      <c r="J53" s="60">
        <v>0.13</v>
      </c>
      <c r="K53" s="60">
        <v>263.29000000000002</v>
      </c>
      <c r="L53" s="60">
        <v>34.619999999999997</v>
      </c>
      <c r="M53" s="60">
        <v>78.83</v>
      </c>
      <c r="N53" s="60">
        <v>228.90</v>
      </c>
      <c r="O53" s="60">
        <v>0</v>
      </c>
      <c r="P53" s="60">
        <v>2.65</v>
      </c>
      <c r="Q53" s="60">
        <v>10.72</v>
      </c>
      <c r="R53" s="198"/>
      <c r="S53" s="198"/>
      <c r="T53" s="198"/>
      <c r="U53" s="198"/>
    </row>
    <row r="54" spans="1:21" s="12" customFormat="1" ht="15">
      <c r="A54" s="201" t="s">
        <v>2596</v>
      </c>
      <c r="B54" s="60">
        <v>3.46</v>
      </c>
      <c r="C54" s="60">
        <v>28.36</v>
      </c>
      <c r="D54" s="60">
        <v>31.82</v>
      </c>
      <c r="E54" s="60">
        <v>2.86</v>
      </c>
      <c r="F54" s="60">
        <v>1.56</v>
      </c>
      <c r="G54" s="9" t="s">
        <v>36</v>
      </c>
      <c r="H54" s="9" t="s">
        <v>36</v>
      </c>
      <c r="I54" s="60">
        <v>6.22</v>
      </c>
      <c r="J54" s="60">
        <v>0.86</v>
      </c>
      <c r="K54" s="60">
        <v>227.19</v>
      </c>
      <c r="L54" s="60">
        <v>38.79</v>
      </c>
      <c r="M54" s="60">
        <v>79.63</v>
      </c>
      <c r="N54" s="60">
        <v>248.30</v>
      </c>
      <c r="O54" s="60">
        <v>0</v>
      </c>
      <c r="P54" s="60">
        <v>2.66</v>
      </c>
      <c r="Q54" s="60">
        <v>10.81</v>
      </c>
      <c r="R54" s="198"/>
      <c r="S54" s="198"/>
      <c r="T54" s="198"/>
      <c r="U54" s="198"/>
    </row>
    <row r="55" spans="1:21" s="12" customFormat="1" ht="15">
      <c r="A55" s="201" t="s">
        <v>2597</v>
      </c>
      <c r="B55" s="60">
        <v>3</v>
      </c>
      <c r="C55" s="60">
        <v>25.60</v>
      </c>
      <c r="D55" s="60">
        <v>28.59</v>
      </c>
      <c r="E55" s="60">
        <v>2.59</v>
      </c>
      <c r="F55" s="60">
        <v>1.79</v>
      </c>
      <c r="G55" s="9" t="s">
        <v>36</v>
      </c>
      <c r="H55" s="9" t="s">
        <v>36</v>
      </c>
      <c r="I55" s="60">
        <v>7.11</v>
      </c>
      <c r="J55" s="60">
        <v>1.88</v>
      </c>
      <c r="K55" s="60">
        <v>216.79</v>
      </c>
      <c r="L55" s="60">
        <v>42.21</v>
      </c>
      <c r="M55" s="60">
        <v>78.67</v>
      </c>
      <c r="N55" s="60">
        <v>393.20</v>
      </c>
      <c r="O55" s="60">
        <v>0</v>
      </c>
      <c r="P55" s="60">
        <v>2.61</v>
      </c>
      <c r="Q55" s="60">
        <v>10.94</v>
      </c>
      <c r="R55" s="198"/>
      <c r="S55" s="198"/>
      <c r="T55" s="198"/>
      <c r="U55" s="198"/>
    </row>
    <row r="56" spans="1:21" s="12" customFormat="1" ht="15">
      <c r="A56" s="201" t="s">
        <v>2598</v>
      </c>
      <c r="B56" s="60">
        <v>1.91</v>
      </c>
      <c r="C56" s="60">
        <v>21.97</v>
      </c>
      <c r="D56" s="60">
        <v>23.89</v>
      </c>
      <c r="E56" s="60">
        <v>1.56</v>
      </c>
      <c r="F56" s="60">
        <v>2.4900000000000002</v>
      </c>
      <c r="G56" s="9" t="s">
        <v>36</v>
      </c>
      <c r="H56" s="9" t="s">
        <v>36</v>
      </c>
      <c r="I56" s="60">
        <v>7</v>
      </c>
      <c r="J56" s="60">
        <v>1.07</v>
      </c>
      <c r="K56" s="60">
        <v>255.53</v>
      </c>
      <c r="L56" s="60">
        <v>41.07</v>
      </c>
      <c r="M56" s="60">
        <v>76.59</v>
      </c>
      <c r="N56" s="60">
        <v>493.80</v>
      </c>
      <c r="O56" s="60">
        <v>0</v>
      </c>
      <c r="P56" s="60">
        <v>2.52</v>
      </c>
      <c r="Q56" s="60">
        <v>11.54</v>
      </c>
      <c r="R56" s="198"/>
      <c r="S56" s="198"/>
      <c r="T56" s="198"/>
      <c r="U56" s="198"/>
    </row>
    <row r="57" spans="1:21" s="12" customFormat="1" ht="15">
      <c r="A57" s="201" t="s">
        <v>2599</v>
      </c>
      <c r="B57" s="60">
        <v>1.01</v>
      </c>
      <c r="C57" s="60">
        <v>22.21</v>
      </c>
      <c r="D57" s="60">
        <v>23.22</v>
      </c>
      <c r="E57" s="60">
        <v>1.94</v>
      </c>
      <c r="F57" s="60">
        <v>9.27</v>
      </c>
      <c r="G57" s="60">
        <v>33.909999999999997</v>
      </c>
      <c r="H57" s="60">
        <v>10.27</v>
      </c>
      <c r="I57" s="60">
        <v>6.24</v>
      </c>
      <c r="J57" s="60">
        <v>2.76</v>
      </c>
      <c r="K57" s="60">
        <v>200.91</v>
      </c>
      <c r="L57" s="60">
        <v>43.10</v>
      </c>
      <c r="M57" s="60">
        <v>76.47</v>
      </c>
      <c r="N57" s="60">
        <v>507.20</v>
      </c>
      <c r="O57" s="60">
        <v>0</v>
      </c>
      <c r="P57" s="60">
        <v>2.4300000000000002</v>
      </c>
      <c r="Q57" s="60">
        <v>13.45</v>
      </c>
      <c r="R57" s="198"/>
      <c r="S57" s="198"/>
      <c r="T57" s="198"/>
      <c r="U57" s="198"/>
    </row>
    <row r="58" spans="1:21" s="12" customFormat="1" ht="15">
      <c r="A58" s="201" t="s">
        <v>2600</v>
      </c>
      <c r="B58" s="60">
        <v>0.96</v>
      </c>
      <c r="C58" s="60">
        <v>19.93</v>
      </c>
      <c r="D58" s="60">
        <v>20.89</v>
      </c>
      <c r="E58" s="60">
        <v>2.2599999999999998</v>
      </c>
      <c r="F58" s="60">
        <v>6.11</v>
      </c>
      <c r="G58" s="60">
        <v>95.38</v>
      </c>
      <c r="H58" s="60">
        <v>28.88</v>
      </c>
      <c r="I58" s="9" t="s">
        <v>36</v>
      </c>
      <c r="J58" s="60">
        <v>0.55000000000000004</v>
      </c>
      <c r="K58" s="60">
        <v>218.95</v>
      </c>
      <c r="L58" s="60">
        <v>42.11</v>
      </c>
      <c r="M58" s="60">
        <v>75.47</v>
      </c>
      <c r="N58" s="60">
        <v>614.79999999999995</v>
      </c>
      <c r="O58" s="60">
        <v>0</v>
      </c>
      <c r="P58" s="60">
        <v>2.4300000000000002</v>
      </c>
      <c r="Q58" s="60">
        <v>17.97</v>
      </c>
      <c r="R58" s="198"/>
      <c r="S58" s="198"/>
      <c r="T58" s="198"/>
      <c r="U58" s="198"/>
    </row>
    <row r="59" spans="1:21" s="12" customFormat="1" ht="15">
      <c r="A59" s="201" t="s">
        <v>2601</v>
      </c>
      <c r="B59" s="60">
        <v>1.97</v>
      </c>
      <c r="C59" s="60">
        <v>22.41</v>
      </c>
      <c r="D59" s="60">
        <v>24.38</v>
      </c>
      <c r="E59" s="60">
        <v>2.25</v>
      </c>
      <c r="F59" s="60">
        <v>223.82</v>
      </c>
      <c r="G59" s="60">
        <v>95.38</v>
      </c>
      <c r="H59" s="60">
        <v>28.88</v>
      </c>
      <c r="I59" s="9" t="s">
        <v>36</v>
      </c>
      <c r="J59" s="60">
        <v>1.24</v>
      </c>
      <c r="K59" s="60">
        <v>286.47000000000003</v>
      </c>
      <c r="L59" s="60">
        <v>43.47</v>
      </c>
      <c r="M59" s="60">
        <v>73.58</v>
      </c>
      <c r="N59" s="60">
        <v>912.10</v>
      </c>
      <c r="O59" s="60">
        <v>0</v>
      </c>
      <c r="P59" s="60">
        <v>2.52</v>
      </c>
      <c r="Q59" s="60">
        <v>22.65</v>
      </c>
      <c r="R59" s="198"/>
      <c r="S59" s="198"/>
      <c r="T59" s="198"/>
      <c r="U59" s="198"/>
    </row>
    <row r="60" spans="1:21" s="12" customFormat="1" ht="15">
      <c r="A60" s="201" t="s">
        <v>2602</v>
      </c>
      <c r="B60" s="60">
        <v>1.55</v>
      </c>
      <c r="C60" s="60">
        <v>24.44</v>
      </c>
      <c r="D60" s="60">
        <v>25.98</v>
      </c>
      <c r="E60" s="60">
        <v>1.79</v>
      </c>
      <c r="F60" s="60">
        <v>297.41000000000003</v>
      </c>
      <c r="G60" s="60">
        <v>95.38</v>
      </c>
      <c r="H60" s="60">
        <v>28.88</v>
      </c>
      <c r="I60" s="9" t="s">
        <v>36</v>
      </c>
      <c r="J60" s="60">
        <v>0.74</v>
      </c>
      <c r="K60" s="60">
        <v>286.66000000000003</v>
      </c>
      <c r="L60" s="60">
        <v>48.41</v>
      </c>
      <c r="M60" s="60">
        <v>69.83</v>
      </c>
      <c r="N60" s="60">
        <v>1557.60</v>
      </c>
      <c r="O60" s="60">
        <v>0</v>
      </c>
      <c r="P60" s="60">
        <v>2.48</v>
      </c>
      <c r="Q60" s="60">
        <v>31.81</v>
      </c>
      <c r="R60" s="198"/>
      <c r="S60" s="198"/>
      <c r="T60" s="198"/>
      <c r="U60" s="198"/>
    </row>
    <row r="61" spans="1:21" s="12" customFormat="1" ht="15">
      <c r="A61" s="201" t="s">
        <v>2603</v>
      </c>
      <c r="B61" s="60">
        <v>0.91</v>
      </c>
      <c r="C61" s="60">
        <v>23.38</v>
      </c>
      <c r="D61" s="60">
        <v>24.29</v>
      </c>
      <c r="E61" s="60">
        <v>1.86</v>
      </c>
      <c r="F61" s="60">
        <v>6.91</v>
      </c>
      <c r="G61" s="60">
        <v>88.61</v>
      </c>
      <c r="H61" s="60">
        <v>26.58</v>
      </c>
      <c r="I61" s="9" t="s">
        <v>36</v>
      </c>
      <c r="J61" s="60">
        <v>1.05</v>
      </c>
      <c r="K61" s="60">
        <v>238.66</v>
      </c>
      <c r="L61" s="60">
        <v>47.15</v>
      </c>
      <c r="M61" s="60">
        <v>69.150000000000006</v>
      </c>
      <c r="N61" s="60">
        <v>1559.70</v>
      </c>
      <c r="O61" s="60">
        <v>0</v>
      </c>
      <c r="P61" s="60">
        <v>2.40</v>
      </c>
      <c r="Q61" s="60">
        <v>37.78</v>
      </c>
      <c r="R61" s="198"/>
      <c r="S61" s="198"/>
      <c r="T61" s="198"/>
      <c r="U61" s="198"/>
    </row>
    <row r="62" spans="1:21" s="12" customFormat="1" ht="15">
      <c r="A62" s="201" t="s">
        <v>2604</v>
      </c>
      <c r="B62" s="60">
        <v>0.49</v>
      </c>
      <c r="C62" s="60">
        <v>20.82</v>
      </c>
      <c r="D62" s="60">
        <v>21.31</v>
      </c>
      <c r="E62" s="60">
        <v>1.90</v>
      </c>
      <c r="F62" s="60">
        <v>5</v>
      </c>
      <c r="G62" s="60">
        <v>76.33</v>
      </c>
      <c r="H62" s="60">
        <v>22.40</v>
      </c>
      <c r="I62" s="60">
        <v>44.32</v>
      </c>
      <c r="J62" s="60">
        <v>1.69</v>
      </c>
      <c r="K62" s="60">
        <v>11.13</v>
      </c>
      <c r="L62" s="60">
        <v>47.20</v>
      </c>
      <c r="M62" s="60">
        <v>66.709999999999994</v>
      </c>
      <c r="N62" s="60">
        <v>1303.20</v>
      </c>
      <c r="O62" s="60">
        <v>0</v>
      </c>
      <c r="P62" s="60">
        <v>2.38</v>
      </c>
      <c r="Q62" s="60">
        <v>32.36</v>
      </c>
      <c r="R62" s="198"/>
      <c r="S62" s="198"/>
      <c r="T62" s="198"/>
      <c r="U62" s="198"/>
    </row>
    <row r="63" spans="1:21" s="12" customFormat="1" ht="15">
      <c r="A63" s="201" t="s">
        <v>2605</v>
      </c>
      <c r="B63" s="60">
        <v>0.56999999999999995</v>
      </c>
      <c r="C63" s="60">
        <v>19.45</v>
      </c>
      <c r="D63" s="60">
        <v>20.02</v>
      </c>
      <c r="E63" s="60">
        <v>1.87</v>
      </c>
      <c r="F63" s="60">
        <v>3.17</v>
      </c>
      <c r="G63" s="60">
        <v>76.33</v>
      </c>
      <c r="H63" s="60">
        <v>22.40</v>
      </c>
      <c r="I63" s="60">
        <v>41.83</v>
      </c>
      <c r="J63" s="60">
        <v>1.35</v>
      </c>
      <c r="K63" s="60">
        <v>338.51</v>
      </c>
      <c r="L63" s="60">
        <v>47.35</v>
      </c>
      <c r="M63" s="60">
        <v>66.260000000000005</v>
      </c>
      <c r="N63" s="60">
        <v>1183.30</v>
      </c>
      <c r="O63" s="60">
        <v>0</v>
      </c>
      <c r="P63" s="60">
        <v>2.39</v>
      </c>
      <c r="Q63" s="60">
        <v>24.22</v>
      </c>
      <c r="R63" s="198"/>
      <c r="S63" s="198"/>
      <c r="T63" s="198"/>
      <c r="U63" s="198"/>
    </row>
    <row r="64" spans="1:21" s="12" customFormat="1" ht="15">
      <c r="A64" s="201" t="s">
        <v>2606</v>
      </c>
      <c r="B64" s="60">
        <v>0.81</v>
      </c>
      <c r="C64" s="60">
        <v>19.72</v>
      </c>
      <c r="D64" s="60">
        <v>20.54</v>
      </c>
      <c r="E64" s="60">
        <v>2.46</v>
      </c>
      <c r="F64" s="60">
        <v>4.92</v>
      </c>
      <c r="G64" s="60">
        <v>76.33</v>
      </c>
      <c r="H64" s="60">
        <v>22.40</v>
      </c>
      <c r="I64" s="60">
        <v>26.35</v>
      </c>
      <c r="J64" s="60">
        <v>1.52</v>
      </c>
      <c r="K64" s="60">
        <v>297.95</v>
      </c>
      <c r="L64" s="60">
        <v>49.05</v>
      </c>
      <c r="M64" s="60">
        <v>64.239999999999995</v>
      </c>
      <c r="N64" s="60">
        <v>1495</v>
      </c>
      <c r="O64" s="60">
        <v>0</v>
      </c>
      <c r="P64" s="60">
        <v>2.41</v>
      </c>
      <c r="Q64" s="60">
        <v>19.920000000000002</v>
      </c>
      <c r="R64" s="198"/>
      <c r="S64" s="198"/>
      <c r="T64" s="198"/>
      <c r="U64" s="198"/>
    </row>
    <row r="65" spans="1:21" s="12" customFormat="1" ht="15">
      <c r="A65" s="201" t="s">
        <v>2607</v>
      </c>
      <c r="B65" s="60">
        <v>0.81</v>
      </c>
      <c r="C65" s="60">
        <v>19.690000000000001</v>
      </c>
      <c r="D65" s="60">
        <v>20.5</v>
      </c>
      <c r="E65" s="60">
        <v>2.21</v>
      </c>
      <c r="F65" s="60">
        <v>4.95</v>
      </c>
      <c r="G65" s="60">
        <v>72.22</v>
      </c>
      <c r="H65" s="60">
        <v>23.08</v>
      </c>
      <c r="I65" s="60">
        <v>21.26</v>
      </c>
      <c r="J65" s="60">
        <v>2.12</v>
      </c>
      <c r="K65" s="60">
        <v>300</v>
      </c>
      <c r="L65" s="60">
        <v>49.06</v>
      </c>
      <c r="M65" s="60">
        <v>63.02</v>
      </c>
      <c r="N65" s="60">
        <v>1326.20</v>
      </c>
      <c r="O65" s="60">
        <v>0</v>
      </c>
      <c r="P65" s="60">
        <v>2.41</v>
      </c>
      <c r="Q65" s="60">
        <v>17.489999999999998</v>
      </c>
      <c r="R65" s="198"/>
      <c r="S65" s="198"/>
      <c r="T65" s="198"/>
      <c r="U65" s="198"/>
    </row>
    <row r="66" spans="1:21" s="12" customFormat="1" ht="15">
      <c r="A66" s="201" t="s">
        <v>2608</v>
      </c>
      <c r="B66" s="60">
        <v>0.87</v>
      </c>
      <c r="C66" s="60">
        <v>19.829999999999998</v>
      </c>
      <c r="D66" s="60">
        <v>20.70</v>
      </c>
      <c r="E66" s="60">
        <v>2.36</v>
      </c>
      <c r="F66" s="60">
        <v>5.07</v>
      </c>
      <c r="G66" s="60">
        <v>64.760000000000005</v>
      </c>
      <c r="H66" s="60">
        <v>24.31</v>
      </c>
      <c r="I66" s="60">
        <v>16.899999999999999</v>
      </c>
      <c r="J66" s="60">
        <v>0.80</v>
      </c>
      <c r="K66" s="60">
        <v>241.87</v>
      </c>
      <c r="L66" s="60">
        <v>49.04</v>
      </c>
      <c r="M66" s="60">
        <v>63.55</v>
      </c>
      <c r="N66" s="60">
        <v>1238.20</v>
      </c>
      <c r="O66" s="60">
        <v>0</v>
      </c>
      <c r="P66" s="60">
        <v>2.37</v>
      </c>
      <c r="Q66" s="60">
        <v>16.64</v>
      </c>
      <c r="R66" s="198"/>
      <c r="S66" s="198"/>
      <c r="T66" s="198"/>
      <c r="U66" s="198"/>
    </row>
    <row r="67" spans="1:21" s="12" customFormat="1" ht="15">
      <c r="A67" s="201" t="s">
        <v>2609</v>
      </c>
      <c r="B67" s="60">
        <v>0.53</v>
      </c>
      <c r="C67" s="60">
        <v>18.96</v>
      </c>
      <c r="D67" s="60">
        <v>19.48</v>
      </c>
      <c r="E67" s="60">
        <v>2.33</v>
      </c>
      <c r="F67" s="60">
        <v>7.14</v>
      </c>
      <c r="G67" s="60">
        <v>64.760000000000005</v>
      </c>
      <c r="H67" s="60">
        <v>24.31</v>
      </c>
      <c r="I67" s="60">
        <v>14.47</v>
      </c>
      <c r="J67" s="60">
        <v>1.63</v>
      </c>
      <c r="K67" s="60">
        <v>321.56</v>
      </c>
      <c r="L67" s="60">
        <v>44.97</v>
      </c>
      <c r="M67" s="60">
        <v>62.64</v>
      </c>
      <c r="N67" s="60">
        <v>1093.30</v>
      </c>
      <c r="O67" s="60">
        <v>0</v>
      </c>
      <c r="P67" s="60">
        <v>2.33</v>
      </c>
      <c r="Q67" s="60">
        <v>16.63</v>
      </c>
      <c r="R67" s="198"/>
      <c r="S67" s="198"/>
      <c r="T67" s="198"/>
      <c r="U67" s="198"/>
    </row>
    <row r="68" spans="1:21" s="12" customFormat="1" ht="15">
      <c r="A68" s="201" t="s">
        <v>2610</v>
      </c>
      <c r="B68" s="60">
        <v>0.81</v>
      </c>
      <c r="C68" s="60">
        <v>21.66</v>
      </c>
      <c r="D68" s="60">
        <v>22.48</v>
      </c>
      <c r="E68" s="60">
        <v>2.21</v>
      </c>
      <c r="F68" s="60">
        <v>7.84</v>
      </c>
      <c r="G68" s="60">
        <v>64.760000000000005</v>
      </c>
      <c r="H68" s="60">
        <v>24.31</v>
      </c>
      <c r="I68" s="60">
        <v>12.46</v>
      </c>
      <c r="J68" s="60">
        <v>2.61</v>
      </c>
      <c r="K68" s="60">
        <v>305.44</v>
      </c>
      <c r="L68" s="60">
        <v>44.42</v>
      </c>
      <c r="M68" s="60">
        <v>60.28</v>
      </c>
      <c r="N68" s="60">
        <v>837.80</v>
      </c>
      <c r="O68" s="60">
        <v>0</v>
      </c>
      <c r="P68" s="60">
        <v>2.37</v>
      </c>
      <c r="Q68" s="60">
        <v>18.010000000000002</v>
      </c>
      <c r="R68" s="198"/>
      <c r="S68" s="198"/>
      <c r="T68" s="198"/>
      <c r="U68" s="198"/>
    </row>
    <row r="69" spans="1:21" s="12" customFormat="1" ht="15">
      <c r="A69" s="201" t="s">
        <v>2611</v>
      </c>
      <c r="B69" s="60">
        <v>0.68</v>
      </c>
      <c r="C69" s="60">
        <v>25.79</v>
      </c>
      <c r="D69" s="60">
        <v>26.46</v>
      </c>
      <c r="E69" s="60">
        <v>2.23</v>
      </c>
      <c r="F69" s="60">
        <v>8.06</v>
      </c>
      <c r="G69" s="60">
        <v>64.760000000000005</v>
      </c>
      <c r="H69" s="60">
        <v>24.31</v>
      </c>
      <c r="I69" s="60">
        <v>10.69</v>
      </c>
      <c r="J69" s="60">
        <v>0.83</v>
      </c>
      <c r="K69" s="60">
        <v>268.38</v>
      </c>
      <c r="L69" s="60">
        <v>43.60</v>
      </c>
      <c r="M69" s="60">
        <v>62.87</v>
      </c>
      <c r="N69" s="60">
        <v>874.20</v>
      </c>
      <c r="O69" s="60">
        <v>0</v>
      </c>
      <c r="P69" s="60">
        <v>2.38</v>
      </c>
      <c r="Q69" s="60">
        <v>20.11</v>
      </c>
      <c r="R69" s="198"/>
      <c r="S69" s="198"/>
      <c r="T69" s="198"/>
      <c r="U69" s="198"/>
    </row>
    <row r="70" spans="1:21" s="12" customFormat="1" ht="15">
      <c r="A70" s="201" t="s">
        <v>2612</v>
      </c>
      <c r="B70" s="60">
        <v>0.56000000000000005</v>
      </c>
      <c r="C70" s="60">
        <v>22.84</v>
      </c>
      <c r="D70" s="60">
        <v>23.40</v>
      </c>
      <c r="E70" s="60">
        <v>1.69</v>
      </c>
      <c r="F70" s="60">
        <v>6.77</v>
      </c>
      <c r="G70" s="60">
        <v>64.760000000000005</v>
      </c>
      <c r="H70" s="60">
        <v>24.31</v>
      </c>
      <c r="I70" s="60">
        <v>10.28</v>
      </c>
      <c r="J70" s="60">
        <v>2.13</v>
      </c>
      <c r="K70" s="60">
        <v>328.34</v>
      </c>
      <c r="L70" s="8" t="s">
        <v>34</v>
      </c>
      <c r="M70" s="60">
        <v>61.40</v>
      </c>
      <c r="N70" s="60">
        <v>1034.30</v>
      </c>
      <c r="O70" s="60">
        <v>0</v>
      </c>
      <c r="P70" s="60">
        <v>2.37</v>
      </c>
      <c r="Q70" s="60">
        <v>27.48</v>
      </c>
      <c r="R70" s="198"/>
      <c r="S70" s="198"/>
      <c r="T70" s="198"/>
      <c r="U70" s="198"/>
    </row>
    <row r="71" spans="1:21" s="12" customFormat="1" ht="15">
      <c r="A71" s="201" t="s">
        <v>2613</v>
      </c>
      <c r="B71" s="60">
        <v>0.87</v>
      </c>
      <c r="C71" s="60">
        <v>22.36</v>
      </c>
      <c r="D71" s="60">
        <v>23.23</v>
      </c>
      <c r="E71" s="60">
        <v>1.64</v>
      </c>
      <c r="F71" s="60">
        <v>5.92</v>
      </c>
      <c r="G71" s="60">
        <v>64.760000000000005</v>
      </c>
      <c r="H71" s="60">
        <v>24.31</v>
      </c>
      <c r="I71" s="60">
        <v>9.8699999999999992</v>
      </c>
      <c r="J71" s="60">
        <v>2.08</v>
      </c>
      <c r="K71" s="60">
        <v>288.52999999999997</v>
      </c>
      <c r="L71" s="8" t="s">
        <v>34</v>
      </c>
      <c r="M71" s="60">
        <v>59.87</v>
      </c>
      <c r="N71" s="60">
        <v>696.80</v>
      </c>
      <c r="O71" s="60">
        <v>0</v>
      </c>
      <c r="P71" s="60">
        <v>2.46</v>
      </c>
      <c r="Q71" s="60">
        <v>46.59</v>
      </c>
      <c r="R71" s="198"/>
      <c r="S71" s="198"/>
      <c r="T71" s="198"/>
      <c r="U71" s="198"/>
    </row>
    <row r="72" spans="1:21" s="12" customFormat="1" ht="15">
      <c r="A72" s="201" t="s">
        <v>2614</v>
      </c>
      <c r="B72" s="60">
        <v>0.62</v>
      </c>
      <c r="C72" s="60">
        <v>21.77</v>
      </c>
      <c r="D72" s="60">
        <v>22.38</v>
      </c>
      <c r="E72" s="60">
        <v>0.99</v>
      </c>
      <c r="F72" s="60">
        <v>8.34</v>
      </c>
      <c r="G72" s="60">
        <v>64.760000000000005</v>
      </c>
      <c r="H72" s="60">
        <v>24.31</v>
      </c>
      <c r="I72" s="60">
        <v>8.84</v>
      </c>
      <c r="J72" s="60">
        <v>0.43</v>
      </c>
      <c r="K72" s="60">
        <v>130.53</v>
      </c>
      <c r="L72" s="8" t="s">
        <v>34</v>
      </c>
      <c r="M72" s="60">
        <v>62.66</v>
      </c>
      <c r="N72" s="60">
        <v>576.10</v>
      </c>
      <c r="O72" s="60">
        <v>0</v>
      </c>
      <c r="P72" s="60">
        <v>2.4500000000000002</v>
      </c>
      <c r="Q72" s="60">
        <v>60.67</v>
      </c>
      <c r="R72" s="198"/>
      <c r="S72" s="198"/>
      <c r="T72" s="198"/>
      <c r="U72" s="198"/>
    </row>
    <row r="73" spans="1:21" s="12" customFormat="1" ht="15">
      <c r="A73" s="201" t="s">
        <v>2615</v>
      </c>
      <c r="B73" s="60">
        <v>0.22</v>
      </c>
      <c r="C73" s="60">
        <v>23.04</v>
      </c>
      <c r="D73" s="60">
        <v>23.26</v>
      </c>
      <c r="E73" s="60">
        <v>2.4900000000000002</v>
      </c>
      <c r="F73" s="60">
        <v>9.64</v>
      </c>
      <c r="G73" s="26" t="s">
        <v>40</v>
      </c>
      <c r="H73" s="26" t="s">
        <v>40</v>
      </c>
      <c r="I73" s="60">
        <v>9.17</v>
      </c>
      <c r="J73" s="60">
        <v>1.35</v>
      </c>
      <c r="K73" s="60">
        <v>224.88</v>
      </c>
      <c r="L73" s="60">
        <v>45.98</v>
      </c>
      <c r="M73" s="60">
        <v>63.30</v>
      </c>
      <c r="N73" s="60">
        <v>574</v>
      </c>
      <c r="O73" s="60">
        <v>0</v>
      </c>
      <c r="P73" s="60">
        <v>2.46</v>
      </c>
      <c r="Q73" s="60">
        <v>54.87</v>
      </c>
      <c r="R73" s="198"/>
      <c r="S73" s="198"/>
      <c r="T73" s="198"/>
      <c r="U73" s="198"/>
    </row>
    <row r="74" spans="1:21" s="12" customFormat="1" ht="15">
      <c r="A74" s="201" t="s">
        <v>2616</v>
      </c>
      <c r="B74" s="60">
        <v>0.52</v>
      </c>
      <c r="C74" s="60">
        <v>25.43</v>
      </c>
      <c r="D74" s="60">
        <v>25.94</v>
      </c>
      <c r="E74" s="60">
        <v>2.2000000000000002</v>
      </c>
      <c r="F74" s="60">
        <v>9.11</v>
      </c>
      <c r="G74" s="26" t="s">
        <v>40</v>
      </c>
      <c r="H74" s="26" t="s">
        <v>40</v>
      </c>
      <c r="I74" s="60">
        <v>9.0399999999999991</v>
      </c>
      <c r="J74" s="60">
        <v>0.67</v>
      </c>
      <c r="K74" s="60">
        <v>229.98</v>
      </c>
      <c r="L74" s="60">
        <v>47.86</v>
      </c>
      <c r="M74" s="60">
        <v>63.17</v>
      </c>
      <c r="N74" s="60">
        <v>572.90</v>
      </c>
      <c r="O74" s="60">
        <v>0</v>
      </c>
      <c r="P74" s="60">
        <v>2.54</v>
      </c>
      <c r="Q74" s="60">
        <v>59.24</v>
      </c>
      <c r="R74" s="198"/>
      <c r="S74" s="198"/>
      <c r="T74" s="198"/>
      <c r="U74" s="198"/>
    </row>
    <row r="75" spans="1:21" s="12" customFormat="1" ht="15">
      <c r="A75" s="201" t="s">
        <v>2617</v>
      </c>
      <c r="B75" s="60">
        <v>0.73</v>
      </c>
      <c r="C75" s="60">
        <v>30.73</v>
      </c>
      <c r="D75" s="60">
        <v>31.46</v>
      </c>
      <c r="E75" s="60">
        <v>2.25</v>
      </c>
      <c r="F75" s="60">
        <v>9.74</v>
      </c>
      <c r="G75" s="26" t="s">
        <v>40</v>
      </c>
      <c r="H75" s="26" t="s">
        <v>40</v>
      </c>
      <c r="I75" s="60">
        <v>10.17</v>
      </c>
      <c r="J75" s="60">
        <v>1.42</v>
      </c>
      <c r="K75" s="60">
        <v>338.85</v>
      </c>
      <c r="L75" s="60">
        <v>47.16</v>
      </c>
      <c r="M75" s="60">
        <v>63.31</v>
      </c>
      <c r="N75" s="60">
        <v>500.80</v>
      </c>
      <c r="O75" s="60">
        <v>0</v>
      </c>
      <c r="P75" s="60">
        <v>2.68</v>
      </c>
      <c r="Q75" s="60">
        <v>60.42</v>
      </c>
      <c r="R75" s="198"/>
      <c r="S75" s="198"/>
      <c r="T75" s="198"/>
      <c r="U75" s="198"/>
    </row>
    <row r="76" spans="1:21" s="12" customFormat="1" ht="15">
      <c r="A76" s="201" t="s">
        <v>2618</v>
      </c>
      <c r="B76" s="60">
        <v>0.46</v>
      </c>
      <c r="C76" s="60">
        <v>32.82</v>
      </c>
      <c r="D76" s="60">
        <v>33.28</v>
      </c>
      <c r="E76" s="60">
        <v>1.91</v>
      </c>
      <c r="F76" s="60">
        <v>5.14</v>
      </c>
      <c r="G76" s="26" t="s">
        <v>40</v>
      </c>
      <c r="H76" s="26" t="s">
        <v>40</v>
      </c>
      <c r="I76" s="60">
        <v>10.66</v>
      </c>
      <c r="J76" s="60">
        <v>1.1000000000000001</v>
      </c>
      <c r="K76" s="60">
        <v>211.98</v>
      </c>
      <c r="L76" s="60">
        <v>46.23</v>
      </c>
      <c r="M76" s="60">
        <v>62.61</v>
      </c>
      <c r="N76" s="60">
        <v>499.80</v>
      </c>
      <c r="O76" s="60">
        <v>0</v>
      </c>
      <c r="P76" s="60">
        <v>2.74</v>
      </c>
      <c r="Q76" s="60">
        <v>53.11</v>
      </c>
      <c r="R76" s="198"/>
      <c r="S76" s="198"/>
      <c r="T76" s="198"/>
      <c r="U76" s="198"/>
    </row>
    <row r="77" spans="1:21" s="12" customFormat="1" ht="15">
      <c r="A77" s="201" t="s">
        <v>2619</v>
      </c>
      <c r="B77" s="60">
        <v>0.44</v>
      </c>
      <c r="C77" s="60">
        <v>29.41</v>
      </c>
      <c r="D77" s="60">
        <v>29.85</v>
      </c>
      <c r="E77" s="60">
        <v>2.59</v>
      </c>
      <c r="F77" s="60">
        <v>3.38</v>
      </c>
      <c r="G77" s="60">
        <v>27.59</v>
      </c>
      <c r="H77" s="60">
        <v>8.44</v>
      </c>
      <c r="I77" s="60">
        <v>10.78</v>
      </c>
      <c r="J77" s="60">
        <v>0.34</v>
      </c>
      <c r="K77" s="60">
        <v>237.43</v>
      </c>
      <c r="L77" s="60">
        <v>46.06</v>
      </c>
      <c r="M77" s="60">
        <v>63.75</v>
      </c>
      <c r="N77" s="60">
        <v>478.20</v>
      </c>
      <c r="O77" s="60">
        <v>0</v>
      </c>
      <c r="P77" s="60">
        <v>2.71</v>
      </c>
      <c r="Q77" s="60">
        <v>57.88</v>
      </c>
      <c r="R77" s="198"/>
      <c r="S77" s="198"/>
      <c r="T77" s="198"/>
      <c r="U77" s="198"/>
    </row>
    <row r="78" spans="1:21" s="12" customFormat="1" ht="15">
      <c r="A78" s="201" t="s">
        <v>2620</v>
      </c>
      <c r="B78" s="60">
        <v>0.74</v>
      </c>
      <c r="C78" s="60">
        <v>26.71</v>
      </c>
      <c r="D78" s="60">
        <v>27.44</v>
      </c>
      <c r="E78" s="60">
        <v>2.44</v>
      </c>
      <c r="F78" s="60">
        <v>2.74</v>
      </c>
      <c r="G78" s="60">
        <v>95.5</v>
      </c>
      <c r="H78" s="60">
        <v>29.23</v>
      </c>
      <c r="I78" s="60">
        <v>10.98</v>
      </c>
      <c r="J78" s="60">
        <v>2.25</v>
      </c>
      <c r="K78" s="60">
        <v>334.80</v>
      </c>
      <c r="L78" s="60">
        <v>47.91</v>
      </c>
      <c r="M78" s="60">
        <v>67.92</v>
      </c>
      <c r="N78" s="60">
        <v>460.30</v>
      </c>
      <c r="O78" s="60">
        <v>0</v>
      </c>
      <c r="P78" s="60">
        <v>2.70</v>
      </c>
      <c r="Q78" s="60">
        <v>53.47</v>
      </c>
      <c r="R78" s="198"/>
      <c r="S78" s="198"/>
      <c r="T78" s="198"/>
      <c r="U78" s="198"/>
    </row>
    <row r="79" spans="1:21" s="12" customFormat="1" ht="15">
      <c r="A79" s="201" t="s">
        <v>2621</v>
      </c>
      <c r="B79" s="60">
        <v>0.85</v>
      </c>
      <c r="C79" s="60">
        <v>25.06</v>
      </c>
      <c r="D79" s="60">
        <v>25.91</v>
      </c>
      <c r="E79" s="60">
        <v>2.61</v>
      </c>
      <c r="F79" s="60">
        <v>2.56</v>
      </c>
      <c r="G79" s="60">
        <v>95.5</v>
      </c>
      <c r="H79" s="60">
        <v>29.23</v>
      </c>
      <c r="I79" s="60">
        <v>10.56</v>
      </c>
      <c r="J79" s="60">
        <v>1.34</v>
      </c>
      <c r="K79" s="60">
        <v>8.91</v>
      </c>
      <c r="L79" s="60">
        <v>46.85</v>
      </c>
      <c r="M79" s="60">
        <v>67.790000000000006</v>
      </c>
      <c r="N79" s="60">
        <v>470.5</v>
      </c>
      <c r="O79" s="60">
        <v>0</v>
      </c>
      <c r="P79" s="60">
        <v>2.69</v>
      </c>
      <c r="Q79" s="60">
        <v>46.51</v>
      </c>
      <c r="R79" s="198"/>
      <c r="S79" s="198"/>
      <c r="T79" s="198"/>
      <c r="U79" s="198"/>
    </row>
    <row r="80" spans="1:21" s="12" customFormat="1" ht="15">
      <c r="A80" s="201" t="s">
        <v>2622</v>
      </c>
      <c r="B80" s="60">
        <v>0.81</v>
      </c>
      <c r="C80" s="60">
        <v>23.31</v>
      </c>
      <c r="D80" s="60">
        <v>24.13</v>
      </c>
      <c r="E80" s="60">
        <v>3.01</v>
      </c>
      <c r="F80" s="60">
        <v>3.03</v>
      </c>
      <c r="G80" s="60">
        <v>95.5</v>
      </c>
      <c r="H80" s="60">
        <v>29.23</v>
      </c>
      <c r="I80" s="60">
        <v>10.5</v>
      </c>
      <c r="J80" s="60">
        <v>2.06</v>
      </c>
      <c r="K80" s="60">
        <v>5.65</v>
      </c>
      <c r="L80" s="60">
        <v>45.81</v>
      </c>
      <c r="M80" s="60">
        <v>68.83</v>
      </c>
      <c r="N80" s="60">
        <v>413.70</v>
      </c>
      <c r="O80" s="60">
        <v>0</v>
      </c>
      <c r="P80" s="60">
        <v>2.69</v>
      </c>
      <c r="Q80" s="60">
        <v>35.86</v>
      </c>
      <c r="R80" s="198"/>
      <c r="S80" s="198"/>
      <c r="T80" s="198"/>
      <c r="U80" s="198"/>
    </row>
    <row r="81" spans="1:21" s="12" customFormat="1" ht="15">
      <c r="A81" s="201" t="s">
        <v>2623</v>
      </c>
      <c r="B81" s="60">
        <v>0.76</v>
      </c>
      <c r="C81" s="60">
        <v>22.66</v>
      </c>
      <c r="D81" s="60">
        <v>23.42</v>
      </c>
      <c r="E81" s="60">
        <v>3.38</v>
      </c>
      <c r="F81" s="60">
        <v>2.37</v>
      </c>
      <c r="G81" s="60">
        <v>95.24</v>
      </c>
      <c r="H81" s="60">
        <v>28.89</v>
      </c>
      <c r="I81" s="60">
        <v>9.98</v>
      </c>
      <c r="J81" s="60">
        <v>0.23</v>
      </c>
      <c r="K81" s="60">
        <v>318.14</v>
      </c>
      <c r="L81" s="60">
        <v>45.43</v>
      </c>
      <c r="M81" s="60">
        <v>66.099999999999994</v>
      </c>
      <c r="N81" s="60">
        <v>408.80</v>
      </c>
      <c r="O81" s="60">
        <v>0</v>
      </c>
      <c r="P81" s="60">
        <v>2.69</v>
      </c>
      <c r="Q81" s="60">
        <v>28.70</v>
      </c>
      <c r="R81" s="198"/>
      <c r="S81" s="198"/>
      <c r="T81" s="198"/>
      <c r="U81" s="198"/>
    </row>
    <row r="82" spans="1:21" s="12" customFormat="1" ht="15">
      <c r="A82" s="201" t="s">
        <v>2624</v>
      </c>
      <c r="B82" s="60">
        <v>0.94</v>
      </c>
      <c r="C82" s="60">
        <v>21.95</v>
      </c>
      <c r="D82" s="60">
        <v>22.90</v>
      </c>
      <c r="E82" s="60">
        <v>3.56</v>
      </c>
      <c r="F82" s="60">
        <v>1.90</v>
      </c>
      <c r="G82" s="60">
        <v>94.60</v>
      </c>
      <c r="H82" s="60">
        <v>28.06</v>
      </c>
      <c r="I82" s="60">
        <v>9.64</v>
      </c>
      <c r="J82" s="60">
        <v>2.25</v>
      </c>
      <c r="K82" s="60">
        <v>1.28</v>
      </c>
      <c r="L82" s="60">
        <v>44.65</v>
      </c>
      <c r="M82" s="60">
        <v>69.33</v>
      </c>
      <c r="N82" s="60">
        <v>380.80</v>
      </c>
      <c r="O82" s="60">
        <v>0</v>
      </c>
      <c r="P82" s="60">
        <v>2.69</v>
      </c>
      <c r="Q82" s="60">
        <v>25.52</v>
      </c>
      <c r="R82" s="198"/>
      <c r="S82" s="198"/>
      <c r="T82" s="198"/>
      <c r="U82" s="198"/>
    </row>
    <row r="83" spans="1:21" s="12" customFormat="1" ht="15">
      <c r="A83" s="201" t="s">
        <v>2625</v>
      </c>
      <c r="B83" s="60">
        <v>1.25</v>
      </c>
      <c r="C83" s="60">
        <v>21.10</v>
      </c>
      <c r="D83" s="60">
        <v>22.35</v>
      </c>
      <c r="E83" s="60">
        <v>3.59</v>
      </c>
      <c r="F83" s="60">
        <v>1.64</v>
      </c>
      <c r="G83" s="60">
        <v>94.60</v>
      </c>
      <c r="H83" s="60">
        <v>28.06</v>
      </c>
      <c r="I83" s="60">
        <v>9.61</v>
      </c>
      <c r="J83" s="60">
        <v>2.66</v>
      </c>
      <c r="K83" s="60">
        <v>335.77</v>
      </c>
      <c r="L83" s="60">
        <v>43.61</v>
      </c>
      <c r="M83" s="60">
        <v>72.77</v>
      </c>
      <c r="N83" s="60">
        <v>296.20</v>
      </c>
      <c r="O83" s="60">
        <v>0</v>
      </c>
      <c r="P83" s="60">
        <v>2.69</v>
      </c>
      <c r="Q83" s="60">
        <v>24.70</v>
      </c>
      <c r="R83" s="198"/>
      <c r="S83" s="198"/>
      <c r="T83" s="198"/>
      <c r="U83" s="198"/>
    </row>
    <row r="84" spans="1:21" s="12" customFormat="1" ht="15">
      <c r="A84" s="201" t="s">
        <v>2626</v>
      </c>
      <c r="B84" s="60">
        <v>1.36</v>
      </c>
      <c r="C84" s="60">
        <v>20.14</v>
      </c>
      <c r="D84" s="60">
        <v>21.5</v>
      </c>
      <c r="E84" s="60">
        <v>3.59</v>
      </c>
      <c r="F84" s="60">
        <v>1.79</v>
      </c>
      <c r="G84" s="60">
        <v>94.60</v>
      </c>
      <c r="H84" s="60">
        <v>28.06</v>
      </c>
      <c r="I84" s="60">
        <v>9.5</v>
      </c>
      <c r="J84" s="60">
        <v>2.29</v>
      </c>
      <c r="K84" s="60">
        <v>359.17</v>
      </c>
      <c r="L84" s="60">
        <v>45.07</v>
      </c>
      <c r="M84" s="60">
        <v>71.03</v>
      </c>
      <c r="N84" s="60">
        <v>326.80</v>
      </c>
      <c r="O84" s="60">
        <v>0</v>
      </c>
      <c r="P84" s="60">
        <v>2.69</v>
      </c>
      <c r="Q84" s="60">
        <v>24.5</v>
      </c>
      <c r="R84" s="198"/>
      <c r="S84" s="198"/>
      <c r="T84" s="198"/>
      <c r="U84" s="198"/>
    </row>
    <row r="85" spans="1:21" s="12" customFormat="1" ht="15">
      <c r="A85" s="201" t="s">
        <v>2627</v>
      </c>
      <c r="B85" s="60">
        <v>1.46</v>
      </c>
      <c r="C85" s="60">
        <v>19.54</v>
      </c>
      <c r="D85" s="60">
        <v>21</v>
      </c>
      <c r="E85" s="60">
        <v>3.95</v>
      </c>
      <c r="F85" s="60">
        <v>1.36</v>
      </c>
      <c r="G85" s="60">
        <v>92.64</v>
      </c>
      <c r="H85" s="60">
        <v>27.36</v>
      </c>
      <c r="I85" s="60">
        <v>9.2799999999999994</v>
      </c>
      <c r="J85" s="60">
        <v>0.74</v>
      </c>
      <c r="K85" s="60">
        <v>279.32</v>
      </c>
      <c r="L85" s="60">
        <v>45.68</v>
      </c>
      <c r="M85" s="60">
        <v>69.930000000000007</v>
      </c>
      <c r="N85" s="60">
        <v>308.80</v>
      </c>
      <c r="O85" s="60">
        <v>0</v>
      </c>
      <c r="P85" s="60">
        <v>2.71</v>
      </c>
      <c r="Q85" s="60">
        <v>24.07</v>
      </c>
      <c r="R85" s="198"/>
      <c r="S85" s="198"/>
      <c r="T85" s="198"/>
      <c r="U85" s="198"/>
    </row>
    <row r="86" spans="1:21" s="12" customFormat="1" ht="15">
      <c r="A86" s="201" t="s">
        <v>2628</v>
      </c>
      <c r="B86" s="60">
        <v>1.67</v>
      </c>
      <c r="C86" s="60">
        <v>19.64</v>
      </c>
      <c r="D86" s="60">
        <v>21.31</v>
      </c>
      <c r="E86" s="60">
        <v>3.98</v>
      </c>
      <c r="F86" s="60">
        <v>1.27</v>
      </c>
      <c r="G86" s="60">
        <v>87.81</v>
      </c>
      <c r="H86" s="60">
        <v>25.62</v>
      </c>
      <c r="I86" s="60">
        <v>9.0399999999999991</v>
      </c>
      <c r="J86" s="60">
        <v>0.5</v>
      </c>
      <c r="K86" s="60">
        <v>318.54000000000002</v>
      </c>
      <c r="L86" s="60">
        <v>47.95</v>
      </c>
      <c r="M86" s="60">
        <v>71.760000000000005</v>
      </c>
      <c r="N86" s="60">
        <v>310.89999999999998</v>
      </c>
      <c r="O86" s="60">
        <v>0</v>
      </c>
      <c r="P86" s="60">
        <v>2.73</v>
      </c>
      <c r="Q86" s="60">
        <v>23.91</v>
      </c>
      <c r="R86" s="198"/>
      <c r="S86" s="198"/>
      <c r="T86" s="198"/>
      <c r="U86" s="198"/>
    </row>
    <row r="87" spans="1:21" s="12" customFormat="1" ht="15">
      <c r="A87" s="201" t="s">
        <v>2629</v>
      </c>
      <c r="B87" s="60">
        <v>2.72</v>
      </c>
      <c r="C87" s="60">
        <v>22.78</v>
      </c>
      <c r="D87" s="60">
        <v>25.51</v>
      </c>
      <c r="E87" s="60">
        <v>4.21</v>
      </c>
      <c r="F87" s="60">
        <v>0.79</v>
      </c>
      <c r="G87" s="60">
        <v>87.81</v>
      </c>
      <c r="H87" s="60">
        <v>25.62</v>
      </c>
      <c r="I87" s="60">
        <v>9.02</v>
      </c>
      <c r="J87" s="60">
        <v>0.43</v>
      </c>
      <c r="K87" s="60">
        <v>346.5</v>
      </c>
      <c r="L87" s="60">
        <v>47.51</v>
      </c>
      <c r="M87" s="60">
        <v>72.930000000000007</v>
      </c>
      <c r="N87" s="60">
        <v>338.5</v>
      </c>
      <c r="O87" s="60">
        <v>0</v>
      </c>
      <c r="P87" s="60">
        <v>2.77</v>
      </c>
      <c r="Q87" s="60">
        <v>27.42</v>
      </c>
      <c r="R87" s="198"/>
      <c r="S87" s="198"/>
      <c r="T87" s="198"/>
      <c r="U87" s="198"/>
    </row>
    <row r="88" spans="1:21" s="12" customFormat="1" ht="15">
      <c r="A88" s="201" t="s">
        <v>2630</v>
      </c>
      <c r="B88" s="60">
        <v>2.91</v>
      </c>
      <c r="C88" s="60">
        <v>23.52</v>
      </c>
      <c r="D88" s="60">
        <v>26.43</v>
      </c>
      <c r="E88" s="60">
        <v>1.75</v>
      </c>
      <c r="F88" s="60">
        <v>1.02</v>
      </c>
      <c r="G88" s="60">
        <v>87.81</v>
      </c>
      <c r="H88" s="60">
        <v>25.62</v>
      </c>
      <c r="I88" s="60">
        <v>9.11</v>
      </c>
      <c r="J88" s="60">
        <v>0.76</v>
      </c>
      <c r="K88" s="60">
        <v>321.27</v>
      </c>
      <c r="L88" s="60">
        <v>44.89</v>
      </c>
      <c r="M88" s="60">
        <v>74.31</v>
      </c>
      <c r="N88" s="60">
        <v>325.5</v>
      </c>
      <c r="O88" s="60">
        <v>0</v>
      </c>
      <c r="P88" s="60">
        <v>2.82</v>
      </c>
      <c r="Q88" s="60">
        <v>37.96</v>
      </c>
      <c r="R88" s="198"/>
      <c r="S88" s="198"/>
      <c r="T88" s="198"/>
      <c r="U88" s="198"/>
    </row>
    <row r="89" spans="1:21" s="12" customFormat="1" ht="15">
      <c r="A89" s="201" t="s">
        <v>2631</v>
      </c>
      <c r="B89" s="60">
        <v>2.99</v>
      </c>
      <c r="C89" s="60">
        <v>23.78</v>
      </c>
      <c r="D89" s="60">
        <v>26.77</v>
      </c>
      <c r="E89" s="60">
        <v>4.20</v>
      </c>
      <c r="F89" s="60">
        <v>1.01</v>
      </c>
      <c r="G89" s="60">
        <v>88.65</v>
      </c>
      <c r="H89" s="60">
        <v>25.5</v>
      </c>
      <c r="I89" s="60">
        <v>9.35</v>
      </c>
      <c r="J89" s="60">
        <v>1.60</v>
      </c>
      <c r="K89" s="60">
        <v>329.38</v>
      </c>
      <c r="L89" s="60">
        <v>44.85</v>
      </c>
      <c r="M89" s="60">
        <v>74.91</v>
      </c>
      <c r="N89" s="60">
        <v>323.20</v>
      </c>
      <c r="O89" s="60">
        <v>0</v>
      </c>
      <c r="P89" s="60">
        <v>2.84</v>
      </c>
      <c r="Q89" s="60">
        <v>41.46</v>
      </c>
      <c r="R89" s="198"/>
      <c r="S89" s="198"/>
      <c r="T89" s="198"/>
      <c r="U89" s="198"/>
    </row>
    <row r="90" spans="1:21" s="12" customFormat="1" ht="15">
      <c r="A90" s="201" t="s">
        <v>2632</v>
      </c>
      <c r="B90" s="60">
        <v>3.20</v>
      </c>
      <c r="C90" s="60">
        <v>23.96</v>
      </c>
      <c r="D90" s="60">
        <v>27.15</v>
      </c>
      <c r="E90" s="60">
        <v>3.98</v>
      </c>
      <c r="F90" s="60">
        <v>1.07</v>
      </c>
      <c r="G90" s="60">
        <v>90.73</v>
      </c>
      <c r="H90" s="60">
        <v>25.19</v>
      </c>
      <c r="I90" s="60">
        <v>9.27</v>
      </c>
      <c r="J90" s="60">
        <v>1.75</v>
      </c>
      <c r="K90" s="60">
        <v>10.44</v>
      </c>
      <c r="L90" s="60">
        <v>43.59</v>
      </c>
      <c r="M90" s="60">
        <v>73.77</v>
      </c>
      <c r="N90" s="60">
        <v>331.80</v>
      </c>
      <c r="O90" s="60">
        <v>0</v>
      </c>
      <c r="P90" s="60">
        <v>2.87</v>
      </c>
      <c r="Q90" s="60">
        <v>40.36</v>
      </c>
      <c r="R90" s="198"/>
      <c r="S90" s="198"/>
      <c r="T90" s="198"/>
      <c r="U90" s="198"/>
    </row>
    <row r="91" spans="1:21" s="12" customFormat="1" ht="15">
      <c r="A91" s="201" t="s">
        <v>2633</v>
      </c>
      <c r="B91" s="60">
        <v>3.35</v>
      </c>
      <c r="C91" s="60">
        <v>23.94</v>
      </c>
      <c r="D91" s="60">
        <v>27.29</v>
      </c>
      <c r="E91" s="60">
        <v>4.37</v>
      </c>
      <c r="F91" s="60">
        <v>1.02</v>
      </c>
      <c r="G91" s="60">
        <v>90.73</v>
      </c>
      <c r="H91" s="60">
        <v>25.19</v>
      </c>
      <c r="I91" s="60">
        <v>9.2200000000000006</v>
      </c>
      <c r="J91" s="60">
        <v>1.56</v>
      </c>
      <c r="K91" s="60">
        <v>335.62</v>
      </c>
      <c r="L91" s="60">
        <v>43.96</v>
      </c>
      <c r="M91" s="60">
        <v>74.930000000000007</v>
      </c>
      <c r="N91" s="60">
        <v>448.40</v>
      </c>
      <c r="O91" s="60">
        <v>0</v>
      </c>
      <c r="P91" s="60">
        <v>2.87</v>
      </c>
      <c r="Q91" s="60">
        <v>38.369999999999997</v>
      </c>
      <c r="R91" s="198"/>
      <c r="S91" s="198"/>
      <c r="T91" s="198"/>
      <c r="U91" s="198"/>
    </row>
    <row r="92" spans="1:21" s="12" customFormat="1" ht="15">
      <c r="A92" s="201" t="s">
        <v>2634</v>
      </c>
      <c r="B92" s="60">
        <v>3.41</v>
      </c>
      <c r="C92" s="60">
        <v>23.76</v>
      </c>
      <c r="D92" s="60">
        <v>27.17</v>
      </c>
      <c r="E92" s="60">
        <v>3.74</v>
      </c>
      <c r="F92" s="60">
        <v>1.30</v>
      </c>
      <c r="G92" s="60">
        <v>90.73</v>
      </c>
      <c r="H92" s="60">
        <v>25.19</v>
      </c>
      <c r="I92" s="60">
        <v>9.19</v>
      </c>
      <c r="J92" s="60">
        <v>0.49</v>
      </c>
      <c r="K92" s="60">
        <v>284.95999999999998</v>
      </c>
      <c r="L92" s="60">
        <v>43.56</v>
      </c>
      <c r="M92" s="60">
        <v>75.81</v>
      </c>
      <c r="N92" s="60">
        <v>410.20</v>
      </c>
      <c r="O92" s="60">
        <v>0</v>
      </c>
      <c r="P92" s="60">
        <v>2.88</v>
      </c>
      <c r="Q92" s="60">
        <v>36.60</v>
      </c>
      <c r="R92" s="198"/>
      <c r="S92" s="198"/>
      <c r="T92" s="198"/>
      <c r="U92" s="198"/>
    </row>
    <row r="93" spans="1:21" s="12" customFormat="1" ht="15">
      <c r="A93" s="201" t="s">
        <v>2635</v>
      </c>
      <c r="B93" s="60">
        <v>3.78</v>
      </c>
      <c r="C93" s="60">
        <v>23.92</v>
      </c>
      <c r="D93" s="60">
        <v>27.70</v>
      </c>
      <c r="E93" s="60">
        <v>4.3899999999999997</v>
      </c>
      <c r="F93" s="60">
        <v>0.97</v>
      </c>
      <c r="G93" s="60">
        <v>89.69</v>
      </c>
      <c r="H93" s="60">
        <v>25.63</v>
      </c>
      <c r="I93" s="60">
        <v>8.94</v>
      </c>
      <c r="J93" s="60">
        <v>0.56999999999999995</v>
      </c>
      <c r="K93" s="60">
        <v>306.02</v>
      </c>
      <c r="L93" s="60">
        <v>43.24</v>
      </c>
      <c r="M93" s="60">
        <v>76.45</v>
      </c>
      <c r="N93" s="60">
        <v>336.60</v>
      </c>
      <c r="O93" s="60">
        <v>0</v>
      </c>
      <c r="P93" s="60">
        <v>2.90</v>
      </c>
      <c r="Q93" s="60">
        <v>35.10</v>
      </c>
      <c r="R93" s="198"/>
      <c r="S93" s="198"/>
      <c r="T93" s="198"/>
      <c r="U93" s="198"/>
    </row>
    <row r="94" spans="1:21" s="12" customFormat="1" ht="15">
      <c r="A94" s="201" t="s">
        <v>2636</v>
      </c>
      <c r="B94" s="60">
        <v>3.93</v>
      </c>
      <c r="C94" s="60">
        <v>23.74</v>
      </c>
      <c r="D94" s="60">
        <v>27.67</v>
      </c>
      <c r="E94" s="60">
        <v>4.49</v>
      </c>
      <c r="F94" s="60">
        <v>0.80</v>
      </c>
      <c r="G94" s="60">
        <v>87.15</v>
      </c>
      <c r="H94" s="60">
        <v>26.72</v>
      </c>
      <c r="I94" s="60">
        <v>8.76</v>
      </c>
      <c r="J94" s="60">
        <v>0.83</v>
      </c>
      <c r="K94" s="60">
        <v>265.39999999999998</v>
      </c>
      <c r="L94" s="60">
        <v>45.06</v>
      </c>
      <c r="M94" s="60">
        <v>76.59</v>
      </c>
      <c r="N94" s="60">
        <v>334.40</v>
      </c>
      <c r="O94" s="60">
        <v>0</v>
      </c>
      <c r="P94" s="60">
        <v>2.88</v>
      </c>
      <c r="Q94" s="60">
        <v>31.95</v>
      </c>
      <c r="R94" s="198"/>
      <c r="S94" s="198"/>
      <c r="T94" s="198"/>
      <c r="U94" s="198"/>
    </row>
    <row r="95" spans="1:21" s="12" customFormat="1" ht="15">
      <c r="A95" s="201" t="s">
        <v>2637</v>
      </c>
      <c r="B95" s="60">
        <v>3.22</v>
      </c>
      <c r="C95" s="60">
        <v>23.15</v>
      </c>
      <c r="D95" s="60">
        <v>26.37</v>
      </c>
      <c r="E95" s="60">
        <v>4.34</v>
      </c>
      <c r="F95" s="60">
        <v>0.96</v>
      </c>
      <c r="G95" s="60">
        <v>87.15</v>
      </c>
      <c r="H95" s="60">
        <v>26.72</v>
      </c>
      <c r="I95" s="60">
        <v>8.75</v>
      </c>
      <c r="J95" s="60">
        <v>1.1200000000000001</v>
      </c>
      <c r="K95" s="60">
        <v>221.18</v>
      </c>
      <c r="L95" s="60">
        <v>45.46</v>
      </c>
      <c r="M95" s="60">
        <v>77.010000000000005</v>
      </c>
      <c r="N95" s="60">
        <v>334.60</v>
      </c>
      <c r="O95" s="60">
        <v>0</v>
      </c>
      <c r="P95" s="60">
        <v>2.85</v>
      </c>
      <c r="Q95" s="60">
        <v>30.04</v>
      </c>
      <c r="R95" s="198"/>
      <c r="S95" s="198"/>
      <c r="T95" s="198"/>
      <c r="U95" s="198"/>
    </row>
    <row r="96" spans="1:26" s="12" customFormat="1" ht="15">
      <c r="A96" s="201" t="s">
        <v>2638</v>
      </c>
      <c r="B96" s="60">
        <v>2.52</v>
      </c>
      <c r="C96" s="60">
        <v>22.31</v>
      </c>
      <c r="D96" s="60">
        <v>24.83</v>
      </c>
      <c r="E96" s="60">
        <v>3.92</v>
      </c>
      <c r="F96" s="60">
        <v>0.83</v>
      </c>
      <c r="G96" s="60">
        <v>87.15</v>
      </c>
      <c r="H96" s="60">
        <v>26.72</v>
      </c>
      <c r="I96" s="60">
        <v>8.4600000000000009</v>
      </c>
      <c r="J96" s="60">
        <v>0.37</v>
      </c>
      <c r="K96" s="60">
        <v>219.38</v>
      </c>
      <c r="L96" s="60">
        <v>44.39</v>
      </c>
      <c r="M96" s="60">
        <v>77.430000000000007</v>
      </c>
      <c r="N96" s="60">
        <v>329.90</v>
      </c>
      <c r="O96" s="60">
        <v>0</v>
      </c>
      <c r="P96" s="60">
        <v>2.84</v>
      </c>
      <c r="Q96" s="60">
        <v>29.04</v>
      </c>
      <c r="R96" s="198"/>
      <c r="S96" s="198"/>
      <c r="T96" s="198"/>
      <c r="U96" s="198"/>
      <c r="Z96" s="109"/>
    </row>
    <row r="97" spans="1:21" s="12" customFormat="1" ht="15">
      <c r="A97" s="201" t="s">
        <v>2639</v>
      </c>
      <c r="B97" s="60">
        <v>2.25</v>
      </c>
      <c r="C97" s="60">
        <v>20.12</v>
      </c>
      <c r="D97" s="60">
        <v>22.37</v>
      </c>
      <c r="E97" s="60">
        <v>4.1399999999999997</v>
      </c>
      <c r="F97" s="60">
        <v>1.49</v>
      </c>
      <c r="G97" s="60">
        <v>84.53</v>
      </c>
      <c r="H97" s="60">
        <v>26.10</v>
      </c>
      <c r="I97" s="60">
        <v>8.25</v>
      </c>
      <c r="J97" s="60">
        <v>0.18</v>
      </c>
      <c r="K97" s="60">
        <v>332.09</v>
      </c>
      <c r="L97" s="60">
        <v>47.54</v>
      </c>
      <c r="M97" s="60">
        <v>77.91</v>
      </c>
      <c r="N97" s="60">
        <v>312.5</v>
      </c>
      <c r="O97" s="60">
        <v>0</v>
      </c>
      <c r="P97" s="60">
        <v>2.80</v>
      </c>
      <c r="Q97" s="60">
        <v>26.51</v>
      </c>
      <c r="R97" s="198"/>
      <c r="S97" s="198"/>
      <c r="T97" s="198"/>
      <c r="U97" s="198"/>
    </row>
    <row r="98" spans="1:21" s="12" customFormat="1" ht="15">
      <c r="A98" s="201" t="s">
        <v>2640</v>
      </c>
      <c r="B98" s="60">
        <v>2.12</v>
      </c>
      <c r="C98" s="60">
        <v>18.329999999999998</v>
      </c>
      <c r="D98" s="60">
        <v>20.46</v>
      </c>
      <c r="E98" s="60">
        <v>4.3899999999999997</v>
      </c>
      <c r="F98" s="60">
        <v>0.99</v>
      </c>
      <c r="G98" s="60">
        <v>78.099999999999994</v>
      </c>
      <c r="H98" s="60">
        <v>24.57</v>
      </c>
      <c r="I98" s="60">
        <v>8.11</v>
      </c>
      <c r="J98" s="60">
        <v>0.59</v>
      </c>
      <c r="K98" s="60">
        <v>304.97000000000003</v>
      </c>
      <c r="L98" s="60">
        <v>45.80</v>
      </c>
      <c r="M98" s="60">
        <v>78.41</v>
      </c>
      <c r="N98" s="60">
        <v>315.89999999999998</v>
      </c>
      <c r="O98" s="60">
        <v>0</v>
      </c>
      <c r="P98" s="60">
        <v>2.79</v>
      </c>
      <c r="Q98" s="60">
        <v>22.22</v>
      </c>
      <c r="R98" s="198"/>
      <c r="S98" s="198"/>
      <c r="T98" s="198"/>
      <c r="U98" s="198"/>
    </row>
    <row r="99" spans="1:21" s="12" customFormat="1" ht="15">
      <c r="A99" s="201" t="s">
        <v>2641</v>
      </c>
      <c r="B99" s="60">
        <v>2.2400000000000002</v>
      </c>
      <c r="C99" s="60">
        <v>17.32</v>
      </c>
      <c r="D99" s="60">
        <v>19.559999999999999</v>
      </c>
      <c r="E99" s="60">
        <v>4.67</v>
      </c>
      <c r="F99" s="60">
        <v>1.03</v>
      </c>
      <c r="G99" s="60">
        <v>78.099999999999994</v>
      </c>
      <c r="H99" s="60">
        <v>24.57</v>
      </c>
      <c r="I99" s="60">
        <v>7.65</v>
      </c>
      <c r="J99" s="60">
        <v>0.51</v>
      </c>
      <c r="K99" s="60">
        <v>324.19</v>
      </c>
      <c r="L99" s="60">
        <v>44.46</v>
      </c>
      <c r="M99" s="60">
        <v>78.27</v>
      </c>
      <c r="N99" s="60">
        <v>329.30</v>
      </c>
      <c r="O99" s="60">
        <v>0</v>
      </c>
      <c r="P99" s="60">
        <v>2.77</v>
      </c>
      <c r="Q99" s="60">
        <v>18.77</v>
      </c>
      <c r="R99" s="198"/>
      <c r="S99" s="198"/>
      <c r="T99" s="198"/>
      <c r="U99" s="198"/>
    </row>
    <row r="100" spans="1:33" s="12" customFormat="1" ht="15">
      <c r="A100" s="201" t="s">
        <v>2642</v>
      </c>
      <c r="B100" s="60">
        <v>2.4700000000000002</v>
      </c>
      <c r="C100" s="60">
        <v>16.63</v>
      </c>
      <c r="D100" s="60">
        <v>19.100000000000001</v>
      </c>
      <c r="E100" s="60">
        <v>5.25</v>
      </c>
      <c r="F100" s="60">
        <v>1.08</v>
      </c>
      <c r="G100" s="60">
        <v>78.099999999999994</v>
      </c>
      <c r="H100" s="60">
        <v>24.57</v>
      </c>
      <c r="I100" s="60">
        <v>7.63</v>
      </c>
      <c r="J100" s="60">
        <v>0.70</v>
      </c>
      <c r="K100" s="60">
        <v>318.33999999999997</v>
      </c>
      <c r="L100" s="60">
        <v>43.10</v>
      </c>
      <c r="M100" s="60">
        <v>78.23</v>
      </c>
      <c r="N100" s="60">
        <v>460.10</v>
      </c>
      <c r="O100" s="60">
        <v>0</v>
      </c>
      <c r="P100" s="60">
        <v>2.75</v>
      </c>
      <c r="Q100" s="60">
        <v>17.350000000000001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2643</v>
      </c>
      <c r="B101" s="60">
        <v>2.4500000000000002</v>
      </c>
      <c r="C101" s="60">
        <v>15.97</v>
      </c>
      <c r="D101" s="60">
        <v>18.420000000000002</v>
      </c>
      <c r="E101" s="60">
        <v>5.41</v>
      </c>
      <c r="F101" s="60">
        <v>1</v>
      </c>
      <c r="G101" s="60">
        <v>76.22</v>
      </c>
      <c r="H101" s="60">
        <v>24.67</v>
      </c>
      <c r="I101" s="60">
        <v>7.54</v>
      </c>
      <c r="J101" s="60">
        <v>0.75</v>
      </c>
      <c r="K101" s="60">
        <v>226.12</v>
      </c>
      <c r="L101" s="60">
        <v>46.48</v>
      </c>
      <c r="M101" s="60">
        <v>78.44</v>
      </c>
      <c r="N101" s="60">
        <v>556</v>
      </c>
      <c r="O101" s="60">
        <v>0</v>
      </c>
      <c r="P101" s="60">
        <v>2.73</v>
      </c>
      <c r="Q101" s="60">
        <v>16.54</v>
      </c>
      <c r="R101" s="198"/>
      <c r="S101" s="198"/>
      <c r="T101" s="198"/>
      <c r="U101" s="198"/>
    </row>
    <row r="102" spans="1:21" s="12" customFormat="1" ht="15">
      <c r="A102" s="201" t="s">
        <v>2644</v>
      </c>
      <c r="B102" s="60">
        <v>2.29</v>
      </c>
      <c r="C102" s="60">
        <v>15.15</v>
      </c>
      <c r="D102" s="60">
        <v>17.440000000000001</v>
      </c>
      <c r="E102" s="60">
        <v>5.51</v>
      </c>
      <c r="F102" s="60">
        <v>1.08</v>
      </c>
      <c r="G102" s="60">
        <v>71.61</v>
      </c>
      <c r="H102" s="60">
        <v>24.90</v>
      </c>
      <c r="I102" s="60">
        <v>7.40</v>
      </c>
      <c r="J102" s="60">
        <v>1.53</v>
      </c>
      <c r="K102" s="60">
        <v>241.98</v>
      </c>
      <c r="L102" s="60">
        <v>41.96</v>
      </c>
      <c r="M102" s="60">
        <v>79.540000000000006</v>
      </c>
      <c r="N102" s="60">
        <v>580.20000000000005</v>
      </c>
      <c r="O102" s="60">
        <v>0</v>
      </c>
      <c r="P102" s="60">
        <v>2.69</v>
      </c>
      <c r="Q102" s="60">
        <v>15.97</v>
      </c>
      <c r="R102" s="198"/>
      <c r="S102" s="198"/>
      <c r="T102" s="198"/>
      <c r="U102" s="198"/>
    </row>
    <row r="103" spans="1:21" s="12" customFormat="1" ht="15">
      <c r="A103" s="201" t="s">
        <v>2645</v>
      </c>
      <c r="B103" s="60">
        <v>2.04</v>
      </c>
      <c r="C103" s="60">
        <v>14.34</v>
      </c>
      <c r="D103" s="60">
        <v>16.37</v>
      </c>
      <c r="E103" s="60">
        <v>5.28</v>
      </c>
      <c r="F103" s="60">
        <v>1.06</v>
      </c>
      <c r="G103" s="60">
        <v>71.61</v>
      </c>
      <c r="H103" s="60">
        <v>24.90</v>
      </c>
      <c r="I103" s="60">
        <v>7.34</v>
      </c>
      <c r="J103" s="60">
        <v>2.21</v>
      </c>
      <c r="K103" s="60">
        <v>202.97</v>
      </c>
      <c r="L103" s="60">
        <v>44.61</v>
      </c>
      <c r="M103" s="60">
        <v>80.75</v>
      </c>
      <c r="N103" s="60">
        <v>439</v>
      </c>
      <c r="O103" s="60">
        <v>0</v>
      </c>
      <c r="P103" s="60">
        <v>2.66</v>
      </c>
      <c r="Q103" s="60">
        <v>15.58</v>
      </c>
      <c r="R103" s="198"/>
      <c r="S103" s="198"/>
      <c r="T103" s="198"/>
      <c r="U103" s="198"/>
    </row>
    <row r="104" spans="1:21" s="12" customFormat="1" ht="15">
      <c r="A104" s="201" t="s">
        <v>2646</v>
      </c>
      <c r="B104" s="60">
        <v>1.86</v>
      </c>
      <c r="C104" s="60">
        <v>14.91</v>
      </c>
      <c r="D104" s="60">
        <v>16.77</v>
      </c>
      <c r="E104" s="60">
        <v>2.58</v>
      </c>
      <c r="F104" s="60">
        <v>1.46</v>
      </c>
      <c r="G104" s="60">
        <v>71.61</v>
      </c>
      <c r="H104" s="60">
        <v>24.90</v>
      </c>
      <c r="I104" s="60">
        <v>7.19</v>
      </c>
      <c r="J104" s="60">
        <v>2.2599999999999998</v>
      </c>
      <c r="K104" s="60">
        <v>196.48</v>
      </c>
      <c r="L104" s="60">
        <v>45.43</v>
      </c>
      <c r="M104" s="60">
        <v>81.14</v>
      </c>
      <c r="N104" s="60">
        <v>456.90</v>
      </c>
      <c r="O104" s="60">
        <v>0</v>
      </c>
      <c r="P104" s="60">
        <v>2.63</v>
      </c>
      <c r="Q104" s="60">
        <v>16.059999999999999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0.22</v>
      </c>
      <c r="C106" s="67">
        <f>MIN(C9:C104)</f>
        <v>12.550000000000001</v>
      </c>
      <c r="D106" s="67">
        <f t="shared" si="0" ref="D106:Q106">MIN(D9:D104)</f>
        <v>13.19</v>
      </c>
      <c r="E106" s="67">
        <f t="shared" si="0"/>
        <v>0.98999999999999999</v>
      </c>
      <c r="F106" s="67">
        <f t="shared" si="0"/>
        <v>0.37</v>
      </c>
      <c r="G106" s="67">
        <f t="shared" si="0"/>
        <v>22.789999999999999</v>
      </c>
      <c r="H106" s="67">
        <f t="shared" si="0"/>
        <v>8.4399999999999995</v>
      </c>
      <c r="I106" s="67">
        <f t="shared" si="0"/>
        <v>4.3099999999999996</v>
      </c>
      <c r="J106" s="67">
        <f t="shared" si="0"/>
        <v>0.13</v>
      </c>
      <c r="K106" s="67">
        <f t="shared" si="0"/>
        <v>1.28</v>
      </c>
      <c r="L106" s="67">
        <f t="shared" si="0"/>
        <v>31.760000000000002</v>
      </c>
      <c r="M106" s="67">
        <f t="shared" si="0"/>
        <v>59.869999999999997</v>
      </c>
      <c r="N106" s="67">
        <f t="shared" si="0"/>
        <v>115.90000000000001</v>
      </c>
      <c r="O106" s="67">
        <f t="shared" si="0"/>
        <v>0</v>
      </c>
      <c r="P106" s="67">
        <f t="shared" si="0"/>
        <v>2.1800000000000002</v>
      </c>
      <c r="Q106" s="67">
        <f t="shared" si="0"/>
        <v>5.5700000000000003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4.0199999999999996</v>
      </c>
      <c r="C107" s="66">
        <f t="shared" si="1" ref="C107:Q107">MAX(C9:C104)</f>
        <v>33.329999999999998</v>
      </c>
      <c r="D107" s="66">
        <f t="shared" si="1"/>
        <v>37.350000000000001</v>
      </c>
      <c r="E107" s="66">
        <f t="shared" si="1"/>
        <v>7.1500000000000004</v>
      </c>
      <c r="F107" s="66">
        <f t="shared" si="1"/>
        <v>297.41000000000003</v>
      </c>
      <c r="G107" s="66">
        <f t="shared" si="1"/>
        <v>95.5</v>
      </c>
      <c r="H107" s="66">
        <f t="shared" si="1"/>
        <v>29.23</v>
      </c>
      <c r="I107" s="66">
        <f t="shared" si="1"/>
        <v>44.32</v>
      </c>
      <c r="J107" s="66">
        <f t="shared" si="1"/>
        <v>2.7599999999999998</v>
      </c>
      <c r="K107" s="66">
        <f t="shared" si="1"/>
        <v>359.17000000000002</v>
      </c>
      <c r="L107" s="66">
        <f t="shared" si="1"/>
        <v>49.060000000000002</v>
      </c>
      <c r="M107" s="66">
        <f t="shared" si="1"/>
        <v>96.030000000000001</v>
      </c>
      <c r="N107" s="66">
        <f t="shared" si="1"/>
        <v>1559.7</v>
      </c>
      <c r="O107" s="66">
        <f t="shared" si="1"/>
        <v>0.20000000000000001</v>
      </c>
      <c r="P107" s="66">
        <f t="shared" si="1"/>
        <v>2.8999999999999999</v>
      </c>
      <c r="Q107" s="66">
        <f t="shared" si="1"/>
        <v>60.670000000000002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1.5527083333333334</v>
      </c>
      <c r="C108" s="67">
        <f t="shared" si="2" ref="C108:Q108">AVERAGE(C9:C104)</f>
        <v>19.407500000000006</v>
      </c>
      <c r="D108" s="67">
        <f t="shared" si="2"/>
        <v>20.960416666666671</v>
      </c>
      <c r="E108" s="67">
        <f t="shared" si="2"/>
        <v>4.2638541666666656</v>
      </c>
      <c r="F108" s="67">
        <f t="shared" si="2"/>
        <v>7.7915624999999977</v>
      </c>
      <c r="G108" s="67">
        <f t="shared" si="2"/>
        <v>55.601818181818182</v>
      </c>
      <c r="H108" s="67">
        <f t="shared" si="2"/>
        <v>20.962386363636362</v>
      </c>
      <c r="I108" s="67">
        <f t="shared" si="2"/>
        <v>8.3741304347826091</v>
      </c>
      <c r="J108" s="67">
        <f t="shared" si="2"/>
        <v>1.2303124999999999</v>
      </c>
      <c r="K108" s="67">
        <f t="shared" si="2"/>
        <v>230.14562500000002</v>
      </c>
      <c r="L108" s="67">
        <f t="shared" si="2"/>
        <v>39.213655913978485</v>
      </c>
      <c r="M108" s="67">
        <f t="shared" si="2"/>
        <v>80.366250000000008</v>
      </c>
      <c r="N108" s="67">
        <f t="shared" si="2"/>
        <v>432.65312500000005</v>
      </c>
      <c r="O108" s="67">
        <f t="shared" si="2"/>
        <v>0.0020833333333333333</v>
      </c>
      <c r="P108" s="67">
        <f t="shared" si="2"/>
        <v>2.4693749999999999</v>
      </c>
      <c r="Q108" s="67">
        <f t="shared" si="2"/>
        <v>19.03052083333333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0.93107801602756479</v>
      </c>
      <c r="C109" s="67">
        <f t="shared" si="3" ref="C109:Q109">STDEV(C9:C104)</f>
        <v>4.9374137700664766</v>
      </c>
      <c r="D109" s="67">
        <f t="shared" si="3"/>
        <v>5.2724147901410348</v>
      </c>
      <c r="E109" s="67">
        <f t="shared" si="3"/>
        <v>1.6839460985195784</v>
      </c>
      <c r="F109" s="67">
        <f t="shared" si="3"/>
        <v>37.529157852419786</v>
      </c>
      <c r="G109" s="67">
        <f t="shared" si="3"/>
        <v>27.334372178693656</v>
      </c>
      <c r="H109" s="67">
        <f t="shared" si="3"/>
        <v>5.8901519201214914</v>
      </c>
      <c r="I109" s="67">
        <f t="shared" si="3"/>
        <v>6.262410123445151</v>
      </c>
      <c r="J109" s="67">
        <f t="shared" si="3"/>
        <v>0.68438901391563955</v>
      </c>
      <c r="K109" s="67">
        <f t="shared" si="3"/>
        <v>85.662428327555943</v>
      </c>
      <c r="L109" s="67">
        <f t="shared" si="3"/>
        <v>6.5434445763524867</v>
      </c>
      <c r="M109" s="67">
        <f t="shared" si="3"/>
        <v>11.834957074166519</v>
      </c>
      <c r="N109" s="67">
        <f t="shared" si="3"/>
        <v>340.93280645377502</v>
      </c>
      <c r="O109" s="67">
        <f t="shared" si="3"/>
        <v>0.020412414523193152</v>
      </c>
      <c r="P109" s="67">
        <f t="shared" si="3"/>
        <v>0.22363886537286659</v>
      </c>
      <c r="Q109" s="67">
        <f t="shared" si="3"/>
        <v>15.574665215277751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COUNT(H9:H104)+9</f>
        <v>97</v>
      </c>
      <c r="I110" s="66">
        <f>COUNT(I9:I104)+7</f>
        <v>99</v>
      </c>
      <c r="J110" s="66">
        <f>COUNT(J9:J104)+7</f>
        <v>103</v>
      </c>
      <c r="K110" s="66">
        <f t="shared" si="4"/>
        <v>96</v>
      </c>
      <c r="L110" s="66">
        <f t="shared" si="4"/>
        <v>93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1974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52d003-5974-4e0c-902e-4c642b3fe61f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M110" sqref="M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26-06-2022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2650</v>
      </c>
      <c r="B9" s="60">
        <v>1.53</v>
      </c>
      <c r="C9" s="60">
        <v>18.079999999999998</v>
      </c>
      <c r="D9" s="60">
        <v>19.61</v>
      </c>
      <c r="E9" s="60">
        <v>5.49</v>
      </c>
      <c r="F9" s="60">
        <v>1.23</v>
      </c>
      <c r="G9" s="60">
        <v>69.180000000000007</v>
      </c>
      <c r="H9" s="60">
        <v>22.88</v>
      </c>
      <c r="I9" s="60">
        <v>7.07</v>
      </c>
      <c r="J9" s="60">
        <v>2.3199999999999998</v>
      </c>
      <c r="K9" s="60">
        <v>182.62</v>
      </c>
      <c r="L9" s="6" t="s">
        <v>42</v>
      </c>
      <c r="M9" s="60">
        <v>81.56</v>
      </c>
      <c r="N9" s="60">
        <v>321</v>
      </c>
      <c r="O9" s="60">
        <v>0</v>
      </c>
      <c r="P9" s="60">
        <v>2.60</v>
      </c>
      <c r="Q9" s="60">
        <v>19.04</v>
      </c>
      <c r="R9" s="198"/>
      <c r="S9" s="198"/>
      <c r="T9" s="198"/>
      <c r="U9" s="198"/>
    </row>
    <row r="10" spans="1:21" s="12" customFormat="1" ht="15">
      <c r="A10" s="201" t="s">
        <v>2651</v>
      </c>
      <c r="B10" s="60">
        <v>1.23</v>
      </c>
      <c r="C10" s="60">
        <v>16.98</v>
      </c>
      <c r="D10" s="60">
        <v>18.21</v>
      </c>
      <c r="E10" s="60">
        <v>5.71</v>
      </c>
      <c r="F10" s="60">
        <v>1.1200000000000001</v>
      </c>
      <c r="G10" s="60">
        <v>63.20</v>
      </c>
      <c r="H10" s="60">
        <v>17.91</v>
      </c>
      <c r="I10" s="60">
        <v>6.89</v>
      </c>
      <c r="J10" s="60">
        <v>3.38</v>
      </c>
      <c r="K10" s="60">
        <v>183.34</v>
      </c>
      <c r="L10" s="60">
        <v>46.12</v>
      </c>
      <c r="M10" s="60">
        <v>81.78</v>
      </c>
      <c r="N10" s="60">
        <v>323.39999999999998</v>
      </c>
      <c r="O10" s="60">
        <v>0</v>
      </c>
      <c r="P10" s="60">
        <v>2.5499999999999998</v>
      </c>
      <c r="Q10" s="60">
        <v>23.47</v>
      </c>
      <c r="R10" s="198"/>
      <c r="S10" s="198"/>
      <c r="T10" s="198"/>
      <c r="U10" s="198"/>
    </row>
    <row r="11" spans="1:21" s="12" customFormat="1" ht="15">
      <c r="A11" s="201" t="s">
        <v>2652</v>
      </c>
      <c r="B11" s="60">
        <v>0.98</v>
      </c>
      <c r="C11" s="60">
        <v>15.44</v>
      </c>
      <c r="D11" s="60">
        <v>16.420000000000002</v>
      </c>
      <c r="E11" s="60">
        <v>5.21</v>
      </c>
      <c r="F11" s="60">
        <v>1.33</v>
      </c>
      <c r="G11" s="60">
        <v>63.20</v>
      </c>
      <c r="H11" s="60">
        <v>17.91</v>
      </c>
      <c r="I11" s="60">
        <v>6.73</v>
      </c>
      <c r="J11" s="60">
        <v>3.25</v>
      </c>
      <c r="K11" s="60">
        <v>179.76</v>
      </c>
      <c r="L11" s="60">
        <v>47.34</v>
      </c>
      <c r="M11" s="60">
        <v>82.93</v>
      </c>
      <c r="N11" s="60">
        <v>400.10</v>
      </c>
      <c r="O11" s="60">
        <v>0</v>
      </c>
      <c r="P11" s="60">
        <v>2.5099999999999998</v>
      </c>
      <c r="Q11" s="60">
        <v>30.15</v>
      </c>
      <c r="R11" s="198"/>
      <c r="S11" s="198"/>
      <c r="T11" s="198"/>
      <c r="U11" s="198"/>
    </row>
    <row r="12" spans="1:21" s="12" customFormat="1" ht="15">
      <c r="A12" s="201" t="s">
        <v>2653</v>
      </c>
      <c r="B12" s="60">
        <v>0.80</v>
      </c>
      <c r="C12" s="60">
        <v>13.61</v>
      </c>
      <c r="D12" s="60">
        <v>14.41</v>
      </c>
      <c r="E12" s="60">
        <v>5.61</v>
      </c>
      <c r="F12" s="60">
        <v>1.1599999999999999</v>
      </c>
      <c r="G12" s="60">
        <v>63.20</v>
      </c>
      <c r="H12" s="60">
        <v>17.91</v>
      </c>
      <c r="I12" s="60">
        <v>6.51</v>
      </c>
      <c r="J12" s="60">
        <v>3.19</v>
      </c>
      <c r="K12" s="60">
        <v>202.48</v>
      </c>
      <c r="L12" s="60">
        <v>42.75</v>
      </c>
      <c r="M12" s="60">
        <v>83.86</v>
      </c>
      <c r="N12" s="60">
        <v>509</v>
      </c>
      <c r="O12" s="60">
        <v>0</v>
      </c>
      <c r="P12" s="60">
        <v>2.4700000000000002</v>
      </c>
      <c r="Q12" s="60">
        <v>34.10</v>
      </c>
      <c r="R12" s="198"/>
      <c r="S12" s="198"/>
      <c r="T12" s="198"/>
      <c r="U12" s="198"/>
    </row>
    <row r="13" spans="1:21" s="12" customFormat="1" ht="15">
      <c r="A13" s="201" t="s">
        <v>2654</v>
      </c>
      <c r="B13" s="60">
        <v>0.73</v>
      </c>
      <c r="C13" s="60">
        <v>12.85</v>
      </c>
      <c r="D13" s="60">
        <v>13.58</v>
      </c>
      <c r="E13" s="60">
        <v>5.33</v>
      </c>
      <c r="F13" s="60">
        <v>1.1200000000000001</v>
      </c>
      <c r="G13" s="60">
        <v>62.52</v>
      </c>
      <c r="H13" s="60">
        <v>18.39</v>
      </c>
      <c r="I13" s="60">
        <v>6.26</v>
      </c>
      <c r="J13" s="60">
        <v>2.75</v>
      </c>
      <c r="K13" s="60">
        <v>178.84</v>
      </c>
      <c r="L13" s="60">
        <v>43.27</v>
      </c>
      <c r="M13" s="60">
        <v>84.74</v>
      </c>
      <c r="N13" s="60">
        <v>394.80</v>
      </c>
      <c r="O13" s="60">
        <v>0</v>
      </c>
      <c r="P13" s="60">
        <v>2.4300000000000002</v>
      </c>
      <c r="Q13" s="60">
        <v>32.31</v>
      </c>
      <c r="R13" s="198"/>
      <c r="S13" s="198"/>
      <c r="T13" s="198"/>
      <c r="U13" s="198"/>
    </row>
    <row r="14" spans="1:21" s="12" customFormat="1" ht="15">
      <c r="A14" s="201" t="s">
        <v>2655</v>
      </c>
      <c r="B14" s="60">
        <v>0.67</v>
      </c>
      <c r="C14" s="60">
        <v>12.32</v>
      </c>
      <c r="D14" s="60">
        <v>13</v>
      </c>
      <c r="E14" s="60">
        <v>5.44</v>
      </c>
      <c r="F14" s="60">
        <v>1.23</v>
      </c>
      <c r="G14" s="60">
        <v>60.86</v>
      </c>
      <c r="H14" s="60">
        <v>19.559999999999999</v>
      </c>
      <c r="I14" s="60">
        <v>6.04</v>
      </c>
      <c r="J14" s="60">
        <v>3.84</v>
      </c>
      <c r="K14" s="60">
        <v>189.36</v>
      </c>
      <c r="L14" s="60">
        <v>45.23</v>
      </c>
      <c r="M14" s="60">
        <v>84.79</v>
      </c>
      <c r="N14" s="60">
        <v>400.70</v>
      </c>
      <c r="O14" s="60">
        <v>0</v>
      </c>
      <c r="P14" s="60">
        <v>2.40</v>
      </c>
      <c r="Q14" s="60">
        <v>30.25</v>
      </c>
      <c r="R14" s="198"/>
      <c r="S14" s="198"/>
      <c r="T14" s="198"/>
      <c r="U14" s="198"/>
    </row>
    <row r="15" spans="1:21" s="12" customFormat="1" ht="15">
      <c r="A15" s="201" t="s">
        <v>2656</v>
      </c>
      <c r="B15" s="60">
        <v>0.62</v>
      </c>
      <c r="C15" s="60">
        <v>12.10</v>
      </c>
      <c r="D15" s="60">
        <v>12.72</v>
      </c>
      <c r="E15" s="60">
        <v>5.72</v>
      </c>
      <c r="F15" s="60">
        <v>1.39</v>
      </c>
      <c r="G15" s="60">
        <v>60.86</v>
      </c>
      <c r="H15" s="60">
        <v>19.559999999999999</v>
      </c>
      <c r="I15" s="60">
        <v>5.82</v>
      </c>
      <c r="J15" s="60">
        <v>3.32</v>
      </c>
      <c r="K15" s="60">
        <v>179.03</v>
      </c>
      <c r="L15" s="60">
        <v>46.37</v>
      </c>
      <c r="M15" s="60">
        <v>85.10</v>
      </c>
      <c r="N15" s="60">
        <v>467.5</v>
      </c>
      <c r="O15" s="60">
        <v>0</v>
      </c>
      <c r="P15" s="60">
        <v>2.38</v>
      </c>
      <c r="Q15" s="60">
        <v>28.77</v>
      </c>
      <c r="R15" s="198"/>
      <c r="S15" s="198"/>
      <c r="T15" s="198"/>
      <c r="U15" s="198"/>
    </row>
    <row r="16" spans="1:21" s="12" customFormat="1" ht="15">
      <c r="A16" s="201" t="s">
        <v>2657</v>
      </c>
      <c r="B16" s="60">
        <v>0.59</v>
      </c>
      <c r="C16" s="60">
        <v>11.52</v>
      </c>
      <c r="D16" s="60">
        <v>12.10</v>
      </c>
      <c r="E16" s="60">
        <v>5.39</v>
      </c>
      <c r="F16" s="60">
        <v>1.27</v>
      </c>
      <c r="G16" s="60">
        <v>60.86</v>
      </c>
      <c r="H16" s="60">
        <v>19.559999999999999</v>
      </c>
      <c r="I16" s="60">
        <v>5.64</v>
      </c>
      <c r="J16" s="60">
        <v>3.89</v>
      </c>
      <c r="K16" s="60">
        <v>177.75</v>
      </c>
      <c r="L16" s="60">
        <v>48.97</v>
      </c>
      <c r="M16" s="60">
        <v>85.12</v>
      </c>
      <c r="N16" s="60">
        <v>373.60</v>
      </c>
      <c r="O16" s="60">
        <v>0</v>
      </c>
      <c r="P16" s="60">
        <v>2.35</v>
      </c>
      <c r="Q16" s="60">
        <v>27.60</v>
      </c>
      <c r="R16" s="198"/>
      <c r="S16" s="198"/>
      <c r="T16" s="198"/>
      <c r="U16" s="198"/>
    </row>
    <row r="17" spans="1:21" s="12" customFormat="1" ht="15">
      <c r="A17" s="201" t="s">
        <v>2658</v>
      </c>
      <c r="B17" s="60">
        <v>0.56999999999999995</v>
      </c>
      <c r="C17" s="60">
        <v>11.05</v>
      </c>
      <c r="D17" s="60">
        <v>11.62</v>
      </c>
      <c r="E17" s="60">
        <v>5.23</v>
      </c>
      <c r="F17" s="60">
        <v>1.43</v>
      </c>
      <c r="G17" s="60">
        <v>56.64</v>
      </c>
      <c r="H17" s="60">
        <v>19.649999999999999</v>
      </c>
      <c r="I17" s="60">
        <v>5.49</v>
      </c>
      <c r="J17" s="60">
        <v>5.28</v>
      </c>
      <c r="K17" s="60">
        <v>162.97</v>
      </c>
      <c r="L17" s="60">
        <v>44.95</v>
      </c>
      <c r="M17" s="60">
        <v>87.33</v>
      </c>
      <c r="N17" s="60">
        <v>481.70</v>
      </c>
      <c r="O17" s="60">
        <v>0</v>
      </c>
      <c r="P17" s="60">
        <v>2.33</v>
      </c>
      <c r="Q17" s="60">
        <v>26.42</v>
      </c>
      <c r="R17" s="198"/>
      <c r="S17" s="198"/>
      <c r="T17" s="198"/>
      <c r="U17" s="198"/>
    </row>
    <row r="18" spans="1:21" s="12" customFormat="1" ht="15">
      <c r="A18" s="201" t="s">
        <v>2659</v>
      </c>
      <c r="B18" s="60">
        <v>0.56999999999999995</v>
      </c>
      <c r="C18" s="60">
        <v>11.63</v>
      </c>
      <c r="D18" s="60">
        <v>12.20</v>
      </c>
      <c r="E18" s="60">
        <v>5.43</v>
      </c>
      <c r="F18" s="60">
        <v>1.32</v>
      </c>
      <c r="G18" s="60">
        <v>46.25</v>
      </c>
      <c r="H18" s="60">
        <v>19.87</v>
      </c>
      <c r="I18" s="60">
        <v>5.27</v>
      </c>
      <c r="J18" s="60">
        <v>4.66</v>
      </c>
      <c r="K18" s="60">
        <v>167.12</v>
      </c>
      <c r="L18" s="60">
        <v>43.27</v>
      </c>
      <c r="M18" s="60">
        <v>89.72</v>
      </c>
      <c r="N18" s="60">
        <v>424.80</v>
      </c>
      <c r="O18" s="60">
        <v>0</v>
      </c>
      <c r="P18" s="60">
        <v>2.2999999999999998</v>
      </c>
      <c r="Q18" s="60">
        <v>24.59</v>
      </c>
      <c r="R18" s="198"/>
      <c r="S18" s="198"/>
      <c r="T18" s="198"/>
      <c r="U18" s="198"/>
    </row>
    <row r="19" spans="1:21" s="12" customFormat="1" ht="15">
      <c r="A19" s="201" t="s">
        <v>2660</v>
      </c>
      <c r="B19" s="60">
        <v>0.68</v>
      </c>
      <c r="C19" s="60">
        <v>9.32</v>
      </c>
      <c r="D19" s="60">
        <v>9.99</v>
      </c>
      <c r="E19" s="60">
        <v>5.39</v>
      </c>
      <c r="F19" s="60">
        <v>1.60</v>
      </c>
      <c r="G19" s="60">
        <v>46.25</v>
      </c>
      <c r="H19" s="60">
        <v>19.87</v>
      </c>
      <c r="I19" s="60">
        <v>5.0599999999999996</v>
      </c>
      <c r="J19" s="60">
        <v>4.82</v>
      </c>
      <c r="K19" s="60">
        <v>182.73</v>
      </c>
      <c r="L19" s="60">
        <v>42.30</v>
      </c>
      <c r="M19" s="60">
        <v>91.18</v>
      </c>
      <c r="N19" s="60">
        <v>414.20</v>
      </c>
      <c r="O19" s="60">
        <v>0</v>
      </c>
      <c r="P19" s="60">
        <v>2.29</v>
      </c>
      <c r="Q19" s="60">
        <v>20.99</v>
      </c>
      <c r="R19" s="198"/>
      <c r="S19" s="198"/>
      <c r="T19" s="198"/>
      <c r="U19" s="198"/>
    </row>
    <row r="20" spans="1:21" s="12" customFormat="1" ht="15">
      <c r="A20" s="201" t="s">
        <v>2661</v>
      </c>
      <c r="B20" s="60">
        <v>0.82</v>
      </c>
      <c r="C20" s="60">
        <v>9.0399999999999991</v>
      </c>
      <c r="D20" s="60">
        <v>9.86</v>
      </c>
      <c r="E20" s="60">
        <v>6.09</v>
      </c>
      <c r="F20" s="60">
        <v>0.98</v>
      </c>
      <c r="G20" s="60">
        <v>46.25</v>
      </c>
      <c r="H20" s="60">
        <v>19.87</v>
      </c>
      <c r="I20" s="60">
        <v>4.96</v>
      </c>
      <c r="J20" s="60">
        <v>4.54</v>
      </c>
      <c r="K20" s="60">
        <v>177.81</v>
      </c>
      <c r="L20" s="60">
        <v>44.02</v>
      </c>
      <c r="M20" s="60">
        <v>90.91</v>
      </c>
      <c r="N20" s="60">
        <v>464.90</v>
      </c>
      <c r="O20" s="60">
        <v>0</v>
      </c>
      <c r="P20" s="60">
        <v>2.2799999999999998</v>
      </c>
      <c r="Q20" s="60">
        <v>17.809999999999999</v>
      </c>
      <c r="R20" s="198"/>
      <c r="S20" s="198"/>
      <c r="T20" s="198"/>
      <c r="U20" s="198"/>
    </row>
    <row r="21" spans="1:21" s="12" customFormat="1" ht="15">
      <c r="A21" s="201" t="s">
        <v>2662</v>
      </c>
      <c r="B21" s="60">
        <v>0.94</v>
      </c>
      <c r="C21" s="60">
        <v>9.06</v>
      </c>
      <c r="D21" s="60">
        <v>10</v>
      </c>
      <c r="E21" s="60">
        <v>5.91</v>
      </c>
      <c r="F21" s="60">
        <v>1.20</v>
      </c>
      <c r="G21" s="60">
        <v>43.23</v>
      </c>
      <c r="H21" s="60">
        <v>18.36</v>
      </c>
      <c r="I21" s="60">
        <v>4.75</v>
      </c>
      <c r="J21" s="60">
        <v>3.31</v>
      </c>
      <c r="K21" s="60">
        <v>193.57</v>
      </c>
      <c r="L21" s="60">
        <v>45.61</v>
      </c>
      <c r="M21" s="60">
        <v>89.47</v>
      </c>
      <c r="N21" s="60">
        <v>362.20</v>
      </c>
      <c r="O21" s="60">
        <v>0</v>
      </c>
      <c r="P21" s="60">
        <v>2.27</v>
      </c>
      <c r="Q21" s="60">
        <v>15.75</v>
      </c>
      <c r="R21" s="198"/>
      <c r="S21" s="198"/>
      <c r="T21" s="198"/>
      <c r="U21" s="198"/>
    </row>
    <row r="22" spans="1:21" s="12" customFormat="1" ht="15">
      <c r="A22" s="201" t="s">
        <v>2663</v>
      </c>
      <c r="B22" s="60">
        <v>1.06</v>
      </c>
      <c r="C22" s="60">
        <v>8.9600000000000009</v>
      </c>
      <c r="D22" s="60">
        <v>10.02</v>
      </c>
      <c r="E22" s="60">
        <v>6.21</v>
      </c>
      <c r="F22" s="60">
        <v>1.45</v>
      </c>
      <c r="G22" s="60">
        <v>35.81</v>
      </c>
      <c r="H22" s="60">
        <v>14.65</v>
      </c>
      <c r="I22" s="60">
        <v>4.79</v>
      </c>
      <c r="J22" s="60">
        <v>3.07</v>
      </c>
      <c r="K22" s="60">
        <v>201.09</v>
      </c>
      <c r="L22" s="60">
        <v>45.13</v>
      </c>
      <c r="M22" s="60">
        <v>89</v>
      </c>
      <c r="N22" s="60">
        <v>518.29999999999995</v>
      </c>
      <c r="O22" s="60">
        <v>0</v>
      </c>
      <c r="P22" s="60">
        <v>2.2599999999999998</v>
      </c>
      <c r="Q22" s="60">
        <v>14.45</v>
      </c>
      <c r="R22" s="198"/>
      <c r="S22" s="198"/>
      <c r="T22" s="198"/>
      <c r="U22" s="198"/>
    </row>
    <row r="23" spans="1:21" s="12" customFormat="1" ht="15">
      <c r="A23" s="201" t="s">
        <v>2664</v>
      </c>
      <c r="B23" s="60">
        <v>1.1499999999999999</v>
      </c>
      <c r="C23" s="60">
        <v>8.89</v>
      </c>
      <c r="D23" s="60">
        <v>10.039999999999999</v>
      </c>
      <c r="E23" s="60">
        <v>6.43</v>
      </c>
      <c r="F23" s="60">
        <v>1.1399999999999999</v>
      </c>
      <c r="G23" s="60">
        <v>35.81</v>
      </c>
      <c r="H23" s="60">
        <v>14.65</v>
      </c>
      <c r="I23" s="60">
        <v>4.79</v>
      </c>
      <c r="J23" s="60">
        <v>3.23</v>
      </c>
      <c r="K23" s="60">
        <v>174.87</v>
      </c>
      <c r="L23" s="60">
        <v>44.72</v>
      </c>
      <c r="M23" s="60">
        <v>89.53</v>
      </c>
      <c r="N23" s="60">
        <v>588</v>
      </c>
      <c r="O23" s="60">
        <v>0</v>
      </c>
      <c r="P23" s="60">
        <v>2.25</v>
      </c>
      <c r="Q23" s="60">
        <v>13.64</v>
      </c>
      <c r="R23" s="198"/>
      <c r="S23" s="198"/>
      <c r="T23" s="198"/>
      <c r="U23" s="198"/>
    </row>
    <row r="24" spans="1:21" s="12" customFormat="1" ht="15">
      <c r="A24" s="201" t="s">
        <v>2665</v>
      </c>
      <c r="B24" s="60">
        <v>1.26</v>
      </c>
      <c r="C24" s="60">
        <v>8.84</v>
      </c>
      <c r="D24" s="60">
        <v>10.10</v>
      </c>
      <c r="E24" s="60">
        <v>3.09</v>
      </c>
      <c r="F24" s="60">
        <v>0.96</v>
      </c>
      <c r="G24" s="60">
        <v>35.81</v>
      </c>
      <c r="H24" s="60">
        <v>14.65</v>
      </c>
      <c r="I24" s="60">
        <v>4.79</v>
      </c>
      <c r="J24" s="60">
        <v>3.47</v>
      </c>
      <c r="K24" s="60">
        <v>179.38</v>
      </c>
      <c r="L24" s="60">
        <v>44.11</v>
      </c>
      <c r="M24" s="60">
        <v>89.45</v>
      </c>
      <c r="N24" s="60">
        <v>462.70</v>
      </c>
      <c r="O24" s="60">
        <v>0</v>
      </c>
      <c r="P24" s="60">
        <v>2.2400000000000002</v>
      </c>
      <c r="Q24" s="60">
        <v>13.29</v>
      </c>
      <c r="R24" s="198"/>
      <c r="S24" s="198"/>
      <c r="T24" s="198"/>
      <c r="U24" s="198"/>
    </row>
    <row r="25" spans="1:21" s="12" customFormat="1" ht="15">
      <c r="A25" s="201" t="s">
        <v>2666</v>
      </c>
      <c r="B25" s="60">
        <v>1.42</v>
      </c>
      <c r="C25" s="60">
        <v>9</v>
      </c>
      <c r="D25" s="60">
        <v>10.42</v>
      </c>
      <c r="E25" s="60">
        <v>6.69</v>
      </c>
      <c r="F25" s="60">
        <v>1.05</v>
      </c>
      <c r="G25" s="60">
        <v>33.96</v>
      </c>
      <c r="H25" s="60">
        <v>13.72</v>
      </c>
      <c r="I25" s="60">
        <v>4.75</v>
      </c>
      <c r="J25" s="60">
        <v>3.27</v>
      </c>
      <c r="K25" s="60">
        <v>189.66</v>
      </c>
      <c r="L25" s="60">
        <v>44.59</v>
      </c>
      <c r="M25" s="60">
        <v>89.41</v>
      </c>
      <c r="N25" s="60">
        <v>351</v>
      </c>
      <c r="O25" s="60">
        <v>0</v>
      </c>
      <c r="P25" s="60">
        <v>2.23</v>
      </c>
      <c r="Q25" s="60">
        <v>13.11</v>
      </c>
      <c r="R25" s="198"/>
      <c r="S25" s="198"/>
      <c r="T25" s="198"/>
      <c r="U25" s="198"/>
    </row>
    <row r="26" spans="1:21" s="12" customFormat="1" ht="15">
      <c r="A26" s="201" t="s">
        <v>2667</v>
      </c>
      <c r="B26" s="60">
        <v>1.68</v>
      </c>
      <c r="C26" s="60">
        <v>11.32</v>
      </c>
      <c r="D26" s="60">
        <v>13</v>
      </c>
      <c r="E26" s="60">
        <v>7.33</v>
      </c>
      <c r="F26" s="60">
        <v>1.07</v>
      </c>
      <c r="G26" s="60">
        <v>29.40</v>
      </c>
      <c r="H26" s="60">
        <v>11.43</v>
      </c>
      <c r="I26" s="60">
        <v>4.75</v>
      </c>
      <c r="J26" s="60">
        <v>3.31</v>
      </c>
      <c r="K26" s="60">
        <v>190.69</v>
      </c>
      <c r="L26" s="60">
        <v>44.52</v>
      </c>
      <c r="M26" s="60">
        <v>89.51</v>
      </c>
      <c r="N26" s="60">
        <v>398.80</v>
      </c>
      <c r="O26" s="60">
        <v>0</v>
      </c>
      <c r="P26" s="60">
        <v>2.23</v>
      </c>
      <c r="Q26" s="60">
        <v>14.09</v>
      </c>
      <c r="R26" s="198"/>
      <c r="S26" s="198"/>
      <c r="T26" s="198"/>
      <c r="U26" s="198"/>
    </row>
    <row r="27" spans="1:21" s="12" customFormat="1" ht="15">
      <c r="A27" s="201" t="s">
        <v>2668</v>
      </c>
      <c r="B27" s="60">
        <v>1.52</v>
      </c>
      <c r="C27" s="60">
        <v>13.17</v>
      </c>
      <c r="D27" s="60">
        <v>14.69</v>
      </c>
      <c r="E27" s="60">
        <v>6.90</v>
      </c>
      <c r="F27" s="60">
        <v>0.84</v>
      </c>
      <c r="G27" s="60">
        <v>29.40</v>
      </c>
      <c r="H27" s="60">
        <v>11.43</v>
      </c>
      <c r="I27" s="60">
        <v>4.7300000000000004</v>
      </c>
      <c r="J27" s="60">
        <v>2.86</v>
      </c>
      <c r="K27" s="60">
        <v>201.05</v>
      </c>
      <c r="L27" s="60">
        <v>43.74</v>
      </c>
      <c r="M27" s="60">
        <v>89.53</v>
      </c>
      <c r="N27" s="60">
        <v>610.29999999999995</v>
      </c>
      <c r="O27" s="60">
        <v>0</v>
      </c>
      <c r="P27" s="60">
        <v>2.21</v>
      </c>
      <c r="Q27" s="60">
        <v>16.52</v>
      </c>
      <c r="R27" s="198"/>
      <c r="S27" s="198"/>
      <c r="T27" s="198"/>
      <c r="U27" s="198"/>
    </row>
    <row r="28" spans="1:21" s="12" customFormat="1" ht="15">
      <c r="A28" s="201" t="s">
        <v>2669</v>
      </c>
      <c r="B28" s="60">
        <v>1.34</v>
      </c>
      <c r="C28" s="60">
        <v>12.76</v>
      </c>
      <c r="D28" s="60">
        <v>14.10</v>
      </c>
      <c r="E28" s="60">
        <v>7.13</v>
      </c>
      <c r="F28" s="60">
        <v>0.72</v>
      </c>
      <c r="G28" s="60">
        <v>29.40</v>
      </c>
      <c r="H28" s="60">
        <v>11.43</v>
      </c>
      <c r="I28" s="60">
        <v>4.67</v>
      </c>
      <c r="J28" s="60">
        <v>3.60</v>
      </c>
      <c r="K28" s="60">
        <v>190.84</v>
      </c>
      <c r="L28" s="60">
        <v>43.68</v>
      </c>
      <c r="M28" s="60">
        <v>90.13</v>
      </c>
      <c r="N28" s="60">
        <v>582</v>
      </c>
      <c r="O28" s="60">
        <v>0</v>
      </c>
      <c r="P28" s="60">
        <v>2.21</v>
      </c>
      <c r="Q28" s="60">
        <v>19.59</v>
      </c>
      <c r="R28" s="198"/>
      <c r="S28" s="198"/>
      <c r="T28" s="198"/>
      <c r="U28" s="198"/>
    </row>
    <row r="29" spans="1:21" s="12" customFormat="1" ht="15">
      <c r="A29" s="201" t="s">
        <v>2670</v>
      </c>
      <c r="B29" s="60">
        <v>1.57</v>
      </c>
      <c r="C29" s="60">
        <v>12.74</v>
      </c>
      <c r="D29" s="60">
        <v>14.32</v>
      </c>
      <c r="E29" s="60">
        <v>6.55</v>
      </c>
      <c r="F29" s="60">
        <v>0.83</v>
      </c>
      <c r="G29" s="60">
        <v>29.39</v>
      </c>
      <c r="H29" s="60">
        <v>10.67</v>
      </c>
      <c r="I29" s="60">
        <v>4.58</v>
      </c>
      <c r="J29" s="60">
        <v>2.86</v>
      </c>
      <c r="K29" s="60">
        <v>180.60</v>
      </c>
      <c r="L29" s="60">
        <v>42.40</v>
      </c>
      <c r="M29" s="60">
        <v>90.60</v>
      </c>
      <c r="N29" s="60">
        <v>626.79999999999995</v>
      </c>
      <c r="O29" s="60">
        <v>0</v>
      </c>
      <c r="P29" s="60">
        <v>2.2000000000000002</v>
      </c>
      <c r="Q29" s="60">
        <v>23.31</v>
      </c>
      <c r="R29" s="198"/>
      <c r="S29" s="198"/>
      <c r="T29" s="198"/>
      <c r="U29" s="198"/>
    </row>
    <row r="30" spans="1:21" s="12" customFormat="1" ht="15">
      <c r="A30" s="201" t="s">
        <v>2671</v>
      </c>
      <c r="B30" s="60">
        <v>1.84</v>
      </c>
      <c r="C30" s="60">
        <v>12.88</v>
      </c>
      <c r="D30" s="60">
        <v>14.72</v>
      </c>
      <c r="E30" s="60">
        <v>6.22</v>
      </c>
      <c r="F30" s="60">
        <v>0.90</v>
      </c>
      <c r="G30" s="60">
        <v>29.35</v>
      </c>
      <c r="H30" s="60">
        <v>8.8000000000000007</v>
      </c>
      <c r="I30" s="60">
        <v>4.4800000000000004</v>
      </c>
      <c r="J30" s="60">
        <v>3.65</v>
      </c>
      <c r="K30" s="60">
        <v>164.35</v>
      </c>
      <c r="L30" s="60">
        <v>44.72</v>
      </c>
      <c r="M30" s="60">
        <v>90.71</v>
      </c>
      <c r="N30" s="60">
        <v>631.60</v>
      </c>
      <c r="O30" s="60">
        <v>0</v>
      </c>
      <c r="P30" s="60">
        <v>2.19</v>
      </c>
      <c r="Q30" s="60">
        <v>25.23</v>
      </c>
      <c r="R30" s="198"/>
      <c r="S30" s="198"/>
      <c r="T30" s="198"/>
      <c r="U30" s="198"/>
    </row>
    <row r="31" spans="1:21" s="12" customFormat="1" ht="15">
      <c r="A31" s="201" t="s">
        <v>2672</v>
      </c>
      <c r="B31" s="60">
        <v>1.79</v>
      </c>
      <c r="C31" s="60">
        <v>12.79</v>
      </c>
      <c r="D31" s="60">
        <v>14.58</v>
      </c>
      <c r="E31" s="60">
        <v>6.51</v>
      </c>
      <c r="F31" s="60">
        <v>0.97</v>
      </c>
      <c r="G31" s="60">
        <v>29.35</v>
      </c>
      <c r="H31" s="60">
        <v>8.8000000000000007</v>
      </c>
      <c r="I31" s="60">
        <v>4.3600000000000003</v>
      </c>
      <c r="J31" s="60">
        <v>3.98</v>
      </c>
      <c r="K31" s="60">
        <v>172.68</v>
      </c>
      <c r="L31" s="60">
        <v>43.99</v>
      </c>
      <c r="M31" s="60">
        <v>90.20</v>
      </c>
      <c r="N31" s="60">
        <v>644.70000000000005</v>
      </c>
      <c r="O31" s="60">
        <v>0</v>
      </c>
      <c r="P31" s="60">
        <v>2.19</v>
      </c>
      <c r="Q31" s="60">
        <v>25.88</v>
      </c>
      <c r="R31" s="198"/>
      <c r="S31" s="198"/>
      <c r="T31" s="198"/>
      <c r="U31" s="198"/>
    </row>
    <row r="32" spans="1:21" s="12" customFormat="1" ht="15">
      <c r="A32" s="201" t="s">
        <v>2673</v>
      </c>
      <c r="B32" s="60">
        <v>1.69</v>
      </c>
      <c r="C32" s="60">
        <v>13.09</v>
      </c>
      <c r="D32" s="60">
        <v>14.78</v>
      </c>
      <c r="E32" s="60">
        <v>6.40</v>
      </c>
      <c r="F32" s="60">
        <v>0.79</v>
      </c>
      <c r="G32" s="60">
        <v>29.35</v>
      </c>
      <c r="H32" s="60">
        <v>8.8000000000000007</v>
      </c>
      <c r="I32" s="60">
        <v>4.29</v>
      </c>
      <c r="J32" s="60">
        <v>4.41</v>
      </c>
      <c r="K32" s="60">
        <v>163.71</v>
      </c>
      <c r="L32" s="60">
        <v>45.48</v>
      </c>
      <c r="M32" s="60">
        <v>89.89</v>
      </c>
      <c r="N32" s="60">
        <v>627.29999999999995</v>
      </c>
      <c r="O32" s="60">
        <v>0</v>
      </c>
      <c r="P32" s="60">
        <v>2.19</v>
      </c>
      <c r="Q32" s="60">
        <v>25.67</v>
      </c>
      <c r="R32" s="198"/>
      <c r="S32" s="198"/>
      <c r="T32" s="198"/>
      <c r="U32" s="198"/>
    </row>
    <row r="33" spans="1:21" s="12" customFormat="1" ht="15">
      <c r="A33" s="201" t="s">
        <v>2674</v>
      </c>
      <c r="B33" s="60">
        <v>1.65</v>
      </c>
      <c r="C33" s="60">
        <v>13.28</v>
      </c>
      <c r="D33" s="60">
        <v>14.93</v>
      </c>
      <c r="E33" s="60">
        <v>6.31</v>
      </c>
      <c r="F33" s="60">
        <v>0.79</v>
      </c>
      <c r="G33" s="60">
        <v>29.64</v>
      </c>
      <c r="H33" s="60">
        <v>10.68</v>
      </c>
      <c r="I33" s="60">
        <v>4.21</v>
      </c>
      <c r="J33" s="60">
        <v>3.44</v>
      </c>
      <c r="K33" s="60">
        <v>179.44</v>
      </c>
      <c r="L33" s="60">
        <v>41.86</v>
      </c>
      <c r="M33" s="60">
        <v>89.99</v>
      </c>
      <c r="N33" s="60">
        <v>661.30</v>
      </c>
      <c r="O33" s="60">
        <v>0</v>
      </c>
      <c r="P33" s="60">
        <v>2.1800000000000002</v>
      </c>
      <c r="Q33" s="60">
        <v>24.54</v>
      </c>
      <c r="R33" s="198"/>
      <c r="S33" s="198"/>
      <c r="T33" s="198"/>
      <c r="U33" s="198"/>
    </row>
    <row r="34" spans="1:21" s="12" customFormat="1" ht="15">
      <c r="A34" s="201" t="s">
        <v>2675</v>
      </c>
      <c r="B34" s="60">
        <v>1.61</v>
      </c>
      <c r="C34" s="60">
        <v>13.10</v>
      </c>
      <c r="D34" s="60">
        <v>14.72</v>
      </c>
      <c r="E34" s="60">
        <v>5.74</v>
      </c>
      <c r="F34" s="60">
        <v>0.60</v>
      </c>
      <c r="G34" s="60">
        <v>30.35</v>
      </c>
      <c r="H34" s="60">
        <v>15.32</v>
      </c>
      <c r="I34" s="60">
        <v>4.22</v>
      </c>
      <c r="J34" s="60">
        <v>4.42</v>
      </c>
      <c r="K34" s="60">
        <v>158.38999999999999</v>
      </c>
      <c r="L34" s="60">
        <v>44.05</v>
      </c>
      <c r="M34" s="60">
        <v>90.97</v>
      </c>
      <c r="N34" s="60">
        <v>664.70</v>
      </c>
      <c r="O34" s="60">
        <v>0</v>
      </c>
      <c r="P34" s="60">
        <v>2.17</v>
      </c>
      <c r="Q34" s="60">
        <v>23.32</v>
      </c>
      <c r="R34" s="198"/>
      <c r="S34" s="198"/>
      <c r="T34" s="198"/>
      <c r="U34" s="198"/>
    </row>
    <row r="35" spans="1:21" s="12" customFormat="1" ht="15">
      <c r="A35" s="201" t="s">
        <v>2676</v>
      </c>
      <c r="B35" s="60">
        <v>1.85</v>
      </c>
      <c r="C35" s="60">
        <v>13.14</v>
      </c>
      <c r="D35" s="60">
        <v>14.99</v>
      </c>
      <c r="E35" s="60">
        <v>6.40</v>
      </c>
      <c r="F35" s="60">
        <v>0.66</v>
      </c>
      <c r="G35" s="60">
        <v>30.35</v>
      </c>
      <c r="H35" s="60">
        <v>15.32</v>
      </c>
      <c r="I35" s="60">
        <v>4.1399999999999997</v>
      </c>
      <c r="J35" s="60">
        <v>3.49</v>
      </c>
      <c r="K35" s="60">
        <v>167.85</v>
      </c>
      <c r="L35" s="60">
        <v>43.65</v>
      </c>
      <c r="M35" s="60">
        <v>91.15</v>
      </c>
      <c r="N35" s="60">
        <v>549.70000000000005</v>
      </c>
      <c r="O35" s="60">
        <v>0</v>
      </c>
      <c r="P35" s="60">
        <v>2.17</v>
      </c>
      <c r="Q35" s="60">
        <v>22.67</v>
      </c>
      <c r="R35" s="198"/>
      <c r="S35" s="198"/>
      <c r="T35" s="198"/>
      <c r="U35" s="198"/>
    </row>
    <row r="36" spans="1:21" s="12" customFormat="1" ht="15">
      <c r="A36" s="201" t="s">
        <v>2677</v>
      </c>
      <c r="B36" s="60">
        <v>2.08</v>
      </c>
      <c r="C36" s="60">
        <v>13.34</v>
      </c>
      <c r="D36" s="60">
        <v>15.42</v>
      </c>
      <c r="E36" s="60">
        <v>6.52</v>
      </c>
      <c r="F36" s="60">
        <v>0.81</v>
      </c>
      <c r="G36" s="60">
        <v>30.35</v>
      </c>
      <c r="H36" s="60">
        <v>15.32</v>
      </c>
      <c r="I36" s="60">
        <v>4.13</v>
      </c>
      <c r="J36" s="60">
        <v>3.65</v>
      </c>
      <c r="K36" s="60">
        <v>167.86</v>
      </c>
      <c r="L36" s="60">
        <v>45.15</v>
      </c>
      <c r="M36" s="60">
        <v>90.80</v>
      </c>
      <c r="N36" s="60">
        <v>553.79999999999995</v>
      </c>
      <c r="O36" s="60">
        <v>0</v>
      </c>
      <c r="P36" s="60">
        <v>2.17</v>
      </c>
      <c r="Q36" s="60">
        <v>21.65</v>
      </c>
      <c r="R36" s="198"/>
      <c r="S36" s="198"/>
      <c r="T36" s="198"/>
      <c r="U36" s="198"/>
    </row>
    <row r="37" spans="1:21" s="12" customFormat="1" ht="15">
      <c r="A37" s="201" t="s">
        <v>2678</v>
      </c>
      <c r="B37" s="60">
        <v>2.40</v>
      </c>
      <c r="C37" s="60">
        <v>12.16</v>
      </c>
      <c r="D37" s="60">
        <v>14.56</v>
      </c>
      <c r="E37" s="60">
        <v>6.25</v>
      </c>
      <c r="F37" s="60">
        <v>0.78</v>
      </c>
      <c r="G37" s="60">
        <v>30.36</v>
      </c>
      <c r="H37" s="60">
        <v>14.15</v>
      </c>
      <c r="I37" s="60">
        <v>4.1399999999999997</v>
      </c>
      <c r="J37" s="60">
        <v>2.67</v>
      </c>
      <c r="K37" s="60">
        <v>180.21</v>
      </c>
      <c r="L37" s="60">
        <v>44.11</v>
      </c>
      <c r="M37" s="60">
        <v>90.66</v>
      </c>
      <c r="N37" s="60">
        <v>606.5</v>
      </c>
      <c r="O37" s="60">
        <v>0</v>
      </c>
      <c r="P37" s="60">
        <v>2.1800000000000002</v>
      </c>
      <c r="Q37" s="60">
        <v>18.399999999999999</v>
      </c>
      <c r="R37" s="198"/>
      <c r="S37" s="198"/>
      <c r="T37" s="198"/>
      <c r="U37" s="198"/>
    </row>
    <row r="38" spans="1:21" s="12" customFormat="1" ht="15">
      <c r="A38" s="201" t="s">
        <v>2679</v>
      </c>
      <c r="B38" s="60">
        <v>2.80</v>
      </c>
      <c r="C38" s="60">
        <v>12.03</v>
      </c>
      <c r="D38" s="60">
        <v>14.83</v>
      </c>
      <c r="E38" s="60">
        <v>6.94</v>
      </c>
      <c r="F38" s="60">
        <v>0.68</v>
      </c>
      <c r="G38" s="60">
        <v>30.37</v>
      </c>
      <c r="H38" s="60">
        <v>11.29</v>
      </c>
      <c r="I38" s="60">
        <v>4.08</v>
      </c>
      <c r="J38" s="60">
        <v>1.93</v>
      </c>
      <c r="K38" s="60">
        <v>227.82</v>
      </c>
      <c r="L38" s="60">
        <v>42.04</v>
      </c>
      <c r="M38" s="60">
        <v>90.28</v>
      </c>
      <c r="N38" s="60">
        <v>668.90</v>
      </c>
      <c r="O38" s="60">
        <v>0</v>
      </c>
      <c r="P38" s="60">
        <v>2.1800000000000002</v>
      </c>
      <c r="Q38" s="60">
        <v>15.87</v>
      </c>
      <c r="R38" s="198"/>
      <c r="S38" s="198"/>
      <c r="T38" s="198"/>
      <c r="U38" s="198"/>
    </row>
    <row r="39" spans="1:21" s="12" customFormat="1" ht="15">
      <c r="A39" s="201" t="s">
        <v>2680</v>
      </c>
      <c r="B39" s="60">
        <v>3.18</v>
      </c>
      <c r="C39" s="60">
        <v>11.92</v>
      </c>
      <c r="D39" s="60">
        <v>15.10</v>
      </c>
      <c r="E39" s="60">
        <v>6.78</v>
      </c>
      <c r="F39" s="60">
        <v>0.60</v>
      </c>
      <c r="G39" s="60">
        <v>30.37</v>
      </c>
      <c r="H39" s="60">
        <v>11.29</v>
      </c>
      <c r="I39" s="60">
        <v>4.0999999999999996</v>
      </c>
      <c r="J39" s="60">
        <v>3.34</v>
      </c>
      <c r="K39" s="60">
        <v>181.91</v>
      </c>
      <c r="L39" s="60">
        <v>43.07</v>
      </c>
      <c r="M39" s="60">
        <v>89.36</v>
      </c>
      <c r="N39" s="60">
        <v>674.70</v>
      </c>
      <c r="O39" s="60">
        <v>0</v>
      </c>
      <c r="P39" s="60">
        <v>2.19</v>
      </c>
      <c r="Q39" s="60">
        <v>14.43</v>
      </c>
      <c r="R39" s="198"/>
      <c r="S39" s="198"/>
      <c r="T39" s="198"/>
      <c r="U39" s="198"/>
    </row>
    <row r="40" spans="1:21" s="12" customFormat="1" ht="15">
      <c r="A40" s="201" t="s">
        <v>2681</v>
      </c>
      <c r="B40" s="60">
        <v>3.36</v>
      </c>
      <c r="C40" s="60">
        <v>11.74</v>
      </c>
      <c r="D40" s="60">
        <v>15.10</v>
      </c>
      <c r="E40" s="60">
        <v>3.67</v>
      </c>
      <c r="F40" s="60">
        <v>0.69</v>
      </c>
      <c r="G40" s="60">
        <v>30.37</v>
      </c>
      <c r="H40" s="60">
        <v>11.29</v>
      </c>
      <c r="I40" s="60">
        <v>4.22</v>
      </c>
      <c r="J40" s="60">
        <v>2.93</v>
      </c>
      <c r="K40" s="60">
        <v>200.86</v>
      </c>
      <c r="L40" s="60">
        <v>43.80</v>
      </c>
      <c r="M40" s="60">
        <v>89.10</v>
      </c>
      <c r="N40" s="60">
        <v>708.80</v>
      </c>
      <c r="O40" s="60">
        <v>0</v>
      </c>
      <c r="P40" s="60">
        <v>2.19</v>
      </c>
      <c r="Q40" s="60">
        <v>13.59</v>
      </c>
      <c r="R40" s="198"/>
      <c r="S40" s="198"/>
      <c r="T40" s="198"/>
      <c r="U40" s="198"/>
    </row>
    <row r="41" spans="1:21" s="12" customFormat="1" ht="15">
      <c r="A41" s="201" t="s">
        <v>2682</v>
      </c>
      <c r="B41" s="60">
        <v>3.49</v>
      </c>
      <c r="C41" s="60">
        <v>11.85</v>
      </c>
      <c r="D41" s="60">
        <v>15.34</v>
      </c>
      <c r="E41" s="60">
        <v>6.83</v>
      </c>
      <c r="F41" s="60">
        <v>0.32</v>
      </c>
      <c r="G41" s="60">
        <v>31.91</v>
      </c>
      <c r="H41" s="60">
        <v>12.45</v>
      </c>
      <c r="I41" s="60">
        <v>4.29</v>
      </c>
      <c r="J41" s="60">
        <v>2.85</v>
      </c>
      <c r="K41" s="60">
        <v>201.12</v>
      </c>
      <c r="L41" s="60">
        <v>46.40</v>
      </c>
      <c r="M41" s="60">
        <v>88.08</v>
      </c>
      <c r="N41" s="60">
        <v>676.60</v>
      </c>
      <c r="O41" s="60">
        <v>0</v>
      </c>
      <c r="P41" s="60">
        <v>2.19</v>
      </c>
      <c r="Q41" s="60">
        <v>13.05</v>
      </c>
      <c r="R41" s="198"/>
      <c r="S41" s="198"/>
      <c r="T41" s="198"/>
      <c r="U41" s="198"/>
    </row>
    <row r="42" spans="1:21" s="12" customFormat="1" ht="15">
      <c r="A42" s="201" t="s">
        <v>2683</v>
      </c>
      <c r="B42" s="60">
        <v>3.51</v>
      </c>
      <c r="C42" s="60">
        <v>11.92</v>
      </c>
      <c r="D42" s="60">
        <v>15.43</v>
      </c>
      <c r="E42" s="60">
        <v>7.46</v>
      </c>
      <c r="F42" s="60">
        <v>0.82</v>
      </c>
      <c r="G42" s="60">
        <v>35.69</v>
      </c>
      <c r="H42" s="60">
        <v>15.29</v>
      </c>
      <c r="I42" s="60">
        <v>4.3499999999999996</v>
      </c>
      <c r="J42" s="60">
        <v>2.86</v>
      </c>
      <c r="K42" s="60">
        <v>191.86</v>
      </c>
      <c r="L42" s="60">
        <v>45.34</v>
      </c>
      <c r="M42" s="60">
        <v>88.02</v>
      </c>
      <c r="N42" s="60">
        <v>706.10</v>
      </c>
      <c r="O42" s="60">
        <v>0</v>
      </c>
      <c r="P42" s="60">
        <v>2.2000000000000002</v>
      </c>
      <c r="Q42" s="60">
        <v>12.66</v>
      </c>
      <c r="R42" s="198"/>
      <c r="S42" s="198"/>
      <c r="T42" s="198"/>
      <c r="U42" s="198"/>
    </row>
    <row r="43" spans="1:21" s="12" customFormat="1" ht="15">
      <c r="A43" s="201" t="s">
        <v>2684</v>
      </c>
      <c r="B43" s="60">
        <v>3.57</v>
      </c>
      <c r="C43" s="60">
        <v>12.20</v>
      </c>
      <c r="D43" s="60">
        <v>15.77</v>
      </c>
      <c r="E43" s="60">
        <v>6.94</v>
      </c>
      <c r="F43" s="60">
        <v>0.80</v>
      </c>
      <c r="G43" s="60">
        <v>35.69</v>
      </c>
      <c r="H43" s="60">
        <v>15.29</v>
      </c>
      <c r="I43" s="60">
        <v>4.4400000000000004</v>
      </c>
      <c r="J43" s="60">
        <v>3.55</v>
      </c>
      <c r="K43" s="60">
        <v>191.48</v>
      </c>
      <c r="L43" s="60">
        <v>43.96</v>
      </c>
      <c r="M43" s="60">
        <v>88.56</v>
      </c>
      <c r="N43" s="60">
        <v>444.90</v>
      </c>
      <c r="O43" s="60">
        <v>0</v>
      </c>
      <c r="P43" s="60">
        <v>2.21</v>
      </c>
      <c r="Q43" s="60">
        <v>12.55</v>
      </c>
      <c r="R43" s="198"/>
      <c r="S43" s="198"/>
      <c r="T43" s="198"/>
      <c r="U43" s="198"/>
    </row>
    <row r="44" spans="1:21" s="12" customFormat="1" ht="15">
      <c r="A44" s="201" t="s">
        <v>2685</v>
      </c>
      <c r="B44" s="60">
        <v>3.36</v>
      </c>
      <c r="C44" s="60">
        <v>14</v>
      </c>
      <c r="D44" s="60">
        <v>17.350000000000001</v>
      </c>
      <c r="E44" s="60">
        <v>6.76</v>
      </c>
      <c r="F44" s="60">
        <v>0.84</v>
      </c>
      <c r="G44" s="60">
        <v>35.69</v>
      </c>
      <c r="H44" s="60">
        <v>15.29</v>
      </c>
      <c r="I44" s="60">
        <v>4.49</v>
      </c>
      <c r="J44" s="60">
        <v>3.12</v>
      </c>
      <c r="K44" s="60">
        <v>191.30</v>
      </c>
      <c r="L44" s="60">
        <v>45.16</v>
      </c>
      <c r="M44" s="60">
        <v>88.52</v>
      </c>
      <c r="N44" s="60">
        <v>445.80</v>
      </c>
      <c r="O44" s="60">
        <v>0</v>
      </c>
      <c r="P44" s="60">
        <v>2.21</v>
      </c>
      <c r="Q44" s="60">
        <v>14.13</v>
      </c>
      <c r="R44" s="198"/>
      <c r="S44" s="198"/>
      <c r="T44" s="198"/>
      <c r="U44" s="198"/>
    </row>
    <row r="45" spans="1:21" s="12" customFormat="1" ht="15">
      <c r="A45" s="201" t="s">
        <v>2686</v>
      </c>
      <c r="B45" s="60">
        <v>2.95</v>
      </c>
      <c r="C45" s="60">
        <v>14.28</v>
      </c>
      <c r="D45" s="60">
        <v>17.23</v>
      </c>
      <c r="E45" s="60">
        <v>6.97</v>
      </c>
      <c r="F45" s="60">
        <v>0.68</v>
      </c>
      <c r="G45" s="60">
        <v>35.159999999999997</v>
      </c>
      <c r="H45" s="60">
        <v>14.06</v>
      </c>
      <c r="I45" s="60">
        <v>4.53</v>
      </c>
      <c r="J45" s="60">
        <v>3.07</v>
      </c>
      <c r="K45" s="60">
        <v>178.39</v>
      </c>
      <c r="L45" s="60">
        <v>43.41</v>
      </c>
      <c r="M45" s="60">
        <v>88.34</v>
      </c>
      <c r="N45" s="60">
        <v>463.30</v>
      </c>
      <c r="O45" s="60">
        <v>0</v>
      </c>
      <c r="P45" s="60">
        <v>2.21</v>
      </c>
      <c r="Q45" s="60">
        <v>16.010000000000002</v>
      </c>
      <c r="R45" s="198"/>
      <c r="S45" s="198"/>
      <c r="T45" s="198"/>
      <c r="U45" s="198"/>
    </row>
    <row r="46" spans="1:21" s="12" customFormat="1" ht="15">
      <c r="A46" s="201" t="s">
        <v>2687</v>
      </c>
      <c r="B46" s="60">
        <v>2.5299999999999998</v>
      </c>
      <c r="C46" s="60">
        <v>14.10</v>
      </c>
      <c r="D46" s="60">
        <v>16.63</v>
      </c>
      <c r="E46" s="60">
        <v>6.94</v>
      </c>
      <c r="F46" s="60">
        <v>0.80</v>
      </c>
      <c r="G46" s="60">
        <v>33.86</v>
      </c>
      <c r="H46" s="60">
        <v>11.06</v>
      </c>
      <c r="I46" s="60">
        <v>4.5</v>
      </c>
      <c r="J46" s="60">
        <v>4.5199999999999996</v>
      </c>
      <c r="K46" s="60">
        <v>161.59</v>
      </c>
      <c r="L46" s="60">
        <v>47.74</v>
      </c>
      <c r="M46" s="60">
        <v>89.19</v>
      </c>
      <c r="N46" s="60">
        <v>450.10</v>
      </c>
      <c r="O46" s="60">
        <v>0</v>
      </c>
      <c r="P46" s="60">
        <v>2.21</v>
      </c>
      <c r="Q46" s="60">
        <v>17.47</v>
      </c>
      <c r="R46" s="198"/>
      <c r="S46" s="198"/>
      <c r="T46" s="198"/>
      <c r="U46" s="198"/>
    </row>
    <row r="47" spans="1:21" s="12" customFormat="1" ht="15">
      <c r="A47" s="201" t="s">
        <v>2688</v>
      </c>
      <c r="B47" s="60">
        <v>2.14</v>
      </c>
      <c r="C47" s="60">
        <v>14.17</v>
      </c>
      <c r="D47" s="60">
        <v>16.309999999999999</v>
      </c>
      <c r="E47" s="60">
        <v>6.63</v>
      </c>
      <c r="F47" s="60">
        <v>0.78</v>
      </c>
      <c r="G47" s="60">
        <v>33.86</v>
      </c>
      <c r="H47" s="60">
        <v>11.06</v>
      </c>
      <c r="I47" s="60">
        <v>4.43</v>
      </c>
      <c r="J47" s="60">
        <v>3.70</v>
      </c>
      <c r="K47" s="60">
        <v>164.76</v>
      </c>
      <c r="L47" s="60">
        <v>44.86</v>
      </c>
      <c r="M47" s="60">
        <v>91.61</v>
      </c>
      <c r="N47" s="60">
        <v>427</v>
      </c>
      <c r="O47" s="60">
        <v>0</v>
      </c>
      <c r="P47" s="60">
        <v>2.21</v>
      </c>
      <c r="Q47" s="60">
        <v>18.88</v>
      </c>
      <c r="R47" s="198"/>
      <c r="S47" s="198"/>
      <c r="T47" s="198"/>
      <c r="U47" s="198"/>
    </row>
    <row r="48" spans="1:21" s="12" customFormat="1" ht="15">
      <c r="A48" s="201" t="s">
        <v>2689</v>
      </c>
      <c r="B48" s="60">
        <v>1.95</v>
      </c>
      <c r="C48" s="60">
        <v>14.33</v>
      </c>
      <c r="D48" s="60">
        <v>16.28</v>
      </c>
      <c r="E48" s="60">
        <v>6.68</v>
      </c>
      <c r="F48" s="60">
        <v>0.73</v>
      </c>
      <c r="G48" s="60">
        <v>33.86</v>
      </c>
      <c r="H48" s="60">
        <v>11.06</v>
      </c>
      <c r="I48" s="60">
        <v>4.38</v>
      </c>
      <c r="J48" s="60">
        <v>3.22</v>
      </c>
      <c r="K48" s="60">
        <v>196.58</v>
      </c>
      <c r="L48" s="60">
        <v>49.73</v>
      </c>
      <c r="M48" s="60">
        <v>91.29</v>
      </c>
      <c r="N48" s="60">
        <v>473.10</v>
      </c>
      <c r="O48" s="60">
        <v>0</v>
      </c>
      <c r="P48" s="60">
        <v>2.21</v>
      </c>
      <c r="Q48" s="60">
        <v>20.12</v>
      </c>
      <c r="R48" s="198"/>
      <c r="S48" s="198"/>
      <c r="T48" s="198"/>
      <c r="U48" s="198"/>
    </row>
    <row r="49" spans="1:21" s="12" customFormat="1" ht="15">
      <c r="A49" s="201" t="s">
        <v>2690</v>
      </c>
      <c r="B49" s="60">
        <v>1.81</v>
      </c>
      <c r="C49" s="60">
        <v>14.36</v>
      </c>
      <c r="D49" s="60">
        <v>16.170000000000002</v>
      </c>
      <c r="E49" s="60">
        <v>6.55</v>
      </c>
      <c r="F49" s="60">
        <v>0.88</v>
      </c>
      <c r="G49" s="60">
        <v>32.369999999999997</v>
      </c>
      <c r="H49" s="60">
        <v>12.94</v>
      </c>
      <c r="I49" s="60">
        <v>4.3499999999999996</v>
      </c>
      <c r="J49" s="60">
        <v>2.46</v>
      </c>
      <c r="K49" s="60">
        <v>222.05</v>
      </c>
      <c r="L49" s="60">
        <v>43.16</v>
      </c>
      <c r="M49" s="60">
        <v>88.29</v>
      </c>
      <c r="N49" s="60">
        <v>486.60</v>
      </c>
      <c r="O49" s="60">
        <v>0</v>
      </c>
      <c r="P49" s="60">
        <v>2.2200000000000002</v>
      </c>
      <c r="Q49" s="60">
        <v>20.64</v>
      </c>
      <c r="R49" s="198"/>
      <c r="S49" s="198"/>
      <c r="T49" s="198"/>
      <c r="U49" s="198"/>
    </row>
    <row r="50" spans="1:21" s="12" customFormat="1" ht="15">
      <c r="A50" s="201" t="s">
        <v>2691</v>
      </c>
      <c r="B50" s="60">
        <v>1.73</v>
      </c>
      <c r="C50" s="60">
        <v>14.32</v>
      </c>
      <c r="D50" s="60">
        <v>16.05</v>
      </c>
      <c r="E50" s="60">
        <v>6.35</v>
      </c>
      <c r="F50" s="60">
        <v>0.92</v>
      </c>
      <c r="G50" s="60">
        <v>28.69</v>
      </c>
      <c r="H50" s="60">
        <v>17.579999999999998</v>
      </c>
      <c r="I50" s="60">
        <v>4.29</v>
      </c>
      <c r="J50" s="60">
        <v>0.75</v>
      </c>
      <c r="K50" s="60">
        <v>52.34</v>
      </c>
      <c r="L50" s="60">
        <v>46.02</v>
      </c>
      <c r="M50" s="60">
        <v>86.28</v>
      </c>
      <c r="N50" s="60">
        <v>558.79999999999995</v>
      </c>
      <c r="O50" s="60">
        <v>0</v>
      </c>
      <c r="P50" s="60">
        <v>2.2200000000000002</v>
      </c>
      <c r="Q50" s="60">
        <v>20.21</v>
      </c>
      <c r="R50" s="198"/>
      <c r="S50" s="198"/>
      <c r="T50" s="198"/>
      <c r="U50" s="198"/>
    </row>
    <row r="51" spans="1:21" s="12" customFormat="1" ht="15">
      <c r="A51" s="201" t="s">
        <v>2692</v>
      </c>
      <c r="B51" s="60">
        <v>2.72</v>
      </c>
      <c r="C51" s="60">
        <v>15.46</v>
      </c>
      <c r="D51" s="60">
        <v>18.190000000000001</v>
      </c>
      <c r="E51" s="60">
        <v>6.29</v>
      </c>
      <c r="F51" s="60">
        <v>0.87</v>
      </c>
      <c r="G51" s="60">
        <v>28.69</v>
      </c>
      <c r="H51" s="60">
        <v>17.579999999999998</v>
      </c>
      <c r="I51" s="60">
        <v>4.29</v>
      </c>
      <c r="J51" s="60">
        <v>0.86</v>
      </c>
      <c r="K51" s="60">
        <v>210.77</v>
      </c>
      <c r="L51" s="60">
        <v>46.53</v>
      </c>
      <c r="M51" s="60">
        <v>81.290000000000006</v>
      </c>
      <c r="N51" s="60">
        <v>695.30</v>
      </c>
      <c r="O51" s="60">
        <v>0</v>
      </c>
      <c r="P51" s="60">
        <v>2.2599999999999998</v>
      </c>
      <c r="Q51" s="60">
        <v>20.38</v>
      </c>
      <c r="R51" s="198"/>
      <c r="S51" s="198"/>
      <c r="T51" s="198"/>
      <c r="U51" s="198"/>
    </row>
    <row r="52" spans="1:21" s="12" customFormat="1" ht="15">
      <c r="A52" s="201" t="s">
        <v>2693</v>
      </c>
      <c r="B52" s="60">
        <v>2.74</v>
      </c>
      <c r="C52" s="60">
        <v>16.309999999999999</v>
      </c>
      <c r="D52" s="60">
        <v>19.05</v>
      </c>
      <c r="E52" s="60">
        <v>5.98</v>
      </c>
      <c r="F52" s="60">
        <v>0.90</v>
      </c>
      <c r="G52" s="60">
        <v>28.69</v>
      </c>
      <c r="H52" s="60">
        <v>17.579999999999998</v>
      </c>
      <c r="I52" s="60">
        <v>4.32</v>
      </c>
      <c r="J52" s="60">
        <v>1.1599999999999999</v>
      </c>
      <c r="K52" s="60">
        <v>354.79</v>
      </c>
      <c r="L52" s="60">
        <v>48.17</v>
      </c>
      <c r="M52" s="60">
        <v>76.55</v>
      </c>
      <c r="N52" s="60">
        <v>954.30</v>
      </c>
      <c r="O52" s="60">
        <v>0</v>
      </c>
      <c r="P52" s="60">
        <v>2.27</v>
      </c>
      <c r="Q52" s="60">
        <v>20.43</v>
      </c>
      <c r="R52" s="198"/>
      <c r="S52" s="198"/>
      <c r="T52" s="198"/>
      <c r="U52" s="198"/>
    </row>
    <row r="53" spans="1:21" s="12" customFormat="1" ht="15">
      <c r="A53" s="201" t="s">
        <v>2694</v>
      </c>
      <c r="B53" s="60">
        <v>2.39</v>
      </c>
      <c r="C53" s="60">
        <v>17</v>
      </c>
      <c r="D53" s="60">
        <v>19.39</v>
      </c>
      <c r="E53" s="60">
        <v>5.76</v>
      </c>
      <c r="F53" s="60">
        <v>1.54</v>
      </c>
      <c r="G53" s="60">
        <v>28.76</v>
      </c>
      <c r="H53" s="60">
        <v>17.440000000000001</v>
      </c>
      <c r="I53" s="60">
        <v>4.47</v>
      </c>
      <c r="J53" s="60">
        <v>1.27</v>
      </c>
      <c r="K53" s="60">
        <v>311.30</v>
      </c>
      <c r="L53" s="6" t="s">
        <v>42</v>
      </c>
      <c r="M53" s="60">
        <v>72.790000000000006</v>
      </c>
      <c r="N53" s="60">
        <v>1039.5999999999999</v>
      </c>
      <c r="O53" s="60">
        <v>0</v>
      </c>
      <c r="P53" s="60">
        <v>2.2999999999999998</v>
      </c>
      <c r="Q53" s="60">
        <v>20.100000000000001</v>
      </c>
      <c r="R53" s="198"/>
      <c r="S53" s="198"/>
      <c r="T53" s="198"/>
      <c r="U53" s="198"/>
    </row>
    <row r="54" spans="1:21" s="12" customFormat="1" ht="15">
      <c r="A54" s="201" t="s">
        <v>2695</v>
      </c>
      <c r="B54" s="60">
        <v>2.14</v>
      </c>
      <c r="C54" s="60">
        <v>17.54</v>
      </c>
      <c r="D54" s="60">
        <v>19.68</v>
      </c>
      <c r="E54" s="60">
        <v>6.08</v>
      </c>
      <c r="F54" s="60">
        <v>1.77</v>
      </c>
      <c r="G54" s="60">
        <v>28.94</v>
      </c>
      <c r="H54" s="60">
        <v>17.07</v>
      </c>
      <c r="I54" s="60">
        <v>4.4800000000000004</v>
      </c>
      <c r="J54" s="60">
        <v>1.87</v>
      </c>
      <c r="K54" s="60">
        <v>330.56</v>
      </c>
      <c r="L54" s="6" t="s">
        <v>42</v>
      </c>
      <c r="M54" s="60">
        <v>71.13</v>
      </c>
      <c r="N54" s="60">
        <v>1317.5</v>
      </c>
      <c r="O54" s="60">
        <v>0</v>
      </c>
      <c r="P54" s="60">
        <v>2.29</v>
      </c>
      <c r="Q54" s="60">
        <v>18.57</v>
      </c>
      <c r="R54" s="198"/>
      <c r="S54" s="198"/>
      <c r="T54" s="198"/>
      <c r="U54" s="198"/>
    </row>
    <row r="55" spans="1:21" s="12" customFormat="1" ht="15">
      <c r="A55" s="201" t="s">
        <v>2696</v>
      </c>
      <c r="B55" s="60">
        <v>1.99</v>
      </c>
      <c r="C55" s="60">
        <v>17.05</v>
      </c>
      <c r="D55" s="60">
        <v>19.04</v>
      </c>
      <c r="E55" s="60">
        <v>5.58</v>
      </c>
      <c r="F55" s="60">
        <v>1.85</v>
      </c>
      <c r="G55" s="60">
        <v>28.94</v>
      </c>
      <c r="H55" s="60">
        <v>17.07</v>
      </c>
      <c r="I55" s="60">
        <v>4.4000000000000004</v>
      </c>
      <c r="J55" s="60">
        <v>1.21</v>
      </c>
      <c r="K55" s="60">
        <v>347.76</v>
      </c>
      <c r="L55" s="6" t="s">
        <v>42</v>
      </c>
      <c r="M55" s="60">
        <v>68.680000000000007</v>
      </c>
      <c r="N55" s="60">
        <v>1150.30</v>
      </c>
      <c r="O55" s="60">
        <v>0</v>
      </c>
      <c r="P55" s="60">
        <v>2.3199999999999998</v>
      </c>
      <c r="Q55" s="60">
        <v>15.44</v>
      </c>
      <c r="R55" s="198"/>
      <c r="S55" s="198"/>
      <c r="T55" s="198"/>
      <c r="U55" s="198"/>
    </row>
    <row r="56" spans="1:21" s="12" customFormat="1" ht="15">
      <c r="A56" s="201" t="s">
        <v>2697</v>
      </c>
      <c r="B56" s="60">
        <v>1.64</v>
      </c>
      <c r="C56" s="60">
        <v>17.55</v>
      </c>
      <c r="D56" s="60">
        <v>19.190000000000001</v>
      </c>
      <c r="E56" s="60">
        <v>2.4500000000000002</v>
      </c>
      <c r="F56" s="60">
        <v>2.0699999999999998</v>
      </c>
      <c r="G56" s="60">
        <v>28.94</v>
      </c>
      <c r="H56" s="60">
        <v>17.07</v>
      </c>
      <c r="I56" s="60">
        <v>4.3499999999999996</v>
      </c>
      <c r="J56" s="60">
        <v>1.31</v>
      </c>
      <c r="K56" s="60">
        <v>292.39</v>
      </c>
      <c r="L56" s="6" t="s">
        <v>42</v>
      </c>
      <c r="M56" s="60">
        <v>68.83</v>
      </c>
      <c r="N56" s="60">
        <v>1303.5</v>
      </c>
      <c r="O56" s="60">
        <v>0</v>
      </c>
      <c r="P56" s="60">
        <v>2.33</v>
      </c>
      <c r="Q56" s="60">
        <v>13.71</v>
      </c>
      <c r="R56" s="198"/>
      <c r="S56" s="198"/>
      <c r="T56" s="198"/>
      <c r="U56" s="198"/>
    </row>
    <row r="57" spans="1:21" s="12" customFormat="1" ht="15">
      <c r="A57" s="201" t="s">
        <v>2698</v>
      </c>
      <c r="B57" s="60">
        <v>1.76</v>
      </c>
      <c r="C57" s="60">
        <v>17.72</v>
      </c>
      <c r="D57" s="60">
        <v>19.48</v>
      </c>
      <c r="E57" s="60">
        <v>4.6900000000000004</v>
      </c>
      <c r="F57" s="60">
        <v>1.96</v>
      </c>
      <c r="G57" s="60">
        <v>31.97</v>
      </c>
      <c r="H57" s="60">
        <v>15.87</v>
      </c>
      <c r="I57" s="60">
        <v>4.3899999999999997</v>
      </c>
      <c r="J57" s="60">
        <v>0.87</v>
      </c>
      <c r="K57" s="60">
        <v>319.89999999999998</v>
      </c>
      <c r="L57" s="6" t="s">
        <v>42</v>
      </c>
      <c r="M57" s="60">
        <v>65.400000000000006</v>
      </c>
      <c r="N57" s="60">
        <v>1287.20</v>
      </c>
      <c r="O57" s="60">
        <v>0</v>
      </c>
      <c r="P57" s="60">
        <v>2.33</v>
      </c>
      <c r="Q57" s="60">
        <v>12.51</v>
      </c>
      <c r="R57" s="198"/>
      <c r="S57" s="198"/>
      <c r="T57" s="198"/>
      <c r="U57" s="198"/>
    </row>
    <row r="58" spans="1:21" s="12" customFormat="1" ht="15">
      <c r="A58" s="201" t="s">
        <v>2699</v>
      </c>
      <c r="B58" s="60">
        <v>1.62</v>
      </c>
      <c r="C58" s="60">
        <v>18.420000000000002</v>
      </c>
      <c r="D58" s="60">
        <v>20.05</v>
      </c>
      <c r="E58" s="60">
        <v>4.96</v>
      </c>
      <c r="F58" s="60">
        <v>2.14</v>
      </c>
      <c r="G58" s="60">
        <v>39.42</v>
      </c>
      <c r="H58" s="60">
        <v>12.90</v>
      </c>
      <c r="I58" s="60">
        <v>4.41</v>
      </c>
      <c r="J58" s="60">
        <v>0.95</v>
      </c>
      <c r="K58" s="60">
        <v>290.60000000000002</v>
      </c>
      <c r="L58" s="6" t="s">
        <v>42</v>
      </c>
      <c r="M58" s="60">
        <v>64.02</v>
      </c>
      <c r="N58" s="60">
        <v>1333.30</v>
      </c>
      <c r="O58" s="60">
        <v>0</v>
      </c>
      <c r="P58" s="60">
        <v>2.3199999999999998</v>
      </c>
      <c r="Q58" s="60">
        <v>12.41</v>
      </c>
      <c r="R58" s="198"/>
      <c r="S58" s="198"/>
      <c r="T58" s="198"/>
      <c r="U58" s="198"/>
    </row>
    <row r="59" spans="1:21" s="12" customFormat="1" ht="15">
      <c r="A59" s="201" t="s">
        <v>2700</v>
      </c>
      <c r="B59" s="60">
        <v>1.34</v>
      </c>
      <c r="C59" s="60">
        <v>18.239999999999998</v>
      </c>
      <c r="D59" s="60">
        <v>19.579999999999998</v>
      </c>
      <c r="E59" s="60">
        <v>5.12</v>
      </c>
      <c r="F59" s="60">
        <v>2.33</v>
      </c>
      <c r="G59" s="60">
        <v>39.42</v>
      </c>
      <c r="H59" s="60">
        <v>12.90</v>
      </c>
      <c r="I59" s="60">
        <v>4.3899999999999997</v>
      </c>
      <c r="J59" s="60">
        <v>1.70</v>
      </c>
      <c r="K59" s="60">
        <v>313.14</v>
      </c>
      <c r="L59" s="6" t="s">
        <v>42</v>
      </c>
      <c r="M59" s="60">
        <v>60.72</v>
      </c>
      <c r="N59" s="60">
        <v>1244.80</v>
      </c>
      <c r="O59" s="60">
        <v>0</v>
      </c>
      <c r="P59" s="60">
        <v>2.33</v>
      </c>
      <c r="Q59" s="60">
        <v>11.70</v>
      </c>
      <c r="R59" s="198"/>
      <c r="S59" s="198"/>
      <c r="T59" s="198"/>
      <c r="U59" s="198"/>
    </row>
    <row r="60" spans="1:21" s="12" customFormat="1" ht="15">
      <c r="A60" s="201" t="s">
        <v>2701</v>
      </c>
      <c r="B60" s="60">
        <v>1.39</v>
      </c>
      <c r="C60" s="60">
        <v>18.46</v>
      </c>
      <c r="D60" s="60">
        <v>19.850000000000001</v>
      </c>
      <c r="E60" s="60">
        <v>4.99</v>
      </c>
      <c r="F60" s="60">
        <v>2.02</v>
      </c>
      <c r="G60" s="60">
        <v>39.42</v>
      </c>
      <c r="H60" s="60">
        <v>12.90</v>
      </c>
      <c r="I60" s="60">
        <v>4.34</v>
      </c>
      <c r="J60" s="60">
        <v>0.92</v>
      </c>
      <c r="K60" s="60">
        <v>296.37</v>
      </c>
      <c r="L60" s="6" t="s">
        <v>42</v>
      </c>
      <c r="M60" s="60">
        <v>61.87</v>
      </c>
      <c r="N60" s="60">
        <v>1101.20</v>
      </c>
      <c r="O60" s="60">
        <v>0</v>
      </c>
      <c r="P60" s="60">
        <v>2.34</v>
      </c>
      <c r="Q60" s="60">
        <v>11.68</v>
      </c>
      <c r="R60" s="198"/>
      <c r="S60" s="198"/>
      <c r="T60" s="198"/>
      <c r="U60" s="198"/>
    </row>
    <row r="61" spans="1:21" s="12" customFormat="1" ht="15">
      <c r="A61" s="201" t="s">
        <v>2702</v>
      </c>
      <c r="B61" s="60">
        <v>1.75</v>
      </c>
      <c r="C61" s="60">
        <v>19.170000000000002</v>
      </c>
      <c r="D61" s="60">
        <v>20.92</v>
      </c>
      <c r="E61" s="60">
        <v>5.14</v>
      </c>
      <c r="F61" s="60">
        <v>1.98</v>
      </c>
      <c r="G61" s="60">
        <v>40.81</v>
      </c>
      <c r="H61" s="60">
        <v>14.49</v>
      </c>
      <c r="I61" s="60">
        <v>4.42</v>
      </c>
      <c r="J61" s="60">
        <v>1.45</v>
      </c>
      <c r="K61" s="60">
        <v>332.19</v>
      </c>
      <c r="L61" s="60">
        <v>49.70</v>
      </c>
      <c r="M61" s="60">
        <v>58.24</v>
      </c>
      <c r="N61" s="60">
        <v>783.30</v>
      </c>
      <c r="O61" s="60">
        <v>0</v>
      </c>
      <c r="P61" s="60">
        <v>2.39</v>
      </c>
      <c r="Q61" s="60">
        <v>11.67</v>
      </c>
      <c r="R61" s="198"/>
      <c r="S61" s="198"/>
      <c r="T61" s="198"/>
      <c r="U61" s="198"/>
    </row>
    <row r="62" spans="1:21" s="12" customFormat="1" ht="15">
      <c r="A62" s="201" t="s">
        <v>2703</v>
      </c>
      <c r="B62" s="60">
        <v>1.82</v>
      </c>
      <c r="C62" s="60">
        <v>21.33</v>
      </c>
      <c r="D62" s="60">
        <v>23.15</v>
      </c>
      <c r="E62" s="60">
        <v>4.96</v>
      </c>
      <c r="F62" s="60">
        <v>2.33</v>
      </c>
      <c r="G62" s="60">
        <v>44.23</v>
      </c>
      <c r="H62" s="60">
        <v>18.39</v>
      </c>
      <c r="I62" s="60">
        <v>4.83</v>
      </c>
      <c r="J62" s="60">
        <v>2.08</v>
      </c>
      <c r="K62" s="60">
        <v>321.35000000000002</v>
      </c>
      <c r="L62" s="6" t="s">
        <v>42</v>
      </c>
      <c r="M62" s="60">
        <v>58.90</v>
      </c>
      <c r="N62" s="60">
        <v>992.70</v>
      </c>
      <c r="O62" s="60">
        <v>0</v>
      </c>
      <c r="P62" s="60">
        <v>2.46</v>
      </c>
      <c r="Q62" s="60">
        <v>13.21</v>
      </c>
      <c r="R62" s="198"/>
      <c r="S62" s="198"/>
      <c r="T62" s="198"/>
      <c r="U62" s="198"/>
    </row>
    <row r="63" spans="1:21" s="12" customFormat="1" ht="15">
      <c r="A63" s="201" t="s">
        <v>2704</v>
      </c>
      <c r="B63" s="60">
        <v>1.77</v>
      </c>
      <c r="C63" s="60">
        <v>21.75</v>
      </c>
      <c r="D63" s="60">
        <v>23.52</v>
      </c>
      <c r="E63" s="60">
        <v>4.82</v>
      </c>
      <c r="F63" s="60">
        <v>2.62</v>
      </c>
      <c r="G63" s="60">
        <v>44.23</v>
      </c>
      <c r="H63" s="60">
        <v>18.39</v>
      </c>
      <c r="I63" s="60">
        <v>5.56</v>
      </c>
      <c r="J63" s="60">
        <v>2.76</v>
      </c>
      <c r="K63" s="60">
        <v>317.23</v>
      </c>
      <c r="L63" s="6" t="s">
        <v>42</v>
      </c>
      <c r="M63" s="60">
        <v>58.43</v>
      </c>
      <c r="N63" s="60">
        <v>896.30</v>
      </c>
      <c r="O63" s="60">
        <v>0</v>
      </c>
      <c r="P63" s="60">
        <v>2.5099999999999998</v>
      </c>
      <c r="Q63" s="60">
        <v>15.02</v>
      </c>
      <c r="R63" s="198"/>
      <c r="S63" s="198"/>
      <c r="T63" s="198"/>
      <c r="U63" s="198"/>
    </row>
    <row r="64" spans="1:21" s="12" customFormat="1" ht="15">
      <c r="A64" s="201" t="s">
        <v>2705</v>
      </c>
      <c r="B64" s="60">
        <v>1.76</v>
      </c>
      <c r="C64" s="60">
        <v>22.49</v>
      </c>
      <c r="D64" s="60">
        <v>24.25</v>
      </c>
      <c r="E64" s="60">
        <v>4.87</v>
      </c>
      <c r="F64" s="60">
        <v>2.56</v>
      </c>
      <c r="G64" s="60">
        <v>44.23</v>
      </c>
      <c r="H64" s="60">
        <v>18.39</v>
      </c>
      <c r="I64" s="60">
        <v>6.30</v>
      </c>
      <c r="J64" s="60">
        <v>3.82</v>
      </c>
      <c r="K64" s="60">
        <v>317.74</v>
      </c>
      <c r="L64" s="6" t="s">
        <v>42</v>
      </c>
      <c r="M64" s="60">
        <v>58.20</v>
      </c>
      <c r="N64" s="60">
        <v>886.10</v>
      </c>
      <c r="O64" s="60">
        <v>0</v>
      </c>
      <c r="P64" s="60">
        <v>2.56</v>
      </c>
      <c r="Q64" s="60">
        <v>16.25</v>
      </c>
      <c r="R64" s="198"/>
      <c r="S64" s="198"/>
      <c r="T64" s="198"/>
      <c r="U64" s="198"/>
    </row>
    <row r="65" spans="1:21" s="12" customFormat="1" ht="15">
      <c r="A65" s="201" t="s">
        <v>2706</v>
      </c>
      <c r="B65" s="60">
        <v>1.68</v>
      </c>
      <c r="C65" s="60">
        <v>23.63</v>
      </c>
      <c r="D65" s="60">
        <v>25.31</v>
      </c>
      <c r="E65" s="60">
        <v>4.63</v>
      </c>
      <c r="F65" s="60">
        <v>2.39</v>
      </c>
      <c r="G65" s="60">
        <v>49.14</v>
      </c>
      <c r="H65" s="60">
        <v>20.13</v>
      </c>
      <c r="I65" s="60">
        <v>6.93</v>
      </c>
      <c r="J65" s="60">
        <v>1.69</v>
      </c>
      <c r="K65" s="60">
        <v>301.36</v>
      </c>
      <c r="L65" s="6" t="s">
        <v>42</v>
      </c>
      <c r="M65" s="60">
        <v>58.55</v>
      </c>
      <c r="N65" s="60">
        <v>544.29999999999995</v>
      </c>
      <c r="O65" s="60">
        <v>0</v>
      </c>
      <c r="P65" s="60">
        <v>2.61</v>
      </c>
      <c r="Q65" s="60">
        <v>17.11</v>
      </c>
      <c r="R65" s="198"/>
      <c r="S65" s="198"/>
      <c r="T65" s="198"/>
      <c r="U65" s="198"/>
    </row>
    <row r="66" spans="1:21" s="12" customFormat="1" ht="15">
      <c r="A66" s="201" t="s">
        <v>2707</v>
      </c>
      <c r="B66" s="60">
        <v>1.59</v>
      </c>
      <c r="C66" s="60">
        <v>24.52</v>
      </c>
      <c r="D66" s="60">
        <v>26.12</v>
      </c>
      <c r="E66" s="60">
        <v>4.88</v>
      </c>
      <c r="F66" s="60">
        <v>2.21</v>
      </c>
      <c r="G66" s="60">
        <v>61.21</v>
      </c>
      <c r="H66" s="60">
        <v>24.40</v>
      </c>
      <c r="I66" s="60">
        <v>7.63</v>
      </c>
      <c r="J66" s="60">
        <v>0.37</v>
      </c>
      <c r="K66" s="60">
        <v>339.47</v>
      </c>
      <c r="L66" s="6" t="s">
        <v>42</v>
      </c>
      <c r="M66" s="60">
        <v>61.61</v>
      </c>
      <c r="N66" s="60">
        <v>775.70</v>
      </c>
      <c r="O66" s="60">
        <v>0</v>
      </c>
      <c r="P66" s="60">
        <v>2.65</v>
      </c>
      <c r="Q66" s="60">
        <v>17.61</v>
      </c>
      <c r="R66" s="198"/>
      <c r="S66" s="198"/>
      <c r="T66" s="198"/>
      <c r="U66" s="198"/>
    </row>
    <row r="67" spans="1:21" s="12" customFormat="1" ht="15">
      <c r="A67" s="201" t="s">
        <v>2708</v>
      </c>
      <c r="B67" s="60">
        <v>1.35</v>
      </c>
      <c r="C67" s="60">
        <v>23.92</v>
      </c>
      <c r="D67" s="60">
        <v>25.28</v>
      </c>
      <c r="E67" s="60">
        <v>5.31</v>
      </c>
      <c r="F67" s="60">
        <v>2.23</v>
      </c>
      <c r="G67" s="60">
        <v>61.21</v>
      </c>
      <c r="H67" s="60">
        <v>24.40</v>
      </c>
      <c r="I67" s="60">
        <v>8.3000000000000007</v>
      </c>
      <c r="J67" s="60">
        <v>2.36</v>
      </c>
      <c r="K67" s="60">
        <v>182.03</v>
      </c>
      <c r="L67" s="6" t="s">
        <v>42</v>
      </c>
      <c r="M67" s="60">
        <v>62.29</v>
      </c>
      <c r="N67" s="60">
        <v>848.10</v>
      </c>
      <c r="O67" s="60">
        <v>0</v>
      </c>
      <c r="P67" s="60">
        <v>2.64</v>
      </c>
      <c r="Q67" s="60">
        <v>17.91</v>
      </c>
      <c r="R67" s="198"/>
      <c r="S67" s="198"/>
      <c r="T67" s="198"/>
      <c r="U67" s="198"/>
    </row>
    <row r="68" spans="1:21" s="12" customFormat="1" ht="15">
      <c r="A68" s="201" t="s">
        <v>2709</v>
      </c>
      <c r="B68" s="60">
        <v>0.82</v>
      </c>
      <c r="C68" s="60">
        <v>21.82</v>
      </c>
      <c r="D68" s="60">
        <v>22.63</v>
      </c>
      <c r="E68" s="60">
        <v>4.38</v>
      </c>
      <c r="F68" s="60">
        <v>2.87</v>
      </c>
      <c r="G68" s="60">
        <v>61.21</v>
      </c>
      <c r="H68" s="60">
        <v>24.40</v>
      </c>
      <c r="I68" s="60">
        <v>8.6999999999999993</v>
      </c>
      <c r="J68" s="60">
        <v>2.90</v>
      </c>
      <c r="K68" s="60">
        <v>180.01</v>
      </c>
      <c r="L68" s="6" t="s">
        <v>42</v>
      </c>
      <c r="M68" s="60">
        <v>63.51</v>
      </c>
      <c r="N68" s="60">
        <v>1098.0999999999999</v>
      </c>
      <c r="O68" s="60">
        <v>0</v>
      </c>
      <c r="P68" s="60">
        <v>2.58</v>
      </c>
      <c r="Q68" s="60">
        <v>17.510000000000002</v>
      </c>
      <c r="R68" s="198"/>
      <c r="S68" s="198"/>
      <c r="T68" s="198"/>
      <c r="U68" s="198"/>
    </row>
    <row r="69" spans="1:21" s="12" customFormat="1" ht="15">
      <c r="A69" s="201" t="s">
        <v>2710</v>
      </c>
      <c r="B69" s="60">
        <v>0.5</v>
      </c>
      <c r="C69" s="60">
        <v>20.190000000000001</v>
      </c>
      <c r="D69" s="60">
        <v>20.69</v>
      </c>
      <c r="E69" s="60">
        <v>4.7300000000000004</v>
      </c>
      <c r="F69" s="60">
        <v>2.54</v>
      </c>
      <c r="G69" s="60">
        <v>60.84</v>
      </c>
      <c r="H69" s="60">
        <v>23.88</v>
      </c>
      <c r="I69" s="60">
        <v>8.6300000000000008</v>
      </c>
      <c r="J69" s="60">
        <v>1.87</v>
      </c>
      <c r="K69" s="60">
        <v>208.46</v>
      </c>
      <c r="L69" s="6" t="s">
        <v>42</v>
      </c>
      <c r="M69" s="60">
        <v>61.05</v>
      </c>
      <c r="N69" s="60">
        <v>1177.0999999999999</v>
      </c>
      <c r="O69" s="60">
        <v>0</v>
      </c>
      <c r="P69" s="60">
        <v>2.5499999999999998</v>
      </c>
      <c r="Q69" s="60">
        <v>17.07</v>
      </c>
      <c r="R69" s="198"/>
      <c r="S69" s="198"/>
      <c r="T69" s="198"/>
      <c r="U69" s="198"/>
    </row>
    <row r="70" spans="1:21" s="12" customFormat="1" ht="15">
      <c r="A70" s="201" t="s">
        <v>2711</v>
      </c>
      <c r="B70" s="60">
        <v>0.36</v>
      </c>
      <c r="C70" s="60">
        <v>17.489999999999998</v>
      </c>
      <c r="D70" s="60">
        <v>17.850000000000001</v>
      </c>
      <c r="E70" s="60">
        <v>4.01</v>
      </c>
      <c r="F70" s="60">
        <v>3.02</v>
      </c>
      <c r="G70" s="60">
        <v>59.94</v>
      </c>
      <c r="H70" s="60">
        <v>22.60</v>
      </c>
      <c r="I70" s="60">
        <v>8.07</v>
      </c>
      <c r="J70" s="60">
        <v>2.72</v>
      </c>
      <c r="K70" s="60">
        <v>170.34</v>
      </c>
      <c r="L70" s="6" t="s">
        <v>42</v>
      </c>
      <c r="M70" s="60">
        <v>61.24</v>
      </c>
      <c r="N70" s="60">
        <v>916.80</v>
      </c>
      <c r="O70" s="60">
        <v>0</v>
      </c>
      <c r="P70" s="60">
        <v>2.5</v>
      </c>
      <c r="Q70" s="60">
        <v>16.16</v>
      </c>
      <c r="R70" s="198"/>
      <c r="S70" s="198"/>
      <c r="T70" s="198"/>
      <c r="U70" s="198"/>
    </row>
    <row r="71" spans="1:21" s="12" customFormat="1" ht="15">
      <c r="A71" s="201" t="s">
        <v>2712</v>
      </c>
      <c r="B71" s="60">
        <v>0.32</v>
      </c>
      <c r="C71" s="60">
        <v>17.739999999999998</v>
      </c>
      <c r="D71" s="60">
        <v>18.059999999999999</v>
      </c>
      <c r="E71" s="60">
        <v>4.5199999999999996</v>
      </c>
      <c r="F71" s="60">
        <v>2.4300000000000002</v>
      </c>
      <c r="G71" s="60">
        <v>59.94</v>
      </c>
      <c r="H71" s="60">
        <v>22.60</v>
      </c>
      <c r="I71" s="60">
        <v>7.65</v>
      </c>
      <c r="J71" s="60">
        <v>1.28</v>
      </c>
      <c r="K71" s="60">
        <v>227.43</v>
      </c>
      <c r="L71" s="6" t="s">
        <v>42</v>
      </c>
      <c r="M71" s="60">
        <v>60.59</v>
      </c>
      <c r="N71" s="60">
        <v>890</v>
      </c>
      <c r="O71" s="60">
        <v>0</v>
      </c>
      <c r="P71" s="60">
        <v>2.48</v>
      </c>
      <c r="Q71" s="60">
        <v>15.84</v>
      </c>
      <c r="R71" s="198"/>
      <c r="S71" s="198"/>
      <c r="T71" s="198"/>
      <c r="U71" s="198"/>
    </row>
    <row r="72" spans="1:21" s="12" customFormat="1" ht="15">
      <c r="A72" s="201" t="s">
        <v>2713</v>
      </c>
      <c r="B72" s="60">
        <v>0.49</v>
      </c>
      <c r="C72" s="60">
        <v>15.99</v>
      </c>
      <c r="D72" s="60">
        <v>16.48</v>
      </c>
      <c r="E72" s="60">
        <v>2.66</v>
      </c>
      <c r="F72" s="60">
        <v>2.78</v>
      </c>
      <c r="G72" s="60">
        <v>59.94</v>
      </c>
      <c r="H72" s="60">
        <v>22.60</v>
      </c>
      <c r="I72" s="60">
        <v>7.25</v>
      </c>
      <c r="J72" s="60">
        <v>2.74</v>
      </c>
      <c r="K72" s="60">
        <v>182.20</v>
      </c>
      <c r="L72" s="6" t="s">
        <v>42</v>
      </c>
      <c r="M72" s="60">
        <v>61.56</v>
      </c>
      <c r="N72" s="60">
        <v>969</v>
      </c>
      <c r="O72" s="60">
        <v>0</v>
      </c>
      <c r="P72" s="60">
        <v>2.44</v>
      </c>
      <c r="Q72" s="60">
        <v>14.19</v>
      </c>
      <c r="R72" s="198"/>
      <c r="S72" s="198"/>
      <c r="T72" s="198"/>
      <c r="U72" s="198"/>
    </row>
    <row r="73" spans="1:21" s="12" customFormat="1" ht="15">
      <c r="A73" s="201" t="s">
        <v>2714</v>
      </c>
      <c r="B73" s="60">
        <v>0.53</v>
      </c>
      <c r="C73" s="60">
        <v>14.80</v>
      </c>
      <c r="D73" s="60">
        <v>15.33</v>
      </c>
      <c r="E73" s="60">
        <v>5.28</v>
      </c>
      <c r="F73" s="60">
        <v>2.40</v>
      </c>
      <c r="G73" s="60">
        <v>58.45</v>
      </c>
      <c r="H73" s="60">
        <v>23.47</v>
      </c>
      <c r="I73" s="60">
        <v>6.92</v>
      </c>
      <c r="J73" s="60">
        <v>1.78</v>
      </c>
      <c r="K73" s="60">
        <v>161.25</v>
      </c>
      <c r="L73" s="6" t="s">
        <v>42</v>
      </c>
      <c r="M73" s="60">
        <v>60.40</v>
      </c>
      <c r="N73" s="60">
        <v>1055</v>
      </c>
      <c r="O73" s="60">
        <v>0</v>
      </c>
      <c r="P73" s="60">
        <v>2.4300000000000002</v>
      </c>
      <c r="Q73" s="60">
        <v>11.77</v>
      </c>
      <c r="R73" s="198"/>
      <c r="S73" s="198"/>
      <c r="T73" s="198"/>
      <c r="U73" s="198"/>
    </row>
    <row r="74" spans="1:21" s="12" customFormat="1" ht="15">
      <c r="A74" s="201" t="s">
        <v>2715</v>
      </c>
      <c r="B74" s="60">
        <v>0.53</v>
      </c>
      <c r="C74" s="60">
        <v>14.75</v>
      </c>
      <c r="D74" s="60">
        <v>15.28</v>
      </c>
      <c r="E74" s="60">
        <v>5.62</v>
      </c>
      <c r="F74" s="60">
        <v>2.08</v>
      </c>
      <c r="G74" s="60">
        <v>54.80</v>
      </c>
      <c r="H74" s="60">
        <v>25.59</v>
      </c>
      <c r="I74" s="60">
        <v>6.63</v>
      </c>
      <c r="J74" s="60">
        <v>1.76</v>
      </c>
      <c r="K74" s="60">
        <v>216.16</v>
      </c>
      <c r="L74" s="6" t="s">
        <v>42</v>
      </c>
      <c r="M74" s="60">
        <v>58.88</v>
      </c>
      <c r="N74" s="60">
        <v>998.90</v>
      </c>
      <c r="O74" s="60">
        <v>0</v>
      </c>
      <c r="P74" s="60">
        <v>2.42</v>
      </c>
      <c r="Q74" s="60">
        <v>10.78</v>
      </c>
      <c r="R74" s="198"/>
      <c r="S74" s="198"/>
      <c r="T74" s="198"/>
      <c r="U74" s="198"/>
    </row>
    <row r="75" spans="1:21" s="12" customFormat="1" ht="15">
      <c r="A75" s="201" t="s">
        <v>2716</v>
      </c>
      <c r="B75" s="60">
        <v>0.52</v>
      </c>
      <c r="C75" s="60">
        <v>13.95</v>
      </c>
      <c r="D75" s="60">
        <v>14.47</v>
      </c>
      <c r="E75" s="60">
        <v>5.48</v>
      </c>
      <c r="F75" s="60">
        <v>2.52</v>
      </c>
      <c r="G75" s="60">
        <v>54.80</v>
      </c>
      <c r="H75" s="60">
        <v>25.59</v>
      </c>
      <c r="I75" s="60">
        <v>6.43</v>
      </c>
      <c r="J75" s="60">
        <v>2.5099999999999998</v>
      </c>
      <c r="K75" s="60">
        <v>186.46</v>
      </c>
      <c r="L75" s="6" t="s">
        <v>42</v>
      </c>
      <c r="M75" s="60">
        <v>57.36</v>
      </c>
      <c r="N75" s="60">
        <v>819.60</v>
      </c>
      <c r="O75" s="60">
        <v>0</v>
      </c>
      <c r="P75" s="60">
        <v>2.40</v>
      </c>
      <c r="Q75" s="60">
        <v>9.82</v>
      </c>
      <c r="R75" s="198"/>
      <c r="S75" s="198"/>
      <c r="T75" s="198"/>
      <c r="U75" s="198"/>
    </row>
    <row r="76" spans="1:21" s="12" customFormat="1" ht="15">
      <c r="A76" s="201" t="s">
        <v>2717</v>
      </c>
      <c r="B76" s="60">
        <v>0.49</v>
      </c>
      <c r="C76" s="60">
        <v>13.82</v>
      </c>
      <c r="D76" s="60">
        <v>14.30</v>
      </c>
      <c r="E76" s="60">
        <v>5.73</v>
      </c>
      <c r="F76" s="60">
        <v>2.11</v>
      </c>
      <c r="G76" s="60">
        <v>54.80</v>
      </c>
      <c r="H76" s="60">
        <v>25.59</v>
      </c>
      <c r="I76" s="60">
        <v>6.34</v>
      </c>
      <c r="J76" s="60">
        <v>2.64</v>
      </c>
      <c r="K76" s="60">
        <v>182.80</v>
      </c>
      <c r="L76" s="60">
        <v>48.93</v>
      </c>
      <c r="M76" s="60">
        <v>59.12</v>
      </c>
      <c r="N76" s="60">
        <v>598.60</v>
      </c>
      <c r="O76" s="60">
        <v>0</v>
      </c>
      <c r="P76" s="60">
        <v>2.39</v>
      </c>
      <c r="Q76" s="60">
        <v>9.49</v>
      </c>
      <c r="R76" s="198"/>
      <c r="S76" s="198"/>
      <c r="T76" s="198"/>
      <c r="U76" s="198"/>
    </row>
    <row r="77" spans="1:21" s="12" customFormat="1" ht="15">
      <c r="A77" s="201" t="s">
        <v>2718</v>
      </c>
      <c r="B77" s="60">
        <v>0.45</v>
      </c>
      <c r="C77" s="60">
        <v>13.22</v>
      </c>
      <c r="D77" s="60">
        <v>13.67</v>
      </c>
      <c r="E77" s="60">
        <v>5.75</v>
      </c>
      <c r="F77" s="60">
        <v>2.0299999999999998</v>
      </c>
      <c r="G77" s="60">
        <v>53.15</v>
      </c>
      <c r="H77" s="60">
        <v>24.77</v>
      </c>
      <c r="I77" s="60">
        <v>6.15</v>
      </c>
      <c r="J77" s="60">
        <v>1.98</v>
      </c>
      <c r="K77" s="60">
        <v>187.93</v>
      </c>
      <c r="L77" s="60">
        <v>48.80</v>
      </c>
      <c r="M77" s="60">
        <v>59.78</v>
      </c>
      <c r="N77" s="60">
        <v>553.29999999999995</v>
      </c>
      <c r="O77" s="60">
        <v>0</v>
      </c>
      <c r="P77" s="60">
        <v>2.37</v>
      </c>
      <c r="Q77" s="60">
        <v>9.09</v>
      </c>
      <c r="R77" s="198"/>
      <c r="S77" s="198"/>
      <c r="T77" s="198"/>
      <c r="U77" s="198"/>
    </row>
    <row r="78" spans="1:21" s="12" customFormat="1" ht="15">
      <c r="A78" s="201" t="s">
        <v>2719</v>
      </c>
      <c r="B78" s="60">
        <v>0.49</v>
      </c>
      <c r="C78" s="60">
        <v>13.23</v>
      </c>
      <c r="D78" s="60">
        <v>13.72</v>
      </c>
      <c r="E78" s="60">
        <v>6.06</v>
      </c>
      <c r="F78" s="60">
        <v>1.82</v>
      </c>
      <c r="G78" s="60">
        <v>49.08</v>
      </c>
      <c r="H78" s="60">
        <v>22.76</v>
      </c>
      <c r="I78" s="60">
        <v>6.08</v>
      </c>
      <c r="J78" s="60">
        <v>2.92</v>
      </c>
      <c r="K78" s="60">
        <v>167.73</v>
      </c>
      <c r="L78" s="6" t="s">
        <v>42</v>
      </c>
      <c r="M78" s="60">
        <v>59.38</v>
      </c>
      <c r="N78" s="60">
        <v>561.70000000000005</v>
      </c>
      <c r="O78" s="60">
        <v>0</v>
      </c>
      <c r="P78" s="60">
        <v>2.35</v>
      </c>
      <c r="Q78" s="60">
        <v>9.06</v>
      </c>
      <c r="R78" s="198"/>
      <c r="S78" s="198"/>
      <c r="T78" s="198"/>
      <c r="U78" s="198"/>
    </row>
    <row r="79" spans="1:21" s="12" customFormat="1" ht="15">
      <c r="A79" s="201" t="s">
        <v>2720</v>
      </c>
      <c r="B79" s="60">
        <v>0.56999999999999995</v>
      </c>
      <c r="C79" s="60">
        <v>14.28</v>
      </c>
      <c r="D79" s="60">
        <v>14.85</v>
      </c>
      <c r="E79" s="60">
        <v>6.13</v>
      </c>
      <c r="F79" s="60">
        <v>2.3199999999999998</v>
      </c>
      <c r="G79" s="60">
        <v>49.08</v>
      </c>
      <c r="H79" s="60">
        <v>22.76</v>
      </c>
      <c r="I79" s="60">
        <v>5.90</v>
      </c>
      <c r="J79" s="60">
        <v>2.5499999999999998</v>
      </c>
      <c r="K79" s="60">
        <v>193.02</v>
      </c>
      <c r="L79" s="6" t="s">
        <v>42</v>
      </c>
      <c r="M79" s="60">
        <v>58.59</v>
      </c>
      <c r="N79" s="60">
        <v>544.60</v>
      </c>
      <c r="O79" s="60">
        <v>0</v>
      </c>
      <c r="P79" s="60">
        <v>2.35</v>
      </c>
      <c r="Q79" s="60">
        <v>9.34</v>
      </c>
      <c r="R79" s="198"/>
      <c r="S79" s="198"/>
      <c r="T79" s="198"/>
      <c r="U79" s="198"/>
    </row>
    <row r="80" spans="1:21" s="12" customFormat="1" ht="15">
      <c r="A80" s="201" t="s">
        <v>2721</v>
      </c>
      <c r="B80" s="60">
        <v>0.42</v>
      </c>
      <c r="C80" s="60">
        <v>15.56</v>
      </c>
      <c r="D80" s="60">
        <v>15.98</v>
      </c>
      <c r="E80" s="60">
        <v>6.18</v>
      </c>
      <c r="F80" s="60">
        <v>2.97</v>
      </c>
      <c r="G80" s="60">
        <v>49.08</v>
      </c>
      <c r="H80" s="60">
        <v>22.76</v>
      </c>
      <c r="I80" s="60">
        <v>5.90</v>
      </c>
      <c r="J80" s="60">
        <v>3.30</v>
      </c>
      <c r="K80" s="60">
        <v>184.86</v>
      </c>
      <c r="L80" s="60">
        <v>48.19</v>
      </c>
      <c r="M80" s="60">
        <v>59.54</v>
      </c>
      <c r="N80" s="60">
        <v>505.10</v>
      </c>
      <c r="O80" s="60">
        <v>0</v>
      </c>
      <c r="P80" s="60">
        <v>2.34</v>
      </c>
      <c r="Q80" s="60">
        <v>10.87</v>
      </c>
      <c r="R80" s="198"/>
      <c r="S80" s="198"/>
      <c r="T80" s="198"/>
      <c r="U80" s="198"/>
    </row>
    <row r="81" spans="1:21" s="12" customFormat="1" ht="15">
      <c r="A81" s="201" t="s">
        <v>2722</v>
      </c>
      <c r="B81" s="60">
        <v>0.32</v>
      </c>
      <c r="C81" s="60">
        <v>15.38</v>
      </c>
      <c r="D81" s="60">
        <v>15.70</v>
      </c>
      <c r="E81" s="60">
        <v>6.18</v>
      </c>
      <c r="F81" s="60">
        <v>2.62</v>
      </c>
      <c r="G81" s="60">
        <v>48.30</v>
      </c>
      <c r="H81" s="60">
        <v>21.47</v>
      </c>
      <c r="I81" s="60">
        <v>5.71</v>
      </c>
      <c r="J81" s="60">
        <v>2.98</v>
      </c>
      <c r="K81" s="60">
        <v>183.26</v>
      </c>
      <c r="L81" s="60">
        <v>46</v>
      </c>
      <c r="M81" s="60">
        <v>60.68</v>
      </c>
      <c r="N81" s="60">
        <v>491.90</v>
      </c>
      <c r="O81" s="60">
        <v>0</v>
      </c>
      <c r="P81" s="60">
        <v>2.33</v>
      </c>
      <c r="Q81" s="60">
        <v>12.14</v>
      </c>
      <c r="R81" s="198"/>
      <c r="S81" s="198"/>
      <c r="T81" s="198"/>
      <c r="U81" s="198"/>
    </row>
    <row r="82" spans="1:21" s="12" customFormat="1" ht="15">
      <c r="A82" s="201" t="s">
        <v>2723</v>
      </c>
      <c r="B82" s="60">
        <v>0.34</v>
      </c>
      <c r="C82" s="60">
        <v>15.92</v>
      </c>
      <c r="D82" s="60">
        <v>16.260000000000002</v>
      </c>
      <c r="E82" s="60">
        <v>5.68</v>
      </c>
      <c r="F82" s="60">
        <v>2.38</v>
      </c>
      <c r="G82" s="60">
        <v>46.37</v>
      </c>
      <c r="H82" s="60">
        <v>18.309999999999999</v>
      </c>
      <c r="I82" s="60">
        <v>5.5</v>
      </c>
      <c r="J82" s="60">
        <v>2.73</v>
      </c>
      <c r="K82" s="60">
        <v>186.61</v>
      </c>
      <c r="L82" s="60">
        <v>45.72</v>
      </c>
      <c r="M82" s="60">
        <v>61.57</v>
      </c>
      <c r="N82" s="60">
        <v>506.80</v>
      </c>
      <c r="O82" s="60">
        <v>0</v>
      </c>
      <c r="P82" s="60">
        <v>2.3199999999999998</v>
      </c>
      <c r="Q82" s="60">
        <v>12.84</v>
      </c>
      <c r="R82" s="198"/>
      <c r="S82" s="198"/>
      <c r="T82" s="198"/>
      <c r="U82" s="198"/>
    </row>
    <row r="83" spans="1:21" s="12" customFormat="1" ht="15">
      <c r="A83" s="201" t="s">
        <v>2724</v>
      </c>
      <c r="B83" s="60">
        <v>0.53</v>
      </c>
      <c r="C83" s="60">
        <v>16.09</v>
      </c>
      <c r="D83" s="60">
        <v>16.62</v>
      </c>
      <c r="E83" s="60">
        <v>5.47</v>
      </c>
      <c r="F83" s="60">
        <v>2.2000000000000002</v>
      </c>
      <c r="G83" s="60">
        <v>46.37</v>
      </c>
      <c r="H83" s="60">
        <v>18.309999999999999</v>
      </c>
      <c r="I83" s="60">
        <v>5.34</v>
      </c>
      <c r="J83" s="60">
        <v>1.71</v>
      </c>
      <c r="K83" s="60">
        <v>208.72</v>
      </c>
      <c r="L83" s="60">
        <v>45.79</v>
      </c>
      <c r="M83" s="60">
        <v>69.33</v>
      </c>
      <c r="N83" s="60">
        <v>468.60</v>
      </c>
      <c r="O83" s="60">
        <v>0</v>
      </c>
      <c r="P83" s="60">
        <v>2.3199999999999998</v>
      </c>
      <c r="Q83" s="60">
        <v>13.40</v>
      </c>
      <c r="R83" s="198"/>
      <c r="S83" s="198"/>
      <c r="T83" s="198"/>
      <c r="U83" s="198"/>
    </row>
    <row r="84" spans="1:21" s="12" customFormat="1" ht="15">
      <c r="A84" s="201" t="s">
        <v>2725</v>
      </c>
      <c r="B84" s="60">
        <v>0.90</v>
      </c>
      <c r="C84" s="60">
        <v>17.079999999999998</v>
      </c>
      <c r="D84" s="60">
        <v>17.989999999999998</v>
      </c>
      <c r="E84" s="60">
        <v>5.74</v>
      </c>
      <c r="F84" s="60">
        <v>2.06</v>
      </c>
      <c r="G84" s="60">
        <v>46.37</v>
      </c>
      <c r="H84" s="60">
        <v>18.309999999999999</v>
      </c>
      <c r="I84" s="60">
        <v>5.16</v>
      </c>
      <c r="J84" s="60">
        <v>2.34</v>
      </c>
      <c r="K84" s="60">
        <v>213.55</v>
      </c>
      <c r="L84" s="60">
        <v>43.32</v>
      </c>
      <c r="M84" s="60">
        <v>74.34</v>
      </c>
      <c r="N84" s="60">
        <v>500.20</v>
      </c>
      <c r="O84" s="60">
        <v>0</v>
      </c>
      <c r="P84" s="60">
        <v>2.31</v>
      </c>
      <c r="Q84" s="60">
        <v>14.06</v>
      </c>
      <c r="R84" s="198"/>
      <c r="S84" s="198"/>
      <c r="T84" s="198"/>
      <c r="U84" s="198"/>
    </row>
    <row r="85" spans="1:21" s="12" customFormat="1" ht="15">
      <c r="A85" s="201" t="s">
        <v>2726</v>
      </c>
      <c r="B85" s="60">
        <v>0.88</v>
      </c>
      <c r="C85" s="60">
        <v>17.559999999999999</v>
      </c>
      <c r="D85" s="60">
        <v>18.440000000000001</v>
      </c>
      <c r="E85" s="60">
        <v>5.55</v>
      </c>
      <c r="F85" s="60">
        <v>1.90</v>
      </c>
      <c r="G85" s="60">
        <v>49.23</v>
      </c>
      <c r="H85" s="60">
        <v>18.98</v>
      </c>
      <c r="I85" s="60">
        <v>5.05</v>
      </c>
      <c r="J85" s="60">
        <v>2.86</v>
      </c>
      <c r="K85" s="60">
        <v>191.86</v>
      </c>
      <c r="L85" s="60">
        <v>42.43</v>
      </c>
      <c r="M85" s="60">
        <v>74.010000000000005</v>
      </c>
      <c r="N85" s="60">
        <v>481.90</v>
      </c>
      <c r="O85" s="60">
        <v>0</v>
      </c>
      <c r="P85" s="60">
        <v>2.3199999999999998</v>
      </c>
      <c r="Q85" s="60">
        <v>14.39</v>
      </c>
      <c r="R85" s="198"/>
      <c r="S85" s="198"/>
      <c r="T85" s="198"/>
      <c r="U85" s="198"/>
    </row>
    <row r="86" spans="1:21" s="12" customFormat="1" ht="15">
      <c r="A86" s="201" t="s">
        <v>2727</v>
      </c>
      <c r="B86" s="60">
        <v>0.73</v>
      </c>
      <c r="C86" s="60">
        <v>17.29</v>
      </c>
      <c r="D86" s="60">
        <v>18.02</v>
      </c>
      <c r="E86" s="60">
        <v>5.28</v>
      </c>
      <c r="F86" s="60">
        <v>1.77</v>
      </c>
      <c r="G86" s="60">
        <v>56.27</v>
      </c>
      <c r="H86" s="60">
        <v>20.65</v>
      </c>
      <c r="I86" s="60">
        <v>4.9800000000000004</v>
      </c>
      <c r="J86" s="60">
        <v>3.17</v>
      </c>
      <c r="K86" s="60">
        <v>192.21</v>
      </c>
      <c r="L86" s="60">
        <v>46.30</v>
      </c>
      <c r="M86" s="60">
        <v>72.260000000000005</v>
      </c>
      <c r="N86" s="60">
        <v>461.30</v>
      </c>
      <c r="O86" s="60">
        <v>0</v>
      </c>
      <c r="P86" s="60">
        <v>2.3199999999999998</v>
      </c>
      <c r="Q86" s="60">
        <v>14.37</v>
      </c>
      <c r="R86" s="198"/>
      <c r="S86" s="198"/>
      <c r="T86" s="198"/>
      <c r="U86" s="198"/>
    </row>
    <row r="87" spans="1:21" s="12" customFormat="1" ht="15">
      <c r="A87" s="201" t="s">
        <v>2728</v>
      </c>
      <c r="B87" s="60">
        <v>0.59</v>
      </c>
      <c r="C87" s="60">
        <v>16.809999999999999</v>
      </c>
      <c r="D87" s="60">
        <v>17.39</v>
      </c>
      <c r="E87" s="60">
        <v>5.48</v>
      </c>
      <c r="F87" s="60">
        <v>1.88</v>
      </c>
      <c r="G87" s="60">
        <v>56.27</v>
      </c>
      <c r="H87" s="60">
        <v>20.65</v>
      </c>
      <c r="I87" s="60">
        <v>4.8600000000000003</v>
      </c>
      <c r="J87" s="60">
        <v>2.90</v>
      </c>
      <c r="K87" s="60">
        <v>189.79</v>
      </c>
      <c r="L87" s="60">
        <v>47.30</v>
      </c>
      <c r="M87" s="60">
        <v>72.790000000000006</v>
      </c>
      <c r="N87" s="60">
        <v>458.90</v>
      </c>
      <c r="O87" s="60">
        <v>0</v>
      </c>
      <c r="P87" s="60">
        <v>2.31</v>
      </c>
      <c r="Q87" s="60">
        <v>14.38</v>
      </c>
      <c r="R87" s="198"/>
      <c r="S87" s="198"/>
      <c r="T87" s="198"/>
      <c r="U87" s="198"/>
    </row>
    <row r="88" spans="1:21" s="12" customFormat="1" ht="15">
      <c r="A88" s="201" t="s">
        <v>2729</v>
      </c>
      <c r="B88" s="60">
        <v>0.57999999999999996</v>
      </c>
      <c r="C88" s="60">
        <v>16.489999999999998</v>
      </c>
      <c r="D88" s="60">
        <v>17.07</v>
      </c>
      <c r="E88" s="60">
        <v>3.04</v>
      </c>
      <c r="F88" s="60">
        <v>1.61</v>
      </c>
      <c r="G88" s="60">
        <v>56.27</v>
      </c>
      <c r="H88" s="60">
        <v>20.65</v>
      </c>
      <c r="I88" s="60">
        <v>4.79</v>
      </c>
      <c r="J88" s="60">
        <v>2.86</v>
      </c>
      <c r="K88" s="60">
        <v>198.84</v>
      </c>
      <c r="L88" s="60">
        <v>47.24</v>
      </c>
      <c r="M88" s="60">
        <v>74.17</v>
      </c>
      <c r="N88" s="60">
        <v>404.70</v>
      </c>
      <c r="O88" s="60">
        <v>0</v>
      </c>
      <c r="P88" s="60">
        <v>2.31</v>
      </c>
      <c r="Q88" s="60">
        <v>14.44</v>
      </c>
      <c r="R88" s="198"/>
      <c r="S88" s="198"/>
      <c r="T88" s="198"/>
      <c r="U88" s="198"/>
    </row>
    <row r="89" spans="1:21" s="12" customFormat="1" ht="15">
      <c r="A89" s="201" t="s">
        <v>2730</v>
      </c>
      <c r="B89" s="60">
        <v>0.63</v>
      </c>
      <c r="C89" s="60">
        <v>16.27</v>
      </c>
      <c r="D89" s="60">
        <v>16.899999999999999</v>
      </c>
      <c r="E89" s="60">
        <v>5.20</v>
      </c>
      <c r="F89" s="60">
        <v>1.65</v>
      </c>
      <c r="G89" s="60">
        <v>54.11</v>
      </c>
      <c r="H89" s="60">
        <v>20.29</v>
      </c>
      <c r="I89" s="60">
        <v>4.74</v>
      </c>
      <c r="J89" s="60">
        <v>2.98</v>
      </c>
      <c r="K89" s="60">
        <v>197.63</v>
      </c>
      <c r="L89" s="60">
        <v>45.93</v>
      </c>
      <c r="M89" s="60">
        <v>76.58</v>
      </c>
      <c r="N89" s="60">
        <v>433.80</v>
      </c>
      <c r="O89" s="60">
        <v>0</v>
      </c>
      <c r="P89" s="60">
        <v>2.31</v>
      </c>
      <c r="Q89" s="60">
        <v>14.09</v>
      </c>
      <c r="R89" s="198"/>
      <c r="S89" s="198"/>
      <c r="T89" s="198"/>
      <c r="U89" s="198"/>
    </row>
    <row r="90" spans="1:21" s="12" customFormat="1" ht="15">
      <c r="A90" s="201" t="s">
        <v>2731</v>
      </c>
      <c r="B90" s="60">
        <v>0.71</v>
      </c>
      <c r="C90" s="60">
        <v>14.95</v>
      </c>
      <c r="D90" s="60">
        <v>15.66</v>
      </c>
      <c r="E90" s="60">
        <v>4.9000000000000004</v>
      </c>
      <c r="F90" s="60">
        <v>2.0699999999999998</v>
      </c>
      <c r="G90" s="60">
        <v>48.78</v>
      </c>
      <c r="H90" s="60">
        <v>19.41</v>
      </c>
      <c r="I90" s="60">
        <v>4.6900000000000004</v>
      </c>
      <c r="J90" s="60">
        <v>2.1800000000000002</v>
      </c>
      <c r="K90" s="60">
        <v>208.88</v>
      </c>
      <c r="L90" s="60">
        <v>45.83</v>
      </c>
      <c r="M90" s="60">
        <v>77.400000000000006</v>
      </c>
      <c r="N90" s="60">
        <v>482.10</v>
      </c>
      <c r="O90" s="60">
        <v>0</v>
      </c>
      <c r="P90" s="60">
        <v>2.31</v>
      </c>
      <c r="Q90" s="60">
        <v>11.97</v>
      </c>
      <c r="R90" s="198"/>
      <c r="S90" s="198"/>
      <c r="T90" s="198"/>
      <c r="U90" s="198"/>
    </row>
    <row r="91" spans="1:21" s="12" customFormat="1" ht="15">
      <c r="A91" s="201" t="s">
        <v>2732</v>
      </c>
      <c r="B91" s="60">
        <v>0.91</v>
      </c>
      <c r="C91" s="60">
        <v>14.76</v>
      </c>
      <c r="D91" s="60">
        <v>15.67</v>
      </c>
      <c r="E91" s="60">
        <v>5.54</v>
      </c>
      <c r="F91" s="60">
        <v>1.55</v>
      </c>
      <c r="G91" s="60">
        <v>48.78</v>
      </c>
      <c r="H91" s="60">
        <v>19.41</v>
      </c>
      <c r="I91" s="60">
        <v>4.6399999999999997</v>
      </c>
      <c r="J91" s="60">
        <v>1.98</v>
      </c>
      <c r="K91" s="60">
        <v>188.74</v>
      </c>
      <c r="L91" s="60">
        <v>46.49</v>
      </c>
      <c r="M91" s="60">
        <v>77.14</v>
      </c>
      <c r="N91" s="60">
        <v>438.40</v>
      </c>
      <c r="O91" s="60">
        <v>0</v>
      </c>
      <c r="P91" s="60">
        <v>2.3199999999999998</v>
      </c>
      <c r="Q91" s="60">
        <v>10.45</v>
      </c>
      <c r="R91" s="198"/>
      <c r="S91" s="198"/>
      <c r="T91" s="198"/>
      <c r="U91" s="198"/>
    </row>
    <row r="92" spans="1:21" s="12" customFormat="1" ht="15">
      <c r="A92" s="201" t="s">
        <v>2733</v>
      </c>
      <c r="B92" s="60">
        <v>1.21</v>
      </c>
      <c r="C92" s="60">
        <v>14.45</v>
      </c>
      <c r="D92" s="60">
        <v>15.66</v>
      </c>
      <c r="E92" s="60">
        <v>5.38</v>
      </c>
      <c r="F92" s="60">
        <v>1.33</v>
      </c>
      <c r="G92" s="60">
        <v>48.78</v>
      </c>
      <c r="H92" s="60">
        <v>19.41</v>
      </c>
      <c r="I92" s="60">
        <v>4.63</v>
      </c>
      <c r="J92" s="60">
        <v>0.96</v>
      </c>
      <c r="K92" s="60">
        <v>241.63</v>
      </c>
      <c r="L92" s="60">
        <v>46.71</v>
      </c>
      <c r="M92" s="60">
        <v>76.22</v>
      </c>
      <c r="N92" s="60">
        <v>472.10</v>
      </c>
      <c r="O92" s="60">
        <v>0</v>
      </c>
      <c r="P92" s="60">
        <v>2.3199999999999998</v>
      </c>
      <c r="Q92" s="60">
        <v>9.67</v>
      </c>
      <c r="R92" s="198"/>
      <c r="S92" s="198"/>
      <c r="T92" s="198"/>
      <c r="U92" s="198"/>
    </row>
    <row r="93" spans="1:21" s="12" customFormat="1" ht="15">
      <c r="A93" s="201" t="s">
        <v>2734</v>
      </c>
      <c r="B93" s="60">
        <v>1.26</v>
      </c>
      <c r="C93" s="60">
        <v>14.25</v>
      </c>
      <c r="D93" s="60">
        <v>15.51</v>
      </c>
      <c r="E93" s="60">
        <v>5.78</v>
      </c>
      <c r="F93" s="60">
        <v>1.41</v>
      </c>
      <c r="G93" s="60">
        <v>49.24</v>
      </c>
      <c r="H93" s="60">
        <v>20.30</v>
      </c>
      <c r="I93" s="60">
        <v>4.7300000000000004</v>
      </c>
      <c r="J93" s="60">
        <v>1.53</v>
      </c>
      <c r="K93" s="60">
        <v>219.83</v>
      </c>
      <c r="L93" s="60">
        <v>47.07</v>
      </c>
      <c r="M93" s="60">
        <v>76.41</v>
      </c>
      <c r="N93" s="60">
        <v>453.20</v>
      </c>
      <c r="O93" s="60">
        <v>0</v>
      </c>
      <c r="P93" s="60">
        <v>2.33</v>
      </c>
      <c r="Q93" s="60">
        <v>9.26</v>
      </c>
      <c r="R93" s="198"/>
      <c r="S93" s="198"/>
      <c r="T93" s="198"/>
      <c r="U93" s="198"/>
    </row>
    <row r="94" spans="1:21" s="12" customFormat="1" ht="15">
      <c r="A94" s="201" t="s">
        <v>2735</v>
      </c>
      <c r="B94" s="60">
        <v>1.28</v>
      </c>
      <c r="C94" s="60">
        <v>14.41</v>
      </c>
      <c r="D94" s="60">
        <v>15.68</v>
      </c>
      <c r="E94" s="60">
        <v>6.26</v>
      </c>
      <c r="F94" s="60">
        <v>1.41</v>
      </c>
      <c r="G94" s="60">
        <v>50.37</v>
      </c>
      <c r="H94" s="60">
        <v>22.48</v>
      </c>
      <c r="I94" s="60">
        <v>4.8099999999999996</v>
      </c>
      <c r="J94" s="60">
        <v>1.98</v>
      </c>
      <c r="K94" s="60">
        <v>204.40</v>
      </c>
      <c r="L94" s="60">
        <v>47.02</v>
      </c>
      <c r="M94" s="60">
        <v>77.989999999999995</v>
      </c>
      <c r="N94" s="60">
        <v>467.20</v>
      </c>
      <c r="O94" s="60">
        <v>0</v>
      </c>
      <c r="P94" s="60">
        <v>2.33</v>
      </c>
      <c r="Q94" s="60">
        <v>9.1999999999999993</v>
      </c>
      <c r="R94" s="198"/>
      <c r="S94" s="198"/>
      <c r="T94" s="198"/>
      <c r="U94" s="198"/>
    </row>
    <row r="95" spans="1:21" s="12" customFormat="1" ht="15">
      <c r="A95" s="201" t="s">
        <v>2736</v>
      </c>
      <c r="B95" s="60">
        <v>1.26</v>
      </c>
      <c r="C95" s="60">
        <v>14.43</v>
      </c>
      <c r="D95" s="60">
        <v>15.69</v>
      </c>
      <c r="E95" s="60">
        <v>6.06</v>
      </c>
      <c r="F95" s="60">
        <v>1.70</v>
      </c>
      <c r="G95" s="60">
        <v>50.37</v>
      </c>
      <c r="H95" s="60">
        <v>22.48</v>
      </c>
      <c r="I95" s="60">
        <v>4.79</v>
      </c>
      <c r="J95" s="60">
        <v>2.77</v>
      </c>
      <c r="K95" s="60">
        <v>181.63</v>
      </c>
      <c r="L95" s="60">
        <v>49.46</v>
      </c>
      <c r="M95" s="60">
        <v>79.62</v>
      </c>
      <c r="N95" s="60">
        <v>504.5</v>
      </c>
      <c r="O95" s="60">
        <v>0</v>
      </c>
      <c r="P95" s="60">
        <v>2.33</v>
      </c>
      <c r="Q95" s="60">
        <v>9.06</v>
      </c>
      <c r="R95" s="198"/>
      <c r="S95" s="198"/>
      <c r="T95" s="198"/>
      <c r="U95" s="198"/>
    </row>
    <row r="96" spans="1:26" s="12" customFormat="1" ht="15">
      <c r="A96" s="201" t="s">
        <v>2737</v>
      </c>
      <c r="B96" s="60">
        <v>1.32</v>
      </c>
      <c r="C96" s="60">
        <v>14.28</v>
      </c>
      <c r="D96" s="60">
        <v>15.60</v>
      </c>
      <c r="E96" s="60">
        <v>6.36</v>
      </c>
      <c r="F96" s="60">
        <v>1.01</v>
      </c>
      <c r="G96" s="60">
        <v>50.37</v>
      </c>
      <c r="H96" s="60">
        <v>22.48</v>
      </c>
      <c r="I96" s="60">
        <v>4.82</v>
      </c>
      <c r="J96" s="60">
        <v>2.19</v>
      </c>
      <c r="K96" s="60">
        <v>200.59</v>
      </c>
      <c r="L96" s="60">
        <v>47.49</v>
      </c>
      <c r="M96" s="60">
        <v>80.38</v>
      </c>
      <c r="N96" s="60">
        <v>580.79999999999995</v>
      </c>
      <c r="O96" s="60">
        <v>0</v>
      </c>
      <c r="P96" s="60">
        <v>2.33</v>
      </c>
      <c r="Q96" s="60">
        <v>8.93</v>
      </c>
      <c r="R96" s="198"/>
      <c r="S96" s="198"/>
      <c r="T96" s="198"/>
      <c r="U96" s="198"/>
      <c r="Z96" s="109"/>
    </row>
    <row r="97" spans="1:21" s="12" customFormat="1" ht="15">
      <c r="A97" s="201" t="s">
        <v>2738</v>
      </c>
      <c r="B97" s="60">
        <v>1.33</v>
      </c>
      <c r="C97" s="60">
        <v>15.98</v>
      </c>
      <c r="D97" s="60">
        <v>17.309999999999999</v>
      </c>
      <c r="E97" s="60">
        <v>6.25</v>
      </c>
      <c r="F97" s="60">
        <v>1.07</v>
      </c>
      <c r="G97" s="60">
        <v>50.80</v>
      </c>
      <c r="H97" s="60">
        <v>21.08</v>
      </c>
      <c r="I97" s="60">
        <v>4.88</v>
      </c>
      <c r="J97" s="60">
        <v>3.04</v>
      </c>
      <c r="K97" s="60">
        <v>174.37</v>
      </c>
      <c r="L97" s="60">
        <v>45.49</v>
      </c>
      <c r="M97" s="60">
        <v>80.430000000000007</v>
      </c>
      <c r="N97" s="60">
        <v>646.29999999999995</v>
      </c>
      <c r="O97" s="60">
        <v>0</v>
      </c>
      <c r="P97" s="60">
        <v>2.34</v>
      </c>
      <c r="Q97" s="60">
        <v>9.65</v>
      </c>
      <c r="R97" s="198"/>
      <c r="S97" s="198"/>
      <c r="T97" s="198"/>
      <c r="U97" s="198"/>
    </row>
    <row r="98" spans="1:21" s="12" customFormat="1" ht="15">
      <c r="A98" s="201" t="s">
        <v>2739</v>
      </c>
      <c r="B98" s="60">
        <v>1.1499999999999999</v>
      </c>
      <c r="C98" s="60">
        <v>16.63</v>
      </c>
      <c r="D98" s="60">
        <v>17.78</v>
      </c>
      <c r="E98" s="60">
        <v>6.08</v>
      </c>
      <c r="F98" s="60">
        <v>1.34</v>
      </c>
      <c r="G98" s="60">
        <v>51.84</v>
      </c>
      <c r="H98" s="60">
        <v>17.63</v>
      </c>
      <c r="I98" s="60">
        <v>4.91</v>
      </c>
      <c r="J98" s="60">
        <v>2.70</v>
      </c>
      <c r="K98" s="60">
        <v>149.93</v>
      </c>
      <c r="L98" s="60">
        <v>42.30</v>
      </c>
      <c r="M98" s="60">
        <v>81.22</v>
      </c>
      <c r="N98" s="60">
        <v>676.60</v>
      </c>
      <c r="O98" s="60">
        <v>0</v>
      </c>
      <c r="P98" s="60">
        <v>2.33</v>
      </c>
      <c r="Q98" s="60">
        <v>10.95</v>
      </c>
      <c r="R98" s="198"/>
      <c r="S98" s="198"/>
      <c r="T98" s="198"/>
      <c r="U98" s="198"/>
    </row>
    <row r="99" spans="1:21" s="12" customFormat="1" ht="15">
      <c r="A99" s="201" t="s">
        <v>2740</v>
      </c>
      <c r="B99" s="60">
        <v>1.01</v>
      </c>
      <c r="C99" s="60">
        <v>16</v>
      </c>
      <c r="D99" s="60">
        <v>17.010000000000002</v>
      </c>
      <c r="E99" s="60">
        <v>5.79</v>
      </c>
      <c r="F99" s="60">
        <v>1.18</v>
      </c>
      <c r="G99" s="60">
        <v>51.84</v>
      </c>
      <c r="H99" s="60">
        <v>17.63</v>
      </c>
      <c r="I99" s="60">
        <v>4.88</v>
      </c>
      <c r="J99" s="60">
        <v>2.36</v>
      </c>
      <c r="K99" s="60">
        <v>131.49</v>
      </c>
      <c r="L99" s="60">
        <v>48.43</v>
      </c>
      <c r="M99" s="60">
        <v>80.959999999999994</v>
      </c>
      <c r="N99" s="60">
        <v>683.10</v>
      </c>
      <c r="O99" s="60">
        <v>0</v>
      </c>
      <c r="P99" s="60">
        <v>2.3199999999999998</v>
      </c>
      <c r="Q99" s="60">
        <v>11.80</v>
      </c>
      <c r="R99" s="198"/>
      <c r="S99" s="198"/>
      <c r="T99" s="198"/>
      <c r="U99" s="198"/>
    </row>
    <row r="100" spans="1:33" s="12" customFormat="1" ht="15">
      <c r="A100" s="201" t="s">
        <v>2741</v>
      </c>
      <c r="B100" s="60">
        <v>1.03</v>
      </c>
      <c r="C100" s="60">
        <v>15.96</v>
      </c>
      <c r="D100" s="60">
        <v>16.989999999999998</v>
      </c>
      <c r="E100" s="60">
        <v>5.91</v>
      </c>
      <c r="F100" s="60">
        <v>1.19</v>
      </c>
      <c r="G100" s="60">
        <v>51.84</v>
      </c>
      <c r="H100" s="60">
        <v>17.63</v>
      </c>
      <c r="I100" s="60">
        <v>4.75</v>
      </c>
      <c r="J100" s="60">
        <v>2.90</v>
      </c>
      <c r="K100" s="60">
        <v>173.52</v>
      </c>
      <c r="L100" s="60">
        <v>45.21</v>
      </c>
      <c r="M100" s="60">
        <v>80.13</v>
      </c>
      <c r="N100" s="60">
        <v>599.90</v>
      </c>
      <c r="O100" s="60">
        <v>0</v>
      </c>
      <c r="P100" s="60">
        <v>2.2999999999999998</v>
      </c>
      <c r="Q100" s="60">
        <v>12.51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2742</v>
      </c>
      <c r="B101" s="60">
        <v>0.90</v>
      </c>
      <c r="C101" s="60">
        <v>15.99</v>
      </c>
      <c r="D101" s="60">
        <v>16.899999999999999</v>
      </c>
      <c r="E101" s="60">
        <v>5.90</v>
      </c>
      <c r="F101" s="60">
        <v>1.35</v>
      </c>
      <c r="G101" s="60">
        <v>48.81</v>
      </c>
      <c r="H101" s="60">
        <v>17.27</v>
      </c>
      <c r="I101" s="60">
        <v>4.66</v>
      </c>
      <c r="J101" s="60">
        <v>3.61</v>
      </c>
      <c r="K101" s="60">
        <v>165.33</v>
      </c>
      <c r="L101" s="60">
        <v>45.28</v>
      </c>
      <c r="M101" s="60">
        <v>79.760000000000005</v>
      </c>
      <c r="N101" s="60">
        <v>657.10</v>
      </c>
      <c r="O101" s="60">
        <v>0</v>
      </c>
      <c r="P101" s="60">
        <v>2.2799999999999998</v>
      </c>
      <c r="Q101" s="60">
        <v>12.88</v>
      </c>
      <c r="R101" s="198"/>
      <c r="S101" s="198"/>
      <c r="T101" s="198"/>
      <c r="U101" s="198"/>
    </row>
    <row r="102" spans="1:21" s="12" customFormat="1" ht="15">
      <c r="A102" s="201" t="s">
        <v>2743</v>
      </c>
      <c r="B102" s="60">
        <v>0.68</v>
      </c>
      <c r="C102" s="60">
        <v>15.24</v>
      </c>
      <c r="D102" s="60">
        <v>15.92</v>
      </c>
      <c r="E102" s="60">
        <v>6.04</v>
      </c>
      <c r="F102" s="60">
        <v>1.69</v>
      </c>
      <c r="G102" s="60">
        <v>41.35</v>
      </c>
      <c r="H102" s="60">
        <v>16.37</v>
      </c>
      <c r="I102" s="60">
        <v>4.54</v>
      </c>
      <c r="J102" s="60">
        <v>3.61</v>
      </c>
      <c r="K102" s="60">
        <v>159.49</v>
      </c>
      <c r="L102" s="60">
        <v>43.26</v>
      </c>
      <c r="M102" s="60">
        <v>82.42</v>
      </c>
      <c r="N102" s="60">
        <v>634</v>
      </c>
      <c r="O102" s="60">
        <v>0</v>
      </c>
      <c r="P102" s="60">
        <v>2.27</v>
      </c>
      <c r="Q102" s="60">
        <v>12.85</v>
      </c>
      <c r="R102" s="198"/>
      <c r="S102" s="198"/>
      <c r="T102" s="198"/>
      <c r="U102" s="198"/>
    </row>
    <row r="103" spans="1:21" s="12" customFormat="1" ht="15">
      <c r="A103" s="201" t="s">
        <v>2744</v>
      </c>
      <c r="B103" s="60">
        <v>0.54</v>
      </c>
      <c r="C103" s="60">
        <v>14.64</v>
      </c>
      <c r="D103" s="60">
        <v>15.18</v>
      </c>
      <c r="E103" s="60">
        <v>6.02</v>
      </c>
      <c r="F103" s="60">
        <v>1.52</v>
      </c>
      <c r="G103" s="60">
        <v>41.35</v>
      </c>
      <c r="H103" s="60">
        <v>16.37</v>
      </c>
      <c r="I103" s="60">
        <v>4.4000000000000004</v>
      </c>
      <c r="J103" s="60">
        <v>2.5</v>
      </c>
      <c r="K103" s="60">
        <v>163.03</v>
      </c>
      <c r="L103" s="60">
        <v>44.04</v>
      </c>
      <c r="M103" s="60">
        <v>85.16</v>
      </c>
      <c r="N103" s="60">
        <v>628.40</v>
      </c>
      <c r="O103" s="60">
        <v>0.20</v>
      </c>
      <c r="P103" s="60">
        <v>2.27</v>
      </c>
      <c r="Q103" s="60">
        <v>12.83</v>
      </c>
      <c r="R103" s="198"/>
      <c r="S103" s="198"/>
      <c r="T103" s="198"/>
      <c r="U103" s="198"/>
    </row>
    <row r="104" spans="1:21" s="12" customFormat="1" ht="15">
      <c r="A104" s="201" t="s">
        <v>2745</v>
      </c>
      <c r="B104" s="60">
        <v>0.56000000000000005</v>
      </c>
      <c r="C104" s="60">
        <v>14.17</v>
      </c>
      <c r="D104" s="60">
        <v>14.73</v>
      </c>
      <c r="E104" s="60">
        <v>2.71</v>
      </c>
      <c r="F104" s="60">
        <v>1.32</v>
      </c>
      <c r="G104" s="60">
        <v>41.35</v>
      </c>
      <c r="H104" s="60">
        <v>16.37</v>
      </c>
      <c r="I104" s="60">
        <v>4.33</v>
      </c>
      <c r="J104" s="60">
        <v>2.27</v>
      </c>
      <c r="K104" s="60">
        <v>120.68</v>
      </c>
      <c r="L104" s="60">
        <v>45.41</v>
      </c>
      <c r="M104" s="60">
        <v>87.65</v>
      </c>
      <c r="N104" s="60">
        <v>629.79999999999995</v>
      </c>
      <c r="O104" s="60">
        <v>0</v>
      </c>
      <c r="P104" s="60">
        <v>2.2599999999999998</v>
      </c>
      <c r="Q104" s="60">
        <v>12.93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0.32000000000000001</v>
      </c>
      <c r="C106" s="67">
        <f>MIN(C9:C104)</f>
        <v>8.8399999999999999</v>
      </c>
      <c r="D106" s="67">
        <f t="shared" si="0" ref="D106:Q106">MIN(D9:D104)</f>
        <v>9.8599999999999994</v>
      </c>
      <c r="E106" s="67">
        <f t="shared" si="0"/>
        <v>2.4500000000000002</v>
      </c>
      <c r="F106" s="67">
        <f t="shared" si="0"/>
        <v>0.32000000000000001</v>
      </c>
      <c r="G106" s="67">
        <f t="shared" si="0"/>
        <v>28.690000000000001</v>
      </c>
      <c r="H106" s="67">
        <f t="shared" si="0"/>
        <v>8.8000000000000007</v>
      </c>
      <c r="I106" s="67">
        <f t="shared" si="0"/>
        <v>4.0800000000000001</v>
      </c>
      <c r="J106" s="67">
        <f t="shared" si="0"/>
        <v>0.37</v>
      </c>
      <c r="K106" s="67">
        <f t="shared" si="0"/>
        <v>52.340000000000003</v>
      </c>
      <c r="L106" s="67">
        <f t="shared" si="0"/>
        <v>41.859999999999999</v>
      </c>
      <c r="M106" s="67">
        <f t="shared" si="0"/>
        <v>57.359999999999999</v>
      </c>
      <c r="N106" s="67">
        <f t="shared" si="0"/>
        <v>321</v>
      </c>
      <c r="O106" s="67">
        <f t="shared" si="0"/>
        <v>0</v>
      </c>
      <c r="P106" s="67">
        <f t="shared" si="0"/>
        <v>2.1699999999999999</v>
      </c>
      <c r="Q106" s="67">
        <f t="shared" si="0"/>
        <v>8.9299999999999997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3.5699999999999998</v>
      </c>
      <c r="C107" s="66">
        <f t="shared" si="1" ref="C107:Q107">MAX(C9:C104)</f>
        <v>24.52</v>
      </c>
      <c r="D107" s="66">
        <f t="shared" si="1"/>
        <v>26.120000000000001</v>
      </c>
      <c r="E107" s="66">
        <f t="shared" si="1"/>
        <v>7.46</v>
      </c>
      <c r="F107" s="66">
        <f t="shared" si="1"/>
        <v>3.02</v>
      </c>
      <c r="G107" s="66">
        <f t="shared" si="1"/>
        <v>69.180000000000007</v>
      </c>
      <c r="H107" s="66">
        <f t="shared" si="1"/>
        <v>25.59</v>
      </c>
      <c r="I107" s="66">
        <f t="shared" si="1"/>
        <v>8.6999999999999993</v>
      </c>
      <c r="J107" s="66">
        <f t="shared" si="1"/>
        <v>5.2800000000000002</v>
      </c>
      <c r="K107" s="66">
        <f t="shared" si="1"/>
        <v>354.79000000000002</v>
      </c>
      <c r="L107" s="66">
        <f t="shared" si="1"/>
        <v>49.729999999999997</v>
      </c>
      <c r="M107" s="66">
        <f t="shared" si="1"/>
        <v>91.609999999999999</v>
      </c>
      <c r="N107" s="66">
        <f t="shared" si="1"/>
        <v>1333.3</v>
      </c>
      <c r="O107" s="66">
        <f t="shared" si="1"/>
        <v>0.20000000000000001</v>
      </c>
      <c r="P107" s="66">
        <f t="shared" si="1"/>
        <v>2.6499999999999999</v>
      </c>
      <c r="Q107" s="66">
        <f t="shared" si="1"/>
        <v>34.100000000000001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1.3709374999999995</v>
      </c>
      <c r="C108" s="67">
        <f t="shared" si="2" ref="C108:Q108">AVERAGE(C9:C104)</f>
        <v>14.95947916666667</v>
      </c>
      <c r="D108" s="67">
        <f t="shared" si="2"/>
        <v>16.330625000000001</v>
      </c>
      <c r="E108" s="67">
        <f t="shared" si="2"/>
        <v>5.6642708333333323</v>
      </c>
      <c r="F108" s="67">
        <f t="shared" si="2"/>
        <v>1.5119791666666664</v>
      </c>
      <c r="G108" s="67">
        <f t="shared" si="2"/>
        <v>44.242291666666688</v>
      </c>
      <c r="H108" s="67">
        <f t="shared" si="2"/>
        <v>17.618229166666666</v>
      </c>
      <c r="I108" s="67">
        <f t="shared" si="2"/>
        <v>5.2063541666666655</v>
      </c>
      <c r="J108" s="67">
        <f t="shared" si="2"/>
        <v>2.7181250000000001</v>
      </c>
      <c r="K108" s="67">
        <f t="shared" si="2"/>
        <v>204.74708333333345</v>
      </c>
      <c r="L108" s="67">
        <f t="shared" si="2"/>
        <v>45.360985915492954</v>
      </c>
      <c r="M108" s="67">
        <f t="shared" si="2"/>
        <v>77.542291666666685</v>
      </c>
      <c r="N108" s="67">
        <f t="shared" si="2"/>
        <v>647.94791666666652</v>
      </c>
      <c r="O108" s="67">
        <f t="shared" si="2"/>
        <v>0.0020833333333333333</v>
      </c>
      <c r="P108" s="67">
        <f t="shared" si="2"/>
        <v>2.32375</v>
      </c>
      <c r="Q108" s="67">
        <f t="shared" si="2"/>
        <v>16.374687499999997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0.82868072465881248</v>
      </c>
      <c r="C109" s="67">
        <f t="shared" si="3" ref="C109:Q109">STDEV(C9:C104)</f>
        <v>3.3215942176806772</v>
      </c>
      <c r="D109" s="67">
        <f t="shared" si="3"/>
        <v>3.3702552808199657</v>
      </c>
      <c r="E109" s="67">
        <f t="shared" si="3"/>
        <v>0.99344138151618644</v>
      </c>
      <c r="F109" s="67">
        <f t="shared" si="3"/>
        <v>0.65970746274656478</v>
      </c>
      <c r="G109" s="67">
        <f t="shared" si="3"/>
        <v>11.658235352534556</v>
      </c>
      <c r="H109" s="67">
        <f t="shared" si="3"/>
        <v>4.2962892176466232</v>
      </c>
      <c r="I109" s="67">
        <f t="shared" si="3"/>
        <v>1.1122552904528566</v>
      </c>
      <c r="J109" s="67">
        <f t="shared" si="3"/>
        <v>0.99883860189300866</v>
      </c>
      <c r="K109" s="67">
        <f t="shared" si="3"/>
        <v>54.99411041990885</v>
      </c>
      <c r="L109" s="67">
        <f t="shared" si="3"/>
        <v>1.9917954247573992</v>
      </c>
      <c r="M109" s="67">
        <f t="shared" si="3"/>
        <v>11.991712004474028</v>
      </c>
      <c r="N109" s="67">
        <f t="shared" si="3"/>
        <v>251.64376365228631</v>
      </c>
      <c r="O109" s="67">
        <f t="shared" si="3"/>
        <v>0.020412414523193152</v>
      </c>
      <c r="P109" s="67">
        <f t="shared" si="3"/>
        <v>0.11635924408576453</v>
      </c>
      <c r="Q109" s="67">
        <f t="shared" si="3"/>
        <v>5.7774559968945463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COUNT(L9:L104)+25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7efa75-b13f-46ac-8db9-08b7c0630971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7" sqref="A7:Q8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27-06-2022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220" t="s">
        <v>50</v>
      </c>
      <c r="B7" s="221" t="s">
        <v>226</v>
      </c>
      <c r="C7" s="221" t="s">
        <v>227</v>
      </c>
      <c r="D7" s="221" t="s">
        <v>228</v>
      </c>
      <c r="E7" s="221" t="s">
        <v>229</v>
      </c>
      <c r="F7" s="221" t="s">
        <v>230</v>
      </c>
      <c r="G7" s="221" t="s">
        <v>231</v>
      </c>
      <c r="H7" s="221" t="s">
        <v>232</v>
      </c>
      <c r="I7" s="221" t="s">
        <v>233</v>
      </c>
      <c r="J7" s="221" t="s">
        <v>234</v>
      </c>
      <c r="K7" s="221" t="s">
        <v>235</v>
      </c>
      <c r="L7" s="221" t="s">
        <v>236</v>
      </c>
      <c r="M7" s="221" t="s">
        <v>237</v>
      </c>
      <c r="N7" s="221" t="s">
        <v>238</v>
      </c>
      <c r="O7" s="221" t="s">
        <v>239</v>
      </c>
      <c r="P7" s="221" t="s">
        <v>240</v>
      </c>
      <c r="Q7" s="221" t="s">
        <v>241</v>
      </c>
      <c r="R7" s="196"/>
      <c r="S7" s="197"/>
      <c r="T7" s="196"/>
      <c r="U7" s="196"/>
    </row>
    <row r="8" spans="1:21" ht="15">
      <c r="A8" s="220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20" t="s">
        <v>56</v>
      </c>
      <c r="M8" s="38" t="s">
        <v>55</v>
      </c>
      <c r="N8" s="38" t="s">
        <v>57</v>
      </c>
      <c r="O8" s="220" t="s">
        <v>58</v>
      </c>
      <c r="P8" s="38" t="s">
        <v>52</v>
      </c>
      <c r="Q8" s="38" t="s">
        <v>51</v>
      </c>
      <c r="R8" s="196"/>
      <c r="S8" s="197"/>
      <c r="T8" s="196"/>
      <c r="U8" s="196"/>
    </row>
    <row r="9" spans="1:21" s="12" customFormat="1" ht="15">
      <c r="A9" s="201" t="s">
        <v>2746</v>
      </c>
      <c r="B9" s="60">
        <v>0.65</v>
      </c>
      <c r="C9" s="60">
        <v>13.54</v>
      </c>
      <c r="D9" s="60">
        <v>14.19</v>
      </c>
      <c r="E9" s="60">
        <v>5.83</v>
      </c>
      <c r="F9" s="60">
        <v>1.1200000000000001</v>
      </c>
      <c r="G9" s="60">
        <v>42.28</v>
      </c>
      <c r="H9" s="60">
        <v>18.04</v>
      </c>
      <c r="I9" s="60">
        <v>4.2699999999999996</v>
      </c>
      <c r="J9" s="60">
        <v>2.79</v>
      </c>
      <c r="K9" s="60">
        <v>133.11000000000001</v>
      </c>
      <c r="L9" s="60">
        <v>43.01</v>
      </c>
      <c r="M9" s="60">
        <v>87.86</v>
      </c>
      <c r="N9" s="60">
        <v>607.90</v>
      </c>
      <c r="O9" s="60">
        <v>0</v>
      </c>
      <c r="P9" s="60">
        <v>2.25</v>
      </c>
      <c r="Q9" s="60">
        <v>13.03</v>
      </c>
      <c r="R9" s="198"/>
      <c r="S9" s="198"/>
      <c r="T9" s="198"/>
      <c r="U9" s="198"/>
    </row>
    <row r="10" spans="1:21" s="12" customFormat="1" ht="15">
      <c r="A10" s="201" t="s">
        <v>2747</v>
      </c>
      <c r="B10" s="60">
        <v>0.69</v>
      </c>
      <c r="C10" s="60">
        <v>12.96</v>
      </c>
      <c r="D10" s="60">
        <v>13.65</v>
      </c>
      <c r="E10" s="60">
        <v>5.91</v>
      </c>
      <c r="F10" s="60">
        <v>1.01</v>
      </c>
      <c r="G10" s="60">
        <v>44.56</v>
      </c>
      <c r="H10" s="60">
        <v>22.14</v>
      </c>
      <c r="I10" s="60">
        <v>4.21</v>
      </c>
      <c r="J10" s="60">
        <v>3.18</v>
      </c>
      <c r="K10" s="60">
        <v>92.85</v>
      </c>
      <c r="L10" s="60">
        <v>48.14</v>
      </c>
      <c r="M10" s="60">
        <v>87.28</v>
      </c>
      <c r="N10" s="60">
        <v>675.30</v>
      </c>
      <c r="O10" s="60">
        <v>0</v>
      </c>
      <c r="P10" s="60">
        <v>2.2400000000000002</v>
      </c>
      <c r="Q10" s="60">
        <v>12.79</v>
      </c>
      <c r="R10" s="198"/>
      <c r="S10" s="198"/>
      <c r="T10" s="198"/>
      <c r="U10" s="198"/>
    </row>
    <row r="11" spans="1:21" s="12" customFormat="1" ht="15">
      <c r="A11" s="201" t="s">
        <v>2748</v>
      </c>
      <c r="B11" s="60">
        <v>0.76</v>
      </c>
      <c r="C11" s="60">
        <v>12.98</v>
      </c>
      <c r="D11" s="60">
        <v>13.74</v>
      </c>
      <c r="E11" s="60">
        <v>6.13</v>
      </c>
      <c r="F11" s="60">
        <v>1.24</v>
      </c>
      <c r="G11" s="60">
        <v>44.56</v>
      </c>
      <c r="H11" s="60">
        <v>22.14</v>
      </c>
      <c r="I11" s="60">
        <v>4.1500000000000004</v>
      </c>
      <c r="J11" s="60">
        <v>2.25</v>
      </c>
      <c r="K11" s="60">
        <v>141.43</v>
      </c>
      <c r="L11" s="60">
        <v>44.77</v>
      </c>
      <c r="M11" s="60">
        <v>87.81</v>
      </c>
      <c r="N11" s="60">
        <v>647.29999999999995</v>
      </c>
      <c r="O11" s="60">
        <v>0</v>
      </c>
      <c r="P11" s="60">
        <v>2.23</v>
      </c>
      <c r="Q11" s="60">
        <v>12.21</v>
      </c>
      <c r="R11" s="198"/>
      <c r="S11" s="198"/>
      <c r="T11" s="198"/>
      <c r="U11" s="198"/>
    </row>
    <row r="12" spans="1:21" s="12" customFormat="1" ht="15">
      <c r="A12" s="201" t="s">
        <v>2749</v>
      </c>
      <c r="B12" s="60">
        <v>0.87</v>
      </c>
      <c r="C12" s="60">
        <v>11.62</v>
      </c>
      <c r="D12" s="60">
        <v>12.49</v>
      </c>
      <c r="E12" s="60">
        <v>6.22</v>
      </c>
      <c r="F12" s="60">
        <v>1.20</v>
      </c>
      <c r="G12" s="60">
        <v>44.56</v>
      </c>
      <c r="H12" s="60">
        <v>22.14</v>
      </c>
      <c r="I12" s="60">
        <v>4.12</v>
      </c>
      <c r="J12" s="60">
        <v>2.65</v>
      </c>
      <c r="K12" s="60">
        <v>157.83000000000001</v>
      </c>
      <c r="L12" s="60">
        <v>45.03</v>
      </c>
      <c r="M12" s="60">
        <v>88.36</v>
      </c>
      <c r="N12" s="60">
        <v>616.29999999999995</v>
      </c>
      <c r="O12" s="60">
        <v>0</v>
      </c>
      <c r="P12" s="60">
        <v>2.23</v>
      </c>
      <c r="Q12" s="60">
        <v>10.55</v>
      </c>
      <c r="R12" s="198"/>
      <c r="S12" s="198"/>
      <c r="T12" s="198"/>
      <c r="U12" s="198"/>
    </row>
    <row r="13" spans="1:21" s="12" customFormat="1" ht="15">
      <c r="A13" s="201" t="s">
        <v>2750</v>
      </c>
      <c r="B13" s="60">
        <v>1.03</v>
      </c>
      <c r="C13" s="60">
        <v>11.26</v>
      </c>
      <c r="D13" s="60">
        <v>12.29</v>
      </c>
      <c r="E13" s="60">
        <v>6.5</v>
      </c>
      <c r="F13" s="60">
        <v>0.74</v>
      </c>
      <c r="G13" s="60">
        <v>41.26</v>
      </c>
      <c r="H13" s="60">
        <v>20.239999999999998</v>
      </c>
      <c r="I13" s="60">
        <v>4.05</v>
      </c>
      <c r="J13" s="60">
        <v>2.27</v>
      </c>
      <c r="K13" s="60">
        <v>126.55</v>
      </c>
      <c r="L13" s="60">
        <v>44.73</v>
      </c>
      <c r="M13" s="60">
        <v>88.81</v>
      </c>
      <c r="N13" s="60">
        <v>612.29999999999995</v>
      </c>
      <c r="O13" s="60">
        <v>0</v>
      </c>
      <c r="P13" s="60">
        <v>2.23</v>
      </c>
      <c r="Q13" s="60">
        <v>9.16</v>
      </c>
      <c r="R13" s="198"/>
      <c r="S13" s="198"/>
      <c r="T13" s="198"/>
      <c r="U13" s="198"/>
    </row>
    <row r="14" spans="1:21" s="12" customFormat="1" ht="15">
      <c r="A14" s="201" t="s">
        <v>2751</v>
      </c>
      <c r="B14" s="60">
        <v>1.23</v>
      </c>
      <c r="C14" s="60">
        <v>10.93</v>
      </c>
      <c r="D14" s="60">
        <v>12.15</v>
      </c>
      <c r="E14" s="60">
        <v>6.81</v>
      </c>
      <c r="F14" s="60">
        <v>0.56000000000000005</v>
      </c>
      <c r="G14" s="60">
        <v>33.14</v>
      </c>
      <c r="H14" s="60">
        <v>15.57</v>
      </c>
      <c r="I14" s="60">
        <v>4.04</v>
      </c>
      <c r="J14" s="60">
        <v>2.31</v>
      </c>
      <c r="K14" s="60">
        <v>116.79</v>
      </c>
      <c r="L14" s="60">
        <v>43.85</v>
      </c>
      <c r="M14" s="60">
        <v>88.86</v>
      </c>
      <c r="N14" s="60">
        <v>589.60</v>
      </c>
      <c r="O14" s="60">
        <v>0</v>
      </c>
      <c r="P14" s="60">
        <v>2.2200000000000002</v>
      </c>
      <c r="Q14" s="60">
        <v>8.4499999999999993</v>
      </c>
      <c r="R14" s="198"/>
      <c r="S14" s="198"/>
      <c r="T14" s="198"/>
      <c r="U14" s="198"/>
    </row>
    <row r="15" spans="1:21" s="12" customFormat="1" ht="15">
      <c r="A15" s="201" t="s">
        <v>2752</v>
      </c>
      <c r="B15" s="60">
        <v>1.41</v>
      </c>
      <c r="C15" s="60">
        <v>10.62</v>
      </c>
      <c r="D15" s="60">
        <v>12.03</v>
      </c>
      <c r="E15" s="60">
        <v>6.61</v>
      </c>
      <c r="F15" s="60">
        <v>0.70</v>
      </c>
      <c r="G15" s="60">
        <v>33.14</v>
      </c>
      <c r="H15" s="60">
        <v>15.57</v>
      </c>
      <c r="I15" s="60">
        <v>4.09</v>
      </c>
      <c r="J15" s="60">
        <v>2.23</v>
      </c>
      <c r="K15" s="60">
        <v>162.58000000000001</v>
      </c>
      <c r="L15" s="60">
        <v>48.44</v>
      </c>
      <c r="M15" s="60">
        <v>89.29</v>
      </c>
      <c r="N15" s="60">
        <v>672.90</v>
      </c>
      <c r="O15" s="60">
        <v>0</v>
      </c>
      <c r="P15" s="60">
        <v>2.2200000000000002</v>
      </c>
      <c r="Q15" s="60">
        <v>8.18</v>
      </c>
      <c r="R15" s="198"/>
      <c r="S15" s="198"/>
      <c r="T15" s="198"/>
      <c r="U15" s="198"/>
    </row>
    <row r="16" spans="1:21" s="12" customFormat="1" ht="15">
      <c r="A16" s="201" t="s">
        <v>2753</v>
      </c>
      <c r="B16" s="60">
        <v>1.55</v>
      </c>
      <c r="C16" s="60">
        <v>10.38</v>
      </c>
      <c r="D16" s="60">
        <v>11.93</v>
      </c>
      <c r="E16" s="60">
        <v>7.17</v>
      </c>
      <c r="F16" s="60">
        <v>0.75</v>
      </c>
      <c r="G16" s="60">
        <v>33.14</v>
      </c>
      <c r="H16" s="60">
        <v>15.57</v>
      </c>
      <c r="I16" s="60">
        <v>4.13</v>
      </c>
      <c r="J16" s="60">
        <v>2.09</v>
      </c>
      <c r="K16" s="60">
        <v>98.33</v>
      </c>
      <c r="L16" s="60">
        <v>43.19</v>
      </c>
      <c r="M16" s="60">
        <v>89.73</v>
      </c>
      <c r="N16" s="60">
        <v>481.30</v>
      </c>
      <c r="O16" s="60">
        <v>0</v>
      </c>
      <c r="P16" s="60">
        <v>2.2200000000000002</v>
      </c>
      <c r="Q16" s="60">
        <v>8.02</v>
      </c>
      <c r="R16" s="198"/>
      <c r="S16" s="198"/>
      <c r="T16" s="198"/>
      <c r="U16" s="198"/>
    </row>
    <row r="17" spans="1:21" s="12" customFormat="1" ht="15">
      <c r="A17" s="201" t="s">
        <v>2754</v>
      </c>
      <c r="B17" s="60">
        <v>1.71</v>
      </c>
      <c r="C17" s="60">
        <v>10.34</v>
      </c>
      <c r="D17" s="60">
        <v>12.05</v>
      </c>
      <c r="E17" s="60">
        <v>7.28</v>
      </c>
      <c r="F17" s="60">
        <v>0.41</v>
      </c>
      <c r="G17" s="60">
        <v>34.11</v>
      </c>
      <c r="H17" s="60">
        <v>14.68</v>
      </c>
      <c r="I17" s="60">
        <v>4.18</v>
      </c>
      <c r="J17" s="60">
        <v>2.08</v>
      </c>
      <c r="K17" s="60">
        <v>117.47</v>
      </c>
      <c r="L17" s="60">
        <v>43.24</v>
      </c>
      <c r="M17" s="60">
        <v>89.96</v>
      </c>
      <c r="N17" s="60">
        <v>448.60</v>
      </c>
      <c r="O17" s="60">
        <v>0</v>
      </c>
      <c r="P17" s="60">
        <v>2.21</v>
      </c>
      <c r="Q17" s="60">
        <v>7.95</v>
      </c>
      <c r="R17" s="198"/>
      <c r="S17" s="198"/>
      <c r="T17" s="198"/>
      <c r="U17" s="198"/>
    </row>
    <row r="18" spans="1:21" s="12" customFormat="1" ht="15">
      <c r="A18" s="201" t="s">
        <v>2755</v>
      </c>
      <c r="B18" s="60">
        <v>1.87</v>
      </c>
      <c r="C18" s="60">
        <v>10.47</v>
      </c>
      <c r="D18" s="60">
        <v>12.35</v>
      </c>
      <c r="E18" s="60">
        <v>7.67</v>
      </c>
      <c r="F18" s="60">
        <v>0.93</v>
      </c>
      <c r="G18" s="60">
        <v>36.5</v>
      </c>
      <c r="H18" s="60">
        <v>12.48</v>
      </c>
      <c r="I18" s="60">
        <v>4.22</v>
      </c>
      <c r="J18" s="60">
        <v>2.16</v>
      </c>
      <c r="K18" s="60">
        <v>104.83</v>
      </c>
      <c r="L18" s="60">
        <v>44.41</v>
      </c>
      <c r="M18" s="60">
        <v>90.38</v>
      </c>
      <c r="N18" s="60">
        <v>543.60</v>
      </c>
      <c r="O18" s="60">
        <v>0</v>
      </c>
      <c r="P18" s="60">
        <v>2.2200000000000002</v>
      </c>
      <c r="Q18" s="60">
        <v>8.01</v>
      </c>
      <c r="R18" s="198"/>
      <c r="S18" s="198"/>
      <c r="T18" s="198"/>
      <c r="U18" s="198"/>
    </row>
    <row r="19" spans="1:21" s="12" customFormat="1" ht="15">
      <c r="A19" s="201" t="s">
        <v>2756</v>
      </c>
      <c r="B19" s="60">
        <v>1.84</v>
      </c>
      <c r="C19" s="60">
        <v>11.75</v>
      </c>
      <c r="D19" s="60">
        <v>13.59</v>
      </c>
      <c r="E19" s="60">
        <v>7.47</v>
      </c>
      <c r="F19" s="60">
        <v>0.91</v>
      </c>
      <c r="G19" s="60">
        <v>36.5</v>
      </c>
      <c r="H19" s="60">
        <v>12.48</v>
      </c>
      <c r="I19" s="60">
        <v>4.24</v>
      </c>
      <c r="J19" s="60">
        <v>2.33</v>
      </c>
      <c r="K19" s="60">
        <v>137.96</v>
      </c>
      <c r="L19" s="60">
        <v>48</v>
      </c>
      <c r="M19" s="60">
        <v>90.10</v>
      </c>
      <c r="N19" s="60">
        <v>499.10</v>
      </c>
      <c r="O19" s="60">
        <v>0</v>
      </c>
      <c r="P19" s="60">
        <v>2.21</v>
      </c>
      <c r="Q19" s="60">
        <v>8.98</v>
      </c>
      <c r="R19" s="198"/>
      <c r="S19" s="198"/>
      <c r="T19" s="198"/>
      <c r="U19" s="198"/>
    </row>
    <row r="20" spans="1:21" s="12" customFormat="1" ht="15">
      <c r="A20" s="201" t="s">
        <v>2757</v>
      </c>
      <c r="B20" s="60">
        <v>1.55</v>
      </c>
      <c r="C20" s="60">
        <v>11.55</v>
      </c>
      <c r="D20" s="60">
        <v>13.10</v>
      </c>
      <c r="E20" s="60">
        <v>7.54</v>
      </c>
      <c r="F20" s="60">
        <v>0.94</v>
      </c>
      <c r="G20" s="60">
        <v>36.5</v>
      </c>
      <c r="H20" s="60">
        <v>12.48</v>
      </c>
      <c r="I20" s="60">
        <v>4.29</v>
      </c>
      <c r="J20" s="60">
        <v>2.42</v>
      </c>
      <c r="K20" s="60">
        <v>155.86000000000001</v>
      </c>
      <c r="L20" s="60">
        <v>46.13</v>
      </c>
      <c r="M20" s="60">
        <v>89.53</v>
      </c>
      <c r="N20" s="60">
        <v>467.90</v>
      </c>
      <c r="O20" s="60">
        <v>0</v>
      </c>
      <c r="P20" s="60">
        <v>2.2000000000000002</v>
      </c>
      <c r="Q20" s="60">
        <v>10.17</v>
      </c>
      <c r="R20" s="198"/>
      <c r="S20" s="198"/>
      <c r="T20" s="198"/>
      <c r="U20" s="198"/>
    </row>
    <row r="21" spans="1:21" s="12" customFormat="1" ht="15">
      <c r="A21" s="201" t="s">
        <v>2758</v>
      </c>
      <c r="B21" s="60">
        <v>1.30</v>
      </c>
      <c r="C21" s="60">
        <v>11.31</v>
      </c>
      <c r="D21" s="60">
        <v>12.61</v>
      </c>
      <c r="E21" s="60">
        <v>6.72</v>
      </c>
      <c r="F21" s="60">
        <v>0.52</v>
      </c>
      <c r="G21" s="60">
        <v>36.97</v>
      </c>
      <c r="H21" s="60">
        <v>14.03</v>
      </c>
      <c r="I21" s="60">
        <v>4.21</v>
      </c>
      <c r="J21" s="60">
        <v>2.2999999999999998</v>
      </c>
      <c r="K21" s="60">
        <v>143.25</v>
      </c>
      <c r="L21" s="60">
        <v>42.35</v>
      </c>
      <c r="M21" s="60">
        <v>89.74</v>
      </c>
      <c r="N21" s="60">
        <v>478</v>
      </c>
      <c r="O21" s="60">
        <v>0</v>
      </c>
      <c r="P21" s="60">
        <v>2.19</v>
      </c>
      <c r="Q21" s="60">
        <v>10.90</v>
      </c>
      <c r="R21" s="198"/>
      <c r="S21" s="198"/>
      <c r="T21" s="198"/>
      <c r="U21" s="198"/>
    </row>
    <row r="22" spans="1:21" s="12" customFormat="1" ht="15">
      <c r="A22" s="201" t="s">
        <v>2759</v>
      </c>
      <c r="B22" s="60">
        <v>1.1299999999999999</v>
      </c>
      <c r="C22" s="60">
        <v>11.29</v>
      </c>
      <c r="D22" s="60">
        <v>12.42</v>
      </c>
      <c r="E22" s="60">
        <v>7.12</v>
      </c>
      <c r="F22" s="60">
        <v>0.60</v>
      </c>
      <c r="G22" s="60">
        <v>38.130000000000003</v>
      </c>
      <c r="H22" s="60">
        <v>17.850000000000001</v>
      </c>
      <c r="I22" s="60">
        <v>4.1100000000000003</v>
      </c>
      <c r="J22" s="60">
        <v>4.0199999999999996</v>
      </c>
      <c r="K22" s="60">
        <v>160.13</v>
      </c>
      <c r="L22" s="60">
        <v>44.47</v>
      </c>
      <c r="M22" s="60">
        <v>89.58</v>
      </c>
      <c r="N22" s="60">
        <v>447.40</v>
      </c>
      <c r="O22" s="60">
        <v>0</v>
      </c>
      <c r="P22" s="60">
        <v>2.19</v>
      </c>
      <c r="Q22" s="60">
        <v>11.10</v>
      </c>
      <c r="R22" s="198"/>
      <c r="S22" s="198"/>
      <c r="T22" s="198"/>
      <c r="U22" s="198"/>
    </row>
    <row r="23" spans="1:21" s="12" customFormat="1" ht="15">
      <c r="A23" s="201" t="s">
        <v>2760</v>
      </c>
      <c r="B23" s="60">
        <v>1</v>
      </c>
      <c r="C23" s="60">
        <v>11.43</v>
      </c>
      <c r="D23" s="60">
        <v>12.43</v>
      </c>
      <c r="E23" s="60">
        <v>6.89</v>
      </c>
      <c r="F23" s="60">
        <v>0.72</v>
      </c>
      <c r="G23" s="60">
        <v>38.130000000000003</v>
      </c>
      <c r="H23" s="60">
        <v>17.850000000000001</v>
      </c>
      <c r="I23" s="60">
        <v>4.0599999999999996</v>
      </c>
      <c r="J23" s="60">
        <v>3.21</v>
      </c>
      <c r="K23" s="60">
        <v>166.12</v>
      </c>
      <c r="L23" s="60">
        <v>44.61</v>
      </c>
      <c r="M23" s="60">
        <v>90.22</v>
      </c>
      <c r="N23" s="60">
        <v>408</v>
      </c>
      <c r="O23" s="60">
        <v>0</v>
      </c>
      <c r="P23" s="60">
        <v>2.19</v>
      </c>
      <c r="Q23" s="60">
        <v>11.19</v>
      </c>
      <c r="R23" s="198"/>
      <c r="S23" s="198"/>
      <c r="T23" s="198"/>
      <c r="U23" s="198"/>
    </row>
    <row r="24" spans="1:21" s="12" customFormat="1" ht="15">
      <c r="A24" s="201" t="s">
        <v>2761</v>
      </c>
      <c r="B24" s="60">
        <v>0.96</v>
      </c>
      <c r="C24" s="60">
        <v>11.15</v>
      </c>
      <c r="D24" s="60">
        <v>12.10</v>
      </c>
      <c r="E24" s="60">
        <v>2.33</v>
      </c>
      <c r="F24" s="60">
        <v>0.90</v>
      </c>
      <c r="G24" s="60">
        <v>38.130000000000003</v>
      </c>
      <c r="H24" s="60">
        <v>17.850000000000001</v>
      </c>
      <c r="I24" s="60">
        <v>3.98</v>
      </c>
      <c r="J24" s="60">
        <v>3.73</v>
      </c>
      <c r="K24" s="60">
        <v>168.15</v>
      </c>
      <c r="L24" s="60">
        <v>44.78</v>
      </c>
      <c r="M24" s="60">
        <v>90.47</v>
      </c>
      <c r="N24" s="60">
        <v>412.5</v>
      </c>
      <c r="O24" s="60">
        <v>0</v>
      </c>
      <c r="P24" s="60">
        <v>2.1800000000000002</v>
      </c>
      <c r="Q24" s="60">
        <v>11.33</v>
      </c>
      <c r="R24" s="198"/>
      <c r="S24" s="198"/>
      <c r="T24" s="198"/>
      <c r="U24" s="198"/>
    </row>
    <row r="25" spans="1:21" s="12" customFormat="1" ht="15">
      <c r="A25" s="201" t="s">
        <v>2762</v>
      </c>
      <c r="B25" s="60">
        <v>0.96</v>
      </c>
      <c r="C25" s="60">
        <v>11.25</v>
      </c>
      <c r="D25" s="60">
        <v>12.21</v>
      </c>
      <c r="E25" s="60">
        <v>5.03</v>
      </c>
      <c r="F25" s="60">
        <v>0.60</v>
      </c>
      <c r="G25" s="60">
        <v>37.10</v>
      </c>
      <c r="H25" s="60">
        <v>16.75</v>
      </c>
      <c r="I25" s="60">
        <v>3.90</v>
      </c>
      <c r="J25" s="60">
        <v>2.71</v>
      </c>
      <c r="K25" s="60">
        <v>181.22</v>
      </c>
      <c r="L25" s="60">
        <v>43.51</v>
      </c>
      <c r="M25" s="60">
        <v>90.87</v>
      </c>
      <c r="N25" s="60">
        <v>428.10</v>
      </c>
      <c r="O25" s="60">
        <v>0</v>
      </c>
      <c r="P25" s="60">
        <v>2.1800000000000002</v>
      </c>
      <c r="Q25" s="60">
        <v>11.47</v>
      </c>
      <c r="R25" s="198"/>
      <c r="S25" s="198"/>
      <c r="T25" s="198"/>
      <c r="U25" s="198"/>
    </row>
    <row r="26" spans="1:21" s="12" customFormat="1" ht="15">
      <c r="A26" s="201" t="s">
        <v>2763</v>
      </c>
      <c r="B26" s="60">
        <v>1.06</v>
      </c>
      <c r="C26" s="60">
        <v>11.45</v>
      </c>
      <c r="D26" s="60">
        <v>12.51</v>
      </c>
      <c r="E26" s="60">
        <v>5.61</v>
      </c>
      <c r="F26" s="60">
        <v>0.59</v>
      </c>
      <c r="G26" s="60">
        <v>34.56</v>
      </c>
      <c r="H26" s="60">
        <v>14.05</v>
      </c>
      <c r="I26" s="60">
        <v>3.84</v>
      </c>
      <c r="J26" s="60">
        <v>2.37</v>
      </c>
      <c r="K26" s="60">
        <v>195.99</v>
      </c>
      <c r="L26" s="60">
        <v>48.67</v>
      </c>
      <c r="M26" s="60">
        <v>91.53</v>
      </c>
      <c r="N26" s="60">
        <v>440.30</v>
      </c>
      <c r="O26" s="60">
        <v>0</v>
      </c>
      <c r="P26" s="60">
        <v>2.17</v>
      </c>
      <c r="Q26" s="60">
        <v>11.36</v>
      </c>
      <c r="R26" s="198"/>
      <c r="S26" s="198"/>
      <c r="T26" s="198"/>
      <c r="U26" s="198"/>
    </row>
    <row r="27" spans="1:21" s="12" customFormat="1" ht="15">
      <c r="A27" s="201" t="s">
        <v>2764</v>
      </c>
      <c r="B27" s="60">
        <v>1.1399999999999999</v>
      </c>
      <c r="C27" s="60">
        <v>11.27</v>
      </c>
      <c r="D27" s="60">
        <v>12.41</v>
      </c>
      <c r="E27" s="60">
        <v>5.59</v>
      </c>
      <c r="F27" s="60">
        <v>0.42</v>
      </c>
      <c r="G27" s="60">
        <v>34.56</v>
      </c>
      <c r="H27" s="60">
        <v>14.05</v>
      </c>
      <c r="I27" s="60">
        <v>3.80</v>
      </c>
      <c r="J27" s="60">
        <v>2.59</v>
      </c>
      <c r="K27" s="60">
        <v>197.95</v>
      </c>
      <c r="L27" s="60">
        <v>45.97</v>
      </c>
      <c r="M27" s="60">
        <v>92.64</v>
      </c>
      <c r="N27" s="60">
        <v>462.80</v>
      </c>
      <c r="O27" s="60">
        <v>0</v>
      </c>
      <c r="P27" s="60">
        <v>2.17</v>
      </c>
      <c r="Q27" s="60">
        <v>11.34</v>
      </c>
      <c r="R27" s="198"/>
      <c r="S27" s="198"/>
      <c r="T27" s="198"/>
      <c r="U27" s="198"/>
    </row>
    <row r="28" spans="1:21" s="12" customFormat="1" ht="15">
      <c r="A28" s="201" t="s">
        <v>2765</v>
      </c>
      <c r="B28" s="60">
        <v>1.25</v>
      </c>
      <c r="C28" s="60">
        <v>11.5</v>
      </c>
      <c r="D28" s="60">
        <v>12.75</v>
      </c>
      <c r="E28" s="60">
        <v>5.45</v>
      </c>
      <c r="F28" s="60">
        <v>0.59</v>
      </c>
      <c r="G28" s="60">
        <v>34.56</v>
      </c>
      <c r="H28" s="60">
        <v>14.05</v>
      </c>
      <c r="I28" s="60">
        <v>3.76</v>
      </c>
      <c r="J28" s="60">
        <v>2.65</v>
      </c>
      <c r="K28" s="60">
        <v>170.74</v>
      </c>
      <c r="L28" s="60">
        <v>39.380000000000003</v>
      </c>
      <c r="M28" s="60">
        <v>92.70</v>
      </c>
      <c r="N28" s="60">
        <v>503.60</v>
      </c>
      <c r="O28" s="60">
        <v>0</v>
      </c>
      <c r="P28" s="60">
        <v>2.1800000000000002</v>
      </c>
      <c r="Q28" s="60">
        <v>11.5</v>
      </c>
      <c r="R28" s="198"/>
      <c r="S28" s="198"/>
      <c r="T28" s="198"/>
      <c r="U28" s="198"/>
    </row>
    <row r="29" spans="1:21" s="12" customFormat="1" ht="15">
      <c r="A29" s="201" t="s">
        <v>2766</v>
      </c>
      <c r="B29" s="60">
        <v>1.49</v>
      </c>
      <c r="C29" s="60">
        <v>11.47</v>
      </c>
      <c r="D29" s="60">
        <v>12.96</v>
      </c>
      <c r="E29" s="60">
        <v>5.82</v>
      </c>
      <c r="F29" s="60">
        <v>0.81</v>
      </c>
      <c r="G29" s="60">
        <v>35.60</v>
      </c>
      <c r="H29" s="60">
        <v>12.86</v>
      </c>
      <c r="I29" s="60">
        <v>3.72</v>
      </c>
      <c r="J29" s="60">
        <v>1.88</v>
      </c>
      <c r="K29" s="60">
        <v>205.08</v>
      </c>
      <c r="L29" s="60">
        <v>43.98</v>
      </c>
      <c r="M29" s="60">
        <v>91.67</v>
      </c>
      <c r="N29" s="60">
        <v>497.80</v>
      </c>
      <c r="O29" s="60">
        <v>0</v>
      </c>
      <c r="P29" s="60">
        <v>2.17</v>
      </c>
      <c r="Q29" s="60">
        <v>11</v>
      </c>
      <c r="R29" s="198"/>
      <c r="S29" s="198"/>
      <c r="T29" s="198"/>
      <c r="U29" s="198"/>
    </row>
    <row r="30" spans="1:21" s="12" customFormat="1" ht="15">
      <c r="A30" s="201" t="s">
        <v>2767</v>
      </c>
      <c r="B30" s="60">
        <v>1.80</v>
      </c>
      <c r="C30" s="60">
        <v>11.08</v>
      </c>
      <c r="D30" s="60">
        <v>12.88</v>
      </c>
      <c r="E30" s="60">
        <v>6.19</v>
      </c>
      <c r="F30" s="60">
        <v>0.54</v>
      </c>
      <c r="G30" s="60">
        <v>38.14</v>
      </c>
      <c r="H30" s="60">
        <v>9.94</v>
      </c>
      <c r="I30" s="60">
        <v>3.68</v>
      </c>
      <c r="J30" s="60">
        <v>2.76</v>
      </c>
      <c r="K30" s="60">
        <v>176.52</v>
      </c>
      <c r="L30" s="60">
        <v>43.92</v>
      </c>
      <c r="M30" s="60">
        <v>90.12</v>
      </c>
      <c r="N30" s="60">
        <v>534.40</v>
      </c>
      <c r="O30" s="60">
        <v>0</v>
      </c>
      <c r="P30" s="60">
        <v>2.17</v>
      </c>
      <c r="Q30" s="60">
        <v>9.6300000000000008</v>
      </c>
      <c r="R30" s="198"/>
      <c r="S30" s="198"/>
      <c r="T30" s="198"/>
      <c r="U30" s="198"/>
    </row>
    <row r="31" spans="1:21" s="12" customFormat="1" ht="15">
      <c r="A31" s="201" t="s">
        <v>2768</v>
      </c>
      <c r="B31" s="60">
        <v>2.04</v>
      </c>
      <c r="C31" s="60">
        <v>11.07</v>
      </c>
      <c r="D31" s="60">
        <v>13.11</v>
      </c>
      <c r="E31" s="60">
        <v>6.19</v>
      </c>
      <c r="F31" s="60">
        <v>0.70</v>
      </c>
      <c r="G31" s="60">
        <v>38.14</v>
      </c>
      <c r="H31" s="60">
        <v>9.94</v>
      </c>
      <c r="I31" s="60">
        <v>3.66</v>
      </c>
      <c r="J31" s="60">
        <v>1.84</v>
      </c>
      <c r="K31" s="60">
        <v>218.70</v>
      </c>
      <c r="L31" s="60">
        <v>48.06</v>
      </c>
      <c r="M31" s="60">
        <v>89.36</v>
      </c>
      <c r="N31" s="60">
        <v>610.40</v>
      </c>
      <c r="O31" s="60">
        <v>0</v>
      </c>
      <c r="P31" s="60">
        <v>2.17</v>
      </c>
      <c r="Q31" s="60">
        <v>8.5</v>
      </c>
      <c r="R31" s="198"/>
      <c r="S31" s="198"/>
      <c r="T31" s="198"/>
      <c r="U31" s="198"/>
    </row>
    <row r="32" spans="1:21" s="12" customFormat="1" ht="15">
      <c r="A32" s="201" t="s">
        <v>2769</v>
      </c>
      <c r="B32" s="60">
        <v>2.25</v>
      </c>
      <c r="C32" s="60">
        <v>11.23</v>
      </c>
      <c r="D32" s="60">
        <v>13.48</v>
      </c>
      <c r="E32" s="60">
        <v>6.24</v>
      </c>
      <c r="F32" s="60">
        <v>0.76</v>
      </c>
      <c r="G32" s="60">
        <v>38.14</v>
      </c>
      <c r="H32" s="60">
        <v>9.94</v>
      </c>
      <c r="I32" s="60">
        <v>3.72</v>
      </c>
      <c r="J32" s="60">
        <v>2.10</v>
      </c>
      <c r="K32" s="60">
        <v>208.11</v>
      </c>
      <c r="L32" s="60">
        <v>44.17</v>
      </c>
      <c r="M32" s="60">
        <v>89.36</v>
      </c>
      <c r="N32" s="60">
        <v>334.20</v>
      </c>
      <c r="O32" s="60">
        <v>0</v>
      </c>
      <c r="P32" s="60">
        <v>2.1800000000000002</v>
      </c>
      <c r="Q32" s="60">
        <v>8.14</v>
      </c>
      <c r="R32" s="198"/>
      <c r="S32" s="198"/>
      <c r="T32" s="198"/>
      <c r="U32" s="198"/>
    </row>
    <row r="33" spans="1:21" s="12" customFormat="1" ht="15">
      <c r="A33" s="201" t="s">
        <v>2770</v>
      </c>
      <c r="B33" s="60">
        <v>2.39</v>
      </c>
      <c r="C33" s="60">
        <v>11.41</v>
      </c>
      <c r="D33" s="60">
        <v>13.80</v>
      </c>
      <c r="E33" s="60">
        <v>6.34</v>
      </c>
      <c r="F33" s="60">
        <v>0.86</v>
      </c>
      <c r="G33" s="60">
        <v>37.33</v>
      </c>
      <c r="H33" s="60">
        <v>10.34</v>
      </c>
      <c r="I33" s="60">
        <v>3.76</v>
      </c>
      <c r="J33" s="60">
        <v>1.93</v>
      </c>
      <c r="K33" s="60">
        <v>211.64</v>
      </c>
      <c r="L33" s="60">
        <v>45.96</v>
      </c>
      <c r="M33" s="60">
        <v>89.36</v>
      </c>
      <c r="N33" s="60">
        <v>369.90</v>
      </c>
      <c r="O33" s="60">
        <v>0</v>
      </c>
      <c r="P33" s="60">
        <v>2.1800000000000002</v>
      </c>
      <c r="Q33" s="60">
        <v>8.0500000000000007</v>
      </c>
      <c r="R33" s="198"/>
      <c r="S33" s="198"/>
      <c r="T33" s="198"/>
      <c r="U33" s="198"/>
    </row>
    <row r="34" spans="1:21" s="12" customFormat="1" ht="15">
      <c r="A34" s="201" t="s">
        <v>2771</v>
      </c>
      <c r="B34" s="60">
        <v>2.4500000000000002</v>
      </c>
      <c r="C34" s="60">
        <v>11.60</v>
      </c>
      <c r="D34" s="60">
        <v>14.05</v>
      </c>
      <c r="E34" s="60">
        <v>6.77</v>
      </c>
      <c r="F34" s="60">
        <v>0.67</v>
      </c>
      <c r="G34" s="60">
        <v>35.31</v>
      </c>
      <c r="H34" s="60">
        <v>11.32</v>
      </c>
      <c r="I34" s="60">
        <v>3.82</v>
      </c>
      <c r="J34" s="60">
        <v>2.61</v>
      </c>
      <c r="K34" s="60">
        <v>193.68</v>
      </c>
      <c r="L34" s="60">
        <v>44.58</v>
      </c>
      <c r="M34" s="60">
        <v>89.25</v>
      </c>
      <c r="N34" s="60">
        <v>501.30</v>
      </c>
      <c r="O34" s="60">
        <v>0</v>
      </c>
      <c r="P34" s="60">
        <v>2.1800000000000002</v>
      </c>
      <c r="Q34" s="60">
        <v>7.99</v>
      </c>
      <c r="R34" s="198"/>
      <c r="S34" s="198"/>
      <c r="T34" s="198"/>
      <c r="U34" s="198"/>
    </row>
    <row r="35" spans="1:21" s="12" customFormat="1" ht="15">
      <c r="A35" s="201" t="s">
        <v>2772</v>
      </c>
      <c r="B35" s="60">
        <v>2.57</v>
      </c>
      <c r="C35" s="60">
        <v>11.59</v>
      </c>
      <c r="D35" s="60">
        <v>14.16</v>
      </c>
      <c r="E35" s="60">
        <v>6.36</v>
      </c>
      <c r="F35" s="60">
        <v>0.72</v>
      </c>
      <c r="G35" s="60">
        <v>35.31</v>
      </c>
      <c r="H35" s="60">
        <v>11.32</v>
      </c>
      <c r="I35" s="60">
        <v>3.83</v>
      </c>
      <c r="J35" s="60">
        <v>1.5</v>
      </c>
      <c r="K35" s="60">
        <v>192.51</v>
      </c>
      <c r="L35" s="60">
        <v>45.81</v>
      </c>
      <c r="M35" s="60">
        <v>88</v>
      </c>
      <c r="N35" s="60">
        <v>657.40</v>
      </c>
      <c r="O35" s="60">
        <v>0</v>
      </c>
      <c r="P35" s="60">
        <v>2.19</v>
      </c>
      <c r="Q35" s="60">
        <v>7.94</v>
      </c>
      <c r="R35" s="198"/>
      <c r="S35" s="198"/>
      <c r="T35" s="198"/>
      <c r="U35" s="198"/>
    </row>
    <row r="36" spans="1:21" s="12" customFormat="1" ht="15">
      <c r="A36" s="201" t="s">
        <v>2773</v>
      </c>
      <c r="B36" s="60">
        <v>2.75</v>
      </c>
      <c r="C36" s="60">
        <v>12.32</v>
      </c>
      <c r="D36" s="60">
        <v>15.06</v>
      </c>
      <c r="E36" s="60">
        <v>6.81</v>
      </c>
      <c r="F36" s="60">
        <v>0.53</v>
      </c>
      <c r="G36" s="60">
        <v>35.31</v>
      </c>
      <c r="H36" s="60">
        <v>11.32</v>
      </c>
      <c r="I36" s="60">
        <v>3.96</v>
      </c>
      <c r="J36" s="60">
        <v>0.89</v>
      </c>
      <c r="K36" s="60">
        <v>179.18</v>
      </c>
      <c r="L36" s="60">
        <v>46.30</v>
      </c>
      <c r="M36" s="60">
        <v>86.42</v>
      </c>
      <c r="N36" s="60">
        <v>610.5</v>
      </c>
      <c r="O36" s="60">
        <v>0</v>
      </c>
      <c r="P36" s="60">
        <v>2.21</v>
      </c>
      <c r="Q36" s="60">
        <v>8.34</v>
      </c>
      <c r="R36" s="198"/>
      <c r="S36" s="198"/>
      <c r="T36" s="198"/>
      <c r="U36" s="198"/>
    </row>
    <row r="37" spans="1:21" s="12" customFormat="1" ht="15">
      <c r="A37" s="201" t="s">
        <v>2774</v>
      </c>
      <c r="B37" s="60">
        <v>2.88</v>
      </c>
      <c r="C37" s="60">
        <v>13.48</v>
      </c>
      <c r="D37" s="60">
        <v>16.350000000000001</v>
      </c>
      <c r="E37" s="60">
        <v>6.67</v>
      </c>
      <c r="F37" s="60">
        <v>0.57999999999999996</v>
      </c>
      <c r="G37" s="60">
        <v>35.270000000000003</v>
      </c>
      <c r="H37" s="60">
        <v>11.91</v>
      </c>
      <c r="I37" s="60">
        <v>3.98</v>
      </c>
      <c r="J37" s="60">
        <v>0.96</v>
      </c>
      <c r="K37" s="60">
        <v>210.85</v>
      </c>
      <c r="L37" s="60">
        <v>49.5</v>
      </c>
      <c r="M37" s="60">
        <v>83.72</v>
      </c>
      <c r="N37" s="60">
        <v>738.80</v>
      </c>
      <c r="O37" s="60">
        <v>0</v>
      </c>
      <c r="P37" s="60">
        <v>2.2200000000000002</v>
      </c>
      <c r="Q37" s="60">
        <v>9.64</v>
      </c>
      <c r="R37" s="198"/>
      <c r="S37" s="198"/>
      <c r="T37" s="198"/>
      <c r="U37" s="198"/>
    </row>
    <row r="38" spans="1:21" s="12" customFormat="1" ht="15">
      <c r="A38" s="201" t="s">
        <v>2775</v>
      </c>
      <c r="B38" s="60">
        <v>2.84</v>
      </c>
      <c r="C38" s="60">
        <v>14.17</v>
      </c>
      <c r="D38" s="60">
        <v>17.010000000000002</v>
      </c>
      <c r="E38" s="60">
        <v>6.21</v>
      </c>
      <c r="F38" s="60">
        <v>1.02</v>
      </c>
      <c r="G38" s="60">
        <v>35.159999999999997</v>
      </c>
      <c r="H38" s="60">
        <v>13.38</v>
      </c>
      <c r="I38" s="60">
        <v>4.08</v>
      </c>
      <c r="J38" s="60">
        <v>1.31</v>
      </c>
      <c r="K38" s="60">
        <v>278.56</v>
      </c>
      <c r="L38" s="9" t="s">
        <v>36</v>
      </c>
      <c r="M38" s="60">
        <v>80.010000000000005</v>
      </c>
      <c r="N38" s="60">
        <v>856.80</v>
      </c>
      <c r="O38" s="60">
        <v>0</v>
      </c>
      <c r="P38" s="60">
        <v>2.23</v>
      </c>
      <c r="Q38" s="60">
        <v>10.75</v>
      </c>
      <c r="R38" s="198"/>
      <c r="S38" s="198"/>
      <c r="T38" s="198"/>
      <c r="U38" s="198"/>
    </row>
    <row r="39" spans="1:21" s="12" customFormat="1" ht="15">
      <c r="A39" s="201" t="s">
        <v>2776</v>
      </c>
      <c r="B39" s="60">
        <v>3.02</v>
      </c>
      <c r="C39" s="60">
        <v>15.16</v>
      </c>
      <c r="D39" s="60">
        <v>18.18</v>
      </c>
      <c r="E39" s="60">
        <v>5.78</v>
      </c>
      <c r="F39" s="60">
        <v>1.04</v>
      </c>
      <c r="G39" s="60">
        <v>35.159999999999997</v>
      </c>
      <c r="H39" s="60">
        <v>13.38</v>
      </c>
      <c r="I39" s="60">
        <v>4.12</v>
      </c>
      <c r="J39" s="60">
        <v>2.58</v>
      </c>
      <c r="K39" s="60">
        <v>325.76</v>
      </c>
      <c r="L39" s="9" t="s">
        <v>36</v>
      </c>
      <c r="M39" s="60">
        <v>73.349999999999994</v>
      </c>
      <c r="N39" s="60">
        <v>876.90</v>
      </c>
      <c r="O39" s="60">
        <v>0</v>
      </c>
      <c r="P39" s="60">
        <v>2.2599999999999998</v>
      </c>
      <c r="Q39" s="60">
        <v>11.64</v>
      </c>
      <c r="R39" s="198"/>
      <c r="S39" s="198"/>
      <c r="T39" s="198"/>
      <c r="U39" s="198"/>
    </row>
    <row r="40" spans="1:21" s="12" customFormat="1" ht="15">
      <c r="A40" s="201" t="s">
        <v>2777</v>
      </c>
      <c r="B40" s="60">
        <v>3.35</v>
      </c>
      <c r="C40" s="60">
        <v>16.260000000000002</v>
      </c>
      <c r="D40" s="60">
        <v>19.61</v>
      </c>
      <c r="E40" s="60">
        <v>2.87</v>
      </c>
      <c r="F40" s="60">
        <v>1.03</v>
      </c>
      <c r="G40" s="60">
        <v>35.159999999999997</v>
      </c>
      <c r="H40" s="60">
        <v>13.38</v>
      </c>
      <c r="I40" s="60">
        <v>4.1500000000000004</v>
      </c>
      <c r="J40" s="60">
        <v>1.68</v>
      </c>
      <c r="K40" s="60">
        <v>332.01</v>
      </c>
      <c r="L40" s="9" t="s">
        <v>36</v>
      </c>
      <c r="M40" s="60">
        <v>71.77</v>
      </c>
      <c r="N40" s="60">
        <v>846.80</v>
      </c>
      <c r="O40" s="60">
        <v>0</v>
      </c>
      <c r="P40" s="60">
        <v>2.29</v>
      </c>
      <c r="Q40" s="60">
        <v>12.34</v>
      </c>
      <c r="R40" s="198"/>
      <c r="S40" s="198"/>
      <c r="T40" s="198"/>
      <c r="U40" s="198"/>
    </row>
    <row r="41" spans="1:21" s="12" customFormat="1" ht="15">
      <c r="A41" s="201" t="s">
        <v>2778</v>
      </c>
      <c r="B41" s="60">
        <v>3.72</v>
      </c>
      <c r="C41" s="60">
        <v>17.82</v>
      </c>
      <c r="D41" s="60">
        <v>21.54</v>
      </c>
      <c r="E41" s="60">
        <v>6.17</v>
      </c>
      <c r="F41" s="60">
        <v>1</v>
      </c>
      <c r="G41" s="60">
        <v>38.130000000000003</v>
      </c>
      <c r="H41" s="60">
        <v>13.63</v>
      </c>
      <c r="I41" s="60">
        <v>4.17</v>
      </c>
      <c r="J41" s="60">
        <v>1.18</v>
      </c>
      <c r="K41" s="60">
        <v>352.10</v>
      </c>
      <c r="L41" s="9" t="s">
        <v>36</v>
      </c>
      <c r="M41" s="60">
        <v>73.03</v>
      </c>
      <c r="N41" s="60">
        <v>918.30</v>
      </c>
      <c r="O41" s="60">
        <v>0</v>
      </c>
      <c r="P41" s="60">
        <v>2.31</v>
      </c>
      <c r="Q41" s="60">
        <v>12.94</v>
      </c>
      <c r="R41" s="198"/>
      <c r="S41" s="198"/>
      <c r="T41" s="198"/>
      <c r="U41" s="198"/>
    </row>
    <row r="42" spans="1:21" s="12" customFormat="1" ht="15">
      <c r="A42" s="201" t="s">
        <v>2779</v>
      </c>
      <c r="B42" s="60">
        <v>3.89</v>
      </c>
      <c r="C42" s="60">
        <v>19.13</v>
      </c>
      <c r="D42" s="60">
        <v>23.02</v>
      </c>
      <c r="E42" s="60">
        <v>5.75</v>
      </c>
      <c r="F42" s="60">
        <v>0.71</v>
      </c>
      <c r="G42" s="60">
        <v>45.45</v>
      </c>
      <c r="H42" s="60">
        <v>14.26</v>
      </c>
      <c r="I42" s="60">
        <v>4.25</v>
      </c>
      <c r="J42" s="60">
        <v>1.06</v>
      </c>
      <c r="K42" s="60">
        <v>358.90</v>
      </c>
      <c r="L42" s="60">
        <v>48.20</v>
      </c>
      <c r="M42" s="60">
        <v>73.14</v>
      </c>
      <c r="N42" s="60">
        <v>911.60</v>
      </c>
      <c r="O42" s="60">
        <v>0</v>
      </c>
      <c r="P42" s="60">
        <v>2.33</v>
      </c>
      <c r="Q42" s="60">
        <v>13.19</v>
      </c>
      <c r="R42" s="198"/>
      <c r="S42" s="198"/>
      <c r="T42" s="198"/>
      <c r="U42" s="198"/>
    </row>
    <row r="43" spans="1:21" s="12" customFormat="1" ht="15">
      <c r="A43" s="201" t="s">
        <v>2780</v>
      </c>
      <c r="B43" s="60">
        <v>4.17</v>
      </c>
      <c r="C43" s="60">
        <v>19.71</v>
      </c>
      <c r="D43" s="60">
        <v>23.88</v>
      </c>
      <c r="E43" s="60">
        <v>5.31</v>
      </c>
      <c r="F43" s="60">
        <v>0.84</v>
      </c>
      <c r="G43" s="60">
        <v>45.45</v>
      </c>
      <c r="H43" s="60">
        <v>14.26</v>
      </c>
      <c r="I43" s="60">
        <v>4.33</v>
      </c>
      <c r="J43" s="60">
        <v>0.98</v>
      </c>
      <c r="K43" s="60">
        <v>222.74</v>
      </c>
      <c r="L43" s="60">
        <v>48.02</v>
      </c>
      <c r="M43" s="60">
        <v>71.989999999999995</v>
      </c>
      <c r="N43" s="60">
        <v>929</v>
      </c>
      <c r="O43" s="60">
        <v>0</v>
      </c>
      <c r="P43" s="60">
        <v>2.34</v>
      </c>
      <c r="Q43" s="60">
        <v>13.33</v>
      </c>
      <c r="R43" s="198"/>
      <c r="S43" s="198"/>
      <c r="T43" s="198"/>
      <c r="U43" s="198"/>
    </row>
    <row r="44" spans="1:21" s="12" customFormat="1" ht="15">
      <c r="A44" s="201" t="s">
        <v>2781</v>
      </c>
      <c r="B44" s="60">
        <v>5.14</v>
      </c>
      <c r="C44" s="60">
        <v>20.14</v>
      </c>
      <c r="D44" s="60">
        <v>25.28</v>
      </c>
      <c r="E44" s="60">
        <v>5.56</v>
      </c>
      <c r="F44" s="60">
        <v>0.91</v>
      </c>
      <c r="G44" s="60">
        <v>45.45</v>
      </c>
      <c r="H44" s="60">
        <v>14.26</v>
      </c>
      <c r="I44" s="60">
        <v>4.3499999999999996</v>
      </c>
      <c r="J44" s="60">
        <v>0.40</v>
      </c>
      <c r="K44" s="60">
        <v>334.54</v>
      </c>
      <c r="L44" s="60">
        <v>48.22</v>
      </c>
      <c r="M44" s="60">
        <v>70.22</v>
      </c>
      <c r="N44" s="60">
        <v>583.29999999999995</v>
      </c>
      <c r="O44" s="60">
        <v>0</v>
      </c>
      <c r="P44" s="60">
        <v>2.35</v>
      </c>
      <c r="Q44" s="60">
        <v>13.89</v>
      </c>
      <c r="R44" s="198"/>
      <c r="S44" s="198"/>
      <c r="T44" s="198"/>
      <c r="U44" s="198"/>
    </row>
    <row r="45" spans="1:21" s="12" customFormat="1" ht="15">
      <c r="A45" s="201" t="s">
        <v>2782</v>
      </c>
      <c r="B45" s="60">
        <v>4.9000000000000004</v>
      </c>
      <c r="C45" s="60">
        <v>20.78</v>
      </c>
      <c r="D45" s="60">
        <v>25.68</v>
      </c>
      <c r="E45" s="60">
        <v>5.63</v>
      </c>
      <c r="F45" s="60">
        <v>0.97</v>
      </c>
      <c r="G45" s="60">
        <v>50.20</v>
      </c>
      <c r="H45" s="60">
        <v>14.84</v>
      </c>
      <c r="I45" s="60">
        <v>4.34</v>
      </c>
      <c r="J45" s="60">
        <v>1.25</v>
      </c>
      <c r="K45" s="60">
        <v>208.10</v>
      </c>
      <c r="L45" s="9" t="s">
        <v>36</v>
      </c>
      <c r="M45" s="60">
        <v>70.19</v>
      </c>
      <c r="N45" s="60">
        <v>598.10</v>
      </c>
      <c r="O45" s="60">
        <v>0</v>
      </c>
      <c r="P45" s="60">
        <v>2.35</v>
      </c>
      <c r="Q45" s="60">
        <v>13.93</v>
      </c>
      <c r="R45" s="198"/>
      <c r="S45" s="198"/>
      <c r="T45" s="198"/>
      <c r="U45" s="198"/>
    </row>
    <row r="46" spans="1:21" s="12" customFormat="1" ht="15">
      <c r="A46" s="201" t="s">
        <v>2783</v>
      </c>
      <c r="B46" s="60">
        <v>4.33</v>
      </c>
      <c r="C46" s="60">
        <v>21.24</v>
      </c>
      <c r="D46" s="60">
        <v>25.57</v>
      </c>
      <c r="E46" s="60">
        <v>5.57</v>
      </c>
      <c r="F46" s="60">
        <v>0.82</v>
      </c>
      <c r="G46" s="60">
        <v>61.91</v>
      </c>
      <c r="H46" s="60">
        <v>16.27</v>
      </c>
      <c r="I46" s="60">
        <v>4.30</v>
      </c>
      <c r="J46" s="60">
        <v>2.41</v>
      </c>
      <c r="K46" s="60">
        <v>161.93</v>
      </c>
      <c r="L46" s="9" t="s">
        <v>36</v>
      </c>
      <c r="M46" s="60">
        <v>69.010000000000005</v>
      </c>
      <c r="N46" s="60">
        <v>808.40</v>
      </c>
      <c r="O46" s="60">
        <v>0</v>
      </c>
      <c r="P46" s="60">
        <v>2.35</v>
      </c>
      <c r="Q46" s="60">
        <v>13.73</v>
      </c>
      <c r="R46" s="198"/>
      <c r="S46" s="198"/>
      <c r="T46" s="198"/>
      <c r="U46" s="198"/>
    </row>
    <row r="47" spans="1:21" s="12" customFormat="1" ht="15">
      <c r="A47" s="201" t="s">
        <v>2784</v>
      </c>
      <c r="B47" s="60">
        <v>3.78</v>
      </c>
      <c r="C47" s="60">
        <v>19.21</v>
      </c>
      <c r="D47" s="60">
        <v>22.99</v>
      </c>
      <c r="E47" s="60">
        <v>5.89</v>
      </c>
      <c r="F47" s="60">
        <v>1.73</v>
      </c>
      <c r="G47" s="60">
        <v>61.91</v>
      </c>
      <c r="H47" s="60">
        <v>16.27</v>
      </c>
      <c r="I47" s="60">
        <v>4.29</v>
      </c>
      <c r="J47" s="60">
        <v>1.40</v>
      </c>
      <c r="K47" s="60">
        <v>183.02</v>
      </c>
      <c r="L47" s="9" t="s">
        <v>36</v>
      </c>
      <c r="M47" s="60">
        <v>67.22</v>
      </c>
      <c r="N47" s="60">
        <v>1287.0999999999999</v>
      </c>
      <c r="O47" s="60">
        <v>0</v>
      </c>
      <c r="P47" s="60">
        <v>2.33</v>
      </c>
      <c r="Q47" s="60">
        <v>12.17</v>
      </c>
      <c r="R47" s="198"/>
      <c r="S47" s="198"/>
      <c r="T47" s="198"/>
      <c r="U47" s="198"/>
    </row>
    <row r="48" spans="1:21" s="12" customFormat="1" ht="15">
      <c r="A48" s="201" t="s">
        <v>2785</v>
      </c>
      <c r="B48" s="60">
        <v>3.23</v>
      </c>
      <c r="C48" s="60">
        <v>18.399999999999999</v>
      </c>
      <c r="D48" s="60">
        <v>21.62</v>
      </c>
      <c r="E48" s="60">
        <v>5.90</v>
      </c>
      <c r="F48" s="60">
        <v>1.40</v>
      </c>
      <c r="G48" s="60">
        <v>61.91</v>
      </c>
      <c r="H48" s="60">
        <v>16.27</v>
      </c>
      <c r="I48" s="60">
        <v>4.29</v>
      </c>
      <c r="J48" s="60">
        <v>1.03</v>
      </c>
      <c r="K48" s="60">
        <v>324.35000000000002</v>
      </c>
      <c r="L48" s="9" t="s">
        <v>36</v>
      </c>
      <c r="M48" s="60">
        <v>60.85</v>
      </c>
      <c r="N48" s="60">
        <v>1335.60</v>
      </c>
      <c r="O48" s="60">
        <v>0</v>
      </c>
      <c r="P48" s="60">
        <v>2.35</v>
      </c>
      <c r="Q48" s="60">
        <v>10.35</v>
      </c>
      <c r="R48" s="198"/>
      <c r="S48" s="198"/>
      <c r="T48" s="198"/>
      <c r="U48" s="198"/>
    </row>
    <row r="49" spans="1:21" s="12" customFormat="1" ht="15">
      <c r="A49" s="201" t="s">
        <v>2786</v>
      </c>
      <c r="B49" s="60">
        <v>3.07</v>
      </c>
      <c r="C49" s="60">
        <v>18.329999999999998</v>
      </c>
      <c r="D49" s="60">
        <v>21.40</v>
      </c>
      <c r="E49" s="60">
        <v>5.78</v>
      </c>
      <c r="F49" s="60">
        <v>1.03</v>
      </c>
      <c r="G49" s="60">
        <v>58.88</v>
      </c>
      <c r="H49" s="60">
        <v>15.95</v>
      </c>
      <c r="I49" s="60">
        <v>4.1900000000000004</v>
      </c>
      <c r="J49" s="60">
        <v>2.29</v>
      </c>
      <c r="K49" s="60">
        <v>324.99</v>
      </c>
      <c r="L49" s="9" t="s">
        <v>36</v>
      </c>
      <c r="M49" s="60">
        <v>58.10</v>
      </c>
      <c r="N49" s="60">
        <v>861.80</v>
      </c>
      <c r="O49" s="60">
        <v>0</v>
      </c>
      <c r="P49" s="60">
        <v>2.37</v>
      </c>
      <c r="Q49" s="60">
        <v>9.68</v>
      </c>
      <c r="R49" s="198"/>
      <c r="S49" s="198"/>
      <c r="T49" s="198"/>
      <c r="U49" s="198"/>
    </row>
    <row r="50" spans="1:21" s="12" customFormat="1" ht="15">
      <c r="A50" s="201" t="s">
        <v>2787</v>
      </c>
      <c r="B50" s="60">
        <v>3.01</v>
      </c>
      <c r="C50" s="60">
        <v>18.14</v>
      </c>
      <c r="D50" s="60">
        <v>21.16</v>
      </c>
      <c r="E50" s="60">
        <v>6.01</v>
      </c>
      <c r="F50" s="60">
        <v>1.32</v>
      </c>
      <c r="G50" s="60">
        <v>51.44</v>
      </c>
      <c r="H50" s="60">
        <v>15.17</v>
      </c>
      <c r="I50" s="60">
        <v>4.26</v>
      </c>
      <c r="J50" s="60">
        <v>2.75</v>
      </c>
      <c r="K50" s="60">
        <v>9.75</v>
      </c>
      <c r="L50" s="9" t="s">
        <v>36</v>
      </c>
      <c r="M50" s="60">
        <v>57.79</v>
      </c>
      <c r="N50" s="60">
        <v>857.60</v>
      </c>
      <c r="O50" s="60">
        <v>0</v>
      </c>
      <c r="P50" s="60">
        <v>2.39</v>
      </c>
      <c r="Q50" s="60">
        <v>9.17</v>
      </c>
      <c r="R50" s="198"/>
      <c r="S50" s="198"/>
      <c r="T50" s="198"/>
      <c r="U50" s="198"/>
    </row>
    <row r="51" spans="1:21" s="12" customFormat="1" ht="15">
      <c r="A51" s="201" t="s">
        <v>2788</v>
      </c>
      <c r="B51" s="60">
        <v>3.25</v>
      </c>
      <c r="C51" s="60">
        <v>17.98</v>
      </c>
      <c r="D51" s="60">
        <v>21.24</v>
      </c>
      <c r="E51" s="60">
        <v>6.04</v>
      </c>
      <c r="F51" s="60">
        <v>1.54</v>
      </c>
      <c r="G51" s="60">
        <v>51.44</v>
      </c>
      <c r="H51" s="60">
        <v>15.17</v>
      </c>
      <c r="I51" s="60">
        <v>4.41</v>
      </c>
      <c r="J51" s="60">
        <v>2.94</v>
      </c>
      <c r="K51" s="60">
        <v>324.89999999999998</v>
      </c>
      <c r="L51" s="9" t="s">
        <v>36</v>
      </c>
      <c r="M51" s="60">
        <v>56.96</v>
      </c>
      <c r="N51" s="60">
        <v>788.5</v>
      </c>
      <c r="O51" s="60">
        <v>0</v>
      </c>
      <c r="P51" s="60">
        <v>2.40</v>
      </c>
      <c r="Q51" s="60">
        <v>9.0500000000000007</v>
      </c>
      <c r="R51" s="198"/>
      <c r="S51" s="198"/>
      <c r="T51" s="198"/>
      <c r="U51" s="198"/>
    </row>
    <row r="52" spans="1:21" s="12" customFormat="1" ht="15">
      <c r="A52" s="201" t="s">
        <v>2789</v>
      </c>
      <c r="B52" s="60">
        <v>3.64</v>
      </c>
      <c r="C52" s="60">
        <v>18.71</v>
      </c>
      <c r="D52" s="60">
        <v>22.35</v>
      </c>
      <c r="E52" s="60">
        <v>6.36</v>
      </c>
      <c r="F52" s="60">
        <v>1.1200000000000001</v>
      </c>
      <c r="G52" s="60">
        <v>51.44</v>
      </c>
      <c r="H52" s="60">
        <v>15.17</v>
      </c>
      <c r="I52" s="60">
        <v>4.5599999999999996</v>
      </c>
      <c r="J52" s="60">
        <v>2.96</v>
      </c>
      <c r="K52" s="60">
        <v>330.71</v>
      </c>
      <c r="L52" s="9" t="s">
        <v>36</v>
      </c>
      <c r="M52" s="60">
        <v>56.74</v>
      </c>
      <c r="N52" s="60">
        <v>912.5</v>
      </c>
      <c r="O52" s="60">
        <v>0</v>
      </c>
      <c r="P52" s="60">
        <v>2.4500000000000002</v>
      </c>
      <c r="Q52" s="60">
        <v>9.27</v>
      </c>
      <c r="R52" s="198"/>
      <c r="S52" s="198"/>
      <c r="T52" s="198"/>
      <c r="U52" s="198"/>
    </row>
    <row r="53" spans="1:21" s="12" customFormat="1" ht="15">
      <c r="A53" s="201" t="s">
        <v>2790</v>
      </c>
      <c r="B53" s="60">
        <v>4.1500000000000004</v>
      </c>
      <c r="C53" s="60">
        <v>19.29</v>
      </c>
      <c r="D53" s="60">
        <v>23.44</v>
      </c>
      <c r="E53" s="60">
        <v>6.35</v>
      </c>
      <c r="F53" s="60">
        <v>1.26</v>
      </c>
      <c r="G53" s="60">
        <v>51.41</v>
      </c>
      <c r="H53" s="60">
        <v>16.61</v>
      </c>
      <c r="I53" s="60">
        <v>4.71</v>
      </c>
      <c r="J53" s="60">
        <v>1.63</v>
      </c>
      <c r="K53" s="60">
        <v>297.44</v>
      </c>
      <c r="L53" s="9" t="s">
        <v>36</v>
      </c>
      <c r="M53" s="60">
        <v>54.23</v>
      </c>
      <c r="N53" s="60">
        <v>1011.40</v>
      </c>
      <c r="O53" s="60">
        <v>0</v>
      </c>
      <c r="P53" s="60">
        <v>2.4900000000000002</v>
      </c>
      <c r="Q53" s="60">
        <v>9.52</v>
      </c>
      <c r="R53" s="198"/>
      <c r="S53" s="198"/>
      <c r="T53" s="198"/>
      <c r="U53" s="198"/>
    </row>
    <row r="54" spans="1:21" s="12" customFormat="1" ht="15">
      <c r="A54" s="201" t="s">
        <v>2791</v>
      </c>
      <c r="B54" s="60">
        <v>4.01</v>
      </c>
      <c r="C54" s="60">
        <v>20.71</v>
      </c>
      <c r="D54" s="60">
        <v>24.72</v>
      </c>
      <c r="E54" s="60">
        <v>6.56</v>
      </c>
      <c r="F54" s="60">
        <v>0.81</v>
      </c>
      <c r="G54" s="60">
        <v>51.35</v>
      </c>
      <c r="H54" s="60">
        <v>20.18</v>
      </c>
      <c r="I54" s="60">
        <v>4.93</v>
      </c>
      <c r="J54" s="60">
        <v>1.37</v>
      </c>
      <c r="K54" s="60">
        <v>222.94</v>
      </c>
      <c r="L54" s="9" t="s">
        <v>36</v>
      </c>
      <c r="M54" s="60">
        <v>57.62</v>
      </c>
      <c r="N54" s="60">
        <v>588</v>
      </c>
      <c r="O54" s="60">
        <v>0</v>
      </c>
      <c r="P54" s="60">
        <v>2.5099999999999998</v>
      </c>
      <c r="Q54" s="60">
        <v>10.16</v>
      </c>
      <c r="R54" s="198"/>
      <c r="S54" s="198"/>
      <c r="T54" s="198"/>
      <c r="U54" s="198"/>
    </row>
    <row r="55" spans="1:21" s="12" customFormat="1" ht="15">
      <c r="A55" s="201" t="s">
        <v>2792</v>
      </c>
      <c r="B55" s="60">
        <v>3.08</v>
      </c>
      <c r="C55" s="60">
        <v>20.45</v>
      </c>
      <c r="D55" s="60">
        <v>23.53</v>
      </c>
      <c r="E55" s="60">
        <v>6.70</v>
      </c>
      <c r="F55" s="60">
        <v>1.55</v>
      </c>
      <c r="G55" s="60">
        <v>51.35</v>
      </c>
      <c r="H55" s="60">
        <v>20.18</v>
      </c>
      <c r="I55" s="60">
        <v>5.08</v>
      </c>
      <c r="J55" s="60">
        <v>2.38</v>
      </c>
      <c r="K55" s="60">
        <v>178.03</v>
      </c>
      <c r="L55" s="9" t="s">
        <v>36</v>
      </c>
      <c r="M55" s="60">
        <v>60.26</v>
      </c>
      <c r="N55" s="60">
        <v>550.70000000000005</v>
      </c>
      <c r="O55" s="60">
        <v>0</v>
      </c>
      <c r="P55" s="60">
        <v>2.4900000000000002</v>
      </c>
      <c r="Q55" s="60">
        <v>11.20</v>
      </c>
      <c r="R55" s="198"/>
      <c r="S55" s="198"/>
      <c r="T55" s="198"/>
      <c r="U55" s="198"/>
    </row>
    <row r="56" spans="1:21" s="12" customFormat="1" ht="15">
      <c r="A56" s="201" t="s">
        <v>2793</v>
      </c>
      <c r="B56" s="60">
        <v>2.0299999999999998</v>
      </c>
      <c r="C56" s="60">
        <v>19.989999999999998</v>
      </c>
      <c r="D56" s="60">
        <v>22.02</v>
      </c>
      <c r="E56" s="60">
        <v>2.80</v>
      </c>
      <c r="F56" s="60">
        <v>1.84</v>
      </c>
      <c r="G56" s="60">
        <v>51.35</v>
      </c>
      <c r="H56" s="60">
        <v>20.18</v>
      </c>
      <c r="I56" s="60">
        <v>5.19</v>
      </c>
      <c r="J56" s="60">
        <v>1.1399999999999999</v>
      </c>
      <c r="K56" s="60">
        <v>162.47999999999999</v>
      </c>
      <c r="L56" s="9" t="s">
        <v>36</v>
      </c>
      <c r="M56" s="60">
        <v>58.77</v>
      </c>
      <c r="N56" s="60">
        <v>1262.9000000000001</v>
      </c>
      <c r="O56" s="60">
        <v>0</v>
      </c>
      <c r="P56" s="60">
        <v>2.46</v>
      </c>
      <c r="Q56" s="60">
        <v>12.29</v>
      </c>
      <c r="R56" s="198"/>
      <c r="S56" s="198"/>
      <c r="T56" s="198"/>
      <c r="U56" s="198"/>
    </row>
    <row r="57" spans="1:21" s="12" customFormat="1" ht="15">
      <c r="A57" s="201" t="s">
        <v>2794</v>
      </c>
      <c r="B57" s="60">
        <v>1.47</v>
      </c>
      <c r="C57" s="60">
        <v>19.579999999999998</v>
      </c>
      <c r="D57" s="60">
        <v>21.05</v>
      </c>
      <c r="E57" s="60">
        <v>5.45</v>
      </c>
      <c r="F57" s="60">
        <v>1.99</v>
      </c>
      <c r="G57" s="60">
        <v>50.73</v>
      </c>
      <c r="H57" s="60">
        <v>20.43</v>
      </c>
      <c r="I57" s="60">
        <v>5.07</v>
      </c>
      <c r="J57" s="60">
        <v>2.27</v>
      </c>
      <c r="K57" s="60">
        <v>162.32</v>
      </c>
      <c r="L57" s="9" t="s">
        <v>36</v>
      </c>
      <c r="M57" s="60">
        <v>57.67</v>
      </c>
      <c r="N57" s="60">
        <v>729.10</v>
      </c>
      <c r="O57" s="60">
        <v>0</v>
      </c>
      <c r="P57" s="60">
        <v>2.44</v>
      </c>
      <c r="Q57" s="60">
        <v>13.24</v>
      </c>
      <c r="R57" s="198"/>
      <c r="S57" s="198"/>
      <c r="T57" s="198"/>
      <c r="U57" s="198"/>
    </row>
    <row r="58" spans="1:21" s="12" customFormat="1" ht="15">
      <c r="A58" s="201" t="s">
        <v>2795</v>
      </c>
      <c r="B58" s="60">
        <v>1</v>
      </c>
      <c r="C58" s="60">
        <v>18.690000000000001</v>
      </c>
      <c r="D58" s="60">
        <v>19.690000000000001</v>
      </c>
      <c r="E58" s="60">
        <v>5.42</v>
      </c>
      <c r="F58" s="60">
        <v>2.3199999999999998</v>
      </c>
      <c r="G58" s="60">
        <v>49.18</v>
      </c>
      <c r="H58" s="60">
        <v>21.04</v>
      </c>
      <c r="I58" s="60">
        <v>5.01</v>
      </c>
      <c r="J58" s="60">
        <v>2.5299999999999998</v>
      </c>
      <c r="K58" s="60">
        <v>192.80</v>
      </c>
      <c r="L58" s="60">
        <v>48.09</v>
      </c>
      <c r="M58" s="60">
        <v>58.61</v>
      </c>
      <c r="N58" s="60">
        <v>510</v>
      </c>
      <c r="O58" s="60">
        <v>0</v>
      </c>
      <c r="P58" s="60">
        <v>2.42</v>
      </c>
      <c r="Q58" s="60">
        <v>13.89</v>
      </c>
      <c r="R58" s="198"/>
      <c r="S58" s="198"/>
      <c r="T58" s="198"/>
      <c r="U58" s="198"/>
    </row>
    <row r="59" spans="1:21" s="12" customFormat="1" ht="15">
      <c r="A59" s="201" t="s">
        <v>2796</v>
      </c>
      <c r="B59" s="60">
        <v>0.66</v>
      </c>
      <c r="C59" s="60">
        <v>17.43</v>
      </c>
      <c r="D59" s="60">
        <v>18.09</v>
      </c>
      <c r="E59" s="60">
        <v>5.32</v>
      </c>
      <c r="F59" s="60">
        <v>2.69</v>
      </c>
      <c r="G59" s="60">
        <v>49.18</v>
      </c>
      <c r="H59" s="60">
        <v>21.04</v>
      </c>
      <c r="I59" s="60">
        <v>4.8899999999999997</v>
      </c>
      <c r="J59" s="60">
        <v>1.25</v>
      </c>
      <c r="K59" s="60">
        <v>144.08000000000001</v>
      </c>
      <c r="L59" s="60">
        <v>44.06</v>
      </c>
      <c r="M59" s="60">
        <v>58.12</v>
      </c>
      <c r="N59" s="60">
        <v>451.5</v>
      </c>
      <c r="O59" s="60">
        <v>0</v>
      </c>
      <c r="P59" s="60">
        <v>2.40</v>
      </c>
      <c r="Q59" s="60">
        <v>14.34</v>
      </c>
      <c r="R59" s="198"/>
      <c r="S59" s="198"/>
      <c r="T59" s="198"/>
      <c r="U59" s="198"/>
    </row>
    <row r="60" spans="1:21" s="12" customFormat="1" ht="15">
      <c r="A60" s="201" t="s">
        <v>2797</v>
      </c>
      <c r="B60" s="60">
        <v>0.59</v>
      </c>
      <c r="C60" s="60">
        <v>17.22</v>
      </c>
      <c r="D60" s="60">
        <v>17.82</v>
      </c>
      <c r="E60" s="60">
        <v>5.46</v>
      </c>
      <c r="F60" s="60">
        <v>2.54</v>
      </c>
      <c r="G60" s="60">
        <v>49.18</v>
      </c>
      <c r="H60" s="60">
        <v>21.04</v>
      </c>
      <c r="I60" s="60">
        <v>4.72</v>
      </c>
      <c r="J60" s="60">
        <v>2.11</v>
      </c>
      <c r="K60" s="60">
        <v>162.51</v>
      </c>
      <c r="L60" s="60">
        <v>44.18</v>
      </c>
      <c r="M60" s="60">
        <v>61.69</v>
      </c>
      <c r="N60" s="60">
        <v>708.10</v>
      </c>
      <c r="O60" s="60">
        <v>0</v>
      </c>
      <c r="P60" s="60">
        <v>2.39</v>
      </c>
      <c r="Q60" s="60">
        <v>15.23</v>
      </c>
      <c r="R60" s="198"/>
      <c r="S60" s="198"/>
      <c r="T60" s="198"/>
      <c r="U60" s="198"/>
    </row>
    <row r="61" spans="1:21" s="12" customFormat="1" ht="15">
      <c r="A61" s="201" t="s">
        <v>2798</v>
      </c>
      <c r="B61" s="60">
        <v>0.54</v>
      </c>
      <c r="C61" s="60">
        <v>16.27</v>
      </c>
      <c r="D61" s="60">
        <v>16.809999999999999</v>
      </c>
      <c r="E61" s="60">
        <v>4.96</v>
      </c>
      <c r="F61" s="60">
        <v>2.35</v>
      </c>
      <c r="G61" s="60">
        <v>48.68</v>
      </c>
      <c r="H61" s="60">
        <v>20.53</v>
      </c>
      <c r="I61" s="60">
        <v>4.66</v>
      </c>
      <c r="J61" s="60">
        <v>0.95</v>
      </c>
      <c r="K61" s="60">
        <v>164.77</v>
      </c>
      <c r="L61" s="60">
        <v>50.82</v>
      </c>
      <c r="M61" s="60">
        <v>57.92</v>
      </c>
      <c r="N61" s="60">
        <v>1233.5999999999999</v>
      </c>
      <c r="O61" s="60">
        <v>0</v>
      </c>
      <c r="P61" s="60">
        <v>2.37</v>
      </c>
      <c r="Q61" s="60">
        <v>15.06</v>
      </c>
      <c r="R61" s="198"/>
      <c r="S61" s="198"/>
      <c r="T61" s="198"/>
      <c r="U61" s="198"/>
    </row>
    <row r="62" spans="1:21" s="12" customFormat="1" ht="15">
      <c r="A62" s="201" t="s">
        <v>2799</v>
      </c>
      <c r="B62" s="60">
        <v>0.63</v>
      </c>
      <c r="C62" s="60">
        <v>16.489999999999998</v>
      </c>
      <c r="D62" s="60">
        <v>17.12</v>
      </c>
      <c r="E62" s="60">
        <v>4.99</v>
      </c>
      <c r="F62" s="60">
        <v>2.15</v>
      </c>
      <c r="G62" s="60">
        <v>47.47</v>
      </c>
      <c r="H62" s="60">
        <v>19.28</v>
      </c>
      <c r="I62" s="60">
        <v>4.62</v>
      </c>
      <c r="J62" s="60">
        <v>2.72</v>
      </c>
      <c r="K62" s="60">
        <v>171.75</v>
      </c>
      <c r="L62" s="60">
        <v>48.55</v>
      </c>
      <c r="M62" s="60">
        <v>54.64</v>
      </c>
      <c r="N62" s="60">
        <v>1178.70</v>
      </c>
      <c r="O62" s="60">
        <v>0</v>
      </c>
      <c r="P62" s="60">
        <v>2.36</v>
      </c>
      <c r="Q62" s="60">
        <v>14.72</v>
      </c>
      <c r="R62" s="198"/>
      <c r="S62" s="198"/>
      <c r="T62" s="198"/>
      <c r="U62" s="198"/>
    </row>
    <row r="63" spans="1:21" s="12" customFormat="1" ht="15">
      <c r="A63" s="201" t="s">
        <v>2800</v>
      </c>
      <c r="B63" s="60">
        <v>0.51</v>
      </c>
      <c r="C63" s="60">
        <v>15.5</v>
      </c>
      <c r="D63" s="60">
        <v>16.010000000000002</v>
      </c>
      <c r="E63" s="60">
        <v>5</v>
      </c>
      <c r="F63" s="60">
        <v>2.96</v>
      </c>
      <c r="G63" s="60">
        <v>47.47</v>
      </c>
      <c r="H63" s="60">
        <v>19.28</v>
      </c>
      <c r="I63" s="60">
        <v>4.53</v>
      </c>
      <c r="J63" s="60">
        <v>0.49</v>
      </c>
      <c r="K63" s="60">
        <v>136.69999999999999</v>
      </c>
      <c r="L63" s="60">
        <v>48</v>
      </c>
      <c r="M63" s="60">
        <v>52.22</v>
      </c>
      <c r="N63" s="60">
        <v>1307.5999999999999</v>
      </c>
      <c r="O63" s="60">
        <v>0</v>
      </c>
      <c r="P63" s="60">
        <v>2.34</v>
      </c>
      <c r="Q63" s="60">
        <v>14.69</v>
      </c>
      <c r="R63" s="198"/>
      <c r="S63" s="198"/>
      <c r="T63" s="198"/>
      <c r="U63" s="198"/>
    </row>
    <row r="64" spans="1:21" s="12" customFormat="1" ht="15">
      <c r="A64" s="201" t="s">
        <v>2801</v>
      </c>
      <c r="B64" s="60">
        <v>0.68</v>
      </c>
      <c r="C64" s="60">
        <v>16.73</v>
      </c>
      <c r="D64" s="60">
        <v>17.41</v>
      </c>
      <c r="E64" s="60">
        <v>4.99</v>
      </c>
      <c r="F64" s="60">
        <v>2.37</v>
      </c>
      <c r="G64" s="60">
        <v>47.47</v>
      </c>
      <c r="H64" s="60">
        <v>19.28</v>
      </c>
      <c r="I64" s="60">
        <v>4.5</v>
      </c>
      <c r="J64" s="60">
        <v>3.40</v>
      </c>
      <c r="K64" s="60">
        <v>18.45</v>
      </c>
      <c r="L64" s="9" t="s">
        <v>36</v>
      </c>
      <c r="M64" s="60">
        <v>49.84</v>
      </c>
      <c r="N64" s="60">
        <v>1220.5</v>
      </c>
      <c r="O64" s="60">
        <v>0</v>
      </c>
      <c r="P64" s="60">
        <v>2.35</v>
      </c>
      <c r="Q64" s="60">
        <v>14.24</v>
      </c>
      <c r="R64" s="198"/>
      <c r="S64" s="198"/>
      <c r="T64" s="198"/>
      <c r="U64" s="198"/>
    </row>
    <row r="65" spans="1:21" s="12" customFormat="1" ht="15">
      <c r="A65" s="201" t="s">
        <v>2802</v>
      </c>
      <c r="B65" s="60">
        <v>1.30</v>
      </c>
      <c r="C65" s="60">
        <v>16.670000000000002</v>
      </c>
      <c r="D65" s="60">
        <v>17.97</v>
      </c>
      <c r="E65" s="60">
        <v>5.09</v>
      </c>
      <c r="F65" s="60">
        <v>2.66</v>
      </c>
      <c r="G65" s="60">
        <v>48.55</v>
      </c>
      <c r="H65" s="60">
        <v>18.899999999999999</v>
      </c>
      <c r="I65" s="60">
        <v>4.41</v>
      </c>
      <c r="J65" s="60">
        <v>1.66</v>
      </c>
      <c r="K65" s="60">
        <v>7.87</v>
      </c>
      <c r="L65" s="9" t="s">
        <v>36</v>
      </c>
      <c r="M65" s="60">
        <v>47.91</v>
      </c>
      <c r="N65" s="60">
        <v>1224.5</v>
      </c>
      <c r="O65" s="60">
        <v>0</v>
      </c>
      <c r="P65" s="60">
        <v>2.37</v>
      </c>
      <c r="Q65" s="60">
        <v>13.81</v>
      </c>
      <c r="R65" s="198"/>
      <c r="S65" s="198"/>
      <c r="T65" s="198"/>
      <c r="U65" s="198"/>
    </row>
    <row r="66" spans="1:21" s="12" customFormat="1" ht="15">
      <c r="A66" s="201" t="s">
        <v>2803</v>
      </c>
      <c r="B66" s="60">
        <v>1.5</v>
      </c>
      <c r="C66" s="60">
        <v>17.18</v>
      </c>
      <c r="D66" s="60">
        <v>18.68</v>
      </c>
      <c r="E66" s="60">
        <v>4.9000000000000004</v>
      </c>
      <c r="F66" s="60">
        <v>2.39</v>
      </c>
      <c r="G66" s="60">
        <v>51.21</v>
      </c>
      <c r="H66" s="60">
        <v>17.96</v>
      </c>
      <c r="I66" s="60">
        <v>4.5199999999999996</v>
      </c>
      <c r="J66" s="60">
        <v>2.08</v>
      </c>
      <c r="K66" s="60">
        <v>122.16</v>
      </c>
      <c r="L66" s="9" t="s">
        <v>36</v>
      </c>
      <c r="M66" s="60">
        <v>51.47</v>
      </c>
      <c r="N66" s="60">
        <v>688.40</v>
      </c>
      <c r="O66" s="60">
        <v>0</v>
      </c>
      <c r="P66" s="60">
        <v>2.37</v>
      </c>
      <c r="Q66" s="60">
        <v>12.39</v>
      </c>
      <c r="R66" s="198"/>
      <c r="S66" s="198"/>
      <c r="T66" s="198"/>
      <c r="U66" s="198"/>
    </row>
    <row r="67" spans="1:21" s="12" customFormat="1" ht="15">
      <c r="A67" s="201" t="s">
        <v>2804</v>
      </c>
      <c r="B67" s="60">
        <v>1.25</v>
      </c>
      <c r="C67" s="60">
        <v>16.809999999999999</v>
      </c>
      <c r="D67" s="60">
        <v>18.05</v>
      </c>
      <c r="E67" s="60">
        <v>5.19</v>
      </c>
      <c r="F67" s="60">
        <v>2.2000000000000002</v>
      </c>
      <c r="G67" s="60">
        <v>51.21</v>
      </c>
      <c r="H67" s="60">
        <v>17.96</v>
      </c>
      <c r="I67" s="60">
        <v>4.6100000000000003</v>
      </c>
      <c r="J67" s="60">
        <v>1.87</v>
      </c>
      <c r="K67" s="60">
        <v>64.34</v>
      </c>
      <c r="L67" s="9" t="s">
        <v>36</v>
      </c>
      <c r="M67" s="60">
        <v>52.33</v>
      </c>
      <c r="N67" s="60">
        <v>665.30</v>
      </c>
      <c r="O67" s="60">
        <v>0</v>
      </c>
      <c r="P67" s="60">
        <v>2.38</v>
      </c>
      <c r="Q67" s="60">
        <v>11.24</v>
      </c>
      <c r="R67" s="198"/>
      <c r="S67" s="198"/>
      <c r="T67" s="198"/>
      <c r="U67" s="198"/>
    </row>
    <row r="68" spans="1:21" s="12" customFormat="1" ht="15">
      <c r="A68" s="201" t="s">
        <v>2805</v>
      </c>
      <c r="B68" s="60">
        <v>1.03</v>
      </c>
      <c r="C68" s="60">
        <v>16.29</v>
      </c>
      <c r="D68" s="60">
        <v>17.32</v>
      </c>
      <c r="E68" s="60">
        <v>5.21</v>
      </c>
      <c r="F68" s="60">
        <v>1.94</v>
      </c>
      <c r="G68" s="60">
        <v>51.21</v>
      </c>
      <c r="H68" s="60">
        <v>17.96</v>
      </c>
      <c r="I68" s="60">
        <v>4.7699999999999996</v>
      </c>
      <c r="J68" s="60">
        <v>3.34</v>
      </c>
      <c r="K68" s="60">
        <v>85.52</v>
      </c>
      <c r="L68" s="9" t="s">
        <v>36</v>
      </c>
      <c r="M68" s="60">
        <v>54.60</v>
      </c>
      <c r="N68" s="60">
        <v>398.10</v>
      </c>
      <c r="O68" s="60">
        <v>0</v>
      </c>
      <c r="P68" s="60">
        <v>2.37</v>
      </c>
      <c r="Q68" s="60">
        <v>11.04</v>
      </c>
      <c r="R68" s="198"/>
      <c r="S68" s="198"/>
      <c r="T68" s="198"/>
      <c r="U68" s="198"/>
    </row>
    <row r="69" spans="1:21" s="12" customFormat="1" ht="15">
      <c r="A69" s="201" t="s">
        <v>2806</v>
      </c>
      <c r="B69" s="60">
        <v>0.85</v>
      </c>
      <c r="C69" s="60">
        <v>15.46</v>
      </c>
      <c r="D69" s="60">
        <v>16.30</v>
      </c>
      <c r="E69" s="60">
        <v>5.33</v>
      </c>
      <c r="F69" s="60">
        <v>2.0299999999999998</v>
      </c>
      <c r="G69" s="60">
        <v>51.55</v>
      </c>
      <c r="H69" s="60">
        <v>18.18</v>
      </c>
      <c r="I69" s="60">
        <v>4.79</v>
      </c>
      <c r="J69" s="60">
        <v>3.51</v>
      </c>
      <c r="K69" s="60">
        <v>97.78</v>
      </c>
      <c r="L69" s="9" t="s">
        <v>36</v>
      </c>
      <c r="M69" s="60">
        <v>55.12</v>
      </c>
      <c r="N69" s="60">
        <v>354.70</v>
      </c>
      <c r="O69" s="60">
        <v>0</v>
      </c>
      <c r="P69" s="60">
        <v>2.35</v>
      </c>
      <c r="Q69" s="60">
        <v>12.15</v>
      </c>
      <c r="R69" s="198"/>
      <c r="S69" s="198"/>
      <c r="T69" s="198"/>
      <c r="U69" s="198"/>
    </row>
    <row r="70" spans="1:21" s="12" customFormat="1" ht="15">
      <c r="A70" s="201" t="s">
        <v>2807</v>
      </c>
      <c r="B70" s="60">
        <v>0.76</v>
      </c>
      <c r="C70" s="60">
        <v>15.13</v>
      </c>
      <c r="D70" s="60">
        <v>15.89</v>
      </c>
      <c r="E70" s="60">
        <v>5.57</v>
      </c>
      <c r="F70" s="60">
        <v>1.78</v>
      </c>
      <c r="G70" s="60">
        <v>52.38</v>
      </c>
      <c r="H70" s="60">
        <v>18.75</v>
      </c>
      <c r="I70" s="60">
        <v>4.87</v>
      </c>
      <c r="J70" s="60">
        <v>3.69</v>
      </c>
      <c r="K70" s="60">
        <v>94.56</v>
      </c>
      <c r="L70" s="60">
        <v>48.61</v>
      </c>
      <c r="M70" s="60">
        <v>55.97</v>
      </c>
      <c r="N70" s="60">
        <v>387</v>
      </c>
      <c r="O70" s="60">
        <v>0</v>
      </c>
      <c r="P70" s="60">
        <v>2.35</v>
      </c>
      <c r="Q70" s="60">
        <v>13.90</v>
      </c>
      <c r="R70" s="198"/>
      <c r="S70" s="198"/>
      <c r="T70" s="198"/>
      <c r="U70" s="198"/>
    </row>
    <row r="71" spans="1:21" s="12" customFormat="1" ht="15">
      <c r="A71" s="201" t="s">
        <v>2808</v>
      </c>
      <c r="B71" s="60">
        <v>0.76</v>
      </c>
      <c r="C71" s="60">
        <v>14.65</v>
      </c>
      <c r="D71" s="60">
        <v>15.40</v>
      </c>
      <c r="E71" s="60">
        <v>5.61</v>
      </c>
      <c r="F71" s="60">
        <v>2.04</v>
      </c>
      <c r="G71" s="60">
        <v>52.38</v>
      </c>
      <c r="H71" s="60">
        <v>18.75</v>
      </c>
      <c r="I71" s="60">
        <v>4.87</v>
      </c>
      <c r="J71" s="60">
        <v>2.16</v>
      </c>
      <c r="K71" s="60">
        <v>65.83</v>
      </c>
      <c r="L71" s="9" t="s">
        <v>36</v>
      </c>
      <c r="M71" s="60">
        <v>55.09</v>
      </c>
      <c r="N71" s="60">
        <v>794.10</v>
      </c>
      <c r="O71" s="60">
        <v>0</v>
      </c>
      <c r="P71" s="60">
        <v>2.35</v>
      </c>
      <c r="Q71" s="60">
        <v>16.57</v>
      </c>
      <c r="R71" s="198"/>
      <c r="S71" s="198"/>
      <c r="T71" s="198"/>
      <c r="U71" s="198"/>
    </row>
    <row r="72" spans="1:21" s="12" customFormat="1" ht="15">
      <c r="A72" s="201" t="s">
        <v>2809</v>
      </c>
      <c r="B72" s="60">
        <v>1.03</v>
      </c>
      <c r="C72" s="60">
        <v>16.5</v>
      </c>
      <c r="D72" s="60">
        <v>17.54</v>
      </c>
      <c r="E72" s="60">
        <v>2.99</v>
      </c>
      <c r="F72" s="60">
        <v>2.06</v>
      </c>
      <c r="G72" s="60">
        <v>52.38</v>
      </c>
      <c r="H72" s="60">
        <v>18.75</v>
      </c>
      <c r="I72" s="60">
        <v>4.8600000000000003</v>
      </c>
      <c r="J72" s="60">
        <v>3.29</v>
      </c>
      <c r="K72" s="60">
        <v>16.39</v>
      </c>
      <c r="L72" s="9" t="s">
        <v>36</v>
      </c>
      <c r="M72" s="60">
        <v>51.79</v>
      </c>
      <c r="N72" s="60">
        <v>865</v>
      </c>
      <c r="O72" s="60">
        <v>0</v>
      </c>
      <c r="P72" s="60">
        <v>2.39</v>
      </c>
      <c r="Q72" s="60">
        <v>24.67</v>
      </c>
      <c r="R72" s="198"/>
      <c r="S72" s="198"/>
      <c r="T72" s="198"/>
      <c r="U72" s="198"/>
    </row>
    <row r="73" spans="1:21" s="12" customFormat="1" ht="15">
      <c r="A73" s="201" t="s">
        <v>2810</v>
      </c>
      <c r="B73" s="60">
        <v>1.44</v>
      </c>
      <c r="C73" s="60">
        <v>18.579999999999998</v>
      </c>
      <c r="D73" s="60">
        <v>20.02</v>
      </c>
      <c r="E73" s="60">
        <v>5.55</v>
      </c>
      <c r="F73" s="60">
        <v>2.27</v>
      </c>
      <c r="G73" s="60">
        <v>52.99</v>
      </c>
      <c r="H73" s="60">
        <v>17.98</v>
      </c>
      <c r="I73" s="60">
        <v>4.8899999999999997</v>
      </c>
      <c r="J73" s="60">
        <v>4.04</v>
      </c>
      <c r="K73" s="60">
        <v>356.72</v>
      </c>
      <c r="L73" s="9" t="s">
        <v>36</v>
      </c>
      <c r="M73" s="60">
        <v>49.35</v>
      </c>
      <c r="N73" s="60">
        <v>844.20</v>
      </c>
      <c r="O73" s="60">
        <v>0</v>
      </c>
      <c r="P73" s="60">
        <v>2.44</v>
      </c>
      <c r="Q73" s="60">
        <v>45</v>
      </c>
      <c r="R73" s="198"/>
      <c r="S73" s="198"/>
      <c r="T73" s="198"/>
      <c r="U73" s="198"/>
    </row>
    <row r="74" spans="1:21" s="12" customFormat="1" ht="15">
      <c r="A74" s="201" t="s">
        <v>2811</v>
      </c>
      <c r="B74" s="60">
        <v>1.56</v>
      </c>
      <c r="C74" s="60">
        <v>20.20</v>
      </c>
      <c r="D74" s="60">
        <v>21.76</v>
      </c>
      <c r="E74" s="60">
        <v>6.22</v>
      </c>
      <c r="F74" s="60">
        <v>2.44</v>
      </c>
      <c r="G74" s="60">
        <v>54.5</v>
      </c>
      <c r="H74" s="60">
        <v>16.09</v>
      </c>
      <c r="I74" s="60">
        <v>4.99</v>
      </c>
      <c r="J74" s="60">
        <v>3.19</v>
      </c>
      <c r="K74" s="60">
        <v>76.209999999999994</v>
      </c>
      <c r="L74" s="9" t="s">
        <v>36</v>
      </c>
      <c r="M74" s="60">
        <v>52.16</v>
      </c>
      <c r="N74" s="60">
        <v>814.70</v>
      </c>
      <c r="O74" s="60">
        <v>0</v>
      </c>
      <c r="P74" s="60">
        <v>2.48</v>
      </c>
      <c r="Q74" s="60">
        <v>59.40</v>
      </c>
      <c r="R74" s="198"/>
      <c r="S74" s="198"/>
      <c r="T74" s="198"/>
      <c r="U74" s="198"/>
    </row>
    <row r="75" spans="1:21" s="12" customFormat="1" ht="15">
      <c r="A75" s="201" t="s">
        <v>2812</v>
      </c>
      <c r="B75" s="60">
        <v>1.25</v>
      </c>
      <c r="C75" s="60">
        <v>20.43</v>
      </c>
      <c r="D75" s="60">
        <v>21.68</v>
      </c>
      <c r="E75" s="60">
        <v>6.23</v>
      </c>
      <c r="F75" s="60">
        <v>2.67</v>
      </c>
      <c r="G75" s="60">
        <v>54.5</v>
      </c>
      <c r="H75" s="60">
        <v>16.09</v>
      </c>
      <c r="I75" s="60">
        <v>5.0199999999999996</v>
      </c>
      <c r="J75" s="60">
        <v>2.70</v>
      </c>
      <c r="K75" s="60">
        <v>48.77</v>
      </c>
      <c r="L75" s="9" t="s">
        <v>36</v>
      </c>
      <c r="M75" s="60">
        <v>53.07</v>
      </c>
      <c r="N75" s="60">
        <v>554.79999999999995</v>
      </c>
      <c r="O75" s="60">
        <v>0</v>
      </c>
      <c r="P75" s="60">
        <v>2.4900000000000002</v>
      </c>
      <c r="Q75" s="60">
        <v>78.239999999999995</v>
      </c>
      <c r="R75" s="198"/>
      <c r="S75" s="198"/>
      <c r="T75" s="198"/>
      <c r="U75" s="198"/>
    </row>
    <row r="76" spans="1:21" s="12" customFormat="1" ht="15">
      <c r="A76" s="201" t="s">
        <v>2813</v>
      </c>
      <c r="B76" s="60">
        <v>1.31</v>
      </c>
      <c r="C76" s="60">
        <v>20.76</v>
      </c>
      <c r="D76" s="60">
        <v>22.08</v>
      </c>
      <c r="E76" s="60">
        <v>5.61</v>
      </c>
      <c r="F76" s="60">
        <v>2.5499999999999998</v>
      </c>
      <c r="G76" s="60">
        <v>54.5</v>
      </c>
      <c r="H76" s="60">
        <v>16.09</v>
      </c>
      <c r="I76" s="60">
        <v>4.99</v>
      </c>
      <c r="J76" s="60">
        <v>3.56</v>
      </c>
      <c r="K76" s="60">
        <v>81.680000000000007</v>
      </c>
      <c r="L76" s="9" t="s">
        <v>36</v>
      </c>
      <c r="M76" s="60">
        <v>54.10</v>
      </c>
      <c r="N76" s="60">
        <v>555.90</v>
      </c>
      <c r="O76" s="60">
        <v>0</v>
      </c>
      <c r="P76" s="60">
        <v>2.52</v>
      </c>
      <c r="Q76" s="60">
        <v>95.11</v>
      </c>
      <c r="R76" s="198"/>
      <c r="S76" s="198"/>
      <c r="T76" s="198"/>
      <c r="U76" s="198"/>
    </row>
    <row r="77" spans="1:21" s="12" customFormat="1" ht="15">
      <c r="A77" s="201" t="s">
        <v>2814</v>
      </c>
      <c r="B77" s="60">
        <v>1.23</v>
      </c>
      <c r="C77" s="60">
        <v>21.60</v>
      </c>
      <c r="D77" s="60">
        <v>22.83</v>
      </c>
      <c r="E77" s="60">
        <v>5.84</v>
      </c>
      <c r="F77" s="60">
        <v>2.4700000000000002</v>
      </c>
      <c r="G77" s="60">
        <v>53.08</v>
      </c>
      <c r="H77" s="60">
        <v>16.48</v>
      </c>
      <c r="I77" s="60">
        <v>4.8899999999999997</v>
      </c>
      <c r="J77" s="60">
        <v>2.54</v>
      </c>
      <c r="K77" s="60">
        <v>38.18</v>
      </c>
      <c r="L77" s="9" t="s">
        <v>36</v>
      </c>
      <c r="M77" s="60">
        <v>54.40</v>
      </c>
      <c r="N77" s="60">
        <v>572.5</v>
      </c>
      <c r="O77" s="60">
        <v>0</v>
      </c>
      <c r="P77" s="60">
        <v>2.54</v>
      </c>
      <c r="Q77" s="60">
        <v>102.17</v>
      </c>
      <c r="R77" s="198"/>
      <c r="S77" s="198"/>
      <c r="T77" s="198"/>
      <c r="U77" s="198"/>
    </row>
    <row r="78" spans="1:21" s="12" customFormat="1" ht="15">
      <c r="A78" s="201" t="s">
        <v>2815</v>
      </c>
      <c r="B78" s="60">
        <v>1.68</v>
      </c>
      <c r="C78" s="60">
        <v>22.86</v>
      </c>
      <c r="D78" s="60">
        <v>24.53</v>
      </c>
      <c r="E78" s="60">
        <v>5.60</v>
      </c>
      <c r="F78" s="60">
        <v>2.3199999999999998</v>
      </c>
      <c r="G78" s="60">
        <v>49.59</v>
      </c>
      <c r="H78" s="60">
        <v>17.440000000000001</v>
      </c>
      <c r="I78" s="60">
        <v>4.88</v>
      </c>
      <c r="J78" s="60">
        <v>2.88</v>
      </c>
      <c r="K78" s="60">
        <v>70.599999999999994</v>
      </c>
      <c r="L78" s="9" t="s">
        <v>36</v>
      </c>
      <c r="M78" s="60">
        <v>54.67</v>
      </c>
      <c r="N78" s="60">
        <v>580.60</v>
      </c>
      <c r="O78" s="60">
        <v>0</v>
      </c>
      <c r="P78" s="60">
        <v>2.60</v>
      </c>
      <c r="Q78" s="60">
        <v>102.39</v>
      </c>
      <c r="R78" s="198"/>
      <c r="S78" s="198"/>
      <c r="T78" s="198"/>
      <c r="U78" s="198"/>
    </row>
    <row r="79" spans="1:21" s="12" customFormat="1" ht="15">
      <c r="A79" s="201" t="s">
        <v>2816</v>
      </c>
      <c r="B79" s="60">
        <v>1.49</v>
      </c>
      <c r="C79" s="60">
        <v>23.45</v>
      </c>
      <c r="D79" s="60">
        <v>24.94</v>
      </c>
      <c r="E79" s="60">
        <v>5.53</v>
      </c>
      <c r="F79" s="60">
        <v>2.42</v>
      </c>
      <c r="G79" s="60">
        <v>49.59</v>
      </c>
      <c r="H79" s="60">
        <v>17.440000000000001</v>
      </c>
      <c r="I79" s="60">
        <v>4.92</v>
      </c>
      <c r="J79" s="60">
        <v>3.06</v>
      </c>
      <c r="K79" s="60">
        <v>98.70</v>
      </c>
      <c r="L79" s="9" t="s">
        <v>36</v>
      </c>
      <c r="M79" s="60">
        <v>57.20</v>
      </c>
      <c r="N79" s="60">
        <v>535</v>
      </c>
      <c r="O79" s="60">
        <v>0</v>
      </c>
      <c r="P79" s="60">
        <v>2.61</v>
      </c>
      <c r="Q79" s="60">
        <v>98.39</v>
      </c>
      <c r="R79" s="198"/>
      <c r="S79" s="198"/>
      <c r="T79" s="198"/>
      <c r="U79" s="198"/>
    </row>
    <row r="80" spans="1:21" s="12" customFormat="1" ht="15">
      <c r="A80" s="201" t="s">
        <v>2817</v>
      </c>
      <c r="B80" s="60">
        <v>0.93</v>
      </c>
      <c r="C80" s="60">
        <v>22.26</v>
      </c>
      <c r="D80" s="60">
        <v>23.20</v>
      </c>
      <c r="E80" s="60">
        <v>5.88</v>
      </c>
      <c r="F80" s="60">
        <v>2.35</v>
      </c>
      <c r="G80" s="60">
        <v>49.59</v>
      </c>
      <c r="H80" s="60">
        <v>17.440000000000001</v>
      </c>
      <c r="I80" s="60">
        <v>5.01</v>
      </c>
      <c r="J80" s="60">
        <v>3.29</v>
      </c>
      <c r="K80" s="60">
        <v>99.15</v>
      </c>
      <c r="L80" s="60">
        <v>45.40</v>
      </c>
      <c r="M80" s="60">
        <v>56.64</v>
      </c>
      <c r="N80" s="60">
        <v>443</v>
      </c>
      <c r="O80" s="60">
        <v>0</v>
      </c>
      <c r="P80" s="60">
        <v>2.62</v>
      </c>
      <c r="Q80" s="60">
        <v>86.28</v>
      </c>
      <c r="R80" s="198"/>
      <c r="S80" s="198"/>
      <c r="T80" s="198"/>
      <c r="U80" s="198"/>
    </row>
    <row r="81" spans="1:21" s="12" customFormat="1" ht="15">
      <c r="A81" s="201" t="s">
        <v>2818</v>
      </c>
      <c r="B81" s="60">
        <v>0.80</v>
      </c>
      <c r="C81" s="60">
        <v>20.98</v>
      </c>
      <c r="D81" s="60">
        <v>21.78</v>
      </c>
      <c r="E81" s="60">
        <v>5.49</v>
      </c>
      <c r="F81" s="60">
        <v>2.4300000000000002</v>
      </c>
      <c r="G81" s="60">
        <v>50.41</v>
      </c>
      <c r="H81" s="60">
        <v>16.45</v>
      </c>
      <c r="I81" s="60">
        <v>5</v>
      </c>
      <c r="J81" s="60">
        <v>1.84</v>
      </c>
      <c r="K81" s="60">
        <v>37.03</v>
      </c>
      <c r="L81" s="60">
        <v>45.78</v>
      </c>
      <c r="M81" s="60">
        <v>61.86</v>
      </c>
      <c r="N81" s="60">
        <v>372.80</v>
      </c>
      <c r="O81" s="60">
        <v>0</v>
      </c>
      <c r="P81" s="60">
        <v>2.63</v>
      </c>
      <c r="Q81" s="60">
        <v>78.73</v>
      </c>
      <c r="R81" s="198"/>
      <c r="S81" s="198"/>
      <c r="T81" s="198"/>
      <c r="U81" s="198"/>
    </row>
    <row r="82" spans="1:21" s="12" customFormat="1" ht="15">
      <c r="A82" s="201" t="s">
        <v>2819</v>
      </c>
      <c r="B82" s="60">
        <v>1.08</v>
      </c>
      <c r="C82" s="60">
        <v>20.81</v>
      </c>
      <c r="D82" s="60">
        <v>21.89</v>
      </c>
      <c r="E82" s="60">
        <v>5.16</v>
      </c>
      <c r="F82" s="60">
        <v>2.0099999999999998</v>
      </c>
      <c r="G82" s="60">
        <v>52.42</v>
      </c>
      <c r="H82" s="60">
        <v>14.01</v>
      </c>
      <c r="I82" s="60">
        <v>4.97</v>
      </c>
      <c r="J82" s="60">
        <v>3.64</v>
      </c>
      <c r="K82" s="60">
        <v>94.80</v>
      </c>
      <c r="L82" s="60">
        <v>43.95</v>
      </c>
      <c r="M82" s="60">
        <v>67.73</v>
      </c>
      <c r="N82" s="60">
        <v>378.30</v>
      </c>
      <c r="O82" s="60">
        <v>0</v>
      </c>
      <c r="P82" s="60">
        <v>2.66</v>
      </c>
      <c r="Q82" s="60">
        <v>64.63</v>
      </c>
      <c r="R82" s="198"/>
      <c r="S82" s="198"/>
      <c r="T82" s="198"/>
      <c r="U82" s="198"/>
    </row>
    <row r="83" spans="1:21" s="12" customFormat="1" ht="15">
      <c r="A83" s="201" t="s">
        <v>2820</v>
      </c>
      <c r="B83" s="60">
        <v>1.07</v>
      </c>
      <c r="C83" s="60">
        <v>19.09</v>
      </c>
      <c r="D83" s="60">
        <v>20.16</v>
      </c>
      <c r="E83" s="60">
        <v>5.78</v>
      </c>
      <c r="F83" s="60">
        <v>2.10</v>
      </c>
      <c r="G83" s="60">
        <v>52.42</v>
      </c>
      <c r="H83" s="60">
        <v>14.01</v>
      </c>
      <c r="I83" s="60">
        <v>4.96</v>
      </c>
      <c r="J83" s="60">
        <v>3.37</v>
      </c>
      <c r="K83" s="60">
        <v>79.78</v>
      </c>
      <c r="L83" s="60">
        <v>43.95</v>
      </c>
      <c r="M83" s="60">
        <v>74.349999999999994</v>
      </c>
      <c r="N83" s="60">
        <v>366.80</v>
      </c>
      <c r="O83" s="60">
        <v>0</v>
      </c>
      <c r="P83" s="60">
        <v>2.63</v>
      </c>
      <c r="Q83" s="60">
        <v>49.10</v>
      </c>
      <c r="R83" s="198"/>
      <c r="S83" s="198"/>
      <c r="T83" s="198"/>
      <c r="U83" s="198"/>
    </row>
    <row r="84" spans="1:21" s="12" customFormat="1" ht="15">
      <c r="A84" s="201" t="s">
        <v>2821</v>
      </c>
      <c r="B84" s="60">
        <v>1.1399999999999999</v>
      </c>
      <c r="C84" s="60">
        <v>18.670000000000002</v>
      </c>
      <c r="D84" s="60">
        <v>19.809999999999999</v>
      </c>
      <c r="E84" s="60">
        <v>5.68</v>
      </c>
      <c r="F84" s="60">
        <v>1.31</v>
      </c>
      <c r="G84" s="60">
        <v>52.42</v>
      </c>
      <c r="H84" s="60">
        <v>14.01</v>
      </c>
      <c r="I84" s="60">
        <v>5.07</v>
      </c>
      <c r="J84" s="60">
        <v>2.06</v>
      </c>
      <c r="K84" s="60">
        <v>332.56</v>
      </c>
      <c r="L84" s="60">
        <v>47</v>
      </c>
      <c r="M84" s="60">
        <v>76.010000000000005</v>
      </c>
      <c r="N84" s="60">
        <v>383.90</v>
      </c>
      <c r="O84" s="60">
        <v>0</v>
      </c>
      <c r="P84" s="60">
        <v>2.62</v>
      </c>
      <c r="Q84" s="60">
        <v>39.99</v>
      </c>
      <c r="R84" s="198"/>
      <c r="S84" s="198"/>
      <c r="T84" s="198"/>
      <c r="U84" s="198"/>
    </row>
    <row r="85" spans="1:21" s="12" customFormat="1" ht="15">
      <c r="A85" s="201" t="s">
        <v>2822</v>
      </c>
      <c r="B85" s="60">
        <v>1.54</v>
      </c>
      <c r="C85" s="60">
        <v>18.45</v>
      </c>
      <c r="D85" s="60">
        <v>19.989999999999998</v>
      </c>
      <c r="E85" s="60">
        <v>6.33</v>
      </c>
      <c r="F85" s="60">
        <v>1.33</v>
      </c>
      <c r="G85" s="60">
        <v>54.20</v>
      </c>
      <c r="H85" s="60">
        <v>17.600000000000001</v>
      </c>
      <c r="I85" s="60">
        <v>5.01</v>
      </c>
      <c r="J85" s="60">
        <v>1.23</v>
      </c>
      <c r="K85" s="60">
        <v>224.52</v>
      </c>
      <c r="L85" s="60">
        <v>45.62</v>
      </c>
      <c r="M85" s="60">
        <v>67.760000000000005</v>
      </c>
      <c r="N85" s="60">
        <v>387.5</v>
      </c>
      <c r="O85" s="60">
        <v>0</v>
      </c>
      <c r="P85" s="60">
        <v>2.66</v>
      </c>
      <c r="Q85" s="60">
        <v>33.67</v>
      </c>
      <c r="R85" s="198"/>
      <c r="S85" s="198"/>
      <c r="T85" s="198"/>
      <c r="U85" s="198"/>
    </row>
    <row r="86" spans="1:21" s="12" customFormat="1" ht="15">
      <c r="A86" s="201" t="s">
        <v>2823</v>
      </c>
      <c r="B86" s="60">
        <v>1.69</v>
      </c>
      <c r="C86" s="60">
        <v>18.88</v>
      </c>
      <c r="D86" s="60">
        <v>20.57</v>
      </c>
      <c r="E86" s="60">
        <v>6.15</v>
      </c>
      <c r="F86" s="60">
        <v>1.27</v>
      </c>
      <c r="G86" s="60">
        <v>58.58</v>
      </c>
      <c r="H86" s="60">
        <v>26.41</v>
      </c>
      <c r="I86" s="60">
        <v>5.16</v>
      </c>
      <c r="J86" s="60">
        <v>0.82</v>
      </c>
      <c r="K86" s="60">
        <v>230.17</v>
      </c>
      <c r="L86" s="60">
        <v>44.34</v>
      </c>
      <c r="M86" s="60">
        <v>65.709999999999994</v>
      </c>
      <c r="N86" s="60">
        <v>377.10</v>
      </c>
      <c r="O86" s="60">
        <v>0</v>
      </c>
      <c r="P86" s="60">
        <v>2.66</v>
      </c>
      <c r="Q86" s="60">
        <v>28.59</v>
      </c>
      <c r="R86" s="198"/>
      <c r="S86" s="198"/>
      <c r="T86" s="198"/>
      <c r="U86" s="198"/>
    </row>
    <row r="87" spans="1:21" s="12" customFormat="1" ht="15">
      <c r="A87" s="201" t="s">
        <v>2824</v>
      </c>
      <c r="B87" s="60">
        <v>1.84</v>
      </c>
      <c r="C87" s="60">
        <v>19.21</v>
      </c>
      <c r="D87" s="60">
        <v>21.04</v>
      </c>
      <c r="E87" s="60">
        <v>6.19</v>
      </c>
      <c r="F87" s="60">
        <v>1.1399999999999999</v>
      </c>
      <c r="G87" s="60">
        <v>58.58</v>
      </c>
      <c r="H87" s="60">
        <v>26.41</v>
      </c>
      <c r="I87" s="60">
        <v>5.31</v>
      </c>
      <c r="J87" s="60">
        <v>0.75</v>
      </c>
      <c r="K87" s="60">
        <v>289.89999999999998</v>
      </c>
      <c r="L87" s="60">
        <v>44.38</v>
      </c>
      <c r="M87" s="60">
        <v>69.69</v>
      </c>
      <c r="N87" s="60">
        <v>394.30</v>
      </c>
      <c r="O87" s="60">
        <v>0</v>
      </c>
      <c r="P87" s="60">
        <v>2.69</v>
      </c>
      <c r="Q87" s="60">
        <v>24.28</v>
      </c>
      <c r="R87" s="198"/>
      <c r="S87" s="198"/>
      <c r="T87" s="198"/>
      <c r="U87" s="198"/>
    </row>
    <row r="88" spans="1:21" s="12" customFormat="1" ht="15">
      <c r="A88" s="201" t="s">
        <v>2825</v>
      </c>
      <c r="B88" s="60">
        <v>2.94</v>
      </c>
      <c r="C88" s="60">
        <v>20</v>
      </c>
      <c r="D88" s="60">
        <v>22.94</v>
      </c>
      <c r="E88" s="60">
        <v>3.71</v>
      </c>
      <c r="F88" s="60">
        <v>0.94</v>
      </c>
      <c r="G88" s="60">
        <v>58.58</v>
      </c>
      <c r="H88" s="60">
        <v>26.41</v>
      </c>
      <c r="I88" s="60">
        <v>5.45</v>
      </c>
      <c r="J88" s="60">
        <v>0.21</v>
      </c>
      <c r="K88" s="60">
        <v>233.78</v>
      </c>
      <c r="L88" s="60">
        <v>48.04</v>
      </c>
      <c r="M88" s="60">
        <v>70.63</v>
      </c>
      <c r="N88" s="60">
        <v>380.80</v>
      </c>
      <c r="O88" s="60">
        <v>0</v>
      </c>
      <c r="P88" s="60">
        <v>2.75</v>
      </c>
      <c r="Q88" s="60">
        <v>22.30</v>
      </c>
      <c r="R88" s="198"/>
      <c r="S88" s="198"/>
      <c r="T88" s="198"/>
      <c r="U88" s="198"/>
    </row>
    <row r="89" spans="1:21" s="12" customFormat="1" ht="15">
      <c r="A89" s="201" t="s">
        <v>2826</v>
      </c>
      <c r="B89" s="60">
        <v>3.92</v>
      </c>
      <c r="C89" s="60">
        <v>21.32</v>
      </c>
      <c r="D89" s="60">
        <v>25.23</v>
      </c>
      <c r="E89" s="60">
        <v>6.72</v>
      </c>
      <c r="F89" s="60">
        <v>0.51</v>
      </c>
      <c r="G89" s="60">
        <v>59.62</v>
      </c>
      <c r="H89" s="60">
        <v>24.06</v>
      </c>
      <c r="I89" s="60">
        <v>5.68</v>
      </c>
      <c r="J89" s="60">
        <v>1.91</v>
      </c>
      <c r="K89" s="60">
        <v>79.09</v>
      </c>
      <c r="L89" s="60">
        <v>47.5</v>
      </c>
      <c r="M89" s="60">
        <v>70.16</v>
      </c>
      <c r="N89" s="60">
        <v>378.5</v>
      </c>
      <c r="O89" s="60">
        <v>0</v>
      </c>
      <c r="P89" s="60">
        <v>2.80</v>
      </c>
      <c r="Q89" s="60">
        <v>20.36</v>
      </c>
      <c r="R89" s="198"/>
      <c r="S89" s="198"/>
      <c r="T89" s="198"/>
      <c r="U89" s="198"/>
    </row>
    <row r="90" spans="1:21" s="12" customFormat="1" ht="15">
      <c r="A90" s="201" t="s">
        <v>2827</v>
      </c>
      <c r="B90" s="60">
        <v>4.0999999999999996</v>
      </c>
      <c r="C90" s="60">
        <v>23.63</v>
      </c>
      <c r="D90" s="60">
        <v>27.72</v>
      </c>
      <c r="E90" s="60">
        <v>6.75</v>
      </c>
      <c r="F90" s="60">
        <v>0.70</v>
      </c>
      <c r="G90" s="60">
        <v>62.19</v>
      </c>
      <c r="H90" s="60">
        <v>18.260000000000002</v>
      </c>
      <c r="I90" s="60">
        <v>5.91</v>
      </c>
      <c r="J90" s="60">
        <v>2.79</v>
      </c>
      <c r="K90" s="60">
        <v>84.06</v>
      </c>
      <c r="L90" s="60">
        <v>49.01</v>
      </c>
      <c r="M90" s="60">
        <v>70.34</v>
      </c>
      <c r="N90" s="60">
        <v>359.20</v>
      </c>
      <c r="O90" s="60">
        <v>0</v>
      </c>
      <c r="P90" s="60">
        <v>2.85</v>
      </c>
      <c r="Q90" s="60">
        <v>22.03</v>
      </c>
      <c r="R90" s="198"/>
      <c r="S90" s="198"/>
      <c r="T90" s="198"/>
      <c r="U90" s="198"/>
    </row>
    <row r="91" spans="1:21" s="12" customFormat="1" ht="15">
      <c r="A91" s="201" t="s">
        <v>2828</v>
      </c>
      <c r="B91" s="60">
        <v>3.56</v>
      </c>
      <c r="C91" s="60">
        <v>24.88</v>
      </c>
      <c r="D91" s="60">
        <v>28.43</v>
      </c>
      <c r="E91" s="60">
        <v>6.98</v>
      </c>
      <c r="F91" s="60">
        <v>0.62</v>
      </c>
      <c r="G91" s="60">
        <v>62.19</v>
      </c>
      <c r="H91" s="60">
        <v>18.260000000000002</v>
      </c>
      <c r="I91" s="60">
        <v>6.13</v>
      </c>
      <c r="J91" s="60">
        <v>0.76</v>
      </c>
      <c r="K91" s="60">
        <v>104.97</v>
      </c>
      <c r="L91" s="60">
        <v>41.93</v>
      </c>
      <c r="M91" s="60">
        <v>69.319999999999993</v>
      </c>
      <c r="N91" s="60">
        <v>347.70</v>
      </c>
      <c r="O91" s="60">
        <v>0</v>
      </c>
      <c r="P91" s="60">
        <v>2.89</v>
      </c>
      <c r="Q91" s="60">
        <v>24.84</v>
      </c>
      <c r="R91" s="198"/>
      <c r="S91" s="198"/>
      <c r="T91" s="198"/>
      <c r="U91" s="198"/>
    </row>
    <row r="92" spans="1:21" s="12" customFormat="1" ht="15">
      <c r="A92" s="201" t="s">
        <v>2829</v>
      </c>
      <c r="B92" s="60">
        <v>3.37</v>
      </c>
      <c r="C92" s="60">
        <v>26.09</v>
      </c>
      <c r="D92" s="60">
        <v>29.45</v>
      </c>
      <c r="E92" s="60">
        <v>6.43</v>
      </c>
      <c r="F92" s="60">
        <v>0.88</v>
      </c>
      <c r="G92" s="60">
        <v>62.19</v>
      </c>
      <c r="H92" s="60">
        <v>18.260000000000002</v>
      </c>
      <c r="I92" s="60">
        <v>6.23</v>
      </c>
      <c r="J92" s="60">
        <v>1.32</v>
      </c>
      <c r="K92" s="60">
        <v>3.84</v>
      </c>
      <c r="L92" s="9" t="s">
        <v>36</v>
      </c>
      <c r="M92" s="60">
        <v>79.19</v>
      </c>
      <c r="N92" s="60">
        <v>367.70</v>
      </c>
      <c r="O92" s="60">
        <v>0</v>
      </c>
      <c r="P92" s="60">
        <v>2.94</v>
      </c>
      <c r="Q92" s="60">
        <v>25.39</v>
      </c>
      <c r="R92" s="198"/>
      <c r="S92" s="198"/>
      <c r="T92" s="198"/>
      <c r="U92" s="198"/>
    </row>
    <row r="93" spans="1:21" s="12" customFormat="1" ht="15">
      <c r="A93" s="201" t="s">
        <v>2830</v>
      </c>
      <c r="B93" s="60">
        <v>2.60</v>
      </c>
      <c r="C93" s="60">
        <v>25.75</v>
      </c>
      <c r="D93" s="60">
        <v>28.35</v>
      </c>
      <c r="E93" s="60">
        <v>6.19</v>
      </c>
      <c r="F93" s="60">
        <v>1.38</v>
      </c>
      <c r="G93" s="60">
        <v>61.44</v>
      </c>
      <c r="H93" s="60">
        <v>18.489999999999998</v>
      </c>
      <c r="I93" s="60">
        <v>6.31</v>
      </c>
      <c r="J93" s="60">
        <v>1.44</v>
      </c>
      <c r="K93" s="60">
        <v>17.690000000000001</v>
      </c>
      <c r="L93" s="60">
        <v>49.97</v>
      </c>
      <c r="M93" s="60">
        <v>86.53</v>
      </c>
      <c r="N93" s="60">
        <v>378.5</v>
      </c>
      <c r="O93" s="60">
        <v>0</v>
      </c>
      <c r="P93" s="60">
        <v>2.89</v>
      </c>
      <c r="Q93" s="60">
        <v>24.14</v>
      </c>
      <c r="R93" s="198"/>
      <c r="S93" s="198"/>
      <c r="T93" s="198"/>
      <c r="U93" s="198"/>
    </row>
    <row r="94" spans="1:21" s="12" customFormat="1" ht="15">
      <c r="A94" s="201" t="s">
        <v>2831</v>
      </c>
      <c r="B94" s="60">
        <v>2.33</v>
      </c>
      <c r="C94" s="60">
        <v>24.86</v>
      </c>
      <c r="D94" s="60">
        <v>27.19</v>
      </c>
      <c r="E94" s="60">
        <v>5.78</v>
      </c>
      <c r="F94" s="60">
        <v>1.20</v>
      </c>
      <c r="G94" s="60">
        <v>59.59</v>
      </c>
      <c r="H94" s="60">
        <v>19.05</v>
      </c>
      <c r="I94" s="60">
        <v>6.37</v>
      </c>
      <c r="J94" s="60">
        <v>1.79</v>
      </c>
      <c r="K94" s="60">
        <v>340.11</v>
      </c>
      <c r="L94" s="9" t="s">
        <v>36</v>
      </c>
      <c r="M94" s="60">
        <v>85.92</v>
      </c>
      <c r="N94" s="60">
        <v>363.40</v>
      </c>
      <c r="O94" s="60">
        <v>0</v>
      </c>
      <c r="P94" s="60">
        <v>2.87</v>
      </c>
      <c r="Q94" s="60">
        <v>22.92</v>
      </c>
      <c r="R94" s="198"/>
      <c r="S94" s="198"/>
      <c r="T94" s="198"/>
      <c r="U94" s="198"/>
    </row>
    <row r="95" spans="1:21" s="12" customFormat="1" ht="15">
      <c r="A95" s="201" t="s">
        <v>2832</v>
      </c>
      <c r="B95" s="60">
        <v>2.68</v>
      </c>
      <c r="C95" s="60">
        <v>23.66</v>
      </c>
      <c r="D95" s="60">
        <v>26.35</v>
      </c>
      <c r="E95" s="60">
        <v>5.76</v>
      </c>
      <c r="F95" s="60">
        <v>1.23</v>
      </c>
      <c r="G95" s="60">
        <v>59.59</v>
      </c>
      <c r="H95" s="60">
        <v>19.05</v>
      </c>
      <c r="I95" s="60">
        <v>6.01</v>
      </c>
      <c r="J95" s="60">
        <v>0.94</v>
      </c>
      <c r="K95" s="60">
        <v>305.11</v>
      </c>
      <c r="L95" s="9" t="s">
        <v>36</v>
      </c>
      <c r="M95" s="60">
        <v>86.56</v>
      </c>
      <c r="N95" s="60">
        <v>285.89999999999998</v>
      </c>
      <c r="O95" s="60">
        <v>0</v>
      </c>
      <c r="P95" s="60">
        <v>2.85</v>
      </c>
      <c r="Q95" s="60">
        <v>22.25</v>
      </c>
      <c r="R95" s="198"/>
      <c r="S95" s="198"/>
      <c r="T95" s="198"/>
      <c r="U95" s="198"/>
    </row>
    <row r="96" spans="1:26" s="12" customFormat="1" ht="15">
      <c r="A96" s="201" t="s">
        <v>2833</v>
      </c>
      <c r="B96" s="60">
        <v>2.37</v>
      </c>
      <c r="C96" s="60">
        <v>22.58</v>
      </c>
      <c r="D96" s="60">
        <v>24.95</v>
      </c>
      <c r="E96" s="60">
        <v>5.75</v>
      </c>
      <c r="F96" s="60">
        <v>1.34</v>
      </c>
      <c r="G96" s="60">
        <v>59.59</v>
      </c>
      <c r="H96" s="60">
        <v>19.05</v>
      </c>
      <c r="I96" s="60">
        <v>5.72</v>
      </c>
      <c r="J96" s="60">
        <v>1.90</v>
      </c>
      <c r="K96" s="60">
        <v>204.36</v>
      </c>
      <c r="L96" s="9" t="s">
        <v>36</v>
      </c>
      <c r="M96" s="60">
        <v>87.45</v>
      </c>
      <c r="N96" s="60">
        <v>273.20</v>
      </c>
      <c r="O96" s="60">
        <v>0</v>
      </c>
      <c r="P96" s="60">
        <v>2.83</v>
      </c>
      <c r="Q96" s="60">
        <v>21.27</v>
      </c>
      <c r="R96" s="198"/>
      <c r="S96" s="198"/>
      <c r="T96" s="198"/>
      <c r="U96" s="198"/>
      <c r="Z96" s="109"/>
    </row>
    <row r="97" spans="1:21" s="12" customFormat="1" ht="15">
      <c r="A97" s="201" t="s">
        <v>2834</v>
      </c>
      <c r="B97" s="60">
        <v>1.57</v>
      </c>
      <c r="C97" s="60">
        <v>20.89</v>
      </c>
      <c r="D97" s="60">
        <v>22.46</v>
      </c>
      <c r="E97" s="60">
        <v>5.5</v>
      </c>
      <c r="F97" s="60">
        <v>1</v>
      </c>
      <c r="G97" s="60">
        <v>57.38</v>
      </c>
      <c r="H97" s="60">
        <v>18.13</v>
      </c>
      <c r="I97" s="60">
        <v>5.55</v>
      </c>
      <c r="J97" s="60">
        <v>1.79</v>
      </c>
      <c r="K97" s="60">
        <v>201.59</v>
      </c>
      <c r="L97" s="9" t="s">
        <v>36</v>
      </c>
      <c r="M97" s="60">
        <v>87.31</v>
      </c>
      <c r="N97" s="60">
        <v>359.5</v>
      </c>
      <c r="O97" s="60">
        <v>0</v>
      </c>
      <c r="P97" s="60">
        <v>2.81</v>
      </c>
      <c r="Q97" s="60">
        <v>20.079999999999998</v>
      </c>
      <c r="R97" s="198"/>
      <c r="S97" s="198"/>
      <c r="T97" s="198"/>
      <c r="U97" s="198"/>
    </row>
    <row r="98" spans="1:21" s="12" customFormat="1" ht="15">
      <c r="A98" s="201" t="s">
        <v>2835</v>
      </c>
      <c r="B98" s="60">
        <v>1.26</v>
      </c>
      <c r="C98" s="60">
        <v>19.559999999999999</v>
      </c>
      <c r="D98" s="60">
        <v>20.82</v>
      </c>
      <c r="E98" s="60">
        <v>5.83</v>
      </c>
      <c r="F98" s="60">
        <v>1.07</v>
      </c>
      <c r="G98" s="60">
        <v>51.92</v>
      </c>
      <c r="H98" s="60">
        <v>15.86</v>
      </c>
      <c r="I98" s="60">
        <v>5.33</v>
      </c>
      <c r="J98" s="60">
        <v>1.56</v>
      </c>
      <c r="K98" s="60">
        <v>12.94</v>
      </c>
      <c r="L98" s="9" t="s">
        <v>36</v>
      </c>
      <c r="M98" s="60">
        <v>86.21</v>
      </c>
      <c r="N98" s="60">
        <v>341.60</v>
      </c>
      <c r="O98" s="60">
        <v>0</v>
      </c>
      <c r="P98" s="60">
        <v>2.77</v>
      </c>
      <c r="Q98" s="60">
        <v>19.03</v>
      </c>
      <c r="R98" s="198"/>
      <c r="S98" s="198"/>
      <c r="T98" s="198"/>
      <c r="U98" s="198"/>
    </row>
    <row r="99" spans="1:21" s="12" customFormat="1" ht="15">
      <c r="A99" s="201" t="s">
        <v>2836</v>
      </c>
      <c r="B99" s="60">
        <v>1.21</v>
      </c>
      <c r="C99" s="60">
        <v>18.649999999999999</v>
      </c>
      <c r="D99" s="60">
        <v>19.86</v>
      </c>
      <c r="E99" s="60">
        <v>5.43</v>
      </c>
      <c r="F99" s="60">
        <v>1.17</v>
      </c>
      <c r="G99" s="60">
        <v>51.92</v>
      </c>
      <c r="H99" s="60">
        <v>15.86</v>
      </c>
      <c r="I99" s="60">
        <v>5.15</v>
      </c>
      <c r="J99" s="60">
        <v>0.56999999999999995</v>
      </c>
      <c r="K99" s="60">
        <v>53.61</v>
      </c>
      <c r="L99" s="9" t="s">
        <v>36</v>
      </c>
      <c r="M99" s="60">
        <v>86.08</v>
      </c>
      <c r="N99" s="60">
        <v>369</v>
      </c>
      <c r="O99" s="60">
        <v>0</v>
      </c>
      <c r="P99" s="60">
        <v>2.77</v>
      </c>
      <c r="Q99" s="60">
        <v>18.43</v>
      </c>
      <c r="R99" s="198"/>
      <c r="S99" s="198"/>
      <c r="T99" s="198"/>
      <c r="U99" s="198"/>
    </row>
    <row r="100" spans="1:33" s="12" customFormat="1" ht="15">
      <c r="A100" s="201" t="s">
        <v>2837</v>
      </c>
      <c r="B100" s="60">
        <v>1.31</v>
      </c>
      <c r="C100" s="60">
        <v>18.54</v>
      </c>
      <c r="D100" s="60">
        <v>19.84</v>
      </c>
      <c r="E100" s="60">
        <v>5.57</v>
      </c>
      <c r="F100" s="60">
        <v>1.25</v>
      </c>
      <c r="G100" s="60">
        <v>51.92</v>
      </c>
      <c r="H100" s="60">
        <v>15.86</v>
      </c>
      <c r="I100" s="60">
        <v>4.91</v>
      </c>
      <c r="J100" s="60">
        <v>0.88</v>
      </c>
      <c r="K100" s="60">
        <v>201.78</v>
      </c>
      <c r="L100" s="9" t="s">
        <v>36</v>
      </c>
      <c r="M100" s="60">
        <v>86.26</v>
      </c>
      <c r="N100" s="60">
        <v>392.10</v>
      </c>
      <c r="O100" s="60">
        <v>0</v>
      </c>
      <c r="P100" s="60">
        <v>2.74</v>
      </c>
      <c r="Q100" s="60">
        <v>17.54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2838</v>
      </c>
      <c r="B101" s="60">
        <v>1.36</v>
      </c>
      <c r="C101" s="60">
        <v>17.77</v>
      </c>
      <c r="D101" s="60">
        <v>19.13</v>
      </c>
      <c r="E101" s="60">
        <v>5.31</v>
      </c>
      <c r="F101" s="60">
        <v>0.90</v>
      </c>
      <c r="G101" s="60">
        <v>50.88</v>
      </c>
      <c r="H101" s="60">
        <v>15.59</v>
      </c>
      <c r="I101" s="60">
        <v>4.78</v>
      </c>
      <c r="J101" s="60">
        <v>1.28</v>
      </c>
      <c r="K101" s="60">
        <v>215.94</v>
      </c>
      <c r="L101" s="9" t="s">
        <v>36</v>
      </c>
      <c r="M101" s="60">
        <v>86.67</v>
      </c>
      <c r="N101" s="60">
        <v>390.60</v>
      </c>
      <c r="O101" s="60">
        <v>0</v>
      </c>
      <c r="P101" s="60">
        <v>2.71</v>
      </c>
      <c r="Q101" s="60">
        <v>14.69</v>
      </c>
      <c r="R101" s="198"/>
      <c r="S101" s="198"/>
      <c r="T101" s="198"/>
      <c r="U101" s="198"/>
    </row>
    <row r="102" spans="1:21" s="12" customFormat="1" ht="15">
      <c r="A102" s="201" t="s">
        <v>2839</v>
      </c>
      <c r="B102" s="60">
        <v>1.34</v>
      </c>
      <c r="C102" s="60">
        <v>16.68</v>
      </c>
      <c r="D102" s="60">
        <v>18.03</v>
      </c>
      <c r="E102" s="60">
        <v>6.07</v>
      </c>
      <c r="F102" s="60">
        <v>0.87</v>
      </c>
      <c r="G102" s="60">
        <v>48.32</v>
      </c>
      <c r="H102" s="60">
        <v>14.91</v>
      </c>
      <c r="I102" s="60">
        <v>4.70</v>
      </c>
      <c r="J102" s="60">
        <v>1.83</v>
      </c>
      <c r="K102" s="60">
        <v>222.12</v>
      </c>
      <c r="L102" s="9" t="s">
        <v>36</v>
      </c>
      <c r="M102" s="60">
        <v>85.51</v>
      </c>
      <c r="N102" s="60">
        <v>400.70</v>
      </c>
      <c r="O102" s="60">
        <v>0</v>
      </c>
      <c r="P102" s="60">
        <v>2.67</v>
      </c>
      <c r="Q102" s="60">
        <v>12.70</v>
      </c>
      <c r="R102" s="198"/>
      <c r="S102" s="198"/>
      <c r="T102" s="198"/>
      <c r="U102" s="198"/>
    </row>
    <row r="103" spans="1:21" s="12" customFormat="1" ht="15">
      <c r="A103" s="201" t="s">
        <v>2840</v>
      </c>
      <c r="B103" s="60">
        <v>1.36</v>
      </c>
      <c r="C103" s="60">
        <v>15.74</v>
      </c>
      <c r="D103" s="60">
        <v>17.09</v>
      </c>
      <c r="E103" s="60">
        <v>6.21</v>
      </c>
      <c r="F103" s="60">
        <v>0.95</v>
      </c>
      <c r="G103" s="60">
        <v>48.32</v>
      </c>
      <c r="H103" s="60">
        <v>14.91</v>
      </c>
      <c r="I103" s="60">
        <v>4.6399999999999997</v>
      </c>
      <c r="J103" s="60">
        <v>0.26</v>
      </c>
      <c r="K103" s="60">
        <v>239.07</v>
      </c>
      <c r="L103" s="9" t="s">
        <v>36</v>
      </c>
      <c r="M103" s="60">
        <v>84.21</v>
      </c>
      <c r="N103" s="60">
        <v>361.60</v>
      </c>
      <c r="O103" s="60">
        <v>0</v>
      </c>
      <c r="P103" s="60">
        <v>2.64</v>
      </c>
      <c r="Q103" s="60">
        <v>11.35</v>
      </c>
      <c r="R103" s="198"/>
      <c r="S103" s="198"/>
      <c r="T103" s="198"/>
      <c r="U103" s="198"/>
    </row>
    <row r="104" spans="1:21" s="12" customFormat="1" ht="15">
      <c r="A104" s="201" t="s">
        <v>2841</v>
      </c>
      <c r="B104" s="60">
        <v>1.56</v>
      </c>
      <c r="C104" s="60">
        <v>15.22</v>
      </c>
      <c r="D104" s="60">
        <v>16.77</v>
      </c>
      <c r="E104" s="60">
        <v>2.62</v>
      </c>
      <c r="F104" s="60">
        <v>0.72</v>
      </c>
      <c r="G104" s="60">
        <v>48.32</v>
      </c>
      <c r="H104" s="60">
        <v>14.91</v>
      </c>
      <c r="I104" s="60">
        <v>4.6100000000000003</v>
      </c>
      <c r="J104" s="60">
        <v>1.21</v>
      </c>
      <c r="K104" s="60">
        <v>336</v>
      </c>
      <c r="L104" s="9" t="s">
        <v>36</v>
      </c>
      <c r="M104" s="60">
        <v>85.02</v>
      </c>
      <c r="N104" s="60">
        <v>368.30</v>
      </c>
      <c r="O104" s="60">
        <v>0</v>
      </c>
      <c r="P104" s="60">
        <v>2.61</v>
      </c>
      <c r="Q104" s="60">
        <v>10.58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0.51000000000000001</v>
      </c>
      <c r="C106" s="67">
        <f>MIN(C9:C104)</f>
        <v>10.34</v>
      </c>
      <c r="D106" s="67">
        <f t="shared" si="0" ref="D106:Q106">MIN(D9:D104)</f>
        <v>11.93</v>
      </c>
      <c r="E106" s="67">
        <f t="shared" si="0"/>
        <v>2.3300000000000001</v>
      </c>
      <c r="F106" s="67">
        <f t="shared" si="0"/>
        <v>0.40999999999999998</v>
      </c>
      <c r="G106" s="67">
        <f t="shared" si="0"/>
        <v>33.140000000000001</v>
      </c>
      <c r="H106" s="67">
        <f t="shared" si="0"/>
        <v>9.9399999999999995</v>
      </c>
      <c r="I106" s="67">
        <f t="shared" si="0"/>
        <v>3.6600000000000001</v>
      </c>
      <c r="J106" s="67">
        <f t="shared" si="0"/>
        <v>0.20999999999999999</v>
      </c>
      <c r="K106" s="67">
        <f t="shared" si="0"/>
        <v>3.8399999999999999</v>
      </c>
      <c r="L106" s="67">
        <f t="shared" si="0"/>
        <v>39.380000000000003</v>
      </c>
      <c r="M106" s="67">
        <f t="shared" si="0"/>
        <v>47.909999999999997</v>
      </c>
      <c r="N106" s="67">
        <f t="shared" si="0"/>
        <v>273.19999999999999</v>
      </c>
      <c r="O106" s="67">
        <f t="shared" si="0"/>
        <v>0</v>
      </c>
      <c r="P106" s="67">
        <f t="shared" si="0"/>
        <v>2.1699999999999999</v>
      </c>
      <c r="Q106" s="67">
        <f t="shared" si="0"/>
        <v>7.9400000000000004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5.1399999999999997</v>
      </c>
      <c r="C107" s="66">
        <f t="shared" si="1" ref="C107:Q107">MAX(C9:C104)</f>
        <v>26.09</v>
      </c>
      <c r="D107" s="66">
        <f t="shared" si="1"/>
        <v>29.449999999999999</v>
      </c>
      <c r="E107" s="66">
        <f t="shared" si="1"/>
        <v>7.6699999999999999</v>
      </c>
      <c r="F107" s="66">
        <f t="shared" si="1"/>
        <v>2.96</v>
      </c>
      <c r="G107" s="66">
        <f t="shared" si="1"/>
        <v>62.189999999999998</v>
      </c>
      <c r="H107" s="66">
        <f t="shared" si="1"/>
        <v>26.41</v>
      </c>
      <c r="I107" s="66">
        <f t="shared" si="1"/>
        <v>6.3700000000000001</v>
      </c>
      <c r="J107" s="66">
        <f t="shared" si="1"/>
        <v>4.04</v>
      </c>
      <c r="K107" s="66">
        <f t="shared" si="1"/>
        <v>358.89999999999998</v>
      </c>
      <c r="L107" s="66">
        <f t="shared" si="1"/>
        <v>50.82</v>
      </c>
      <c r="M107" s="66">
        <f t="shared" si="1"/>
        <v>92.700000000000003</v>
      </c>
      <c r="N107" s="66">
        <f t="shared" si="1"/>
        <v>1335.5999999999999</v>
      </c>
      <c r="O107" s="66">
        <f t="shared" si="1"/>
        <v>0</v>
      </c>
      <c r="P107" s="66">
        <f t="shared" si="1"/>
        <v>2.9399999999999999</v>
      </c>
      <c r="Q107" s="66">
        <f t="shared" si="1"/>
        <v>102.39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1.9441666666666677</v>
      </c>
      <c r="C108" s="67">
        <f t="shared" si="2" ref="C108:Q108">AVERAGE(C9:C104)</f>
        <v>16.86010416666667</v>
      </c>
      <c r="D108" s="67">
        <f t="shared" si="2"/>
        <v>18.803437500000001</v>
      </c>
      <c r="E108" s="67">
        <f t="shared" si="2"/>
        <v>5.79</v>
      </c>
      <c r="F108" s="67">
        <f t="shared" si="2"/>
        <v>1.3316666666666668</v>
      </c>
      <c r="G108" s="67">
        <f t="shared" si="2"/>
        <v>47.573437500000004</v>
      </c>
      <c r="H108" s="67">
        <f t="shared" si="2"/>
        <v>16.746979166666659</v>
      </c>
      <c r="I108" s="67">
        <f t="shared" si="2"/>
        <v>4.6253125000000006</v>
      </c>
      <c r="J108" s="67">
        <f t="shared" si="2"/>
        <v>2.0862499999999993</v>
      </c>
      <c r="K108" s="67">
        <f t="shared" si="2"/>
        <v>170.6387500000001</v>
      </c>
      <c r="L108" s="67">
        <f t="shared" si="2"/>
        <v>45.818846153846152</v>
      </c>
      <c r="M108" s="67">
        <f t="shared" si="2"/>
        <v>73.096770833333352</v>
      </c>
      <c r="N108" s="67">
        <f t="shared" si="2"/>
        <v>609.15312499999982</v>
      </c>
      <c r="O108" s="67">
        <f t="shared" si="2"/>
        <v>0</v>
      </c>
      <c r="P108" s="67">
        <f t="shared" si="2"/>
        <v>2.4280208333333335</v>
      </c>
      <c r="Q108" s="67">
        <f t="shared" si="2"/>
        <v>21.380937499999998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1.1378934060397616</v>
      </c>
      <c r="C109" s="67">
        <f t="shared" si="3" ref="C109:Q109">STDEV(C9:C104)</f>
        <v>4.2359798455838726</v>
      </c>
      <c r="D109" s="67">
        <f t="shared" si="3"/>
        <v>4.7784454261600038</v>
      </c>
      <c r="E109" s="67">
        <f t="shared" si="3"/>
        <v>0.97749088029127829</v>
      </c>
      <c r="F109" s="67">
        <f t="shared" si="3"/>
        <v>0.68787034682059633</v>
      </c>
      <c r="G109" s="67">
        <f t="shared" si="3"/>
        <v>8.7218879931167095</v>
      </c>
      <c r="H109" s="67">
        <f t="shared" si="3"/>
        <v>3.4676572160440888</v>
      </c>
      <c r="I109" s="67">
        <f t="shared" si="3"/>
        <v>0.62821879045775242</v>
      </c>
      <c r="J109" s="67">
        <f t="shared" si="3"/>
        <v>0.91206099749846681</v>
      </c>
      <c r="K109" s="67">
        <f t="shared" si="3"/>
        <v>94.26582749973872</v>
      </c>
      <c r="L109" s="67">
        <f t="shared" si="3"/>
        <v>2.3602987961781063</v>
      </c>
      <c r="M109" s="67">
        <f t="shared" si="3"/>
        <v>14.873585239738633</v>
      </c>
      <c r="N109" s="67">
        <f t="shared" si="3"/>
        <v>265.53507963440148</v>
      </c>
      <c r="O109" s="67">
        <f t="shared" si="3"/>
        <v>0</v>
      </c>
      <c r="P109" s="67">
        <f t="shared" si="3"/>
        <v>0.21925529360070142</v>
      </c>
      <c r="Q109" s="67">
        <f t="shared" si="3"/>
        <v>22.365789057497469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</f>
        <v>105</v>
      </c>
      <c r="I110" s="66">
        <f>COUNT(I9:I104)+7</f>
        <v>103</v>
      </c>
      <c r="J110" s="66">
        <f>COUNT(J9:J104)+7</f>
        <v>103</v>
      </c>
      <c r="K110" s="66">
        <f t="shared" si="4"/>
        <v>96</v>
      </c>
      <c r="L110" s="66">
        <f t="shared" si="4"/>
        <v>52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242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1a92b1-9442-4677-b830-791b51635a89}">
  <sheetPr codeName=""/>
  <dimension ref="A1:AG117"/>
  <sheetViews>
    <sheetView workbookViewId="0" topLeftCell="A1">
      <pane xSplit="1" ySplit="8" topLeftCell="B6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28-06-2022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ht="15">
      <c r="A9" s="201" t="s">
        <v>2842</v>
      </c>
      <c r="B9" s="60">
        <v>1.74</v>
      </c>
      <c r="C9" s="60">
        <v>14.76</v>
      </c>
      <c r="D9" s="60">
        <v>16.5</v>
      </c>
      <c r="E9" s="60">
        <v>5.41</v>
      </c>
      <c r="F9" s="60">
        <v>0.64</v>
      </c>
      <c r="G9" s="60">
        <v>45.45</v>
      </c>
      <c r="H9" s="60">
        <v>13.87</v>
      </c>
      <c r="I9" s="60">
        <v>4.55</v>
      </c>
      <c r="J9" s="60">
        <v>1.0900000000000001</v>
      </c>
      <c r="K9" s="60">
        <v>25.01</v>
      </c>
      <c r="L9" s="60">
        <v>55.72</v>
      </c>
      <c r="M9" s="60">
        <v>85.72</v>
      </c>
      <c r="N9" s="60">
        <v>388.70</v>
      </c>
      <c r="O9" s="60">
        <v>0</v>
      </c>
      <c r="P9" s="60">
        <v>2.59</v>
      </c>
      <c r="Q9" s="60">
        <v>10.26</v>
      </c>
      <c r="R9" s="198"/>
      <c r="S9" s="198"/>
      <c r="T9" s="198"/>
      <c r="U9" s="198"/>
    </row>
    <row r="10" spans="1:21" s="12" customFormat="1" ht="15">
      <c r="A10" s="201" t="s">
        <v>2843</v>
      </c>
      <c r="B10" s="60">
        <v>1.84</v>
      </c>
      <c r="C10" s="60">
        <v>14.18</v>
      </c>
      <c r="D10" s="60">
        <v>16.02</v>
      </c>
      <c r="E10" s="60">
        <v>5.74</v>
      </c>
      <c r="F10" s="60">
        <v>0.69</v>
      </c>
      <c r="G10" s="60">
        <v>38.380000000000003</v>
      </c>
      <c r="H10" s="60">
        <v>11.30</v>
      </c>
      <c r="I10" s="60">
        <v>4.53</v>
      </c>
      <c r="J10" s="60">
        <v>1.18</v>
      </c>
      <c r="K10" s="60">
        <v>31.19</v>
      </c>
      <c r="L10" s="60">
        <v>51.12</v>
      </c>
      <c r="M10" s="60">
        <v>85.77</v>
      </c>
      <c r="N10" s="60">
        <v>361.90</v>
      </c>
      <c r="O10" s="60">
        <v>0</v>
      </c>
      <c r="P10" s="60">
        <v>2.56</v>
      </c>
      <c r="Q10" s="60">
        <v>9.90</v>
      </c>
      <c r="R10" s="198"/>
      <c r="S10" s="198"/>
      <c r="T10" s="198"/>
      <c r="U10" s="198"/>
    </row>
    <row r="11" spans="1:21" s="12" customFormat="1" ht="15">
      <c r="A11" s="201" t="s">
        <v>2844</v>
      </c>
      <c r="B11" s="60">
        <v>1.80</v>
      </c>
      <c r="C11" s="60">
        <v>14.23</v>
      </c>
      <c r="D11" s="60">
        <v>16.03</v>
      </c>
      <c r="E11" s="60">
        <v>5.90</v>
      </c>
      <c r="F11" s="60">
        <v>0.95</v>
      </c>
      <c r="G11" s="60">
        <v>38.380000000000003</v>
      </c>
      <c r="H11" s="60">
        <v>11.30</v>
      </c>
      <c r="I11" s="60">
        <v>4.4800000000000004</v>
      </c>
      <c r="J11" s="60">
        <v>1.59</v>
      </c>
      <c r="K11" s="60">
        <v>211.29</v>
      </c>
      <c r="L11" s="60">
        <v>45.93</v>
      </c>
      <c r="M11" s="60">
        <v>85.95</v>
      </c>
      <c r="N11" s="60">
        <v>402.60</v>
      </c>
      <c r="O11" s="60">
        <v>0</v>
      </c>
      <c r="P11" s="60">
        <v>2.5499999999999998</v>
      </c>
      <c r="Q11" s="60">
        <v>9.8800000000000008</v>
      </c>
      <c r="R11" s="198"/>
      <c r="S11" s="198"/>
      <c r="T11" s="198"/>
      <c r="U11" s="198"/>
    </row>
    <row r="12" spans="1:21" s="12" customFormat="1" ht="15">
      <c r="A12" s="201" t="s">
        <v>2845</v>
      </c>
      <c r="B12" s="60">
        <v>1.54</v>
      </c>
      <c r="C12" s="60">
        <v>14.65</v>
      </c>
      <c r="D12" s="60">
        <v>16.190000000000001</v>
      </c>
      <c r="E12" s="60">
        <v>5.77</v>
      </c>
      <c r="F12" s="60">
        <v>0.85</v>
      </c>
      <c r="G12" s="60">
        <v>38.380000000000003</v>
      </c>
      <c r="H12" s="60">
        <v>11.30</v>
      </c>
      <c r="I12" s="60">
        <v>4.46</v>
      </c>
      <c r="J12" s="60">
        <v>0.77</v>
      </c>
      <c r="K12" s="60">
        <v>219.38</v>
      </c>
      <c r="L12" s="60">
        <v>42.29</v>
      </c>
      <c r="M12" s="60">
        <v>85.96</v>
      </c>
      <c r="N12" s="60">
        <v>402.60</v>
      </c>
      <c r="O12" s="60">
        <v>0</v>
      </c>
      <c r="P12" s="60">
        <v>2.54</v>
      </c>
      <c r="Q12" s="60">
        <v>10.74</v>
      </c>
      <c r="R12" s="198"/>
      <c r="S12" s="198"/>
      <c r="T12" s="198"/>
      <c r="U12" s="198"/>
    </row>
    <row r="13" spans="1:21" s="12" customFormat="1" ht="15">
      <c r="A13" s="201" t="s">
        <v>2846</v>
      </c>
      <c r="B13" s="60">
        <v>1.22</v>
      </c>
      <c r="C13" s="60">
        <v>13.80</v>
      </c>
      <c r="D13" s="60">
        <v>15.01</v>
      </c>
      <c r="E13" s="60">
        <v>5.76</v>
      </c>
      <c r="F13" s="60">
        <v>0.86</v>
      </c>
      <c r="G13" s="60">
        <v>35.549999999999997</v>
      </c>
      <c r="H13" s="60">
        <v>11.70</v>
      </c>
      <c r="I13" s="60">
        <v>4.3899999999999997</v>
      </c>
      <c r="J13" s="60">
        <v>2.12</v>
      </c>
      <c r="K13" s="60">
        <v>164.85</v>
      </c>
      <c r="L13" s="60">
        <v>42.47</v>
      </c>
      <c r="M13" s="60">
        <v>87.03</v>
      </c>
      <c r="N13" s="60">
        <v>402.30</v>
      </c>
      <c r="O13" s="60">
        <v>0</v>
      </c>
      <c r="P13" s="60">
        <v>2.5299999999999998</v>
      </c>
      <c r="Q13" s="60">
        <v>11.59</v>
      </c>
      <c r="R13" s="198"/>
      <c r="S13" s="198"/>
      <c r="T13" s="198"/>
      <c r="U13" s="198"/>
    </row>
    <row r="14" spans="1:21" s="12" customFormat="1" ht="15">
      <c r="A14" s="201" t="s">
        <v>2847</v>
      </c>
      <c r="B14" s="60">
        <v>1.08</v>
      </c>
      <c r="C14" s="60">
        <v>13.35</v>
      </c>
      <c r="D14" s="60">
        <v>14.43</v>
      </c>
      <c r="E14" s="60">
        <v>5.43</v>
      </c>
      <c r="F14" s="60">
        <v>0.64</v>
      </c>
      <c r="G14" s="60">
        <v>28.58</v>
      </c>
      <c r="H14" s="60">
        <v>12.69</v>
      </c>
      <c r="I14" s="60">
        <v>4.25</v>
      </c>
      <c r="J14" s="60">
        <v>2.33</v>
      </c>
      <c r="K14" s="60">
        <v>199.17</v>
      </c>
      <c r="L14" s="60">
        <v>43.91</v>
      </c>
      <c r="M14" s="60">
        <v>87.61</v>
      </c>
      <c r="N14" s="60">
        <v>440.5</v>
      </c>
      <c r="O14" s="60">
        <v>0</v>
      </c>
      <c r="P14" s="60">
        <v>2.5299999999999998</v>
      </c>
      <c r="Q14" s="60">
        <v>12.14</v>
      </c>
      <c r="R14" s="198"/>
      <c r="S14" s="198"/>
      <c r="T14" s="198"/>
      <c r="U14" s="198"/>
    </row>
    <row r="15" spans="1:21" s="12" customFormat="1" ht="15">
      <c r="A15" s="201" t="s">
        <v>2848</v>
      </c>
      <c r="B15" s="60">
        <v>1.03</v>
      </c>
      <c r="C15" s="60">
        <v>12.55</v>
      </c>
      <c r="D15" s="60">
        <v>13.59</v>
      </c>
      <c r="E15" s="60">
        <v>5.31</v>
      </c>
      <c r="F15" s="60">
        <v>0.72</v>
      </c>
      <c r="G15" s="60">
        <v>28.58</v>
      </c>
      <c r="H15" s="60">
        <v>12.69</v>
      </c>
      <c r="I15" s="60">
        <v>4.09</v>
      </c>
      <c r="J15" s="60">
        <v>2.48</v>
      </c>
      <c r="K15" s="60">
        <v>210.59</v>
      </c>
      <c r="L15" s="60">
        <v>40.29</v>
      </c>
      <c r="M15" s="60">
        <v>87.71</v>
      </c>
      <c r="N15" s="60">
        <v>426.5</v>
      </c>
      <c r="O15" s="60">
        <v>0</v>
      </c>
      <c r="P15" s="60">
        <v>2.5299999999999998</v>
      </c>
      <c r="Q15" s="60">
        <v>12.29</v>
      </c>
      <c r="R15" s="198"/>
      <c r="S15" s="198"/>
      <c r="T15" s="198"/>
      <c r="U15" s="198"/>
    </row>
    <row r="16" spans="1:21" s="12" customFormat="1" ht="15">
      <c r="A16" s="201" t="s">
        <v>2849</v>
      </c>
      <c r="B16" s="60">
        <v>0.96</v>
      </c>
      <c r="C16" s="60">
        <v>12.42</v>
      </c>
      <c r="D16" s="60">
        <v>13.38</v>
      </c>
      <c r="E16" s="60">
        <v>5.52</v>
      </c>
      <c r="F16" s="60">
        <v>0.77</v>
      </c>
      <c r="G16" s="60">
        <v>28.58</v>
      </c>
      <c r="H16" s="60">
        <v>12.69</v>
      </c>
      <c r="I16" s="60">
        <v>4.0199999999999996</v>
      </c>
      <c r="J16" s="60">
        <v>2.2400000000000002</v>
      </c>
      <c r="K16" s="60">
        <v>219.66</v>
      </c>
      <c r="L16" s="60">
        <v>41.78</v>
      </c>
      <c r="M16" s="60">
        <v>88.13</v>
      </c>
      <c r="N16" s="60">
        <v>422</v>
      </c>
      <c r="O16" s="60">
        <v>0</v>
      </c>
      <c r="P16" s="60">
        <v>2.5299999999999998</v>
      </c>
      <c r="Q16" s="60">
        <v>12.52</v>
      </c>
      <c r="R16" s="198"/>
      <c r="S16" s="198"/>
      <c r="T16" s="198"/>
      <c r="U16" s="198"/>
    </row>
    <row r="17" spans="1:21" s="12" customFormat="1" ht="15">
      <c r="A17" s="201" t="s">
        <v>2850</v>
      </c>
      <c r="B17" s="60">
        <v>0.91</v>
      </c>
      <c r="C17" s="60">
        <v>12.25</v>
      </c>
      <c r="D17" s="60">
        <v>13.16</v>
      </c>
      <c r="E17" s="60">
        <v>5.32</v>
      </c>
      <c r="F17" s="60">
        <v>0.56000000000000005</v>
      </c>
      <c r="G17" s="60">
        <v>28.78</v>
      </c>
      <c r="H17" s="60">
        <v>11.72</v>
      </c>
      <c r="I17" s="60">
        <v>3.92</v>
      </c>
      <c r="J17" s="60">
        <v>2.2400000000000002</v>
      </c>
      <c r="K17" s="60">
        <v>191.93</v>
      </c>
      <c r="L17" s="60">
        <v>44.19</v>
      </c>
      <c r="M17" s="60">
        <v>88.18</v>
      </c>
      <c r="N17" s="60">
        <v>406</v>
      </c>
      <c r="O17" s="60">
        <v>0</v>
      </c>
      <c r="P17" s="60">
        <v>2.52</v>
      </c>
      <c r="Q17" s="60">
        <v>12.57</v>
      </c>
      <c r="R17" s="198"/>
      <c r="S17" s="198"/>
      <c r="T17" s="198"/>
      <c r="U17" s="198"/>
    </row>
    <row r="18" spans="1:21" s="12" customFormat="1" ht="15">
      <c r="A18" s="201" t="s">
        <v>2851</v>
      </c>
      <c r="B18" s="60">
        <v>0.89</v>
      </c>
      <c r="C18" s="60">
        <v>12.08</v>
      </c>
      <c r="D18" s="60">
        <v>12.97</v>
      </c>
      <c r="E18" s="60">
        <v>5.42</v>
      </c>
      <c r="F18" s="60">
        <v>0.82</v>
      </c>
      <c r="G18" s="60">
        <v>29.27</v>
      </c>
      <c r="H18" s="60">
        <v>9.32</v>
      </c>
      <c r="I18" s="60">
        <v>3.83</v>
      </c>
      <c r="J18" s="60">
        <v>2.85</v>
      </c>
      <c r="K18" s="60">
        <v>184.84</v>
      </c>
      <c r="L18" s="60">
        <v>43.72</v>
      </c>
      <c r="M18" s="60">
        <v>87.89</v>
      </c>
      <c r="N18" s="60">
        <v>150.5</v>
      </c>
      <c r="O18" s="60">
        <v>0</v>
      </c>
      <c r="P18" s="60">
        <v>2.52</v>
      </c>
      <c r="Q18" s="60">
        <v>12.64</v>
      </c>
      <c r="R18" s="198"/>
      <c r="S18" s="198"/>
      <c r="T18" s="198"/>
      <c r="U18" s="198"/>
    </row>
    <row r="19" spans="1:21" s="12" customFormat="1" ht="15">
      <c r="A19" s="201" t="s">
        <v>2852</v>
      </c>
      <c r="B19" s="60">
        <v>0.92</v>
      </c>
      <c r="C19" s="60">
        <v>11.81</v>
      </c>
      <c r="D19" s="60">
        <v>12.73</v>
      </c>
      <c r="E19" s="60">
        <v>5.59</v>
      </c>
      <c r="F19" s="60">
        <v>0.91</v>
      </c>
      <c r="G19" s="60">
        <v>29.27</v>
      </c>
      <c r="H19" s="60">
        <v>9.32</v>
      </c>
      <c r="I19" s="60">
        <v>3.75</v>
      </c>
      <c r="J19" s="60">
        <v>2.90</v>
      </c>
      <c r="K19" s="60">
        <v>178.67</v>
      </c>
      <c r="L19" s="60">
        <v>40.840000000000003</v>
      </c>
      <c r="M19" s="60">
        <v>87.17</v>
      </c>
      <c r="N19" s="60">
        <v>127.40</v>
      </c>
      <c r="O19" s="60">
        <v>0</v>
      </c>
      <c r="P19" s="60">
        <v>2.52</v>
      </c>
      <c r="Q19" s="60">
        <v>12.53</v>
      </c>
      <c r="R19" s="198"/>
      <c r="S19" s="198"/>
      <c r="T19" s="198"/>
      <c r="U19" s="198"/>
    </row>
    <row r="20" spans="1:21" s="12" customFormat="1" ht="15">
      <c r="A20" s="201" t="s">
        <v>2853</v>
      </c>
      <c r="B20" s="60">
        <v>1.03</v>
      </c>
      <c r="C20" s="60">
        <v>11.84</v>
      </c>
      <c r="D20" s="60">
        <v>12.87</v>
      </c>
      <c r="E20" s="60">
        <v>5.54</v>
      </c>
      <c r="F20" s="60">
        <v>0.78</v>
      </c>
      <c r="G20" s="60">
        <v>29.27</v>
      </c>
      <c r="H20" s="60">
        <v>9.32</v>
      </c>
      <c r="I20" s="60">
        <v>3.71</v>
      </c>
      <c r="J20" s="60">
        <v>2.99</v>
      </c>
      <c r="K20" s="60">
        <v>190.09</v>
      </c>
      <c r="L20" s="60">
        <v>42.83</v>
      </c>
      <c r="M20" s="60">
        <v>86.60</v>
      </c>
      <c r="N20" s="60">
        <v>128</v>
      </c>
      <c r="O20" s="60">
        <v>0</v>
      </c>
      <c r="P20" s="60">
        <v>2.52</v>
      </c>
      <c r="Q20" s="60">
        <v>12.48</v>
      </c>
      <c r="R20" s="198"/>
      <c r="S20" s="198"/>
      <c r="T20" s="198"/>
      <c r="U20" s="198"/>
    </row>
    <row r="21" spans="1:21" s="12" customFormat="1" ht="15">
      <c r="A21" s="201" t="s">
        <v>2854</v>
      </c>
      <c r="B21" s="60">
        <v>0.98</v>
      </c>
      <c r="C21" s="60">
        <v>11.77</v>
      </c>
      <c r="D21" s="60">
        <v>12.76</v>
      </c>
      <c r="E21" s="60">
        <v>5.48</v>
      </c>
      <c r="F21" s="60">
        <v>0.63</v>
      </c>
      <c r="G21" s="60">
        <v>28.80</v>
      </c>
      <c r="H21" s="60">
        <v>9.08</v>
      </c>
      <c r="I21" s="60">
        <v>3.62</v>
      </c>
      <c r="J21" s="60">
        <v>2.2599999999999998</v>
      </c>
      <c r="K21" s="60">
        <v>194.44</v>
      </c>
      <c r="L21" s="60">
        <v>43.88</v>
      </c>
      <c r="M21" s="60">
        <v>86.24</v>
      </c>
      <c r="N21" s="60">
        <v>139.69999999999999</v>
      </c>
      <c r="O21" s="60">
        <v>0</v>
      </c>
      <c r="P21" s="60">
        <v>2.5099999999999998</v>
      </c>
      <c r="Q21" s="60">
        <v>12.35</v>
      </c>
      <c r="R21" s="198"/>
      <c r="S21" s="198"/>
      <c r="T21" s="198"/>
      <c r="U21" s="198"/>
    </row>
    <row r="22" spans="1:21" s="12" customFormat="1" ht="15">
      <c r="A22" s="201" t="s">
        <v>2855</v>
      </c>
      <c r="B22" s="60">
        <v>1.03</v>
      </c>
      <c r="C22" s="60">
        <v>11.24</v>
      </c>
      <c r="D22" s="60">
        <v>12.28</v>
      </c>
      <c r="E22" s="60">
        <v>5.88</v>
      </c>
      <c r="F22" s="60">
        <v>1.43</v>
      </c>
      <c r="G22" s="60">
        <v>27.64</v>
      </c>
      <c r="H22" s="60">
        <v>8.49</v>
      </c>
      <c r="I22" s="60">
        <v>3.51</v>
      </c>
      <c r="J22" s="60">
        <v>2.04</v>
      </c>
      <c r="K22" s="60">
        <v>203.68</v>
      </c>
      <c r="L22" s="60">
        <v>41.63</v>
      </c>
      <c r="M22" s="60">
        <v>85.94</v>
      </c>
      <c r="N22" s="60">
        <v>148.5</v>
      </c>
      <c r="O22" s="60">
        <v>0</v>
      </c>
      <c r="P22" s="60">
        <v>2.48</v>
      </c>
      <c r="Q22" s="60">
        <v>11</v>
      </c>
      <c r="R22" s="198"/>
      <c r="S22" s="198"/>
      <c r="T22" s="198"/>
      <c r="U22" s="198"/>
    </row>
    <row r="23" spans="1:21" s="12" customFormat="1" ht="15">
      <c r="A23" s="201" t="s">
        <v>2856</v>
      </c>
      <c r="B23" s="60">
        <v>1.19</v>
      </c>
      <c r="C23" s="60">
        <v>11.36</v>
      </c>
      <c r="D23" s="60">
        <v>12.56</v>
      </c>
      <c r="E23" s="60">
        <v>6.05</v>
      </c>
      <c r="F23" s="60">
        <v>0.75</v>
      </c>
      <c r="G23" s="60">
        <v>27.64</v>
      </c>
      <c r="H23" s="60">
        <v>8.49</v>
      </c>
      <c r="I23" s="60">
        <v>3.45</v>
      </c>
      <c r="J23" s="60">
        <v>2.92</v>
      </c>
      <c r="K23" s="60">
        <v>198.06</v>
      </c>
      <c r="L23" s="60">
        <v>42.27</v>
      </c>
      <c r="M23" s="60">
        <v>85.51</v>
      </c>
      <c r="N23" s="60">
        <v>139.60</v>
      </c>
      <c r="O23" s="60">
        <v>0</v>
      </c>
      <c r="P23" s="60">
        <v>2.48</v>
      </c>
      <c r="Q23" s="60">
        <v>9.98</v>
      </c>
      <c r="R23" s="198"/>
      <c r="S23" s="198"/>
      <c r="T23" s="198"/>
      <c r="U23" s="198"/>
    </row>
    <row r="24" spans="1:21" s="12" customFormat="1" ht="15">
      <c r="A24" s="201" t="s">
        <v>2857</v>
      </c>
      <c r="B24" s="60">
        <v>1.59</v>
      </c>
      <c r="C24" s="60">
        <v>11.57</v>
      </c>
      <c r="D24" s="60">
        <v>13.15</v>
      </c>
      <c r="E24" s="60">
        <v>2.73</v>
      </c>
      <c r="F24" s="60">
        <v>0.56999999999999995</v>
      </c>
      <c r="G24" s="60">
        <v>27.64</v>
      </c>
      <c r="H24" s="60">
        <v>8.49</v>
      </c>
      <c r="I24" s="60">
        <v>3.42</v>
      </c>
      <c r="J24" s="60">
        <v>4.28</v>
      </c>
      <c r="K24" s="60">
        <v>166.39</v>
      </c>
      <c r="L24" s="60">
        <v>46.09</v>
      </c>
      <c r="M24" s="60">
        <v>85</v>
      </c>
      <c r="N24" s="60">
        <v>151.10</v>
      </c>
      <c r="O24" s="60">
        <v>0</v>
      </c>
      <c r="P24" s="60">
        <v>2.46</v>
      </c>
      <c r="Q24" s="60">
        <v>9.73</v>
      </c>
      <c r="R24" s="198"/>
      <c r="S24" s="198"/>
      <c r="T24" s="198"/>
      <c r="U24" s="198"/>
    </row>
    <row r="25" spans="1:21" s="12" customFormat="1" ht="15">
      <c r="A25" s="201" t="s">
        <v>2858</v>
      </c>
      <c r="B25" s="60">
        <v>2.08</v>
      </c>
      <c r="C25" s="60">
        <v>11.91</v>
      </c>
      <c r="D25" s="60">
        <v>13.99</v>
      </c>
      <c r="E25" s="60">
        <v>5.38</v>
      </c>
      <c r="F25" s="60">
        <v>0.67</v>
      </c>
      <c r="G25" s="60">
        <v>25.46</v>
      </c>
      <c r="H25" s="60">
        <v>8.19</v>
      </c>
      <c r="I25" s="60">
        <v>3.51</v>
      </c>
      <c r="J25" s="60">
        <v>3.41</v>
      </c>
      <c r="K25" s="60">
        <v>174.47</v>
      </c>
      <c r="L25" s="60">
        <v>45.34</v>
      </c>
      <c r="M25" s="60">
        <v>85.20</v>
      </c>
      <c r="N25" s="60">
        <v>166.20</v>
      </c>
      <c r="O25" s="60">
        <v>0</v>
      </c>
      <c r="P25" s="60">
        <v>2.4500000000000002</v>
      </c>
      <c r="Q25" s="60">
        <v>9.67</v>
      </c>
      <c r="R25" s="198"/>
      <c r="S25" s="198"/>
      <c r="T25" s="198"/>
      <c r="U25" s="198"/>
    </row>
    <row r="26" spans="1:21" s="12" customFormat="1" ht="15">
      <c r="A26" s="201" t="s">
        <v>2859</v>
      </c>
      <c r="B26" s="60">
        <v>2.5099999999999998</v>
      </c>
      <c r="C26" s="60">
        <v>12.30</v>
      </c>
      <c r="D26" s="60">
        <v>14.81</v>
      </c>
      <c r="E26" s="60">
        <v>6.21</v>
      </c>
      <c r="F26" s="60">
        <v>0.48</v>
      </c>
      <c r="G26" s="60">
        <v>20.09</v>
      </c>
      <c r="H26" s="60">
        <v>7.45</v>
      </c>
      <c r="I26" s="60">
        <v>3.52</v>
      </c>
      <c r="J26" s="60">
        <v>3.15</v>
      </c>
      <c r="K26" s="60">
        <v>174.30</v>
      </c>
      <c r="L26" s="60">
        <v>45.26</v>
      </c>
      <c r="M26" s="60">
        <v>85.5</v>
      </c>
      <c r="N26" s="60">
        <v>160.90</v>
      </c>
      <c r="O26" s="60">
        <v>0</v>
      </c>
      <c r="P26" s="60">
        <v>2.4300000000000002</v>
      </c>
      <c r="Q26" s="60">
        <v>9.9700000000000006</v>
      </c>
      <c r="R26" s="198"/>
      <c r="S26" s="198"/>
      <c r="T26" s="198"/>
      <c r="U26" s="198"/>
    </row>
    <row r="27" spans="1:21" s="12" customFormat="1" ht="15">
      <c r="A27" s="201" t="s">
        <v>2860</v>
      </c>
      <c r="B27" s="60">
        <v>2.79</v>
      </c>
      <c r="C27" s="60">
        <v>12.32</v>
      </c>
      <c r="D27" s="60">
        <v>15.11</v>
      </c>
      <c r="E27" s="60">
        <v>5.90</v>
      </c>
      <c r="F27" s="60">
        <v>0.26</v>
      </c>
      <c r="G27" s="60">
        <v>20.09</v>
      </c>
      <c r="H27" s="60">
        <v>7.45</v>
      </c>
      <c r="I27" s="60">
        <v>3.51</v>
      </c>
      <c r="J27" s="60">
        <v>2.65</v>
      </c>
      <c r="K27" s="60">
        <v>193.07</v>
      </c>
      <c r="L27" s="60">
        <v>47.04</v>
      </c>
      <c r="M27" s="60">
        <v>85.94</v>
      </c>
      <c r="N27" s="60">
        <v>165.30</v>
      </c>
      <c r="O27" s="60">
        <v>0</v>
      </c>
      <c r="P27" s="60">
        <v>2.41</v>
      </c>
      <c r="Q27" s="60">
        <v>9.81</v>
      </c>
      <c r="R27" s="198"/>
      <c r="S27" s="198"/>
      <c r="T27" s="198"/>
      <c r="U27" s="198"/>
    </row>
    <row r="28" spans="1:21" s="12" customFormat="1" ht="15">
      <c r="A28" s="201" t="s">
        <v>2861</v>
      </c>
      <c r="B28" s="60">
        <v>3.05</v>
      </c>
      <c r="C28" s="60">
        <v>12.44</v>
      </c>
      <c r="D28" s="60">
        <v>15.49</v>
      </c>
      <c r="E28" s="60">
        <v>6.40</v>
      </c>
      <c r="F28" s="60">
        <v>0.40</v>
      </c>
      <c r="G28" s="60">
        <v>20.09</v>
      </c>
      <c r="H28" s="60">
        <v>7.45</v>
      </c>
      <c r="I28" s="60">
        <v>3.59</v>
      </c>
      <c r="J28" s="60">
        <v>3.12</v>
      </c>
      <c r="K28" s="60">
        <v>189.72</v>
      </c>
      <c r="L28" s="60">
        <v>43.10</v>
      </c>
      <c r="M28" s="60">
        <v>85.93</v>
      </c>
      <c r="N28" s="60">
        <v>150.19999999999999</v>
      </c>
      <c r="O28" s="60">
        <v>0</v>
      </c>
      <c r="P28" s="60">
        <v>2.40</v>
      </c>
      <c r="Q28" s="60">
        <v>9.58</v>
      </c>
      <c r="R28" s="198"/>
      <c r="S28" s="198"/>
      <c r="T28" s="198"/>
      <c r="U28" s="198"/>
    </row>
    <row r="29" spans="1:21" s="12" customFormat="1" ht="15">
      <c r="A29" s="201" t="s">
        <v>2862</v>
      </c>
      <c r="B29" s="60">
        <v>3.10</v>
      </c>
      <c r="C29" s="60">
        <v>13</v>
      </c>
      <c r="D29" s="60">
        <v>16.100000000000001</v>
      </c>
      <c r="E29" s="60">
        <v>6.46</v>
      </c>
      <c r="F29" s="60">
        <v>0.65</v>
      </c>
      <c r="G29" s="60">
        <v>20.27</v>
      </c>
      <c r="H29" s="60">
        <v>7.35</v>
      </c>
      <c r="I29" s="60">
        <v>3.63</v>
      </c>
      <c r="J29" s="60">
        <v>3.92</v>
      </c>
      <c r="K29" s="60">
        <v>167.13</v>
      </c>
      <c r="L29" s="60">
        <v>42.75</v>
      </c>
      <c r="M29" s="60">
        <v>85.75</v>
      </c>
      <c r="N29" s="60">
        <v>156.90</v>
      </c>
      <c r="O29" s="60">
        <v>0</v>
      </c>
      <c r="P29" s="60">
        <v>2.39</v>
      </c>
      <c r="Q29" s="60">
        <v>9.7899999999999991</v>
      </c>
      <c r="R29" s="198"/>
      <c r="S29" s="198"/>
      <c r="T29" s="198"/>
      <c r="U29" s="198"/>
    </row>
    <row r="30" spans="1:21" s="12" customFormat="1" ht="15">
      <c r="A30" s="201" t="s">
        <v>2863</v>
      </c>
      <c r="B30" s="60">
        <v>2.73</v>
      </c>
      <c r="C30" s="60">
        <v>13.53</v>
      </c>
      <c r="D30" s="60">
        <v>16.260000000000002</v>
      </c>
      <c r="E30" s="60">
        <v>6.56</v>
      </c>
      <c r="F30" s="60">
        <v>0.61</v>
      </c>
      <c r="G30" s="60">
        <v>20.71</v>
      </c>
      <c r="H30" s="60">
        <v>7.11</v>
      </c>
      <c r="I30" s="60">
        <v>3.66</v>
      </c>
      <c r="J30" s="60">
        <v>3.34</v>
      </c>
      <c r="K30" s="60">
        <v>169.61</v>
      </c>
      <c r="L30" s="60">
        <v>44.13</v>
      </c>
      <c r="M30" s="60">
        <v>84.83</v>
      </c>
      <c r="N30" s="60">
        <v>177.30</v>
      </c>
      <c r="O30" s="60">
        <v>0</v>
      </c>
      <c r="P30" s="60">
        <v>2.41</v>
      </c>
      <c r="Q30" s="60">
        <v>10.44</v>
      </c>
      <c r="R30" s="198"/>
      <c r="S30" s="198"/>
      <c r="T30" s="198"/>
      <c r="U30" s="198"/>
    </row>
    <row r="31" spans="1:21" s="12" customFormat="1" ht="15">
      <c r="A31" s="201" t="s">
        <v>2864</v>
      </c>
      <c r="B31" s="60">
        <v>2.4900000000000002</v>
      </c>
      <c r="C31" s="60">
        <v>13.85</v>
      </c>
      <c r="D31" s="60">
        <v>16.34</v>
      </c>
      <c r="E31" s="60">
        <v>6.14</v>
      </c>
      <c r="F31" s="60">
        <v>0.44</v>
      </c>
      <c r="G31" s="60">
        <v>20.71</v>
      </c>
      <c r="H31" s="60">
        <v>7.11</v>
      </c>
      <c r="I31" s="60">
        <v>3.68</v>
      </c>
      <c r="J31" s="60">
        <v>2.21</v>
      </c>
      <c r="K31" s="60">
        <v>172.03</v>
      </c>
      <c r="L31" s="60">
        <v>47.83</v>
      </c>
      <c r="M31" s="60">
        <v>84.52</v>
      </c>
      <c r="N31" s="60">
        <v>187</v>
      </c>
      <c r="O31" s="60">
        <v>0</v>
      </c>
      <c r="P31" s="60">
        <v>2.44</v>
      </c>
      <c r="Q31" s="60">
        <v>11.03</v>
      </c>
      <c r="R31" s="198"/>
      <c r="S31" s="198"/>
      <c r="T31" s="198"/>
      <c r="U31" s="198"/>
    </row>
    <row r="32" spans="1:21" s="12" customFormat="1" ht="15">
      <c r="A32" s="201" t="s">
        <v>2865</v>
      </c>
      <c r="B32" s="60">
        <v>2.2799999999999998</v>
      </c>
      <c r="C32" s="60">
        <v>13.91</v>
      </c>
      <c r="D32" s="60">
        <v>16.190000000000001</v>
      </c>
      <c r="E32" s="60">
        <v>6.22</v>
      </c>
      <c r="F32" s="60">
        <v>0.56999999999999995</v>
      </c>
      <c r="G32" s="60">
        <v>20.71</v>
      </c>
      <c r="H32" s="60">
        <v>7.11</v>
      </c>
      <c r="I32" s="60">
        <v>3.60</v>
      </c>
      <c r="J32" s="60">
        <v>2.2599999999999998</v>
      </c>
      <c r="K32" s="60">
        <v>185.08</v>
      </c>
      <c r="L32" s="60">
        <v>46.5</v>
      </c>
      <c r="M32" s="60">
        <v>83.81</v>
      </c>
      <c r="N32" s="60">
        <v>224.60</v>
      </c>
      <c r="O32" s="60">
        <v>0</v>
      </c>
      <c r="P32" s="60">
        <v>2.4500000000000002</v>
      </c>
      <c r="Q32" s="60">
        <v>11.38</v>
      </c>
      <c r="R32" s="198"/>
      <c r="S32" s="198"/>
      <c r="T32" s="198"/>
      <c r="U32" s="198"/>
    </row>
    <row r="33" spans="1:21" s="12" customFormat="1" ht="15">
      <c r="A33" s="201" t="s">
        <v>2866</v>
      </c>
      <c r="B33" s="60">
        <v>2.0099999999999998</v>
      </c>
      <c r="C33" s="60">
        <v>14.06</v>
      </c>
      <c r="D33" s="60">
        <v>16.079999999999998</v>
      </c>
      <c r="E33" s="60">
        <v>6.15</v>
      </c>
      <c r="F33" s="60">
        <v>0.47</v>
      </c>
      <c r="G33" s="60">
        <v>21.92</v>
      </c>
      <c r="H33" s="60">
        <v>7.51</v>
      </c>
      <c r="I33" s="60">
        <v>3.54</v>
      </c>
      <c r="J33" s="60">
        <v>2.77</v>
      </c>
      <c r="K33" s="60">
        <v>194.85</v>
      </c>
      <c r="L33" s="60">
        <v>52.42</v>
      </c>
      <c r="M33" s="60">
        <v>83.43</v>
      </c>
      <c r="N33" s="60">
        <v>347.40</v>
      </c>
      <c r="O33" s="60">
        <v>0</v>
      </c>
      <c r="P33" s="60">
        <v>2.46</v>
      </c>
      <c r="Q33" s="60">
        <v>11.57</v>
      </c>
      <c r="R33" s="198"/>
      <c r="S33" s="198"/>
      <c r="T33" s="198"/>
      <c r="U33" s="198"/>
    </row>
    <row r="34" spans="1:21" s="12" customFormat="1" ht="15">
      <c r="A34" s="201" t="s">
        <v>2867</v>
      </c>
      <c r="B34" s="60">
        <v>1.79</v>
      </c>
      <c r="C34" s="60">
        <v>13.85</v>
      </c>
      <c r="D34" s="60">
        <v>15.64</v>
      </c>
      <c r="E34" s="60">
        <v>6.19</v>
      </c>
      <c r="F34" s="60">
        <v>0.52</v>
      </c>
      <c r="G34" s="60">
        <v>24.88</v>
      </c>
      <c r="H34" s="60">
        <v>8.4700000000000006</v>
      </c>
      <c r="I34" s="60">
        <v>3.52</v>
      </c>
      <c r="J34" s="60">
        <v>4.1100000000000003</v>
      </c>
      <c r="K34" s="60">
        <v>178.60</v>
      </c>
      <c r="L34" s="60">
        <v>51.38</v>
      </c>
      <c r="M34" s="60">
        <v>83.77</v>
      </c>
      <c r="N34" s="60">
        <v>421.80</v>
      </c>
      <c r="O34" s="60">
        <v>0</v>
      </c>
      <c r="P34" s="60">
        <v>2.4700000000000002</v>
      </c>
      <c r="Q34" s="60">
        <v>11.54</v>
      </c>
      <c r="R34" s="198"/>
      <c r="S34" s="198"/>
      <c r="T34" s="198"/>
      <c r="U34" s="198"/>
    </row>
    <row r="35" spans="1:21" s="12" customFormat="1" ht="15">
      <c r="A35" s="201" t="s">
        <v>2868</v>
      </c>
      <c r="B35" s="60">
        <v>1.67</v>
      </c>
      <c r="C35" s="60">
        <v>13.76</v>
      </c>
      <c r="D35" s="60">
        <v>15.43</v>
      </c>
      <c r="E35" s="60">
        <v>5.80</v>
      </c>
      <c r="F35" s="60">
        <v>0.83</v>
      </c>
      <c r="G35" s="60">
        <v>24.88</v>
      </c>
      <c r="H35" s="60">
        <v>8.4700000000000006</v>
      </c>
      <c r="I35" s="60">
        <v>3.47</v>
      </c>
      <c r="J35" s="60">
        <v>3.92</v>
      </c>
      <c r="K35" s="60">
        <v>171.98</v>
      </c>
      <c r="L35" s="60">
        <v>51.06</v>
      </c>
      <c r="M35" s="60">
        <v>83.87</v>
      </c>
      <c r="N35" s="60">
        <v>416.70</v>
      </c>
      <c r="O35" s="60">
        <v>0</v>
      </c>
      <c r="P35" s="60">
        <v>2.48</v>
      </c>
      <c r="Q35" s="60">
        <v>11.55</v>
      </c>
      <c r="R35" s="198"/>
      <c r="S35" s="198"/>
      <c r="T35" s="198"/>
      <c r="U35" s="198"/>
    </row>
    <row r="36" spans="1:21" s="12" customFormat="1" ht="15">
      <c r="A36" s="201" t="s">
        <v>2869</v>
      </c>
      <c r="B36" s="60">
        <v>1.69</v>
      </c>
      <c r="C36" s="60">
        <v>13.79</v>
      </c>
      <c r="D36" s="60">
        <v>15.48</v>
      </c>
      <c r="E36" s="60">
        <v>6.38</v>
      </c>
      <c r="F36" s="60">
        <v>0.60</v>
      </c>
      <c r="G36" s="60">
        <v>24.88</v>
      </c>
      <c r="H36" s="60">
        <v>8.4700000000000006</v>
      </c>
      <c r="I36" s="60">
        <v>3.49</v>
      </c>
      <c r="J36" s="60">
        <v>3.88</v>
      </c>
      <c r="K36" s="60">
        <v>189.13</v>
      </c>
      <c r="L36" s="60">
        <v>52.97</v>
      </c>
      <c r="M36" s="60">
        <v>83.33</v>
      </c>
      <c r="N36" s="60">
        <v>544.70000000000005</v>
      </c>
      <c r="O36" s="60">
        <v>0</v>
      </c>
      <c r="P36" s="60">
        <v>2.4900000000000002</v>
      </c>
      <c r="Q36" s="60">
        <v>11.69</v>
      </c>
      <c r="R36" s="198"/>
      <c r="S36" s="198"/>
      <c r="T36" s="198"/>
      <c r="U36" s="198"/>
    </row>
    <row r="37" spans="1:21" s="12" customFormat="1" ht="15">
      <c r="A37" s="201" t="s">
        <v>2870</v>
      </c>
      <c r="B37" s="60">
        <v>1.74</v>
      </c>
      <c r="C37" s="60">
        <v>13.92</v>
      </c>
      <c r="D37" s="60">
        <v>15.66</v>
      </c>
      <c r="E37" s="60">
        <v>5.81</v>
      </c>
      <c r="F37" s="60">
        <v>0.69</v>
      </c>
      <c r="G37" s="60">
        <v>24.93</v>
      </c>
      <c r="H37" s="60">
        <v>9.16</v>
      </c>
      <c r="I37" s="60">
        <v>3.46</v>
      </c>
      <c r="J37" s="60">
        <v>4.71</v>
      </c>
      <c r="K37" s="60">
        <v>174.35</v>
      </c>
      <c r="L37" s="60">
        <v>55.80</v>
      </c>
      <c r="M37" s="60">
        <v>83.40</v>
      </c>
      <c r="N37" s="60">
        <v>646.29999999999995</v>
      </c>
      <c r="O37" s="60">
        <v>0</v>
      </c>
      <c r="P37" s="60">
        <v>2.5</v>
      </c>
      <c r="Q37" s="60">
        <v>11.84</v>
      </c>
      <c r="R37" s="198"/>
      <c r="S37" s="198"/>
      <c r="T37" s="198"/>
      <c r="U37" s="198"/>
    </row>
    <row r="38" spans="1:21" s="12" customFormat="1" ht="15">
      <c r="A38" s="201" t="s">
        <v>2871</v>
      </c>
      <c r="B38" s="60">
        <v>1.85</v>
      </c>
      <c r="C38" s="60">
        <v>14.16</v>
      </c>
      <c r="D38" s="60">
        <v>16.010000000000002</v>
      </c>
      <c r="E38" s="60">
        <v>5.68</v>
      </c>
      <c r="F38" s="60">
        <v>0.54</v>
      </c>
      <c r="G38" s="60">
        <v>25.05</v>
      </c>
      <c r="H38" s="60">
        <v>10.87</v>
      </c>
      <c r="I38" s="60">
        <v>3.45</v>
      </c>
      <c r="J38" s="60">
        <v>4.51</v>
      </c>
      <c r="K38" s="60">
        <v>176.68</v>
      </c>
      <c r="L38" s="60">
        <v>50.02</v>
      </c>
      <c r="M38" s="60">
        <v>82.20</v>
      </c>
      <c r="N38" s="60">
        <v>738.60</v>
      </c>
      <c r="O38" s="60">
        <v>0</v>
      </c>
      <c r="P38" s="60">
        <v>2.5099999999999998</v>
      </c>
      <c r="Q38" s="60">
        <v>11.93</v>
      </c>
      <c r="R38" s="198"/>
      <c r="S38" s="198"/>
      <c r="T38" s="198"/>
      <c r="U38" s="198"/>
    </row>
    <row r="39" spans="1:21" s="12" customFormat="1" ht="15">
      <c r="A39" s="201" t="s">
        <v>2872</v>
      </c>
      <c r="B39" s="60">
        <v>1.92</v>
      </c>
      <c r="C39" s="60">
        <v>14.40</v>
      </c>
      <c r="D39" s="60">
        <v>16.32</v>
      </c>
      <c r="E39" s="60">
        <v>5.49</v>
      </c>
      <c r="F39" s="60">
        <v>1.02</v>
      </c>
      <c r="G39" s="60">
        <v>25.05</v>
      </c>
      <c r="H39" s="60">
        <v>10.87</v>
      </c>
      <c r="I39" s="60">
        <v>3.48</v>
      </c>
      <c r="J39" s="60">
        <v>3.76</v>
      </c>
      <c r="K39" s="60">
        <v>195.87</v>
      </c>
      <c r="L39" s="60">
        <v>49.62</v>
      </c>
      <c r="M39" s="60">
        <v>80.19</v>
      </c>
      <c r="N39" s="60">
        <v>847.10</v>
      </c>
      <c r="O39" s="60">
        <v>0</v>
      </c>
      <c r="P39" s="60">
        <v>2.5</v>
      </c>
      <c r="Q39" s="60">
        <v>11.88</v>
      </c>
      <c r="R39" s="198"/>
      <c r="S39" s="198"/>
      <c r="T39" s="198"/>
      <c r="U39" s="198"/>
    </row>
    <row r="40" spans="1:21" s="12" customFormat="1" ht="15">
      <c r="A40" s="201" t="s">
        <v>2873</v>
      </c>
      <c r="B40" s="60">
        <v>1.06</v>
      </c>
      <c r="C40" s="60">
        <v>14.36</v>
      </c>
      <c r="D40" s="60">
        <v>15.42</v>
      </c>
      <c r="E40" s="60">
        <v>1.38</v>
      </c>
      <c r="F40" s="60">
        <v>14.18</v>
      </c>
      <c r="G40" s="60">
        <v>25.05</v>
      </c>
      <c r="H40" s="60">
        <v>10.87</v>
      </c>
      <c r="I40" s="60">
        <v>3.46</v>
      </c>
      <c r="J40" s="60">
        <v>3.06</v>
      </c>
      <c r="K40" s="60">
        <v>188.35</v>
      </c>
      <c r="L40" s="60">
        <v>52.64</v>
      </c>
      <c r="M40" s="60">
        <v>77.08</v>
      </c>
      <c r="N40" s="60">
        <v>1003.20</v>
      </c>
      <c r="O40" s="60">
        <v>0</v>
      </c>
      <c r="P40" s="60">
        <v>2.21</v>
      </c>
      <c r="Q40" s="60">
        <v>8.5299999999999994</v>
      </c>
      <c r="R40" s="198"/>
      <c r="S40" s="198"/>
      <c r="T40" s="198"/>
      <c r="U40" s="198"/>
    </row>
    <row r="41" spans="1:21" s="12" customFormat="1" ht="15">
      <c r="A41" s="201" t="s">
        <v>2874</v>
      </c>
      <c r="B41" s="60">
        <v>0.74</v>
      </c>
      <c r="C41" s="60">
        <v>16.27</v>
      </c>
      <c r="D41" s="60">
        <v>17</v>
      </c>
      <c r="E41" s="60">
        <v>1.48</v>
      </c>
      <c r="F41" s="60">
        <v>14.69</v>
      </c>
      <c r="G41" s="60">
        <v>23.86</v>
      </c>
      <c r="H41" s="60">
        <v>9.94</v>
      </c>
      <c r="I41" s="60">
        <v>3.28</v>
      </c>
      <c r="J41" s="60">
        <v>3.49</v>
      </c>
      <c r="K41" s="60">
        <v>177.05</v>
      </c>
      <c r="L41" s="60">
        <v>54.59</v>
      </c>
      <c r="M41" s="60">
        <v>75.38</v>
      </c>
      <c r="N41" s="60">
        <v>982</v>
      </c>
      <c r="O41" s="60">
        <v>0</v>
      </c>
      <c r="P41" s="60">
        <v>2.15</v>
      </c>
      <c r="Q41" s="60">
        <v>5.86</v>
      </c>
      <c r="R41" s="198"/>
      <c r="S41" s="198"/>
      <c r="T41" s="198"/>
      <c r="U41" s="198"/>
    </row>
    <row r="42" spans="1:21" s="12" customFormat="1" ht="15">
      <c r="A42" s="201" t="s">
        <v>2875</v>
      </c>
      <c r="B42" s="60">
        <v>0.25</v>
      </c>
      <c r="C42" s="60">
        <v>16.149999999999999</v>
      </c>
      <c r="D42" s="60">
        <v>16.39</v>
      </c>
      <c r="E42" s="60">
        <v>1.28</v>
      </c>
      <c r="F42" s="60">
        <v>6.79</v>
      </c>
      <c r="G42" s="60">
        <v>20.94</v>
      </c>
      <c r="H42" s="60">
        <v>7.63</v>
      </c>
      <c r="I42" s="60">
        <v>2.0499999999999998</v>
      </c>
      <c r="J42" s="60">
        <v>2.94</v>
      </c>
      <c r="K42" s="60">
        <v>197.99</v>
      </c>
      <c r="L42" s="60">
        <v>45.78</v>
      </c>
      <c r="M42" s="60">
        <v>74.67</v>
      </c>
      <c r="N42" s="60">
        <v>1012.10</v>
      </c>
      <c r="O42" s="60">
        <v>0</v>
      </c>
      <c r="P42" s="60">
        <v>2.15</v>
      </c>
      <c r="Q42" s="60">
        <v>4.95</v>
      </c>
      <c r="R42" s="198"/>
      <c r="S42" s="198"/>
      <c r="T42" s="198"/>
      <c r="U42" s="198"/>
    </row>
    <row r="43" spans="1:21" s="12" customFormat="1" ht="15">
      <c r="A43" s="201" t="s">
        <v>2876</v>
      </c>
      <c r="B43" s="60">
        <v>0.48</v>
      </c>
      <c r="C43" s="60">
        <v>14.87</v>
      </c>
      <c r="D43" s="60">
        <v>15.34</v>
      </c>
      <c r="E43" s="60">
        <v>1.51</v>
      </c>
      <c r="F43" s="60">
        <v>2.87</v>
      </c>
      <c r="G43" s="60">
        <v>20.94</v>
      </c>
      <c r="H43" s="60">
        <v>7.63</v>
      </c>
      <c r="I43" s="60">
        <v>1.64</v>
      </c>
      <c r="J43" s="60">
        <v>0.93</v>
      </c>
      <c r="K43" s="60">
        <v>236.79</v>
      </c>
      <c r="L43" s="60">
        <v>51.60</v>
      </c>
      <c r="M43" s="60">
        <v>71.83</v>
      </c>
      <c r="N43" s="60">
        <v>1048</v>
      </c>
      <c r="O43" s="60">
        <v>0</v>
      </c>
      <c r="P43" s="60">
        <v>2.15</v>
      </c>
      <c r="Q43" s="60">
        <v>6.42</v>
      </c>
      <c r="R43" s="198"/>
      <c r="S43" s="198"/>
      <c r="T43" s="198"/>
      <c r="U43" s="198"/>
    </row>
    <row r="44" spans="1:21" s="12" customFormat="1" ht="15">
      <c r="A44" s="201" t="s">
        <v>2877</v>
      </c>
      <c r="B44" s="60">
        <v>1.20</v>
      </c>
      <c r="C44" s="60">
        <v>15.33</v>
      </c>
      <c r="D44" s="60">
        <v>16.52</v>
      </c>
      <c r="E44" s="60">
        <v>1.90</v>
      </c>
      <c r="F44" s="60">
        <v>2.73</v>
      </c>
      <c r="G44" s="60">
        <v>20.94</v>
      </c>
      <c r="H44" s="60">
        <v>7.63</v>
      </c>
      <c r="I44" s="60">
        <v>1.83</v>
      </c>
      <c r="J44" s="60">
        <v>1.02</v>
      </c>
      <c r="K44" s="60">
        <v>344.21</v>
      </c>
      <c r="L44" s="60">
        <v>56.45</v>
      </c>
      <c r="M44" s="60">
        <v>69.849999999999994</v>
      </c>
      <c r="N44" s="60">
        <v>992.20</v>
      </c>
      <c r="O44" s="60">
        <v>0</v>
      </c>
      <c r="P44" s="60">
        <v>2.1800000000000002</v>
      </c>
      <c r="Q44" s="60">
        <v>9</v>
      </c>
      <c r="R44" s="198"/>
      <c r="S44" s="198"/>
      <c r="T44" s="198"/>
      <c r="U44" s="198"/>
    </row>
    <row r="45" spans="1:21" s="12" customFormat="1" ht="15">
      <c r="A45" s="201" t="s">
        <v>2878</v>
      </c>
      <c r="B45" s="60">
        <v>1.93</v>
      </c>
      <c r="C45" s="60">
        <v>17.57</v>
      </c>
      <c r="D45" s="60">
        <v>19.489999999999998</v>
      </c>
      <c r="E45" s="60">
        <v>2.31</v>
      </c>
      <c r="F45" s="60">
        <v>2.12</v>
      </c>
      <c r="G45" s="60">
        <v>25</v>
      </c>
      <c r="H45" s="60">
        <v>8.3800000000000008</v>
      </c>
      <c r="I45" s="60">
        <v>2.0299999999999998</v>
      </c>
      <c r="J45" s="60">
        <v>2.68</v>
      </c>
      <c r="K45" s="60">
        <v>359.34</v>
      </c>
      <c r="L45" s="60">
        <v>49.78</v>
      </c>
      <c r="M45" s="60">
        <v>67.680000000000007</v>
      </c>
      <c r="N45" s="60">
        <v>917.20</v>
      </c>
      <c r="O45" s="60">
        <v>0</v>
      </c>
      <c r="P45" s="60">
        <v>2.2200000000000002</v>
      </c>
      <c r="Q45" s="60">
        <v>10.07</v>
      </c>
      <c r="R45" s="198"/>
      <c r="S45" s="198"/>
      <c r="T45" s="198"/>
      <c r="U45" s="198"/>
    </row>
    <row r="46" spans="1:21" s="12" customFormat="1" ht="15">
      <c r="A46" s="201" t="s">
        <v>2879</v>
      </c>
      <c r="B46" s="60">
        <v>1.80</v>
      </c>
      <c r="C46" s="60">
        <v>19.11</v>
      </c>
      <c r="D46" s="60">
        <v>20.91</v>
      </c>
      <c r="E46" s="60">
        <v>2.37</v>
      </c>
      <c r="F46" s="60">
        <v>2.77</v>
      </c>
      <c r="G46" s="60">
        <v>35.01</v>
      </c>
      <c r="H46" s="60">
        <v>10.220000000000001</v>
      </c>
      <c r="I46" s="60">
        <v>2.25</v>
      </c>
      <c r="J46" s="60">
        <v>0.88</v>
      </c>
      <c r="K46" s="60">
        <v>347.60</v>
      </c>
      <c r="L46" s="60">
        <v>38.31</v>
      </c>
      <c r="M46" s="60">
        <v>68.53</v>
      </c>
      <c r="N46" s="60">
        <v>971.5</v>
      </c>
      <c r="O46" s="60">
        <v>0</v>
      </c>
      <c r="P46" s="60">
        <v>2.2400000000000002</v>
      </c>
      <c r="Q46" s="60">
        <v>11.09</v>
      </c>
      <c r="R46" s="198"/>
      <c r="S46" s="198"/>
      <c r="T46" s="198"/>
      <c r="U46" s="198"/>
    </row>
    <row r="47" spans="1:21" s="12" customFormat="1" ht="15">
      <c r="A47" s="201" t="s">
        <v>2880</v>
      </c>
      <c r="B47" s="60">
        <v>1.59</v>
      </c>
      <c r="C47" s="60">
        <v>19.43</v>
      </c>
      <c r="D47" s="60">
        <v>21.01</v>
      </c>
      <c r="E47" s="60">
        <v>2.1800000000000002</v>
      </c>
      <c r="F47" s="60">
        <v>3.14</v>
      </c>
      <c r="G47" s="60">
        <v>35.01</v>
      </c>
      <c r="H47" s="60">
        <v>10.220000000000001</v>
      </c>
      <c r="I47" s="60">
        <v>2.4700000000000002</v>
      </c>
      <c r="J47" s="60">
        <v>2.2000000000000002</v>
      </c>
      <c r="K47" s="60">
        <v>345.22</v>
      </c>
      <c r="L47" s="60">
        <v>27.78</v>
      </c>
      <c r="M47" s="60">
        <v>67.510000000000005</v>
      </c>
      <c r="N47" s="60">
        <v>755.5</v>
      </c>
      <c r="O47" s="60">
        <v>0</v>
      </c>
      <c r="P47" s="60">
        <v>2.31</v>
      </c>
      <c r="Q47" s="60">
        <v>12.56</v>
      </c>
      <c r="R47" s="198"/>
      <c r="S47" s="198"/>
      <c r="T47" s="198"/>
      <c r="U47" s="198"/>
    </row>
    <row r="48" spans="1:21" s="12" customFormat="1" ht="15">
      <c r="A48" s="201" t="s">
        <v>2881</v>
      </c>
      <c r="B48" s="60">
        <v>1.80</v>
      </c>
      <c r="C48" s="60">
        <v>20.59</v>
      </c>
      <c r="D48" s="60">
        <v>22.39</v>
      </c>
      <c r="E48" s="60">
        <v>2.5299999999999998</v>
      </c>
      <c r="F48" s="60">
        <v>3.17</v>
      </c>
      <c r="G48" s="60">
        <v>35.01</v>
      </c>
      <c r="H48" s="60">
        <v>10.220000000000001</v>
      </c>
      <c r="I48" s="60">
        <v>2.65</v>
      </c>
      <c r="J48" s="60">
        <v>3.57</v>
      </c>
      <c r="K48" s="60">
        <v>335.77</v>
      </c>
      <c r="L48" s="60">
        <v>24.09</v>
      </c>
      <c r="M48" s="60">
        <v>67.900000000000006</v>
      </c>
      <c r="N48" s="60">
        <v>845.30</v>
      </c>
      <c r="O48" s="60">
        <v>0</v>
      </c>
      <c r="P48" s="60">
        <v>2.39</v>
      </c>
      <c r="Q48" s="60">
        <v>15.84</v>
      </c>
      <c r="R48" s="198"/>
      <c r="S48" s="198"/>
      <c r="T48" s="198"/>
      <c r="U48" s="198"/>
    </row>
    <row r="49" spans="1:21" s="12" customFormat="1" ht="15">
      <c r="A49" s="201" t="s">
        <v>2882</v>
      </c>
      <c r="B49" s="60">
        <v>2.4700000000000002</v>
      </c>
      <c r="C49" s="60">
        <v>22.08</v>
      </c>
      <c r="D49" s="60">
        <v>24.56</v>
      </c>
      <c r="E49" s="60">
        <v>2.15</v>
      </c>
      <c r="F49" s="60">
        <v>3.60</v>
      </c>
      <c r="G49" s="60">
        <v>36.93</v>
      </c>
      <c r="H49" s="60">
        <v>11.72</v>
      </c>
      <c r="I49" s="60">
        <v>2.88</v>
      </c>
      <c r="J49" s="60">
        <v>1.96</v>
      </c>
      <c r="K49" s="60">
        <v>338.68</v>
      </c>
      <c r="L49" s="60">
        <v>24.31</v>
      </c>
      <c r="M49" s="60">
        <v>65.55</v>
      </c>
      <c r="N49" s="60">
        <v>1004.20</v>
      </c>
      <c r="O49" s="60">
        <v>0</v>
      </c>
      <c r="P49" s="60">
        <v>2.5</v>
      </c>
      <c r="Q49" s="60">
        <v>17.95</v>
      </c>
      <c r="R49" s="198"/>
      <c r="S49" s="198"/>
      <c r="T49" s="198"/>
      <c r="U49" s="198"/>
    </row>
    <row r="50" spans="1:21" s="12" customFormat="1" ht="15">
      <c r="A50" s="201" t="s">
        <v>2883</v>
      </c>
      <c r="B50" s="60">
        <v>2.77</v>
      </c>
      <c r="C50" s="60">
        <v>25.19</v>
      </c>
      <c r="D50" s="60">
        <v>27.96</v>
      </c>
      <c r="E50" s="60">
        <v>2.2999999999999998</v>
      </c>
      <c r="F50" s="60">
        <v>2.93</v>
      </c>
      <c r="G50" s="60">
        <v>41.66</v>
      </c>
      <c r="H50" s="60">
        <v>15.40</v>
      </c>
      <c r="I50" s="60">
        <v>3.18</v>
      </c>
      <c r="J50" s="60">
        <v>3.85</v>
      </c>
      <c r="K50" s="60">
        <v>340.59</v>
      </c>
      <c r="L50" s="60">
        <v>26.58</v>
      </c>
      <c r="M50" s="60">
        <v>61.68</v>
      </c>
      <c r="N50" s="60">
        <v>1238.5</v>
      </c>
      <c r="O50" s="60">
        <v>0</v>
      </c>
      <c r="P50" s="60">
        <v>2.63</v>
      </c>
      <c r="Q50" s="60">
        <v>18.239999999999998</v>
      </c>
      <c r="R50" s="198"/>
      <c r="S50" s="198"/>
      <c r="T50" s="198"/>
      <c r="U50" s="198"/>
    </row>
    <row r="51" spans="1:21" s="12" customFormat="1" ht="15">
      <c r="A51" s="201" t="s">
        <v>2884</v>
      </c>
      <c r="B51" s="60">
        <v>2.94</v>
      </c>
      <c r="C51" s="60">
        <v>27.75</v>
      </c>
      <c r="D51" s="60">
        <v>30.70</v>
      </c>
      <c r="E51" s="60">
        <v>2.77</v>
      </c>
      <c r="F51" s="60">
        <v>3.86</v>
      </c>
      <c r="G51" s="60">
        <v>41.66</v>
      </c>
      <c r="H51" s="60">
        <v>15.40</v>
      </c>
      <c r="I51" s="60">
        <v>3.72</v>
      </c>
      <c r="J51" s="60">
        <v>2.4900000000000002</v>
      </c>
      <c r="K51" s="60">
        <v>36.49</v>
      </c>
      <c r="L51" s="60">
        <v>25.35</v>
      </c>
      <c r="M51" s="60">
        <v>60.51</v>
      </c>
      <c r="N51" s="60">
        <v>1313.70</v>
      </c>
      <c r="O51" s="60">
        <v>0</v>
      </c>
      <c r="P51" s="60">
        <v>2.76</v>
      </c>
      <c r="Q51" s="60">
        <v>18.88</v>
      </c>
      <c r="R51" s="198"/>
      <c r="S51" s="198"/>
      <c r="T51" s="198"/>
      <c r="U51" s="198"/>
    </row>
    <row r="52" spans="1:21" s="12" customFormat="1" ht="15">
      <c r="A52" s="201" t="s">
        <v>2885</v>
      </c>
      <c r="B52" s="60">
        <v>1.87</v>
      </c>
      <c r="C52" s="60">
        <v>28.46</v>
      </c>
      <c r="D52" s="60">
        <v>30.34</v>
      </c>
      <c r="E52" s="60">
        <v>2.5099999999999998</v>
      </c>
      <c r="F52" s="60">
        <v>4.70</v>
      </c>
      <c r="G52" s="60">
        <v>41.66</v>
      </c>
      <c r="H52" s="60">
        <v>15.40</v>
      </c>
      <c r="I52" s="60">
        <v>4.78</v>
      </c>
      <c r="J52" s="60">
        <v>3.62</v>
      </c>
      <c r="K52" s="60">
        <v>319.11</v>
      </c>
      <c r="L52" s="60">
        <v>26.17</v>
      </c>
      <c r="M52" s="60">
        <v>58.87</v>
      </c>
      <c r="N52" s="60">
        <v>1243.5</v>
      </c>
      <c r="O52" s="60">
        <v>0</v>
      </c>
      <c r="P52" s="60">
        <v>2.93</v>
      </c>
      <c r="Q52" s="60">
        <v>18.11</v>
      </c>
      <c r="R52" s="198"/>
      <c r="S52" s="198"/>
      <c r="T52" s="198"/>
      <c r="U52" s="198"/>
    </row>
    <row r="53" spans="1:21" s="12" customFormat="1" ht="15">
      <c r="A53" s="201" t="s">
        <v>2886</v>
      </c>
      <c r="B53" s="60">
        <v>1.43</v>
      </c>
      <c r="C53" s="60">
        <v>28.20</v>
      </c>
      <c r="D53" s="60">
        <v>29.62</v>
      </c>
      <c r="E53" s="60">
        <v>2.72</v>
      </c>
      <c r="F53" s="60">
        <v>4.33</v>
      </c>
      <c r="G53" s="60">
        <v>40.33</v>
      </c>
      <c r="H53" s="60">
        <v>16.73</v>
      </c>
      <c r="I53" s="60">
        <v>6.02</v>
      </c>
      <c r="J53" s="60">
        <v>1.44</v>
      </c>
      <c r="K53" s="60">
        <v>300.07</v>
      </c>
      <c r="L53" s="60">
        <v>26.66</v>
      </c>
      <c r="M53" s="60">
        <v>59.64</v>
      </c>
      <c r="N53" s="60">
        <v>1282.0999999999999</v>
      </c>
      <c r="O53" s="60">
        <v>0</v>
      </c>
      <c r="P53" s="60">
        <v>2.99</v>
      </c>
      <c r="Q53" s="60">
        <v>17.100000000000001</v>
      </c>
      <c r="R53" s="198"/>
      <c r="S53" s="198"/>
      <c r="T53" s="198"/>
      <c r="U53" s="198"/>
    </row>
    <row r="54" spans="1:21" s="12" customFormat="1" ht="15">
      <c r="A54" s="201" t="s">
        <v>2887</v>
      </c>
      <c r="B54" s="60">
        <v>1.46</v>
      </c>
      <c r="C54" s="60">
        <v>27.70</v>
      </c>
      <c r="D54" s="60">
        <v>29.17</v>
      </c>
      <c r="E54" s="60">
        <v>2.81</v>
      </c>
      <c r="F54" s="60">
        <v>5.37</v>
      </c>
      <c r="G54" s="60">
        <v>37.06</v>
      </c>
      <c r="H54" s="60">
        <v>20</v>
      </c>
      <c r="I54" s="60">
        <v>7.03</v>
      </c>
      <c r="J54" s="60">
        <v>1.20</v>
      </c>
      <c r="K54" s="60">
        <v>1.75</v>
      </c>
      <c r="L54" s="60">
        <v>29.12</v>
      </c>
      <c r="M54" s="60">
        <v>55.04</v>
      </c>
      <c r="N54" s="60">
        <v>1417</v>
      </c>
      <c r="O54" s="60">
        <v>0</v>
      </c>
      <c r="P54" s="60">
        <v>2.98</v>
      </c>
      <c r="Q54" s="60">
        <v>16.98</v>
      </c>
      <c r="R54" s="198"/>
      <c r="S54" s="198"/>
      <c r="T54" s="198"/>
      <c r="U54" s="198"/>
    </row>
    <row r="55" spans="1:21" s="12" customFormat="1" ht="15">
      <c r="A55" s="201" t="s">
        <v>2888</v>
      </c>
      <c r="B55" s="60">
        <v>1.17</v>
      </c>
      <c r="C55" s="60">
        <v>27.91</v>
      </c>
      <c r="D55" s="60">
        <v>29.08</v>
      </c>
      <c r="E55" s="60">
        <v>2.19</v>
      </c>
      <c r="F55" s="60">
        <v>5.71</v>
      </c>
      <c r="G55" s="60">
        <v>37.06</v>
      </c>
      <c r="H55" s="60">
        <v>20</v>
      </c>
      <c r="I55" s="60">
        <v>7.22</v>
      </c>
      <c r="J55" s="60">
        <v>2.84</v>
      </c>
      <c r="K55" s="60">
        <v>311.45</v>
      </c>
      <c r="L55" s="60">
        <v>32.46</v>
      </c>
      <c r="M55" s="60">
        <v>54.91</v>
      </c>
      <c r="N55" s="60">
        <v>1278.70</v>
      </c>
      <c r="O55" s="60">
        <v>0</v>
      </c>
      <c r="P55" s="60">
        <v>2.98</v>
      </c>
      <c r="Q55" s="60">
        <v>16.43</v>
      </c>
      <c r="R55" s="198"/>
      <c r="S55" s="198"/>
      <c r="T55" s="198"/>
      <c r="U55" s="198"/>
    </row>
    <row r="56" spans="1:21" s="12" customFormat="1" ht="15">
      <c r="A56" s="201" t="s">
        <v>2889</v>
      </c>
      <c r="B56" s="60">
        <v>0.84</v>
      </c>
      <c r="C56" s="60">
        <v>27.24</v>
      </c>
      <c r="D56" s="60">
        <v>28.08</v>
      </c>
      <c r="E56" s="60">
        <v>1.01</v>
      </c>
      <c r="F56" s="60">
        <v>3.72</v>
      </c>
      <c r="G56" s="60">
        <v>37.06</v>
      </c>
      <c r="H56" s="60">
        <v>20</v>
      </c>
      <c r="I56" s="60">
        <v>7.16</v>
      </c>
      <c r="J56" s="60">
        <v>3.31</v>
      </c>
      <c r="K56" s="60">
        <v>318.52</v>
      </c>
      <c r="L56" s="60">
        <v>39.869999999999997</v>
      </c>
      <c r="M56" s="60">
        <v>51.84</v>
      </c>
      <c r="N56" s="60">
        <v>1321.90</v>
      </c>
      <c r="O56" s="60">
        <v>0</v>
      </c>
      <c r="P56" s="60">
        <v>3</v>
      </c>
      <c r="Q56" s="60">
        <v>16.37</v>
      </c>
      <c r="R56" s="198"/>
      <c r="S56" s="198"/>
      <c r="T56" s="198"/>
      <c r="U56" s="198"/>
    </row>
    <row r="57" spans="1:21" s="12" customFormat="1" ht="15">
      <c r="A57" s="201" t="s">
        <v>2890</v>
      </c>
      <c r="B57" s="60">
        <v>0.86</v>
      </c>
      <c r="C57" s="60">
        <v>24.74</v>
      </c>
      <c r="D57" s="60">
        <v>25.60</v>
      </c>
      <c r="E57" s="60">
        <v>2.0699999999999998</v>
      </c>
      <c r="F57" s="60">
        <v>2.4900000000000002</v>
      </c>
      <c r="G57" s="60">
        <v>41.65</v>
      </c>
      <c r="H57" s="60">
        <v>20.48</v>
      </c>
      <c r="I57" s="60">
        <v>7.08</v>
      </c>
      <c r="J57" s="60">
        <v>0.92</v>
      </c>
      <c r="K57" s="60">
        <v>223.10</v>
      </c>
      <c r="L57" s="60">
        <v>29.56</v>
      </c>
      <c r="M57" s="60">
        <v>53.36</v>
      </c>
      <c r="N57" s="60">
        <v>1259.0999999999999</v>
      </c>
      <c r="O57" s="60">
        <v>0</v>
      </c>
      <c r="P57" s="60">
        <v>2.99</v>
      </c>
      <c r="Q57" s="60">
        <v>15.45</v>
      </c>
      <c r="R57" s="198"/>
      <c r="S57" s="198"/>
      <c r="T57" s="198"/>
      <c r="U57" s="198"/>
    </row>
    <row r="58" spans="1:21" s="12" customFormat="1" ht="15">
      <c r="A58" s="201" t="s">
        <v>2891</v>
      </c>
      <c r="B58" s="60">
        <v>0.87</v>
      </c>
      <c r="C58" s="60">
        <v>21.57</v>
      </c>
      <c r="D58" s="60">
        <v>22.43</v>
      </c>
      <c r="E58" s="60">
        <v>2.69</v>
      </c>
      <c r="F58" s="60">
        <v>3.04</v>
      </c>
      <c r="G58" s="60">
        <v>52.94</v>
      </c>
      <c r="H58" s="60">
        <v>21.65</v>
      </c>
      <c r="I58" s="60">
        <v>7.25</v>
      </c>
      <c r="J58" s="60">
        <v>0.92</v>
      </c>
      <c r="K58" s="60">
        <v>201.15</v>
      </c>
      <c r="L58" s="60">
        <v>25.95</v>
      </c>
      <c r="M58" s="60">
        <v>56.44</v>
      </c>
      <c r="N58" s="60">
        <v>1329.90</v>
      </c>
      <c r="O58" s="60">
        <v>0</v>
      </c>
      <c r="P58" s="60">
        <v>2.95</v>
      </c>
      <c r="Q58" s="60">
        <v>12.93</v>
      </c>
      <c r="R58" s="198"/>
      <c r="S58" s="198"/>
      <c r="T58" s="198"/>
      <c r="U58" s="198"/>
    </row>
    <row r="59" spans="1:21" s="12" customFormat="1" ht="15">
      <c r="A59" s="201" t="s">
        <v>2892</v>
      </c>
      <c r="B59" s="60">
        <v>1.03</v>
      </c>
      <c r="C59" s="60">
        <v>19.62</v>
      </c>
      <c r="D59" s="60">
        <v>20.65</v>
      </c>
      <c r="E59" s="60">
        <v>2.94</v>
      </c>
      <c r="F59" s="60">
        <v>2.23</v>
      </c>
      <c r="G59" s="60">
        <v>52.94</v>
      </c>
      <c r="H59" s="60">
        <v>21.65</v>
      </c>
      <c r="I59" s="60">
        <v>7.33</v>
      </c>
      <c r="J59" s="60">
        <v>1.36</v>
      </c>
      <c r="K59" s="60">
        <v>213.44</v>
      </c>
      <c r="L59" s="60">
        <v>26.37</v>
      </c>
      <c r="M59" s="60">
        <v>51.74</v>
      </c>
      <c r="N59" s="60">
        <v>1324.10</v>
      </c>
      <c r="O59" s="60">
        <v>0</v>
      </c>
      <c r="P59" s="60">
        <v>2.92</v>
      </c>
      <c r="Q59" s="60">
        <v>11.23</v>
      </c>
      <c r="R59" s="198"/>
      <c r="S59" s="198"/>
      <c r="T59" s="198"/>
      <c r="U59" s="198"/>
    </row>
    <row r="60" spans="1:21" s="12" customFormat="1" ht="15">
      <c r="A60" s="201" t="s">
        <v>2893</v>
      </c>
      <c r="B60" s="60">
        <v>1.24</v>
      </c>
      <c r="C60" s="60">
        <v>18.47</v>
      </c>
      <c r="D60" s="60">
        <v>19.71</v>
      </c>
      <c r="E60" s="60">
        <v>3.68</v>
      </c>
      <c r="F60" s="60">
        <v>1.63</v>
      </c>
      <c r="G60" s="60">
        <v>52.94</v>
      </c>
      <c r="H60" s="60">
        <v>21.65</v>
      </c>
      <c r="I60" s="60">
        <v>7.47</v>
      </c>
      <c r="J60" s="60">
        <v>3.13</v>
      </c>
      <c r="K60" s="60">
        <v>316.24</v>
      </c>
      <c r="L60" s="60">
        <v>27.36</v>
      </c>
      <c r="M60" s="60">
        <v>51.47</v>
      </c>
      <c r="N60" s="60">
        <v>1280.0999999999999</v>
      </c>
      <c r="O60" s="60">
        <v>0</v>
      </c>
      <c r="P60" s="60">
        <v>2.88</v>
      </c>
      <c r="Q60" s="60">
        <v>11.60</v>
      </c>
      <c r="R60" s="198"/>
      <c r="S60" s="198"/>
      <c r="T60" s="198"/>
      <c r="U60" s="198"/>
    </row>
    <row r="61" spans="1:21" s="12" customFormat="1" ht="15">
      <c r="A61" s="201" t="s">
        <v>2894</v>
      </c>
      <c r="B61" s="60">
        <v>1.73</v>
      </c>
      <c r="C61" s="60">
        <v>17.87</v>
      </c>
      <c r="D61" s="60">
        <v>19.600000000000001</v>
      </c>
      <c r="E61" s="60">
        <v>3.79</v>
      </c>
      <c r="F61" s="60">
        <v>2.0499999999999998</v>
      </c>
      <c r="G61" s="60">
        <v>54.65</v>
      </c>
      <c r="H61" s="60">
        <v>22.24</v>
      </c>
      <c r="I61" s="60">
        <v>7.58</v>
      </c>
      <c r="J61" s="60">
        <v>3.32</v>
      </c>
      <c r="K61" s="60">
        <v>313.33</v>
      </c>
      <c r="L61" s="60">
        <v>30.87</v>
      </c>
      <c r="M61" s="60">
        <v>47.53</v>
      </c>
      <c r="N61" s="60">
        <v>1370.5</v>
      </c>
      <c r="O61" s="60">
        <v>0</v>
      </c>
      <c r="P61" s="60">
        <v>2.87</v>
      </c>
      <c r="Q61" s="60">
        <v>10.62</v>
      </c>
      <c r="R61" s="198"/>
      <c r="S61" s="198"/>
      <c r="T61" s="198"/>
      <c r="U61" s="198"/>
    </row>
    <row r="62" spans="1:21" s="12" customFormat="1" ht="15">
      <c r="A62" s="201" t="s">
        <v>2895</v>
      </c>
      <c r="B62" s="60">
        <v>1.88</v>
      </c>
      <c r="C62" s="60">
        <v>18.53</v>
      </c>
      <c r="D62" s="60">
        <v>20.41</v>
      </c>
      <c r="E62" s="60">
        <v>3.81</v>
      </c>
      <c r="F62" s="60">
        <v>1.85</v>
      </c>
      <c r="G62" s="60">
        <v>58.84</v>
      </c>
      <c r="H62" s="60">
        <v>23.68</v>
      </c>
      <c r="I62" s="60">
        <v>7.65</v>
      </c>
      <c r="J62" s="60">
        <v>0.67</v>
      </c>
      <c r="K62" s="60">
        <v>293.02999999999997</v>
      </c>
      <c r="L62" s="60">
        <v>28.96</v>
      </c>
      <c r="M62" s="60">
        <v>49.19</v>
      </c>
      <c r="N62" s="60">
        <v>1340.30</v>
      </c>
      <c r="O62" s="60">
        <v>0</v>
      </c>
      <c r="P62" s="60">
        <v>2.85</v>
      </c>
      <c r="Q62" s="60">
        <v>10.19</v>
      </c>
      <c r="R62" s="198"/>
      <c r="S62" s="198"/>
      <c r="T62" s="198"/>
      <c r="U62" s="198"/>
    </row>
    <row r="63" spans="1:21" s="12" customFormat="1" ht="15">
      <c r="A63" s="201" t="s">
        <v>2896</v>
      </c>
      <c r="B63" s="60">
        <v>1.40</v>
      </c>
      <c r="C63" s="60">
        <v>19.59</v>
      </c>
      <c r="D63" s="60">
        <v>20.99</v>
      </c>
      <c r="E63" s="60">
        <v>4.4400000000000004</v>
      </c>
      <c r="F63" s="60">
        <v>2.5299999999999998</v>
      </c>
      <c r="G63" s="60">
        <v>58.84</v>
      </c>
      <c r="H63" s="60">
        <v>23.68</v>
      </c>
      <c r="I63" s="60">
        <v>7.72</v>
      </c>
      <c r="J63" s="60">
        <v>2.5099999999999998</v>
      </c>
      <c r="K63" s="60">
        <v>314.37</v>
      </c>
      <c r="L63" s="60">
        <v>27.52</v>
      </c>
      <c r="M63" s="60">
        <v>48.32</v>
      </c>
      <c r="N63" s="60">
        <v>1386.60</v>
      </c>
      <c r="O63" s="60">
        <v>0</v>
      </c>
      <c r="P63" s="60">
        <v>2.82</v>
      </c>
      <c r="Q63" s="60">
        <v>10.56</v>
      </c>
      <c r="R63" s="198"/>
      <c r="S63" s="198"/>
      <c r="T63" s="198"/>
      <c r="U63" s="198"/>
    </row>
    <row r="64" spans="1:21" s="12" customFormat="1" ht="15">
      <c r="A64" s="201" t="s">
        <v>2897</v>
      </c>
      <c r="B64" s="60">
        <v>1.33</v>
      </c>
      <c r="C64" s="60">
        <v>20.02</v>
      </c>
      <c r="D64" s="60">
        <v>21.35</v>
      </c>
      <c r="E64" s="60">
        <v>3.98</v>
      </c>
      <c r="F64" s="60">
        <v>2.54</v>
      </c>
      <c r="G64" s="60">
        <v>58.84</v>
      </c>
      <c r="H64" s="60">
        <v>23.68</v>
      </c>
      <c r="I64" s="60">
        <v>7.69</v>
      </c>
      <c r="J64" s="60">
        <v>3.77</v>
      </c>
      <c r="K64" s="60">
        <v>320.95999999999998</v>
      </c>
      <c r="L64" s="60">
        <v>28.57</v>
      </c>
      <c r="M64" s="60">
        <v>46.52</v>
      </c>
      <c r="N64" s="60">
        <v>1350.90</v>
      </c>
      <c r="O64" s="60">
        <v>0</v>
      </c>
      <c r="P64" s="60">
        <v>2.81</v>
      </c>
      <c r="Q64" s="60">
        <v>10.11</v>
      </c>
      <c r="R64" s="198"/>
      <c r="S64" s="198"/>
      <c r="T64" s="198"/>
      <c r="U64" s="198"/>
    </row>
    <row r="65" spans="1:21" s="12" customFormat="1" ht="15">
      <c r="A65" s="201" t="s">
        <v>2898</v>
      </c>
      <c r="B65" s="60">
        <v>1.31</v>
      </c>
      <c r="C65" s="60">
        <v>21.24</v>
      </c>
      <c r="D65" s="60">
        <v>22.55</v>
      </c>
      <c r="E65" s="60">
        <v>4.45</v>
      </c>
      <c r="F65" s="60">
        <v>2.39</v>
      </c>
      <c r="G65" s="60">
        <v>59.35</v>
      </c>
      <c r="H65" s="60">
        <v>24.62</v>
      </c>
      <c r="I65" s="60">
        <v>7.70</v>
      </c>
      <c r="J65" s="60">
        <v>3.42</v>
      </c>
      <c r="K65" s="60">
        <v>327.13</v>
      </c>
      <c r="L65" s="60">
        <v>29.73</v>
      </c>
      <c r="M65" s="60">
        <v>43.57</v>
      </c>
      <c r="N65" s="60">
        <v>1342.60</v>
      </c>
      <c r="O65" s="60">
        <v>0</v>
      </c>
      <c r="P65" s="60">
        <v>2.82</v>
      </c>
      <c r="Q65" s="60">
        <v>11.01</v>
      </c>
      <c r="R65" s="198"/>
      <c r="S65" s="198"/>
      <c r="T65" s="198"/>
      <c r="U65" s="198"/>
    </row>
    <row r="66" spans="1:21" s="12" customFormat="1" ht="15">
      <c r="A66" s="201" t="s">
        <v>2899</v>
      </c>
      <c r="B66" s="60">
        <v>1.0900000000000001</v>
      </c>
      <c r="C66" s="60">
        <v>20.53</v>
      </c>
      <c r="D66" s="60">
        <v>21.62</v>
      </c>
      <c r="E66" s="60">
        <v>4.1399999999999997</v>
      </c>
      <c r="F66" s="60">
        <v>3.18</v>
      </c>
      <c r="G66" s="60">
        <v>60.62</v>
      </c>
      <c r="H66" s="60">
        <v>26.95</v>
      </c>
      <c r="I66" s="60">
        <v>7.69</v>
      </c>
      <c r="J66" s="60">
        <v>0.34</v>
      </c>
      <c r="K66" s="60">
        <v>168.46</v>
      </c>
      <c r="L66" s="60">
        <v>30.23</v>
      </c>
      <c r="M66" s="60">
        <v>46.29</v>
      </c>
      <c r="N66" s="60">
        <v>935.30</v>
      </c>
      <c r="O66" s="60">
        <v>0</v>
      </c>
      <c r="P66" s="60">
        <v>2.82</v>
      </c>
      <c r="Q66" s="60">
        <v>12.56</v>
      </c>
      <c r="R66" s="198"/>
      <c r="S66" s="198"/>
      <c r="T66" s="198"/>
      <c r="U66" s="198"/>
    </row>
    <row r="67" spans="1:21" s="12" customFormat="1" ht="15">
      <c r="A67" s="201" t="s">
        <v>2900</v>
      </c>
      <c r="B67" s="60">
        <v>0.69</v>
      </c>
      <c r="C67" s="60">
        <v>19.899999999999999</v>
      </c>
      <c r="D67" s="60">
        <v>20.59</v>
      </c>
      <c r="E67" s="60">
        <v>4.13</v>
      </c>
      <c r="F67" s="60">
        <v>2.85</v>
      </c>
      <c r="G67" s="60">
        <v>60.62</v>
      </c>
      <c r="H67" s="60">
        <v>26.95</v>
      </c>
      <c r="I67" s="60">
        <v>7.48</v>
      </c>
      <c r="J67" s="60">
        <v>1.70</v>
      </c>
      <c r="K67" s="60">
        <v>133.88</v>
      </c>
      <c r="L67" s="60">
        <v>28.86</v>
      </c>
      <c r="M67" s="60">
        <v>49.31</v>
      </c>
      <c r="N67" s="60">
        <v>498.70</v>
      </c>
      <c r="O67" s="60">
        <v>0</v>
      </c>
      <c r="P67" s="60">
        <v>2.81</v>
      </c>
      <c r="Q67" s="60">
        <v>13.32</v>
      </c>
      <c r="R67" s="198"/>
      <c r="S67" s="198"/>
      <c r="T67" s="198"/>
      <c r="U67" s="198"/>
    </row>
    <row r="68" spans="1:21" s="12" customFormat="1" ht="15">
      <c r="A68" s="201" t="s">
        <v>2901</v>
      </c>
      <c r="B68" s="60">
        <v>0.68</v>
      </c>
      <c r="C68" s="60">
        <v>19</v>
      </c>
      <c r="D68" s="60">
        <v>19.690000000000001</v>
      </c>
      <c r="E68" s="60">
        <v>4.08</v>
      </c>
      <c r="F68" s="60">
        <v>2.74</v>
      </c>
      <c r="G68" s="60">
        <v>60.62</v>
      </c>
      <c r="H68" s="60">
        <v>26.95</v>
      </c>
      <c r="I68" s="60">
        <v>7.09</v>
      </c>
      <c r="J68" s="60">
        <v>0.47</v>
      </c>
      <c r="K68" s="60">
        <v>325.14999999999998</v>
      </c>
      <c r="L68" s="60">
        <v>29.01</v>
      </c>
      <c r="M68" s="60">
        <v>51.46</v>
      </c>
      <c r="N68" s="60">
        <v>380.70</v>
      </c>
      <c r="O68" s="60">
        <v>0</v>
      </c>
      <c r="P68" s="60">
        <v>2.80</v>
      </c>
      <c r="Q68" s="60">
        <v>14.09</v>
      </c>
      <c r="R68" s="198"/>
      <c r="S68" s="198"/>
      <c r="T68" s="198"/>
      <c r="U68" s="198"/>
    </row>
    <row r="69" spans="1:21" s="12" customFormat="1" ht="15">
      <c r="A69" s="201" t="s">
        <v>2902</v>
      </c>
      <c r="B69" s="60">
        <v>0.71</v>
      </c>
      <c r="C69" s="60">
        <v>18.20</v>
      </c>
      <c r="D69" s="60">
        <v>18.91</v>
      </c>
      <c r="E69" s="60">
        <v>4.16</v>
      </c>
      <c r="F69" s="60">
        <v>2.84</v>
      </c>
      <c r="G69" s="60">
        <v>58.90</v>
      </c>
      <c r="H69" s="60">
        <v>26.45</v>
      </c>
      <c r="I69" s="60">
        <v>6.74</v>
      </c>
      <c r="J69" s="60">
        <v>3.93</v>
      </c>
      <c r="K69" s="60">
        <v>163.58000000000001</v>
      </c>
      <c r="L69" s="60">
        <v>27.44</v>
      </c>
      <c r="M69" s="60">
        <v>52.78</v>
      </c>
      <c r="N69" s="60">
        <v>463.40</v>
      </c>
      <c r="O69" s="60">
        <v>0</v>
      </c>
      <c r="P69" s="60">
        <v>2.80</v>
      </c>
      <c r="Q69" s="60">
        <v>14.83</v>
      </c>
      <c r="R69" s="198"/>
      <c r="S69" s="198"/>
      <c r="T69" s="198"/>
      <c r="U69" s="198"/>
    </row>
    <row r="70" spans="1:21" s="12" customFormat="1" ht="15">
      <c r="A70" s="201" t="s">
        <v>2903</v>
      </c>
      <c r="B70" s="60">
        <v>0.60</v>
      </c>
      <c r="C70" s="60">
        <v>18.600000000000001</v>
      </c>
      <c r="D70" s="60">
        <v>19.190000000000001</v>
      </c>
      <c r="E70" s="60">
        <v>4.3099999999999996</v>
      </c>
      <c r="F70" s="60">
        <v>2.42</v>
      </c>
      <c r="G70" s="60">
        <v>54.66</v>
      </c>
      <c r="H70" s="60">
        <v>25.22</v>
      </c>
      <c r="I70" s="60">
        <v>6.40</v>
      </c>
      <c r="J70" s="60">
        <v>2.98</v>
      </c>
      <c r="K70" s="60">
        <v>173.34</v>
      </c>
      <c r="L70" s="60">
        <v>32.17</v>
      </c>
      <c r="M70" s="60">
        <v>51.98</v>
      </c>
      <c r="N70" s="60">
        <v>508.80</v>
      </c>
      <c r="O70" s="60">
        <v>0</v>
      </c>
      <c r="P70" s="60">
        <v>2.78</v>
      </c>
      <c r="Q70" s="60">
        <v>14.62</v>
      </c>
      <c r="R70" s="198"/>
      <c r="S70" s="198"/>
      <c r="T70" s="198"/>
      <c r="U70" s="198"/>
    </row>
    <row r="71" spans="1:21" s="12" customFormat="1" ht="15">
      <c r="A71" s="201" t="s">
        <v>2904</v>
      </c>
      <c r="B71" s="60">
        <v>0.51</v>
      </c>
      <c r="C71" s="60">
        <v>17.329999999999998</v>
      </c>
      <c r="D71" s="60">
        <v>17.850000000000001</v>
      </c>
      <c r="E71" s="60">
        <v>4.5199999999999996</v>
      </c>
      <c r="F71" s="60">
        <v>3.12</v>
      </c>
      <c r="G71" s="60">
        <v>54.66</v>
      </c>
      <c r="H71" s="60">
        <v>25.22</v>
      </c>
      <c r="I71" s="60">
        <v>6.12</v>
      </c>
      <c r="J71" s="60">
        <v>0.72</v>
      </c>
      <c r="K71" s="60">
        <v>231.51</v>
      </c>
      <c r="L71" s="60">
        <v>37.090000000000003</v>
      </c>
      <c r="M71" s="60">
        <v>54.10</v>
      </c>
      <c r="N71" s="60">
        <v>318.80</v>
      </c>
      <c r="O71" s="60">
        <v>0</v>
      </c>
      <c r="P71" s="60">
        <v>2.76</v>
      </c>
      <c r="Q71" s="60">
        <v>14.64</v>
      </c>
      <c r="R71" s="198"/>
      <c r="S71" s="198"/>
      <c r="T71" s="198"/>
      <c r="U71" s="198"/>
    </row>
    <row r="72" spans="1:21" s="12" customFormat="1" ht="15">
      <c r="A72" s="201" t="s">
        <v>2905</v>
      </c>
      <c r="B72" s="60">
        <v>0.52</v>
      </c>
      <c r="C72" s="60">
        <v>18.46</v>
      </c>
      <c r="D72" s="60">
        <v>18.989999999999998</v>
      </c>
      <c r="E72" s="60">
        <v>2.89</v>
      </c>
      <c r="F72" s="60">
        <v>3.03</v>
      </c>
      <c r="G72" s="60">
        <v>54.66</v>
      </c>
      <c r="H72" s="60">
        <v>25.22</v>
      </c>
      <c r="I72" s="60">
        <v>5.86</v>
      </c>
      <c r="J72" s="60">
        <v>1.1599999999999999</v>
      </c>
      <c r="K72" s="60">
        <v>225.22</v>
      </c>
      <c r="L72" s="60">
        <v>35.35</v>
      </c>
      <c r="M72" s="60">
        <v>59.43</v>
      </c>
      <c r="N72" s="60">
        <v>459</v>
      </c>
      <c r="O72" s="60">
        <v>0</v>
      </c>
      <c r="P72" s="60">
        <v>2.74</v>
      </c>
      <c r="Q72" s="60">
        <v>14.73</v>
      </c>
      <c r="R72" s="198"/>
      <c r="S72" s="198"/>
      <c r="T72" s="198"/>
      <c r="U72" s="198"/>
    </row>
    <row r="73" spans="1:21" s="12" customFormat="1" ht="15">
      <c r="A73" s="201" t="s">
        <v>2906</v>
      </c>
      <c r="B73" s="60">
        <v>0.39</v>
      </c>
      <c r="C73" s="60">
        <v>18.22</v>
      </c>
      <c r="D73" s="60">
        <v>18.61</v>
      </c>
      <c r="E73" s="60">
        <v>4.45</v>
      </c>
      <c r="F73" s="60">
        <v>3.77</v>
      </c>
      <c r="G73" s="60">
        <v>53.31</v>
      </c>
      <c r="H73" s="60">
        <v>23.11</v>
      </c>
      <c r="I73" s="60">
        <v>5.54</v>
      </c>
      <c r="J73" s="60">
        <v>1.83</v>
      </c>
      <c r="K73" s="60">
        <v>213.07</v>
      </c>
      <c r="L73" s="60">
        <v>38.99</v>
      </c>
      <c r="M73" s="60">
        <v>60.54</v>
      </c>
      <c r="N73" s="60">
        <v>691.60</v>
      </c>
      <c r="O73" s="60">
        <v>0</v>
      </c>
      <c r="P73" s="60">
        <v>2.71</v>
      </c>
      <c r="Q73" s="60">
        <v>14.38</v>
      </c>
      <c r="R73" s="198"/>
      <c r="S73" s="198"/>
      <c r="T73" s="198"/>
      <c r="U73" s="198"/>
    </row>
    <row r="74" spans="1:21" s="12" customFormat="1" ht="15">
      <c r="A74" s="201" t="s">
        <v>2907</v>
      </c>
      <c r="B74" s="60">
        <v>0.28999999999999998</v>
      </c>
      <c r="C74" s="60">
        <v>18.16</v>
      </c>
      <c r="D74" s="60">
        <v>18.45</v>
      </c>
      <c r="E74" s="60">
        <v>4.70</v>
      </c>
      <c r="F74" s="60">
        <v>2.91</v>
      </c>
      <c r="G74" s="60">
        <v>50.01</v>
      </c>
      <c r="H74" s="60">
        <v>17.91</v>
      </c>
      <c r="I74" s="60">
        <v>5.34</v>
      </c>
      <c r="J74" s="60">
        <v>2.75</v>
      </c>
      <c r="K74" s="60">
        <v>208.13</v>
      </c>
      <c r="L74" s="60">
        <v>40.700000000000003</v>
      </c>
      <c r="M74" s="60">
        <v>57.53</v>
      </c>
      <c r="N74" s="60">
        <v>639.10</v>
      </c>
      <c r="O74" s="60">
        <v>0</v>
      </c>
      <c r="P74" s="60">
        <v>2.70</v>
      </c>
      <c r="Q74" s="60">
        <v>13.88</v>
      </c>
      <c r="R74" s="198"/>
      <c r="S74" s="198"/>
      <c r="T74" s="198"/>
      <c r="U74" s="198"/>
    </row>
    <row r="75" spans="1:21" s="12" customFormat="1" ht="15">
      <c r="A75" s="201" t="s">
        <v>2908</v>
      </c>
      <c r="B75" s="60">
        <v>0.32</v>
      </c>
      <c r="C75" s="60">
        <v>17.100000000000001</v>
      </c>
      <c r="D75" s="60">
        <v>17.420000000000002</v>
      </c>
      <c r="E75" s="60">
        <v>4.95</v>
      </c>
      <c r="F75" s="60">
        <v>2.10</v>
      </c>
      <c r="G75" s="60">
        <v>50.01</v>
      </c>
      <c r="H75" s="60">
        <v>17.91</v>
      </c>
      <c r="I75" s="60">
        <v>5.01</v>
      </c>
      <c r="J75" s="60">
        <v>1.1299999999999999</v>
      </c>
      <c r="K75" s="60">
        <v>305.86</v>
      </c>
      <c r="L75" s="60">
        <v>43.40</v>
      </c>
      <c r="M75" s="60">
        <v>53.14</v>
      </c>
      <c r="N75" s="60">
        <v>438</v>
      </c>
      <c r="O75" s="60">
        <v>0</v>
      </c>
      <c r="P75" s="60">
        <v>2.68</v>
      </c>
      <c r="Q75" s="60">
        <v>13.03</v>
      </c>
      <c r="R75" s="198"/>
      <c r="S75" s="198"/>
      <c r="T75" s="198"/>
      <c r="U75" s="198"/>
    </row>
    <row r="76" spans="1:21" s="12" customFormat="1" ht="15">
      <c r="A76" s="201" t="s">
        <v>2909</v>
      </c>
      <c r="B76" s="60">
        <v>0.63</v>
      </c>
      <c r="C76" s="60">
        <v>16.77</v>
      </c>
      <c r="D76" s="60">
        <v>17.399999999999999</v>
      </c>
      <c r="E76" s="60">
        <v>4.5</v>
      </c>
      <c r="F76" s="60">
        <v>1.58</v>
      </c>
      <c r="G76" s="60">
        <v>50.01</v>
      </c>
      <c r="H76" s="60">
        <v>17.91</v>
      </c>
      <c r="I76" s="60">
        <v>4.8899999999999997</v>
      </c>
      <c r="J76" s="60">
        <v>2.12</v>
      </c>
      <c r="K76" s="60">
        <v>192.73</v>
      </c>
      <c r="L76" s="60">
        <v>41.68</v>
      </c>
      <c r="M76" s="60">
        <v>52.63</v>
      </c>
      <c r="N76" s="60">
        <v>438.30</v>
      </c>
      <c r="O76" s="60">
        <v>0</v>
      </c>
      <c r="P76" s="60">
        <v>2.67</v>
      </c>
      <c r="Q76" s="60">
        <v>11.40</v>
      </c>
      <c r="R76" s="198"/>
      <c r="S76" s="198"/>
      <c r="T76" s="198"/>
      <c r="U76" s="198"/>
    </row>
    <row r="77" spans="1:21" s="12" customFormat="1" ht="15">
      <c r="A77" s="201" t="s">
        <v>2910</v>
      </c>
      <c r="B77" s="60">
        <v>0.86</v>
      </c>
      <c r="C77" s="60">
        <v>16.71</v>
      </c>
      <c r="D77" s="60">
        <v>17.57</v>
      </c>
      <c r="E77" s="60">
        <v>5.15</v>
      </c>
      <c r="F77" s="60">
        <v>1.08</v>
      </c>
      <c r="G77" s="60">
        <v>50.42</v>
      </c>
      <c r="H77" s="60">
        <v>16.46</v>
      </c>
      <c r="I77" s="60">
        <v>4.96</v>
      </c>
      <c r="J77" s="60">
        <v>1.89</v>
      </c>
      <c r="K77" s="60">
        <v>216.68</v>
      </c>
      <c r="L77" s="60">
        <v>39.82</v>
      </c>
      <c r="M77" s="60">
        <v>52.86</v>
      </c>
      <c r="N77" s="60">
        <v>381.90</v>
      </c>
      <c r="O77" s="60">
        <v>0</v>
      </c>
      <c r="P77" s="60">
        <v>2.64</v>
      </c>
      <c r="Q77" s="60">
        <v>11.44</v>
      </c>
      <c r="R77" s="198"/>
      <c r="S77" s="198"/>
      <c r="T77" s="198"/>
      <c r="U77" s="198"/>
    </row>
    <row r="78" spans="1:21" s="12" customFormat="1" ht="15">
      <c r="A78" s="201" t="s">
        <v>2911</v>
      </c>
      <c r="B78" s="60">
        <v>0.95</v>
      </c>
      <c r="C78" s="60">
        <v>16.510000000000002</v>
      </c>
      <c r="D78" s="60">
        <v>17.46</v>
      </c>
      <c r="E78" s="60">
        <v>5.0599999999999996</v>
      </c>
      <c r="F78" s="60">
        <v>1.17</v>
      </c>
      <c r="G78" s="60">
        <v>51.46</v>
      </c>
      <c r="H78" s="60">
        <v>12.87</v>
      </c>
      <c r="I78" s="60">
        <v>4.9800000000000004</v>
      </c>
      <c r="J78" s="60">
        <v>2.2000000000000002</v>
      </c>
      <c r="K78" s="60">
        <v>215.06</v>
      </c>
      <c r="L78" s="60">
        <v>32.43</v>
      </c>
      <c r="M78" s="60">
        <v>53.17</v>
      </c>
      <c r="N78" s="60">
        <v>333.90</v>
      </c>
      <c r="O78" s="60">
        <v>0</v>
      </c>
      <c r="P78" s="60">
        <v>2.62</v>
      </c>
      <c r="Q78" s="60">
        <v>10.66</v>
      </c>
      <c r="R78" s="198"/>
      <c r="S78" s="198"/>
      <c r="T78" s="198"/>
      <c r="U78" s="198"/>
    </row>
    <row r="79" spans="1:21" s="12" customFormat="1" ht="15">
      <c r="A79" s="201" t="s">
        <v>2912</v>
      </c>
      <c r="B79" s="60">
        <v>0.83</v>
      </c>
      <c r="C79" s="60">
        <v>15.51</v>
      </c>
      <c r="D79" s="60">
        <v>16.34</v>
      </c>
      <c r="E79" s="60">
        <v>5.44</v>
      </c>
      <c r="F79" s="60">
        <v>1.64</v>
      </c>
      <c r="G79" s="60">
        <v>51.46</v>
      </c>
      <c r="H79" s="60">
        <v>12.87</v>
      </c>
      <c r="I79" s="60">
        <v>5.07</v>
      </c>
      <c r="J79" s="60">
        <v>1.73</v>
      </c>
      <c r="K79" s="60">
        <v>184.61</v>
      </c>
      <c r="L79" s="60">
        <v>35.71</v>
      </c>
      <c r="M79" s="60">
        <v>57.03</v>
      </c>
      <c r="N79" s="60">
        <v>322.80</v>
      </c>
      <c r="O79" s="60">
        <v>0</v>
      </c>
      <c r="P79" s="60">
        <v>2.58</v>
      </c>
      <c r="Q79" s="60">
        <v>10.16</v>
      </c>
      <c r="R79" s="198"/>
      <c r="S79" s="198"/>
      <c r="T79" s="198"/>
      <c r="U79" s="198"/>
    </row>
    <row r="80" spans="1:21" s="12" customFormat="1" ht="15">
      <c r="A80" s="201" t="s">
        <v>2913</v>
      </c>
      <c r="B80" s="60">
        <v>0.79</v>
      </c>
      <c r="C80" s="60">
        <v>15.29</v>
      </c>
      <c r="D80" s="60">
        <v>16.079999999999998</v>
      </c>
      <c r="E80" s="60">
        <v>6.23</v>
      </c>
      <c r="F80" s="60">
        <v>1.1100000000000001</v>
      </c>
      <c r="G80" s="60">
        <v>51.46</v>
      </c>
      <c r="H80" s="60">
        <v>12.87</v>
      </c>
      <c r="I80" s="60">
        <v>5.16</v>
      </c>
      <c r="J80" s="60">
        <v>2.97</v>
      </c>
      <c r="K80" s="60">
        <v>203.32</v>
      </c>
      <c r="L80" s="60">
        <v>31.01</v>
      </c>
      <c r="M80" s="60">
        <v>56.44</v>
      </c>
      <c r="N80" s="60">
        <v>311</v>
      </c>
      <c r="O80" s="60">
        <v>0</v>
      </c>
      <c r="P80" s="60">
        <v>2.57</v>
      </c>
      <c r="Q80" s="60">
        <v>9.7200000000000006</v>
      </c>
      <c r="R80" s="198"/>
      <c r="S80" s="198"/>
      <c r="T80" s="198"/>
      <c r="U80" s="198"/>
    </row>
    <row r="81" spans="1:21" s="12" customFormat="1" ht="15">
      <c r="A81" s="201" t="s">
        <v>2914</v>
      </c>
      <c r="B81" s="60">
        <v>0.79</v>
      </c>
      <c r="C81" s="60">
        <v>14.58</v>
      </c>
      <c r="D81" s="60">
        <v>15.38</v>
      </c>
      <c r="E81" s="60">
        <v>6.71</v>
      </c>
      <c r="F81" s="60">
        <v>1.28</v>
      </c>
      <c r="G81" s="60">
        <v>48.55</v>
      </c>
      <c r="H81" s="60">
        <v>12</v>
      </c>
      <c r="I81" s="60">
        <v>5.16</v>
      </c>
      <c r="J81" s="60">
        <v>2.93</v>
      </c>
      <c r="K81" s="60">
        <v>186.93</v>
      </c>
      <c r="L81" s="60">
        <v>25.84</v>
      </c>
      <c r="M81" s="60">
        <v>58.32</v>
      </c>
      <c r="N81" s="60">
        <v>288.30</v>
      </c>
      <c r="O81" s="60">
        <v>0</v>
      </c>
      <c r="P81" s="60">
        <v>2.5499999999999998</v>
      </c>
      <c r="Q81" s="60">
        <v>9.2799999999999994</v>
      </c>
      <c r="R81" s="198"/>
      <c r="S81" s="198"/>
      <c r="T81" s="198"/>
      <c r="U81" s="198"/>
    </row>
    <row r="82" spans="1:21" s="12" customFormat="1" ht="15">
      <c r="A82" s="201" t="s">
        <v>2915</v>
      </c>
      <c r="B82" s="60">
        <v>0.94</v>
      </c>
      <c r="C82" s="60">
        <v>15.36</v>
      </c>
      <c r="D82" s="60">
        <v>16.30</v>
      </c>
      <c r="E82" s="60">
        <v>6.22</v>
      </c>
      <c r="F82" s="60">
        <v>0.93</v>
      </c>
      <c r="G82" s="60">
        <v>41.40</v>
      </c>
      <c r="H82" s="60">
        <v>9.85</v>
      </c>
      <c r="I82" s="60">
        <v>5.22</v>
      </c>
      <c r="J82" s="60">
        <v>1.59</v>
      </c>
      <c r="K82" s="60">
        <v>239.93</v>
      </c>
      <c r="L82" s="60">
        <v>27.60</v>
      </c>
      <c r="M82" s="60">
        <v>60.97</v>
      </c>
      <c r="N82" s="60">
        <v>238.80</v>
      </c>
      <c r="O82" s="60">
        <v>0</v>
      </c>
      <c r="P82" s="60">
        <v>2.5499999999999998</v>
      </c>
      <c r="Q82" s="60">
        <v>9.67</v>
      </c>
      <c r="R82" s="198"/>
      <c r="S82" s="198"/>
      <c r="T82" s="198"/>
      <c r="U82" s="198"/>
    </row>
    <row r="83" spans="1:21" s="12" customFormat="1" ht="15">
      <c r="A83" s="201" t="s">
        <v>2916</v>
      </c>
      <c r="B83" s="60">
        <v>1.36</v>
      </c>
      <c r="C83" s="60">
        <v>16.05</v>
      </c>
      <c r="D83" s="60">
        <v>17.41</v>
      </c>
      <c r="E83" s="60">
        <v>6.38</v>
      </c>
      <c r="F83" s="60">
        <v>1.98</v>
      </c>
      <c r="G83" s="60">
        <v>41.40</v>
      </c>
      <c r="H83" s="60">
        <v>9.85</v>
      </c>
      <c r="I83" s="60">
        <v>5.19</v>
      </c>
      <c r="J83" s="60">
        <v>0.82</v>
      </c>
      <c r="K83" s="60">
        <v>243.16</v>
      </c>
      <c r="L83" s="60">
        <v>28.07</v>
      </c>
      <c r="M83" s="60">
        <v>61.67</v>
      </c>
      <c r="N83" s="60">
        <v>231.40</v>
      </c>
      <c r="O83" s="60">
        <v>0</v>
      </c>
      <c r="P83" s="60">
        <v>2.62</v>
      </c>
      <c r="Q83" s="60">
        <v>11.23</v>
      </c>
      <c r="R83" s="198"/>
      <c r="S83" s="198"/>
      <c r="T83" s="198"/>
      <c r="U83" s="198"/>
    </row>
    <row r="84" spans="1:21" s="12" customFormat="1" ht="15">
      <c r="A84" s="201" t="s">
        <v>2917</v>
      </c>
      <c r="B84" s="60">
        <v>1.90</v>
      </c>
      <c r="C84" s="60">
        <v>18.21</v>
      </c>
      <c r="D84" s="60">
        <v>20.11</v>
      </c>
      <c r="E84" s="60">
        <v>6.30</v>
      </c>
      <c r="F84" s="60">
        <v>1.45</v>
      </c>
      <c r="G84" s="60">
        <v>41.40</v>
      </c>
      <c r="H84" s="60">
        <v>9.85</v>
      </c>
      <c r="I84" s="60">
        <v>5.30</v>
      </c>
      <c r="J84" s="60">
        <v>1.87</v>
      </c>
      <c r="K84" s="60">
        <v>341.28</v>
      </c>
      <c r="L84" s="60">
        <v>31.94</v>
      </c>
      <c r="M84" s="60">
        <v>65.36</v>
      </c>
      <c r="N84" s="60">
        <v>230.30</v>
      </c>
      <c r="O84" s="60">
        <v>0</v>
      </c>
      <c r="P84" s="60">
        <v>2.70</v>
      </c>
      <c r="Q84" s="60">
        <v>13.10</v>
      </c>
      <c r="R84" s="198"/>
      <c r="S84" s="198"/>
      <c r="T84" s="198"/>
      <c r="U84" s="198"/>
    </row>
    <row r="85" spans="1:21" s="12" customFormat="1" ht="15">
      <c r="A85" s="201" t="s">
        <v>2918</v>
      </c>
      <c r="B85" s="60">
        <v>2.62</v>
      </c>
      <c r="C85" s="60">
        <v>20.350000000000001</v>
      </c>
      <c r="D85" s="60">
        <v>22.97</v>
      </c>
      <c r="E85" s="60">
        <v>6.44</v>
      </c>
      <c r="F85" s="60">
        <v>1.21</v>
      </c>
      <c r="G85" s="60">
        <v>42.81</v>
      </c>
      <c r="H85" s="60">
        <v>11.58</v>
      </c>
      <c r="I85" s="60">
        <v>5.35</v>
      </c>
      <c r="J85" s="60">
        <v>1.30</v>
      </c>
      <c r="K85" s="60">
        <v>338.78</v>
      </c>
      <c r="L85" s="60">
        <v>33.369999999999997</v>
      </c>
      <c r="M85" s="60">
        <v>64.930000000000007</v>
      </c>
      <c r="N85" s="60">
        <v>227.30</v>
      </c>
      <c r="O85" s="60">
        <v>0</v>
      </c>
      <c r="P85" s="60">
        <v>2.79</v>
      </c>
      <c r="Q85" s="60">
        <v>14.17</v>
      </c>
      <c r="R85" s="198"/>
      <c r="S85" s="198"/>
      <c r="T85" s="198"/>
      <c r="U85" s="198"/>
    </row>
    <row r="86" spans="1:21" s="12" customFormat="1" ht="15">
      <c r="A86" s="201" t="s">
        <v>2919</v>
      </c>
      <c r="B86" s="60">
        <v>3.14</v>
      </c>
      <c r="C86" s="60">
        <v>22.5</v>
      </c>
      <c r="D86" s="60">
        <v>25.64</v>
      </c>
      <c r="E86" s="60">
        <v>6.31</v>
      </c>
      <c r="F86" s="60">
        <v>0.98</v>
      </c>
      <c r="G86" s="60">
        <v>46.27</v>
      </c>
      <c r="H86" s="60">
        <v>15.82</v>
      </c>
      <c r="I86" s="60">
        <v>5.46</v>
      </c>
      <c r="J86" s="60">
        <v>1.56</v>
      </c>
      <c r="K86" s="60">
        <v>20.13</v>
      </c>
      <c r="L86" s="60">
        <v>34.880000000000003</v>
      </c>
      <c r="M86" s="60">
        <v>64.52</v>
      </c>
      <c r="N86" s="60">
        <v>227.20</v>
      </c>
      <c r="O86" s="60">
        <v>0</v>
      </c>
      <c r="P86" s="60">
        <v>2.87</v>
      </c>
      <c r="Q86" s="60">
        <v>15.04</v>
      </c>
      <c r="R86" s="198"/>
      <c r="S86" s="198"/>
      <c r="T86" s="198"/>
      <c r="U86" s="198"/>
    </row>
    <row r="87" spans="1:21" s="12" customFormat="1" ht="15">
      <c r="A87" s="201" t="s">
        <v>2920</v>
      </c>
      <c r="B87" s="60">
        <v>4.54</v>
      </c>
      <c r="C87" s="60">
        <v>23.84</v>
      </c>
      <c r="D87" s="60">
        <v>28.38</v>
      </c>
      <c r="E87" s="60">
        <v>5.64</v>
      </c>
      <c r="F87" s="60">
        <v>1.05</v>
      </c>
      <c r="G87" s="60">
        <v>46.27</v>
      </c>
      <c r="H87" s="60">
        <v>15.82</v>
      </c>
      <c r="I87" s="60">
        <v>5.67</v>
      </c>
      <c r="J87" s="60">
        <v>2.42</v>
      </c>
      <c r="K87" s="60">
        <v>345.44</v>
      </c>
      <c r="L87" s="60">
        <v>23.47</v>
      </c>
      <c r="M87" s="60">
        <v>65.95</v>
      </c>
      <c r="N87" s="60">
        <v>219.70</v>
      </c>
      <c r="O87" s="60">
        <v>0</v>
      </c>
      <c r="P87" s="60">
        <v>3.01</v>
      </c>
      <c r="Q87" s="60">
        <v>16.149999999999999</v>
      </c>
      <c r="R87" s="198"/>
      <c r="S87" s="198"/>
      <c r="T87" s="198"/>
      <c r="U87" s="198"/>
    </row>
    <row r="88" spans="1:21" s="12" customFormat="1" ht="15">
      <c r="A88" s="201" t="s">
        <v>2921</v>
      </c>
      <c r="B88" s="60">
        <v>5.45</v>
      </c>
      <c r="C88" s="60">
        <v>24.96</v>
      </c>
      <c r="D88" s="60">
        <v>30.42</v>
      </c>
      <c r="E88" s="60">
        <v>2.5299999999999998</v>
      </c>
      <c r="F88" s="60">
        <v>0.70</v>
      </c>
      <c r="G88" s="60">
        <v>46.27</v>
      </c>
      <c r="H88" s="60">
        <v>15.82</v>
      </c>
      <c r="I88" s="60">
        <v>5.98</v>
      </c>
      <c r="J88" s="60">
        <v>1.45</v>
      </c>
      <c r="K88" s="60">
        <v>359.63</v>
      </c>
      <c r="L88" s="60">
        <v>24.71</v>
      </c>
      <c r="M88" s="60">
        <v>66.5</v>
      </c>
      <c r="N88" s="60">
        <v>227.60</v>
      </c>
      <c r="O88" s="60">
        <v>0</v>
      </c>
      <c r="P88" s="60">
        <v>3.12</v>
      </c>
      <c r="Q88" s="60">
        <v>16.77</v>
      </c>
      <c r="R88" s="198"/>
      <c r="S88" s="198"/>
      <c r="T88" s="198"/>
      <c r="U88" s="198"/>
    </row>
    <row r="89" spans="1:21" s="12" customFormat="1" ht="15">
      <c r="A89" s="201" t="s">
        <v>2922</v>
      </c>
      <c r="B89" s="60">
        <v>5.87</v>
      </c>
      <c r="C89" s="60">
        <v>25.5</v>
      </c>
      <c r="D89" s="60">
        <v>31.37</v>
      </c>
      <c r="E89" s="60">
        <v>4.9800000000000004</v>
      </c>
      <c r="F89" s="60">
        <v>0.62</v>
      </c>
      <c r="G89" s="60">
        <v>51.36</v>
      </c>
      <c r="H89" s="60">
        <v>16.14</v>
      </c>
      <c r="I89" s="60">
        <v>6.40</v>
      </c>
      <c r="J89" s="60">
        <v>2.74</v>
      </c>
      <c r="K89" s="60">
        <v>334.87</v>
      </c>
      <c r="L89" s="60">
        <v>25.13</v>
      </c>
      <c r="M89" s="60">
        <v>67.19</v>
      </c>
      <c r="N89" s="60">
        <v>244.40</v>
      </c>
      <c r="O89" s="60">
        <v>0</v>
      </c>
      <c r="P89" s="60">
        <v>3.19</v>
      </c>
      <c r="Q89" s="60">
        <v>17.239999999999998</v>
      </c>
      <c r="R89" s="198"/>
      <c r="S89" s="198"/>
      <c r="T89" s="198"/>
      <c r="U89" s="198"/>
    </row>
    <row r="90" spans="1:21" s="12" customFormat="1" ht="15">
      <c r="A90" s="201" t="s">
        <v>2923</v>
      </c>
      <c r="B90" s="60">
        <v>5.62</v>
      </c>
      <c r="C90" s="60">
        <v>25.41</v>
      </c>
      <c r="D90" s="60">
        <v>31.04</v>
      </c>
      <c r="E90" s="60">
        <v>4.9800000000000004</v>
      </c>
      <c r="F90" s="60">
        <v>1.30</v>
      </c>
      <c r="G90" s="60">
        <v>63.88</v>
      </c>
      <c r="H90" s="60">
        <v>16.940000000000001</v>
      </c>
      <c r="I90" s="60">
        <v>6.74</v>
      </c>
      <c r="J90" s="60">
        <v>3.01</v>
      </c>
      <c r="K90" s="60">
        <v>345.84</v>
      </c>
      <c r="L90" s="60">
        <v>23.19</v>
      </c>
      <c r="M90" s="60">
        <v>69.08</v>
      </c>
      <c r="N90" s="60">
        <v>252.40</v>
      </c>
      <c r="O90" s="60">
        <v>0</v>
      </c>
      <c r="P90" s="60">
        <v>3.19</v>
      </c>
      <c r="Q90" s="60">
        <v>16.82</v>
      </c>
      <c r="R90" s="198"/>
      <c r="S90" s="198"/>
      <c r="T90" s="198"/>
      <c r="U90" s="198"/>
    </row>
    <row r="91" spans="1:21" s="12" customFormat="1" ht="15">
      <c r="A91" s="201" t="s">
        <v>2924</v>
      </c>
      <c r="B91" s="60">
        <v>6.55</v>
      </c>
      <c r="C91" s="60">
        <v>26.57</v>
      </c>
      <c r="D91" s="60">
        <v>33.11</v>
      </c>
      <c r="E91" s="60">
        <v>4.9000000000000004</v>
      </c>
      <c r="F91" s="60">
        <v>1.18</v>
      </c>
      <c r="G91" s="60">
        <v>63.88</v>
      </c>
      <c r="H91" s="60">
        <v>16.940000000000001</v>
      </c>
      <c r="I91" s="60">
        <v>6.86</v>
      </c>
      <c r="J91" s="60">
        <v>4.0199999999999996</v>
      </c>
      <c r="K91" s="60">
        <v>320.48</v>
      </c>
      <c r="L91" s="60">
        <v>22.22</v>
      </c>
      <c r="M91" s="60">
        <v>70.98</v>
      </c>
      <c r="N91" s="60">
        <v>250.80</v>
      </c>
      <c r="O91" s="60">
        <v>0</v>
      </c>
      <c r="P91" s="60">
        <v>3.17</v>
      </c>
      <c r="Q91" s="60">
        <v>16.82</v>
      </c>
      <c r="R91" s="198"/>
      <c r="S91" s="198"/>
      <c r="T91" s="198"/>
      <c r="U91" s="198"/>
    </row>
    <row r="92" spans="1:21" s="12" customFormat="1" ht="15">
      <c r="A92" s="201" t="s">
        <v>2925</v>
      </c>
      <c r="B92" s="60">
        <v>10.88</v>
      </c>
      <c r="C92" s="60">
        <v>29.54</v>
      </c>
      <c r="D92" s="60">
        <v>40.42</v>
      </c>
      <c r="E92" s="60">
        <v>5.14</v>
      </c>
      <c r="F92" s="60">
        <v>0.70</v>
      </c>
      <c r="G92" s="60">
        <v>63.88</v>
      </c>
      <c r="H92" s="60">
        <v>16.940000000000001</v>
      </c>
      <c r="I92" s="60">
        <v>6.73</v>
      </c>
      <c r="J92" s="60">
        <v>2.48</v>
      </c>
      <c r="K92" s="60">
        <v>354.68</v>
      </c>
      <c r="L92" s="60">
        <v>22.09</v>
      </c>
      <c r="M92" s="60">
        <v>70.959999999999994</v>
      </c>
      <c r="N92" s="60">
        <v>246.90</v>
      </c>
      <c r="O92" s="60">
        <v>0</v>
      </c>
      <c r="P92" s="60">
        <v>3.16</v>
      </c>
      <c r="Q92" s="60">
        <v>18.55</v>
      </c>
      <c r="R92" s="198"/>
      <c r="S92" s="198"/>
      <c r="T92" s="198"/>
      <c r="U92" s="198"/>
    </row>
    <row r="93" spans="1:21" s="12" customFormat="1" ht="15">
      <c r="A93" s="201" t="s">
        <v>2926</v>
      </c>
      <c r="B93" s="60">
        <v>10.78</v>
      </c>
      <c r="C93" s="60">
        <v>29.80</v>
      </c>
      <c r="D93" s="60">
        <v>40.590000000000003</v>
      </c>
      <c r="E93" s="60">
        <v>5.0199999999999996</v>
      </c>
      <c r="F93" s="60">
        <v>0.53</v>
      </c>
      <c r="G93" s="60">
        <v>61.56</v>
      </c>
      <c r="H93" s="60">
        <v>16.34</v>
      </c>
      <c r="I93" s="60">
        <v>6.53</v>
      </c>
      <c r="J93" s="60">
        <v>3.26</v>
      </c>
      <c r="K93" s="60">
        <v>332.53</v>
      </c>
      <c r="L93" s="60">
        <v>22.21</v>
      </c>
      <c r="M93" s="60">
        <v>70.77</v>
      </c>
      <c r="N93" s="60">
        <v>265.5</v>
      </c>
      <c r="O93" s="60">
        <v>0</v>
      </c>
      <c r="P93" s="60">
        <v>3.13</v>
      </c>
      <c r="Q93" s="60">
        <v>17.399999999999999</v>
      </c>
      <c r="R93" s="198"/>
      <c r="S93" s="198"/>
      <c r="T93" s="198"/>
      <c r="U93" s="198"/>
    </row>
    <row r="94" spans="1:21" s="12" customFormat="1" ht="15">
      <c r="A94" s="201" t="s">
        <v>2927</v>
      </c>
      <c r="B94" s="60">
        <v>10.67</v>
      </c>
      <c r="C94" s="60">
        <v>28.93</v>
      </c>
      <c r="D94" s="60">
        <v>39.60</v>
      </c>
      <c r="E94" s="60">
        <v>5.16</v>
      </c>
      <c r="F94" s="60">
        <v>0.21</v>
      </c>
      <c r="G94" s="60">
        <v>55.86</v>
      </c>
      <c r="H94" s="60">
        <v>14.88</v>
      </c>
      <c r="I94" s="60">
        <v>6.42</v>
      </c>
      <c r="J94" s="60">
        <v>3.73</v>
      </c>
      <c r="K94" s="60">
        <v>166.85</v>
      </c>
      <c r="L94" s="60">
        <v>22.30</v>
      </c>
      <c r="M94" s="60">
        <v>69.27</v>
      </c>
      <c r="N94" s="60">
        <v>260.70</v>
      </c>
      <c r="O94" s="60">
        <v>0</v>
      </c>
      <c r="P94" s="60">
        <v>3.11</v>
      </c>
      <c r="Q94" s="60">
        <v>16.45</v>
      </c>
      <c r="R94" s="198"/>
      <c r="S94" s="198"/>
      <c r="T94" s="198"/>
      <c r="U94" s="198"/>
    </row>
    <row r="95" spans="1:21" s="12" customFormat="1" ht="15">
      <c r="A95" s="201" t="s">
        <v>2928</v>
      </c>
      <c r="B95" s="60">
        <v>10.38</v>
      </c>
      <c r="C95" s="60">
        <v>27.40</v>
      </c>
      <c r="D95" s="60">
        <v>37.79</v>
      </c>
      <c r="E95" s="60">
        <v>5.38</v>
      </c>
      <c r="F95" s="60">
        <v>0.12</v>
      </c>
      <c r="G95" s="60">
        <v>55.86</v>
      </c>
      <c r="H95" s="60">
        <v>14.88</v>
      </c>
      <c r="I95" s="60">
        <v>6.37</v>
      </c>
      <c r="J95" s="60">
        <v>5.95</v>
      </c>
      <c r="K95" s="60">
        <v>160.54</v>
      </c>
      <c r="L95" s="60">
        <v>23.40</v>
      </c>
      <c r="M95" s="60">
        <v>72.58</v>
      </c>
      <c r="N95" s="60">
        <v>249.90</v>
      </c>
      <c r="O95" s="60">
        <v>0</v>
      </c>
      <c r="P95" s="60">
        <v>3.07</v>
      </c>
      <c r="Q95" s="60">
        <v>15.55</v>
      </c>
      <c r="R95" s="198"/>
      <c r="S95" s="198"/>
      <c r="T95" s="198"/>
      <c r="U95" s="198"/>
    </row>
    <row r="96" spans="1:26" s="12" customFormat="1" ht="15">
      <c r="A96" s="201" t="s">
        <v>2929</v>
      </c>
      <c r="B96" s="60">
        <v>9.6199999999999992</v>
      </c>
      <c r="C96" s="60">
        <v>25.49</v>
      </c>
      <c r="D96" s="60">
        <v>35.119999999999997</v>
      </c>
      <c r="E96" s="60">
        <v>5.61</v>
      </c>
      <c r="F96" s="60">
        <v>0.25</v>
      </c>
      <c r="G96" s="60">
        <v>55.86</v>
      </c>
      <c r="H96" s="60">
        <v>14.88</v>
      </c>
      <c r="I96" s="60">
        <v>6.42</v>
      </c>
      <c r="J96" s="60">
        <v>4.97</v>
      </c>
      <c r="K96" s="60">
        <v>164.37</v>
      </c>
      <c r="L96" s="60">
        <v>21.87</v>
      </c>
      <c r="M96" s="60">
        <v>75.63</v>
      </c>
      <c r="N96" s="60">
        <v>257.60000000000002</v>
      </c>
      <c r="O96" s="60">
        <v>0</v>
      </c>
      <c r="P96" s="60">
        <v>3.02</v>
      </c>
      <c r="Q96" s="60">
        <v>14.52</v>
      </c>
      <c r="R96" s="198"/>
      <c r="S96" s="198"/>
      <c r="T96" s="198"/>
      <c r="U96" s="198"/>
      <c r="Z96" s="109"/>
    </row>
    <row r="97" spans="1:21" s="12" customFormat="1" ht="15">
      <c r="A97" s="201" t="s">
        <v>2930</v>
      </c>
      <c r="B97" s="60">
        <v>8.81</v>
      </c>
      <c r="C97" s="60">
        <v>23.35</v>
      </c>
      <c r="D97" s="60">
        <v>32.159999999999997</v>
      </c>
      <c r="E97" s="60">
        <v>5.64</v>
      </c>
      <c r="F97" s="60">
        <v>0.45</v>
      </c>
      <c r="G97" s="60">
        <v>56.03</v>
      </c>
      <c r="H97" s="60">
        <v>15.32</v>
      </c>
      <c r="I97" s="60">
        <v>6.45</v>
      </c>
      <c r="J97" s="60">
        <v>4.42</v>
      </c>
      <c r="K97" s="60">
        <v>114.97</v>
      </c>
      <c r="L97" s="60">
        <v>22.11</v>
      </c>
      <c r="M97" s="60">
        <v>79.41</v>
      </c>
      <c r="N97" s="60">
        <v>256</v>
      </c>
      <c r="O97" s="60">
        <v>0</v>
      </c>
      <c r="P97" s="60">
        <v>2.98</v>
      </c>
      <c r="Q97" s="60">
        <v>13.48</v>
      </c>
      <c r="R97" s="198"/>
      <c r="S97" s="198"/>
      <c r="T97" s="198"/>
      <c r="U97" s="198"/>
    </row>
    <row r="98" spans="1:21" s="12" customFormat="1" ht="15">
      <c r="A98" s="201" t="s">
        <v>2931</v>
      </c>
      <c r="B98" s="60">
        <v>7.95</v>
      </c>
      <c r="C98" s="60">
        <v>21.85</v>
      </c>
      <c r="D98" s="60">
        <v>29.79</v>
      </c>
      <c r="E98" s="60">
        <v>5.92</v>
      </c>
      <c r="F98" s="60">
        <v>0.24</v>
      </c>
      <c r="G98" s="60">
        <v>56.46</v>
      </c>
      <c r="H98" s="60">
        <v>16.41</v>
      </c>
      <c r="I98" s="60">
        <v>6.51</v>
      </c>
      <c r="J98" s="60">
        <v>1.95</v>
      </c>
      <c r="K98" s="60">
        <v>110.24</v>
      </c>
      <c r="L98" s="60">
        <v>20.13</v>
      </c>
      <c r="M98" s="60">
        <v>82.62</v>
      </c>
      <c r="N98" s="60">
        <v>253</v>
      </c>
      <c r="O98" s="60">
        <v>0</v>
      </c>
      <c r="P98" s="60">
        <v>2.93</v>
      </c>
      <c r="Q98" s="60">
        <v>12.81</v>
      </c>
      <c r="R98" s="198"/>
      <c r="S98" s="198"/>
      <c r="T98" s="198"/>
      <c r="U98" s="198"/>
    </row>
    <row r="99" spans="1:21" s="12" customFormat="1" ht="15">
      <c r="A99" s="201" t="s">
        <v>2932</v>
      </c>
      <c r="B99" s="60">
        <v>7.30</v>
      </c>
      <c r="C99" s="60">
        <v>20.38</v>
      </c>
      <c r="D99" s="60">
        <v>27.68</v>
      </c>
      <c r="E99" s="60">
        <v>6.37</v>
      </c>
      <c r="F99" s="60">
        <v>0.17</v>
      </c>
      <c r="G99" s="60">
        <v>56.46</v>
      </c>
      <c r="H99" s="60">
        <v>16.41</v>
      </c>
      <c r="I99" s="60">
        <v>6.5</v>
      </c>
      <c r="J99" s="60">
        <v>3.03</v>
      </c>
      <c r="K99" s="60">
        <v>355.37</v>
      </c>
      <c r="L99" s="60">
        <v>23.72</v>
      </c>
      <c r="M99" s="60">
        <v>83.17</v>
      </c>
      <c r="N99" s="60">
        <v>248.70</v>
      </c>
      <c r="O99" s="60">
        <v>0</v>
      </c>
      <c r="P99" s="60">
        <v>2.91</v>
      </c>
      <c r="Q99" s="60">
        <v>12.34</v>
      </c>
      <c r="R99" s="198"/>
      <c r="S99" s="198"/>
      <c r="T99" s="198"/>
      <c r="U99" s="198"/>
    </row>
    <row r="100" spans="1:33" s="12" customFormat="1" ht="15">
      <c r="A100" s="201" t="s">
        <v>2933</v>
      </c>
      <c r="B100" s="60">
        <v>7.28</v>
      </c>
      <c r="C100" s="60">
        <v>20.149999999999999</v>
      </c>
      <c r="D100" s="60">
        <v>27.43</v>
      </c>
      <c r="E100" s="60">
        <v>7.06</v>
      </c>
      <c r="F100" s="60">
        <v>0.66</v>
      </c>
      <c r="G100" s="60">
        <v>56.46</v>
      </c>
      <c r="H100" s="60">
        <v>16.41</v>
      </c>
      <c r="I100" s="60">
        <v>6.46</v>
      </c>
      <c r="J100" s="60">
        <v>5.48</v>
      </c>
      <c r="K100" s="60">
        <v>161.24</v>
      </c>
      <c r="L100" s="60">
        <v>23.97</v>
      </c>
      <c r="M100" s="60">
        <v>82.08</v>
      </c>
      <c r="N100" s="60">
        <v>244.80</v>
      </c>
      <c r="O100" s="60">
        <v>0</v>
      </c>
      <c r="P100" s="60">
        <v>2.89</v>
      </c>
      <c r="Q100" s="60">
        <v>12.63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2934</v>
      </c>
      <c r="B101" s="60">
        <v>6.12</v>
      </c>
      <c r="C101" s="60">
        <v>18.989999999999998</v>
      </c>
      <c r="D101" s="60">
        <v>25.11</v>
      </c>
      <c r="E101" s="60">
        <v>6.36</v>
      </c>
      <c r="F101" s="60">
        <v>1.22</v>
      </c>
      <c r="G101" s="60">
        <v>53.40</v>
      </c>
      <c r="H101" s="60">
        <v>15.13</v>
      </c>
      <c r="I101" s="60">
        <v>6.37</v>
      </c>
      <c r="J101" s="60">
        <v>5.94</v>
      </c>
      <c r="K101" s="60">
        <v>171.31</v>
      </c>
      <c r="L101" s="60">
        <v>23.36</v>
      </c>
      <c r="M101" s="60">
        <v>81.72</v>
      </c>
      <c r="N101" s="60">
        <v>243.5</v>
      </c>
      <c r="O101" s="60">
        <v>0</v>
      </c>
      <c r="P101" s="60">
        <v>2.88</v>
      </c>
      <c r="Q101" s="60">
        <v>13.02</v>
      </c>
      <c r="R101" s="198"/>
      <c r="S101" s="198"/>
      <c r="T101" s="198"/>
      <c r="U101" s="198"/>
    </row>
    <row r="102" spans="1:21" s="12" customFormat="1" ht="15">
      <c r="A102" s="201" t="s">
        <v>2935</v>
      </c>
      <c r="B102" s="60">
        <v>4.43</v>
      </c>
      <c r="C102" s="60">
        <v>18.899999999999999</v>
      </c>
      <c r="D102" s="60">
        <v>23.33</v>
      </c>
      <c r="E102" s="60">
        <v>6.49</v>
      </c>
      <c r="F102" s="60">
        <v>1.04</v>
      </c>
      <c r="G102" s="60">
        <v>45.84</v>
      </c>
      <c r="H102" s="60">
        <v>11.97</v>
      </c>
      <c r="I102" s="60">
        <v>6.24</v>
      </c>
      <c r="J102" s="60">
        <v>6</v>
      </c>
      <c r="K102" s="60">
        <v>175.80</v>
      </c>
      <c r="L102" s="60">
        <v>24.08</v>
      </c>
      <c r="M102" s="60">
        <v>84.05</v>
      </c>
      <c r="N102" s="60">
        <v>235.70</v>
      </c>
      <c r="O102" s="60">
        <v>0</v>
      </c>
      <c r="P102" s="60">
        <v>2.85</v>
      </c>
      <c r="Q102" s="60">
        <v>13.44</v>
      </c>
      <c r="R102" s="198"/>
      <c r="S102" s="198"/>
      <c r="T102" s="198"/>
      <c r="U102" s="198"/>
    </row>
    <row r="103" spans="1:21" s="12" customFormat="1" ht="15">
      <c r="A103" s="201" t="s">
        <v>2936</v>
      </c>
      <c r="B103" s="60">
        <v>3.03</v>
      </c>
      <c r="C103" s="60">
        <v>18.30</v>
      </c>
      <c r="D103" s="60">
        <v>21.34</v>
      </c>
      <c r="E103" s="60">
        <v>6.13</v>
      </c>
      <c r="F103" s="60">
        <v>1.0900000000000001</v>
      </c>
      <c r="G103" s="60">
        <v>45.84</v>
      </c>
      <c r="H103" s="60">
        <v>11.97</v>
      </c>
      <c r="I103" s="60">
        <v>5.94</v>
      </c>
      <c r="J103" s="60">
        <v>4.78</v>
      </c>
      <c r="K103" s="60">
        <v>180.48</v>
      </c>
      <c r="L103" s="60">
        <v>28.12</v>
      </c>
      <c r="M103" s="60">
        <v>83.81</v>
      </c>
      <c r="N103" s="60">
        <v>237.80</v>
      </c>
      <c r="O103" s="60">
        <v>0</v>
      </c>
      <c r="P103" s="60">
        <v>2.83</v>
      </c>
      <c r="Q103" s="60">
        <v>13.42</v>
      </c>
      <c r="R103" s="198"/>
      <c r="S103" s="198"/>
      <c r="T103" s="198"/>
      <c r="U103" s="198"/>
    </row>
    <row r="104" spans="1:21" s="12" customFormat="1" ht="15">
      <c r="A104" s="201" t="s">
        <v>2937</v>
      </c>
      <c r="B104" s="60">
        <v>2.09</v>
      </c>
      <c r="C104" s="60">
        <v>17.12</v>
      </c>
      <c r="D104" s="60">
        <v>19.22</v>
      </c>
      <c r="E104" s="60">
        <v>4.17</v>
      </c>
      <c r="F104" s="60">
        <v>1.32</v>
      </c>
      <c r="G104" s="60">
        <v>45.84</v>
      </c>
      <c r="H104" s="60">
        <v>11.97</v>
      </c>
      <c r="I104" s="60">
        <v>5.62</v>
      </c>
      <c r="J104" s="60">
        <v>5.93</v>
      </c>
      <c r="K104" s="60">
        <v>165.63</v>
      </c>
      <c r="L104" s="60">
        <v>22.54</v>
      </c>
      <c r="M104" s="60">
        <v>83.95</v>
      </c>
      <c r="N104" s="60">
        <v>252.30</v>
      </c>
      <c r="O104" s="60">
        <v>0</v>
      </c>
      <c r="P104" s="60">
        <v>2.81</v>
      </c>
      <c r="Q104" s="60">
        <v>13.38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0.25</v>
      </c>
      <c r="C106" s="67">
        <f>MIN(C9:C104)</f>
        <v>11.24</v>
      </c>
      <c r="D106" s="67">
        <f t="shared" si="0" ref="D106:Q106">MIN(D9:D104)</f>
        <v>12.279999999999999</v>
      </c>
      <c r="E106" s="67">
        <f t="shared" si="0"/>
        <v>1.01</v>
      </c>
      <c r="F106" s="67">
        <f t="shared" si="0"/>
        <v>0.12</v>
      </c>
      <c r="G106" s="67">
        <f t="shared" si="0"/>
        <v>20.09</v>
      </c>
      <c r="H106" s="67">
        <f t="shared" si="0"/>
        <v>7.1100000000000003</v>
      </c>
      <c r="I106" s="67">
        <f t="shared" si="0"/>
        <v>1.6399999999999999</v>
      </c>
      <c r="J106" s="67">
        <f t="shared" si="0"/>
        <v>0.34000000000000002</v>
      </c>
      <c r="K106" s="67">
        <f t="shared" si="0"/>
        <v>1.75</v>
      </c>
      <c r="L106" s="67">
        <f t="shared" si="0"/>
        <v>20.129999999999999</v>
      </c>
      <c r="M106" s="67">
        <f t="shared" si="0"/>
        <v>43.57</v>
      </c>
      <c r="N106" s="67">
        <f t="shared" si="0"/>
        <v>127.40000000000001</v>
      </c>
      <c r="O106" s="67">
        <f t="shared" si="0"/>
        <v>0</v>
      </c>
      <c r="P106" s="67">
        <f t="shared" si="0"/>
        <v>2.1499999999999999</v>
      </c>
      <c r="Q106" s="67">
        <f t="shared" si="0"/>
        <v>4.9500000000000002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10.880000000000001</v>
      </c>
      <c r="C107" s="66">
        <f t="shared" si="1" ref="C107:Q107">MAX(C9:C104)</f>
        <v>29.800000000000001</v>
      </c>
      <c r="D107" s="66">
        <f t="shared" si="1"/>
        <v>40.590000000000003</v>
      </c>
      <c r="E107" s="66">
        <f t="shared" si="1"/>
        <v>7.0599999999999996</v>
      </c>
      <c r="F107" s="66">
        <f t="shared" si="1"/>
        <v>14.69</v>
      </c>
      <c r="G107" s="66">
        <f t="shared" si="1"/>
        <v>63.880000000000003</v>
      </c>
      <c r="H107" s="66">
        <f t="shared" si="1"/>
        <v>26.949999999999999</v>
      </c>
      <c r="I107" s="66">
        <f t="shared" si="1"/>
        <v>7.7199999999999998</v>
      </c>
      <c r="J107" s="66">
        <f t="shared" si="1"/>
        <v>6</v>
      </c>
      <c r="K107" s="66">
        <f t="shared" si="1"/>
        <v>359.63</v>
      </c>
      <c r="L107" s="66">
        <f t="shared" si="1"/>
        <v>56.450000000000003</v>
      </c>
      <c r="M107" s="66">
        <f t="shared" si="1"/>
        <v>88.180000000000007</v>
      </c>
      <c r="N107" s="66">
        <f t="shared" si="1"/>
        <v>1417</v>
      </c>
      <c r="O107" s="66">
        <f t="shared" si="1"/>
        <v>0</v>
      </c>
      <c r="P107" s="66">
        <f t="shared" si="1"/>
        <v>3.1899999999999999</v>
      </c>
      <c r="Q107" s="66">
        <f t="shared" si="1"/>
        <v>18.879999999999999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2.4883333333333337</v>
      </c>
      <c r="C108" s="67">
        <f t="shared" si="2" ref="C108:Q108">AVERAGE(C9:C104)</f>
        <v>18.278541666666666</v>
      </c>
      <c r="D108" s="67">
        <f t="shared" si="2"/>
        <v>20.767604166666665</v>
      </c>
      <c r="E108" s="67">
        <f t="shared" si="2"/>
        <v>4.6814583333333326</v>
      </c>
      <c r="F108" s="67">
        <f t="shared" si="2"/>
        <v>1.9267708333333331</v>
      </c>
      <c r="G108" s="67">
        <f t="shared" si="2"/>
        <v>41.164583333333361</v>
      </c>
      <c r="H108" s="67">
        <f t="shared" si="2"/>
        <v>14.317916666666671</v>
      </c>
      <c r="I108" s="67">
        <f t="shared" si="2"/>
        <v>5.025312500000001</v>
      </c>
      <c r="J108" s="67">
        <f t="shared" si="2"/>
        <v>2.6984374999999985</v>
      </c>
      <c r="K108" s="67">
        <f t="shared" si="2"/>
        <v>222.5929166666667</v>
      </c>
      <c r="L108" s="67">
        <f t="shared" si="2"/>
        <v>35.883541666666666</v>
      </c>
      <c r="M108" s="67">
        <f t="shared" si="2"/>
        <v>70.30072916666667</v>
      </c>
      <c r="N108" s="67">
        <f t="shared" si="2"/>
        <v>558.45312500000034</v>
      </c>
      <c r="O108" s="67">
        <f t="shared" si="2"/>
        <v>0</v>
      </c>
      <c r="P108" s="67">
        <f t="shared" si="2"/>
        <v>2.6755208333333331</v>
      </c>
      <c r="Q108" s="67">
        <f t="shared" si="2"/>
        <v>12.615520833333335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2.5791241543416965</v>
      </c>
      <c r="C109" s="67">
        <f t="shared" si="3" ref="C109:Q109">STDEV(C9:C104)</f>
        <v>5.1316862888008519</v>
      </c>
      <c r="D109" s="67">
        <f t="shared" si="3"/>
        <v>6.9042691209351306</v>
      </c>
      <c r="E109" s="67">
        <f t="shared" si="3"/>
        <v>1.5798227609894602</v>
      </c>
      <c r="F109" s="67">
        <f t="shared" si="3"/>
        <v>2.2711223725595131</v>
      </c>
      <c r="G109" s="67">
        <f t="shared" si="3"/>
        <v>13.732901630499653</v>
      </c>
      <c r="H109" s="67">
        <f t="shared" si="3"/>
        <v>5.6941604282331273</v>
      </c>
      <c r="I109" s="67">
        <f t="shared" si="3"/>
        <v>1.6389058950698543</v>
      </c>
      <c r="J109" s="67">
        <f t="shared" si="3"/>
        <v>1.3181025661912678</v>
      </c>
      <c r="K109" s="67">
        <f t="shared" si="3"/>
        <v>83.876519603982004</v>
      </c>
      <c r="L109" s="67">
        <f t="shared" si="3"/>
        <v>10.465305083104642</v>
      </c>
      <c r="M109" s="67">
        <f t="shared" si="3"/>
        <v>13.910943760393275</v>
      </c>
      <c r="N109" s="67">
        <f t="shared" si="3"/>
        <v>417.80156633530788</v>
      </c>
      <c r="O109" s="67">
        <f t="shared" si="3"/>
        <v>0</v>
      </c>
      <c r="P109" s="67">
        <f t="shared" si="3"/>
        <v>0.26195969875522801</v>
      </c>
      <c r="Q109" s="67">
        <f t="shared" si="3"/>
        <v>2.8518831709265395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224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8c5590-eec6-48bb-bde1-c0b5ff8ac8de}">
  <sheetPr codeName=""/>
  <dimension ref="A1:AG117"/>
  <sheetViews>
    <sheetView workbookViewId="0" topLeftCell="A1">
      <selection pane="topLef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29-06-2022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ht="15">
      <c r="A9" s="222" t="s">
        <v>2938</v>
      </c>
      <c r="B9" s="139">
        <v>1.45</v>
      </c>
      <c r="C9" s="139">
        <v>16.30</v>
      </c>
      <c r="D9" s="139">
        <v>17.75</v>
      </c>
      <c r="E9" s="139">
        <v>6.08</v>
      </c>
      <c r="F9" s="139">
        <v>1.35</v>
      </c>
      <c r="G9" s="139">
        <v>41.90</v>
      </c>
      <c r="H9" s="139">
        <v>11.04</v>
      </c>
      <c r="I9" s="139">
        <v>5.29</v>
      </c>
      <c r="J9" s="139">
        <v>5.89</v>
      </c>
      <c r="K9" s="139">
        <v>168.24</v>
      </c>
      <c r="L9" s="139">
        <v>22.80</v>
      </c>
      <c r="M9" s="139">
        <v>84.53</v>
      </c>
      <c r="N9" s="139">
        <v>255.80</v>
      </c>
      <c r="O9" s="139">
        <v>0</v>
      </c>
      <c r="P9" s="139">
        <v>2.80</v>
      </c>
      <c r="Q9" s="139">
        <v>13.11</v>
      </c>
      <c r="R9" s="198"/>
      <c r="S9" s="198"/>
      <c r="T9" s="198"/>
      <c r="U9" s="198"/>
    </row>
    <row r="10" spans="1:21" s="12" customFormat="1" ht="15">
      <c r="A10" s="222" t="s">
        <v>2939</v>
      </c>
      <c r="B10" s="139">
        <v>1.01</v>
      </c>
      <c r="C10" s="139">
        <v>15.20</v>
      </c>
      <c r="D10" s="139">
        <v>16.21</v>
      </c>
      <c r="E10" s="139">
        <v>6.04</v>
      </c>
      <c r="F10" s="139">
        <v>1.55</v>
      </c>
      <c r="G10" s="139">
        <v>32.21</v>
      </c>
      <c r="H10" s="139">
        <v>8.74</v>
      </c>
      <c r="I10" s="139">
        <v>5.04</v>
      </c>
      <c r="J10" s="139">
        <v>6.45</v>
      </c>
      <c r="K10" s="139">
        <v>165.04</v>
      </c>
      <c r="L10" s="139">
        <v>24.56</v>
      </c>
      <c r="M10" s="139">
        <v>85.23</v>
      </c>
      <c r="N10" s="139">
        <v>265.5</v>
      </c>
      <c r="O10" s="139">
        <v>0</v>
      </c>
      <c r="P10" s="139">
        <v>2.77</v>
      </c>
      <c r="Q10" s="139">
        <v>12.53</v>
      </c>
      <c r="R10" s="198"/>
      <c r="S10" s="198"/>
      <c r="T10" s="198"/>
      <c r="U10" s="198"/>
    </row>
    <row r="11" spans="1:21" s="12" customFormat="1" ht="15">
      <c r="A11" s="222" t="s">
        <v>2940</v>
      </c>
      <c r="B11" s="139">
        <v>0.73</v>
      </c>
      <c r="C11" s="139">
        <v>14.42</v>
      </c>
      <c r="D11" s="139">
        <v>15.15</v>
      </c>
      <c r="E11" s="139">
        <v>6.06</v>
      </c>
      <c r="F11" s="139">
        <v>1.48</v>
      </c>
      <c r="G11" s="139">
        <v>32.21</v>
      </c>
      <c r="H11" s="139">
        <v>8.74</v>
      </c>
      <c r="I11" s="139">
        <v>4.7699999999999996</v>
      </c>
      <c r="J11" s="139">
        <v>5.93</v>
      </c>
      <c r="K11" s="139">
        <v>163.43</v>
      </c>
      <c r="L11" s="139">
        <v>24.93</v>
      </c>
      <c r="M11" s="139">
        <v>84.65</v>
      </c>
      <c r="N11" s="139">
        <v>280.5</v>
      </c>
      <c r="O11" s="139">
        <v>0</v>
      </c>
      <c r="P11" s="139">
        <v>2.75</v>
      </c>
      <c r="Q11" s="139">
        <v>12.07</v>
      </c>
      <c r="R11" s="198"/>
      <c r="S11" s="198"/>
      <c r="T11" s="198"/>
      <c r="U11" s="198"/>
    </row>
    <row r="12" spans="1:21" s="12" customFormat="1" ht="15">
      <c r="A12" s="222" t="s">
        <v>2941</v>
      </c>
      <c r="B12" s="139">
        <v>0.60</v>
      </c>
      <c r="C12" s="139">
        <v>13.82</v>
      </c>
      <c r="D12" s="139">
        <v>14.42</v>
      </c>
      <c r="E12" s="139">
        <v>5.98</v>
      </c>
      <c r="F12" s="139">
        <v>1.43</v>
      </c>
      <c r="G12" s="139">
        <v>32.21</v>
      </c>
      <c r="H12" s="139">
        <v>8.74</v>
      </c>
      <c r="I12" s="139">
        <v>4.58</v>
      </c>
      <c r="J12" s="139">
        <v>4.5</v>
      </c>
      <c r="K12" s="139">
        <v>185.04</v>
      </c>
      <c r="L12" s="139">
        <v>25.10</v>
      </c>
      <c r="M12" s="139">
        <v>84.60</v>
      </c>
      <c r="N12" s="139">
        <v>287.89999999999998</v>
      </c>
      <c r="O12" s="139">
        <v>0</v>
      </c>
      <c r="P12" s="139">
        <v>2.74</v>
      </c>
      <c r="Q12" s="139">
        <v>11.88</v>
      </c>
      <c r="R12" s="198"/>
      <c r="S12" s="198"/>
      <c r="T12" s="198"/>
      <c r="U12" s="198"/>
    </row>
    <row r="13" spans="1:21" s="12" customFormat="1" ht="15">
      <c r="A13" s="222" t="s">
        <v>2942</v>
      </c>
      <c r="B13" s="139">
        <v>0.52</v>
      </c>
      <c r="C13" s="139">
        <v>13.19</v>
      </c>
      <c r="D13" s="139">
        <v>13.71</v>
      </c>
      <c r="E13" s="139">
        <v>6.01</v>
      </c>
      <c r="F13" s="139">
        <v>1.43</v>
      </c>
      <c r="G13" s="139">
        <v>30.88</v>
      </c>
      <c r="H13" s="139">
        <v>8.09</v>
      </c>
      <c r="I13" s="139">
        <v>4.4000000000000004</v>
      </c>
      <c r="J13" s="139">
        <v>3.49</v>
      </c>
      <c r="K13" s="139">
        <v>200.19</v>
      </c>
      <c r="L13" s="139">
        <v>27.56</v>
      </c>
      <c r="M13" s="139">
        <v>85.01</v>
      </c>
      <c r="N13" s="139">
        <v>294.89999999999998</v>
      </c>
      <c r="O13" s="139">
        <v>0</v>
      </c>
      <c r="P13" s="139">
        <v>2.72</v>
      </c>
      <c r="Q13" s="139">
        <v>11.73</v>
      </c>
      <c r="R13" s="198"/>
      <c r="S13" s="198"/>
      <c r="T13" s="198"/>
      <c r="U13" s="198"/>
    </row>
    <row r="14" spans="1:21" s="12" customFormat="1" ht="15">
      <c r="A14" s="222" t="s">
        <v>2943</v>
      </c>
      <c r="B14" s="139">
        <v>0.52</v>
      </c>
      <c r="C14" s="139">
        <v>13.56</v>
      </c>
      <c r="D14" s="139">
        <v>14.08</v>
      </c>
      <c r="E14" s="139">
        <v>5.73</v>
      </c>
      <c r="F14" s="139">
        <v>1.42</v>
      </c>
      <c r="G14" s="139">
        <v>27.60</v>
      </c>
      <c r="H14" s="139">
        <v>6.46</v>
      </c>
      <c r="I14" s="139">
        <v>4.20</v>
      </c>
      <c r="J14" s="139">
        <v>3.16</v>
      </c>
      <c r="K14" s="139">
        <v>200.91</v>
      </c>
      <c r="L14" s="139">
        <v>26.88</v>
      </c>
      <c r="M14" s="139">
        <v>84.95</v>
      </c>
      <c r="N14" s="139">
        <v>287.89999999999998</v>
      </c>
      <c r="O14" s="139">
        <v>0</v>
      </c>
      <c r="P14" s="139">
        <v>2.71</v>
      </c>
      <c r="Q14" s="139">
        <v>11.66</v>
      </c>
      <c r="R14" s="198"/>
      <c r="S14" s="198"/>
      <c r="T14" s="198"/>
      <c r="U14" s="198"/>
    </row>
    <row r="15" spans="1:21" s="12" customFormat="1" ht="15">
      <c r="A15" s="222" t="s">
        <v>2944</v>
      </c>
      <c r="B15" s="139">
        <v>0.61</v>
      </c>
      <c r="C15" s="139">
        <v>13.22</v>
      </c>
      <c r="D15" s="139">
        <v>13.83</v>
      </c>
      <c r="E15" s="139">
        <v>5.81</v>
      </c>
      <c r="F15" s="139">
        <v>0.88</v>
      </c>
      <c r="G15" s="139">
        <v>27.60</v>
      </c>
      <c r="H15" s="139">
        <v>6.46</v>
      </c>
      <c r="I15" s="139">
        <v>4.07</v>
      </c>
      <c r="J15" s="139">
        <v>3.48</v>
      </c>
      <c r="K15" s="139">
        <v>198.92</v>
      </c>
      <c r="L15" s="139">
        <v>24.04</v>
      </c>
      <c r="M15" s="139">
        <v>84.49</v>
      </c>
      <c r="N15" s="139">
        <v>298.80</v>
      </c>
      <c r="O15" s="139">
        <v>0</v>
      </c>
      <c r="P15" s="139">
        <v>2.68</v>
      </c>
      <c r="Q15" s="139">
        <v>10.72</v>
      </c>
      <c r="R15" s="198"/>
      <c r="S15" s="198"/>
      <c r="T15" s="198"/>
      <c r="U15" s="198"/>
    </row>
    <row r="16" spans="1:21" s="12" customFormat="1" ht="15">
      <c r="A16" s="222" t="s">
        <v>2945</v>
      </c>
      <c r="B16" s="139">
        <v>0.81</v>
      </c>
      <c r="C16" s="139">
        <v>12.64</v>
      </c>
      <c r="D16" s="139">
        <v>13.45</v>
      </c>
      <c r="E16" s="139">
        <v>6.53</v>
      </c>
      <c r="F16" s="139">
        <v>0.71</v>
      </c>
      <c r="G16" s="139">
        <v>27.60</v>
      </c>
      <c r="H16" s="139">
        <v>6.46</v>
      </c>
      <c r="I16" s="139">
        <v>3.96</v>
      </c>
      <c r="J16" s="139">
        <v>2.85</v>
      </c>
      <c r="K16" s="139">
        <v>213.56</v>
      </c>
      <c r="L16" s="139">
        <v>23.25</v>
      </c>
      <c r="M16" s="139">
        <v>83.85</v>
      </c>
      <c r="N16" s="139">
        <v>311.70</v>
      </c>
      <c r="O16" s="139">
        <v>0</v>
      </c>
      <c r="P16" s="139">
        <v>2.65</v>
      </c>
      <c r="Q16" s="139">
        <v>9.44</v>
      </c>
      <c r="R16" s="198"/>
      <c r="S16" s="198"/>
      <c r="T16" s="198"/>
      <c r="U16" s="198"/>
    </row>
    <row r="17" spans="1:21" s="12" customFormat="1" ht="15">
      <c r="A17" s="222" t="s">
        <v>2946</v>
      </c>
      <c r="B17" s="139">
        <v>0.97</v>
      </c>
      <c r="C17" s="139">
        <v>12.29</v>
      </c>
      <c r="D17" s="139">
        <v>13.27</v>
      </c>
      <c r="E17" s="139">
        <v>6.38</v>
      </c>
      <c r="F17" s="139">
        <v>0.65</v>
      </c>
      <c r="G17" s="139">
        <v>27.28</v>
      </c>
      <c r="H17" s="139">
        <v>6.65</v>
      </c>
      <c r="I17" s="139">
        <v>3.96</v>
      </c>
      <c r="J17" s="139">
        <v>2.93</v>
      </c>
      <c r="K17" s="139">
        <v>210.61</v>
      </c>
      <c r="L17" s="139">
        <v>22.47</v>
      </c>
      <c r="M17" s="139">
        <v>83.26</v>
      </c>
      <c r="N17" s="139">
        <v>261</v>
      </c>
      <c r="O17" s="139">
        <v>0</v>
      </c>
      <c r="P17" s="139">
        <v>2.61</v>
      </c>
      <c r="Q17" s="139">
        <v>8.7100000000000009</v>
      </c>
      <c r="R17" s="198"/>
      <c r="S17" s="198"/>
      <c r="T17" s="198"/>
      <c r="U17" s="198"/>
    </row>
    <row r="18" spans="1:21" s="12" customFormat="1" ht="15">
      <c r="A18" s="222" t="s">
        <v>2947</v>
      </c>
      <c r="B18" s="139">
        <v>1.06</v>
      </c>
      <c r="C18" s="139">
        <v>12.25</v>
      </c>
      <c r="D18" s="139">
        <v>13.31</v>
      </c>
      <c r="E18" s="139">
        <v>6.34</v>
      </c>
      <c r="F18" s="139">
        <v>0.36</v>
      </c>
      <c r="G18" s="139">
        <v>26.5</v>
      </c>
      <c r="H18" s="139">
        <v>7.12</v>
      </c>
      <c r="I18" s="139">
        <v>3.98</v>
      </c>
      <c r="J18" s="139">
        <v>2.74</v>
      </c>
      <c r="K18" s="139">
        <v>215.04</v>
      </c>
      <c r="L18" s="139">
        <v>25.17</v>
      </c>
      <c r="M18" s="139">
        <v>82.49</v>
      </c>
      <c r="N18" s="139">
        <v>283.30</v>
      </c>
      <c r="O18" s="139">
        <v>0</v>
      </c>
      <c r="P18" s="139">
        <v>2.58</v>
      </c>
      <c r="Q18" s="139">
        <v>8.35</v>
      </c>
      <c r="R18" s="198"/>
      <c r="S18" s="198"/>
      <c r="T18" s="198"/>
      <c r="U18" s="198"/>
    </row>
    <row r="19" spans="1:21" s="12" customFormat="1" ht="15">
      <c r="A19" s="222" t="s">
        <v>2948</v>
      </c>
      <c r="B19" s="139">
        <v>1.1499999999999999</v>
      </c>
      <c r="C19" s="139">
        <v>12.20</v>
      </c>
      <c r="D19" s="139">
        <v>13.35</v>
      </c>
      <c r="E19" s="139">
        <v>6.69</v>
      </c>
      <c r="F19" s="139">
        <v>0.30</v>
      </c>
      <c r="G19" s="139">
        <v>26.5</v>
      </c>
      <c r="H19" s="139">
        <v>7.12</v>
      </c>
      <c r="I19" s="139">
        <v>3.97</v>
      </c>
      <c r="J19" s="139">
        <v>1.86</v>
      </c>
      <c r="K19" s="139">
        <v>180.18</v>
      </c>
      <c r="L19" s="139">
        <v>27.81</v>
      </c>
      <c r="M19" s="139">
        <v>81.739999999999995</v>
      </c>
      <c r="N19" s="139">
        <v>313.30</v>
      </c>
      <c r="O19" s="139">
        <v>0</v>
      </c>
      <c r="P19" s="139">
        <v>2.56</v>
      </c>
      <c r="Q19" s="139">
        <v>8.06</v>
      </c>
      <c r="R19" s="198"/>
      <c r="S19" s="198"/>
      <c r="T19" s="198"/>
      <c r="U19" s="198"/>
    </row>
    <row r="20" spans="1:21" s="12" customFormat="1" ht="15">
      <c r="A20" s="222" t="s">
        <v>2949</v>
      </c>
      <c r="B20" s="139">
        <v>1.29</v>
      </c>
      <c r="C20" s="139">
        <v>11.90</v>
      </c>
      <c r="D20" s="139">
        <v>13.20</v>
      </c>
      <c r="E20" s="139">
        <v>7.11</v>
      </c>
      <c r="F20" s="139">
        <v>0.45</v>
      </c>
      <c r="G20" s="139">
        <v>26.5</v>
      </c>
      <c r="H20" s="139">
        <v>7.12</v>
      </c>
      <c r="I20" s="139">
        <v>4.01</v>
      </c>
      <c r="J20" s="139">
        <v>3.70</v>
      </c>
      <c r="K20" s="139">
        <v>176.31</v>
      </c>
      <c r="L20" s="139">
        <v>29.37</v>
      </c>
      <c r="M20" s="139">
        <v>81.91</v>
      </c>
      <c r="N20" s="139">
        <v>316.20</v>
      </c>
      <c r="O20" s="139">
        <v>0</v>
      </c>
      <c r="P20" s="139">
        <v>2.5499999999999998</v>
      </c>
      <c r="Q20" s="139">
        <v>7.81</v>
      </c>
      <c r="R20" s="198"/>
      <c r="S20" s="198"/>
      <c r="T20" s="198"/>
      <c r="U20" s="198"/>
    </row>
    <row r="21" spans="1:21" s="12" customFormat="1" ht="15">
      <c r="A21" s="222" t="s">
        <v>2950</v>
      </c>
      <c r="B21" s="139">
        <v>1.48</v>
      </c>
      <c r="C21" s="139">
        <v>11.63</v>
      </c>
      <c r="D21" s="139">
        <v>13.11</v>
      </c>
      <c r="E21" s="139">
        <v>7.18</v>
      </c>
      <c r="F21" s="139">
        <v>0.54</v>
      </c>
      <c r="G21" s="139">
        <v>25.56</v>
      </c>
      <c r="H21" s="139">
        <v>8.10</v>
      </c>
      <c r="I21" s="139">
        <v>4.04</v>
      </c>
      <c r="J21" s="139">
        <v>5.35</v>
      </c>
      <c r="K21" s="139">
        <v>183.56</v>
      </c>
      <c r="L21" s="139">
        <v>32.79</v>
      </c>
      <c r="M21" s="139">
        <v>81.709999999999994</v>
      </c>
      <c r="N21" s="139">
        <v>327.60000000000002</v>
      </c>
      <c r="O21" s="139">
        <v>0</v>
      </c>
      <c r="P21" s="139">
        <v>2.5299999999999998</v>
      </c>
      <c r="Q21" s="139">
        <v>7.69</v>
      </c>
      <c r="R21" s="198"/>
      <c r="S21" s="198"/>
      <c r="T21" s="198"/>
      <c r="U21" s="198"/>
    </row>
    <row r="22" spans="1:21" s="12" customFormat="1" ht="15">
      <c r="A22" s="222" t="s">
        <v>2951</v>
      </c>
      <c r="B22" s="139">
        <v>1.59</v>
      </c>
      <c r="C22" s="139">
        <v>12.11</v>
      </c>
      <c r="D22" s="139">
        <v>13.69</v>
      </c>
      <c r="E22" s="139">
        <v>7.21</v>
      </c>
      <c r="F22" s="139">
        <v>0.43</v>
      </c>
      <c r="G22" s="139">
        <v>23.27</v>
      </c>
      <c r="H22" s="139">
        <v>10.52</v>
      </c>
      <c r="I22" s="139">
        <v>4.07</v>
      </c>
      <c r="J22" s="139">
        <v>4.8499999999999996</v>
      </c>
      <c r="K22" s="139">
        <v>196.34</v>
      </c>
      <c r="L22" s="139">
        <v>23.30</v>
      </c>
      <c r="M22" s="139">
        <v>81.93</v>
      </c>
      <c r="N22" s="139">
        <v>314.10000000000002</v>
      </c>
      <c r="O22" s="139">
        <v>0</v>
      </c>
      <c r="P22" s="139">
        <v>2.52</v>
      </c>
      <c r="Q22" s="139">
        <v>8.08</v>
      </c>
      <c r="R22" s="198"/>
      <c r="S22" s="198"/>
      <c r="T22" s="198"/>
      <c r="U22" s="198"/>
    </row>
    <row r="23" spans="1:21" s="12" customFormat="1" ht="15">
      <c r="A23" s="222" t="s">
        <v>2952</v>
      </c>
      <c r="B23" s="139">
        <v>1.42</v>
      </c>
      <c r="C23" s="139">
        <v>11.93</v>
      </c>
      <c r="D23" s="139">
        <v>13.35</v>
      </c>
      <c r="E23" s="139">
        <v>7.01</v>
      </c>
      <c r="F23" s="139">
        <v>0.85</v>
      </c>
      <c r="G23" s="139">
        <v>23.27</v>
      </c>
      <c r="H23" s="139">
        <v>10.52</v>
      </c>
      <c r="I23" s="139">
        <v>4.13</v>
      </c>
      <c r="J23" s="139">
        <v>4.46</v>
      </c>
      <c r="K23" s="139">
        <v>188.97</v>
      </c>
      <c r="L23" s="139">
        <v>23.34</v>
      </c>
      <c r="M23" s="139">
        <v>82.64</v>
      </c>
      <c r="N23" s="139">
        <v>319</v>
      </c>
      <c r="O23" s="139">
        <v>0</v>
      </c>
      <c r="P23" s="139">
        <v>2.5499999999999998</v>
      </c>
      <c r="Q23" s="139">
        <v>9.11</v>
      </c>
      <c r="R23" s="198"/>
      <c r="S23" s="198"/>
      <c r="T23" s="198"/>
      <c r="U23" s="198"/>
    </row>
    <row r="24" spans="1:21" s="12" customFormat="1" ht="15">
      <c r="A24" s="222" t="s">
        <v>2953</v>
      </c>
      <c r="B24" s="139">
        <v>1.25</v>
      </c>
      <c r="C24" s="139">
        <v>12.15</v>
      </c>
      <c r="D24" s="139">
        <v>13.40</v>
      </c>
      <c r="E24" s="139">
        <v>4.13</v>
      </c>
      <c r="F24" s="139">
        <v>0.86</v>
      </c>
      <c r="G24" s="139">
        <v>23.27</v>
      </c>
      <c r="H24" s="139">
        <v>10.52</v>
      </c>
      <c r="I24" s="139">
        <v>4.08</v>
      </c>
      <c r="J24" s="139">
        <v>5.30</v>
      </c>
      <c r="K24" s="139">
        <v>187.53</v>
      </c>
      <c r="L24" s="139">
        <v>31.80</v>
      </c>
      <c r="M24" s="139">
        <v>83.65</v>
      </c>
      <c r="N24" s="139">
        <v>365.20</v>
      </c>
      <c r="O24" s="139">
        <v>0</v>
      </c>
      <c r="P24" s="139">
        <v>2.57</v>
      </c>
      <c r="Q24" s="139">
        <v>10.34</v>
      </c>
      <c r="R24" s="198"/>
      <c r="S24" s="198"/>
      <c r="T24" s="198"/>
      <c r="U24" s="198"/>
    </row>
    <row r="25" spans="1:21" s="12" customFormat="1" ht="15">
      <c r="A25" s="222" t="s">
        <v>2954</v>
      </c>
      <c r="B25" s="139">
        <v>1.21</v>
      </c>
      <c r="C25" s="139">
        <v>12.13</v>
      </c>
      <c r="D25" s="139">
        <v>13.34</v>
      </c>
      <c r="E25" s="139">
        <v>6.73</v>
      </c>
      <c r="F25" s="139">
        <v>1</v>
      </c>
      <c r="G25" s="139">
        <v>23.67</v>
      </c>
      <c r="H25" s="139">
        <v>9.75</v>
      </c>
      <c r="I25" s="139">
        <v>3.94</v>
      </c>
      <c r="J25" s="139">
        <v>5.09</v>
      </c>
      <c r="K25" s="139">
        <v>194.66</v>
      </c>
      <c r="L25" s="139">
        <v>34.950000000000003</v>
      </c>
      <c r="M25" s="139">
        <v>84.57</v>
      </c>
      <c r="N25" s="139">
        <v>343.30</v>
      </c>
      <c r="O25" s="139">
        <v>0</v>
      </c>
      <c r="P25" s="139">
        <v>2.58</v>
      </c>
      <c r="Q25" s="139">
        <v>11.12</v>
      </c>
      <c r="R25" s="198"/>
      <c r="S25" s="198"/>
      <c r="T25" s="198"/>
      <c r="U25" s="198"/>
    </row>
    <row r="26" spans="1:21" s="12" customFormat="1" ht="15">
      <c r="A26" s="222" t="s">
        <v>2955</v>
      </c>
      <c r="B26" s="139">
        <v>1.23</v>
      </c>
      <c r="C26" s="139">
        <v>12.64</v>
      </c>
      <c r="D26" s="139">
        <v>13.87</v>
      </c>
      <c r="E26" s="139">
        <v>6.71</v>
      </c>
      <c r="F26" s="139">
        <v>0.61</v>
      </c>
      <c r="G26" s="139">
        <v>24.68</v>
      </c>
      <c r="H26" s="139">
        <v>7.84</v>
      </c>
      <c r="I26" s="139">
        <v>3.84</v>
      </c>
      <c r="J26" s="139">
        <v>4.6100000000000003</v>
      </c>
      <c r="K26" s="139">
        <v>187.74</v>
      </c>
      <c r="L26" s="139">
        <v>33.03</v>
      </c>
      <c r="M26" s="139">
        <v>84.85</v>
      </c>
      <c r="N26" s="139">
        <v>343.70</v>
      </c>
      <c r="O26" s="139">
        <v>0</v>
      </c>
      <c r="P26" s="139">
        <v>2.60</v>
      </c>
      <c r="Q26" s="139">
        <v>11.75</v>
      </c>
      <c r="R26" s="198"/>
      <c r="S26" s="198"/>
      <c r="T26" s="198"/>
      <c r="U26" s="198"/>
    </row>
    <row r="27" spans="1:21" s="12" customFormat="1" ht="15">
      <c r="A27" s="222" t="s">
        <v>2956</v>
      </c>
      <c r="B27" s="139">
        <v>1.29</v>
      </c>
      <c r="C27" s="139">
        <v>12.70</v>
      </c>
      <c r="D27" s="139">
        <v>13.99</v>
      </c>
      <c r="E27" s="139">
        <v>6.89</v>
      </c>
      <c r="F27" s="139">
        <v>0.62</v>
      </c>
      <c r="G27" s="139">
        <v>24.68</v>
      </c>
      <c r="H27" s="139">
        <v>7.84</v>
      </c>
      <c r="I27" s="139">
        <v>3.74</v>
      </c>
      <c r="J27" s="139">
        <v>3.63</v>
      </c>
      <c r="K27" s="139">
        <v>216.58</v>
      </c>
      <c r="L27" s="139">
        <v>24.49</v>
      </c>
      <c r="M27" s="139">
        <v>85.10</v>
      </c>
      <c r="N27" s="139">
        <v>338.20</v>
      </c>
      <c r="O27" s="139">
        <v>0</v>
      </c>
      <c r="P27" s="139">
        <v>2.61</v>
      </c>
      <c r="Q27" s="139">
        <v>11.72</v>
      </c>
      <c r="R27" s="198"/>
      <c r="S27" s="198"/>
      <c r="T27" s="198"/>
      <c r="U27" s="198"/>
    </row>
    <row r="28" spans="1:21" s="12" customFormat="1" ht="15">
      <c r="A28" s="222" t="s">
        <v>2957</v>
      </c>
      <c r="B28" s="139">
        <v>1.27</v>
      </c>
      <c r="C28" s="139">
        <v>12.51</v>
      </c>
      <c r="D28" s="139">
        <v>13.78</v>
      </c>
      <c r="E28" s="139">
        <v>6.20</v>
      </c>
      <c r="F28" s="139">
        <v>0.69</v>
      </c>
      <c r="G28" s="139">
        <v>24.68</v>
      </c>
      <c r="H28" s="139">
        <v>7.84</v>
      </c>
      <c r="I28" s="139">
        <v>3.71</v>
      </c>
      <c r="J28" s="139">
        <v>5.56</v>
      </c>
      <c r="K28" s="139">
        <v>179.03</v>
      </c>
      <c r="L28" s="139">
        <v>23.73</v>
      </c>
      <c r="M28" s="139">
        <v>85.90</v>
      </c>
      <c r="N28" s="139">
        <v>339.60</v>
      </c>
      <c r="O28" s="139">
        <v>0</v>
      </c>
      <c r="P28" s="139">
        <v>2.63</v>
      </c>
      <c r="Q28" s="139">
        <v>11.61</v>
      </c>
      <c r="R28" s="198"/>
      <c r="S28" s="198"/>
      <c r="T28" s="198"/>
      <c r="U28" s="198"/>
    </row>
    <row r="29" spans="1:21" s="12" customFormat="1" ht="15">
      <c r="A29" s="222" t="s">
        <v>2958</v>
      </c>
      <c r="B29" s="139">
        <v>1.30</v>
      </c>
      <c r="C29" s="139">
        <v>12.71</v>
      </c>
      <c r="D29" s="139">
        <v>14.01</v>
      </c>
      <c r="E29" s="139">
        <v>6.62</v>
      </c>
      <c r="F29" s="139">
        <v>0.60</v>
      </c>
      <c r="G29" s="139">
        <v>24.97</v>
      </c>
      <c r="H29" s="139">
        <v>7.39</v>
      </c>
      <c r="I29" s="139">
        <v>3.65</v>
      </c>
      <c r="J29" s="139">
        <v>5.16</v>
      </c>
      <c r="K29" s="139">
        <v>172.26</v>
      </c>
      <c r="L29" s="139">
        <v>23.92</v>
      </c>
      <c r="M29" s="139">
        <v>85.78</v>
      </c>
      <c r="N29" s="139">
        <v>339.90</v>
      </c>
      <c r="O29" s="139">
        <v>0</v>
      </c>
      <c r="P29" s="139">
        <v>2.64</v>
      </c>
      <c r="Q29" s="139">
        <v>11.65</v>
      </c>
      <c r="R29" s="198"/>
      <c r="S29" s="198"/>
      <c r="T29" s="198"/>
      <c r="U29" s="198"/>
    </row>
    <row r="30" spans="1:21" s="12" customFormat="1" ht="15">
      <c r="A30" s="222" t="s">
        <v>2959</v>
      </c>
      <c r="B30" s="139">
        <v>1.42</v>
      </c>
      <c r="C30" s="139">
        <v>13.02</v>
      </c>
      <c r="D30" s="139">
        <v>14.44</v>
      </c>
      <c r="E30" s="139">
        <v>6.38</v>
      </c>
      <c r="F30" s="139">
        <v>0.54</v>
      </c>
      <c r="G30" s="139">
        <v>25.70</v>
      </c>
      <c r="H30" s="139">
        <v>6.29</v>
      </c>
      <c r="I30" s="139">
        <v>3.53</v>
      </c>
      <c r="J30" s="139">
        <v>5.41</v>
      </c>
      <c r="K30" s="139">
        <v>175.79</v>
      </c>
      <c r="L30" s="139">
        <v>30.52</v>
      </c>
      <c r="M30" s="139">
        <v>85.54</v>
      </c>
      <c r="N30" s="139">
        <v>327.30</v>
      </c>
      <c r="O30" s="139">
        <v>0</v>
      </c>
      <c r="P30" s="139">
        <v>2.65</v>
      </c>
      <c r="Q30" s="139">
        <v>11.74</v>
      </c>
      <c r="R30" s="198"/>
      <c r="S30" s="198"/>
      <c r="T30" s="198"/>
      <c r="U30" s="198"/>
    </row>
    <row r="31" spans="1:21" s="12" customFormat="1" ht="15">
      <c r="A31" s="222" t="s">
        <v>2960</v>
      </c>
      <c r="B31" s="139">
        <v>1.51</v>
      </c>
      <c r="C31" s="139">
        <v>13.10</v>
      </c>
      <c r="D31" s="139">
        <v>14.61</v>
      </c>
      <c r="E31" s="139">
        <v>6.23</v>
      </c>
      <c r="F31" s="139">
        <v>0.69</v>
      </c>
      <c r="G31" s="139">
        <v>25.70</v>
      </c>
      <c r="H31" s="139">
        <v>6.29</v>
      </c>
      <c r="I31" s="139">
        <v>3.52</v>
      </c>
      <c r="J31" s="139">
        <v>4.7699999999999996</v>
      </c>
      <c r="K31" s="139">
        <v>180.15</v>
      </c>
      <c r="L31" s="139">
        <v>25.85</v>
      </c>
      <c r="M31" s="139">
        <v>85.62</v>
      </c>
      <c r="N31" s="139">
        <v>356.90</v>
      </c>
      <c r="O31" s="139">
        <v>0</v>
      </c>
      <c r="P31" s="139">
        <v>2.67</v>
      </c>
      <c r="Q31" s="139">
        <v>11.77</v>
      </c>
      <c r="R31" s="198"/>
      <c r="S31" s="198"/>
      <c r="T31" s="198"/>
      <c r="U31" s="198"/>
    </row>
    <row r="32" spans="1:21" s="12" customFormat="1" ht="15">
      <c r="A32" s="222" t="s">
        <v>2961</v>
      </c>
      <c r="B32" s="139">
        <v>1.61</v>
      </c>
      <c r="C32" s="139">
        <v>13.46</v>
      </c>
      <c r="D32" s="139">
        <v>15.08</v>
      </c>
      <c r="E32" s="139">
        <v>7.06</v>
      </c>
      <c r="F32" s="139">
        <v>0.51</v>
      </c>
      <c r="G32" s="139">
        <v>25.70</v>
      </c>
      <c r="H32" s="139">
        <v>6.29</v>
      </c>
      <c r="I32" s="139">
        <v>3.52</v>
      </c>
      <c r="J32" s="139">
        <v>3.02</v>
      </c>
      <c r="K32" s="139">
        <v>180.14</v>
      </c>
      <c r="L32" s="139">
        <v>19.41</v>
      </c>
      <c r="M32" s="139">
        <v>85.65</v>
      </c>
      <c r="N32" s="139">
        <v>373.40</v>
      </c>
      <c r="O32" s="139">
        <v>0</v>
      </c>
      <c r="P32" s="139">
        <v>2.67</v>
      </c>
      <c r="Q32" s="139">
        <v>11.48</v>
      </c>
      <c r="R32" s="198"/>
      <c r="S32" s="198"/>
      <c r="T32" s="198"/>
      <c r="U32" s="198"/>
    </row>
    <row r="33" spans="1:21" s="12" customFormat="1" ht="15">
      <c r="A33" s="222" t="s">
        <v>2962</v>
      </c>
      <c r="B33" s="139">
        <v>1.87</v>
      </c>
      <c r="C33" s="139">
        <v>13.59</v>
      </c>
      <c r="D33" s="139">
        <v>15.46</v>
      </c>
      <c r="E33" s="139">
        <v>6.73</v>
      </c>
      <c r="F33" s="139">
        <v>0.26</v>
      </c>
      <c r="G33" s="139">
        <v>26.5</v>
      </c>
      <c r="H33" s="139">
        <v>7.10</v>
      </c>
      <c r="I33" s="139">
        <v>3.51</v>
      </c>
      <c r="J33" s="139">
        <v>5.35</v>
      </c>
      <c r="K33" s="139">
        <v>167.37</v>
      </c>
      <c r="L33" s="139">
        <v>19.600000000000001</v>
      </c>
      <c r="M33" s="139">
        <v>86.17</v>
      </c>
      <c r="N33" s="139">
        <v>413.20</v>
      </c>
      <c r="O33" s="139">
        <v>0</v>
      </c>
      <c r="P33" s="139">
        <v>2.64</v>
      </c>
      <c r="Q33" s="139">
        <v>10.46</v>
      </c>
      <c r="R33" s="198"/>
      <c r="S33" s="198"/>
      <c r="T33" s="198"/>
      <c r="U33" s="198"/>
    </row>
    <row r="34" spans="1:21" s="12" customFormat="1" ht="15">
      <c r="A34" s="222" t="s">
        <v>2963</v>
      </c>
      <c r="B34" s="139">
        <v>2.23</v>
      </c>
      <c r="C34" s="139">
        <v>13.34</v>
      </c>
      <c r="D34" s="139">
        <v>15.57</v>
      </c>
      <c r="E34" s="139">
        <v>7.16</v>
      </c>
      <c r="F34" s="139">
        <v>0.24</v>
      </c>
      <c r="G34" s="139">
        <v>28.48</v>
      </c>
      <c r="H34" s="139">
        <v>9.10</v>
      </c>
      <c r="I34" s="139">
        <v>3.55</v>
      </c>
      <c r="J34" s="139">
        <v>3.47</v>
      </c>
      <c r="K34" s="139">
        <v>176.41</v>
      </c>
      <c r="L34" s="139">
        <v>21.32</v>
      </c>
      <c r="M34" s="139">
        <v>86.26</v>
      </c>
      <c r="N34" s="139">
        <v>297.89999999999998</v>
      </c>
      <c r="O34" s="139">
        <v>0</v>
      </c>
      <c r="P34" s="139">
        <v>2.62</v>
      </c>
      <c r="Q34" s="139">
        <v>9.66</v>
      </c>
      <c r="R34" s="198"/>
      <c r="S34" s="198"/>
      <c r="T34" s="198"/>
      <c r="U34" s="198"/>
    </row>
    <row r="35" spans="1:21" s="12" customFormat="1" ht="15">
      <c r="A35" s="222" t="s">
        <v>2964</v>
      </c>
      <c r="B35" s="139">
        <v>2.5499999999999998</v>
      </c>
      <c r="C35" s="139">
        <v>13.24</v>
      </c>
      <c r="D35" s="139">
        <v>15.78</v>
      </c>
      <c r="E35" s="139">
        <v>7.23</v>
      </c>
      <c r="F35" s="139">
        <v>0.33</v>
      </c>
      <c r="G35" s="139">
        <v>28.48</v>
      </c>
      <c r="H35" s="139">
        <v>9.10</v>
      </c>
      <c r="I35" s="139">
        <v>3.66</v>
      </c>
      <c r="J35" s="139">
        <v>4.66</v>
      </c>
      <c r="K35" s="139">
        <v>190.40</v>
      </c>
      <c r="L35" s="139">
        <v>21.43</v>
      </c>
      <c r="M35" s="139">
        <v>85.99</v>
      </c>
      <c r="N35" s="139">
        <v>276.39999999999998</v>
      </c>
      <c r="O35" s="139">
        <v>0</v>
      </c>
      <c r="P35" s="139">
        <v>2.60</v>
      </c>
      <c r="Q35" s="139">
        <v>9.27</v>
      </c>
      <c r="R35" s="198"/>
      <c r="S35" s="198"/>
      <c r="T35" s="198"/>
      <c r="U35" s="198"/>
    </row>
    <row r="36" spans="1:21" s="12" customFormat="1" ht="15">
      <c r="A36" s="222" t="s">
        <v>2965</v>
      </c>
      <c r="B36" s="139">
        <v>2.76</v>
      </c>
      <c r="C36" s="139">
        <v>13.25</v>
      </c>
      <c r="D36" s="139">
        <v>16.010000000000002</v>
      </c>
      <c r="E36" s="139">
        <v>6.97</v>
      </c>
      <c r="F36" s="139">
        <v>0.23</v>
      </c>
      <c r="G36" s="139">
        <v>28.48</v>
      </c>
      <c r="H36" s="139">
        <v>9.10</v>
      </c>
      <c r="I36" s="139">
        <v>3.79</v>
      </c>
      <c r="J36" s="139">
        <v>3.45</v>
      </c>
      <c r="K36" s="139">
        <v>182.15</v>
      </c>
      <c r="L36" s="139">
        <v>19.62</v>
      </c>
      <c r="M36" s="139">
        <v>85.36</v>
      </c>
      <c r="N36" s="139">
        <v>301.20</v>
      </c>
      <c r="O36" s="139">
        <v>0</v>
      </c>
      <c r="P36" s="139">
        <v>2.58</v>
      </c>
      <c r="Q36" s="139">
        <v>8.9700000000000006</v>
      </c>
      <c r="R36" s="198"/>
      <c r="S36" s="198"/>
      <c r="T36" s="198"/>
      <c r="U36" s="198"/>
    </row>
    <row r="37" spans="1:21" s="12" customFormat="1" ht="15">
      <c r="A37" s="222" t="s">
        <v>2966</v>
      </c>
      <c r="B37" s="139">
        <v>2.92</v>
      </c>
      <c r="C37" s="139">
        <v>13.30</v>
      </c>
      <c r="D37" s="139">
        <v>16.22</v>
      </c>
      <c r="E37" s="139">
        <v>7.35</v>
      </c>
      <c r="F37" s="139">
        <v>0.28999999999999998</v>
      </c>
      <c r="G37" s="139">
        <v>28.05</v>
      </c>
      <c r="H37" s="139">
        <v>8.3800000000000008</v>
      </c>
      <c r="I37" s="139">
        <v>3.84</v>
      </c>
      <c r="J37" s="139">
        <v>5.39</v>
      </c>
      <c r="K37" s="139">
        <v>175.90</v>
      </c>
      <c r="L37" s="139">
        <v>20.43</v>
      </c>
      <c r="M37" s="139">
        <v>84.31</v>
      </c>
      <c r="N37" s="139">
        <v>401.5</v>
      </c>
      <c r="O37" s="139">
        <v>0</v>
      </c>
      <c r="P37" s="139">
        <v>2.56</v>
      </c>
      <c r="Q37" s="139">
        <v>8.73</v>
      </c>
      <c r="R37" s="198"/>
      <c r="S37" s="198"/>
      <c r="T37" s="198"/>
      <c r="U37" s="198"/>
    </row>
    <row r="38" spans="1:21" s="12" customFormat="1" ht="15">
      <c r="A38" s="222" t="s">
        <v>2967</v>
      </c>
      <c r="B38" s="139">
        <v>3.02</v>
      </c>
      <c r="C38" s="139">
        <v>13.44</v>
      </c>
      <c r="D38" s="139">
        <v>16.46</v>
      </c>
      <c r="E38" s="139">
        <v>7.86</v>
      </c>
      <c r="F38" s="139">
        <v>0.43</v>
      </c>
      <c r="G38" s="139">
        <v>26.99</v>
      </c>
      <c r="H38" s="139">
        <v>6.60</v>
      </c>
      <c r="I38" s="139">
        <v>3.94</v>
      </c>
      <c r="J38" s="139">
        <v>4.16</v>
      </c>
      <c r="K38" s="139">
        <v>190.35</v>
      </c>
      <c r="L38" s="139">
        <v>25.27</v>
      </c>
      <c r="M38" s="139">
        <v>83.31</v>
      </c>
      <c r="N38" s="139">
        <v>297.39999999999998</v>
      </c>
      <c r="O38" s="139">
        <v>0</v>
      </c>
      <c r="P38" s="139">
        <v>2.54</v>
      </c>
      <c r="Q38" s="139">
        <v>8.5</v>
      </c>
      <c r="R38" s="198"/>
      <c r="S38" s="198"/>
      <c r="T38" s="198"/>
      <c r="U38" s="198"/>
    </row>
    <row r="39" spans="1:21" s="12" customFormat="1" ht="15">
      <c r="A39" s="222" t="s">
        <v>2968</v>
      </c>
      <c r="B39" s="139">
        <v>3.02</v>
      </c>
      <c r="C39" s="139">
        <v>13.44</v>
      </c>
      <c r="D39" s="139">
        <v>16.46</v>
      </c>
      <c r="E39" s="139">
        <v>7.78</v>
      </c>
      <c r="F39" s="139">
        <v>0.62</v>
      </c>
      <c r="G39" s="139">
        <v>26.99</v>
      </c>
      <c r="H39" s="139">
        <v>6.60</v>
      </c>
      <c r="I39" s="139">
        <v>4.0199999999999996</v>
      </c>
      <c r="J39" s="139">
        <v>3.13</v>
      </c>
      <c r="K39" s="139">
        <v>192.90</v>
      </c>
      <c r="L39" s="139">
        <v>22.33</v>
      </c>
      <c r="M39" s="139">
        <v>82.31</v>
      </c>
      <c r="N39" s="139">
        <v>310.80</v>
      </c>
      <c r="O39" s="139">
        <v>0</v>
      </c>
      <c r="P39" s="139">
        <v>2.5099999999999998</v>
      </c>
      <c r="Q39" s="139">
        <v>8.3800000000000008</v>
      </c>
      <c r="R39" s="198"/>
      <c r="S39" s="198"/>
      <c r="T39" s="198"/>
      <c r="U39" s="198"/>
    </row>
    <row r="40" spans="1:21" s="12" customFormat="1" ht="15">
      <c r="A40" s="222" t="s">
        <v>2969</v>
      </c>
      <c r="B40" s="139">
        <v>2.78</v>
      </c>
      <c r="C40" s="139">
        <v>14.08</v>
      </c>
      <c r="D40" s="139">
        <v>16.86</v>
      </c>
      <c r="E40" s="139">
        <v>4.25</v>
      </c>
      <c r="F40" s="139">
        <v>0.74</v>
      </c>
      <c r="G40" s="139">
        <v>26.99</v>
      </c>
      <c r="H40" s="139">
        <v>6.60</v>
      </c>
      <c r="I40" s="139">
        <v>4.03</v>
      </c>
      <c r="J40" s="139">
        <v>3.10</v>
      </c>
      <c r="K40" s="139">
        <v>193.25</v>
      </c>
      <c r="L40" s="139">
        <v>25.07</v>
      </c>
      <c r="M40" s="139">
        <v>81.28</v>
      </c>
      <c r="N40" s="139">
        <v>322.70</v>
      </c>
      <c r="O40" s="139">
        <v>0</v>
      </c>
      <c r="P40" s="139">
        <v>2.54</v>
      </c>
      <c r="Q40" s="139">
        <v>8.82</v>
      </c>
      <c r="R40" s="198"/>
      <c r="S40" s="198"/>
      <c r="T40" s="198"/>
      <c r="U40" s="198"/>
    </row>
    <row r="41" spans="1:21" s="12" customFormat="1" ht="15">
      <c r="A41" s="222" t="s">
        <v>2970</v>
      </c>
      <c r="B41" s="139">
        <v>2.36</v>
      </c>
      <c r="C41" s="139">
        <v>14.17</v>
      </c>
      <c r="D41" s="139">
        <v>16.54</v>
      </c>
      <c r="E41" s="139">
        <v>6.47</v>
      </c>
      <c r="F41" s="139">
        <v>0.94</v>
      </c>
      <c r="G41" s="139">
        <v>28.56</v>
      </c>
      <c r="H41" s="139">
        <v>7.60</v>
      </c>
      <c r="I41" s="139">
        <v>4.05</v>
      </c>
      <c r="J41" s="139">
        <v>2.2200000000000002</v>
      </c>
      <c r="K41" s="139">
        <v>204.68</v>
      </c>
      <c r="L41" s="139">
        <v>21.08</v>
      </c>
      <c r="M41" s="139">
        <v>80.77</v>
      </c>
      <c r="N41" s="139">
        <v>467.10</v>
      </c>
      <c r="O41" s="139">
        <v>0</v>
      </c>
      <c r="P41" s="139">
        <v>2.58</v>
      </c>
      <c r="Q41" s="139">
        <v>9.69</v>
      </c>
      <c r="R41" s="198"/>
      <c r="S41" s="198"/>
      <c r="T41" s="198"/>
      <c r="U41" s="198"/>
    </row>
    <row r="42" spans="1:21" s="12" customFormat="1" ht="15">
      <c r="A42" s="222" t="s">
        <v>2971</v>
      </c>
      <c r="B42" s="139">
        <v>1.94</v>
      </c>
      <c r="C42" s="139">
        <v>14.65</v>
      </c>
      <c r="D42" s="139">
        <v>16.59</v>
      </c>
      <c r="E42" s="139">
        <v>6.81</v>
      </c>
      <c r="F42" s="139">
        <v>0.85</v>
      </c>
      <c r="G42" s="139">
        <v>32.42</v>
      </c>
      <c r="H42" s="139">
        <v>10.07</v>
      </c>
      <c r="I42" s="139">
        <v>3.98</v>
      </c>
      <c r="J42" s="139">
        <v>4.47</v>
      </c>
      <c r="K42" s="139">
        <v>174.20</v>
      </c>
      <c r="L42" s="139">
        <v>19.36</v>
      </c>
      <c r="M42" s="139">
        <v>80.37</v>
      </c>
      <c r="N42" s="139">
        <v>535.70000000000005</v>
      </c>
      <c r="O42" s="139">
        <v>0</v>
      </c>
      <c r="P42" s="139">
        <v>2.60</v>
      </c>
      <c r="Q42" s="139">
        <v>10.60</v>
      </c>
      <c r="R42" s="198"/>
      <c r="S42" s="198"/>
      <c r="T42" s="198"/>
      <c r="U42" s="198"/>
    </row>
    <row r="43" spans="1:21" s="12" customFormat="1" ht="15">
      <c r="A43" s="222" t="s">
        <v>2972</v>
      </c>
      <c r="B43" s="139">
        <v>1.79</v>
      </c>
      <c r="C43" s="139">
        <v>14.91</v>
      </c>
      <c r="D43" s="139">
        <v>16.70</v>
      </c>
      <c r="E43" s="139">
        <v>6.66</v>
      </c>
      <c r="F43" s="139">
        <v>0.98</v>
      </c>
      <c r="G43" s="139">
        <v>32.42</v>
      </c>
      <c r="H43" s="139">
        <v>10.07</v>
      </c>
      <c r="I43" s="139">
        <v>3.94</v>
      </c>
      <c r="J43" s="139">
        <v>4.75</v>
      </c>
      <c r="K43" s="139">
        <v>177.80</v>
      </c>
      <c r="L43" s="139">
        <v>20.57</v>
      </c>
      <c r="M43" s="139">
        <v>79.73</v>
      </c>
      <c r="N43" s="139">
        <v>581.60</v>
      </c>
      <c r="O43" s="139">
        <v>0</v>
      </c>
      <c r="P43" s="139">
        <v>2.62</v>
      </c>
      <c r="Q43" s="139">
        <v>11.44</v>
      </c>
      <c r="R43" s="198"/>
      <c r="S43" s="198"/>
      <c r="T43" s="198"/>
      <c r="U43" s="198"/>
    </row>
    <row r="44" spans="1:21" s="12" customFormat="1" ht="15">
      <c r="A44" s="222" t="s">
        <v>2973</v>
      </c>
      <c r="B44" s="139">
        <v>1.61</v>
      </c>
      <c r="C44" s="139">
        <v>15.05</v>
      </c>
      <c r="D44" s="139">
        <v>16.66</v>
      </c>
      <c r="E44" s="139">
        <v>6.79</v>
      </c>
      <c r="F44" s="139">
        <v>1.22</v>
      </c>
      <c r="G44" s="139">
        <v>32.42</v>
      </c>
      <c r="H44" s="139">
        <v>10.07</v>
      </c>
      <c r="I44" s="139">
        <v>3.92</v>
      </c>
      <c r="J44" s="139">
        <v>4.0999999999999996</v>
      </c>
      <c r="K44" s="139">
        <v>177.59</v>
      </c>
      <c r="L44" s="139">
        <v>19.72</v>
      </c>
      <c r="M44" s="139">
        <v>79.67</v>
      </c>
      <c r="N44" s="139">
        <v>625.60</v>
      </c>
      <c r="O44" s="139">
        <v>0</v>
      </c>
      <c r="P44" s="139">
        <v>2.65</v>
      </c>
      <c r="Q44" s="139">
        <v>11.99</v>
      </c>
      <c r="R44" s="198"/>
      <c r="S44" s="198"/>
      <c r="T44" s="198"/>
      <c r="U44" s="198"/>
    </row>
    <row r="45" spans="1:21" s="12" customFormat="1" ht="15">
      <c r="A45" s="222" t="s">
        <v>2974</v>
      </c>
      <c r="B45" s="139">
        <v>1.36</v>
      </c>
      <c r="C45" s="139">
        <v>14.78</v>
      </c>
      <c r="D45" s="139">
        <v>16.14</v>
      </c>
      <c r="E45" s="139">
        <v>6.27</v>
      </c>
      <c r="F45" s="139">
        <v>1.25</v>
      </c>
      <c r="G45" s="139">
        <v>31.77</v>
      </c>
      <c r="H45" s="139">
        <v>10.88</v>
      </c>
      <c r="I45" s="139">
        <v>3.87</v>
      </c>
      <c r="J45" s="139">
        <v>4.66</v>
      </c>
      <c r="K45" s="139">
        <v>171.02</v>
      </c>
      <c r="L45" s="139">
        <v>20.309999999999999</v>
      </c>
      <c r="M45" s="139">
        <v>78.27</v>
      </c>
      <c r="N45" s="139">
        <v>735.40</v>
      </c>
      <c r="O45" s="139">
        <v>0</v>
      </c>
      <c r="P45" s="139">
        <v>2.68</v>
      </c>
      <c r="Q45" s="139">
        <v>12.19</v>
      </c>
      <c r="R45" s="198"/>
      <c r="S45" s="198"/>
      <c r="T45" s="198"/>
      <c r="U45" s="198"/>
    </row>
    <row r="46" spans="1:21" s="12" customFormat="1" ht="15">
      <c r="A46" s="222" t="s">
        <v>2975</v>
      </c>
      <c r="B46" s="139">
        <v>1.21</v>
      </c>
      <c r="C46" s="139">
        <v>14.90</v>
      </c>
      <c r="D46" s="139">
        <v>16.11</v>
      </c>
      <c r="E46" s="139">
        <v>6.34</v>
      </c>
      <c r="F46" s="139">
        <v>1.82</v>
      </c>
      <c r="G46" s="139">
        <v>30.17</v>
      </c>
      <c r="H46" s="139">
        <v>12.88</v>
      </c>
      <c r="I46" s="139">
        <v>3.77</v>
      </c>
      <c r="J46" s="139">
        <v>4.1500000000000004</v>
      </c>
      <c r="K46" s="139">
        <v>168.35</v>
      </c>
      <c r="L46" s="139">
        <v>22.99</v>
      </c>
      <c r="M46" s="139">
        <v>76.680000000000007</v>
      </c>
      <c r="N46" s="139">
        <v>850.90</v>
      </c>
      <c r="O46" s="139">
        <v>0</v>
      </c>
      <c r="P46" s="139">
        <v>2.69</v>
      </c>
      <c r="Q46" s="139">
        <v>12.39</v>
      </c>
      <c r="R46" s="198"/>
      <c r="S46" s="198"/>
      <c r="T46" s="198"/>
      <c r="U46" s="198"/>
    </row>
    <row r="47" spans="1:21" s="12" customFormat="1" ht="15">
      <c r="A47" s="222" t="s">
        <v>2976</v>
      </c>
      <c r="B47" s="139">
        <v>1.1299999999999999</v>
      </c>
      <c r="C47" s="139">
        <v>15.10</v>
      </c>
      <c r="D47" s="139">
        <v>16.23</v>
      </c>
      <c r="E47" s="139">
        <v>6.32</v>
      </c>
      <c r="F47" s="139">
        <v>1.71</v>
      </c>
      <c r="G47" s="139">
        <v>30.17</v>
      </c>
      <c r="H47" s="139">
        <v>12.88</v>
      </c>
      <c r="I47" s="139">
        <v>3.75</v>
      </c>
      <c r="J47" s="139">
        <v>3.01</v>
      </c>
      <c r="K47" s="139">
        <v>185.76</v>
      </c>
      <c r="L47" s="139">
        <v>21.60</v>
      </c>
      <c r="M47" s="139">
        <v>74.260000000000005</v>
      </c>
      <c r="N47" s="139">
        <v>880</v>
      </c>
      <c r="O47" s="139">
        <v>0</v>
      </c>
      <c r="P47" s="139">
        <v>2.71</v>
      </c>
      <c r="Q47" s="139">
        <v>12.39</v>
      </c>
      <c r="R47" s="198"/>
      <c r="S47" s="198"/>
      <c r="T47" s="198"/>
      <c r="U47" s="198"/>
    </row>
    <row r="48" spans="1:21" s="12" customFormat="1" ht="15">
      <c r="A48" s="222" t="s">
        <v>2977</v>
      </c>
      <c r="B48" s="139">
        <v>0.95</v>
      </c>
      <c r="C48" s="139">
        <v>14.69</v>
      </c>
      <c r="D48" s="139">
        <v>15.64</v>
      </c>
      <c r="E48" s="139">
        <v>6.26</v>
      </c>
      <c r="F48" s="139">
        <v>1.41</v>
      </c>
      <c r="G48" s="139">
        <v>30.17</v>
      </c>
      <c r="H48" s="139">
        <v>12.88</v>
      </c>
      <c r="I48" s="139">
        <v>3.74</v>
      </c>
      <c r="J48" s="139">
        <v>0.25</v>
      </c>
      <c r="K48" s="139">
        <v>15.99</v>
      </c>
      <c r="L48" s="139">
        <v>23.39</v>
      </c>
      <c r="M48" s="139">
        <v>69.95</v>
      </c>
      <c r="N48" s="139">
        <v>1162.30</v>
      </c>
      <c r="O48" s="139">
        <v>0</v>
      </c>
      <c r="P48" s="139">
        <v>2.74</v>
      </c>
      <c r="Q48" s="139">
        <v>12.28</v>
      </c>
      <c r="R48" s="198"/>
      <c r="S48" s="198"/>
      <c r="T48" s="198"/>
      <c r="U48" s="198"/>
    </row>
    <row r="49" spans="1:21" s="12" customFormat="1" ht="15">
      <c r="A49" s="222" t="s">
        <v>2978</v>
      </c>
      <c r="B49" s="139">
        <v>1.08</v>
      </c>
      <c r="C49" s="139">
        <v>15.46</v>
      </c>
      <c r="D49" s="139">
        <v>16.53</v>
      </c>
      <c r="E49" s="139">
        <v>6.06</v>
      </c>
      <c r="F49" s="139">
        <v>1.66</v>
      </c>
      <c r="G49" s="139">
        <v>29.92</v>
      </c>
      <c r="H49" s="139">
        <v>12.03</v>
      </c>
      <c r="I49" s="139">
        <v>3.75</v>
      </c>
      <c r="J49" s="139">
        <v>0.40</v>
      </c>
      <c r="K49" s="139">
        <v>227.12</v>
      </c>
      <c r="L49" s="139">
        <v>24.75</v>
      </c>
      <c r="M49" s="139">
        <v>68.83</v>
      </c>
      <c r="N49" s="139">
        <v>1024</v>
      </c>
      <c r="O49" s="139">
        <v>0</v>
      </c>
      <c r="P49" s="139">
        <v>2.78</v>
      </c>
      <c r="Q49" s="139">
        <v>12.34</v>
      </c>
      <c r="R49" s="198"/>
      <c r="S49" s="198"/>
      <c r="T49" s="198"/>
      <c r="U49" s="198"/>
    </row>
    <row r="50" spans="1:21" s="12" customFormat="1" ht="15">
      <c r="A50" s="222" t="s">
        <v>2979</v>
      </c>
      <c r="B50" s="139">
        <v>1.24</v>
      </c>
      <c r="C50" s="139">
        <v>16.89</v>
      </c>
      <c r="D50" s="139">
        <v>18.13</v>
      </c>
      <c r="E50" s="139">
        <v>5.94</v>
      </c>
      <c r="F50" s="139">
        <v>1.52</v>
      </c>
      <c r="G50" s="139">
        <v>29.31</v>
      </c>
      <c r="H50" s="139">
        <v>9.94</v>
      </c>
      <c r="I50" s="139">
        <v>3.74</v>
      </c>
      <c r="J50" s="139">
        <v>0.64</v>
      </c>
      <c r="K50" s="139">
        <v>282.37</v>
      </c>
      <c r="L50" s="139">
        <v>23.57</v>
      </c>
      <c r="M50" s="139">
        <v>67.16</v>
      </c>
      <c r="N50" s="139">
        <v>1173.30</v>
      </c>
      <c r="O50" s="139">
        <v>0</v>
      </c>
      <c r="P50" s="139">
        <v>2.76</v>
      </c>
      <c r="Q50" s="139">
        <v>11.96</v>
      </c>
      <c r="R50" s="198"/>
      <c r="S50" s="198"/>
      <c r="T50" s="198"/>
      <c r="U50" s="198"/>
    </row>
    <row r="51" spans="1:21" s="12" customFormat="1" ht="15">
      <c r="A51" s="222" t="s">
        <v>2980</v>
      </c>
      <c r="B51" s="139">
        <v>1.32</v>
      </c>
      <c r="C51" s="139">
        <v>17.850000000000001</v>
      </c>
      <c r="D51" s="139">
        <v>19.170000000000002</v>
      </c>
      <c r="E51" s="139">
        <v>5.41</v>
      </c>
      <c r="F51" s="139">
        <v>1.23</v>
      </c>
      <c r="G51" s="139">
        <v>29.31</v>
      </c>
      <c r="H51" s="139">
        <v>9.94</v>
      </c>
      <c r="I51" s="139">
        <v>3.85</v>
      </c>
      <c r="J51" s="139">
        <v>0.95</v>
      </c>
      <c r="K51" s="139">
        <v>293.88</v>
      </c>
      <c r="L51" s="139">
        <v>27.05</v>
      </c>
      <c r="M51" s="139">
        <v>63.81</v>
      </c>
      <c r="N51" s="139">
        <v>1381.70</v>
      </c>
      <c r="O51" s="139">
        <v>0</v>
      </c>
      <c r="P51" s="139">
        <v>2.75</v>
      </c>
      <c r="Q51" s="139">
        <v>10.83</v>
      </c>
      <c r="R51" s="198"/>
      <c r="S51" s="198"/>
      <c r="T51" s="198"/>
      <c r="U51" s="198"/>
    </row>
    <row r="52" spans="1:21" s="12" customFormat="1" ht="15">
      <c r="A52" s="222" t="s">
        <v>2981</v>
      </c>
      <c r="B52" s="139">
        <v>1.26</v>
      </c>
      <c r="C52" s="139">
        <v>17.52</v>
      </c>
      <c r="D52" s="139">
        <v>18.77</v>
      </c>
      <c r="E52" s="139">
        <v>6.05</v>
      </c>
      <c r="F52" s="139">
        <v>1.63</v>
      </c>
      <c r="G52" s="139">
        <v>29.31</v>
      </c>
      <c r="H52" s="139">
        <v>9.94</v>
      </c>
      <c r="I52" s="139">
        <v>4.04</v>
      </c>
      <c r="J52" s="139">
        <v>2.38</v>
      </c>
      <c r="K52" s="139">
        <v>325.18</v>
      </c>
      <c r="L52" s="139">
        <v>28.28</v>
      </c>
      <c r="M52" s="139">
        <v>62</v>
      </c>
      <c r="N52" s="139">
        <v>1444.30</v>
      </c>
      <c r="O52" s="139">
        <v>0</v>
      </c>
      <c r="P52" s="139">
        <v>2.72</v>
      </c>
      <c r="Q52" s="139">
        <v>9.67</v>
      </c>
      <c r="R52" s="198"/>
      <c r="S52" s="198"/>
      <c r="T52" s="198"/>
      <c r="U52" s="198"/>
    </row>
    <row r="53" spans="1:21" s="12" customFormat="1" ht="15">
      <c r="A53" s="222" t="s">
        <v>2982</v>
      </c>
      <c r="B53" s="139">
        <v>1.1599999999999999</v>
      </c>
      <c r="C53" s="139">
        <v>18.309999999999999</v>
      </c>
      <c r="D53" s="139">
        <v>19.47</v>
      </c>
      <c r="E53" s="139">
        <v>5.58</v>
      </c>
      <c r="F53" s="139">
        <v>1.24</v>
      </c>
      <c r="G53" s="139">
        <v>32.31</v>
      </c>
      <c r="H53" s="139">
        <v>11.16</v>
      </c>
      <c r="I53" s="139">
        <v>4.16</v>
      </c>
      <c r="J53" s="139">
        <v>0.91</v>
      </c>
      <c r="K53" s="139">
        <v>332.19</v>
      </c>
      <c r="L53" s="139">
        <v>28.78</v>
      </c>
      <c r="M53" s="139">
        <v>60.44</v>
      </c>
      <c r="N53" s="139">
        <v>1443.10</v>
      </c>
      <c r="O53" s="139">
        <v>0</v>
      </c>
      <c r="P53" s="139">
        <v>2.70</v>
      </c>
      <c r="Q53" s="139">
        <v>9.26</v>
      </c>
      <c r="R53" s="198"/>
      <c r="S53" s="198"/>
      <c r="T53" s="198"/>
      <c r="U53" s="198"/>
    </row>
    <row r="54" spans="1:21" s="12" customFormat="1" ht="15">
      <c r="A54" s="222" t="s">
        <v>2983</v>
      </c>
      <c r="B54" s="139">
        <v>1.01</v>
      </c>
      <c r="C54" s="139">
        <v>18.309999999999999</v>
      </c>
      <c r="D54" s="139">
        <v>19.32</v>
      </c>
      <c r="E54" s="139">
        <v>5.84</v>
      </c>
      <c r="F54" s="139">
        <v>1.95</v>
      </c>
      <c r="G54" s="139">
        <v>39.71</v>
      </c>
      <c r="H54" s="139">
        <v>14.15</v>
      </c>
      <c r="I54" s="139">
        <v>4.26</v>
      </c>
      <c r="J54" s="139">
        <v>1.78</v>
      </c>
      <c r="K54" s="139">
        <v>313.58999999999997</v>
      </c>
      <c r="L54" s="139">
        <v>28.77</v>
      </c>
      <c r="M54" s="139">
        <v>60.18</v>
      </c>
      <c r="N54" s="139">
        <v>1431.40</v>
      </c>
      <c r="O54" s="139">
        <v>0</v>
      </c>
      <c r="P54" s="139">
        <v>2.68</v>
      </c>
      <c r="Q54" s="139">
        <v>8.6300000000000008</v>
      </c>
      <c r="R54" s="198"/>
      <c r="S54" s="198"/>
      <c r="T54" s="198"/>
      <c r="U54" s="198"/>
    </row>
    <row r="55" spans="1:21" s="12" customFormat="1" ht="15">
      <c r="A55" s="222" t="s">
        <v>2984</v>
      </c>
      <c r="B55" s="139">
        <v>1.1000000000000001</v>
      </c>
      <c r="C55" s="139">
        <v>18.96</v>
      </c>
      <c r="D55" s="139">
        <v>20.059999999999999</v>
      </c>
      <c r="E55" s="139">
        <v>5.65</v>
      </c>
      <c r="F55" s="139">
        <v>1.62</v>
      </c>
      <c r="G55" s="139">
        <v>39.71</v>
      </c>
      <c r="H55" s="139">
        <v>14.15</v>
      </c>
      <c r="I55" s="139">
        <v>4.3600000000000003</v>
      </c>
      <c r="J55" s="139">
        <v>1.48</v>
      </c>
      <c r="K55" s="139">
        <v>279.08</v>
      </c>
      <c r="L55" s="139">
        <v>38.42</v>
      </c>
      <c r="M55" s="139">
        <v>58.29</v>
      </c>
      <c r="N55" s="139">
        <v>1345.5</v>
      </c>
      <c r="O55" s="139">
        <v>0</v>
      </c>
      <c r="P55" s="139">
        <v>2.66</v>
      </c>
      <c r="Q55" s="139">
        <v>8.52</v>
      </c>
      <c r="R55" s="198"/>
      <c r="S55" s="198"/>
      <c r="T55" s="198"/>
      <c r="U55" s="198"/>
    </row>
    <row r="56" spans="1:21" s="12" customFormat="1" ht="15">
      <c r="A56" s="222" t="s">
        <v>2985</v>
      </c>
      <c r="B56" s="139">
        <v>0.99</v>
      </c>
      <c r="C56" s="139">
        <v>19.07</v>
      </c>
      <c r="D56" s="139">
        <v>20.059999999999999</v>
      </c>
      <c r="E56" s="139">
        <v>2.52</v>
      </c>
      <c r="F56" s="139">
        <v>2.60</v>
      </c>
      <c r="G56" s="139">
        <v>39.71</v>
      </c>
      <c r="H56" s="139">
        <v>14.15</v>
      </c>
      <c r="I56" s="139">
        <v>4.3600000000000003</v>
      </c>
      <c r="J56" s="139">
        <v>1.91</v>
      </c>
      <c r="K56" s="139">
        <v>335.74</v>
      </c>
      <c r="L56" s="139">
        <v>40.21</v>
      </c>
      <c r="M56" s="139">
        <v>56.5</v>
      </c>
      <c r="N56" s="139">
        <v>1446.60</v>
      </c>
      <c r="O56" s="139">
        <v>0</v>
      </c>
      <c r="P56" s="139">
        <v>2.64</v>
      </c>
      <c r="Q56" s="139">
        <v>8.06</v>
      </c>
      <c r="R56" s="198"/>
      <c r="S56" s="198"/>
      <c r="T56" s="198"/>
      <c r="U56" s="198"/>
    </row>
    <row r="57" spans="1:21" s="12" customFormat="1" ht="15">
      <c r="A57" s="222" t="s">
        <v>2986</v>
      </c>
      <c r="B57" s="139">
        <v>0.86</v>
      </c>
      <c r="C57" s="139">
        <v>20.56</v>
      </c>
      <c r="D57" s="139">
        <v>21.42</v>
      </c>
      <c r="E57" s="139">
        <v>5.19</v>
      </c>
      <c r="F57" s="139">
        <v>2.36</v>
      </c>
      <c r="G57" s="139">
        <v>41.22</v>
      </c>
      <c r="H57" s="139">
        <v>14.07</v>
      </c>
      <c r="I57" s="139">
        <v>4.4000000000000004</v>
      </c>
      <c r="J57" s="139">
        <v>2.41</v>
      </c>
      <c r="K57" s="139">
        <v>351.42</v>
      </c>
      <c r="L57" s="139">
        <v>38.39</v>
      </c>
      <c r="M57" s="139">
        <v>55.92</v>
      </c>
      <c r="N57" s="139">
        <v>1402</v>
      </c>
      <c r="O57" s="139">
        <v>0</v>
      </c>
      <c r="P57" s="139">
        <v>2.66</v>
      </c>
      <c r="Q57" s="139">
        <v>8.32</v>
      </c>
      <c r="R57" s="198"/>
      <c r="S57" s="198"/>
      <c r="T57" s="198"/>
      <c r="U57" s="198"/>
    </row>
    <row r="58" spans="1:21" s="12" customFormat="1" ht="15">
      <c r="A58" s="222" t="s">
        <v>2987</v>
      </c>
      <c r="B58" s="139">
        <v>0.76</v>
      </c>
      <c r="C58" s="139">
        <v>20.56</v>
      </c>
      <c r="D58" s="139">
        <v>21.32</v>
      </c>
      <c r="E58" s="139">
        <v>5.25</v>
      </c>
      <c r="F58" s="139">
        <v>3.89</v>
      </c>
      <c r="G58" s="139">
        <v>44.93</v>
      </c>
      <c r="H58" s="139">
        <v>13.87</v>
      </c>
      <c r="I58" s="139">
        <v>4.4000000000000004</v>
      </c>
      <c r="J58" s="139">
        <v>0.61</v>
      </c>
      <c r="K58" s="139">
        <v>320.58999999999997</v>
      </c>
      <c r="L58" s="139">
        <v>41.59</v>
      </c>
      <c r="M58" s="139">
        <v>55.24</v>
      </c>
      <c r="N58" s="139">
        <v>1509.40</v>
      </c>
      <c r="O58" s="139">
        <v>0</v>
      </c>
      <c r="P58" s="139">
        <v>2.75</v>
      </c>
      <c r="Q58" s="139">
        <v>9.26</v>
      </c>
      <c r="R58" s="198"/>
      <c r="S58" s="198"/>
      <c r="T58" s="198"/>
      <c r="U58" s="198"/>
    </row>
    <row r="59" spans="1:21" s="12" customFormat="1" ht="15">
      <c r="A59" s="222" t="s">
        <v>2988</v>
      </c>
      <c r="B59" s="139">
        <v>0.42</v>
      </c>
      <c r="C59" s="139">
        <v>20.43</v>
      </c>
      <c r="D59" s="139">
        <v>20.85</v>
      </c>
      <c r="E59" s="139">
        <v>4.8499999999999996</v>
      </c>
      <c r="F59" s="139">
        <v>4.6100000000000003</v>
      </c>
      <c r="G59" s="139">
        <v>44.93</v>
      </c>
      <c r="H59" s="139">
        <v>13.87</v>
      </c>
      <c r="I59" s="139">
        <v>4.62</v>
      </c>
      <c r="J59" s="139">
        <v>0.64</v>
      </c>
      <c r="K59" s="139">
        <v>230.96</v>
      </c>
      <c r="L59" s="139">
        <v>40.380000000000003</v>
      </c>
      <c r="M59" s="139">
        <v>54.93</v>
      </c>
      <c r="N59" s="139">
        <v>1524</v>
      </c>
      <c r="O59" s="139">
        <v>0</v>
      </c>
      <c r="P59" s="139">
        <v>2.83</v>
      </c>
      <c r="Q59" s="139">
        <v>10.71</v>
      </c>
      <c r="R59" s="198"/>
      <c r="S59" s="198"/>
      <c r="T59" s="198"/>
      <c r="U59" s="198"/>
    </row>
    <row r="60" spans="1:21" s="12" customFormat="1" ht="15">
      <c r="A60" s="222" t="s">
        <v>2989</v>
      </c>
      <c r="B60" s="139">
        <v>0.25</v>
      </c>
      <c r="C60" s="139">
        <v>20.239999999999998</v>
      </c>
      <c r="D60" s="139">
        <v>20.49</v>
      </c>
      <c r="E60" s="139">
        <v>4.99</v>
      </c>
      <c r="F60" s="139">
        <v>4.55</v>
      </c>
      <c r="G60" s="139">
        <v>44.93</v>
      </c>
      <c r="H60" s="139">
        <v>13.87</v>
      </c>
      <c r="I60" s="139">
        <v>4.99</v>
      </c>
      <c r="J60" s="139">
        <v>1.51</v>
      </c>
      <c r="K60" s="139">
        <v>233.84</v>
      </c>
      <c r="L60" s="139">
        <v>42.30</v>
      </c>
      <c r="M60" s="139">
        <v>53.24</v>
      </c>
      <c r="N60" s="139">
        <v>1513.70</v>
      </c>
      <c r="O60" s="139">
        <v>0</v>
      </c>
      <c r="P60" s="139">
        <v>2.85</v>
      </c>
      <c r="Q60" s="139">
        <v>11.62</v>
      </c>
      <c r="R60" s="198"/>
      <c r="S60" s="198"/>
      <c r="T60" s="198"/>
      <c r="U60" s="198"/>
    </row>
    <row r="61" spans="1:21" s="12" customFormat="1" ht="15">
      <c r="A61" s="222" t="s">
        <v>2990</v>
      </c>
      <c r="B61" s="139">
        <v>0.70</v>
      </c>
      <c r="C61" s="139">
        <v>20.46</v>
      </c>
      <c r="D61" s="139">
        <v>21.16</v>
      </c>
      <c r="E61" s="139">
        <v>4.63</v>
      </c>
      <c r="F61" s="139">
        <v>4.5599999999999996</v>
      </c>
      <c r="G61" s="139">
        <v>44.95</v>
      </c>
      <c r="H61" s="139">
        <v>13.88</v>
      </c>
      <c r="I61" s="139">
        <v>5.24</v>
      </c>
      <c r="J61" s="139">
        <v>3.19</v>
      </c>
      <c r="K61" s="139">
        <v>347.48</v>
      </c>
      <c r="L61" s="139">
        <v>43.82</v>
      </c>
      <c r="M61" s="139">
        <v>50.03</v>
      </c>
      <c r="N61" s="139">
        <v>1297.70</v>
      </c>
      <c r="O61" s="139">
        <v>0</v>
      </c>
      <c r="P61" s="139">
        <v>2.91</v>
      </c>
      <c r="Q61" s="139">
        <v>12.90</v>
      </c>
      <c r="R61" s="198"/>
      <c r="S61" s="198"/>
      <c r="T61" s="198"/>
      <c r="U61" s="198"/>
    </row>
    <row r="62" spans="1:21" s="12" customFormat="1" ht="15">
      <c r="A62" s="222" t="s">
        <v>2991</v>
      </c>
      <c r="B62" s="139">
        <v>1.62</v>
      </c>
      <c r="C62" s="139">
        <v>23.52</v>
      </c>
      <c r="D62" s="139">
        <v>25.14</v>
      </c>
      <c r="E62" s="139">
        <v>4.83</v>
      </c>
      <c r="F62" s="139">
        <v>3.49</v>
      </c>
      <c r="G62" s="139">
        <v>44.99</v>
      </c>
      <c r="H62" s="139">
        <v>13.89</v>
      </c>
      <c r="I62" s="139">
        <v>5.41</v>
      </c>
      <c r="J62" s="139">
        <v>4.74</v>
      </c>
      <c r="K62" s="139">
        <v>313.41000000000003</v>
      </c>
      <c r="L62" s="139">
        <v>44</v>
      </c>
      <c r="M62" s="139">
        <v>48.99</v>
      </c>
      <c r="N62" s="139">
        <v>1134.5</v>
      </c>
      <c r="O62" s="139">
        <v>0</v>
      </c>
      <c r="P62" s="139">
        <v>2.97</v>
      </c>
      <c r="Q62" s="139">
        <v>14.49</v>
      </c>
      <c r="R62" s="198"/>
      <c r="S62" s="198"/>
      <c r="T62" s="198"/>
      <c r="U62" s="198"/>
    </row>
    <row r="63" spans="1:21" s="12" customFormat="1" ht="15">
      <c r="A63" s="222" t="s">
        <v>2992</v>
      </c>
      <c r="B63" s="139">
        <v>1.26</v>
      </c>
      <c r="C63" s="139">
        <v>24.49</v>
      </c>
      <c r="D63" s="139">
        <v>25.76</v>
      </c>
      <c r="E63" s="139">
        <v>4.45</v>
      </c>
      <c r="F63" s="139">
        <v>3.76</v>
      </c>
      <c r="G63" s="139">
        <v>44.99</v>
      </c>
      <c r="H63" s="139">
        <v>13.89</v>
      </c>
      <c r="I63" s="139">
        <v>5.76</v>
      </c>
      <c r="J63" s="139">
        <v>3.15</v>
      </c>
      <c r="K63" s="139">
        <v>331.09</v>
      </c>
      <c r="L63" s="139">
        <v>42.08</v>
      </c>
      <c r="M63" s="139">
        <v>48.92</v>
      </c>
      <c r="N63" s="139">
        <v>1004.40</v>
      </c>
      <c r="O63" s="139">
        <v>0</v>
      </c>
      <c r="P63" s="139">
        <v>3.05</v>
      </c>
      <c r="Q63" s="139">
        <v>14.99</v>
      </c>
      <c r="R63" s="198"/>
      <c r="S63" s="198"/>
      <c r="T63" s="198"/>
      <c r="U63" s="198"/>
    </row>
    <row r="64" spans="1:21" s="12" customFormat="1" ht="15">
      <c r="A64" s="222" t="s">
        <v>2993</v>
      </c>
      <c r="B64" s="139">
        <v>0.88</v>
      </c>
      <c r="C64" s="139">
        <v>25.17</v>
      </c>
      <c r="D64" s="139">
        <v>26.06</v>
      </c>
      <c r="E64" s="139">
        <v>4.20</v>
      </c>
      <c r="F64" s="139">
        <v>3.46</v>
      </c>
      <c r="G64" s="139">
        <v>44.99</v>
      </c>
      <c r="H64" s="139">
        <v>13.89</v>
      </c>
      <c r="I64" s="139">
        <v>6.14</v>
      </c>
      <c r="J64" s="139">
        <v>2.84</v>
      </c>
      <c r="K64" s="139">
        <v>318.02999999999997</v>
      </c>
      <c r="L64" s="139">
        <v>39.020000000000003</v>
      </c>
      <c r="M64" s="139">
        <v>49.73</v>
      </c>
      <c r="N64" s="139">
        <v>906.5</v>
      </c>
      <c r="O64" s="139">
        <v>0</v>
      </c>
      <c r="P64" s="139">
        <v>3.08</v>
      </c>
      <c r="Q64" s="139">
        <v>15.04</v>
      </c>
      <c r="R64" s="198"/>
      <c r="S64" s="198"/>
      <c r="T64" s="198"/>
      <c r="U64" s="198"/>
    </row>
    <row r="65" spans="1:21" s="12" customFormat="1" ht="15">
      <c r="A65" s="222" t="s">
        <v>2994</v>
      </c>
      <c r="B65" s="139">
        <v>0.66</v>
      </c>
      <c r="C65" s="139">
        <v>24.53</v>
      </c>
      <c r="D65" s="139">
        <v>25.19</v>
      </c>
      <c r="E65" s="139">
        <v>4.41</v>
      </c>
      <c r="F65" s="139">
        <v>3.87</v>
      </c>
      <c r="G65" s="139">
        <v>46.65</v>
      </c>
      <c r="H65" s="139">
        <v>17.52</v>
      </c>
      <c r="I65" s="139">
        <v>6.60</v>
      </c>
      <c r="J65" s="139">
        <v>1.75</v>
      </c>
      <c r="K65" s="139">
        <v>162.61000000000001</v>
      </c>
      <c r="L65" s="139">
        <v>32.229999999999997</v>
      </c>
      <c r="M65" s="139">
        <v>50.81</v>
      </c>
      <c r="N65" s="139">
        <v>767.80</v>
      </c>
      <c r="O65" s="139">
        <v>0</v>
      </c>
      <c r="P65" s="139">
        <v>3.13</v>
      </c>
      <c r="Q65" s="139">
        <v>14.86</v>
      </c>
      <c r="R65" s="198"/>
      <c r="S65" s="198"/>
      <c r="T65" s="198"/>
      <c r="U65" s="198"/>
    </row>
    <row r="66" spans="1:21" s="12" customFormat="1" ht="15">
      <c r="A66" s="222" t="s">
        <v>2995</v>
      </c>
      <c r="B66" s="139">
        <v>0.51</v>
      </c>
      <c r="C66" s="139">
        <v>24.30</v>
      </c>
      <c r="D66" s="139">
        <v>24.80</v>
      </c>
      <c r="E66" s="139">
        <v>4.55</v>
      </c>
      <c r="F66" s="139">
        <v>3.59</v>
      </c>
      <c r="G66" s="139">
        <v>50.75</v>
      </c>
      <c r="H66" s="139">
        <v>26.45</v>
      </c>
      <c r="I66" s="139">
        <v>6.96</v>
      </c>
      <c r="J66" s="139">
        <v>1.56</v>
      </c>
      <c r="K66" s="139">
        <v>1.89</v>
      </c>
      <c r="L66" s="139">
        <v>33.94</v>
      </c>
      <c r="M66" s="139">
        <v>50.55</v>
      </c>
      <c r="N66" s="139">
        <v>890.80</v>
      </c>
      <c r="O66" s="139">
        <v>0</v>
      </c>
      <c r="P66" s="139">
        <v>3.15</v>
      </c>
      <c r="Q66" s="139">
        <v>14.95</v>
      </c>
      <c r="R66" s="198"/>
      <c r="S66" s="198"/>
      <c r="T66" s="198"/>
      <c r="U66" s="198"/>
    </row>
    <row r="67" spans="1:21" s="12" customFormat="1" ht="15">
      <c r="A67" s="222" t="s">
        <v>2996</v>
      </c>
      <c r="B67" s="139">
        <v>0.39</v>
      </c>
      <c r="C67" s="139">
        <v>23.32</v>
      </c>
      <c r="D67" s="139">
        <v>23.71</v>
      </c>
      <c r="E67" s="139">
        <v>4.54</v>
      </c>
      <c r="F67" s="139">
        <v>3.86</v>
      </c>
      <c r="G67" s="139">
        <v>50.75</v>
      </c>
      <c r="H67" s="139">
        <v>26.45</v>
      </c>
      <c r="I67" s="139">
        <v>7.01</v>
      </c>
      <c r="J67" s="139">
        <v>0.64</v>
      </c>
      <c r="K67" s="139">
        <v>245</v>
      </c>
      <c r="L67" s="139">
        <v>40.880000000000003</v>
      </c>
      <c r="M67" s="139">
        <v>50.44</v>
      </c>
      <c r="N67" s="139">
        <v>721.70</v>
      </c>
      <c r="O67" s="139">
        <v>0</v>
      </c>
      <c r="P67" s="139">
        <v>3.16</v>
      </c>
      <c r="Q67" s="139">
        <v>14.39</v>
      </c>
      <c r="R67" s="198"/>
      <c r="S67" s="198"/>
      <c r="T67" s="198"/>
      <c r="U67" s="198"/>
    </row>
    <row r="68" spans="1:21" s="12" customFormat="1" ht="15">
      <c r="A68" s="222" t="s">
        <v>2997</v>
      </c>
      <c r="B68" s="139">
        <v>0.33</v>
      </c>
      <c r="C68" s="139">
        <v>22.34</v>
      </c>
      <c r="D68" s="139">
        <v>22.66</v>
      </c>
      <c r="E68" s="139">
        <v>4.63</v>
      </c>
      <c r="F68" s="139">
        <v>3.16</v>
      </c>
      <c r="G68" s="139">
        <v>50.75</v>
      </c>
      <c r="H68" s="139">
        <v>26.45</v>
      </c>
      <c r="I68" s="139">
        <v>6.97</v>
      </c>
      <c r="J68" s="139">
        <v>3.29</v>
      </c>
      <c r="K68" s="139">
        <v>327.57</v>
      </c>
      <c r="L68" s="139">
        <v>41.07</v>
      </c>
      <c r="M68" s="139">
        <v>51.98</v>
      </c>
      <c r="N68" s="139">
        <v>692.30</v>
      </c>
      <c r="O68" s="139">
        <v>0</v>
      </c>
      <c r="P68" s="139">
        <v>3.12</v>
      </c>
      <c r="Q68" s="139">
        <v>12.84</v>
      </c>
      <c r="R68" s="198"/>
      <c r="S68" s="198"/>
      <c r="T68" s="198"/>
      <c r="U68" s="198"/>
    </row>
    <row r="69" spans="1:21" s="12" customFormat="1" ht="15">
      <c r="A69" s="222" t="s">
        <v>2998</v>
      </c>
      <c r="B69" s="139">
        <v>0.56999999999999995</v>
      </c>
      <c r="C69" s="139">
        <v>22.44</v>
      </c>
      <c r="D69" s="139">
        <v>23.01</v>
      </c>
      <c r="E69" s="139">
        <v>4.7300000000000004</v>
      </c>
      <c r="F69" s="139">
        <v>2.46</v>
      </c>
      <c r="G69" s="139">
        <v>51.68</v>
      </c>
      <c r="H69" s="139">
        <v>25.11</v>
      </c>
      <c r="I69" s="139">
        <v>6.98</v>
      </c>
      <c r="J69" s="139">
        <v>1.1200000000000001</v>
      </c>
      <c r="K69" s="139">
        <v>314.45999999999998</v>
      </c>
      <c r="L69" s="139">
        <v>37.31</v>
      </c>
      <c r="M69" s="139">
        <v>50.72</v>
      </c>
      <c r="N69" s="139">
        <v>750.70</v>
      </c>
      <c r="O69" s="139">
        <v>0</v>
      </c>
      <c r="P69" s="139">
        <v>3.10</v>
      </c>
      <c r="Q69" s="139">
        <v>11.73</v>
      </c>
      <c r="R69" s="198"/>
      <c r="S69" s="198"/>
      <c r="T69" s="198"/>
      <c r="U69" s="198"/>
    </row>
    <row r="70" spans="1:21" s="12" customFormat="1" ht="15">
      <c r="A70" s="222" t="s">
        <v>2999</v>
      </c>
      <c r="B70" s="139">
        <v>0.80</v>
      </c>
      <c r="C70" s="139">
        <v>22.26</v>
      </c>
      <c r="D70" s="139">
        <v>23.06</v>
      </c>
      <c r="E70" s="139">
        <v>5.04</v>
      </c>
      <c r="F70" s="139">
        <v>1.82</v>
      </c>
      <c r="G70" s="139">
        <v>53.95</v>
      </c>
      <c r="H70" s="139">
        <v>21.81</v>
      </c>
      <c r="I70" s="139">
        <v>7.19</v>
      </c>
      <c r="J70" s="139">
        <v>1.20</v>
      </c>
      <c r="K70" s="139">
        <v>273.79000000000002</v>
      </c>
      <c r="L70" s="139">
        <v>35.549999999999997</v>
      </c>
      <c r="M70" s="139">
        <v>51.07</v>
      </c>
      <c r="N70" s="139">
        <v>602.20000000000005</v>
      </c>
      <c r="O70" s="139">
        <v>0</v>
      </c>
      <c r="P70" s="139">
        <v>3.06</v>
      </c>
      <c r="Q70" s="139">
        <v>10.82</v>
      </c>
      <c r="R70" s="198"/>
      <c r="S70" s="198"/>
      <c r="T70" s="198"/>
      <c r="U70" s="198"/>
    </row>
    <row r="71" spans="1:21" s="12" customFormat="1" ht="15">
      <c r="A71" s="222" t="s">
        <v>3000</v>
      </c>
      <c r="B71" s="139">
        <v>0.80</v>
      </c>
      <c r="C71" s="139">
        <v>21.43</v>
      </c>
      <c r="D71" s="139">
        <v>22.22</v>
      </c>
      <c r="E71" s="139">
        <v>5.63</v>
      </c>
      <c r="F71" s="139">
        <v>2.2200000000000002</v>
      </c>
      <c r="G71" s="139">
        <v>53.95</v>
      </c>
      <c r="H71" s="139">
        <v>21.81</v>
      </c>
      <c r="I71" s="139">
        <v>7.39</v>
      </c>
      <c r="J71" s="139">
        <v>2.12</v>
      </c>
      <c r="K71" s="139">
        <v>23.06</v>
      </c>
      <c r="L71" s="139">
        <v>40.04</v>
      </c>
      <c r="M71" s="139">
        <v>52.17</v>
      </c>
      <c r="N71" s="139">
        <v>619.79999999999995</v>
      </c>
      <c r="O71" s="139">
        <v>0</v>
      </c>
      <c r="P71" s="139">
        <v>3</v>
      </c>
      <c r="Q71" s="139">
        <v>9.8800000000000008</v>
      </c>
      <c r="R71" s="198"/>
      <c r="S71" s="198"/>
      <c r="T71" s="198"/>
      <c r="U71" s="198"/>
    </row>
    <row r="72" spans="1:21" s="12" customFormat="1" ht="15">
      <c r="A72" s="222" t="s">
        <v>3001</v>
      </c>
      <c r="B72" s="139">
        <v>0.70</v>
      </c>
      <c r="C72" s="139">
        <v>21.49</v>
      </c>
      <c r="D72" s="139">
        <v>22.18</v>
      </c>
      <c r="E72" s="139">
        <v>3.41</v>
      </c>
      <c r="F72" s="139">
        <v>2.96</v>
      </c>
      <c r="G72" s="139">
        <v>53.95</v>
      </c>
      <c r="H72" s="139">
        <v>21.81</v>
      </c>
      <c r="I72" s="139">
        <v>7.30</v>
      </c>
      <c r="J72" s="139">
        <v>2</v>
      </c>
      <c r="K72" s="139">
        <v>206.72</v>
      </c>
      <c r="L72" s="139">
        <v>41.98</v>
      </c>
      <c r="M72" s="139">
        <v>51.01</v>
      </c>
      <c r="N72" s="139">
        <v>629.10</v>
      </c>
      <c r="O72" s="139">
        <v>0</v>
      </c>
      <c r="P72" s="139">
        <v>2.96</v>
      </c>
      <c r="Q72" s="139">
        <v>9.24</v>
      </c>
      <c r="R72" s="198"/>
      <c r="S72" s="198"/>
      <c r="T72" s="198"/>
      <c r="U72" s="198"/>
    </row>
    <row r="73" spans="1:21" s="12" customFormat="1" ht="15">
      <c r="A73" s="222" t="s">
        <v>3002</v>
      </c>
      <c r="B73" s="139">
        <v>0.55000000000000004</v>
      </c>
      <c r="C73" s="139">
        <v>20.39</v>
      </c>
      <c r="D73" s="139">
        <v>20.94</v>
      </c>
      <c r="E73" s="139">
        <v>5.98</v>
      </c>
      <c r="F73" s="139">
        <v>2.59</v>
      </c>
      <c r="G73" s="139">
        <v>54.05</v>
      </c>
      <c r="H73" s="139">
        <v>21.38</v>
      </c>
      <c r="I73" s="139">
        <v>7.04</v>
      </c>
      <c r="J73" s="139">
        <v>5.88</v>
      </c>
      <c r="K73" s="139">
        <v>172.32</v>
      </c>
      <c r="L73" s="139">
        <v>38.51</v>
      </c>
      <c r="M73" s="139">
        <v>51.38</v>
      </c>
      <c r="N73" s="139">
        <v>603.10</v>
      </c>
      <c r="O73" s="139">
        <v>0</v>
      </c>
      <c r="P73" s="139">
        <v>2.90</v>
      </c>
      <c r="Q73" s="139">
        <v>8.6300000000000008</v>
      </c>
      <c r="R73" s="198"/>
      <c r="S73" s="198"/>
      <c r="T73" s="198"/>
      <c r="U73" s="198"/>
    </row>
    <row r="74" spans="1:21" s="12" customFormat="1" ht="15">
      <c r="A74" s="222" t="s">
        <v>3003</v>
      </c>
      <c r="B74" s="139">
        <v>0.51</v>
      </c>
      <c r="C74" s="139">
        <v>19.79</v>
      </c>
      <c r="D74" s="139">
        <v>20.30</v>
      </c>
      <c r="E74" s="139">
        <v>6.44</v>
      </c>
      <c r="F74" s="139">
        <v>1.63</v>
      </c>
      <c r="G74" s="139">
        <v>54.32</v>
      </c>
      <c r="H74" s="139">
        <v>20.309999999999999</v>
      </c>
      <c r="I74" s="139">
        <v>6.82</v>
      </c>
      <c r="J74" s="139">
        <v>5.75</v>
      </c>
      <c r="K74" s="139">
        <v>167.85</v>
      </c>
      <c r="L74" s="139">
        <v>39.86</v>
      </c>
      <c r="M74" s="139">
        <v>52.83</v>
      </c>
      <c r="N74" s="139">
        <v>490.80</v>
      </c>
      <c r="O74" s="139">
        <v>0</v>
      </c>
      <c r="P74" s="139">
        <v>2.85</v>
      </c>
      <c r="Q74" s="139">
        <v>8.2899999999999991</v>
      </c>
      <c r="R74" s="198"/>
      <c r="S74" s="198"/>
      <c r="T74" s="198"/>
      <c r="U74" s="198"/>
    </row>
    <row r="75" spans="1:21" s="12" customFormat="1" ht="15">
      <c r="A75" s="222" t="s">
        <v>3004</v>
      </c>
      <c r="B75" s="139">
        <v>0.54</v>
      </c>
      <c r="C75" s="139">
        <v>19.010000000000002</v>
      </c>
      <c r="D75" s="139">
        <v>19.55</v>
      </c>
      <c r="E75" s="139">
        <v>6.46</v>
      </c>
      <c r="F75" s="139">
        <v>2.12</v>
      </c>
      <c r="G75" s="139">
        <v>54.32</v>
      </c>
      <c r="H75" s="139">
        <v>20.309999999999999</v>
      </c>
      <c r="I75" s="139">
        <v>6.60</v>
      </c>
      <c r="J75" s="139">
        <v>6.52</v>
      </c>
      <c r="K75" s="139">
        <v>168.39</v>
      </c>
      <c r="L75" s="139">
        <v>35.130000000000003</v>
      </c>
      <c r="M75" s="139">
        <v>61.41</v>
      </c>
      <c r="N75" s="139">
        <v>399.20</v>
      </c>
      <c r="O75" s="139">
        <v>0</v>
      </c>
      <c r="P75" s="139">
        <v>2.82</v>
      </c>
      <c r="Q75" s="139">
        <v>8.1999999999999993</v>
      </c>
      <c r="R75" s="198"/>
      <c r="S75" s="198"/>
      <c r="T75" s="198"/>
      <c r="U75" s="198"/>
    </row>
    <row r="76" spans="1:21" s="12" customFormat="1" ht="15">
      <c r="A76" s="222" t="s">
        <v>3005</v>
      </c>
      <c r="B76" s="139">
        <v>0.40</v>
      </c>
      <c r="C76" s="139">
        <v>17.75</v>
      </c>
      <c r="D76" s="139">
        <v>18.149999999999999</v>
      </c>
      <c r="E76" s="139">
        <v>6.39</v>
      </c>
      <c r="F76" s="139">
        <v>3.10</v>
      </c>
      <c r="G76" s="139">
        <v>54.32</v>
      </c>
      <c r="H76" s="139">
        <v>20.309999999999999</v>
      </c>
      <c r="I76" s="139">
        <v>6.51</v>
      </c>
      <c r="J76" s="139">
        <v>5.82</v>
      </c>
      <c r="K76" s="139">
        <v>180.06</v>
      </c>
      <c r="L76" s="139">
        <v>33.75</v>
      </c>
      <c r="M76" s="139">
        <v>63.21</v>
      </c>
      <c r="N76" s="139">
        <v>411.30</v>
      </c>
      <c r="O76" s="139">
        <v>0</v>
      </c>
      <c r="P76" s="139">
        <v>2.84</v>
      </c>
      <c r="Q76" s="139">
        <v>8.77</v>
      </c>
      <c r="R76" s="198"/>
      <c r="S76" s="198"/>
      <c r="T76" s="198"/>
      <c r="U76" s="198"/>
    </row>
    <row r="77" spans="1:21" s="12" customFormat="1" ht="15">
      <c r="A77" s="222" t="s">
        <v>3006</v>
      </c>
      <c r="B77" s="139">
        <v>0.45</v>
      </c>
      <c r="C77" s="139">
        <v>17.82</v>
      </c>
      <c r="D77" s="139">
        <v>18.27</v>
      </c>
      <c r="E77" s="139">
        <v>5.98</v>
      </c>
      <c r="F77" s="139">
        <v>3.99</v>
      </c>
      <c r="G77" s="139">
        <v>55.28</v>
      </c>
      <c r="H77" s="139">
        <v>19.84</v>
      </c>
      <c r="I77" s="139">
        <v>6.22</v>
      </c>
      <c r="J77" s="139">
        <v>2.95</v>
      </c>
      <c r="K77" s="139">
        <v>311.02</v>
      </c>
      <c r="L77" s="139">
        <v>35.299999999999997</v>
      </c>
      <c r="M77" s="139">
        <v>64.63</v>
      </c>
      <c r="N77" s="139">
        <v>380.90</v>
      </c>
      <c r="O77" s="139">
        <v>0</v>
      </c>
      <c r="P77" s="139">
        <v>2.85</v>
      </c>
      <c r="Q77" s="139">
        <v>9.7799999999999994</v>
      </c>
      <c r="R77" s="198"/>
      <c r="S77" s="198"/>
      <c r="T77" s="198"/>
      <c r="U77" s="198"/>
    </row>
    <row r="78" spans="1:21" s="12" customFormat="1" ht="15">
      <c r="A78" s="222" t="s">
        <v>3007</v>
      </c>
      <c r="B78" s="139">
        <v>0.75</v>
      </c>
      <c r="C78" s="139">
        <v>18.96</v>
      </c>
      <c r="D78" s="139">
        <v>19.71</v>
      </c>
      <c r="E78" s="139">
        <v>5.71</v>
      </c>
      <c r="F78" s="139">
        <v>2.36</v>
      </c>
      <c r="G78" s="139">
        <v>57.64</v>
      </c>
      <c r="H78" s="139">
        <v>18.690000000000001</v>
      </c>
      <c r="I78" s="139">
        <v>5.84</v>
      </c>
      <c r="J78" s="139">
        <v>3.45</v>
      </c>
      <c r="K78" s="139">
        <v>17.399999999999999</v>
      </c>
      <c r="L78" s="139">
        <v>35.44</v>
      </c>
      <c r="M78" s="139">
        <v>72.430000000000007</v>
      </c>
      <c r="N78" s="139">
        <v>304.20</v>
      </c>
      <c r="O78" s="139">
        <v>0</v>
      </c>
      <c r="P78" s="139">
        <v>2.88</v>
      </c>
      <c r="Q78" s="139">
        <v>10.91</v>
      </c>
      <c r="R78" s="198"/>
      <c r="S78" s="198"/>
      <c r="T78" s="198"/>
      <c r="U78" s="198"/>
    </row>
    <row r="79" spans="1:21" s="12" customFormat="1" ht="15">
      <c r="A79" s="222" t="s">
        <v>3008</v>
      </c>
      <c r="B79" s="139">
        <v>1.45</v>
      </c>
      <c r="C79" s="139">
        <v>20.04</v>
      </c>
      <c r="D79" s="139">
        <v>21.49</v>
      </c>
      <c r="E79" s="139">
        <v>5.63</v>
      </c>
      <c r="F79" s="139">
        <v>2.84</v>
      </c>
      <c r="G79" s="139">
        <v>57.64</v>
      </c>
      <c r="H79" s="139">
        <v>18.690000000000001</v>
      </c>
      <c r="I79" s="139">
        <v>5.48</v>
      </c>
      <c r="J79" s="139">
        <v>8.92</v>
      </c>
      <c r="K79" s="139">
        <v>344</v>
      </c>
      <c r="L79" s="139">
        <v>28.01</v>
      </c>
      <c r="M79" s="139">
        <v>91.91</v>
      </c>
      <c r="N79" s="139">
        <v>357</v>
      </c>
      <c r="O79" s="139">
        <v>16.80</v>
      </c>
      <c r="P79" s="139">
        <v>2.93</v>
      </c>
      <c r="Q79" s="139">
        <v>12.11</v>
      </c>
      <c r="R79" s="198"/>
      <c r="S79" s="198"/>
      <c r="T79" s="198"/>
      <c r="U79" s="198"/>
    </row>
    <row r="80" spans="1:21" s="12" customFormat="1" ht="15">
      <c r="A80" s="222" t="s">
        <v>3009</v>
      </c>
      <c r="B80" s="139">
        <v>1.33</v>
      </c>
      <c r="C80" s="139">
        <v>20.55</v>
      </c>
      <c r="D80" s="139">
        <v>21.88</v>
      </c>
      <c r="E80" s="139">
        <v>5.81</v>
      </c>
      <c r="F80" s="139">
        <v>3.24</v>
      </c>
      <c r="G80" s="139">
        <v>57.64</v>
      </c>
      <c r="H80" s="139">
        <v>18.690000000000001</v>
      </c>
      <c r="I80" s="139">
        <v>5.28</v>
      </c>
      <c r="J80" s="139">
        <v>8.49</v>
      </c>
      <c r="K80" s="139">
        <v>328.84</v>
      </c>
      <c r="L80" s="139">
        <v>23.86</v>
      </c>
      <c r="M80" s="139">
        <v>99.44</v>
      </c>
      <c r="N80" s="139">
        <v>340.10</v>
      </c>
      <c r="O80" s="139">
        <v>14.40</v>
      </c>
      <c r="P80" s="139">
        <v>2.88</v>
      </c>
      <c r="Q80" s="139">
        <v>12.29</v>
      </c>
      <c r="R80" s="198"/>
      <c r="S80" s="198"/>
      <c r="T80" s="198"/>
      <c r="U80" s="198"/>
    </row>
    <row r="81" spans="1:21" s="12" customFormat="1" ht="15">
      <c r="A81" s="222" t="s">
        <v>3010</v>
      </c>
      <c r="B81" s="139">
        <v>23.77</v>
      </c>
      <c r="C81" s="139">
        <v>15.87</v>
      </c>
      <c r="D81" s="139">
        <v>31.47</v>
      </c>
      <c r="E81" s="139">
        <v>6.11</v>
      </c>
      <c r="F81" s="139">
        <v>7.66</v>
      </c>
      <c r="G81" s="139">
        <v>57.49</v>
      </c>
      <c r="H81" s="139">
        <v>17.11</v>
      </c>
      <c r="I81" s="139">
        <v>5.12</v>
      </c>
      <c r="J81" s="139">
        <v>5.65</v>
      </c>
      <c r="K81" s="139">
        <v>313.70999999999998</v>
      </c>
      <c r="L81" s="139">
        <v>22.67</v>
      </c>
      <c r="M81" s="139">
        <v>99.45</v>
      </c>
      <c r="N81" s="139">
        <v>336.80</v>
      </c>
      <c r="O81" s="139">
        <v>19.399999999999999</v>
      </c>
      <c r="P81" s="139">
        <v>2.82</v>
      </c>
      <c r="Q81" s="139">
        <v>12.42</v>
      </c>
      <c r="R81" s="198"/>
      <c r="S81" s="198"/>
      <c r="T81" s="198"/>
      <c r="U81" s="198"/>
    </row>
    <row r="82" spans="1:21" s="12" customFormat="1" ht="15">
      <c r="A82" s="222" t="s">
        <v>3011</v>
      </c>
      <c r="B82" s="139">
        <v>18.809999999999999</v>
      </c>
      <c r="C82" s="225" t="s">
        <v>47</v>
      </c>
      <c r="D82" s="139">
        <v>13.05</v>
      </c>
      <c r="E82" s="139">
        <v>6.60</v>
      </c>
      <c r="F82" s="139">
        <v>4.30</v>
      </c>
      <c r="G82" s="139">
        <v>56.63</v>
      </c>
      <c r="H82" s="139">
        <v>13.22</v>
      </c>
      <c r="I82" s="139">
        <v>5.42</v>
      </c>
      <c r="J82" s="139">
        <v>3.22</v>
      </c>
      <c r="K82" s="139">
        <v>355.78</v>
      </c>
      <c r="L82" s="139">
        <v>23.22</v>
      </c>
      <c r="M82" s="139">
        <v>99.45</v>
      </c>
      <c r="N82" s="139">
        <v>388.20</v>
      </c>
      <c r="O82" s="139">
        <v>3.80</v>
      </c>
      <c r="P82" s="139">
        <v>2.78</v>
      </c>
      <c r="Q82" s="139">
        <v>12.60</v>
      </c>
      <c r="R82" s="198"/>
      <c r="S82" s="198"/>
      <c r="T82" s="198"/>
      <c r="U82" s="198"/>
    </row>
    <row r="83" spans="1:21" s="12" customFormat="1" ht="15">
      <c r="A83" s="222" t="s">
        <v>3012</v>
      </c>
      <c r="B83" s="139">
        <v>13.17</v>
      </c>
      <c r="C83" s="139">
        <v>1.93</v>
      </c>
      <c r="D83" s="139">
        <v>15.04</v>
      </c>
      <c r="E83" s="139">
        <v>5.91</v>
      </c>
      <c r="F83" s="139">
        <v>2.5</v>
      </c>
      <c r="G83" s="139">
        <v>56.63</v>
      </c>
      <c r="H83" s="139">
        <v>13.22</v>
      </c>
      <c r="I83" s="139">
        <v>10.039999999999999</v>
      </c>
      <c r="J83" s="139">
        <v>3.5</v>
      </c>
      <c r="K83" s="139">
        <v>86.58</v>
      </c>
      <c r="L83" s="139">
        <v>19.11</v>
      </c>
      <c r="M83" s="139">
        <v>99.45</v>
      </c>
      <c r="N83" s="139">
        <v>297.5</v>
      </c>
      <c r="O83" s="139">
        <v>1.40</v>
      </c>
      <c r="P83" s="139">
        <v>2.81</v>
      </c>
      <c r="Q83" s="139">
        <v>11.40</v>
      </c>
      <c r="R83" s="198"/>
      <c r="S83" s="198"/>
      <c r="T83" s="198"/>
      <c r="U83" s="198"/>
    </row>
    <row r="84" spans="1:21" s="12" customFormat="1" ht="15">
      <c r="A84" s="222" t="s">
        <v>3013</v>
      </c>
      <c r="B84" s="139">
        <v>10.40</v>
      </c>
      <c r="C84" s="139">
        <v>6.75</v>
      </c>
      <c r="D84" s="139">
        <v>17.149999999999999</v>
      </c>
      <c r="E84" s="139">
        <v>6.41</v>
      </c>
      <c r="F84" s="139">
        <v>1.56</v>
      </c>
      <c r="G84" s="139">
        <v>56.63</v>
      </c>
      <c r="H84" s="139">
        <v>13.22</v>
      </c>
      <c r="I84" s="139">
        <v>14.70</v>
      </c>
      <c r="J84" s="139">
        <v>3.97</v>
      </c>
      <c r="K84" s="139">
        <v>160.44999999999999</v>
      </c>
      <c r="L84" s="139">
        <v>21.49</v>
      </c>
      <c r="M84" s="139">
        <v>99.45</v>
      </c>
      <c r="N84" s="139">
        <v>378.60</v>
      </c>
      <c r="O84" s="139">
        <v>0.40</v>
      </c>
      <c r="P84" s="139">
        <v>2.85</v>
      </c>
      <c r="Q84" s="139">
        <v>11.78</v>
      </c>
      <c r="R84" s="198"/>
      <c r="S84" s="198"/>
      <c r="T84" s="198"/>
      <c r="U84" s="198"/>
    </row>
    <row r="85" spans="1:21" s="12" customFormat="1" ht="15">
      <c r="A85" s="222" t="s">
        <v>3014</v>
      </c>
      <c r="B85" s="139">
        <v>8.32</v>
      </c>
      <c r="C85" s="139">
        <v>10.48</v>
      </c>
      <c r="D85" s="139">
        <v>18.80</v>
      </c>
      <c r="E85" s="139">
        <v>6.39</v>
      </c>
      <c r="F85" s="139">
        <v>0.87</v>
      </c>
      <c r="G85" s="139">
        <v>52.07</v>
      </c>
      <c r="H85" s="139">
        <v>13.5</v>
      </c>
      <c r="I85" s="139">
        <v>12.81</v>
      </c>
      <c r="J85" s="139">
        <v>4.74</v>
      </c>
      <c r="K85" s="139">
        <v>185.28</v>
      </c>
      <c r="L85" s="139">
        <v>24.89</v>
      </c>
      <c r="M85" s="139">
        <v>99.45</v>
      </c>
      <c r="N85" s="139">
        <v>337</v>
      </c>
      <c r="O85" s="139">
        <v>0.60</v>
      </c>
      <c r="P85" s="139">
        <v>2.86</v>
      </c>
      <c r="Q85" s="139">
        <v>12.05</v>
      </c>
      <c r="R85" s="198"/>
      <c r="S85" s="198"/>
      <c r="T85" s="198"/>
      <c r="U85" s="198"/>
    </row>
    <row r="86" spans="1:21" s="12" customFormat="1" ht="15">
      <c r="A86" s="222" t="s">
        <v>3015</v>
      </c>
      <c r="B86" s="139">
        <v>6.95</v>
      </c>
      <c r="C86" s="139">
        <v>11.86</v>
      </c>
      <c r="D86" s="139">
        <v>18.82</v>
      </c>
      <c r="E86" s="139">
        <v>6.54</v>
      </c>
      <c r="F86" s="139">
        <v>0.46</v>
      </c>
      <c r="G86" s="139">
        <v>40.86</v>
      </c>
      <c r="H86" s="139">
        <v>14.20</v>
      </c>
      <c r="I86" s="139">
        <v>12.12</v>
      </c>
      <c r="J86" s="139">
        <v>5.27</v>
      </c>
      <c r="K86" s="139">
        <v>184.36</v>
      </c>
      <c r="L86" s="139">
        <v>22.28</v>
      </c>
      <c r="M86" s="139">
        <v>99.45</v>
      </c>
      <c r="N86" s="139">
        <v>305.89999999999998</v>
      </c>
      <c r="O86" s="139">
        <v>0.20</v>
      </c>
      <c r="P86" s="139">
        <v>2.84</v>
      </c>
      <c r="Q86" s="139">
        <v>11.17</v>
      </c>
      <c r="R86" s="198"/>
      <c r="S86" s="198"/>
      <c r="T86" s="198"/>
      <c r="U86" s="198"/>
    </row>
    <row r="87" spans="1:21" s="12" customFormat="1" ht="15">
      <c r="A87" s="222" t="s">
        <v>3016</v>
      </c>
      <c r="B87" s="139">
        <v>6.16</v>
      </c>
      <c r="C87" s="139">
        <v>12.01</v>
      </c>
      <c r="D87" s="139">
        <v>18.170000000000002</v>
      </c>
      <c r="E87" s="139">
        <v>6.61</v>
      </c>
      <c r="F87" s="139">
        <v>0.59</v>
      </c>
      <c r="G87" s="139">
        <v>40.86</v>
      </c>
      <c r="H87" s="139">
        <v>14.20</v>
      </c>
      <c r="I87" s="139">
        <v>11.46</v>
      </c>
      <c r="J87" s="139">
        <v>3.26</v>
      </c>
      <c r="K87" s="139">
        <v>196.65</v>
      </c>
      <c r="L87" s="139">
        <v>20.62</v>
      </c>
      <c r="M87" s="139">
        <v>99.45</v>
      </c>
      <c r="N87" s="139">
        <v>312.10000000000002</v>
      </c>
      <c r="O87" s="139">
        <v>0</v>
      </c>
      <c r="P87" s="139">
        <v>2.82</v>
      </c>
      <c r="Q87" s="139">
        <v>10.039999999999999</v>
      </c>
      <c r="R87" s="198"/>
      <c r="S87" s="198"/>
      <c r="T87" s="198"/>
      <c r="U87" s="198"/>
    </row>
    <row r="88" spans="1:21" s="12" customFormat="1" ht="15">
      <c r="A88" s="222" t="s">
        <v>3017</v>
      </c>
      <c r="B88" s="139">
        <v>5.74</v>
      </c>
      <c r="C88" s="139">
        <v>12.41</v>
      </c>
      <c r="D88" s="139">
        <v>18.149999999999999</v>
      </c>
      <c r="E88" s="139">
        <v>2.89</v>
      </c>
      <c r="F88" s="139">
        <v>0.56999999999999995</v>
      </c>
      <c r="G88" s="139">
        <v>40.86</v>
      </c>
      <c r="H88" s="139">
        <v>14.20</v>
      </c>
      <c r="I88" s="139">
        <v>10.65</v>
      </c>
      <c r="J88" s="139">
        <v>2.63</v>
      </c>
      <c r="K88" s="139">
        <v>324.52999999999997</v>
      </c>
      <c r="L88" s="139">
        <v>22.78</v>
      </c>
      <c r="M88" s="139">
        <v>99.45</v>
      </c>
      <c r="N88" s="139">
        <v>304.20</v>
      </c>
      <c r="O88" s="139">
        <v>0.60</v>
      </c>
      <c r="P88" s="139">
        <v>2.83</v>
      </c>
      <c r="Q88" s="139">
        <v>9.36</v>
      </c>
      <c r="R88" s="198"/>
      <c r="S88" s="198"/>
      <c r="T88" s="198"/>
      <c r="U88" s="198"/>
    </row>
    <row r="89" spans="1:21" s="12" customFormat="1" ht="15">
      <c r="A89" s="222" t="s">
        <v>3018</v>
      </c>
      <c r="B89" s="139">
        <v>6.33</v>
      </c>
      <c r="C89" s="139">
        <v>13.41</v>
      </c>
      <c r="D89" s="139">
        <v>19.739999999999998</v>
      </c>
      <c r="E89" s="139">
        <v>6.5</v>
      </c>
      <c r="F89" s="139">
        <v>0.52</v>
      </c>
      <c r="G89" s="139">
        <v>37.03</v>
      </c>
      <c r="H89" s="139">
        <v>13.84</v>
      </c>
      <c r="I89" s="139">
        <v>10.02</v>
      </c>
      <c r="J89" s="139">
        <v>4.09</v>
      </c>
      <c r="K89" s="139">
        <v>309.55</v>
      </c>
      <c r="L89" s="139">
        <v>20.22</v>
      </c>
      <c r="M89" s="139">
        <v>99.45</v>
      </c>
      <c r="N89" s="139">
        <v>319.5</v>
      </c>
      <c r="O89" s="139">
        <v>0.80</v>
      </c>
      <c r="P89" s="139">
        <v>2.85</v>
      </c>
      <c r="Q89" s="139">
        <v>9.32</v>
      </c>
      <c r="R89" s="198"/>
      <c r="S89" s="198"/>
      <c r="T89" s="198"/>
      <c r="U89" s="198"/>
    </row>
    <row r="90" spans="1:21" s="12" customFormat="1" ht="15">
      <c r="A90" s="222" t="s">
        <v>3019</v>
      </c>
      <c r="B90" s="139">
        <v>6.70</v>
      </c>
      <c r="C90" s="139">
        <v>14.87</v>
      </c>
      <c r="D90" s="139">
        <v>21.57</v>
      </c>
      <c r="E90" s="139">
        <v>6.65</v>
      </c>
      <c r="F90" s="139">
        <v>0.44</v>
      </c>
      <c r="G90" s="139">
        <v>27.61</v>
      </c>
      <c r="H90" s="139">
        <v>12.96</v>
      </c>
      <c r="I90" s="139">
        <v>10.57</v>
      </c>
      <c r="J90" s="139">
        <v>5.15</v>
      </c>
      <c r="K90" s="139">
        <v>316.11</v>
      </c>
      <c r="L90" s="139">
        <v>21.57</v>
      </c>
      <c r="M90" s="139">
        <v>99.45</v>
      </c>
      <c r="N90" s="139">
        <v>292.30</v>
      </c>
      <c r="O90" s="139">
        <v>1.20</v>
      </c>
      <c r="P90" s="139">
        <v>2.86</v>
      </c>
      <c r="Q90" s="139">
        <v>9.41</v>
      </c>
      <c r="R90" s="198"/>
      <c r="S90" s="198"/>
      <c r="T90" s="198"/>
      <c r="U90" s="198"/>
    </row>
    <row r="91" spans="1:21" s="12" customFormat="1" ht="15">
      <c r="A91" s="222" t="s">
        <v>3020</v>
      </c>
      <c r="B91" s="139">
        <v>6.20</v>
      </c>
      <c r="C91" s="139">
        <v>16.47</v>
      </c>
      <c r="D91" s="139">
        <v>22.67</v>
      </c>
      <c r="E91" s="139">
        <v>7.28</v>
      </c>
      <c r="F91" s="139">
        <v>0.83</v>
      </c>
      <c r="G91" s="139">
        <v>27.61</v>
      </c>
      <c r="H91" s="139">
        <v>12.96</v>
      </c>
      <c r="I91" s="139">
        <v>10.66</v>
      </c>
      <c r="J91" s="139">
        <v>6.42</v>
      </c>
      <c r="K91" s="139">
        <v>301.08</v>
      </c>
      <c r="L91" s="139">
        <v>20.21</v>
      </c>
      <c r="M91" s="139">
        <v>99.45</v>
      </c>
      <c r="N91" s="139">
        <v>271.39999999999998</v>
      </c>
      <c r="O91" s="139">
        <v>0.80</v>
      </c>
      <c r="P91" s="139">
        <v>2.85</v>
      </c>
      <c r="Q91" s="139">
        <v>9.24</v>
      </c>
      <c r="R91" s="198"/>
      <c r="S91" s="198"/>
      <c r="T91" s="198"/>
      <c r="U91" s="198"/>
    </row>
    <row r="92" spans="1:21" s="12" customFormat="1" ht="15">
      <c r="A92" s="222" t="s">
        <v>3021</v>
      </c>
      <c r="B92" s="139">
        <v>5.30</v>
      </c>
      <c r="C92" s="139">
        <v>17.98</v>
      </c>
      <c r="D92" s="139">
        <v>23.28</v>
      </c>
      <c r="E92" s="139">
        <v>7.77</v>
      </c>
      <c r="F92" s="139">
        <v>0.89</v>
      </c>
      <c r="G92" s="139">
        <v>27.61</v>
      </c>
      <c r="H92" s="139">
        <v>12.96</v>
      </c>
      <c r="I92" s="139">
        <v>10.43</v>
      </c>
      <c r="J92" s="139">
        <v>6.84</v>
      </c>
      <c r="K92" s="139">
        <v>310.81</v>
      </c>
      <c r="L92" s="139">
        <v>21.45</v>
      </c>
      <c r="M92" s="139">
        <v>99.45</v>
      </c>
      <c r="N92" s="139">
        <v>292.80</v>
      </c>
      <c r="O92" s="139">
        <v>0.20</v>
      </c>
      <c r="P92" s="139">
        <v>2.81</v>
      </c>
      <c r="Q92" s="139">
        <v>8.90</v>
      </c>
      <c r="R92" s="198"/>
      <c r="S92" s="198"/>
      <c r="T92" s="198"/>
      <c r="U92" s="198"/>
    </row>
    <row r="93" spans="1:21" s="12" customFormat="1" ht="15">
      <c r="A93" s="222" t="s">
        <v>3022</v>
      </c>
      <c r="B93" s="139">
        <v>4.5199999999999996</v>
      </c>
      <c r="C93" s="139">
        <v>19.38</v>
      </c>
      <c r="D93" s="139">
        <v>23.90</v>
      </c>
      <c r="E93" s="139">
        <v>8.0399999999999991</v>
      </c>
      <c r="F93" s="139">
        <v>1.37</v>
      </c>
      <c r="G93" s="139">
        <v>26.45</v>
      </c>
      <c r="H93" s="139">
        <v>13.46</v>
      </c>
      <c r="I93" s="139">
        <v>9.9600000000000009</v>
      </c>
      <c r="J93" s="139">
        <v>4.1100000000000003</v>
      </c>
      <c r="K93" s="139">
        <v>323.11</v>
      </c>
      <c r="L93" s="139">
        <v>21.44</v>
      </c>
      <c r="M93" s="139">
        <v>99.44</v>
      </c>
      <c r="N93" s="139">
        <v>295.39999999999998</v>
      </c>
      <c r="O93" s="139">
        <v>0</v>
      </c>
      <c r="P93" s="139">
        <v>2.85</v>
      </c>
      <c r="Q93" s="139">
        <v>9.07</v>
      </c>
      <c r="R93" s="198"/>
      <c r="S93" s="198"/>
      <c r="T93" s="198"/>
      <c r="U93" s="198"/>
    </row>
    <row r="94" spans="1:21" s="12" customFormat="1" ht="15">
      <c r="A94" s="222" t="s">
        <v>3023</v>
      </c>
      <c r="B94" s="139">
        <v>4.0599999999999996</v>
      </c>
      <c r="C94" s="139">
        <v>20.440000000000001</v>
      </c>
      <c r="D94" s="139">
        <v>24.49</v>
      </c>
      <c r="E94" s="139">
        <v>7.14</v>
      </c>
      <c r="F94" s="139">
        <v>1.39</v>
      </c>
      <c r="G94" s="139">
        <v>23.60</v>
      </c>
      <c r="H94" s="139">
        <v>14.68</v>
      </c>
      <c r="I94" s="139">
        <v>9.35</v>
      </c>
      <c r="J94" s="139">
        <v>3.23</v>
      </c>
      <c r="K94" s="139">
        <v>315.08</v>
      </c>
      <c r="L94" s="139">
        <v>20.56</v>
      </c>
      <c r="M94" s="139">
        <v>99.43</v>
      </c>
      <c r="N94" s="139">
        <v>294.30</v>
      </c>
      <c r="O94" s="139">
        <v>0</v>
      </c>
      <c r="P94" s="139">
        <v>2.92</v>
      </c>
      <c r="Q94" s="139">
        <v>10.07</v>
      </c>
      <c r="R94" s="198"/>
      <c r="S94" s="198"/>
      <c r="T94" s="198"/>
      <c r="U94" s="198"/>
    </row>
    <row r="95" spans="1:21" s="12" customFormat="1" ht="15">
      <c r="A95" s="222" t="s">
        <v>3024</v>
      </c>
      <c r="B95" s="139">
        <v>3.45</v>
      </c>
      <c r="C95" s="139">
        <v>20.98</v>
      </c>
      <c r="D95" s="139">
        <v>24.43</v>
      </c>
      <c r="E95" s="139">
        <v>6.93</v>
      </c>
      <c r="F95" s="139">
        <v>1.04</v>
      </c>
      <c r="G95" s="139">
        <v>23.60</v>
      </c>
      <c r="H95" s="139">
        <v>14.68</v>
      </c>
      <c r="I95" s="139">
        <v>8.8000000000000007</v>
      </c>
      <c r="J95" s="139">
        <v>1.32</v>
      </c>
      <c r="K95" s="139">
        <v>227.36</v>
      </c>
      <c r="L95" s="139">
        <v>20.97</v>
      </c>
      <c r="M95" s="139">
        <v>99.43</v>
      </c>
      <c r="N95" s="139">
        <v>295.5</v>
      </c>
      <c r="O95" s="139">
        <v>0</v>
      </c>
      <c r="P95" s="139">
        <v>2.98</v>
      </c>
      <c r="Q95" s="139">
        <v>11.19</v>
      </c>
      <c r="R95" s="198"/>
      <c r="S95" s="198"/>
      <c r="T95" s="198"/>
      <c r="U95" s="198"/>
    </row>
    <row r="96" spans="1:26" s="12" customFormat="1" ht="15">
      <c r="A96" s="222" t="s">
        <v>3025</v>
      </c>
      <c r="B96" s="139">
        <v>2.83</v>
      </c>
      <c r="C96" s="139">
        <v>21.26</v>
      </c>
      <c r="D96" s="139">
        <v>24.10</v>
      </c>
      <c r="E96" s="139">
        <v>6.84</v>
      </c>
      <c r="F96" s="139">
        <v>0.96</v>
      </c>
      <c r="G96" s="139">
        <v>23.60</v>
      </c>
      <c r="H96" s="139">
        <v>14.68</v>
      </c>
      <c r="I96" s="139">
        <v>8.43</v>
      </c>
      <c r="J96" s="139">
        <v>0.16</v>
      </c>
      <c r="K96" s="139">
        <v>287.98</v>
      </c>
      <c r="L96" s="139">
        <v>20.5</v>
      </c>
      <c r="M96" s="139">
        <v>99.43</v>
      </c>
      <c r="N96" s="139">
        <v>298.70</v>
      </c>
      <c r="O96" s="139">
        <v>0</v>
      </c>
      <c r="P96" s="139">
        <v>3.02</v>
      </c>
      <c r="Q96" s="139">
        <v>12.01</v>
      </c>
      <c r="R96" s="198"/>
      <c r="S96" s="198"/>
      <c r="T96" s="198"/>
      <c r="U96" s="198"/>
      <c r="Z96" s="109"/>
    </row>
    <row r="97" spans="1:21" s="12" customFormat="1" ht="15">
      <c r="A97" s="222" t="s">
        <v>3026</v>
      </c>
      <c r="B97" s="139">
        <v>2.57</v>
      </c>
      <c r="C97" s="139">
        <v>21.19</v>
      </c>
      <c r="D97" s="139">
        <v>23.75</v>
      </c>
      <c r="E97" s="139">
        <v>6.71</v>
      </c>
      <c r="F97" s="139">
        <v>1.23</v>
      </c>
      <c r="G97" s="139">
        <v>22.08</v>
      </c>
      <c r="H97" s="139">
        <v>13.61</v>
      </c>
      <c r="I97" s="139">
        <v>8.01</v>
      </c>
      <c r="J97" s="139">
        <v>3.30</v>
      </c>
      <c r="K97" s="139">
        <v>190.25</v>
      </c>
      <c r="L97" s="139">
        <v>22.13</v>
      </c>
      <c r="M97" s="139">
        <v>99.43</v>
      </c>
      <c r="N97" s="139">
        <v>305.20</v>
      </c>
      <c r="O97" s="139">
        <v>0.20</v>
      </c>
      <c r="P97" s="139">
        <v>3.05</v>
      </c>
      <c r="Q97" s="139">
        <v>12.72</v>
      </c>
      <c r="R97" s="198"/>
      <c r="S97" s="198"/>
      <c r="T97" s="198"/>
      <c r="U97" s="198"/>
    </row>
    <row r="98" spans="1:21" s="12" customFormat="1" ht="15">
      <c r="A98" s="222" t="s">
        <v>3027</v>
      </c>
      <c r="B98" s="139">
        <v>2.17</v>
      </c>
      <c r="C98" s="139">
        <v>20.56</v>
      </c>
      <c r="D98" s="139">
        <v>22.73</v>
      </c>
      <c r="E98" s="139">
        <v>6.41</v>
      </c>
      <c r="F98" s="139">
        <v>0.91</v>
      </c>
      <c r="G98" s="139">
        <v>18.34</v>
      </c>
      <c r="H98" s="139">
        <v>10.97</v>
      </c>
      <c r="I98" s="139">
        <v>7.68</v>
      </c>
      <c r="J98" s="139">
        <v>2.89</v>
      </c>
      <c r="K98" s="139">
        <v>208.84</v>
      </c>
      <c r="L98" s="139">
        <v>21.77</v>
      </c>
      <c r="M98" s="139">
        <v>99.43</v>
      </c>
      <c r="N98" s="139">
        <v>293.60000000000002</v>
      </c>
      <c r="O98" s="139">
        <v>0.20</v>
      </c>
      <c r="P98" s="139">
        <v>3.08</v>
      </c>
      <c r="Q98" s="139">
        <v>13.04</v>
      </c>
      <c r="R98" s="198"/>
      <c r="S98" s="198"/>
      <c r="T98" s="198"/>
      <c r="U98" s="198"/>
    </row>
    <row r="99" spans="1:21" s="12" customFormat="1" ht="15">
      <c r="A99" s="222" t="s">
        <v>3028</v>
      </c>
      <c r="B99" s="139">
        <v>1.71</v>
      </c>
      <c r="C99" s="139">
        <v>18.78</v>
      </c>
      <c r="D99" s="139">
        <v>20.49</v>
      </c>
      <c r="E99" s="139">
        <v>6.18</v>
      </c>
      <c r="F99" s="139">
        <v>1.38</v>
      </c>
      <c r="G99" s="139">
        <v>18.34</v>
      </c>
      <c r="H99" s="139">
        <v>10.97</v>
      </c>
      <c r="I99" s="139">
        <v>7.45</v>
      </c>
      <c r="J99" s="139">
        <v>2.77</v>
      </c>
      <c r="K99" s="139">
        <v>223.78</v>
      </c>
      <c r="L99" s="139">
        <v>23.59</v>
      </c>
      <c r="M99" s="139">
        <v>99.43</v>
      </c>
      <c r="N99" s="139">
        <v>291.5</v>
      </c>
      <c r="O99" s="139">
        <v>0.20</v>
      </c>
      <c r="P99" s="139">
        <v>3.09</v>
      </c>
      <c r="Q99" s="139">
        <v>12.77</v>
      </c>
      <c r="R99" s="198"/>
      <c r="S99" s="198"/>
      <c r="T99" s="198"/>
      <c r="U99" s="198"/>
    </row>
    <row r="100" spans="1:33" s="12" customFormat="1" ht="15">
      <c r="A100" s="222" t="s">
        <v>3029</v>
      </c>
      <c r="B100" s="139">
        <v>1.28</v>
      </c>
      <c r="C100" s="139">
        <v>17.25</v>
      </c>
      <c r="D100" s="139">
        <v>18.53</v>
      </c>
      <c r="E100" s="139">
        <v>6.09</v>
      </c>
      <c r="F100" s="139">
        <v>1.55</v>
      </c>
      <c r="G100" s="139">
        <v>18.34</v>
      </c>
      <c r="H100" s="139">
        <v>10.97</v>
      </c>
      <c r="I100" s="139">
        <v>7.24</v>
      </c>
      <c r="J100" s="139">
        <v>3.28</v>
      </c>
      <c r="K100" s="139">
        <v>233.60</v>
      </c>
      <c r="L100" s="139">
        <v>21.12</v>
      </c>
      <c r="M100" s="139">
        <v>99.43</v>
      </c>
      <c r="N100" s="139">
        <v>438.30</v>
      </c>
      <c r="O100" s="139">
        <v>0.20</v>
      </c>
      <c r="P100" s="139">
        <v>3.10</v>
      </c>
      <c r="Q100" s="139">
        <v>12.39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22" t="s">
        <v>3030</v>
      </c>
      <c r="B101" s="139">
        <v>0.99</v>
      </c>
      <c r="C101" s="139">
        <v>16.04</v>
      </c>
      <c r="D101" s="139">
        <v>17.03</v>
      </c>
      <c r="E101" s="139">
        <v>5.99</v>
      </c>
      <c r="F101" s="139">
        <v>1.71</v>
      </c>
      <c r="G101" s="139">
        <v>16.96</v>
      </c>
      <c r="H101" s="139">
        <v>10.19</v>
      </c>
      <c r="I101" s="139">
        <v>6.94</v>
      </c>
      <c r="J101" s="139">
        <v>3.18</v>
      </c>
      <c r="K101" s="139">
        <v>195.97</v>
      </c>
      <c r="L101" s="139">
        <v>21.08</v>
      </c>
      <c r="M101" s="139">
        <v>99.43</v>
      </c>
      <c r="N101" s="139">
        <v>328.80</v>
      </c>
      <c r="O101" s="139">
        <v>0.40</v>
      </c>
      <c r="P101" s="139">
        <v>3.08</v>
      </c>
      <c r="Q101" s="139">
        <v>12.15</v>
      </c>
      <c r="R101" s="198"/>
      <c r="S101" s="198"/>
      <c r="T101" s="198"/>
      <c r="U101" s="198"/>
    </row>
    <row r="102" spans="1:21" s="12" customFormat="1" ht="15">
      <c r="A102" s="222" t="s">
        <v>3031</v>
      </c>
      <c r="B102" s="139">
        <v>0.82</v>
      </c>
      <c r="C102" s="139">
        <v>15.30</v>
      </c>
      <c r="D102" s="139">
        <v>16.11</v>
      </c>
      <c r="E102" s="139">
        <v>5.91</v>
      </c>
      <c r="F102" s="139">
        <v>1.31</v>
      </c>
      <c r="G102" s="139">
        <v>13.57</v>
      </c>
      <c r="H102" s="139">
        <v>8.2899999999999991</v>
      </c>
      <c r="I102" s="139">
        <v>6.60</v>
      </c>
      <c r="J102" s="139">
        <v>2.92</v>
      </c>
      <c r="K102" s="139">
        <v>201.28</v>
      </c>
      <c r="L102" s="139">
        <v>22.11</v>
      </c>
      <c r="M102" s="139">
        <v>99.41</v>
      </c>
      <c r="N102" s="139">
        <v>355.5</v>
      </c>
      <c r="O102" s="139">
        <v>0</v>
      </c>
      <c r="P102" s="139">
        <v>3.09</v>
      </c>
      <c r="Q102" s="139">
        <v>12</v>
      </c>
      <c r="R102" s="198"/>
      <c r="S102" s="198"/>
      <c r="T102" s="198"/>
      <c r="U102" s="198"/>
    </row>
    <row r="103" spans="1:21" s="12" customFormat="1" ht="15">
      <c r="A103" s="222" t="s">
        <v>3032</v>
      </c>
      <c r="B103" s="139">
        <v>0.75</v>
      </c>
      <c r="C103" s="139">
        <v>14.54</v>
      </c>
      <c r="D103" s="139">
        <v>15.29</v>
      </c>
      <c r="E103" s="139">
        <v>5.70</v>
      </c>
      <c r="F103" s="139">
        <v>1.35</v>
      </c>
      <c r="G103" s="139">
        <v>13.57</v>
      </c>
      <c r="H103" s="139">
        <v>8.2899999999999991</v>
      </c>
      <c r="I103" s="139">
        <v>6.30</v>
      </c>
      <c r="J103" s="139">
        <v>0.82</v>
      </c>
      <c r="K103" s="139">
        <v>24.05</v>
      </c>
      <c r="L103" s="139">
        <v>19.489999999999998</v>
      </c>
      <c r="M103" s="139">
        <v>99.41</v>
      </c>
      <c r="N103" s="139">
        <v>353.70</v>
      </c>
      <c r="O103" s="139">
        <v>0</v>
      </c>
      <c r="P103" s="139">
        <v>3.03</v>
      </c>
      <c r="Q103" s="139">
        <v>11.28</v>
      </c>
      <c r="R103" s="198"/>
      <c r="S103" s="198"/>
      <c r="T103" s="198"/>
      <c r="U103" s="198"/>
    </row>
    <row r="104" spans="1:21" s="12" customFormat="1" ht="15">
      <c r="A104" s="223" t="s">
        <v>3033</v>
      </c>
      <c r="B104" s="214">
        <v>0.81</v>
      </c>
      <c r="C104" s="214">
        <v>14.32</v>
      </c>
      <c r="D104" s="214">
        <v>15.13</v>
      </c>
      <c r="E104" s="214">
        <v>3.99</v>
      </c>
      <c r="F104" s="214">
        <v>1.05</v>
      </c>
      <c r="G104" s="214">
        <v>13.57</v>
      </c>
      <c r="H104" s="214">
        <v>8.2899999999999991</v>
      </c>
      <c r="I104" s="214">
        <v>6.15</v>
      </c>
      <c r="J104" s="214">
        <v>1.65</v>
      </c>
      <c r="K104" s="214">
        <v>233.49</v>
      </c>
      <c r="L104" s="214">
        <v>18.95</v>
      </c>
      <c r="M104" s="214">
        <v>99.36</v>
      </c>
      <c r="N104" s="214">
        <v>305</v>
      </c>
      <c r="O104" s="214">
        <v>0</v>
      </c>
      <c r="P104" s="214">
        <v>2.97</v>
      </c>
      <c r="Q104" s="214">
        <v>10.039999999999999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0.25</v>
      </c>
      <c r="C106" s="67">
        <f>MIN(C9:C104)</f>
        <v>1.9299999999999999</v>
      </c>
      <c r="D106" s="67">
        <f t="shared" si="0" ref="D106:Q106">MIN(D9:D104)</f>
        <v>13.050000000000001</v>
      </c>
      <c r="E106" s="67">
        <f t="shared" si="0"/>
        <v>2.52</v>
      </c>
      <c r="F106" s="67">
        <f t="shared" si="0"/>
        <v>0.23000000000000001</v>
      </c>
      <c r="G106" s="67">
        <f t="shared" si="0"/>
        <v>13.57</v>
      </c>
      <c r="H106" s="67">
        <f t="shared" si="0"/>
        <v>6.29</v>
      </c>
      <c r="I106" s="67">
        <f t="shared" si="0"/>
        <v>3.5099999999999998</v>
      </c>
      <c r="J106" s="67">
        <f t="shared" si="0"/>
        <v>0.16</v>
      </c>
      <c r="K106" s="67">
        <f t="shared" si="0"/>
        <v>1.8899999999999999</v>
      </c>
      <c r="L106" s="67">
        <f t="shared" si="0"/>
        <v>18.949999999999999</v>
      </c>
      <c r="M106" s="67">
        <f t="shared" si="0"/>
        <v>48.920000000000002</v>
      </c>
      <c r="N106" s="67">
        <f t="shared" si="0"/>
        <v>255.80000000000001</v>
      </c>
      <c r="O106" s="67">
        <f t="shared" si="0"/>
        <v>0</v>
      </c>
      <c r="P106" s="67">
        <f t="shared" si="0"/>
        <v>2.5099999999999998</v>
      </c>
      <c r="Q106" s="67">
        <f t="shared" si="0"/>
        <v>7.6900000000000004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23.77</v>
      </c>
      <c r="C107" s="66">
        <f t="shared" si="1" ref="C107:Q107">MAX(C9:C104)</f>
        <v>25.170000000000002</v>
      </c>
      <c r="D107" s="66">
        <f t="shared" si="1"/>
        <v>31.469999999999999</v>
      </c>
      <c r="E107" s="66">
        <f t="shared" si="1"/>
        <v>8.0399999999999991</v>
      </c>
      <c r="F107" s="66">
        <f t="shared" si="1"/>
        <v>7.6600000000000001</v>
      </c>
      <c r="G107" s="66">
        <f t="shared" si="1"/>
        <v>57.640000000000001</v>
      </c>
      <c r="H107" s="66">
        <f t="shared" si="1"/>
        <v>26.449999999999999</v>
      </c>
      <c r="I107" s="66">
        <f t="shared" si="1"/>
        <v>14.699999999999999</v>
      </c>
      <c r="J107" s="66">
        <f t="shared" si="1"/>
        <v>8.9199999999999999</v>
      </c>
      <c r="K107" s="66">
        <f t="shared" si="1"/>
        <v>355.77999999999997</v>
      </c>
      <c r="L107" s="66">
        <f t="shared" si="1"/>
        <v>44</v>
      </c>
      <c r="M107" s="66">
        <f t="shared" si="1"/>
        <v>99.450000000000003</v>
      </c>
      <c r="N107" s="66">
        <f t="shared" si="1"/>
        <v>1524</v>
      </c>
      <c r="O107" s="66">
        <f t="shared" si="1"/>
        <v>19.399999999999999</v>
      </c>
      <c r="P107" s="66">
        <f t="shared" si="1"/>
        <v>3.1600000000000001</v>
      </c>
      <c r="Q107" s="66">
        <f t="shared" si="1"/>
        <v>15.039999999999999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2.4089583333333335</v>
      </c>
      <c r="C108" s="67">
        <f t="shared" si="2" ref="C108:Q108">AVERAGE(C9:C104)</f>
        <v>16.266421052631575</v>
      </c>
      <c r="D108" s="67">
        <f t="shared" si="2"/>
        <v>18.359895833333333</v>
      </c>
      <c r="E108" s="67">
        <f t="shared" si="2"/>
        <v>6.0284374999999999</v>
      </c>
      <c r="F108" s="67">
        <f t="shared" si="2"/>
        <v>1.6630208333333334</v>
      </c>
      <c r="G108" s="67">
        <f t="shared" si="2"/>
        <v>34.999687500000029</v>
      </c>
      <c r="H108" s="67">
        <f t="shared" si="2"/>
        <v>12.487812500000004</v>
      </c>
      <c r="I108" s="67">
        <f t="shared" si="2"/>
        <v>5.7910416666666675</v>
      </c>
      <c r="J108" s="67">
        <f t="shared" si="2"/>
        <v>3.540416666666665</v>
      </c>
      <c r="K108" s="67">
        <f t="shared" si="2"/>
        <v>219.32260416666668</v>
      </c>
      <c r="L108" s="67">
        <f t="shared" si="2"/>
        <v>27.433854166666663</v>
      </c>
      <c r="M108" s="67">
        <f t="shared" si="2"/>
        <v>78.968749999999986</v>
      </c>
      <c r="N108" s="67">
        <f t="shared" si="2"/>
        <v>558.74583333333328</v>
      </c>
      <c r="O108" s="67">
        <f t="shared" si="2"/>
        <v>0.64375000000000016</v>
      </c>
      <c r="P108" s="67">
        <f t="shared" si="2"/>
        <v>2.7902083333333341</v>
      </c>
      <c r="Q108" s="67">
        <f t="shared" si="2"/>
        <v>10.839583333333332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3.5490845310829005</v>
      </c>
      <c r="C109" s="67">
        <f t="shared" si="3" ref="C109:Q109">STDEV(C9:C104)</f>
        <v>4.1814458244165822</v>
      </c>
      <c r="D109" s="67">
        <f t="shared" si="3"/>
        <v>3.9434140951562791</v>
      </c>
      <c r="E109" s="67">
        <f t="shared" si="3"/>
        <v>1.0453892028935006</v>
      </c>
      <c r="F109" s="67">
        <f t="shared" si="3"/>
        <v>1.3159724199570892</v>
      </c>
      <c r="G109" s="67">
        <f t="shared" si="3"/>
        <v>12.420297602428606</v>
      </c>
      <c r="H109" s="67">
        <f t="shared" si="3"/>
        <v>5.0171768541208746</v>
      </c>
      <c r="I109" s="67">
        <f t="shared" si="3"/>
        <v>2.4609495296976949</v>
      </c>
      <c r="J109" s="67">
        <f t="shared" si="3"/>
        <v>1.8191055735496251</v>
      </c>
      <c r="K109" s="67">
        <f t="shared" si="3"/>
        <v>78.623612741436347</v>
      </c>
      <c r="L109" s="67">
        <f t="shared" si="3"/>
        <v>7.4721269246787418</v>
      </c>
      <c r="M109" s="67">
        <f t="shared" si="3"/>
        <v>17.28693344392634</v>
      </c>
      <c r="N109" s="67">
        <f t="shared" si="3"/>
        <v>384.49457430068736</v>
      </c>
      <c r="O109" s="67">
        <f t="shared" si="3"/>
        <v>2.985184910079846</v>
      </c>
      <c r="P109" s="67">
        <f t="shared" si="3"/>
        <v>0.17939652737744877</v>
      </c>
      <c r="Q109" s="67">
        <f t="shared" si="3"/>
        <v>1.8381208463030849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>COUNT(C9:C104)+1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219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e286fb-82c6-4762-b3d6-b972acb5f91f}">
  <sheetPr codeName=""/>
  <dimension ref="A1:AG117"/>
  <sheetViews>
    <sheetView workbookViewId="0" topLeftCell="A1">
      <pane ySplit="8" topLeftCell="A9" activePane="bottomLeft" state="frozen"/>
      <selection pane="topLeft" activeCell="N106" sqref="N106:P109"/>
      <selection pane="bottomLeft" activeCell="B1" sqref="B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8" t="str">
        <f>$A$9</f>
        <v>30-06-2022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ht="1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ht="15">
      <c r="A9" s="201" t="s">
        <v>3034</v>
      </c>
      <c r="B9" s="60">
        <v>0.93</v>
      </c>
      <c r="C9" s="60">
        <v>14.16</v>
      </c>
      <c r="D9" s="60">
        <v>15.10</v>
      </c>
      <c r="E9" s="60">
        <v>5.88</v>
      </c>
      <c r="F9" s="60">
        <v>0.70</v>
      </c>
      <c r="G9" s="60">
        <v>12.73</v>
      </c>
      <c r="H9" s="60">
        <v>7.61</v>
      </c>
      <c r="I9" s="60">
        <v>5.51</v>
      </c>
      <c r="J9" s="60">
        <v>1.81</v>
      </c>
      <c r="K9" s="60">
        <v>230.92</v>
      </c>
      <c r="L9" s="60">
        <v>19.43</v>
      </c>
      <c r="M9" s="60">
        <v>99.39</v>
      </c>
      <c r="N9" s="60">
        <v>318.89999999999998</v>
      </c>
      <c r="O9" s="60">
        <v>0</v>
      </c>
      <c r="P9" s="60">
        <v>2.89</v>
      </c>
      <c r="Q9" s="60">
        <v>9.01</v>
      </c>
      <c r="R9" s="198"/>
      <c r="S9" s="198"/>
      <c r="T9" s="198"/>
      <c r="U9" s="198"/>
    </row>
    <row r="10" spans="1:21" s="12" customFormat="1" ht="15">
      <c r="A10" s="201" t="s">
        <v>3035</v>
      </c>
      <c r="B10" s="60">
        <v>1.06</v>
      </c>
      <c r="C10" s="60">
        <v>13.69</v>
      </c>
      <c r="D10" s="60">
        <v>14.75</v>
      </c>
      <c r="E10" s="60">
        <v>6.94</v>
      </c>
      <c r="F10" s="60">
        <v>0.75</v>
      </c>
      <c r="G10" s="60">
        <v>10.66</v>
      </c>
      <c r="H10" s="60">
        <v>5.95</v>
      </c>
      <c r="I10" s="60">
        <v>5.48</v>
      </c>
      <c r="J10" s="60">
        <v>3.95</v>
      </c>
      <c r="K10" s="60">
        <v>187.39</v>
      </c>
      <c r="L10" s="60">
        <v>20.79</v>
      </c>
      <c r="M10" s="60">
        <v>99.40</v>
      </c>
      <c r="N10" s="60">
        <v>288.30</v>
      </c>
      <c r="O10" s="60">
        <v>0</v>
      </c>
      <c r="P10" s="60">
        <v>2.84</v>
      </c>
      <c r="Q10" s="60">
        <v>8.31</v>
      </c>
      <c r="R10" s="198"/>
      <c r="S10" s="198"/>
      <c r="T10" s="198"/>
      <c r="U10" s="198"/>
    </row>
    <row r="11" spans="1:21" s="12" customFormat="1" ht="15">
      <c r="A11" s="201" t="s">
        <v>3036</v>
      </c>
      <c r="B11" s="60">
        <v>1.18</v>
      </c>
      <c r="C11" s="60">
        <v>13.23</v>
      </c>
      <c r="D11" s="60">
        <v>14.41</v>
      </c>
      <c r="E11" s="60">
        <v>7.27</v>
      </c>
      <c r="F11" s="60">
        <v>0.75</v>
      </c>
      <c r="G11" s="60">
        <v>10.66</v>
      </c>
      <c r="H11" s="60">
        <v>5.95</v>
      </c>
      <c r="I11" s="60">
        <v>4.7300000000000004</v>
      </c>
      <c r="J11" s="60">
        <v>4.0999999999999996</v>
      </c>
      <c r="K11" s="60">
        <v>195.5</v>
      </c>
      <c r="L11" s="60">
        <v>20.59</v>
      </c>
      <c r="M11" s="60">
        <v>99.23</v>
      </c>
      <c r="N11" s="60">
        <v>338.5</v>
      </c>
      <c r="O11" s="60">
        <v>0</v>
      </c>
      <c r="P11" s="60">
        <v>2.83</v>
      </c>
      <c r="Q11" s="60">
        <v>7.85</v>
      </c>
      <c r="R11" s="198"/>
      <c r="S11" s="198"/>
      <c r="T11" s="198"/>
      <c r="U11" s="198"/>
    </row>
    <row r="12" spans="1:21" s="12" customFormat="1" ht="15">
      <c r="A12" s="201" t="s">
        <v>3037</v>
      </c>
      <c r="B12" s="60">
        <v>1.25</v>
      </c>
      <c r="C12" s="60">
        <v>12.85</v>
      </c>
      <c r="D12" s="60">
        <v>14.10</v>
      </c>
      <c r="E12" s="60">
        <v>7.14</v>
      </c>
      <c r="F12" s="60">
        <v>0.62</v>
      </c>
      <c r="G12" s="60">
        <v>10.66</v>
      </c>
      <c r="H12" s="60">
        <v>5.95</v>
      </c>
      <c r="I12" s="60">
        <v>4.38</v>
      </c>
      <c r="J12" s="60">
        <v>4.45</v>
      </c>
      <c r="K12" s="60">
        <v>184.40</v>
      </c>
      <c r="L12" s="60">
        <v>20.94</v>
      </c>
      <c r="M12" s="60">
        <v>98.29</v>
      </c>
      <c r="N12" s="60">
        <v>375.5</v>
      </c>
      <c r="O12" s="60">
        <v>0</v>
      </c>
      <c r="P12" s="60">
        <v>2.78</v>
      </c>
      <c r="Q12" s="60">
        <v>7.45</v>
      </c>
      <c r="R12" s="198"/>
      <c r="S12" s="198"/>
      <c r="T12" s="198"/>
      <c r="U12" s="198"/>
    </row>
    <row r="13" spans="1:21" s="12" customFormat="1" ht="15">
      <c r="A13" s="201" t="s">
        <v>3038</v>
      </c>
      <c r="B13" s="60">
        <v>21.89</v>
      </c>
      <c r="C13" s="60">
        <v>9.06</v>
      </c>
      <c r="D13" s="60">
        <v>29.39</v>
      </c>
      <c r="E13" s="60">
        <v>7.87</v>
      </c>
      <c r="F13" s="60">
        <v>0.43</v>
      </c>
      <c r="G13" s="60">
        <v>9.94</v>
      </c>
      <c r="H13" s="60">
        <v>6.46</v>
      </c>
      <c r="I13" s="60">
        <v>5.12</v>
      </c>
      <c r="J13" s="60">
        <v>6.06</v>
      </c>
      <c r="K13" s="60">
        <v>187.60</v>
      </c>
      <c r="L13" s="60">
        <v>21.55</v>
      </c>
      <c r="M13" s="60">
        <v>96.73</v>
      </c>
      <c r="N13" s="60">
        <v>347.20</v>
      </c>
      <c r="O13" s="60">
        <v>0</v>
      </c>
      <c r="P13" s="60">
        <v>2.77</v>
      </c>
      <c r="Q13" s="60">
        <v>7.17</v>
      </c>
      <c r="R13" s="198"/>
      <c r="S13" s="198"/>
      <c r="T13" s="198"/>
      <c r="U13" s="198"/>
    </row>
    <row r="14" spans="1:21" s="12" customFormat="1" ht="15">
      <c r="A14" s="201" t="s">
        <v>3039</v>
      </c>
      <c r="B14" s="60">
        <v>7.67</v>
      </c>
      <c r="C14" s="60">
        <v>3.27</v>
      </c>
      <c r="D14" s="60">
        <v>10.94</v>
      </c>
      <c r="E14" s="60">
        <v>7.97</v>
      </c>
      <c r="F14" s="60">
        <v>0.52</v>
      </c>
      <c r="G14" s="60">
        <v>8.16</v>
      </c>
      <c r="H14" s="60">
        <v>7.73</v>
      </c>
      <c r="I14" s="60">
        <v>4.70</v>
      </c>
      <c r="J14" s="60">
        <v>6.01</v>
      </c>
      <c r="K14" s="60">
        <v>185.81</v>
      </c>
      <c r="L14" s="60">
        <v>22.52</v>
      </c>
      <c r="M14" s="60">
        <v>95.43</v>
      </c>
      <c r="N14" s="60">
        <v>397.30</v>
      </c>
      <c r="O14" s="60">
        <v>0</v>
      </c>
      <c r="P14" s="60">
        <v>2.74</v>
      </c>
      <c r="Q14" s="60">
        <v>6.98</v>
      </c>
      <c r="R14" s="198"/>
      <c r="S14" s="198"/>
      <c r="T14" s="198"/>
      <c r="U14" s="198"/>
    </row>
    <row r="15" spans="1:21" s="12" customFormat="1" ht="15">
      <c r="A15" s="201" t="s">
        <v>3040</v>
      </c>
      <c r="B15" s="60">
        <v>4.76</v>
      </c>
      <c r="C15" s="60">
        <v>6.53</v>
      </c>
      <c r="D15" s="60">
        <v>11.29</v>
      </c>
      <c r="E15" s="60">
        <v>7.56</v>
      </c>
      <c r="F15" s="60">
        <v>1.35</v>
      </c>
      <c r="G15" s="60">
        <v>8.16</v>
      </c>
      <c r="H15" s="60">
        <v>7.73</v>
      </c>
      <c r="I15" s="60">
        <v>6.42</v>
      </c>
      <c r="J15" s="60">
        <v>4.6500000000000004</v>
      </c>
      <c r="K15" s="60">
        <v>180.24</v>
      </c>
      <c r="L15" s="60">
        <v>20.73</v>
      </c>
      <c r="M15" s="60">
        <v>94.96</v>
      </c>
      <c r="N15" s="60">
        <v>423.20</v>
      </c>
      <c r="O15" s="60">
        <v>0</v>
      </c>
      <c r="P15" s="60">
        <v>2.75</v>
      </c>
      <c r="Q15" s="60">
        <v>7.09</v>
      </c>
      <c r="R15" s="198"/>
      <c r="S15" s="198"/>
      <c r="T15" s="198"/>
      <c r="U15" s="198"/>
    </row>
    <row r="16" spans="1:21" s="12" customFormat="1" ht="15">
      <c r="A16" s="201" t="s">
        <v>3041</v>
      </c>
      <c r="B16" s="60">
        <v>3.42</v>
      </c>
      <c r="C16" s="60">
        <v>7.70</v>
      </c>
      <c r="D16" s="60">
        <v>11.12</v>
      </c>
      <c r="E16" s="60">
        <v>7.49</v>
      </c>
      <c r="F16" s="60">
        <v>1.59</v>
      </c>
      <c r="G16" s="60">
        <v>8.16</v>
      </c>
      <c r="H16" s="60">
        <v>7.73</v>
      </c>
      <c r="I16" s="60">
        <v>9.26</v>
      </c>
      <c r="J16" s="60">
        <v>1.35</v>
      </c>
      <c r="K16" s="60">
        <v>193.71</v>
      </c>
      <c r="L16" s="60">
        <v>19.14</v>
      </c>
      <c r="M16" s="60">
        <v>96.76</v>
      </c>
      <c r="N16" s="60">
        <v>380.40</v>
      </c>
      <c r="O16" s="60">
        <v>0</v>
      </c>
      <c r="P16" s="60">
        <v>2.79</v>
      </c>
      <c r="Q16" s="60">
        <v>7.87</v>
      </c>
      <c r="R16" s="198"/>
      <c r="S16" s="198"/>
      <c r="T16" s="198"/>
      <c r="U16" s="198"/>
    </row>
    <row r="17" spans="1:21" s="12" customFormat="1" ht="15">
      <c r="A17" s="201" t="s">
        <v>3042</v>
      </c>
      <c r="B17" s="60">
        <v>2.65</v>
      </c>
      <c r="C17" s="60">
        <v>8.1999999999999993</v>
      </c>
      <c r="D17" s="60">
        <v>10.84</v>
      </c>
      <c r="E17" s="60">
        <v>7.48</v>
      </c>
      <c r="F17" s="60">
        <v>1.54</v>
      </c>
      <c r="G17" s="60">
        <v>7.77</v>
      </c>
      <c r="H17" s="60">
        <v>7.21</v>
      </c>
      <c r="I17" s="60">
        <v>8.67</v>
      </c>
      <c r="J17" s="60">
        <v>2.42</v>
      </c>
      <c r="K17" s="60">
        <v>223.27</v>
      </c>
      <c r="L17" s="60">
        <v>17.93</v>
      </c>
      <c r="M17" s="60">
        <v>96.84</v>
      </c>
      <c r="N17" s="60">
        <v>454.60</v>
      </c>
      <c r="O17" s="60">
        <v>0</v>
      </c>
      <c r="P17" s="60">
        <v>2.83</v>
      </c>
      <c r="Q17" s="60">
        <v>8.74</v>
      </c>
      <c r="R17" s="198"/>
      <c r="S17" s="198"/>
      <c r="T17" s="198"/>
      <c r="U17" s="198"/>
    </row>
    <row r="18" spans="1:21" s="12" customFormat="1" ht="15">
      <c r="A18" s="201" t="s">
        <v>3043</v>
      </c>
      <c r="B18" s="60">
        <v>2.10</v>
      </c>
      <c r="C18" s="60">
        <v>8.75</v>
      </c>
      <c r="D18" s="60">
        <v>10.85</v>
      </c>
      <c r="E18" s="60">
        <v>7.46</v>
      </c>
      <c r="F18" s="60">
        <v>1.27</v>
      </c>
      <c r="G18" s="60">
        <v>6.81</v>
      </c>
      <c r="H18" s="60">
        <v>5.94</v>
      </c>
      <c r="I18" s="60">
        <v>8.18</v>
      </c>
      <c r="J18" s="60">
        <v>1.84</v>
      </c>
      <c r="K18" s="60">
        <v>237.61</v>
      </c>
      <c r="L18" s="60">
        <v>18.739999999999998</v>
      </c>
      <c r="M18" s="60">
        <v>97.54</v>
      </c>
      <c r="N18" s="60">
        <v>426.80</v>
      </c>
      <c r="O18" s="60">
        <v>0</v>
      </c>
      <c r="P18" s="60">
        <v>2.85</v>
      </c>
      <c r="Q18" s="60">
        <v>9.52</v>
      </c>
      <c r="R18" s="198"/>
      <c r="S18" s="198"/>
      <c r="T18" s="198"/>
      <c r="U18" s="198"/>
    </row>
    <row r="19" spans="1:21" s="12" customFormat="1" ht="15">
      <c r="A19" s="201" t="s">
        <v>3044</v>
      </c>
      <c r="B19" s="60">
        <v>1.70</v>
      </c>
      <c r="C19" s="60">
        <v>9.09</v>
      </c>
      <c r="D19" s="60">
        <v>10.79</v>
      </c>
      <c r="E19" s="60">
        <v>6.74</v>
      </c>
      <c r="F19" s="60">
        <v>1.57</v>
      </c>
      <c r="G19" s="60">
        <v>6.81</v>
      </c>
      <c r="H19" s="60">
        <v>5.94</v>
      </c>
      <c r="I19" s="60">
        <v>7.65</v>
      </c>
      <c r="J19" s="60">
        <v>2.29</v>
      </c>
      <c r="K19" s="60">
        <v>229.57</v>
      </c>
      <c r="L19" s="60">
        <v>18.600000000000001</v>
      </c>
      <c r="M19" s="60">
        <v>98.12</v>
      </c>
      <c r="N19" s="60">
        <v>461.90</v>
      </c>
      <c r="O19" s="60">
        <v>0</v>
      </c>
      <c r="P19" s="60">
        <v>2.88</v>
      </c>
      <c r="Q19" s="60">
        <v>10.01</v>
      </c>
      <c r="R19" s="198"/>
      <c r="S19" s="198"/>
      <c r="T19" s="198"/>
      <c r="U19" s="198"/>
    </row>
    <row r="20" spans="1:21" s="12" customFormat="1" ht="15">
      <c r="A20" s="201" t="s">
        <v>3045</v>
      </c>
      <c r="B20" s="60">
        <v>1.42</v>
      </c>
      <c r="C20" s="60">
        <v>9.34</v>
      </c>
      <c r="D20" s="60">
        <v>10.76</v>
      </c>
      <c r="E20" s="60">
        <v>6.5</v>
      </c>
      <c r="F20" s="60">
        <v>1.59</v>
      </c>
      <c r="G20" s="60">
        <v>6.81</v>
      </c>
      <c r="H20" s="60">
        <v>5.94</v>
      </c>
      <c r="I20" s="60">
        <v>7.18</v>
      </c>
      <c r="J20" s="60">
        <v>0.19</v>
      </c>
      <c r="K20" s="60">
        <v>2.06</v>
      </c>
      <c r="L20" s="60">
        <v>17.37</v>
      </c>
      <c r="M20" s="60">
        <v>97.13</v>
      </c>
      <c r="N20" s="60">
        <v>450.5</v>
      </c>
      <c r="O20" s="60">
        <v>0</v>
      </c>
      <c r="P20" s="60">
        <v>2.89</v>
      </c>
      <c r="Q20" s="60">
        <v>10.46</v>
      </c>
      <c r="R20" s="198"/>
      <c r="S20" s="198"/>
      <c r="T20" s="198"/>
      <c r="U20" s="198"/>
    </row>
    <row r="21" spans="1:21" s="12" customFormat="1" ht="15">
      <c r="A21" s="201" t="s">
        <v>3046</v>
      </c>
      <c r="B21" s="60">
        <v>1.17</v>
      </c>
      <c r="C21" s="60">
        <v>9.83</v>
      </c>
      <c r="D21" s="60">
        <v>11</v>
      </c>
      <c r="E21" s="60">
        <v>6.51</v>
      </c>
      <c r="F21" s="60">
        <v>1.25</v>
      </c>
      <c r="G21" s="60">
        <v>6.51</v>
      </c>
      <c r="H21" s="60">
        <v>5.90</v>
      </c>
      <c r="I21" s="60">
        <v>6.76</v>
      </c>
      <c r="J21" s="60">
        <v>1.31</v>
      </c>
      <c r="K21" s="60">
        <v>169.06</v>
      </c>
      <c r="L21" s="60">
        <v>18.07</v>
      </c>
      <c r="M21" s="60">
        <v>97.37</v>
      </c>
      <c r="N21" s="60">
        <v>470</v>
      </c>
      <c r="O21" s="60">
        <v>0</v>
      </c>
      <c r="P21" s="60">
        <v>2.91</v>
      </c>
      <c r="Q21" s="60">
        <v>10.88</v>
      </c>
      <c r="R21" s="198"/>
      <c r="S21" s="198"/>
      <c r="T21" s="198"/>
      <c r="U21" s="198"/>
    </row>
    <row r="22" spans="1:21" s="12" customFormat="1" ht="15">
      <c r="A22" s="201" t="s">
        <v>3047</v>
      </c>
      <c r="B22" s="60">
        <v>1.03</v>
      </c>
      <c r="C22" s="60">
        <v>10.039999999999999</v>
      </c>
      <c r="D22" s="60">
        <v>11.07</v>
      </c>
      <c r="E22" s="60">
        <v>6.76</v>
      </c>
      <c r="F22" s="60">
        <v>1.43</v>
      </c>
      <c r="G22" s="226" t="s">
        <v>43</v>
      </c>
      <c r="H22" s="226" t="s">
        <v>43</v>
      </c>
      <c r="I22" s="60">
        <v>6.40</v>
      </c>
      <c r="J22" s="60">
        <v>2.4300000000000002</v>
      </c>
      <c r="K22" s="60">
        <v>201.40</v>
      </c>
      <c r="L22" s="60">
        <v>22.02</v>
      </c>
      <c r="M22" s="60">
        <v>96.88</v>
      </c>
      <c r="N22" s="60">
        <v>459.40</v>
      </c>
      <c r="O22" s="60">
        <v>0</v>
      </c>
      <c r="P22" s="60">
        <v>2.94</v>
      </c>
      <c r="Q22" s="60">
        <v>11.13</v>
      </c>
      <c r="R22" s="198"/>
      <c r="S22" s="198"/>
      <c r="T22" s="198"/>
      <c r="U22" s="198"/>
    </row>
    <row r="23" spans="1:21" s="12" customFormat="1" ht="15">
      <c r="A23" s="201" t="s">
        <v>3048</v>
      </c>
      <c r="B23" s="60">
        <v>0.92</v>
      </c>
      <c r="C23" s="60">
        <v>10.15</v>
      </c>
      <c r="D23" s="60">
        <v>11.08</v>
      </c>
      <c r="E23" s="60">
        <v>6.49</v>
      </c>
      <c r="F23" s="60">
        <v>1.49</v>
      </c>
      <c r="G23" s="226" t="s">
        <v>43</v>
      </c>
      <c r="H23" s="226" t="s">
        <v>43</v>
      </c>
      <c r="I23" s="60">
        <v>6.01</v>
      </c>
      <c r="J23" s="60">
        <v>2.0099999999999998</v>
      </c>
      <c r="K23" s="60">
        <v>232.45</v>
      </c>
      <c r="L23" s="60">
        <v>22.25</v>
      </c>
      <c r="M23" s="60">
        <v>98.01</v>
      </c>
      <c r="N23" s="60">
        <v>452.5</v>
      </c>
      <c r="O23" s="60">
        <v>0</v>
      </c>
      <c r="P23" s="60">
        <v>2.95</v>
      </c>
      <c r="Q23" s="60">
        <v>11.31</v>
      </c>
      <c r="R23" s="198"/>
      <c r="S23" s="198"/>
      <c r="T23" s="198"/>
      <c r="U23" s="198"/>
    </row>
    <row r="24" spans="1:21" s="12" customFormat="1" ht="15">
      <c r="A24" s="201" t="s">
        <v>3049</v>
      </c>
      <c r="B24" s="60">
        <v>0.87</v>
      </c>
      <c r="C24" s="60">
        <v>11.03</v>
      </c>
      <c r="D24" s="60">
        <v>11.91</v>
      </c>
      <c r="E24" s="60">
        <v>3.60</v>
      </c>
      <c r="F24" s="60">
        <v>1.1499999999999999</v>
      </c>
      <c r="G24" s="226" t="s">
        <v>43</v>
      </c>
      <c r="H24" s="226" t="s">
        <v>43</v>
      </c>
      <c r="I24" s="60">
        <v>5.72</v>
      </c>
      <c r="J24" s="60">
        <v>2.36</v>
      </c>
      <c r="K24" s="60">
        <v>190.10</v>
      </c>
      <c r="L24" s="60">
        <v>17.13</v>
      </c>
      <c r="M24" s="60">
        <v>97.74</v>
      </c>
      <c r="N24" s="60">
        <v>348.20</v>
      </c>
      <c r="O24" s="60">
        <v>0</v>
      </c>
      <c r="P24" s="60">
        <v>2.96</v>
      </c>
      <c r="Q24" s="60">
        <v>11.63</v>
      </c>
      <c r="R24" s="198"/>
      <c r="S24" s="198"/>
      <c r="T24" s="198"/>
      <c r="U24" s="198"/>
    </row>
    <row r="25" spans="1:21" s="12" customFormat="1" ht="15">
      <c r="A25" s="201" t="s">
        <v>3050</v>
      </c>
      <c r="B25" s="60">
        <v>0.91</v>
      </c>
      <c r="C25" s="60">
        <v>12.05</v>
      </c>
      <c r="D25" s="60">
        <v>12.97</v>
      </c>
      <c r="E25" s="60">
        <v>6.11</v>
      </c>
      <c r="F25" s="60">
        <v>0.80</v>
      </c>
      <c r="G25" s="226" t="s">
        <v>43</v>
      </c>
      <c r="H25" s="226" t="s">
        <v>43</v>
      </c>
      <c r="I25" s="60">
        <v>5.40</v>
      </c>
      <c r="J25" s="60">
        <v>2.17</v>
      </c>
      <c r="K25" s="60">
        <v>182.19</v>
      </c>
      <c r="L25" s="60">
        <v>19.100000000000001</v>
      </c>
      <c r="M25" s="60">
        <v>97.11</v>
      </c>
      <c r="N25" s="60">
        <v>369.20</v>
      </c>
      <c r="O25" s="60">
        <v>0</v>
      </c>
      <c r="P25" s="60">
        <v>2.91</v>
      </c>
      <c r="Q25" s="60">
        <v>11.45</v>
      </c>
      <c r="R25" s="198"/>
      <c r="S25" s="198"/>
      <c r="T25" s="198"/>
      <c r="U25" s="198"/>
    </row>
    <row r="26" spans="1:21" s="12" customFormat="1" ht="15">
      <c r="A26" s="201" t="s">
        <v>3051</v>
      </c>
      <c r="B26" s="60">
        <v>1.1399999999999999</v>
      </c>
      <c r="C26" s="60">
        <v>12.15</v>
      </c>
      <c r="D26" s="60">
        <v>13.29</v>
      </c>
      <c r="E26" s="60">
        <v>6.85</v>
      </c>
      <c r="F26" s="60">
        <v>0.80</v>
      </c>
      <c r="G26" s="226" t="s">
        <v>43</v>
      </c>
      <c r="H26" s="226" t="s">
        <v>43</v>
      </c>
      <c r="I26" s="60">
        <v>4.99</v>
      </c>
      <c r="J26" s="60">
        <v>2.5</v>
      </c>
      <c r="K26" s="60">
        <v>180.29</v>
      </c>
      <c r="L26" s="60">
        <v>19.12</v>
      </c>
      <c r="M26" s="60">
        <v>97.30</v>
      </c>
      <c r="N26" s="60">
        <v>435.60</v>
      </c>
      <c r="O26" s="60">
        <v>0</v>
      </c>
      <c r="P26" s="60">
        <v>2.86</v>
      </c>
      <c r="Q26" s="60">
        <v>10.77</v>
      </c>
      <c r="R26" s="198"/>
      <c r="S26" s="198"/>
      <c r="T26" s="198"/>
      <c r="U26" s="198"/>
    </row>
    <row r="27" spans="1:21" s="12" customFormat="1" ht="15">
      <c r="A27" s="201" t="s">
        <v>3052</v>
      </c>
      <c r="B27" s="60">
        <v>1.38</v>
      </c>
      <c r="C27" s="60">
        <v>12.08</v>
      </c>
      <c r="D27" s="60">
        <v>13.46</v>
      </c>
      <c r="E27" s="60">
        <v>7.47</v>
      </c>
      <c r="F27" s="60">
        <v>0.80</v>
      </c>
      <c r="G27" s="226" t="s">
        <v>43</v>
      </c>
      <c r="H27" s="226" t="s">
        <v>43</v>
      </c>
      <c r="I27" s="60">
        <v>3.95</v>
      </c>
      <c r="J27" s="60">
        <v>1.1599999999999999</v>
      </c>
      <c r="K27" s="60">
        <v>246.26</v>
      </c>
      <c r="L27" s="60">
        <v>20.14</v>
      </c>
      <c r="M27" s="60">
        <v>97.71</v>
      </c>
      <c r="N27" s="60">
        <v>457.20</v>
      </c>
      <c r="O27" s="60">
        <v>0</v>
      </c>
      <c r="P27" s="60">
        <v>2.82</v>
      </c>
      <c r="Q27" s="60">
        <v>10.10</v>
      </c>
      <c r="R27" s="198"/>
      <c r="S27" s="198"/>
      <c r="T27" s="198"/>
      <c r="U27" s="198"/>
    </row>
    <row r="28" spans="1:21" s="12" customFormat="1" ht="15">
      <c r="A28" s="201" t="s">
        <v>3053</v>
      </c>
      <c r="B28" s="60">
        <v>1.60</v>
      </c>
      <c r="C28" s="60">
        <v>12.03</v>
      </c>
      <c r="D28" s="60">
        <v>13.63</v>
      </c>
      <c r="E28" s="60">
        <v>7.46</v>
      </c>
      <c r="F28" s="60">
        <v>0.56999999999999995</v>
      </c>
      <c r="G28" s="226" t="s">
        <v>43</v>
      </c>
      <c r="H28" s="226" t="s">
        <v>43</v>
      </c>
      <c r="I28" s="60">
        <v>3.76</v>
      </c>
      <c r="J28" s="60">
        <v>3.11</v>
      </c>
      <c r="K28" s="60">
        <v>172.23</v>
      </c>
      <c r="L28" s="60">
        <v>21.52</v>
      </c>
      <c r="M28" s="60">
        <v>97.19</v>
      </c>
      <c r="N28" s="60">
        <v>511.10</v>
      </c>
      <c r="O28" s="60">
        <v>0</v>
      </c>
      <c r="P28" s="60">
        <v>2.81</v>
      </c>
      <c r="Q28" s="60">
        <v>9.58</v>
      </c>
      <c r="R28" s="198"/>
      <c r="S28" s="198"/>
      <c r="T28" s="198"/>
      <c r="U28" s="198"/>
    </row>
    <row r="29" spans="1:21" s="12" customFormat="1" ht="15">
      <c r="A29" s="201" t="s">
        <v>3054</v>
      </c>
      <c r="B29" s="60">
        <v>1.75</v>
      </c>
      <c r="C29" s="60">
        <v>12.18</v>
      </c>
      <c r="D29" s="60">
        <v>13.93</v>
      </c>
      <c r="E29" s="60">
        <v>8.14</v>
      </c>
      <c r="F29" s="60">
        <v>0.48</v>
      </c>
      <c r="G29" s="226" t="s">
        <v>43</v>
      </c>
      <c r="H29" s="226" t="s">
        <v>43</v>
      </c>
      <c r="I29" s="60">
        <v>3.62</v>
      </c>
      <c r="J29" s="60">
        <v>2.37</v>
      </c>
      <c r="K29" s="60">
        <v>178.77</v>
      </c>
      <c r="L29" s="60">
        <v>18.59</v>
      </c>
      <c r="M29" s="60">
        <v>96.59</v>
      </c>
      <c r="N29" s="60">
        <v>531</v>
      </c>
      <c r="O29" s="60">
        <v>0</v>
      </c>
      <c r="P29" s="60">
        <v>2.80</v>
      </c>
      <c r="Q29" s="60">
        <v>9.18</v>
      </c>
      <c r="R29" s="198"/>
      <c r="S29" s="198"/>
      <c r="T29" s="198"/>
      <c r="U29" s="198"/>
    </row>
    <row r="30" spans="1:21" s="12" customFormat="1" ht="15">
      <c r="A30" s="201" t="s">
        <v>3055</v>
      </c>
      <c r="B30" s="60">
        <v>1.89</v>
      </c>
      <c r="C30" s="60">
        <v>12.29</v>
      </c>
      <c r="D30" s="60">
        <v>14.18</v>
      </c>
      <c r="E30" s="60">
        <v>8.10</v>
      </c>
      <c r="F30" s="60">
        <v>0.87</v>
      </c>
      <c r="G30" s="226" t="s">
        <v>43</v>
      </c>
      <c r="H30" s="226" t="s">
        <v>43</v>
      </c>
      <c r="I30" s="60">
        <v>4.0999999999999996</v>
      </c>
      <c r="J30" s="60">
        <v>1.5</v>
      </c>
      <c r="K30" s="60">
        <v>254.92</v>
      </c>
      <c r="L30" s="60">
        <v>20.29</v>
      </c>
      <c r="M30" s="60">
        <v>97.59</v>
      </c>
      <c r="N30" s="60">
        <v>517.79999999999995</v>
      </c>
      <c r="O30" s="60">
        <v>0</v>
      </c>
      <c r="P30" s="60">
        <v>2.75</v>
      </c>
      <c r="Q30" s="60">
        <v>8.9499999999999993</v>
      </c>
      <c r="R30" s="198"/>
      <c r="S30" s="198"/>
      <c r="T30" s="198"/>
      <c r="U30" s="198"/>
    </row>
    <row r="31" spans="1:21" s="12" customFormat="1" ht="15">
      <c r="A31" s="201" t="s">
        <v>3056</v>
      </c>
      <c r="B31" s="60">
        <v>2.0099999999999998</v>
      </c>
      <c r="C31" s="60">
        <v>12.41</v>
      </c>
      <c r="D31" s="60">
        <v>14.43</v>
      </c>
      <c r="E31" s="60">
        <v>8.57</v>
      </c>
      <c r="F31" s="60">
        <v>0.51</v>
      </c>
      <c r="G31" s="226" t="s">
        <v>43</v>
      </c>
      <c r="H31" s="226" t="s">
        <v>43</v>
      </c>
      <c r="I31" s="60">
        <v>4.17</v>
      </c>
      <c r="J31" s="60">
        <v>2.4900000000000002</v>
      </c>
      <c r="K31" s="60">
        <v>174.23</v>
      </c>
      <c r="L31" s="60">
        <v>19.63</v>
      </c>
      <c r="M31" s="60">
        <v>97.19</v>
      </c>
      <c r="N31" s="60">
        <v>592.40</v>
      </c>
      <c r="O31" s="60">
        <v>0</v>
      </c>
      <c r="P31" s="60">
        <v>2.72</v>
      </c>
      <c r="Q31" s="60">
        <v>8.7100000000000009</v>
      </c>
      <c r="R31" s="198"/>
      <c r="S31" s="198"/>
      <c r="T31" s="198"/>
      <c r="U31" s="198"/>
    </row>
    <row r="32" spans="1:21" s="12" customFormat="1" ht="15">
      <c r="A32" s="201" t="s">
        <v>3057</v>
      </c>
      <c r="B32" s="60">
        <v>2.1800000000000002</v>
      </c>
      <c r="C32" s="60">
        <v>13.30</v>
      </c>
      <c r="D32" s="60">
        <v>15.48</v>
      </c>
      <c r="E32" s="60">
        <v>8.85</v>
      </c>
      <c r="F32" s="60">
        <v>0.32</v>
      </c>
      <c r="G32" s="226" t="s">
        <v>43</v>
      </c>
      <c r="H32" s="226" t="s">
        <v>43</v>
      </c>
      <c r="I32" s="60">
        <v>3.85</v>
      </c>
      <c r="J32" s="60">
        <v>1.54</v>
      </c>
      <c r="K32" s="60">
        <v>201.54</v>
      </c>
      <c r="L32" s="60">
        <v>21.06</v>
      </c>
      <c r="M32" s="60">
        <v>97.49</v>
      </c>
      <c r="N32" s="60">
        <v>569.70000000000005</v>
      </c>
      <c r="O32" s="60">
        <v>0</v>
      </c>
      <c r="P32" s="60">
        <v>2.76</v>
      </c>
      <c r="Q32" s="60">
        <v>8.81</v>
      </c>
      <c r="R32" s="198"/>
      <c r="S32" s="198"/>
      <c r="T32" s="198"/>
      <c r="U32" s="198"/>
    </row>
    <row r="33" spans="1:21" s="12" customFormat="1" ht="15">
      <c r="A33" s="201" t="s">
        <v>3058</v>
      </c>
      <c r="B33" s="60">
        <v>2.11</v>
      </c>
      <c r="C33" s="60">
        <v>13.23</v>
      </c>
      <c r="D33" s="60">
        <v>15.34</v>
      </c>
      <c r="E33" s="60">
        <v>8.5299999999999994</v>
      </c>
      <c r="F33" s="60">
        <v>0.62</v>
      </c>
      <c r="G33" s="226" t="s">
        <v>43</v>
      </c>
      <c r="H33" s="226" t="s">
        <v>43</v>
      </c>
      <c r="I33" s="60">
        <v>3.96</v>
      </c>
      <c r="J33" s="60">
        <v>2.3199999999999998</v>
      </c>
      <c r="K33" s="60">
        <v>197.86</v>
      </c>
      <c r="L33" s="60">
        <v>20.29</v>
      </c>
      <c r="M33" s="60">
        <v>97.07</v>
      </c>
      <c r="N33" s="60">
        <v>552.40</v>
      </c>
      <c r="O33" s="60">
        <v>0</v>
      </c>
      <c r="P33" s="60">
        <v>2.81</v>
      </c>
      <c r="Q33" s="60">
        <v>9.5500000000000007</v>
      </c>
      <c r="R33" s="198"/>
      <c r="S33" s="198"/>
      <c r="T33" s="198"/>
      <c r="U33" s="198"/>
    </row>
    <row r="34" spans="1:21" s="12" customFormat="1" ht="15">
      <c r="A34" s="201" t="s">
        <v>3059</v>
      </c>
      <c r="B34" s="60">
        <v>1.87</v>
      </c>
      <c r="C34" s="60">
        <v>13.77</v>
      </c>
      <c r="D34" s="60">
        <v>15.64</v>
      </c>
      <c r="E34" s="60">
        <v>8.3699999999999992</v>
      </c>
      <c r="F34" s="60">
        <v>1.31</v>
      </c>
      <c r="G34" s="60">
        <v>10.67</v>
      </c>
      <c r="H34" s="60">
        <v>3.22</v>
      </c>
      <c r="I34" s="60">
        <v>4.9800000000000004</v>
      </c>
      <c r="J34" s="60">
        <v>1.29</v>
      </c>
      <c r="K34" s="60">
        <v>198.35</v>
      </c>
      <c r="L34" s="60">
        <v>20.09</v>
      </c>
      <c r="M34" s="60">
        <v>96.70</v>
      </c>
      <c r="N34" s="60">
        <v>573.40</v>
      </c>
      <c r="O34" s="60">
        <v>0</v>
      </c>
      <c r="P34" s="60">
        <v>2.85</v>
      </c>
      <c r="Q34" s="60">
        <v>10.65</v>
      </c>
      <c r="R34" s="198"/>
      <c r="S34" s="198"/>
      <c r="T34" s="198"/>
      <c r="U34" s="198"/>
    </row>
    <row r="35" spans="1:21" s="12" customFormat="1" ht="15">
      <c r="A35" s="201" t="s">
        <v>3060</v>
      </c>
      <c r="B35" s="60">
        <v>1.81</v>
      </c>
      <c r="C35" s="60">
        <v>14.44</v>
      </c>
      <c r="D35" s="60">
        <v>16.25</v>
      </c>
      <c r="E35" s="60">
        <v>7.96</v>
      </c>
      <c r="F35" s="60">
        <v>1.1499999999999999</v>
      </c>
      <c r="G35" s="60">
        <v>10.67</v>
      </c>
      <c r="H35" s="60">
        <v>3.22</v>
      </c>
      <c r="I35" s="60">
        <v>4.8499999999999996</v>
      </c>
      <c r="J35" s="60">
        <v>2.87</v>
      </c>
      <c r="K35" s="60">
        <v>180.93</v>
      </c>
      <c r="L35" s="60">
        <v>19.29</v>
      </c>
      <c r="M35" s="60">
        <v>95.54</v>
      </c>
      <c r="N35" s="60">
        <v>597.70000000000005</v>
      </c>
      <c r="O35" s="60">
        <v>0</v>
      </c>
      <c r="P35" s="60">
        <v>2.90</v>
      </c>
      <c r="Q35" s="60">
        <v>11.62</v>
      </c>
      <c r="R35" s="198"/>
      <c r="S35" s="198"/>
      <c r="T35" s="198"/>
      <c r="U35" s="198"/>
    </row>
    <row r="36" spans="1:21" s="12" customFormat="1" ht="15">
      <c r="A36" s="201" t="s">
        <v>3061</v>
      </c>
      <c r="B36" s="60">
        <v>1.93</v>
      </c>
      <c r="C36" s="60">
        <v>14.72</v>
      </c>
      <c r="D36" s="60">
        <v>16.649999999999999</v>
      </c>
      <c r="E36" s="60">
        <v>7.61</v>
      </c>
      <c r="F36" s="60">
        <v>1.1299999999999999</v>
      </c>
      <c r="G36" s="60">
        <v>10.67</v>
      </c>
      <c r="H36" s="60">
        <v>3.22</v>
      </c>
      <c r="I36" s="60">
        <v>4.75</v>
      </c>
      <c r="J36" s="60">
        <v>2.2200000000000002</v>
      </c>
      <c r="K36" s="60">
        <v>187.92</v>
      </c>
      <c r="L36" s="60">
        <v>20.30</v>
      </c>
      <c r="M36" s="60">
        <v>94.17</v>
      </c>
      <c r="N36" s="60">
        <v>655.10</v>
      </c>
      <c r="O36" s="60">
        <v>0</v>
      </c>
      <c r="P36" s="60">
        <v>2.95</v>
      </c>
      <c r="Q36" s="60">
        <v>12.47</v>
      </c>
      <c r="R36" s="198"/>
      <c r="S36" s="198"/>
      <c r="T36" s="198"/>
      <c r="U36" s="198"/>
    </row>
    <row r="37" spans="1:21" s="12" customFormat="1" ht="15">
      <c r="A37" s="201" t="s">
        <v>3062</v>
      </c>
      <c r="B37" s="60">
        <v>1.82</v>
      </c>
      <c r="C37" s="60">
        <v>14.89</v>
      </c>
      <c r="D37" s="60">
        <v>16.71</v>
      </c>
      <c r="E37" s="60">
        <v>7.19</v>
      </c>
      <c r="F37" s="60">
        <v>0.92</v>
      </c>
      <c r="G37" s="60">
        <v>9.7799999999999994</v>
      </c>
      <c r="H37" s="60">
        <v>3.49</v>
      </c>
      <c r="I37" s="60">
        <v>4.66</v>
      </c>
      <c r="J37" s="60">
        <v>3.71</v>
      </c>
      <c r="K37" s="60">
        <v>189.05</v>
      </c>
      <c r="L37" s="60">
        <v>21.89</v>
      </c>
      <c r="M37" s="60">
        <v>92.71</v>
      </c>
      <c r="N37" s="60">
        <v>680.70</v>
      </c>
      <c r="O37" s="60">
        <v>0</v>
      </c>
      <c r="P37" s="60">
        <v>2.99</v>
      </c>
      <c r="Q37" s="60">
        <v>12.93</v>
      </c>
      <c r="R37" s="198"/>
      <c r="S37" s="198"/>
      <c r="T37" s="198"/>
      <c r="U37" s="198"/>
    </row>
    <row r="38" spans="1:21" s="12" customFormat="1" ht="15">
      <c r="A38" s="201" t="s">
        <v>3063</v>
      </c>
      <c r="B38" s="60">
        <v>1.60</v>
      </c>
      <c r="C38" s="60">
        <v>14.86</v>
      </c>
      <c r="D38" s="60">
        <v>16.46</v>
      </c>
      <c r="E38" s="60">
        <v>7.22</v>
      </c>
      <c r="F38" s="60">
        <v>1.84</v>
      </c>
      <c r="G38" s="60">
        <v>7.60</v>
      </c>
      <c r="H38" s="60">
        <v>4.1500000000000004</v>
      </c>
      <c r="I38" s="60">
        <v>4.53</v>
      </c>
      <c r="J38" s="60">
        <v>3.56</v>
      </c>
      <c r="K38" s="60">
        <v>186.91</v>
      </c>
      <c r="L38" s="60">
        <v>23.34</v>
      </c>
      <c r="M38" s="60">
        <v>92.27</v>
      </c>
      <c r="N38" s="60">
        <v>728.60</v>
      </c>
      <c r="O38" s="60">
        <v>0</v>
      </c>
      <c r="P38" s="60">
        <v>3.01</v>
      </c>
      <c r="Q38" s="60">
        <v>13.13</v>
      </c>
      <c r="R38" s="198"/>
      <c r="S38" s="198"/>
      <c r="T38" s="198"/>
      <c r="U38" s="198"/>
    </row>
    <row r="39" spans="1:21" s="12" customFormat="1" ht="15">
      <c r="A39" s="201" t="s">
        <v>3064</v>
      </c>
      <c r="B39" s="60">
        <v>1.47</v>
      </c>
      <c r="C39" s="60">
        <v>14.78</v>
      </c>
      <c r="D39" s="60">
        <v>16.25</v>
      </c>
      <c r="E39" s="60">
        <v>6.74</v>
      </c>
      <c r="F39" s="60">
        <v>1.32</v>
      </c>
      <c r="G39" s="60">
        <v>7.60</v>
      </c>
      <c r="H39" s="60">
        <v>4.1500000000000004</v>
      </c>
      <c r="I39" s="60">
        <v>4.45</v>
      </c>
      <c r="J39" s="60">
        <v>3.55</v>
      </c>
      <c r="K39" s="60">
        <v>184.79</v>
      </c>
      <c r="L39" s="60">
        <v>22.08</v>
      </c>
      <c r="M39" s="60">
        <v>91.43</v>
      </c>
      <c r="N39" s="60">
        <v>820.70</v>
      </c>
      <c r="O39" s="60">
        <v>0</v>
      </c>
      <c r="P39" s="60">
        <v>3.05</v>
      </c>
      <c r="Q39" s="60">
        <v>13.23</v>
      </c>
      <c r="R39" s="198"/>
      <c r="S39" s="198"/>
      <c r="T39" s="198"/>
      <c r="U39" s="198"/>
    </row>
    <row r="40" spans="1:21" s="12" customFormat="1" ht="15">
      <c r="A40" s="201" t="s">
        <v>3065</v>
      </c>
      <c r="B40" s="60">
        <v>1.42</v>
      </c>
      <c r="C40" s="60">
        <v>14.71</v>
      </c>
      <c r="D40" s="60">
        <v>16.13</v>
      </c>
      <c r="E40" s="60">
        <v>2.73</v>
      </c>
      <c r="F40" s="60">
        <v>1</v>
      </c>
      <c r="G40" s="60">
        <v>7.60</v>
      </c>
      <c r="H40" s="60">
        <v>4.1500000000000004</v>
      </c>
      <c r="I40" s="60">
        <v>4.38</v>
      </c>
      <c r="J40" s="60">
        <v>3.59</v>
      </c>
      <c r="K40" s="60">
        <v>179.79</v>
      </c>
      <c r="L40" s="60">
        <v>20.82</v>
      </c>
      <c r="M40" s="60">
        <v>91.03</v>
      </c>
      <c r="N40" s="60">
        <v>851.30</v>
      </c>
      <c r="O40" s="60">
        <v>0</v>
      </c>
      <c r="P40" s="60">
        <v>3.08</v>
      </c>
      <c r="Q40" s="60">
        <v>13.29</v>
      </c>
      <c r="R40" s="198"/>
      <c r="S40" s="198"/>
      <c r="T40" s="198"/>
      <c r="U40" s="198"/>
    </row>
    <row r="41" spans="1:21" s="12" customFormat="1" ht="15">
      <c r="A41" s="201" t="s">
        <v>3066</v>
      </c>
      <c r="B41" s="60">
        <v>1.35</v>
      </c>
      <c r="C41" s="60">
        <v>14.84</v>
      </c>
      <c r="D41" s="60">
        <v>16.20</v>
      </c>
      <c r="E41" s="60">
        <v>5.95</v>
      </c>
      <c r="F41" s="60">
        <v>1.54</v>
      </c>
      <c r="G41" s="60">
        <v>8.01</v>
      </c>
      <c r="H41" s="60">
        <v>5.23</v>
      </c>
      <c r="I41" s="60">
        <v>4.29</v>
      </c>
      <c r="J41" s="60">
        <v>2.57</v>
      </c>
      <c r="K41" s="60">
        <v>185.10</v>
      </c>
      <c r="L41" s="60">
        <v>22.31</v>
      </c>
      <c r="M41" s="60">
        <v>90.29</v>
      </c>
      <c r="N41" s="60">
        <v>746</v>
      </c>
      <c r="O41" s="60">
        <v>0</v>
      </c>
      <c r="P41" s="60">
        <v>3.09</v>
      </c>
      <c r="Q41" s="60">
        <v>13.48</v>
      </c>
      <c r="R41" s="198"/>
      <c r="S41" s="198"/>
      <c r="T41" s="198"/>
      <c r="U41" s="198"/>
    </row>
    <row r="42" spans="1:21" s="12" customFormat="1" ht="15">
      <c r="A42" s="201" t="s">
        <v>3067</v>
      </c>
      <c r="B42" s="60">
        <v>1.24</v>
      </c>
      <c r="C42" s="60">
        <v>14.32</v>
      </c>
      <c r="D42" s="60">
        <v>15.57</v>
      </c>
      <c r="E42" s="60">
        <v>5.72</v>
      </c>
      <c r="F42" s="60">
        <v>1.36</v>
      </c>
      <c r="G42" s="60">
        <v>9.02</v>
      </c>
      <c r="H42" s="60">
        <v>7.88</v>
      </c>
      <c r="I42" s="60">
        <v>4.16</v>
      </c>
      <c r="J42" s="60">
        <v>3.21</v>
      </c>
      <c r="K42" s="60">
        <v>178.31</v>
      </c>
      <c r="L42" s="60">
        <v>23.26</v>
      </c>
      <c r="M42" s="60">
        <v>89.28</v>
      </c>
      <c r="N42" s="60">
        <v>827.90</v>
      </c>
      <c r="O42" s="60">
        <v>0</v>
      </c>
      <c r="P42" s="60">
        <v>3.11</v>
      </c>
      <c r="Q42" s="60">
        <v>13.30</v>
      </c>
      <c r="R42" s="198"/>
      <c r="S42" s="198"/>
      <c r="T42" s="198"/>
      <c r="U42" s="198"/>
    </row>
    <row r="43" spans="1:21" s="12" customFormat="1" ht="15">
      <c r="A43" s="201" t="s">
        <v>3068</v>
      </c>
      <c r="B43" s="60">
        <v>1.24</v>
      </c>
      <c r="C43" s="60">
        <v>14.22</v>
      </c>
      <c r="D43" s="60">
        <v>15.46</v>
      </c>
      <c r="E43" s="60">
        <v>5.76</v>
      </c>
      <c r="F43" s="60">
        <v>0.83</v>
      </c>
      <c r="G43" s="60">
        <v>9.02</v>
      </c>
      <c r="H43" s="60">
        <v>7.88</v>
      </c>
      <c r="I43" s="60">
        <v>4.12</v>
      </c>
      <c r="J43" s="60">
        <v>0.94</v>
      </c>
      <c r="K43" s="60">
        <v>222.12</v>
      </c>
      <c r="L43" s="60">
        <v>21.72</v>
      </c>
      <c r="M43" s="60">
        <v>87.86</v>
      </c>
      <c r="N43" s="60">
        <v>928.5</v>
      </c>
      <c r="O43" s="60">
        <v>0</v>
      </c>
      <c r="P43" s="60">
        <v>3.05</v>
      </c>
      <c r="Q43" s="60">
        <v>12.43</v>
      </c>
      <c r="R43" s="198"/>
      <c r="S43" s="198"/>
      <c r="T43" s="198"/>
      <c r="U43" s="198"/>
    </row>
    <row r="44" spans="1:21" s="12" customFormat="1" ht="15">
      <c r="A44" s="201" t="s">
        <v>3069</v>
      </c>
      <c r="B44" s="60">
        <v>1.45</v>
      </c>
      <c r="C44" s="60">
        <v>14.48</v>
      </c>
      <c r="D44" s="60">
        <v>15.94</v>
      </c>
      <c r="E44" s="60">
        <v>5.88</v>
      </c>
      <c r="F44" s="60">
        <v>0.95</v>
      </c>
      <c r="G44" s="60">
        <v>9.02</v>
      </c>
      <c r="H44" s="60">
        <v>7.88</v>
      </c>
      <c r="I44" s="60">
        <v>3.91</v>
      </c>
      <c r="J44" s="60">
        <v>1.34</v>
      </c>
      <c r="K44" s="60">
        <v>352.65</v>
      </c>
      <c r="L44" s="60">
        <v>22.26</v>
      </c>
      <c r="M44" s="60">
        <v>85.58</v>
      </c>
      <c r="N44" s="60">
        <v>904.20</v>
      </c>
      <c r="O44" s="60">
        <v>0</v>
      </c>
      <c r="P44" s="60">
        <v>3.01</v>
      </c>
      <c r="Q44" s="60">
        <v>11.08</v>
      </c>
      <c r="R44" s="198"/>
      <c r="S44" s="198"/>
      <c r="T44" s="198"/>
      <c r="U44" s="198"/>
    </row>
    <row r="45" spans="1:21" s="12" customFormat="1" ht="15">
      <c r="A45" s="201" t="s">
        <v>3070</v>
      </c>
      <c r="B45" s="60">
        <v>1.58</v>
      </c>
      <c r="C45" s="60">
        <v>15.59</v>
      </c>
      <c r="D45" s="60">
        <v>17.16</v>
      </c>
      <c r="E45" s="60">
        <v>5.13</v>
      </c>
      <c r="F45" s="60">
        <v>1.28</v>
      </c>
      <c r="G45" s="60">
        <v>10.74</v>
      </c>
      <c r="H45" s="60">
        <v>7.20</v>
      </c>
      <c r="I45" s="60">
        <v>3.85</v>
      </c>
      <c r="J45" s="60">
        <v>1.41</v>
      </c>
      <c r="K45" s="60">
        <v>337.22</v>
      </c>
      <c r="L45" s="60">
        <v>24.74</v>
      </c>
      <c r="M45" s="60">
        <v>85.05</v>
      </c>
      <c r="N45" s="60">
        <v>793.90</v>
      </c>
      <c r="O45" s="60">
        <v>0</v>
      </c>
      <c r="P45" s="60">
        <v>2.93</v>
      </c>
      <c r="Q45" s="60">
        <v>9.9700000000000006</v>
      </c>
      <c r="R45" s="198"/>
      <c r="S45" s="198"/>
      <c r="T45" s="198"/>
      <c r="U45" s="198"/>
    </row>
    <row r="46" spans="1:21" s="12" customFormat="1" ht="15">
      <c r="A46" s="201" t="s">
        <v>3071</v>
      </c>
      <c r="B46" s="60">
        <v>1.53</v>
      </c>
      <c r="C46" s="60">
        <v>16.72</v>
      </c>
      <c r="D46" s="60">
        <v>18.25</v>
      </c>
      <c r="E46" s="60">
        <v>5.53</v>
      </c>
      <c r="F46" s="60">
        <v>1.32</v>
      </c>
      <c r="G46" s="60">
        <v>14.96</v>
      </c>
      <c r="H46" s="60">
        <v>5.51</v>
      </c>
      <c r="I46" s="60">
        <v>4.0599999999999996</v>
      </c>
      <c r="J46" s="60">
        <v>1.68</v>
      </c>
      <c r="K46" s="60">
        <v>358.31</v>
      </c>
      <c r="L46" s="60">
        <v>22.81</v>
      </c>
      <c r="M46" s="60">
        <v>86.19</v>
      </c>
      <c r="N46" s="60">
        <v>836.60</v>
      </c>
      <c r="O46" s="60">
        <v>0</v>
      </c>
      <c r="P46" s="60">
        <v>2.86</v>
      </c>
      <c r="Q46" s="60">
        <v>9.1199999999999992</v>
      </c>
      <c r="R46" s="198"/>
      <c r="S46" s="198"/>
      <c r="T46" s="198"/>
      <c r="U46" s="198"/>
    </row>
    <row r="47" spans="1:21" s="12" customFormat="1" ht="15">
      <c r="A47" s="201" t="s">
        <v>3072</v>
      </c>
      <c r="B47" s="60">
        <v>1.58</v>
      </c>
      <c r="C47" s="60">
        <v>17.30</v>
      </c>
      <c r="D47" s="60">
        <v>18.88</v>
      </c>
      <c r="E47" s="60">
        <v>5.30</v>
      </c>
      <c r="F47" s="60">
        <v>1.22</v>
      </c>
      <c r="G47" s="60">
        <v>14.96</v>
      </c>
      <c r="H47" s="60">
        <v>5.51</v>
      </c>
      <c r="I47" s="60">
        <v>3.97</v>
      </c>
      <c r="J47" s="60">
        <v>1.0900000000000001</v>
      </c>
      <c r="K47" s="60">
        <v>217.24</v>
      </c>
      <c r="L47" s="60">
        <v>22.01</v>
      </c>
      <c r="M47" s="60">
        <v>86.13</v>
      </c>
      <c r="N47" s="60">
        <v>900.80</v>
      </c>
      <c r="O47" s="60">
        <v>0</v>
      </c>
      <c r="P47" s="60">
        <v>2.82</v>
      </c>
      <c r="Q47" s="60">
        <v>8.5</v>
      </c>
      <c r="R47" s="198"/>
      <c r="S47" s="198"/>
      <c r="T47" s="198"/>
      <c r="U47" s="198"/>
    </row>
    <row r="48" spans="1:21" s="12" customFormat="1" ht="15">
      <c r="A48" s="201" t="s">
        <v>3073</v>
      </c>
      <c r="B48" s="60">
        <v>1.61</v>
      </c>
      <c r="C48" s="60">
        <v>17.809999999999999</v>
      </c>
      <c r="D48" s="60">
        <v>19.420000000000002</v>
      </c>
      <c r="E48" s="60">
        <v>5.21</v>
      </c>
      <c r="F48" s="60">
        <v>1.19</v>
      </c>
      <c r="G48" s="60">
        <v>14.96</v>
      </c>
      <c r="H48" s="60">
        <v>5.51</v>
      </c>
      <c r="I48" s="60">
        <v>3.92</v>
      </c>
      <c r="J48" s="60">
        <v>0.34</v>
      </c>
      <c r="K48" s="60">
        <v>69.709999999999994</v>
      </c>
      <c r="L48" s="60">
        <v>21.13</v>
      </c>
      <c r="M48" s="60">
        <v>90.69</v>
      </c>
      <c r="N48" s="60">
        <v>685.70</v>
      </c>
      <c r="O48" s="60">
        <v>0.20</v>
      </c>
      <c r="P48" s="60">
        <v>2.79</v>
      </c>
      <c r="Q48" s="60">
        <v>8</v>
      </c>
      <c r="R48" s="198"/>
      <c r="S48" s="198"/>
      <c r="T48" s="198"/>
      <c r="U48" s="198"/>
    </row>
    <row r="49" spans="1:21" s="12" customFormat="1" ht="15">
      <c r="A49" s="201" t="s">
        <v>3074</v>
      </c>
      <c r="B49" s="60">
        <v>1.68</v>
      </c>
      <c r="C49" s="60">
        <v>18.29</v>
      </c>
      <c r="D49" s="60">
        <v>19.97</v>
      </c>
      <c r="E49" s="60">
        <v>5.40</v>
      </c>
      <c r="F49" s="60">
        <v>0.97</v>
      </c>
      <c r="G49" s="60">
        <v>15.47</v>
      </c>
      <c r="H49" s="60">
        <v>5.62</v>
      </c>
      <c r="I49" s="60">
        <v>3.90</v>
      </c>
      <c r="J49" s="60">
        <v>1.55</v>
      </c>
      <c r="K49" s="60">
        <v>204.47</v>
      </c>
      <c r="L49" s="60">
        <v>20.010000000000002</v>
      </c>
      <c r="M49" s="60">
        <v>94.29</v>
      </c>
      <c r="N49" s="60">
        <v>749.80</v>
      </c>
      <c r="O49" s="60">
        <v>0</v>
      </c>
      <c r="P49" s="60">
        <v>2.77</v>
      </c>
      <c r="Q49" s="60">
        <v>7.72</v>
      </c>
      <c r="R49" s="198"/>
      <c r="S49" s="198"/>
      <c r="T49" s="198"/>
      <c r="U49" s="198"/>
    </row>
    <row r="50" spans="1:21" s="12" customFormat="1" ht="15">
      <c r="A50" s="201" t="s">
        <v>3075</v>
      </c>
      <c r="B50" s="60">
        <v>1.64</v>
      </c>
      <c r="C50" s="60">
        <v>18.62</v>
      </c>
      <c r="D50" s="60">
        <v>20.260000000000002</v>
      </c>
      <c r="E50" s="60">
        <v>5.5</v>
      </c>
      <c r="F50" s="60">
        <v>0.54</v>
      </c>
      <c r="G50" s="60">
        <v>16.72</v>
      </c>
      <c r="H50" s="60">
        <v>5.88</v>
      </c>
      <c r="I50" s="60">
        <v>3.97</v>
      </c>
      <c r="J50" s="60">
        <v>2.1800000000000002</v>
      </c>
      <c r="K50" s="60">
        <v>189.63</v>
      </c>
      <c r="L50" s="60">
        <v>21.15</v>
      </c>
      <c r="M50" s="60">
        <v>94.71</v>
      </c>
      <c r="N50" s="60">
        <v>833.5</v>
      </c>
      <c r="O50" s="60">
        <v>0.20</v>
      </c>
      <c r="P50" s="60">
        <v>2.78</v>
      </c>
      <c r="Q50" s="60">
        <v>7.90</v>
      </c>
      <c r="R50" s="198"/>
      <c r="S50" s="198"/>
      <c r="T50" s="198"/>
      <c r="U50" s="198"/>
    </row>
    <row r="51" spans="1:21" s="12" customFormat="1" ht="15">
      <c r="A51" s="201" t="s">
        <v>3076</v>
      </c>
      <c r="B51" s="60">
        <v>1.44</v>
      </c>
      <c r="C51" s="60">
        <v>17.29</v>
      </c>
      <c r="D51" s="60">
        <v>18.739999999999998</v>
      </c>
      <c r="E51" s="60">
        <v>5.51</v>
      </c>
      <c r="F51" s="60">
        <v>1.21</v>
      </c>
      <c r="G51" s="60">
        <v>16.72</v>
      </c>
      <c r="H51" s="60">
        <v>5.88</v>
      </c>
      <c r="I51" s="60">
        <v>3.98</v>
      </c>
      <c r="J51" s="60">
        <v>2.78</v>
      </c>
      <c r="K51" s="60">
        <v>188.25</v>
      </c>
      <c r="L51" s="60">
        <v>20.38</v>
      </c>
      <c r="M51" s="60">
        <v>93.84</v>
      </c>
      <c r="N51" s="60">
        <v>895.60</v>
      </c>
      <c r="O51" s="60">
        <v>0.40</v>
      </c>
      <c r="P51" s="60">
        <v>2.87</v>
      </c>
      <c r="Q51" s="60">
        <v>8.49</v>
      </c>
      <c r="R51" s="198"/>
      <c r="S51" s="198"/>
      <c r="T51" s="198"/>
      <c r="U51" s="198"/>
    </row>
    <row r="52" spans="1:21" s="12" customFormat="1" ht="15">
      <c r="A52" s="201" t="s">
        <v>3077</v>
      </c>
      <c r="B52" s="60">
        <v>1.1499999999999999</v>
      </c>
      <c r="C52" s="60">
        <v>16.68</v>
      </c>
      <c r="D52" s="60">
        <v>17.82</v>
      </c>
      <c r="E52" s="60">
        <v>5.30</v>
      </c>
      <c r="F52" s="60">
        <v>0.71</v>
      </c>
      <c r="G52" s="60">
        <v>16.72</v>
      </c>
      <c r="H52" s="60">
        <v>5.88</v>
      </c>
      <c r="I52" s="60">
        <v>4.0999999999999996</v>
      </c>
      <c r="J52" s="60">
        <v>2.61</v>
      </c>
      <c r="K52" s="60">
        <v>183.44</v>
      </c>
      <c r="L52" s="60">
        <v>20.56</v>
      </c>
      <c r="M52" s="60">
        <v>94.36</v>
      </c>
      <c r="N52" s="60">
        <v>1022.30</v>
      </c>
      <c r="O52" s="60">
        <v>0.20</v>
      </c>
      <c r="P52" s="60">
        <v>2.93</v>
      </c>
      <c r="Q52" s="60">
        <v>9.31</v>
      </c>
      <c r="R52" s="198"/>
      <c r="S52" s="198"/>
      <c r="T52" s="198"/>
      <c r="U52" s="198"/>
    </row>
    <row r="53" spans="1:21" s="12" customFormat="1" ht="15">
      <c r="A53" s="201" t="s">
        <v>3078</v>
      </c>
      <c r="B53" s="60">
        <v>0.93</v>
      </c>
      <c r="C53" s="60">
        <v>15.87</v>
      </c>
      <c r="D53" s="60">
        <v>16.80</v>
      </c>
      <c r="E53" s="60">
        <v>5.03</v>
      </c>
      <c r="F53" s="60">
        <v>1.54</v>
      </c>
      <c r="G53" s="60">
        <v>15.58</v>
      </c>
      <c r="H53" s="60">
        <v>7.11</v>
      </c>
      <c r="I53" s="60">
        <v>4.09</v>
      </c>
      <c r="J53" s="60">
        <v>1.84</v>
      </c>
      <c r="K53" s="60">
        <v>186.87</v>
      </c>
      <c r="L53" s="60">
        <v>20.52</v>
      </c>
      <c r="M53" s="60">
        <v>91.85</v>
      </c>
      <c r="N53" s="60">
        <v>997.70</v>
      </c>
      <c r="O53" s="60">
        <v>0</v>
      </c>
      <c r="P53" s="60">
        <v>2.99</v>
      </c>
      <c r="Q53" s="60">
        <v>10.119999999999999</v>
      </c>
      <c r="R53" s="198"/>
      <c r="S53" s="198"/>
      <c r="T53" s="198"/>
      <c r="U53" s="198"/>
    </row>
    <row r="54" spans="1:21" s="12" customFormat="1" ht="15">
      <c r="A54" s="201" t="s">
        <v>3079</v>
      </c>
      <c r="B54" s="60">
        <v>0.95</v>
      </c>
      <c r="C54" s="60">
        <v>15.85</v>
      </c>
      <c r="D54" s="60">
        <v>16.80</v>
      </c>
      <c r="E54" s="60">
        <v>5.59</v>
      </c>
      <c r="F54" s="60">
        <v>1.48</v>
      </c>
      <c r="G54" s="60">
        <v>12.79</v>
      </c>
      <c r="H54" s="60">
        <v>10.15</v>
      </c>
      <c r="I54" s="60">
        <v>4.03</v>
      </c>
      <c r="J54" s="60">
        <v>1.06</v>
      </c>
      <c r="K54" s="60">
        <v>304.55</v>
      </c>
      <c r="L54" s="60">
        <v>22.23</v>
      </c>
      <c r="M54" s="60">
        <v>89.80</v>
      </c>
      <c r="N54" s="60">
        <v>837.90</v>
      </c>
      <c r="O54" s="60">
        <v>0</v>
      </c>
      <c r="P54" s="60">
        <v>3.04</v>
      </c>
      <c r="Q54" s="60">
        <v>10.70</v>
      </c>
      <c r="R54" s="198"/>
      <c r="S54" s="198"/>
      <c r="T54" s="198"/>
      <c r="U54" s="198"/>
    </row>
    <row r="55" spans="1:21" s="12" customFormat="1" ht="15">
      <c r="A55" s="201" t="s">
        <v>3080</v>
      </c>
      <c r="B55" s="60">
        <v>1.56</v>
      </c>
      <c r="C55" s="60">
        <v>16.899999999999999</v>
      </c>
      <c r="D55" s="60">
        <v>18.45</v>
      </c>
      <c r="E55" s="60">
        <v>4.87</v>
      </c>
      <c r="F55" s="60">
        <v>1.26</v>
      </c>
      <c r="G55" s="60">
        <v>12.79</v>
      </c>
      <c r="H55" s="60">
        <v>10.15</v>
      </c>
      <c r="I55" s="60">
        <v>3.98</v>
      </c>
      <c r="J55" s="60">
        <v>1.67</v>
      </c>
      <c r="K55" s="60">
        <v>341.92</v>
      </c>
      <c r="L55" s="60">
        <v>23.03</v>
      </c>
      <c r="M55" s="60">
        <v>87.91</v>
      </c>
      <c r="N55" s="60">
        <v>938.20</v>
      </c>
      <c r="O55" s="60">
        <v>0</v>
      </c>
      <c r="P55" s="60">
        <v>3.14</v>
      </c>
      <c r="Q55" s="60">
        <v>11.87</v>
      </c>
      <c r="R55" s="198"/>
      <c r="S55" s="198"/>
      <c r="T55" s="198"/>
      <c r="U55" s="198"/>
    </row>
    <row r="56" spans="1:21" s="12" customFormat="1" ht="15">
      <c r="A56" s="201" t="s">
        <v>3081</v>
      </c>
      <c r="B56" s="60">
        <v>2.06</v>
      </c>
      <c r="C56" s="60">
        <v>18.329999999999998</v>
      </c>
      <c r="D56" s="60">
        <v>20.399999999999999</v>
      </c>
      <c r="E56" s="60">
        <v>3.14</v>
      </c>
      <c r="F56" s="60">
        <v>1.74</v>
      </c>
      <c r="G56" s="60">
        <v>12.79</v>
      </c>
      <c r="H56" s="60">
        <v>10.15</v>
      </c>
      <c r="I56" s="60">
        <v>3.98</v>
      </c>
      <c r="J56" s="60">
        <v>1.35</v>
      </c>
      <c r="K56" s="60">
        <v>0.86</v>
      </c>
      <c r="L56" s="60">
        <v>21.12</v>
      </c>
      <c r="M56" s="60">
        <v>84.49</v>
      </c>
      <c r="N56" s="60">
        <v>769.40</v>
      </c>
      <c r="O56" s="60">
        <v>0</v>
      </c>
      <c r="P56" s="60">
        <v>3.20</v>
      </c>
      <c r="Q56" s="60">
        <v>12.70</v>
      </c>
      <c r="R56" s="198"/>
      <c r="S56" s="198"/>
      <c r="T56" s="198"/>
      <c r="U56" s="198"/>
    </row>
    <row r="57" spans="1:21" s="12" customFormat="1" ht="15">
      <c r="A57" s="201" t="s">
        <v>3082</v>
      </c>
      <c r="B57" s="60">
        <v>1.84</v>
      </c>
      <c r="C57" s="60">
        <v>18.649999999999999</v>
      </c>
      <c r="D57" s="60">
        <v>20.49</v>
      </c>
      <c r="E57" s="60">
        <v>5.70</v>
      </c>
      <c r="F57" s="60">
        <v>2.2599999999999998</v>
      </c>
      <c r="G57" s="60">
        <v>13.67</v>
      </c>
      <c r="H57" s="60">
        <v>9.4700000000000006</v>
      </c>
      <c r="I57" s="60">
        <v>4.09</v>
      </c>
      <c r="J57" s="60">
        <v>1.19</v>
      </c>
      <c r="K57" s="60">
        <v>8.51</v>
      </c>
      <c r="L57" s="60">
        <v>23.71</v>
      </c>
      <c r="M57" s="60">
        <v>81.83</v>
      </c>
      <c r="N57" s="60">
        <v>855.20</v>
      </c>
      <c r="O57" s="60">
        <v>0</v>
      </c>
      <c r="P57" s="60">
        <v>3.25</v>
      </c>
      <c r="Q57" s="60">
        <v>13.19</v>
      </c>
      <c r="R57" s="198"/>
      <c r="S57" s="198"/>
      <c r="T57" s="198"/>
      <c r="U57" s="198"/>
    </row>
    <row r="58" spans="1:21" s="12" customFormat="1" ht="15">
      <c r="A58" s="201" t="s">
        <v>3083</v>
      </c>
      <c r="B58" s="60">
        <v>1.74</v>
      </c>
      <c r="C58" s="60">
        <v>19.72</v>
      </c>
      <c r="D58" s="60">
        <v>21.46</v>
      </c>
      <c r="E58" s="60">
        <v>6.04</v>
      </c>
      <c r="F58" s="60">
        <v>2.08</v>
      </c>
      <c r="G58" s="60">
        <v>15.85</v>
      </c>
      <c r="H58" s="60">
        <v>7.78</v>
      </c>
      <c r="I58" s="60">
        <v>4.13</v>
      </c>
      <c r="J58" s="60">
        <v>1.33</v>
      </c>
      <c r="K58" s="60">
        <v>337.42</v>
      </c>
      <c r="L58" s="60">
        <v>25.34</v>
      </c>
      <c r="M58" s="60">
        <v>78.010000000000005</v>
      </c>
      <c r="N58" s="60">
        <v>1403.80</v>
      </c>
      <c r="O58" s="60">
        <v>0</v>
      </c>
      <c r="P58" s="60">
        <v>3.25</v>
      </c>
      <c r="Q58" s="60">
        <v>13.26</v>
      </c>
      <c r="R58" s="198"/>
      <c r="S58" s="198"/>
      <c r="T58" s="198"/>
      <c r="U58" s="198"/>
    </row>
    <row r="59" spans="1:21" s="12" customFormat="1" ht="15">
      <c r="A59" s="201" t="s">
        <v>3084</v>
      </c>
      <c r="B59" s="60">
        <v>1.54</v>
      </c>
      <c r="C59" s="60">
        <v>19.989999999999998</v>
      </c>
      <c r="D59" s="60">
        <v>21.53</v>
      </c>
      <c r="E59" s="60">
        <v>5.25</v>
      </c>
      <c r="F59" s="60">
        <v>2.54</v>
      </c>
      <c r="G59" s="60">
        <v>15.85</v>
      </c>
      <c r="H59" s="60">
        <v>7.78</v>
      </c>
      <c r="I59" s="60">
        <v>4.09</v>
      </c>
      <c r="J59" s="60">
        <v>0.99</v>
      </c>
      <c r="K59" s="60">
        <v>316.77999999999997</v>
      </c>
      <c r="L59" s="60">
        <v>23.62</v>
      </c>
      <c r="M59" s="60">
        <v>79.14</v>
      </c>
      <c r="N59" s="60">
        <v>1123.0999999999999</v>
      </c>
      <c r="O59" s="60">
        <v>0</v>
      </c>
      <c r="P59" s="60">
        <v>3.27</v>
      </c>
      <c r="Q59" s="60">
        <v>13.23</v>
      </c>
      <c r="R59" s="198"/>
      <c r="S59" s="198"/>
      <c r="T59" s="198"/>
      <c r="U59" s="198"/>
    </row>
    <row r="60" spans="1:21" s="12" customFormat="1" ht="15">
      <c r="A60" s="201" t="s">
        <v>3085</v>
      </c>
      <c r="B60" s="60">
        <v>1.73</v>
      </c>
      <c r="C60" s="60">
        <v>20.43</v>
      </c>
      <c r="D60" s="60">
        <v>22.16</v>
      </c>
      <c r="E60" s="60">
        <v>5.53</v>
      </c>
      <c r="F60" s="60">
        <v>1.45</v>
      </c>
      <c r="G60" s="60">
        <v>15.85</v>
      </c>
      <c r="H60" s="60">
        <v>7.78</v>
      </c>
      <c r="I60" s="60">
        <v>4.12</v>
      </c>
      <c r="J60" s="60">
        <v>2.1800000000000002</v>
      </c>
      <c r="K60" s="60">
        <v>325.27999999999997</v>
      </c>
      <c r="L60" s="60">
        <v>24.67</v>
      </c>
      <c r="M60" s="60">
        <v>76.37</v>
      </c>
      <c r="N60" s="60">
        <v>908.5</v>
      </c>
      <c r="O60" s="60">
        <v>0</v>
      </c>
      <c r="P60" s="60">
        <v>3.27</v>
      </c>
      <c r="Q60" s="60">
        <v>13.13</v>
      </c>
      <c r="R60" s="198"/>
      <c r="S60" s="198"/>
      <c r="T60" s="198"/>
      <c r="U60" s="198"/>
    </row>
    <row r="61" spans="1:21" s="12" customFormat="1" ht="15">
      <c r="A61" s="201" t="s">
        <v>3086</v>
      </c>
      <c r="B61" s="60">
        <v>2.2400000000000002</v>
      </c>
      <c r="C61" s="60">
        <v>20.76</v>
      </c>
      <c r="D61" s="60">
        <v>23</v>
      </c>
      <c r="E61" s="60">
        <v>5.38</v>
      </c>
      <c r="F61" s="60">
        <v>0.75</v>
      </c>
      <c r="G61" s="60">
        <v>19.12</v>
      </c>
      <c r="H61" s="60">
        <v>8.8699999999999992</v>
      </c>
      <c r="I61" s="60">
        <v>4.09</v>
      </c>
      <c r="J61" s="60">
        <v>1.33</v>
      </c>
      <c r="K61" s="60">
        <v>304.33</v>
      </c>
      <c r="L61" s="60">
        <v>25.04</v>
      </c>
      <c r="M61" s="60">
        <v>75.430000000000007</v>
      </c>
      <c r="N61" s="60">
        <v>1283.20</v>
      </c>
      <c r="O61" s="60">
        <v>0</v>
      </c>
      <c r="P61" s="60">
        <v>3.24</v>
      </c>
      <c r="Q61" s="60">
        <v>12.34</v>
      </c>
      <c r="R61" s="198"/>
      <c r="S61" s="198"/>
      <c r="T61" s="198"/>
      <c r="U61" s="198"/>
    </row>
    <row r="62" spans="1:21" s="12" customFormat="1" ht="15">
      <c r="A62" s="201" t="s">
        <v>3087</v>
      </c>
      <c r="B62" s="60">
        <v>2.60</v>
      </c>
      <c r="C62" s="60">
        <v>20.81</v>
      </c>
      <c r="D62" s="60">
        <v>23.41</v>
      </c>
      <c r="E62" s="60">
        <v>6.11</v>
      </c>
      <c r="F62" s="60">
        <v>0.80</v>
      </c>
      <c r="G62" s="60">
        <v>27.19</v>
      </c>
      <c r="H62" s="60">
        <v>11.54</v>
      </c>
      <c r="I62" s="60">
        <v>4.47</v>
      </c>
      <c r="J62" s="60">
        <v>1.57</v>
      </c>
      <c r="K62" s="60">
        <v>322.35000000000002</v>
      </c>
      <c r="L62" s="60">
        <v>24.94</v>
      </c>
      <c r="M62" s="60">
        <v>71.30</v>
      </c>
      <c r="N62" s="60">
        <v>1551.5</v>
      </c>
      <c r="O62" s="60">
        <v>0</v>
      </c>
      <c r="P62" s="60">
        <v>3.19</v>
      </c>
      <c r="Q62" s="60">
        <v>11.53</v>
      </c>
      <c r="R62" s="198"/>
      <c r="S62" s="198"/>
      <c r="T62" s="198"/>
      <c r="U62" s="198"/>
    </row>
    <row r="63" spans="1:21" s="12" customFormat="1" ht="15">
      <c r="A63" s="201" t="s">
        <v>3088</v>
      </c>
      <c r="B63" s="60">
        <v>2.72</v>
      </c>
      <c r="C63" s="60">
        <v>20.78</v>
      </c>
      <c r="D63" s="60">
        <v>23.5</v>
      </c>
      <c r="E63" s="60">
        <v>6.27</v>
      </c>
      <c r="F63" s="60">
        <v>0.81</v>
      </c>
      <c r="G63" s="60">
        <v>27.19</v>
      </c>
      <c r="H63" s="60">
        <v>11.54</v>
      </c>
      <c r="I63" s="60">
        <v>5.86</v>
      </c>
      <c r="J63" s="60">
        <v>0.31</v>
      </c>
      <c r="K63" s="60">
        <v>253.92</v>
      </c>
      <c r="L63" s="60">
        <v>26.64</v>
      </c>
      <c r="M63" s="60">
        <v>68.010000000000005</v>
      </c>
      <c r="N63" s="60">
        <v>1299.20</v>
      </c>
      <c r="O63" s="60">
        <v>0</v>
      </c>
      <c r="P63" s="60">
        <v>3.15</v>
      </c>
      <c r="Q63" s="60">
        <v>10.83</v>
      </c>
      <c r="R63" s="198"/>
      <c r="S63" s="198"/>
      <c r="T63" s="198"/>
      <c r="U63" s="198"/>
    </row>
    <row r="64" spans="1:21" s="12" customFormat="1" ht="15">
      <c r="A64" s="201" t="s">
        <v>3089</v>
      </c>
      <c r="B64" s="60">
        <v>2.37</v>
      </c>
      <c r="C64" s="60">
        <v>20.46</v>
      </c>
      <c r="D64" s="60">
        <v>22.83</v>
      </c>
      <c r="E64" s="60">
        <v>6</v>
      </c>
      <c r="F64" s="60">
        <v>1.04</v>
      </c>
      <c r="G64" s="60">
        <v>27.19</v>
      </c>
      <c r="H64" s="60">
        <v>11.54</v>
      </c>
      <c r="I64" s="60">
        <v>6.09</v>
      </c>
      <c r="J64" s="60">
        <v>1.66</v>
      </c>
      <c r="K64" s="60">
        <v>328.61</v>
      </c>
      <c r="L64" s="60">
        <v>26.91</v>
      </c>
      <c r="M64" s="60">
        <v>70.39</v>
      </c>
      <c r="N64" s="60">
        <v>1227.20</v>
      </c>
      <c r="O64" s="60">
        <v>0</v>
      </c>
      <c r="P64" s="60">
        <v>3.12</v>
      </c>
      <c r="Q64" s="60">
        <v>10</v>
      </c>
      <c r="R64" s="198"/>
      <c r="S64" s="198"/>
      <c r="T64" s="198"/>
      <c r="U64" s="198"/>
    </row>
    <row r="65" spans="1:21" s="12" customFormat="1" ht="15">
      <c r="A65" s="201" t="s">
        <v>3090</v>
      </c>
      <c r="B65" s="60">
        <v>1.95</v>
      </c>
      <c r="C65" s="60">
        <v>20.87</v>
      </c>
      <c r="D65" s="60">
        <v>22.82</v>
      </c>
      <c r="E65" s="60">
        <v>6.78</v>
      </c>
      <c r="F65" s="60">
        <v>1.56</v>
      </c>
      <c r="G65" s="60">
        <v>28.88</v>
      </c>
      <c r="H65" s="60">
        <v>11.10</v>
      </c>
      <c r="I65" s="60">
        <v>5.85</v>
      </c>
      <c r="J65" s="60">
        <v>0.63</v>
      </c>
      <c r="K65" s="60">
        <v>30.46</v>
      </c>
      <c r="L65" s="60">
        <v>25.68</v>
      </c>
      <c r="M65" s="60">
        <v>73.11</v>
      </c>
      <c r="N65" s="60">
        <v>1033.70</v>
      </c>
      <c r="O65" s="60">
        <v>0</v>
      </c>
      <c r="P65" s="60">
        <v>3.08</v>
      </c>
      <c r="Q65" s="60">
        <v>9.34</v>
      </c>
      <c r="R65" s="198"/>
      <c r="S65" s="198"/>
      <c r="T65" s="198"/>
      <c r="U65" s="198"/>
    </row>
    <row r="66" spans="1:21" s="12" customFormat="1" ht="15">
      <c r="A66" s="201" t="s">
        <v>3091</v>
      </c>
      <c r="B66" s="60">
        <v>1.55</v>
      </c>
      <c r="C66" s="60">
        <v>22.25</v>
      </c>
      <c r="D66" s="60">
        <v>23.80</v>
      </c>
      <c r="E66" s="60">
        <v>6.25</v>
      </c>
      <c r="F66" s="60">
        <v>3.57</v>
      </c>
      <c r="G66" s="60">
        <v>33.049999999999997</v>
      </c>
      <c r="H66" s="60">
        <v>10.01</v>
      </c>
      <c r="I66" s="60">
        <v>5.94</v>
      </c>
      <c r="J66" s="60">
        <v>1.34</v>
      </c>
      <c r="K66" s="60">
        <v>333.79</v>
      </c>
      <c r="L66" s="60">
        <v>25.98</v>
      </c>
      <c r="M66" s="60">
        <v>72.599999999999994</v>
      </c>
      <c r="N66" s="60">
        <v>1164.5</v>
      </c>
      <c r="O66" s="60">
        <v>0</v>
      </c>
      <c r="P66" s="60">
        <v>3.02</v>
      </c>
      <c r="Q66" s="60">
        <v>9.0500000000000007</v>
      </c>
      <c r="R66" s="198"/>
      <c r="S66" s="198"/>
      <c r="T66" s="198"/>
      <c r="U66" s="198"/>
    </row>
    <row r="67" spans="1:21" s="12" customFormat="1" ht="15">
      <c r="A67" s="201" t="s">
        <v>3092</v>
      </c>
      <c r="B67" s="60">
        <v>1.1299999999999999</v>
      </c>
      <c r="C67" s="60">
        <v>23.73</v>
      </c>
      <c r="D67" s="60">
        <v>24.87</v>
      </c>
      <c r="E67" s="60">
        <v>5.70</v>
      </c>
      <c r="F67" s="60">
        <v>3.36</v>
      </c>
      <c r="G67" s="219" t="s">
        <v>36</v>
      </c>
      <c r="H67" s="60">
        <v>10.01</v>
      </c>
      <c r="I67" s="60">
        <v>6.51</v>
      </c>
      <c r="J67" s="60">
        <v>1.44</v>
      </c>
      <c r="K67" s="60">
        <v>303.60000000000002</v>
      </c>
      <c r="L67" s="60">
        <v>24.73</v>
      </c>
      <c r="M67" s="60">
        <v>71.34</v>
      </c>
      <c r="N67" s="60">
        <v>923.10</v>
      </c>
      <c r="O67" s="60">
        <v>0</v>
      </c>
      <c r="P67" s="60">
        <v>3</v>
      </c>
      <c r="Q67" s="60">
        <v>8.99</v>
      </c>
      <c r="R67" s="198"/>
      <c r="S67" s="198"/>
      <c r="T67" s="198"/>
      <c r="U67" s="198"/>
    </row>
    <row r="68" spans="1:21" s="12" customFormat="1" ht="15">
      <c r="A68" s="201" t="s">
        <v>3093</v>
      </c>
      <c r="B68" s="60">
        <v>0.75</v>
      </c>
      <c r="C68" s="60">
        <v>23.81</v>
      </c>
      <c r="D68" s="60">
        <v>24.56</v>
      </c>
      <c r="E68" s="60">
        <v>4.8899999999999997</v>
      </c>
      <c r="F68" s="60">
        <v>3.69</v>
      </c>
      <c r="G68" s="219" t="s">
        <v>36</v>
      </c>
      <c r="H68" s="60">
        <v>10.01</v>
      </c>
      <c r="I68" s="60">
        <v>7.65</v>
      </c>
      <c r="J68" s="60">
        <v>2.0699999999999998</v>
      </c>
      <c r="K68" s="60">
        <v>191.46</v>
      </c>
      <c r="L68" s="60">
        <v>23.86</v>
      </c>
      <c r="M68" s="60">
        <v>72.23</v>
      </c>
      <c r="N68" s="60">
        <v>830.20</v>
      </c>
      <c r="O68" s="60">
        <v>0</v>
      </c>
      <c r="P68" s="60">
        <v>3.03</v>
      </c>
      <c r="Q68" s="60">
        <v>9.43</v>
      </c>
      <c r="R68" s="198"/>
      <c r="S68" s="198"/>
      <c r="T68" s="198"/>
      <c r="U68" s="198"/>
    </row>
    <row r="69" spans="1:21" s="12" customFormat="1" ht="15">
      <c r="A69" s="201" t="s">
        <v>3094</v>
      </c>
      <c r="B69" s="60">
        <v>0.44</v>
      </c>
      <c r="C69" s="60">
        <v>20.85</v>
      </c>
      <c r="D69" s="60">
        <v>21.28</v>
      </c>
      <c r="E69" s="60">
        <v>5.13</v>
      </c>
      <c r="F69" s="60">
        <v>4.3600000000000003</v>
      </c>
      <c r="G69" s="219" t="s">
        <v>36</v>
      </c>
      <c r="H69" s="60">
        <v>11.19</v>
      </c>
      <c r="I69" s="60">
        <v>8.57</v>
      </c>
      <c r="J69" s="60">
        <v>1.1499999999999999</v>
      </c>
      <c r="K69" s="60">
        <v>320.02999999999997</v>
      </c>
      <c r="L69" s="60">
        <v>26.38</v>
      </c>
      <c r="M69" s="60">
        <v>72.36</v>
      </c>
      <c r="N69" s="60">
        <v>816.40</v>
      </c>
      <c r="O69" s="60">
        <v>0</v>
      </c>
      <c r="P69" s="60">
        <v>3.13</v>
      </c>
      <c r="Q69" s="60">
        <v>9.98</v>
      </c>
      <c r="R69" s="198"/>
      <c r="S69" s="198"/>
      <c r="T69" s="198"/>
      <c r="U69" s="198"/>
    </row>
    <row r="70" spans="1:21" s="12" customFormat="1" ht="15">
      <c r="A70" s="201" t="s">
        <v>3095</v>
      </c>
      <c r="B70" s="60">
        <v>0.87</v>
      </c>
      <c r="C70" s="60">
        <v>22.84</v>
      </c>
      <c r="D70" s="60">
        <v>23.70</v>
      </c>
      <c r="E70" s="60">
        <v>4.78</v>
      </c>
      <c r="F70" s="60">
        <v>7.12</v>
      </c>
      <c r="G70" s="219" t="s">
        <v>36</v>
      </c>
      <c r="H70" s="60">
        <v>14.11</v>
      </c>
      <c r="I70" s="60">
        <v>8.9499999999999993</v>
      </c>
      <c r="J70" s="60">
        <v>0.59</v>
      </c>
      <c r="K70" s="60">
        <v>340.35</v>
      </c>
      <c r="L70" s="60">
        <v>26.80</v>
      </c>
      <c r="M70" s="60">
        <v>70.900000000000006</v>
      </c>
      <c r="N70" s="60">
        <v>924.10</v>
      </c>
      <c r="O70" s="60">
        <v>0</v>
      </c>
      <c r="P70" s="60">
        <v>3.22</v>
      </c>
      <c r="Q70" s="60">
        <v>11.28</v>
      </c>
      <c r="R70" s="198"/>
      <c r="S70" s="198"/>
      <c r="T70" s="198"/>
      <c r="U70" s="198"/>
    </row>
    <row r="71" spans="1:21" s="12" customFormat="1" ht="15">
      <c r="A71" s="201" t="s">
        <v>3096</v>
      </c>
      <c r="B71" s="60">
        <v>0.76</v>
      </c>
      <c r="C71" s="60">
        <v>25.10</v>
      </c>
      <c r="D71" s="60">
        <v>25.86</v>
      </c>
      <c r="E71" s="60">
        <v>4.63</v>
      </c>
      <c r="F71" s="60">
        <v>6.35</v>
      </c>
      <c r="G71" s="219" t="s">
        <v>36</v>
      </c>
      <c r="H71" s="60">
        <v>14.11</v>
      </c>
      <c r="I71" s="60">
        <v>9.17</v>
      </c>
      <c r="J71" s="60">
        <v>1.94</v>
      </c>
      <c r="K71" s="60">
        <v>316.66000000000003</v>
      </c>
      <c r="L71" s="60">
        <v>26.47</v>
      </c>
      <c r="M71" s="60">
        <v>68.709999999999994</v>
      </c>
      <c r="N71" s="60">
        <v>819.20</v>
      </c>
      <c r="O71" s="60">
        <v>0</v>
      </c>
      <c r="P71" s="60">
        <v>3.24</v>
      </c>
      <c r="Q71" s="60">
        <v>12.65</v>
      </c>
      <c r="R71" s="198"/>
      <c r="S71" s="198"/>
      <c r="T71" s="198"/>
      <c r="U71" s="198"/>
    </row>
    <row r="72" spans="1:21" s="12" customFormat="1" ht="15">
      <c r="A72" s="201" t="s">
        <v>3097</v>
      </c>
      <c r="B72" s="60">
        <v>0.45</v>
      </c>
      <c r="C72" s="60">
        <v>26.5</v>
      </c>
      <c r="D72" s="60">
        <v>26.96</v>
      </c>
      <c r="E72" s="60">
        <v>1.92</v>
      </c>
      <c r="F72" s="60">
        <v>7.59</v>
      </c>
      <c r="G72" s="219" t="s">
        <v>36</v>
      </c>
      <c r="H72" s="60">
        <v>14.11</v>
      </c>
      <c r="I72" s="60">
        <v>9.07</v>
      </c>
      <c r="J72" s="60">
        <v>0.43</v>
      </c>
      <c r="K72" s="60">
        <v>239.15</v>
      </c>
      <c r="L72" s="60">
        <v>27.12</v>
      </c>
      <c r="M72" s="60">
        <v>70.849999999999994</v>
      </c>
      <c r="N72" s="60">
        <v>771.80</v>
      </c>
      <c r="O72" s="60">
        <v>0</v>
      </c>
      <c r="P72" s="60">
        <v>3.21</v>
      </c>
      <c r="Q72" s="60">
        <v>13.61</v>
      </c>
      <c r="R72" s="198"/>
      <c r="S72" s="198"/>
      <c r="T72" s="198"/>
      <c r="U72" s="198"/>
    </row>
    <row r="73" spans="1:21" s="12" customFormat="1" ht="15">
      <c r="A73" s="201" t="s">
        <v>3098</v>
      </c>
      <c r="B73" s="60">
        <v>0.32</v>
      </c>
      <c r="C73" s="60">
        <v>24.43</v>
      </c>
      <c r="D73" s="60">
        <v>24.76</v>
      </c>
      <c r="E73" s="60">
        <v>3.33</v>
      </c>
      <c r="F73" s="60">
        <v>4.93</v>
      </c>
      <c r="G73" s="219" t="s">
        <v>36</v>
      </c>
      <c r="H73" s="60">
        <v>17.45</v>
      </c>
      <c r="I73" s="60">
        <v>8.69</v>
      </c>
      <c r="J73" s="60">
        <v>0.52</v>
      </c>
      <c r="K73" s="60">
        <v>342.16</v>
      </c>
      <c r="L73" s="60">
        <v>27.14</v>
      </c>
      <c r="M73" s="60">
        <v>70.91</v>
      </c>
      <c r="N73" s="60">
        <v>737.80</v>
      </c>
      <c r="O73" s="60">
        <v>0</v>
      </c>
      <c r="P73" s="60">
        <v>3.28</v>
      </c>
      <c r="Q73" s="60">
        <v>14.73</v>
      </c>
      <c r="R73" s="198"/>
      <c r="S73" s="198"/>
      <c r="T73" s="198"/>
      <c r="U73" s="198"/>
    </row>
    <row r="74" spans="1:21" s="12" customFormat="1" ht="15">
      <c r="A74" s="201" t="s">
        <v>3099</v>
      </c>
      <c r="B74" s="60">
        <v>0.65</v>
      </c>
      <c r="C74" s="60">
        <v>22.19</v>
      </c>
      <c r="D74" s="60">
        <v>22.84</v>
      </c>
      <c r="E74" s="60">
        <v>3.52</v>
      </c>
      <c r="F74" s="60">
        <v>4.3499999999999996</v>
      </c>
      <c r="G74" s="219" t="s">
        <v>36</v>
      </c>
      <c r="H74" s="60">
        <v>25.69</v>
      </c>
      <c r="I74" s="60">
        <v>8.14</v>
      </c>
      <c r="J74" s="60">
        <v>2.16</v>
      </c>
      <c r="K74" s="60">
        <v>324.89</v>
      </c>
      <c r="L74" s="60">
        <v>26.65</v>
      </c>
      <c r="M74" s="60">
        <v>68.44</v>
      </c>
      <c r="N74" s="60">
        <v>702.60</v>
      </c>
      <c r="O74" s="60">
        <v>0</v>
      </c>
      <c r="P74" s="60">
        <v>3.32</v>
      </c>
      <c r="Q74" s="60">
        <v>16.36</v>
      </c>
      <c r="R74" s="198"/>
      <c r="S74" s="198"/>
      <c r="T74" s="198"/>
      <c r="U74" s="198"/>
    </row>
    <row r="75" spans="1:21" s="12" customFormat="1" ht="15">
      <c r="A75" s="201" t="s">
        <v>3100</v>
      </c>
      <c r="B75" s="60">
        <v>1.45</v>
      </c>
      <c r="C75" s="60">
        <v>23.90</v>
      </c>
      <c r="D75" s="60">
        <v>25.36</v>
      </c>
      <c r="E75" s="60">
        <v>3.37</v>
      </c>
      <c r="F75" s="60">
        <v>4.96</v>
      </c>
      <c r="G75" s="219" t="s">
        <v>36</v>
      </c>
      <c r="H75" s="60">
        <v>25.69</v>
      </c>
      <c r="I75" s="60">
        <v>8</v>
      </c>
      <c r="J75" s="60">
        <v>1.52</v>
      </c>
      <c r="K75" s="60">
        <v>322.85000000000002</v>
      </c>
      <c r="L75" s="60">
        <v>27.06</v>
      </c>
      <c r="M75" s="60">
        <v>68.489999999999995</v>
      </c>
      <c r="N75" s="60">
        <v>574</v>
      </c>
      <c r="O75" s="60">
        <v>0</v>
      </c>
      <c r="P75" s="60">
        <v>3.30</v>
      </c>
      <c r="Q75" s="60">
        <v>19.34</v>
      </c>
      <c r="R75" s="198"/>
      <c r="S75" s="198"/>
      <c r="T75" s="198"/>
      <c r="U75" s="198"/>
    </row>
    <row r="76" spans="1:21" s="12" customFormat="1" ht="15">
      <c r="A76" s="201" t="s">
        <v>3101</v>
      </c>
      <c r="B76" s="60">
        <v>1.65</v>
      </c>
      <c r="C76" s="60">
        <v>26.90</v>
      </c>
      <c r="D76" s="60">
        <v>28.56</v>
      </c>
      <c r="E76" s="60">
        <v>3.86</v>
      </c>
      <c r="F76" s="60">
        <v>5.35</v>
      </c>
      <c r="G76" s="219" t="s">
        <v>36</v>
      </c>
      <c r="H76" s="60">
        <v>25.69</v>
      </c>
      <c r="I76" s="60">
        <v>7.70</v>
      </c>
      <c r="J76" s="60">
        <v>2.15</v>
      </c>
      <c r="K76" s="60">
        <v>335.35</v>
      </c>
      <c r="L76" s="60">
        <v>29.08</v>
      </c>
      <c r="M76" s="60">
        <v>69.989999999999995</v>
      </c>
      <c r="N76" s="60">
        <v>500.10</v>
      </c>
      <c r="O76" s="60">
        <v>0</v>
      </c>
      <c r="P76" s="60">
        <v>3.23</v>
      </c>
      <c r="Q76" s="60">
        <v>22.85</v>
      </c>
      <c r="R76" s="198"/>
      <c r="S76" s="198"/>
      <c r="T76" s="198"/>
      <c r="U76" s="198"/>
    </row>
    <row r="77" spans="1:21" s="12" customFormat="1" ht="15">
      <c r="A77" s="201" t="s">
        <v>3102</v>
      </c>
      <c r="B77" s="60">
        <v>1.48</v>
      </c>
      <c r="C77" s="60">
        <v>28.22</v>
      </c>
      <c r="D77" s="60">
        <v>29.70</v>
      </c>
      <c r="E77" s="60">
        <v>2.94</v>
      </c>
      <c r="F77" s="60">
        <v>5.0599999999999996</v>
      </c>
      <c r="G77" s="219" t="s">
        <v>36</v>
      </c>
      <c r="H77" s="60">
        <v>23.99</v>
      </c>
      <c r="I77" s="60">
        <v>7.03</v>
      </c>
      <c r="J77" s="60">
        <v>2.3199999999999998</v>
      </c>
      <c r="K77" s="60">
        <v>332.87</v>
      </c>
      <c r="L77" s="60">
        <v>27.88</v>
      </c>
      <c r="M77" s="60">
        <v>70.37</v>
      </c>
      <c r="N77" s="60">
        <v>456.40</v>
      </c>
      <c r="O77" s="60">
        <v>0</v>
      </c>
      <c r="P77" s="60">
        <v>3.25</v>
      </c>
      <c r="Q77" s="60">
        <v>25.44</v>
      </c>
      <c r="R77" s="198"/>
      <c r="S77" s="198"/>
      <c r="T77" s="198"/>
      <c r="U77" s="198"/>
    </row>
    <row r="78" spans="1:21" s="12" customFormat="1" ht="15">
      <c r="A78" s="201" t="s">
        <v>3103</v>
      </c>
      <c r="B78" s="60">
        <v>2.02</v>
      </c>
      <c r="C78" s="60">
        <v>30.77</v>
      </c>
      <c r="D78" s="60">
        <v>32.79</v>
      </c>
      <c r="E78" s="60">
        <v>3.41</v>
      </c>
      <c r="F78" s="60">
        <v>2.4300000000000002</v>
      </c>
      <c r="G78" s="219" t="s">
        <v>36</v>
      </c>
      <c r="H78" s="60">
        <v>19.82</v>
      </c>
      <c r="I78" s="60">
        <v>6.30</v>
      </c>
      <c r="J78" s="60">
        <v>1.36</v>
      </c>
      <c r="K78" s="60">
        <v>9.1300000000000008</v>
      </c>
      <c r="L78" s="60">
        <v>27</v>
      </c>
      <c r="M78" s="60">
        <v>70.08</v>
      </c>
      <c r="N78" s="60">
        <v>415</v>
      </c>
      <c r="O78" s="60">
        <v>0</v>
      </c>
      <c r="P78" s="60">
        <v>3.25</v>
      </c>
      <c r="Q78" s="60">
        <v>25.68</v>
      </c>
      <c r="R78" s="198"/>
      <c r="S78" s="198"/>
      <c r="T78" s="198"/>
      <c r="U78" s="198"/>
    </row>
    <row r="79" spans="1:21" s="12" customFormat="1" ht="15">
      <c r="A79" s="201" t="s">
        <v>3104</v>
      </c>
      <c r="B79" s="60">
        <v>2.0299999999999998</v>
      </c>
      <c r="C79" s="60">
        <v>30.01</v>
      </c>
      <c r="D79" s="60">
        <v>32.049999999999997</v>
      </c>
      <c r="E79" s="60">
        <v>3.45</v>
      </c>
      <c r="F79" s="60">
        <v>1.19</v>
      </c>
      <c r="G79" s="219" t="s">
        <v>36</v>
      </c>
      <c r="H79" s="60">
        <v>19.82</v>
      </c>
      <c r="I79" s="60">
        <v>5.68</v>
      </c>
      <c r="J79" s="60">
        <v>1.73</v>
      </c>
      <c r="K79" s="60">
        <v>321.33</v>
      </c>
      <c r="L79" s="60">
        <v>29.55</v>
      </c>
      <c r="M79" s="60">
        <v>71.62</v>
      </c>
      <c r="N79" s="60">
        <v>399.20</v>
      </c>
      <c r="O79" s="60">
        <v>0</v>
      </c>
      <c r="P79" s="60">
        <v>3.21</v>
      </c>
      <c r="Q79" s="60">
        <v>23.75</v>
      </c>
      <c r="R79" s="198"/>
      <c r="S79" s="198"/>
      <c r="T79" s="198"/>
      <c r="U79" s="198"/>
    </row>
    <row r="80" spans="1:21" s="12" customFormat="1" ht="15">
      <c r="A80" s="201" t="s">
        <v>3105</v>
      </c>
      <c r="B80" s="60">
        <v>2.35</v>
      </c>
      <c r="C80" s="60">
        <v>28.92</v>
      </c>
      <c r="D80" s="60">
        <v>31.27</v>
      </c>
      <c r="E80" s="60">
        <v>4.01</v>
      </c>
      <c r="F80" s="60">
        <v>0.94</v>
      </c>
      <c r="G80" s="219" t="s">
        <v>36</v>
      </c>
      <c r="H80" s="60">
        <v>19.82</v>
      </c>
      <c r="I80" s="60">
        <v>5.18</v>
      </c>
      <c r="J80" s="60">
        <v>2.0699999999999998</v>
      </c>
      <c r="K80" s="60">
        <v>317.18</v>
      </c>
      <c r="L80" s="60">
        <v>28.01</v>
      </c>
      <c r="M80" s="60">
        <v>71.59</v>
      </c>
      <c r="N80" s="60">
        <v>347.90</v>
      </c>
      <c r="O80" s="60">
        <v>0</v>
      </c>
      <c r="P80" s="60">
        <v>3.21</v>
      </c>
      <c r="Q80" s="60">
        <v>24.02</v>
      </c>
      <c r="R80" s="198"/>
      <c r="S80" s="198"/>
      <c r="T80" s="198"/>
      <c r="U80" s="198"/>
    </row>
    <row r="81" spans="1:21" s="12" customFormat="1" ht="15">
      <c r="A81" s="201" t="s">
        <v>3106</v>
      </c>
      <c r="B81" s="60">
        <v>2.77</v>
      </c>
      <c r="C81" s="60">
        <v>27.39</v>
      </c>
      <c r="D81" s="60">
        <v>30.15</v>
      </c>
      <c r="E81" s="60">
        <v>4.26</v>
      </c>
      <c r="F81" s="60">
        <v>0.79</v>
      </c>
      <c r="G81" s="219" t="s">
        <v>36</v>
      </c>
      <c r="H81" s="60">
        <v>19.28</v>
      </c>
      <c r="I81" s="60">
        <v>5.45</v>
      </c>
      <c r="J81" s="60">
        <v>1.24</v>
      </c>
      <c r="K81" s="60">
        <v>333.08</v>
      </c>
      <c r="L81" s="60">
        <v>30.24</v>
      </c>
      <c r="M81" s="60">
        <v>71.41</v>
      </c>
      <c r="N81" s="60">
        <v>273.60000000000002</v>
      </c>
      <c r="O81" s="60">
        <v>0</v>
      </c>
      <c r="P81" s="60">
        <v>3.20</v>
      </c>
      <c r="Q81" s="60">
        <v>25.47</v>
      </c>
      <c r="R81" s="198"/>
      <c r="S81" s="198"/>
      <c r="T81" s="198"/>
      <c r="U81" s="198"/>
    </row>
    <row r="82" spans="1:21" s="12" customFormat="1" ht="15">
      <c r="A82" s="201" t="s">
        <v>3107</v>
      </c>
      <c r="B82" s="60">
        <v>3.66</v>
      </c>
      <c r="C82" s="60">
        <v>26.69</v>
      </c>
      <c r="D82" s="60">
        <v>30.35</v>
      </c>
      <c r="E82" s="60">
        <v>4.32</v>
      </c>
      <c r="F82" s="60">
        <v>0.56000000000000005</v>
      </c>
      <c r="G82" s="219" t="s">
        <v>36</v>
      </c>
      <c r="H82" s="60">
        <v>17.93</v>
      </c>
      <c r="I82" s="60">
        <v>5.76</v>
      </c>
      <c r="J82" s="60">
        <v>2.17</v>
      </c>
      <c r="K82" s="60">
        <v>331.84</v>
      </c>
      <c r="L82" s="60">
        <v>29.77</v>
      </c>
      <c r="M82" s="60">
        <v>73.20</v>
      </c>
      <c r="N82" s="60">
        <v>241.60</v>
      </c>
      <c r="O82" s="60">
        <v>0</v>
      </c>
      <c r="P82" s="60">
        <v>3.28</v>
      </c>
      <c r="Q82" s="60">
        <v>27.13</v>
      </c>
      <c r="R82" s="198"/>
      <c r="S82" s="198"/>
      <c r="T82" s="198"/>
      <c r="U82" s="198"/>
    </row>
    <row r="83" spans="1:21" s="12" customFormat="1" ht="15">
      <c r="A83" s="201" t="s">
        <v>3108</v>
      </c>
      <c r="B83" s="60">
        <v>5.92</v>
      </c>
      <c r="C83" s="60">
        <v>26.55</v>
      </c>
      <c r="D83" s="60">
        <v>32.47</v>
      </c>
      <c r="E83" s="60">
        <v>4.74</v>
      </c>
      <c r="F83" s="60">
        <v>0.97</v>
      </c>
      <c r="G83" s="219" t="s">
        <v>36</v>
      </c>
      <c r="H83" s="60">
        <v>17.93</v>
      </c>
      <c r="I83" s="60">
        <v>5.95</v>
      </c>
      <c r="J83" s="60">
        <v>1.25</v>
      </c>
      <c r="K83" s="60">
        <v>324.33</v>
      </c>
      <c r="L83" s="60">
        <v>29.02</v>
      </c>
      <c r="M83" s="60">
        <v>74.260000000000005</v>
      </c>
      <c r="N83" s="60">
        <v>251.30</v>
      </c>
      <c r="O83" s="60">
        <v>0</v>
      </c>
      <c r="P83" s="60">
        <v>3.30</v>
      </c>
      <c r="Q83" s="60">
        <v>28.85</v>
      </c>
      <c r="R83" s="198"/>
      <c r="S83" s="198"/>
      <c r="T83" s="198"/>
      <c r="U83" s="198"/>
    </row>
    <row r="84" spans="1:21" s="12" customFormat="1" ht="15">
      <c r="A84" s="201" t="s">
        <v>3109</v>
      </c>
      <c r="B84" s="60">
        <v>9.6199999999999992</v>
      </c>
      <c r="C84" s="60">
        <v>26.81</v>
      </c>
      <c r="D84" s="60">
        <v>36.43</v>
      </c>
      <c r="E84" s="60">
        <v>5.49</v>
      </c>
      <c r="F84" s="60">
        <v>0.59</v>
      </c>
      <c r="G84" s="219" t="s">
        <v>36</v>
      </c>
      <c r="H84" s="60">
        <v>17.93</v>
      </c>
      <c r="I84" s="60">
        <v>6.97</v>
      </c>
      <c r="J84" s="60">
        <v>2.0499999999999998</v>
      </c>
      <c r="K84" s="60">
        <v>224.36</v>
      </c>
      <c r="L84" s="60">
        <v>29.83</v>
      </c>
      <c r="M84" s="60">
        <v>74.19</v>
      </c>
      <c r="N84" s="60">
        <v>245.40</v>
      </c>
      <c r="O84" s="60">
        <v>0</v>
      </c>
      <c r="P84" s="60">
        <v>3.18</v>
      </c>
      <c r="Q84" s="60">
        <v>30.80</v>
      </c>
      <c r="R84" s="198"/>
      <c r="S84" s="198"/>
      <c r="T84" s="198"/>
      <c r="U84" s="198"/>
    </row>
    <row r="85" spans="1:21" s="12" customFormat="1" ht="15">
      <c r="A85" s="201" t="s">
        <v>3110</v>
      </c>
      <c r="B85" s="60">
        <v>9.67</v>
      </c>
      <c r="C85" s="60">
        <v>26.16</v>
      </c>
      <c r="D85" s="60">
        <v>35.840000000000003</v>
      </c>
      <c r="E85" s="60">
        <v>5.36</v>
      </c>
      <c r="F85" s="60">
        <v>0.45</v>
      </c>
      <c r="G85" s="219" t="s">
        <v>36</v>
      </c>
      <c r="H85" s="60">
        <v>20.20</v>
      </c>
      <c r="I85" s="60">
        <v>6.92</v>
      </c>
      <c r="J85" s="60">
        <v>2.29</v>
      </c>
      <c r="K85" s="60">
        <v>179.98</v>
      </c>
      <c r="L85" s="60">
        <v>25.16</v>
      </c>
      <c r="M85" s="60">
        <v>75.989999999999995</v>
      </c>
      <c r="N85" s="60">
        <v>235.60</v>
      </c>
      <c r="O85" s="60">
        <v>0</v>
      </c>
      <c r="P85" s="60">
        <v>3.22</v>
      </c>
      <c r="Q85" s="60">
        <v>31.15</v>
      </c>
      <c r="R85" s="198"/>
      <c r="S85" s="198"/>
      <c r="T85" s="198"/>
      <c r="U85" s="198"/>
    </row>
    <row r="86" spans="1:21" s="12" customFormat="1" ht="15">
      <c r="A86" s="201" t="s">
        <v>3111</v>
      </c>
      <c r="B86" s="60">
        <v>8.3699999999999992</v>
      </c>
      <c r="C86" s="60">
        <v>26.09</v>
      </c>
      <c r="D86" s="60">
        <v>34.46</v>
      </c>
      <c r="E86" s="60">
        <v>5.75</v>
      </c>
      <c r="F86" s="60">
        <v>0.93</v>
      </c>
      <c r="G86" s="219" t="s">
        <v>36</v>
      </c>
      <c r="H86" s="60">
        <v>25.79</v>
      </c>
      <c r="I86" s="60">
        <v>5.47</v>
      </c>
      <c r="J86" s="60">
        <v>2.97</v>
      </c>
      <c r="K86" s="60">
        <v>208.83</v>
      </c>
      <c r="L86" s="60">
        <v>26.82</v>
      </c>
      <c r="M86" s="60">
        <v>76.819999999999993</v>
      </c>
      <c r="N86" s="60">
        <v>239.20</v>
      </c>
      <c r="O86" s="60">
        <v>0</v>
      </c>
      <c r="P86" s="60">
        <v>3.28</v>
      </c>
      <c r="Q86" s="60">
        <v>33.130000000000003</v>
      </c>
      <c r="R86" s="198"/>
      <c r="S86" s="198"/>
      <c r="T86" s="198"/>
      <c r="U86" s="198"/>
    </row>
    <row r="87" spans="1:21" s="12" customFormat="1" ht="15">
      <c r="A87" s="201" t="s">
        <v>3112</v>
      </c>
      <c r="B87" s="60">
        <v>7.15</v>
      </c>
      <c r="C87" s="60">
        <v>26.39</v>
      </c>
      <c r="D87" s="60">
        <v>33.54</v>
      </c>
      <c r="E87" s="60">
        <v>6.30</v>
      </c>
      <c r="F87" s="60">
        <v>1.20</v>
      </c>
      <c r="G87" s="219" t="s">
        <v>36</v>
      </c>
      <c r="H87" s="60">
        <v>25.79</v>
      </c>
      <c r="I87" s="60">
        <v>6.63</v>
      </c>
      <c r="J87" s="60">
        <v>2.25</v>
      </c>
      <c r="K87" s="60">
        <v>214.24</v>
      </c>
      <c r="L87" s="60">
        <v>27.87</v>
      </c>
      <c r="M87" s="60">
        <v>78.27</v>
      </c>
      <c r="N87" s="60">
        <v>244.70</v>
      </c>
      <c r="O87" s="60">
        <v>0</v>
      </c>
      <c r="P87" s="60">
        <v>3.40</v>
      </c>
      <c r="Q87" s="60">
        <v>38.33</v>
      </c>
      <c r="R87" s="198"/>
      <c r="S87" s="198"/>
      <c r="T87" s="198"/>
      <c r="U87" s="198"/>
    </row>
    <row r="88" spans="1:21" s="12" customFormat="1" ht="15">
      <c r="A88" s="201" t="s">
        <v>3113</v>
      </c>
      <c r="B88" s="60">
        <v>5.93</v>
      </c>
      <c r="C88" s="60">
        <v>26.11</v>
      </c>
      <c r="D88" s="60">
        <v>32.04</v>
      </c>
      <c r="E88" s="60">
        <v>2.99</v>
      </c>
      <c r="F88" s="60">
        <v>1.60</v>
      </c>
      <c r="G88" s="219" t="s">
        <v>36</v>
      </c>
      <c r="H88" s="60">
        <v>25.79</v>
      </c>
      <c r="I88" s="60">
        <v>7.28</v>
      </c>
      <c r="J88" s="60">
        <v>1.94</v>
      </c>
      <c r="K88" s="60">
        <v>200.04</v>
      </c>
      <c r="L88" s="60">
        <v>28.17</v>
      </c>
      <c r="M88" s="60">
        <v>79.150000000000006</v>
      </c>
      <c r="N88" s="60">
        <v>250.60</v>
      </c>
      <c r="O88" s="60">
        <v>0</v>
      </c>
      <c r="P88" s="60">
        <v>3.48</v>
      </c>
      <c r="Q88" s="60">
        <v>39.409999999999997</v>
      </c>
      <c r="R88" s="198"/>
      <c r="S88" s="198"/>
      <c r="T88" s="198"/>
      <c r="U88" s="198"/>
    </row>
    <row r="89" spans="1:21" s="12" customFormat="1" ht="15">
      <c r="A89" s="201" t="s">
        <v>3114</v>
      </c>
      <c r="B89" s="60">
        <v>4.6500000000000004</v>
      </c>
      <c r="C89" s="60">
        <v>25.31</v>
      </c>
      <c r="D89" s="60">
        <v>29.97</v>
      </c>
      <c r="E89" s="60">
        <v>5.09</v>
      </c>
      <c r="F89" s="60">
        <v>1.41</v>
      </c>
      <c r="G89" s="219" t="s">
        <v>36</v>
      </c>
      <c r="H89" s="60">
        <v>27.25</v>
      </c>
      <c r="I89" s="60">
        <v>7.57</v>
      </c>
      <c r="J89" s="60">
        <v>1.52</v>
      </c>
      <c r="K89" s="60">
        <v>223.79</v>
      </c>
      <c r="L89" s="60">
        <v>29.11</v>
      </c>
      <c r="M89" s="60">
        <v>78.069999999999993</v>
      </c>
      <c r="N89" s="60">
        <v>258.60000000000002</v>
      </c>
      <c r="O89" s="60">
        <v>0</v>
      </c>
      <c r="P89" s="60">
        <v>3.55</v>
      </c>
      <c r="Q89" s="60">
        <v>36.770000000000003</v>
      </c>
      <c r="R89" s="198"/>
      <c r="S89" s="198"/>
      <c r="T89" s="198"/>
      <c r="U89" s="198"/>
    </row>
    <row r="90" spans="1:21" s="12" customFormat="1" ht="15">
      <c r="A90" s="201" t="s">
        <v>3115</v>
      </c>
      <c r="B90" s="60">
        <v>3.41</v>
      </c>
      <c r="C90" s="60">
        <v>24.11</v>
      </c>
      <c r="D90" s="60">
        <v>27.52</v>
      </c>
      <c r="E90" s="60">
        <v>5.28</v>
      </c>
      <c r="F90" s="60">
        <v>1.52</v>
      </c>
      <c r="G90" s="219" t="s">
        <v>36</v>
      </c>
      <c r="H90" s="60">
        <v>30.83</v>
      </c>
      <c r="I90" s="60">
        <v>7.79</v>
      </c>
      <c r="J90" s="60">
        <v>1.24</v>
      </c>
      <c r="K90" s="60">
        <v>254.88</v>
      </c>
      <c r="L90" s="60">
        <v>26.17</v>
      </c>
      <c r="M90" s="60">
        <v>78.98</v>
      </c>
      <c r="N90" s="60">
        <v>294.70</v>
      </c>
      <c r="O90" s="60">
        <v>0</v>
      </c>
      <c r="P90" s="60">
        <v>3.56</v>
      </c>
      <c r="Q90" s="60">
        <v>33.19</v>
      </c>
      <c r="R90" s="198"/>
      <c r="S90" s="198"/>
      <c r="T90" s="198"/>
      <c r="U90" s="198"/>
    </row>
    <row r="91" spans="1:21" s="12" customFormat="1" ht="15">
      <c r="A91" s="201" t="s">
        <v>3116</v>
      </c>
      <c r="B91" s="60">
        <v>2.4500000000000002</v>
      </c>
      <c r="C91" s="60">
        <v>23.01</v>
      </c>
      <c r="D91" s="60">
        <v>25.46</v>
      </c>
      <c r="E91" s="60">
        <v>5.54</v>
      </c>
      <c r="F91" s="60">
        <v>1.5</v>
      </c>
      <c r="G91" s="219" t="s">
        <v>36</v>
      </c>
      <c r="H91" s="60">
        <v>30.83</v>
      </c>
      <c r="I91" s="60">
        <v>7.70</v>
      </c>
      <c r="J91" s="60">
        <v>0.40</v>
      </c>
      <c r="K91" s="60">
        <v>199.55</v>
      </c>
      <c r="L91" s="60">
        <v>27.53</v>
      </c>
      <c r="M91" s="60">
        <v>80.37</v>
      </c>
      <c r="N91" s="60">
        <v>286.39999999999998</v>
      </c>
      <c r="O91" s="60">
        <v>0</v>
      </c>
      <c r="P91" s="60">
        <v>3.59</v>
      </c>
      <c r="Q91" s="60">
        <v>30.56</v>
      </c>
      <c r="R91" s="198"/>
      <c r="S91" s="198"/>
      <c r="T91" s="198"/>
      <c r="U91" s="198"/>
    </row>
    <row r="92" spans="1:21" s="12" customFormat="1" ht="15">
      <c r="A92" s="201" t="s">
        <v>3117</v>
      </c>
      <c r="B92" s="60">
        <v>3.08</v>
      </c>
      <c r="C92" s="60">
        <v>23.80</v>
      </c>
      <c r="D92" s="60">
        <v>26.88</v>
      </c>
      <c r="E92" s="60">
        <v>5</v>
      </c>
      <c r="F92" s="60">
        <v>1.45</v>
      </c>
      <c r="G92" s="219" t="s">
        <v>36</v>
      </c>
      <c r="H92" s="60">
        <v>30.83</v>
      </c>
      <c r="I92" s="60">
        <v>7.33</v>
      </c>
      <c r="J92" s="60">
        <v>1.5</v>
      </c>
      <c r="K92" s="60">
        <v>193.87</v>
      </c>
      <c r="L92" s="60">
        <v>24.72</v>
      </c>
      <c r="M92" s="60">
        <v>80.430000000000007</v>
      </c>
      <c r="N92" s="60">
        <v>279.10000000000002</v>
      </c>
      <c r="O92" s="60">
        <v>0</v>
      </c>
      <c r="P92" s="60">
        <v>3.59</v>
      </c>
      <c r="Q92" s="60">
        <v>28.91</v>
      </c>
      <c r="R92" s="198"/>
      <c r="S92" s="198"/>
      <c r="T92" s="198"/>
      <c r="U92" s="198"/>
    </row>
    <row r="93" spans="1:21" s="12" customFormat="1" ht="15">
      <c r="A93" s="201" t="s">
        <v>3118</v>
      </c>
      <c r="B93" s="60">
        <v>2.84</v>
      </c>
      <c r="C93" s="60">
        <v>22.93</v>
      </c>
      <c r="D93" s="60">
        <v>25.77</v>
      </c>
      <c r="E93" s="60">
        <v>5.28</v>
      </c>
      <c r="F93" s="60">
        <v>1.47</v>
      </c>
      <c r="G93" s="219" t="s">
        <v>36</v>
      </c>
      <c r="H93" s="60">
        <v>27.71</v>
      </c>
      <c r="I93" s="60">
        <v>7.05</v>
      </c>
      <c r="J93" s="60">
        <v>2.76</v>
      </c>
      <c r="K93" s="60">
        <v>189.05</v>
      </c>
      <c r="L93" s="60">
        <v>22.95</v>
      </c>
      <c r="M93" s="60">
        <v>80.86</v>
      </c>
      <c r="N93" s="60">
        <v>263.5</v>
      </c>
      <c r="O93" s="60">
        <v>0</v>
      </c>
      <c r="P93" s="60">
        <v>3.58</v>
      </c>
      <c r="Q93" s="60">
        <v>28.08</v>
      </c>
      <c r="R93" s="198"/>
      <c r="S93" s="198"/>
      <c r="T93" s="198"/>
      <c r="U93" s="198"/>
    </row>
    <row r="94" spans="1:21" s="12" customFormat="1" ht="15">
      <c r="A94" s="201" t="s">
        <v>3119</v>
      </c>
      <c r="B94" s="60">
        <v>2.0499999999999998</v>
      </c>
      <c r="C94" s="60">
        <v>21.20</v>
      </c>
      <c r="D94" s="60">
        <v>23.26</v>
      </c>
      <c r="E94" s="60">
        <v>5.45</v>
      </c>
      <c r="F94" s="60">
        <v>1.76</v>
      </c>
      <c r="G94" s="219" t="s">
        <v>36</v>
      </c>
      <c r="H94" s="60">
        <v>20.04</v>
      </c>
      <c r="I94" s="60">
        <v>6.84</v>
      </c>
      <c r="J94" s="60">
        <v>2.0099999999999998</v>
      </c>
      <c r="K94" s="60">
        <v>216.33</v>
      </c>
      <c r="L94" s="60">
        <v>24.07</v>
      </c>
      <c r="M94" s="60">
        <v>78.67</v>
      </c>
      <c r="N94" s="60">
        <v>273.30</v>
      </c>
      <c r="O94" s="60">
        <v>0</v>
      </c>
      <c r="P94" s="60">
        <v>3.59</v>
      </c>
      <c r="Q94" s="60">
        <v>27.78</v>
      </c>
      <c r="R94" s="198"/>
      <c r="S94" s="198"/>
      <c r="T94" s="198"/>
      <c r="U94" s="198"/>
    </row>
    <row r="95" spans="1:21" s="12" customFormat="1" ht="15">
      <c r="A95" s="201" t="s">
        <v>3120</v>
      </c>
      <c r="B95" s="60">
        <v>1.44</v>
      </c>
      <c r="C95" s="60">
        <v>20.66</v>
      </c>
      <c r="D95" s="60">
        <v>22.10</v>
      </c>
      <c r="E95" s="60">
        <v>5.23</v>
      </c>
      <c r="F95" s="60">
        <v>1.90</v>
      </c>
      <c r="G95" s="219" t="s">
        <v>36</v>
      </c>
      <c r="H95" s="60">
        <v>20.04</v>
      </c>
      <c r="I95" s="60">
        <v>6.53</v>
      </c>
      <c r="J95" s="60">
        <v>2.12</v>
      </c>
      <c r="K95" s="60">
        <v>212.03</v>
      </c>
      <c r="L95" s="60">
        <v>22.78</v>
      </c>
      <c r="M95" s="60">
        <v>80.37</v>
      </c>
      <c r="N95" s="60">
        <v>269.10000000000002</v>
      </c>
      <c r="O95" s="60">
        <v>0</v>
      </c>
      <c r="P95" s="60">
        <v>3.57</v>
      </c>
      <c r="Q95" s="60">
        <v>27.37</v>
      </c>
      <c r="R95" s="198"/>
      <c r="S95" s="198"/>
      <c r="T95" s="198"/>
      <c r="U95" s="198"/>
    </row>
    <row r="96" spans="1:26" s="12" customFormat="1" ht="15">
      <c r="A96" s="201" t="s">
        <v>3121</v>
      </c>
      <c r="B96" s="60">
        <v>1.17</v>
      </c>
      <c r="C96" s="60">
        <v>22.42</v>
      </c>
      <c r="D96" s="60">
        <v>23.59</v>
      </c>
      <c r="E96" s="60">
        <v>5.38</v>
      </c>
      <c r="F96" s="60">
        <v>1.66</v>
      </c>
      <c r="G96" s="219" t="s">
        <v>36</v>
      </c>
      <c r="H96" s="60">
        <v>20.04</v>
      </c>
      <c r="I96" s="60">
        <v>6.26</v>
      </c>
      <c r="J96" s="60">
        <v>0.5</v>
      </c>
      <c r="K96" s="60">
        <v>27.13</v>
      </c>
      <c r="L96" s="60">
        <v>21.22</v>
      </c>
      <c r="M96" s="60">
        <v>82.99</v>
      </c>
      <c r="N96" s="60">
        <v>277.10000000000002</v>
      </c>
      <c r="O96" s="60">
        <v>0</v>
      </c>
      <c r="P96" s="60">
        <v>3.47</v>
      </c>
      <c r="Q96" s="60">
        <v>25.5</v>
      </c>
      <c r="R96" s="198"/>
      <c r="S96" s="198"/>
      <c r="T96" s="198"/>
      <c r="U96" s="198"/>
      <c r="Z96" s="109"/>
    </row>
    <row r="97" spans="1:21" s="12" customFormat="1" ht="15">
      <c r="A97" s="201" t="s">
        <v>3122</v>
      </c>
      <c r="B97" s="60">
        <v>1.36</v>
      </c>
      <c r="C97" s="60">
        <v>22.06</v>
      </c>
      <c r="D97" s="60">
        <v>23.42</v>
      </c>
      <c r="E97" s="60">
        <v>5.79</v>
      </c>
      <c r="F97" s="60">
        <v>0.95</v>
      </c>
      <c r="G97" s="219" t="s">
        <v>36</v>
      </c>
      <c r="H97" s="60">
        <v>19.54</v>
      </c>
      <c r="I97" s="60">
        <v>5.76</v>
      </c>
      <c r="J97" s="60">
        <v>1.87</v>
      </c>
      <c r="K97" s="60">
        <v>208.92</v>
      </c>
      <c r="L97" s="60">
        <v>22.86</v>
      </c>
      <c r="M97" s="60">
        <v>84.46</v>
      </c>
      <c r="N97" s="60">
        <v>287.20</v>
      </c>
      <c r="O97" s="60">
        <v>0</v>
      </c>
      <c r="P97" s="60">
        <v>3.41</v>
      </c>
      <c r="Q97" s="60">
        <v>22.89</v>
      </c>
      <c r="R97" s="198"/>
      <c r="S97" s="198"/>
      <c r="T97" s="198"/>
      <c r="U97" s="198"/>
    </row>
    <row r="98" spans="1:21" s="12" customFormat="1" ht="15">
      <c r="A98" s="201" t="s">
        <v>3123</v>
      </c>
      <c r="B98" s="60">
        <v>1.51</v>
      </c>
      <c r="C98" s="60">
        <v>20.94</v>
      </c>
      <c r="D98" s="60">
        <v>22.45</v>
      </c>
      <c r="E98" s="60">
        <v>5.82</v>
      </c>
      <c r="F98" s="60">
        <v>0.95</v>
      </c>
      <c r="G98" s="219" t="s">
        <v>36</v>
      </c>
      <c r="H98" s="60">
        <v>18.30</v>
      </c>
      <c r="I98" s="60">
        <v>5.42</v>
      </c>
      <c r="J98" s="60">
        <v>1.83</v>
      </c>
      <c r="K98" s="60">
        <v>208.30</v>
      </c>
      <c r="L98" s="60">
        <v>24.51</v>
      </c>
      <c r="M98" s="60">
        <v>85.38</v>
      </c>
      <c r="N98" s="60">
        <v>263.30</v>
      </c>
      <c r="O98" s="60">
        <v>0</v>
      </c>
      <c r="P98" s="60">
        <v>3.34</v>
      </c>
      <c r="Q98" s="60">
        <v>21.09</v>
      </c>
      <c r="R98" s="198"/>
      <c r="S98" s="198"/>
      <c r="T98" s="198"/>
      <c r="U98" s="198"/>
    </row>
    <row r="99" spans="1:21" s="12" customFormat="1" ht="15">
      <c r="A99" s="201" t="s">
        <v>3124</v>
      </c>
      <c r="B99" s="60">
        <v>1.58</v>
      </c>
      <c r="C99" s="60">
        <v>19.68</v>
      </c>
      <c r="D99" s="60">
        <v>21.26</v>
      </c>
      <c r="E99" s="60">
        <v>5.90</v>
      </c>
      <c r="F99" s="60">
        <v>1.06</v>
      </c>
      <c r="G99" s="219" t="s">
        <v>36</v>
      </c>
      <c r="H99" s="60">
        <v>18.30</v>
      </c>
      <c r="I99" s="60">
        <v>5.89</v>
      </c>
      <c r="J99" s="60">
        <v>2</v>
      </c>
      <c r="K99" s="60">
        <v>209.05</v>
      </c>
      <c r="L99" s="60">
        <v>24.43</v>
      </c>
      <c r="M99" s="60">
        <v>85.47</v>
      </c>
      <c r="N99" s="60">
        <v>260.60000000000002</v>
      </c>
      <c r="O99" s="60">
        <v>0</v>
      </c>
      <c r="P99" s="60">
        <v>3.30</v>
      </c>
      <c r="Q99" s="60">
        <v>20.11</v>
      </c>
      <c r="R99" s="198"/>
      <c r="S99" s="198"/>
      <c r="T99" s="198"/>
      <c r="U99" s="198"/>
    </row>
    <row r="100" spans="1:33" s="12" customFormat="1" ht="15">
      <c r="A100" s="201" t="s">
        <v>3125</v>
      </c>
      <c r="B100" s="60">
        <v>1.64</v>
      </c>
      <c r="C100" s="60">
        <v>18.54</v>
      </c>
      <c r="D100" s="60">
        <v>20.18</v>
      </c>
      <c r="E100" s="60">
        <v>6.23</v>
      </c>
      <c r="F100" s="60">
        <v>0.76</v>
      </c>
      <c r="G100" s="219" t="s">
        <v>36</v>
      </c>
      <c r="H100" s="60">
        <v>18.30</v>
      </c>
      <c r="I100" s="60">
        <v>5.51</v>
      </c>
      <c r="J100" s="60">
        <v>1.70</v>
      </c>
      <c r="K100" s="60">
        <v>207.30</v>
      </c>
      <c r="L100" s="60">
        <v>24.81</v>
      </c>
      <c r="M100" s="60">
        <v>83.65</v>
      </c>
      <c r="N100" s="60">
        <v>252.5</v>
      </c>
      <c r="O100" s="60">
        <v>0</v>
      </c>
      <c r="P100" s="60">
        <v>3.25</v>
      </c>
      <c r="Q100" s="60">
        <v>19.760000000000002</v>
      </c>
      <c r="R100" s="198"/>
      <c r="S100" s="198"/>
      <c r="T100" s="198"/>
      <c r="U100" s="198"/>
      <c r="AB100" s="110"/>
      <c r="AG100" s="109"/>
    </row>
    <row r="101" spans="1:21" s="12" customFormat="1" ht="15">
      <c r="A101" s="201" t="s">
        <v>3126</v>
      </c>
      <c r="B101" s="60">
        <v>1.58</v>
      </c>
      <c r="C101" s="60">
        <v>17.670000000000002</v>
      </c>
      <c r="D101" s="60">
        <v>19.25</v>
      </c>
      <c r="E101" s="60">
        <v>6.60</v>
      </c>
      <c r="F101" s="60">
        <v>0.77</v>
      </c>
      <c r="G101" s="219" t="s">
        <v>36</v>
      </c>
      <c r="H101" s="60">
        <v>17.579999999999998</v>
      </c>
      <c r="I101" s="60">
        <v>4.97</v>
      </c>
      <c r="J101" s="60">
        <v>1.63</v>
      </c>
      <c r="K101" s="60">
        <v>246.69</v>
      </c>
      <c r="L101" s="60">
        <v>25.98</v>
      </c>
      <c r="M101" s="60">
        <v>82.72</v>
      </c>
      <c r="N101" s="60">
        <v>251.20</v>
      </c>
      <c r="O101" s="60">
        <v>0</v>
      </c>
      <c r="P101" s="60">
        <v>3.18</v>
      </c>
      <c r="Q101" s="60">
        <v>19.71</v>
      </c>
      <c r="R101" s="198"/>
      <c r="S101" s="198"/>
      <c r="T101" s="198"/>
      <c r="U101" s="198"/>
    </row>
    <row r="102" spans="1:21" s="12" customFormat="1" ht="15">
      <c r="A102" s="201" t="s">
        <v>3127</v>
      </c>
      <c r="B102" s="60">
        <v>1.53</v>
      </c>
      <c r="C102" s="60">
        <v>17.170000000000002</v>
      </c>
      <c r="D102" s="60">
        <v>18.690000000000001</v>
      </c>
      <c r="E102" s="60">
        <v>6.98</v>
      </c>
      <c r="F102" s="60">
        <v>0.75</v>
      </c>
      <c r="G102" s="219" t="s">
        <v>36</v>
      </c>
      <c r="H102" s="60">
        <v>15.83</v>
      </c>
      <c r="I102" s="60">
        <v>4.8099999999999996</v>
      </c>
      <c r="J102" s="60">
        <v>0.86</v>
      </c>
      <c r="K102" s="60">
        <v>210.22</v>
      </c>
      <c r="L102" s="60">
        <v>24.59</v>
      </c>
      <c r="M102" s="60">
        <v>82.52</v>
      </c>
      <c r="N102" s="60">
        <v>251.60</v>
      </c>
      <c r="O102" s="60">
        <v>0</v>
      </c>
      <c r="P102" s="60">
        <v>3.13</v>
      </c>
      <c r="Q102" s="60">
        <v>19.760000000000002</v>
      </c>
      <c r="R102" s="198"/>
      <c r="S102" s="198"/>
      <c r="T102" s="198"/>
      <c r="U102" s="198"/>
    </row>
    <row r="103" spans="1:21" s="12" customFormat="1" ht="15">
      <c r="A103" s="201" t="s">
        <v>3128</v>
      </c>
      <c r="B103" s="60">
        <v>1.55</v>
      </c>
      <c r="C103" s="60">
        <v>17.66</v>
      </c>
      <c r="D103" s="60">
        <v>19.22</v>
      </c>
      <c r="E103" s="60">
        <v>6.82</v>
      </c>
      <c r="F103" s="60">
        <v>0.56999999999999995</v>
      </c>
      <c r="G103" s="219" t="s">
        <v>36</v>
      </c>
      <c r="H103" s="60">
        <v>15.83</v>
      </c>
      <c r="I103" s="60">
        <v>4.72</v>
      </c>
      <c r="J103" s="60">
        <v>0.16</v>
      </c>
      <c r="K103" s="60">
        <v>110.34</v>
      </c>
      <c r="L103" s="60">
        <v>24.90</v>
      </c>
      <c r="M103" s="60">
        <v>83.64</v>
      </c>
      <c r="N103" s="60">
        <v>262.89999999999998</v>
      </c>
      <c r="O103" s="60">
        <v>0</v>
      </c>
      <c r="P103" s="60">
        <v>3.11</v>
      </c>
      <c r="Q103" s="60">
        <v>20.149999999999999</v>
      </c>
      <c r="R103" s="198"/>
      <c r="S103" s="198"/>
      <c r="T103" s="198"/>
      <c r="U103" s="198"/>
    </row>
    <row r="104" spans="1:21" s="12" customFormat="1" ht="15">
      <c r="A104" s="201" t="s">
        <v>3129</v>
      </c>
      <c r="B104" s="60">
        <v>1.55</v>
      </c>
      <c r="C104" s="60">
        <v>17.149999999999999</v>
      </c>
      <c r="D104" s="60">
        <v>18.70</v>
      </c>
      <c r="E104" s="60">
        <v>2.56</v>
      </c>
      <c r="F104" s="60">
        <v>1.18</v>
      </c>
      <c r="G104" s="219" t="s">
        <v>36</v>
      </c>
      <c r="H104" s="60">
        <v>15.83</v>
      </c>
      <c r="I104" s="60">
        <v>5.01</v>
      </c>
      <c r="J104" s="60">
        <v>2.38</v>
      </c>
      <c r="K104" s="60">
        <v>177.27</v>
      </c>
      <c r="L104" s="60">
        <v>24.87</v>
      </c>
      <c r="M104" s="60">
        <v>84.27</v>
      </c>
      <c r="N104" s="60">
        <v>267.30</v>
      </c>
      <c r="O104" s="60">
        <v>0</v>
      </c>
      <c r="P104" s="60">
        <v>3.15</v>
      </c>
      <c r="Q104" s="60">
        <v>23.10</v>
      </c>
      <c r="R104" s="198"/>
      <c r="S104" s="198"/>
      <c r="T104" s="198"/>
      <c r="U104" s="198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1" ht="15">
      <c r="A106" s="65" t="s">
        <v>59</v>
      </c>
      <c r="B106" s="67">
        <f>MIN(B9:B104)</f>
        <v>0.32000000000000001</v>
      </c>
      <c r="C106" s="67">
        <f>MIN(C9:C104)</f>
        <v>3.27</v>
      </c>
      <c r="D106" s="67">
        <f t="shared" si="0" ref="D106:Q106">MIN(D9:D104)</f>
        <v>10.76</v>
      </c>
      <c r="E106" s="67">
        <f t="shared" si="0"/>
        <v>1.9199999999999999</v>
      </c>
      <c r="F106" s="67">
        <f t="shared" si="0"/>
        <v>0.32000000000000001</v>
      </c>
      <c r="G106" s="67">
        <f t="shared" si="0"/>
        <v>6.5099999999999998</v>
      </c>
      <c r="H106" s="67">
        <f t="shared" si="0"/>
        <v>3.2200000000000002</v>
      </c>
      <c r="I106" s="67">
        <f t="shared" si="0"/>
        <v>3.6200000000000001</v>
      </c>
      <c r="J106" s="67">
        <f t="shared" si="0"/>
        <v>0.16</v>
      </c>
      <c r="K106" s="67">
        <f t="shared" si="0"/>
        <v>0.85999999999999999</v>
      </c>
      <c r="L106" s="67">
        <f t="shared" si="0"/>
        <v>17.129999999999999</v>
      </c>
      <c r="M106" s="67">
        <f t="shared" si="0"/>
        <v>68.010000000000005</v>
      </c>
      <c r="N106" s="67">
        <f t="shared" si="0"/>
        <v>235.59999999999999</v>
      </c>
      <c r="O106" s="67">
        <f t="shared" si="0"/>
        <v>0</v>
      </c>
      <c r="P106" s="67">
        <f t="shared" si="0"/>
        <v>2.7200000000000002</v>
      </c>
      <c r="Q106" s="67">
        <f t="shared" si="0"/>
        <v>6.9800000000000004</v>
      </c>
      <c r="R106" s="199"/>
      <c r="S106" s="199"/>
      <c r="T106" s="199"/>
      <c r="U106" s="199"/>
    </row>
    <row r="107" spans="1:21" ht="15">
      <c r="A107" s="65" t="s">
        <v>60</v>
      </c>
      <c r="B107" s="66">
        <f>MAX(B9:B104)</f>
        <v>21.890000000000001</v>
      </c>
      <c r="C107" s="66">
        <f t="shared" si="1" ref="C107:Q107">MAX(C9:C104)</f>
        <v>30.77</v>
      </c>
      <c r="D107" s="66">
        <f t="shared" si="1"/>
        <v>36.43</v>
      </c>
      <c r="E107" s="66">
        <f t="shared" si="1"/>
        <v>8.8499999999999996</v>
      </c>
      <c r="F107" s="66">
        <f t="shared" si="1"/>
        <v>7.5899999999999999</v>
      </c>
      <c r="G107" s="66">
        <f t="shared" si="1"/>
        <v>33.049999999999997</v>
      </c>
      <c r="H107" s="66">
        <f t="shared" si="1"/>
        <v>30.829999999999998</v>
      </c>
      <c r="I107" s="66">
        <f t="shared" si="1"/>
        <v>9.2599999999999998</v>
      </c>
      <c r="J107" s="66">
        <f t="shared" si="1"/>
        <v>6.0599999999999996</v>
      </c>
      <c r="K107" s="66">
        <f t="shared" si="1"/>
        <v>358.31</v>
      </c>
      <c r="L107" s="66">
        <f t="shared" si="1"/>
        <v>30.239999999999998</v>
      </c>
      <c r="M107" s="66">
        <f t="shared" si="1"/>
        <v>99.400000000000006</v>
      </c>
      <c r="N107" s="66">
        <f t="shared" si="1"/>
        <v>1551.5</v>
      </c>
      <c r="O107" s="66">
        <f t="shared" si="1"/>
        <v>0.40000000000000002</v>
      </c>
      <c r="P107" s="66">
        <f t="shared" si="1"/>
        <v>3.5899999999999999</v>
      </c>
      <c r="Q107" s="66">
        <f t="shared" si="1"/>
        <v>39.409999999999997</v>
      </c>
      <c r="R107" s="200"/>
      <c r="S107" s="200"/>
      <c r="T107" s="200"/>
      <c r="U107" s="200"/>
    </row>
    <row r="108" spans="1:21" ht="15">
      <c r="A108" s="65" t="s">
        <v>61</v>
      </c>
      <c r="B108" s="67">
        <f>AVERAGE(B9:B104)</f>
        <v>2.3646875000000005</v>
      </c>
      <c r="C108" s="67">
        <f t="shared" si="2" ref="C108:Q108">AVERAGE(C9:C104)</f>
        <v>18.159479166666674</v>
      </c>
      <c r="D108" s="67">
        <f t="shared" si="2"/>
        <v>20.509166666666662</v>
      </c>
      <c r="E108" s="67">
        <f t="shared" si="2"/>
        <v>5.7790624999999984</v>
      </c>
      <c r="F108" s="67">
        <f t="shared" si="2"/>
        <v>1.6340624999999991</v>
      </c>
      <c r="G108" s="67">
        <f t="shared" si="2"/>
        <v>13.316086956521746</v>
      </c>
      <c r="H108" s="67">
        <f t="shared" si="2"/>
        <v>12.996428571428567</v>
      </c>
      <c r="I108" s="67">
        <f t="shared" si="2"/>
        <v>5.6441666666666643</v>
      </c>
      <c r="J108" s="67">
        <f t="shared" si="2"/>
        <v>1.9731250000000002</v>
      </c>
      <c r="K108" s="67">
        <f t="shared" si="2"/>
        <v>222.26718750000009</v>
      </c>
      <c r="L108" s="67">
        <f t="shared" si="2"/>
        <v>23.408645833333335</v>
      </c>
      <c r="M108" s="67">
        <f t="shared" si="2"/>
        <v>85.119166666666658</v>
      </c>
      <c r="N108" s="67">
        <f t="shared" si="2"/>
        <v>592.22083333333308</v>
      </c>
      <c r="O108" s="67">
        <f t="shared" si="2"/>
        <v>0.010416666666666666</v>
      </c>
      <c r="P108" s="67">
        <f t="shared" si="2"/>
        <v>3.0883333333333343</v>
      </c>
      <c r="Q108" s="67">
        <f t="shared" si="2"/>
        <v>15.599270833333334</v>
      </c>
      <c r="R108" s="199"/>
      <c r="S108" s="199"/>
      <c r="T108" s="199"/>
      <c r="U108" s="199"/>
    </row>
    <row r="109" spans="1:21" ht="15">
      <c r="A109" s="65" t="s">
        <v>77</v>
      </c>
      <c r="B109" s="67">
        <f>STDEV(B9:B104)</f>
        <v>2.6983242180150078</v>
      </c>
      <c r="C109" s="67">
        <f t="shared" si="3" ref="C109:Q109">STDEV(C9:C104)</f>
        <v>6.0210302265505051</v>
      </c>
      <c r="D109" s="67">
        <f t="shared" si="3"/>
        <v>6.6593771902035854</v>
      </c>
      <c r="E109" s="67">
        <f t="shared" si="3"/>
        <v>1.4855883669619407</v>
      </c>
      <c r="F109" s="67">
        <f t="shared" si="3"/>
        <v>1.4480372037420364</v>
      </c>
      <c r="G109" s="67">
        <f t="shared" si="3"/>
        <v>6.4188526071464187</v>
      </c>
      <c r="H109" s="67">
        <f t="shared" si="3"/>
        <v>7.7799301020270715</v>
      </c>
      <c r="I109" s="67">
        <f t="shared" si="3"/>
        <v>1.5627375889540296</v>
      </c>
      <c r="J109" s="67">
        <f t="shared" si="3"/>
        <v>1.0944542619858288</v>
      </c>
      <c r="K109" s="67">
        <f t="shared" si="3"/>
        <v>82.754735627930231</v>
      </c>
      <c r="L109" s="67">
        <f t="shared" si="3"/>
        <v>3.2856029230542525</v>
      </c>
      <c r="M109" s="67">
        <f t="shared" si="3"/>
        <v>10.311019926749488</v>
      </c>
      <c r="N109" s="67">
        <f t="shared" si="3"/>
        <v>312.804906381183</v>
      </c>
      <c r="O109" s="67">
        <f t="shared" si="3"/>
        <v>0.053270247777212509</v>
      </c>
      <c r="P109" s="67">
        <f t="shared" si="3"/>
        <v>0.23716601632241838</v>
      </c>
      <c r="Q109" s="67">
        <f t="shared" si="3"/>
        <v>8.3106022639177723</v>
      </c>
      <c r="R109" s="199"/>
      <c r="S109" s="199"/>
      <c r="T109" s="199"/>
      <c r="U109" s="199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COUNT(G9:G104)+38</f>
        <v>84</v>
      </c>
      <c r="H110" s="66">
        <f>COUNT(H9:H104)</f>
        <v>84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7" t="s">
        <v>3130</v>
      </c>
      <c r="C115" s="227"/>
      <c r="D115" s="227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b729e2-7660-4f67-852d-828f37b93dee}">
  <sheetPr codeName=""/>
  <dimension ref="A1:U54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B1" sqref="B1"/>
    </sheetView>
  </sheetViews>
  <sheetFormatPr defaultColWidth="8.85881696428571" defaultRowHeight="15"/>
  <cols>
    <col min="1" max="1" width="15.8571428571429" style="96" customWidth="1"/>
    <col min="2" max="2" width="16.7142857142857" style="12" customWidth="1"/>
    <col min="3" max="3" width="9.85714285714286" style="12" customWidth="1"/>
    <col min="4" max="4" width="10.2857142857143" style="12" customWidth="1"/>
    <col min="5" max="5" width="10.5714285714286" style="12" customWidth="1"/>
    <col min="6" max="6" width="8.85714285714286" style="12"/>
    <col min="7" max="7" width="10.7142857142857" style="12" customWidth="1"/>
    <col min="8" max="8" width="12.2857142857143" style="12" customWidth="1"/>
    <col min="9" max="9" width="10.4285714285714" style="12" customWidth="1"/>
    <col min="10" max="10" width="8.85714285714286" style="12"/>
    <col min="11" max="11" width="9.57142857142857" style="12" customWidth="1"/>
    <col min="12" max="12" width="10.4285714285714" style="12" customWidth="1"/>
    <col min="13" max="13" width="10" style="12" customWidth="1"/>
    <col min="14" max="16" width="8.85714285714286" style="12"/>
    <col min="17" max="17" width="9.71428571428571" style="12" customWidth="1"/>
    <col min="18" max="19" width="8.85714285714286" style="12"/>
    <col min="20" max="20" width="10.2857142857143" style="12" customWidth="1"/>
    <col min="21" max="16384" width="8.85714285714286" style="12"/>
  </cols>
  <sheetData>
    <row r="1" spans="1:21" s="54" customFormat="1" ht="26.25">
      <c r="A1" s="94" t="s">
        <v>30</v>
      </c>
      <c r="B1" s="57" t="s">
        <v>225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ht="15">
      <c r="A2" s="94" t="s">
        <v>0</v>
      </c>
      <c r="B2" s="108" t="str">
        <f>$A$9</f>
        <v>01-06-2022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ht="1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ht="1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ht="1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ht="1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ht="15">
      <c r="A7" s="95" t="s">
        <v>50</v>
      </c>
      <c r="B7" s="198" t="s">
        <v>226</v>
      </c>
      <c r="C7" s="198" t="s">
        <v>227</v>
      </c>
      <c r="D7" s="198" t="s">
        <v>228</v>
      </c>
      <c r="E7" s="198" t="s">
        <v>229</v>
      </c>
      <c r="F7" s="198" t="s">
        <v>230</v>
      </c>
      <c r="G7" s="198" t="s">
        <v>231</v>
      </c>
      <c r="H7" s="198" t="s">
        <v>232</v>
      </c>
      <c r="I7" s="198" t="s">
        <v>233</v>
      </c>
      <c r="J7" s="198" t="s">
        <v>234</v>
      </c>
      <c r="K7" s="198" t="s">
        <v>235</v>
      </c>
      <c r="L7" s="198" t="s">
        <v>236</v>
      </c>
      <c r="M7" s="198" t="s">
        <v>237</v>
      </c>
      <c r="N7" s="198" t="s">
        <v>238</v>
      </c>
      <c r="O7" s="198" t="s">
        <v>239</v>
      </c>
      <c r="P7" s="198" t="s">
        <v>240</v>
      </c>
      <c r="Q7" s="198" t="s">
        <v>241</v>
      </c>
      <c r="R7" s="196"/>
      <c r="S7" s="197"/>
      <c r="T7" s="196"/>
      <c r="U7" s="196"/>
    </row>
    <row r="8" spans="1:21" s="54" customFormat="1" ht="15">
      <c r="A8" s="9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ht="15">
      <c r="A9" s="94" t="str">
        <f>'01'!$B$2</f>
        <v>01-06-2022 00:15</v>
      </c>
      <c r="B9" s="61">
        <f>'01'!B108</f>
        <v>30.328854166666662</v>
      </c>
      <c r="C9" s="61">
        <f>'01'!C108</f>
        <v>45.017499999999991</v>
      </c>
      <c r="D9" s="61">
        <f>'01'!D108</f>
        <v>75.34604166666665</v>
      </c>
      <c r="E9" s="61">
        <f>'01'!E108</f>
        <v>6.4377083333333331</v>
      </c>
      <c r="F9" s="61">
        <f>'01'!F108</f>
        <v>4.668404255319146</v>
      </c>
      <c r="G9" s="99">
        <f>'01'!$G$108</f>
        <v>158.33921348314604</v>
      </c>
      <c r="H9" s="61">
        <f>'01'!H108</f>
        <v>53.576500000000024</v>
      </c>
      <c r="I9" s="61">
        <f>'01'!I108</f>
        <v>8.6844791666666676</v>
      </c>
      <c r="J9" s="61">
        <f>'01'!J108</f>
        <v>2.534479166666666</v>
      </c>
      <c r="K9" s="61">
        <f>'01'!K108</f>
        <v>187.94718750000007</v>
      </c>
      <c r="L9" s="61">
        <f>'01'!L108</f>
        <v>44.917604166666678</v>
      </c>
      <c r="M9" s="61">
        <f>'01'!M108</f>
        <v>32.341666666666676</v>
      </c>
      <c r="N9" s="61">
        <f>'01'!N108</f>
        <v>412.24767441860462</v>
      </c>
      <c r="O9" s="61">
        <f>'01'!O108</f>
        <v>0</v>
      </c>
      <c r="P9" s="202">
        <f>'01'!P108</f>
        <v>2.158958333333334</v>
      </c>
      <c r="Q9" s="61">
        <f>'01'!Q108</f>
        <v>91.71374999999999</v>
      </c>
      <c r="R9" s="118"/>
      <c r="S9" s="118"/>
      <c r="T9" s="118"/>
      <c r="U9" s="118"/>
    </row>
    <row r="10" spans="1:21" ht="15">
      <c r="A10" s="94" t="str">
        <f>'02'!$B$2</f>
        <v>02-06-2022 00:15</v>
      </c>
      <c r="B10" s="61">
        <f>'02'!B108</f>
        <v>55.937083333333334</v>
      </c>
      <c r="C10" s="61">
        <f>'02'!C108</f>
        <v>50.609583333333347</v>
      </c>
      <c r="D10" s="61">
        <f>'02'!D108</f>
        <v>106.54739583333334</v>
      </c>
      <c r="E10" s="61">
        <f>'02'!E108</f>
        <v>7.026979166666667</v>
      </c>
      <c r="F10" s="61">
        <f>'02'!F108</f>
        <v>3.5493150684931511</v>
      </c>
      <c r="G10" s="61">
        <f>'02'!G108</f>
        <v>210.83156249999993</v>
      </c>
      <c r="H10" s="61">
        <f>'02'!H108</f>
        <v>49.207083333333337</v>
      </c>
      <c r="I10" s="61">
        <f>'02'!I108</f>
        <v>12.056875000000005</v>
      </c>
      <c r="J10" s="61">
        <f>'02'!J108</f>
        <v>1.2811458333333332</v>
      </c>
      <c r="K10" s="61">
        <f>'02'!K108</f>
        <v>233.25937499999998</v>
      </c>
      <c r="L10" s="61">
        <f>'02'!L108</f>
        <v>47.532395833333339</v>
      </c>
      <c r="M10" s="61">
        <f>'02'!M108</f>
        <v>31.650625000000002</v>
      </c>
      <c r="N10" s="61">
        <f>'02'!N108</f>
        <v>401.4343750000001</v>
      </c>
      <c r="O10" s="61">
        <f>'02'!O108</f>
        <v>0</v>
      </c>
      <c r="P10" s="202">
        <f>'02'!P108</f>
        <v>2.5402083333333327</v>
      </c>
      <c r="Q10" s="61">
        <f>'02'!Q108</f>
        <v>98.491354166666667</v>
      </c>
      <c r="R10" s="118"/>
      <c r="S10" s="118"/>
      <c r="T10" s="118"/>
      <c r="U10" s="118"/>
    </row>
    <row r="11" spans="1:21" ht="15">
      <c r="A11" s="94" t="str">
        <f>'03'!$B$2</f>
        <v>03-06-2022 00:15</v>
      </c>
      <c r="B11" s="61">
        <f>'03'!B108</f>
        <v>35.883229166666688</v>
      </c>
      <c r="C11" s="61">
        <f>'03'!C108</f>
        <v>57.554166666666667</v>
      </c>
      <c r="D11" s="61">
        <f>'03'!D108</f>
        <v>93.437395833333355</v>
      </c>
      <c r="E11" s="61">
        <f>'03'!E108</f>
        <v>7.0467708333333343</v>
      </c>
      <c r="F11" s="61">
        <f>'03'!F108</f>
        <v>4.5223611111111097</v>
      </c>
      <c r="G11" s="61">
        <f>'03'!G108</f>
        <v>272.88791666666663</v>
      </c>
      <c r="H11" s="61">
        <f>'03'!H108</f>
        <v>68.972291666666649</v>
      </c>
      <c r="I11" s="61">
        <f>'03'!I108</f>
        <v>13.481904761904767</v>
      </c>
      <c r="J11" s="61">
        <f>'03'!J108</f>
        <v>1.5694791666666668</v>
      </c>
      <c r="K11" s="61">
        <f>'03'!K108</f>
        <v>185.44927083333332</v>
      </c>
      <c r="L11" s="61">
        <f>'03'!L108</f>
        <v>46.164687500000007</v>
      </c>
      <c r="M11" s="61">
        <f>'03'!M108</f>
        <v>29.778958333333325</v>
      </c>
      <c r="N11" s="61">
        <f>'03'!N108</f>
        <v>332.36145833333325</v>
      </c>
      <c r="O11" s="61">
        <f>'03'!O108</f>
        <v>0</v>
      </c>
      <c r="P11" s="202">
        <f>'03'!P108</f>
        <v>2.7332291666666664</v>
      </c>
      <c r="Q11" s="61">
        <f>'03'!Q108</f>
        <v>83.302604166666697</v>
      </c>
      <c r="R11" s="118"/>
      <c r="S11" s="118"/>
      <c r="T11" s="118"/>
      <c r="U11" s="118"/>
    </row>
    <row r="12" spans="1:21" ht="15">
      <c r="A12" s="94" t="str">
        <f>'04'!$B$2</f>
        <v>04-06-2022 00:15</v>
      </c>
      <c r="B12" s="61">
        <f>'04'!B108</f>
        <v>8.6202083333333359</v>
      </c>
      <c r="C12" s="61">
        <f>'04'!C108</f>
        <v>49.225625000000008</v>
      </c>
      <c r="D12" s="61">
        <f>'04'!D108</f>
        <v>57.845208333333325</v>
      </c>
      <c r="E12" s="61">
        <f>'04'!E108</f>
        <v>5.7368750000000013</v>
      </c>
      <c r="F12" s="61">
        <f>'04'!F108</f>
        <v>3.10695652173913</v>
      </c>
      <c r="G12" s="61">
        <f>'04'!G108</f>
        <v>150.90382022471906</v>
      </c>
      <c r="H12" s="61">
        <f>'04'!H108</f>
        <v>44.066853932584245</v>
      </c>
      <c r="I12" s="61">
        <f>'04'!I108</f>
        <v>7.349058823529413</v>
      </c>
      <c r="J12" s="61">
        <f>'04'!J108</f>
        <v>2.0654166666666662</v>
      </c>
      <c r="K12" s="61">
        <f>'04'!K108</f>
        <v>280.61874999999998</v>
      </c>
      <c r="L12" s="61">
        <f>'04'!L108</f>
        <v>46.228020833333318</v>
      </c>
      <c r="M12" s="61">
        <f>'04'!M108</f>
        <v>26.957812500000006</v>
      </c>
      <c r="N12" s="61">
        <f>'04'!N108</f>
        <v>382.77395833333327</v>
      </c>
      <c r="O12" s="61">
        <f>'04'!O108</f>
        <v>0</v>
      </c>
      <c r="P12" s="202">
        <f>'04'!P108</f>
        <v>1.9715625000000017</v>
      </c>
      <c r="Q12" s="61">
        <f>'04'!Q108</f>
        <v>95.139791666666653</v>
      </c>
      <c r="R12" s="118"/>
      <c r="S12" s="118"/>
      <c r="T12" s="118"/>
      <c r="U12" s="118"/>
    </row>
    <row r="13" spans="1:21" ht="15">
      <c r="A13" s="94" t="str">
        <f>'05'!$B$2</f>
        <v>04-06-2022 00:60</v>
      </c>
      <c r="B13" s="61">
        <f>'05'!B108</f>
        <v>8.2037878061038008</v>
      </c>
      <c r="C13" s="61">
        <f>'05'!C108</f>
        <v>46.397322094298239</v>
      </c>
      <c r="D13" s="61">
        <f>'05'!D108</f>
        <v>54.601330363669582</v>
      </c>
      <c r="E13" s="61">
        <f>'05'!E108</f>
        <v>6.6768867187500005</v>
      </c>
      <c r="F13" s="61">
        <f>'05'!F108</f>
        <v>2.4840746345029237</v>
      </c>
      <c r="G13" s="61">
        <f>'05'!G108</f>
        <v>154.75021479806287</v>
      </c>
      <c r="H13" s="61">
        <f>'05'!H108</f>
        <v>42.416650196454704</v>
      </c>
      <c r="I13" s="61">
        <f>'05'!I108</f>
        <v>9.0037258267795917</v>
      </c>
      <c r="J13" s="61">
        <f>'05'!J108</f>
        <v>2.2613665250365513</v>
      </c>
      <c r="K13" s="61">
        <f>'05'!K108</f>
        <v>243.73150185032895</v>
      </c>
      <c r="L13" s="61">
        <f>'05'!L108</f>
        <v>47.885208310489766</v>
      </c>
      <c r="M13" s="61">
        <f>'05'!M108</f>
        <v>28.993062568530707</v>
      </c>
      <c r="N13" s="61">
        <f>'05'!N108</f>
        <v>413.95016561586249</v>
      </c>
      <c r="O13" s="61">
        <f>'05'!O108</f>
        <v>0</v>
      </c>
      <c r="P13" s="202">
        <f>'05'!P108</f>
        <v>2.242969298245614</v>
      </c>
      <c r="Q13" s="61">
        <f>'05'!Q108</f>
        <v>79.095621596308476</v>
      </c>
      <c r="R13" s="118"/>
      <c r="S13" s="118"/>
      <c r="T13" s="118"/>
      <c r="U13" s="118"/>
    </row>
    <row r="14" spans="1:21" ht="15">
      <c r="A14" s="94" t="str">
        <f>'06'!$B$2</f>
        <v>06-06-2022 00:15</v>
      </c>
      <c r="B14" s="61">
        <f>'06'!B108</f>
        <v>0.95999999999999952</v>
      </c>
      <c r="C14" s="61">
        <f>'06'!C108</f>
        <v>29.57114583333335</v>
      </c>
      <c r="D14" s="61">
        <f>'06'!D108</f>
        <v>30.530520833333341</v>
      </c>
      <c r="E14" s="61">
        <f>'06'!E108</f>
        <v>5.9338541666666664</v>
      </c>
      <c r="F14" s="61">
        <f>'06'!F108</f>
        <v>3.8315624999999991</v>
      </c>
      <c r="G14" s="61">
        <f>'06'!G108</f>
        <v>116.03666666666669</v>
      </c>
      <c r="H14" s="61">
        <f>'06'!H108</f>
        <v>40.847395833333309</v>
      </c>
      <c r="I14" s="61">
        <f>'06'!I108</f>
        <v>5.3436144578313236</v>
      </c>
      <c r="J14" s="61">
        <f>'06'!J108</f>
        <v>1.8915625</v>
      </c>
      <c r="K14" s="61">
        <f>'06'!K108</f>
        <v>188.03166666666661</v>
      </c>
      <c r="L14" s="61">
        <f>'06'!L108</f>
        <v>39.362187500000019</v>
      </c>
      <c r="M14" s="61">
        <f>'06'!M108</f>
        <v>34.217187500000001</v>
      </c>
      <c r="N14" s="61">
        <f>'06'!N108</f>
        <v>369.52187499999997</v>
      </c>
      <c r="O14" s="61">
        <f>'06'!O108</f>
        <v>0</v>
      </c>
      <c r="P14" s="202">
        <f>'06'!P108</f>
        <v>1.7592708333333336</v>
      </c>
      <c r="Q14" s="61">
        <f>'06'!Q108</f>
        <v>68.604583333333338</v>
      </c>
      <c r="R14" s="118"/>
      <c r="S14" s="118"/>
      <c r="T14" s="118"/>
      <c r="U14" s="118"/>
    </row>
    <row r="15" spans="1:21" ht="15">
      <c r="A15" s="94" t="str">
        <f>'07'!$B$2</f>
        <v>07-06-2022 00:15</v>
      </c>
      <c r="B15" s="61">
        <f>'07'!B108</f>
        <v>29.448541666666671</v>
      </c>
      <c r="C15" s="61">
        <f>'07'!C108</f>
        <v>40.08927083333333</v>
      </c>
      <c r="D15" s="61">
        <f>'07'!D108</f>
        <v>69.537187500000002</v>
      </c>
      <c r="E15" s="61">
        <f>'07'!E108</f>
        <v>6.0516666666666667</v>
      </c>
      <c r="F15" s="61">
        <f>'07'!F108</f>
        <v>2.3060416666666668</v>
      </c>
      <c r="G15" s="100">
        <f>'07'!$G$108</f>
        <v>146.70552083333328</v>
      </c>
      <c r="H15" s="61">
        <f>'07'!H108</f>
        <v>41.748958333333327</v>
      </c>
      <c r="I15" s="61">
        <f>'07'!I108</f>
        <v>8.4037500000000005</v>
      </c>
      <c r="J15" s="61">
        <f>'07'!J108</f>
        <v>1.4355208333333336</v>
      </c>
      <c r="K15" s="61">
        <f>'07'!K108</f>
        <v>216.12020833333338</v>
      </c>
      <c r="L15" s="61">
        <f>'07'!L108</f>
        <v>43.791979166666664</v>
      </c>
      <c r="M15" s="61">
        <f>'07'!M108</f>
        <v>35.84947916666664</v>
      </c>
      <c r="N15" s="61">
        <f>'07'!N108</f>
        <v>437.43124999999981</v>
      </c>
      <c r="O15" s="61">
        <f>'07'!O108</f>
        <v>0</v>
      </c>
      <c r="P15" s="202">
        <f>'07'!P108</f>
        <v>2.3790625000000003</v>
      </c>
      <c r="Q15" s="61">
        <f>'07'!Q108</f>
        <v>96.119895833333331</v>
      </c>
      <c r="R15" s="118"/>
      <c r="S15" s="118"/>
      <c r="T15" s="118"/>
      <c r="U15" s="118"/>
    </row>
    <row r="16" spans="1:21" ht="15">
      <c r="A16" s="94" t="str">
        <f>'08'!$B$2</f>
        <v>08-06-2022 00:15</v>
      </c>
      <c r="B16" s="61">
        <f>'08'!B108</f>
        <v>51.084999999999987</v>
      </c>
      <c r="C16" s="61">
        <f>'08'!C108</f>
        <v>47.186770833333334</v>
      </c>
      <c r="D16" s="61">
        <f>'08'!D108</f>
        <v>98.271458333333314</v>
      </c>
      <c r="E16" s="61">
        <f>'08'!E108</f>
        <v>6.618125</v>
      </c>
      <c r="F16" s="61">
        <f>'08'!F108</f>
        <v>1.6572916666666659</v>
      </c>
      <c r="G16" s="100">
        <f>'08'!$G$108</f>
        <v>191.97602272727269</v>
      </c>
      <c r="H16" s="61">
        <f>'08'!H108</f>
        <v>53.517752808988746</v>
      </c>
      <c r="I16" s="61">
        <f>'08'!I108</f>
        <v>11.373125</v>
      </c>
      <c r="J16" s="61">
        <f>'08'!J108</f>
        <v>1.7425000000000006</v>
      </c>
      <c r="K16" s="61">
        <f>'08'!K108</f>
        <v>223.20874999999998</v>
      </c>
      <c r="L16" s="61">
        <f>'08'!L108</f>
        <v>48.306979166666672</v>
      </c>
      <c r="M16" s="61">
        <f>'08'!M108</f>
        <v>28.164687499999996</v>
      </c>
      <c r="N16" s="61">
        <f>'08'!N108</f>
        <v>312.47083333333347</v>
      </c>
      <c r="O16" s="61">
        <f>'08'!O108</f>
        <v>0</v>
      </c>
      <c r="P16" s="202">
        <f>'08'!P108</f>
        <v>2.9249999999999989</v>
      </c>
      <c r="Q16" s="61">
        <f>'08'!Q108</f>
        <v>123.79583333333335</v>
      </c>
      <c r="R16" s="118"/>
      <c r="S16" s="118"/>
      <c r="T16" s="118"/>
      <c r="U16" s="118"/>
    </row>
    <row r="17" spans="1:21" ht="15">
      <c r="A17" s="94" t="str">
        <f>'09'!$B$2</f>
        <v>09-06-2022 00:15</v>
      </c>
      <c r="B17" s="61">
        <f>'09'!B108</f>
        <v>22.297083333333333</v>
      </c>
      <c r="C17" s="61">
        <f>'09'!C108</f>
        <v>44.100104166666675</v>
      </c>
      <c r="D17" s="61">
        <f>'09'!D108</f>
        <v>66.397499999999994</v>
      </c>
      <c r="E17" s="61">
        <f>'09'!E108</f>
        <v>5.9170833333333315</v>
      </c>
      <c r="F17" s="61">
        <f>'09'!F108</f>
        <v>2.0355789473684212</v>
      </c>
      <c r="G17" s="100">
        <f>'09'!$G$108</f>
        <v>129.66739583333333</v>
      </c>
      <c r="H17" s="61">
        <f>'09'!H108</f>
        <v>43.055104166666688</v>
      </c>
      <c r="I17" s="61">
        <f>'09'!I108</f>
        <v>9.8393750000000022</v>
      </c>
      <c r="J17" s="61">
        <f>'09'!J108</f>
        <v>1.2656249999999996</v>
      </c>
      <c r="K17" s="61">
        <f>'09'!K108</f>
        <v>265.16250000000008</v>
      </c>
      <c r="L17" s="61">
        <f>'09'!L108</f>
        <v>47.020833333333336</v>
      </c>
      <c r="M17" s="61">
        <f>'09'!M108</f>
        <v>26.572291666666672</v>
      </c>
      <c r="N17" s="61">
        <f>'09'!N108</f>
        <v>340.78850574712652</v>
      </c>
      <c r="O17" s="61">
        <f>'09'!O108</f>
        <v>0</v>
      </c>
      <c r="P17" s="202">
        <f>'09'!P108</f>
        <v>2.5232291666666664</v>
      </c>
      <c r="Q17" s="61">
        <f>'09'!Q108</f>
        <v>100.28604166666669</v>
      </c>
      <c r="R17" s="118"/>
      <c r="S17" s="118"/>
      <c r="T17" s="118"/>
      <c r="U17" s="118"/>
    </row>
    <row r="18" spans="1:21" ht="15">
      <c r="A18" s="94" t="str">
        <f>'10'!$B$2</f>
        <v>10-06-2022 00:15</v>
      </c>
      <c r="B18" s="61">
        <f>'10'!B108</f>
        <v>3.0102083333333329</v>
      </c>
      <c r="C18" s="61">
        <f>'10'!C108</f>
        <v>38.732083333333328</v>
      </c>
      <c r="D18" s="61">
        <f>'10'!D108</f>
        <v>41.742291666666667</v>
      </c>
      <c r="E18" s="61">
        <f>'10'!E108</f>
        <v>4.6878125000000024</v>
      </c>
      <c r="F18" s="61">
        <f>'10'!F108</f>
        <v>2.4570833333333337</v>
      </c>
      <c r="G18" s="101">
        <f>'10'!$G$108</f>
        <v>89.702173913043467</v>
      </c>
      <c r="H18" s="61">
        <f>'10'!H108</f>
        <v>30.987528089887643</v>
      </c>
      <c r="I18" s="61">
        <f>'10'!I108</f>
        <v>5.4742708333333328</v>
      </c>
      <c r="J18" s="61">
        <f>'10'!J108</f>
        <v>1.197395833333333</v>
      </c>
      <c r="K18" s="61">
        <f>'10'!K108</f>
        <v>260.37906250000003</v>
      </c>
      <c r="L18" s="61">
        <f>'10'!L108</f>
        <v>48.609479166666667</v>
      </c>
      <c r="M18" s="61">
        <f>'10'!M108</f>
        <v>32.377708333333331</v>
      </c>
      <c r="N18" s="61">
        <f>'10'!N108</f>
        <v>271.43333333333322</v>
      </c>
      <c r="O18" s="61">
        <f>'10'!O108</f>
        <v>0</v>
      </c>
      <c r="P18" s="202">
        <f>'10'!P108</f>
        <v>2.0740625000000001</v>
      </c>
      <c r="Q18" s="61">
        <f>'10'!Q108</f>
        <v>106.64510416666666</v>
      </c>
      <c r="R18" s="118"/>
      <c r="S18" s="118"/>
      <c r="T18" s="118"/>
      <c r="U18" s="118"/>
    </row>
    <row r="19" spans="1:21" ht="15">
      <c r="A19" s="94" t="str">
        <f>'11'!$B$2</f>
        <v>11-06-2022 00:15</v>
      </c>
      <c r="B19" s="61">
        <f>'11'!B108</f>
        <v>0.86287234042553196</v>
      </c>
      <c r="C19" s="61">
        <f>'11'!C108</f>
        <v>28.701979166666671</v>
      </c>
      <c r="D19" s="61">
        <f>'11'!D108</f>
        <v>29.547708333333329</v>
      </c>
      <c r="E19" s="61">
        <f>'11'!E108</f>
        <v>4.5468750000000009</v>
      </c>
      <c r="F19" s="61">
        <f>'11'!F108</f>
        <v>4.3919791666666654</v>
      </c>
      <c r="G19" s="99">
        <f>'11'!$G$108</f>
        <v>78.807812500000054</v>
      </c>
      <c r="H19" s="61">
        <f>'11'!H108</f>
        <v>25.06697916666667</v>
      </c>
      <c r="I19" s="61">
        <f>'11'!I108</f>
        <v>4.1290624999999999</v>
      </c>
      <c r="J19" s="61">
        <f>'11'!J108</f>
        <v>1.0465624999999996</v>
      </c>
      <c r="K19" s="61">
        <f>'11'!K108</f>
        <v>243.34447916666667</v>
      </c>
      <c r="L19" s="61">
        <f>'11'!L108</f>
        <v>44.134270833333325</v>
      </c>
      <c r="M19" s="61">
        <f>'11'!M108</f>
        <v>48.895312499999996</v>
      </c>
      <c r="N19" s="61">
        <f>'11'!N108</f>
        <v>351.15945945945941</v>
      </c>
      <c r="O19" s="61">
        <f>'11'!O108</f>
        <v>0.10208333333333332</v>
      </c>
      <c r="P19" s="202">
        <f>'11'!P108</f>
        <v>1.9554166666666661</v>
      </c>
      <c r="Q19" s="61">
        <f>'11'!Q108</f>
        <v>83.842708333333277</v>
      </c>
      <c r="R19" s="118"/>
      <c r="S19" s="118"/>
      <c r="T19" s="118"/>
      <c r="U19" s="118"/>
    </row>
    <row r="20" spans="1:21" ht="15">
      <c r="A20" s="94" t="str">
        <f>'12'!$B$2</f>
        <v>12-06-2022 00:15</v>
      </c>
      <c r="B20" s="61">
        <f>'12'!B108</f>
        <v>3.2531249999999994</v>
      </c>
      <c r="C20" s="61">
        <f>'12'!C108</f>
        <v>29.060520833333342</v>
      </c>
      <c r="D20" s="61">
        <f>'12'!D108</f>
        <v>32.312499999999993</v>
      </c>
      <c r="E20" s="61">
        <f>'12'!E108</f>
        <v>5.4805208333333342</v>
      </c>
      <c r="F20" s="61">
        <f>'12'!F108</f>
        <v>2.5797916666666669</v>
      </c>
      <c r="G20" s="101">
        <f>'12'!$G$108</f>
        <v>56.422083333333326</v>
      </c>
      <c r="H20" s="61">
        <f>'12'!H108</f>
        <v>21.042500000000004</v>
      </c>
      <c r="I20" s="61">
        <f>'12'!I108</f>
        <v>6.1015625000000009</v>
      </c>
      <c r="J20" s="61">
        <f>'12'!J108</f>
        <v>1.0232291666666666</v>
      </c>
      <c r="K20" s="61">
        <f>'12'!K108</f>
        <v>250.93687499999996</v>
      </c>
      <c r="L20" s="61">
        <f>'12'!L108</f>
        <v>41.8596875</v>
      </c>
      <c r="M20" s="61">
        <f>'12'!M108</f>
        <v>64.225312499999987</v>
      </c>
      <c r="N20" s="61">
        <f>'12'!N108</f>
        <v>291.82608695652175</v>
      </c>
      <c r="O20" s="61">
        <f>'12'!O108</f>
        <v>0</v>
      </c>
      <c r="P20" s="202">
        <f>'12'!P108</f>
        <v>2.2620833333333343</v>
      </c>
      <c r="Q20" s="61">
        <f>'12'!Q108</f>
        <v>44.386354166666649</v>
      </c>
      <c r="R20" s="118"/>
      <c r="S20" s="118"/>
      <c r="T20" s="118"/>
      <c r="U20" s="118"/>
    </row>
    <row r="21" spans="1:21" s="89" customFormat="1" ht="15">
      <c r="A21" s="94" t="str">
        <f>'13'!$B$2</f>
        <v>13-06-2022 00:15</v>
      </c>
      <c r="B21" s="91">
        <f>'13'!B108</f>
        <v>3.536631578947369</v>
      </c>
      <c r="C21" s="91">
        <f>'13'!C108</f>
        <v>25.6596875</v>
      </c>
      <c r="D21" s="91">
        <f>'13'!D108</f>
        <v>29.159895833333341</v>
      </c>
      <c r="E21" s="91">
        <f>'13'!E108</f>
        <v>5.4531249999999973</v>
      </c>
      <c r="F21" s="91">
        <f>'13'!F108</f>
        <v>5.5553125000000003</v>
      </c>
      <c r="G21" s="100">
        <f>'13'!$G$108</f>
        <v>62.669583333333343</v>
      </c>
      <c r="H21" s="91">
        <f>'13'!H108</f>
        <v>22.396041666666665</v>
      </c>
      <c r="I21" s="91">
        <f>'13'!I108</f>
        <v>5.2342708333333334</v>
      </c>
      <c r="J21" s="91">
        <f>'13'!J108</f>
        <v>1.3765624999999995</v>
      </c>
      <c r="K21" s="91">
        <f>'13'!K108</f>
        <v>216.53989583333339</v>
      </c>
      <c r="L21" s="91">
        <f>'13'!L108</f>
        <v>43.96541666666667</v>
      </c>
      <c r="M21" s="91">
        <f>'13'!M108</f>
        <v>52.340729166666677</v>
      </c>
      <c r="N21" s="91">
        <f>'13'!N108</f>
        <v>569.37254901960773</v>
      </c>
      <c r="O21" s="91">
        <f>'13'!O108</f>
        <v>0</v>
      </c>
      <c r="P21" s="203">
        <f>'13'!P108</f>
        <v>2.2092708333333331</v>
      </c>
      <c r="Q21" s="91">
        <f>'13'!Q108</f>
        <v>49.914062500000021</v>
      </c>
      <c r="R21" s="205"/>
      <c r="S21" s="205"/>
      <c r="T21" s="205"/>
      <c r="U21" s="205"/>
    </row>
    <row r="22" spans="1:21" s="89" customFormat="1" ht="15">
      <c r="A22" s="94" t="str">
        <f>'14'!$B$2</f>
        <v>14-06-2022 00:15</v>
      </c>
      <c r="B22" s="90">
        <f>'14'!B108</f>
        <v>2.2315730337078659</v>
      </c>
      <c r="C22" s="90">
        <f>'14'!C108</f>
        <v>20.495312499999994</v>
      </c>
      <c r="D22" s="90">
        <f>'14'!D108</f>
        <v>22.563645833333339</v>
      </c>
      <c r="E22" s="90">
        <f>'14'!E108</f>
        <v>4.8856249999999983</v>
      </c>
      <c r="F22" s="90">
        <f>'14'!F108</f>
        <v>3.8621874999999997</v>
      </c>
      <c r="G22" s="100">
        <f>'14'!$G$108</f>
        <v>68.820208333333341</v>
      </c>
      <c r="H22" s="100">
        <f>'14'!$G$108</f>
        <v>68.820208333333341</v>
      </c>
      <c r="I22" s="90">
        <f>'14'!I108</f>
        <v>5.9109374999999993</v>
      </c>
      <c r="J22" s="90">
        <f>'14'!J108</f>
        <v>1.3564583333333327</v>
      </c>
      <c r="K22" s="90">
        <f>'14'!K108</f>
        <v>235.24208333333334</v>
      </c>
      <c r="L22" s="90">
        <f>'14'!L108</f>
        <v>46.641145833333304</v>
      </c>
      <c r="M22" s="90">
        <f>'14'!M108</f>
        <v>49.55333333333332</v>
      </c>
      <c r="N22" s="90">
        <f>'14'!N108</f>
        <v>583.76666666666654</v>
      </c>
      <c r="O22" s="90">
        <f>'14'!O108</f>
        <v>0</v>
      </c>
      <c r="P22" s="204">
        <f>'14'!P108</f>
        <v>2.2260416666666667</v>
      </c>
      <c r="Q22" s="90">
        <f>'14'!Q108</f>
        <v>47.915833333333332</v>
      </c>
      <c r="R22" s="206"/>
      <c r="S22" s="206"/>
      <c r="T22" s="206"/>
      <c r="U22" s="206"/>
    </row>
    <row r="23" spans="1:21" ht="15">
      <c r="A23" s="94" t="str">
        <f>'15'!$B$2</f>
        <v>15-06-2022 00:15</v>
      </c>
      <c r="B23" s="61">
        <f>'15'!B108</f>
        <v>1.3556250000000001</v>
      </c>
      <c r="C23" s="61">
        <f>'15'!C108</f>
        <v>19.17166666666667</v>
      </c>
      <c r="D23" s="61">
        <f>'15'!D108</f>
        <v>20.52802083333334</v>
      </c>
      <c r="E23" s="61">
        <f>'15'!E108</f>
        <v>6.0571875000000004</v>
      </c>
      <c r="F23" s="61">
        <f>'15'!F108</f>
        <v>2.0680208333333332</v>
      </c>
      <c r="G23" s="100">
        <f>'15'!$G$108</f>
        <v>61.42739583333335</v>
      </c>
      <c r="H23" s="61">
        <f>'15'!H108</f>
        <v>21.461354166666677</v>
      </c>
      <c r="I23" s="61">
        <f>'15'!I108</f>
        <v>4.6304166666666644</v>
      </c>
      <c r="J23" s="61">
        <f>'15'!J108</f>
        <v>1.8010416666666667</v>
      </c>
      <c r="K23" s="61">
        <f>'15'!K108</f>
        <v>223.43156250000013</v>
      </c>
      <c r="L23" s="61">
        <f>'15'!L108</f>
        <v>41.180625000000006</v>
      </c>
      <c r="M23" s="61">
        <f>'15'!M108</f>
        <v>55.945937499999992</v>
      </c>
      <c r="N23" s="61">
        <f>'15'!N108</f>
        <v>354.85294117647049</v>
      </c>
      <c r="O23" s="61">
        <f>'15'!O108</f>
        <v>0</v>
      </c>
      <c r="P23" s="202">
        <f>'15'!P108</f>
        <v>2.1442708333333345</v>
      </c>
      <c r="Q23" s="61">
        <f>'15'!Q108</f>
        <v>30.94687500000002</v>
      </c>
      <c r="R23" s="118"/>
      <c r="S23" s="118"/>
      <c r="T23" s="118"/>
      <c r="U23" s="118"/>
    </row>
    <row r="24" spans="1:21" ht="15">
      <c r="A24" s="94" t="str">
        <f>'16'!$B$2</f>
        <v>16-06-2022 00:15</v>
      </c>
      <c r="B24" s="61">
        <f>'16'!B108</f>
        <v>6.9331250000000013</v>
      </c>
      <c r="C24" s="61">
        <f>'16'!C108</f>
        <v>25.8909375</v>
      </c>
      <c r="D24" s="61">
        <f>'16'!D108</f>
        <v>32.823437499999997</v>
      </c>
      <c r="E24" s="61">
        <f>'16'!E108</f>
        <v>5.7531250000000007</v>
      </c>
      <c r="F24" s="61">
        <f>'16'!F108</f>
        <v>1.61625</v>
      </c>
      <c r="G24" s="100">
        <f>'16'!$G$108</f>
        <v>68.58156249999999</v>
      </c>
      <c r="H24" s="61">
        <f>'16'!H108</f>
        <v>23.823125000000001</v>
      </c>
      <c r="I24" s="61">
        <f>'16'!I108</f>
        <v>5.0928125</v>
      </c>
      <c r="J24" s="61">
        <f>'16'!J108</f>
        <v>4.4396874999999998</v>
      </c>
      <c r="K24" s="61">
        <f>'16'!K108</f>
        <v>95.993437500000013</v>
      </c>
      <c r="L24" s="61">
        <f>'16'!L108</f>
        <v>38.532187499999999</v>
      </c>
      <c r="M24" s="61">
        <f>'16'!M108</f>
        <v>58.214999999999996</v>
      </c>
      <c r="N24" s="61">
        <f>'16'!N108</f>
        <v>80.914285714285725</v>
      </c>
      <c r="O24" s="61">
        <f>'16'!O108</f>
        <v>0</v>
      </c>
      <c r="P24" s="202">
        <f>'16'!P108</f>
        <v>2.7606250000000001</v>
      </c>
      <c r="Q24" s="61">
        <f>'16'!Q108</f>
        <v>18.166451612903227</v>
      </c>
      <c r="R24" s="118"/>
      <c r="S24" s="118"/>
      <c r="T24" s="118"/>
      <c r="U24" s="118"/>
    </row>
    <row r="25" spans="1:21" ht="15">
      <c r="A25" s="94" t="str">
        <f>'17'!$B$2</f>
        <v>17-06-2022 00:15</v>
      </c>
      <c r="B25" s="61">
        <f>'17'!B108</f>
        <v>1.412083333333334</v>
      </c>
      <c r="C25" s="61">
        <f>'17'!C108</f>
        <v>19.652500000000007</v>
      </c>
      <c r="D25" s="61">
        <f>'17'!D108</f>
        <v>21.064166666666665</v>
      </c>
      <c r="E25" s="61">
        <f>'17'!E108</f>
        <v>4.5746875000000005</v>
      </c>
      <c r="F25" s="61">
        <f>'17'!F108</f>
        <v>3.1806250000000005</v>
      </c>
      <c r="G25" s="101">
        <f>'17'!$G$108</f>
        <v>55.657083333333354</v>
      </c>
      <c r="H25" s="61">
        <f>'17'!H108</f>
        <v>22.720312500000002</v>
      </c>
      <c r="I25" s="61">
        <f>'17'!I108</f>
        <v>3.8009374999999999</v>
      </c>
      <c r="J25" s="61">
        <f>'17'!J108</f>
        <v>1.3825000000000001</v>
      </c>
      <c r="K25" s="61">
        <f>'17'!K108</f>
        <v>203.54124999999996</v>
      </c>
      <c r="L25" s="61">
        <f>'17'!L108</f>
        <v>40.294999999999995</v>
      </c>
      <c r="M25" s="61">
        <f>'17'!M108</f>
        <v>64.557812500000011</v>
      </c>
      <c r="N25" s="61">
        <f>'17'!N108</f>
        <v>347.17916666666662</v>
      </c>
      <c r="O25" s="61">
        <f>'17'!O108</f>
        <v>0</v>
      </c>
      <c r="P25" s="202">
        <f>'17'!P108</f>
        <v>2.1759375000000012</v>
      </c>
      <c r="Q25" s="61">
        <f>'17'!Q108</f>
        <v>12.420937500000003</v>
      </c>
      <c r="R25" s="118"/>
      <c r="S25" s="118"/>
      <c r="T25" s="118"/>
      <c r="U25" s="118"/>
    </row>
    <row r="26" spans="1:21" ht="15">
      <c r="A26" s="94" t="str">
        <f>'18'!$B$2</f>
        <v>18-06-2022 00:15</v>
      </c>
      <c r="B26" s="61">
        <f>'18'!B108</f>
        <v>2.738645833333333</v>
      </c>
      <c r="C26" s="61">
        <f>'18'!C108</f>
        <v>18.342708333333331</v>
      </c>
      <c r="D26" s="61">
        <f>'18'!D108</f>
        <v>21.081458333333341</v>
      </c>
      <c r="E26" s="61">
        <f>'18'!E108</f>
        <v>5.2863541666666665</v>
      </c>
      <c r="F26" s="61">
        <f>'18'!F108</f>
        <v>2.0264583333333337</v>
      </c>
      <c r="G26" s="99">
        <f>'18'!$G$108</f>
        <v>49.197708333333338</v>
      </c>
      <c r="H26" s="61">
        <f>'18'!H108</f>
        <v>15.55572916666666</v>
      </c>
      <c r="I26" s="61">
        <f>'18'!I108</f>
        <v>3.610833333333336</v>
      </c>
      <c r="J26" s="61">
        <f>'18'!J108</f>
        <v>2.0864583333333329</v>
      </c>
      <c r="K26" s="61">
        <f>'18'!K108</f>
        <v>193.07489583333336</v>
      </c>
      <c r="L26" s="61">
        <f>'18'!L108</f>
        <v>35.493437500000006</v>
      </c>
      <c r="M26" s="61">
        <f>'18'!M108</f>
        <v>70.419791666666669</v>
      </c>
      <c r="N26" s="61">
        <f>'18'!N108</f>
        <v>312.87916666666678</v>
      </c>
      <c r="O26" s="61">
        <f>'18'!O108</f>
        <v>0</v>
      </c>
      <c r="P26" s="202">
        <f>'18'!P108</f>
        <v>2.1213541666666669</v>
      </c>
      <c r="Q26" s="61">
        <f>'18'!Q108</f>
        <v>20.940833333333334</v>
      </c>
      <c r="R26" s="118"/>
      <c r="S26" s="118"/>
      <c r="T26" s="118"/>
      <c r="U26" s="118"/>
    </row>
    <row r="27" spans="1:21" ht="15">
      <c r="A27" s="94" t="str">
        <f>'19'!$B$2</f>
        <v>19-06-2022 00:15</v>
      </c>
      <c r="B27" s="61">
        <f>'19'!B108</f>
        <v>3.3219791666666665</v>
      </c>
      <c r="C27" s="61">
        <f>'19'!C108</f>
        <v>18.784166666666664</v>
      </c>
      <c r="D27" s="61">
        <f>'19'!D108</f>
        <v>22.105833333333337</v>
      </c>
      <c r="E27" s="61">
        <f>'19'!E108</f>
        <v>6.3953125000000002</v>
      </c>
      <c r="F27" s="61">
        <f>'19'!F108</f>
        <v>1.0107291666666671</v>
      </c>
      <c r="G27" s="61">
        <f>'19'!G108</f>
        <v>47.062916666666638</v>
      </c>
      <c r="H27" s="61">
        <f>'19'!H108</f>
        <v>18.401354166666668</v>
      </c>
      <c r="I27" s="61">
        <f>'19'!I108</f>
        <v>4.1066666666666674</v>
      </c>
      <c r="J27" s="61">
        <f>'19'!J108</f>
        <v>2.2961458333333336</v>
      </c>
      <c r="K27" s="61">
        <f>'19'!K108</f>
        <v>197.53156250000004</v>
      </c>
      <c r="L27" s="61">
        <f>'19'!L108</f>
        <v>34.486458333333346</v>
      </c>
      <c r="M27" s="61">
        <f>'19'!M108</f>
        <v>82.780416666666696</v>
      </c>
      <c r="N27" s="61">
        <f>'19'!N108</f>
        <v>285.29583333333335</v>
      </c>
      <c r="O27" s="61">
        <f>'19'!O108</f>
        <v>0.19166666666666662</v>
      </c>
      <c r="P27" s="202">
        <f>'19'!P108</f>
        <v>2.183645833333332</v>
      </c>
      <c r="Q27" s="61">
        <f>'19'!Q108</f>
        <v>13.550416666666669</v>
      </c>
      <c r="R27" s="118"/>
      <c r="S27" s="118"/>
      <c r="T27" s="118"/>
      <c r="U27" s="118"/>
    </row>
    <row r="28" spans="1:21" ht="15">
      <c r="A28" s="94" t="str">
        <f>'20'!$B$2</f>
        <v>20-06-2022 00:15</v>
      </c>
      <c r="B28" s="61">
        <f>'20'!B108</f>
        <v>6.2438541666666652</v>
      </c>
      <c r="C28" s="61">
        <f>'20'!C108</f>
        <v>18.355624999999996</v>
      </c>
      <c r="D28" s="61">
        <f>'20'!D108</f>
        <v>24.599791666666665</v>
      </c>
      <c r="E28" s="61">
        <f>'20'!E108</f>
        <v>6.3582291666666677</v>
      </c>
      <c r="F28" s="61">
        <f>'20'!F108</f>
        <v>0.68135416666666637</v>
      </c>
      <c r="G28" s="61">
        <f>'20'!G108</f>
        <v>45.99197916666666</v>
      </c>
      <c r="H28" s="61">
        <f>'20'!H108</f>
        <v>17.670729166666664</v>
      </c>
      <c r="I28" s="61">
        <f>'20'!I108</f>
        <v>4.2171874999999979</v>
      </c>
      <c r="J28" s="61">
        <f>'20'!J108</f>
        <v>1.7797916666666664</v>
      </c>
      <c r="K28" s="61">
        <f>'20'!K108</f>
        <v>192.9204166666668</v>
      </c>
      <c r="L28" s="61">
        <f>'20'!L108</f>
        <v>33.774479166666666</v>
      </c>
      <c r="M28" s="61">
        <f>'20'!M108</f>
        <v>89.688125000000056</v>
      </c>
      <c r="N28" s="61">
        <f>'20'!N108</f>
        <v>447.546875</v>
      </c>
      <c r="O28" s="61">
        <f>'20'!O108</f>
        <v>0.022916666666666669</v>
      </c>
      <c r="P28" s="202">
        <f>'20'!P108</f>
        <v>2.2163541666666662</v>
      </c>
      <c r="Q28" s="61">
        <f>'20'!Q108</f>
        <v>11.650625</v>
      </c>
      <c r="R28" s="118"/>
      <c r="S28" s="118"/>
      <c r="T28" s="118"/>
      <c r="U28" s="118"/>
    </row>
    <row r="29" spans="1:21" ht="15">
      <c r="A29" s="94" t="str">
        <f>'21'!$B$2</f>
        <v>21-06-2022 00:15</v>
      </c>
      <c r="B29" s="61">
        <f>'21'!B108</f>
        <v>2.2803124999999991</v>
      </c>
      <c r="C29" s="61">
        <f>'21'!C108</f>
        <v>18.060104166666665</v>
      </c>
      <c r="D29" s="61">
        <f>'21'!D108</f>
        <v>20.34</v>
      </c>
      <c r="E29" s="61">
        <f>'21'!E108</f>
        <v>5.1744791666666652</v>
      </c>
      <c r="F29" s="61">
        <f>'21'!F108</f>
        <v>1.3566666666666671</v>
      </c>
      <c r="G29" s="61">
        <f>'21'!G108</f>
        <v>44.421979166666659</v>
      </c>
      <c r="H29" s="61">
        <f>'21'!H108</f>
        <v>16.863020833333334</v>
      </c>
      <c r="I29" s="61">
        <f>'21'!I108</f>
        <v>3.9862500000000005</v>
      </c>
      <c r="J29" s="61">
        <f>'21'!J108</f>
        <v>1.3214583333333325</v>
      </c>
      <c r="K29" s="61">
        <f>'21'!K108</f>
        <v>222.45333333333326</v>
      </c>
      <c r="L29" s="61">
        <f>'21'!L108</f>
        <v>34.665312499999985</v>
      </c>
      <c r="M29" s="61">
        <f>'21'!M108</f>
        <v>82.46802083333337</v>
      </c>
      <c r="N29" s="61">
        <f>'21'!N108</f>
        <v>743.390625</v>
      </c>
      <c r="O29" s="61">
        <f>'21'!O108</f>
        <v>0.014583333333333332</v>
      </c>
      <c r="P29" s="202">
        <f>'21'!P108</f>
        <v>2.2243750000000002</v>
      </c>
      <c r="Q29" s="61">
        <f>'21'!Q108</f>
        <v>8.6670833333333341</v>
      </c>
      <c r="R29" s="118"/>
      <c r="S29" s="118"/>
      <c r="T29" s="118"/>
      <c r="U29" s="118"/>
    </row>
    <row r="30" spans="1:21" ht="15">
      <c r="A30" s="94" t="str">
        <f>'22'!$B$2</f>
        <v>22-06-2022 00:15</v>
      </c>
      <c r="B30" s="61">
        <f>'22'!B108</f>
        <v>2.4619791666666662</v>
      </c>
      <c r="C30" s="61">
        <f>'22'!C108</f>
        <v>18.628958333333333</v>
      </c>
      <c r="D30" s="61">
        <f>'22'!D108</f>
        <v>21.091354166666669</v>
      </c>
      <c r="E30" s="61">
        <f>'22'!E108</f>
        <v>5.9858333333333347</v>
      </c>
      <c r="F30" s="61">
        <f>'22'!F108</f>
        <v>1.5535416666666662</v>
      </c>
      <c r="G30" s="61">
        <f>'22'!G108</f>
        <v>55.172708333333333</v>
      </c>
      <c r="H30" s="61">
        <f>'22'!H108</f>
        <v>18.743229166666648</v>
      </c>
      <c r="I30" s="61">
        <f>'22'!I108</f>
        <v>5.4659374999999999</v>
      </c>
      <c r="J30" s="61">
        <f>'22'!J108</f>
        <v>1.54125</v>
      </c>
      <c r="K30" s="61">
        <f>'22'!K108</f>
        <v>187.28916666666669</v>
      </c>
      <c r="L30" s="61">
        <f>'22'!L108</f>
        <v>39.75864583333334</v>
      </c>
      <c r="M30" s="61">
        <f>'22'!M108</f>
        <v>71.984479166666674</v>
      </c>
      <c r="N30" s="61">
        <f>'22'!N108</f>
        <v>937.06979166666645</v>
      </c>
      <c r="O30" s="61">
        <f>'22'!O108</f>
        <v>0</v>
      </c>
      <c r="P30" s="202">
        <f>'22'!P108</f>
        <v>2.2745833333333336</v>
      </c>
      <c r="Q30" s="61">
        <f>'22'!Q108</f>
        <v>8.0059374999999999</v>
      </c>
      <c r="R30" s="118"/>
      <c r="S30" s="118"/>
      <c r="T30" s="118"/>
      <c r="U30" s="118"/>
    </row>
    <row r="31" spans="1:21" ht="15">
      <c r="A31" s="94" t="str">
        <f>'23'!$B$2</f>
        <v>23-06-2022 00:15</v>
      </c>
      <c r="B31" s="61">
        <f>'23'!B108</f>
        <v>2.7332291666666664</v>
      </c>
      <c r="C31" s="61">
        <f>'23'!C108</f>
        <v>20.835833333333337</v>
      </c>
      <c r="D31" s="61">
        <f>'23'!D108</f>
        <v>23.568749999999998</v>
      </c>
      <c r="E31" s="61">
        <f>'23'!E108</f>
        <v>6.5592708333333354</v>
      </c>
      <c r="F31" s="61">
        <f>'23'!F108</f>
        <v>1.0378124999999994</v>
      </c>
      <c r="G31" s="61">
        <f>'23'!G108</f>
        <v>86.135833333333309</v>
      </c>
      <c r="H31" s="61">
        <f>'23'!H108</f>
        <v>32.636458333333316</v>
      </c>
      <c r="I31" s="61">
        <f>'23'!I108</f>
        <v>6.1798958333333358</v>
      </c>
      <c r="J31" s="61">
        <f>'23'!J108</f>
        <v>2.1651041666666666</v>
      </c>
      <c r="K31" s="61">
        <f>'23'!K108</f>
        <v>169.2107291666666</v>
      </c>
      <c r="L31" s="61">
        <f>'23'!L108</f>
        <v>36.91041666666667</v>
      </c>
      <c r="M31" s="61">
        <f>'23'!M108</f>
        <v>78.608749999999972</v>
      </c>
      <c r="N31" s="61">
        <f>'23'!N108</f>
        <v>612.60520833333328</v>
      </c>
      <c r="O31" s="61">
        <f>'23'!O108</f>
        <v>0</v>
      </c>
      <c r="P31" s="202">
        <f>'23'!P108</f>
        <v>2.4470833333333348</v>
      </c>
      <c r="Q31" s="61">
        <f>'23'!Q108</f>
        <v>9.0353124999999981</v>
      </c>
      <c r="R31" s="118"/>
      <c r="S31" s="207"/>
      <c r="T31" s="118"/>
      <c r="U31" s="118"/>
    </row>
    <row r="32" spans="1:21" ht="15">
      <c r="A32" s="94" t="str">
        <f>'24'!$B$2</f>
        <v>24-06-2022 00:15</v>
      </c>
      <c r="B32" s="61">
        <f>'24'!B108</f>
        <v>2.2887500000000016</v>
      </c>
      <c r="C32" s="61">
        <f>'24'!C108</f>
        <v>20.227708333333336</v>
      </c>
      <c r="D32" s="61">
        <f>'24'!D108</f>
        <v>22.517812499999994</v>
      </c>
      <c r="E32" s="61">
        <f>'24'!E108</f>
        <v>5.462187499999998</v>
      </c>
      <c r="F32" s="61">
        <f>'24'!F108</f>
        <v>1.7297916666666673</v>
      </c>
      <c r="G32" s="61">
        <f>'24'!G108</f>
        <v>57.151354166666692</v>
      </c>
      <c r="H32" s="61">
        <f>'24'!H108</f>
        <v>24.33239583333334</v>
      </c>
      <c r="I32" s="61">
        <f>'24'!I108</f>
        <v>5.8767708333333353</v>
      </c>
      <c r="J32" s="61">
        <f>'24'!J108</f>
        <v>1.5837500000000004</v>
      </c>
      <c r="K32" s="61">
        <f>'24'!K108</f>
        <v>240.43656250000006</v>
      </c>
      <c r="L32" s="61">
        <f>'24'!L108</f>
        <v>37.957708333333336</v>
      </c>
      <c r="M32" s="61">
        <f>'24'!M108</f>
        <v>76.549375000000012</v>
      </c>
      <c r="N32" s="61">
        <f>'24'!N108</f>
        <v>424.60937499999994</v>
      </c>
      <c r="O32" s="61">
        <f>'24'!O108</f>
        <v>0.05000000000000001</v>
      </c>
      <c r="P32" s="202">
        <f>'24'!P108</f>
        <v>2.363541666666666</v>
      </c>
      <c r="Q32" s="61">
        <f>'24'!Q108</f>
        <v>8.6278125000000028</v>
      </c>
      <c r="R32" s="118"/>
      <c r="S32" s="118"/>
      <c r="T32" s="118"/>
      <c r="U32" s="118"/>
    </row>
    <row r="33" spans="1:21" ht="15">
      <c r="A33" s="94" t="str">
        <f>'25'!$B$2</f>
        <v>25-06-2022 00:15</v>
      </c>
      <c r="B33" s="61">
        <f>'25'!B108</f>
        <v>1.5527083333333334</v>
      </c>
      <c r="C33" s="61">
        <f>'25'!C108</f>
        <v>19.407500000000006</v>
      </c>
      <c r="D33" s="61">
        <f>'25'!D108</f>
        <v>20.960416666666671</v>
      </c>
      <c r="E33" s="61">
        <f>'25'!E108</f>
        <v>4.2638541666666656</v>
      </c>
      <c r="F33" s="61">
        <f>'25'!F108</f>
        <v>7.7915624999999977</v>
      </c>
      <c r="G33" s="61">
        <f>'25'!G108</f>
        <v>55.601818181818182</v>
      </c>
      <c r="H33" s="61">
        <f>'25'!H108</f>
        <v>20.962386363636362</v>
      </c>
      <c r="I33" s="61">
        <f>'25'!I108</f>
        <v>8.3741304347826091</v>
      </c>
      <c r="J33" s="61">
        <f>'25'!J108</f>
        <v>1.2303124999999999</v>
      </c>
      <c r="K33" s="61">
        <f>'25'!K108</f>
        <v>230.14562500000002</v>
      </c>
      <c r="L33" s="61">
        <f>'25'!L108</f>
        <v>39.213655913978485</v>
      </c>
      <c r="M33" s="61">
        <f>'25'!M108</f>
        <v>80.366250000000008</v>
      </c>
      <c r="N33" s="61">
        <f>'25'!N108</f>
        <v>432.65312500000005</v>
      </c>
      <c r="O33" s="61">
        <f>'25'!O108</f>
        <v>0.0020833333333333333</v>
      </c>
      <c r="P33" s="202">
        <f>'25'!P108</f>
        <v>2.4693749999999999</v>
      </c>
      <c r="Q33" s="61">
        <f>'25'!Q108</f>
        <v>19.03052083333333</v>
      </c>
      <c r="R33" s="118"/>
      <c r="S33" s="207"/>
      <c r="T33" s="118"/>
      <c r="U33" s="118"/>
    </row>
    <row r="34" spans="1:21" ht="15">
      <c r="A34" s="94" t="str">
        <f>'26'!$B$2</f>
        <v>26-06-2022 00:15</v>
      </c>
      <c r="B34" s="61">
        <f>'26'!B108</f>
        <v>1.3709374999999995</v>
      </c>
      <c r="C34" s="61">
        <f>'26'!C108</f>
        <v>14.95947916666667</v>
      </c>
      <c r="D34" s="61">
        <f>'26'!D108</f>
        <v>16.330625000000001</v>
      </c>
      <c r="E34" s="61">
        <f>'26'!E108</f>
        <v>5.6642708333333323</v>
      </c>
      <c r="F34" s="61">
        <f>'26'!F108</f>
        <v>1.5119791666666664</v>
      </c>
      <c r="G34" s="61">
        <f>'26'!G108</f>
        <v>44.242291666666688</v>
      </c>
      <c r="H34" s="61">
        <f>'26'!H108</f>
        <v>17.618229166666666</v>
      </c>
      <c r="I34" s="61">
        <f>'26'!I108</f>
        <v>5.2063541666666655</v>
      </c>
      <c r="J34" s="61">
        <f>'26'!J108</f>
        <v>2.7181250000000001</v>
      </c>
      <c r="K34" s="61">
        <f>'26'!K108</f>
        <v>204.74708333333345</v>
      </c>
      <c r="L34" s="61">
        <f>'26'!L108</f>
        <v>45.360985915492954</v>
      </c>
      <c r="M34" s="61">
        <f>'26'!M108</f>
        <v>77.542291666666685</v>
      </c>
      <c r="N34" s="61">
        <f>'26'!N108</f>
        <v>647.94791666666652</v>
      </c>
      <c r="O34" s="61">
        <f>'26'!O108</f>
        <v>0.0020833333333333333</v>
      </c>
      <c r="P34" s="202">
        <f>'26'!P108</f>
        <v>2.32375</v>
      </c>
      <c r="Q34" s="61">
        <f>'26'!Q108</f>
        <v>16.374687499999997</v>
      </c>
      <c r="R34" s="118"/>
      <c r="S34" s="118"/>
      <c r="T34" s="118"/>
      <c r="U34" s="118"/>
    </row>
    <row r="35" spans="1:21" ht="15">
      <c r="A35" s="94" t="str">
        <f>'27'!$B$2</f>
        <v>27-06-2022 00:15</v>
      </c>
      <c r="B35" s="61">
        <f>'27'!B108</f>
        <v>1.9441666666666677</v>
      </c>
      <c r="C35" s="61">
        <f>'27'!C108</f>
        <v>16.86010416666667</v>
      </c>
      <c r="D35" s="61">
        <f>'27'!D108</f>
        <v>18.803437500000001</v>
      </c>
      <c r="E35" s="61">
        <f>'27'!E108</f>
        <v>5.79</v>
      </c>
      <c r="F35" s="61">
        <f>'27'!F108</f>
        <v>1.3316666666666668</v>
      </c>
      <c r="G35" s="61">
        <f>'27'!G108</f>
        <v>47.573437500000004</v>
      </c>
      <c r="H35" s="61">
        <f>'27'!H108</f>
        <v>16.746979166666659</v>
      </c>
      <c r="I35" s="61">
        <f>'27'!I108</f>
        <v>4.6253125000000006</v>
      </c>
      <c r="J35" s="61">
        <f>'27'!J108</f>
        <v>2.0862499999999993</v>
      </c>
      <c r="K35" s="61">
        <f>'27'!K108</f>
        <v>170.6387500000001</v>
      </c>
      <c r="L35" s="61">
        <f>'27'!L108</f>
        <v>45.818846153846152</v>
      </c>
      <c r="M35" s="61">
        <f>'27'!M108</f>
        <v>73.096770833333352</v>
      </c>
      <c r="N35" s="61">
        <f>'27'!N108</f>
        <v>609.15312499999982</v>
      </c>
      <c r="O35" s="61">
        <f>'27'!O108</f>
        <v>0</v>
      </c>
      <c r="P35" s="202">
        <f>'27'!P108</f>
        <v>2.4280208333333335</v>
      </c>
      <c r="Q35" s="61">
        <f>'27'!Q108</f>
        <v>21.380937499999998</v>
      </c>
      <c r="R35" s="118"/>
      <c r="S35" s="118"/>
      <c r="T35" s="118"/>
      <c r="U35" s="118"/>
    </row>
    <row r="36" spans="1:21" ht="15">
      <c r="A36" s="94" t="str">
        <f>'28'!$B$2</f>
        <v>28-06-2022 00:15</v>
      </c>
      <c r="B36" s="61">
        <f>'28'!B108</f>
        <v>2.4883333333333337</v>
      </c>
      <c r="C36" s="61">
        <f>'28'!C108</f>
        <v>18.278541666666666</v>
      </c>
      <c r="D36" s="61">
        <f>'28'!D108</f>
        <v>20.767604166666665</v>
      </c>
      <c r="E36" s="61">
        <f>'28'!E108</f>
        <v>4.6814583333333326</v>
      </c>
      <c r="F36" s="61">
        <f>'28'!F108</f>
        <v>1.9267708333333331</v>
      </c>
      <c r="G36" s="61">
        <f>'28'!G108</f>
        <v>41.164583333333361</v>
      </c>
      <c r="H36" s="61">
        <f>'28'!H108</f>
        <v>14.317916666666671</v>
      </c>
      <c r="I36" s="61">
        <f>'28'!I108</f>
        <v>5.025312500000001</v>
      </c>
      <c r="J36" s="61">
        <f>'28'!J108</f>
        <v>2.6984374999999985</v>
      </c>
      <c r="K36" s="61">
        <f>'28'!K108</f>
        <v>222.5929166666667</v>
      </c>
      <c r="L36" s="61">
        <f>'28'!L108</f>
        <v>35.883541666666666</v>
      </c>
      <c r="M36" s="61">
        <f>'28'!M108</f>
        <v>70.30072916666667</v>
      </c>
      <c r="N36" s="61">
        <f>'28'!N108</f>
        <v>558.45312500000034</v>
      </c>
      <c r="O36" s="61">
        <f>'28'!O108</f>
        <v>0</v>
      </c>
      <c r="P36" s="202">
        <f>'28'!P108</f>
        <v>2.6755208333333331</v>
      </c>
      <c r="Q36" s="61">
        <f>'28'!Q108</f>
        <v>12.615520833333335</v>
      </c>
      <c r="R36" s="118"/>
      <c r="S36" s="118"/>
      <c r="T36" s="118"/>
      <c r="U36" s="118"/>
    </row>
    <row r="37" spans="1:21" s="54" customFormat="1" ht="15">
      <c r="A37" s="94" t="str">
        <f>'29'!$B$2</f>
        <v>29-06-2022 00:15</v>
      </c>
      <c r="B37" s="61">
        <f>'29'!B108</f>
        <v>2.4089583333333335</v>
      </c>
      <c r="C37" s="61">
        <f>'29'!C108</f>
        <v>16.266421052631575</v>
      </c>
      <c r="D37" s="61">
        <f>'29'!D108</f>
        <v>18.359895833333333</v>
      </c>
      <c r="E37" s="61">
        <f>'29'!E108</f>
        <v>6.0284374999999999</v>
      </c>
      <c r="F37" s="61">
        <f>'29'!F108</f>
        <v>1.6630208333333334</v>
      </c>
      <c r="G37" s="61">
        <f>'29'!G108</f>
        <v>34.999687500000029</v>
      </c>
      <c r="H37" s="61">
        <f>'29'!H108</f>
        <v>12.487812500000004</v>
      </c>
      <c r="I37" s="61">
        <f>'29'!I108</f>
        <v>5.7910416666666675</v>
      </c>
      <c r="J37" s="61">
        <f>'29'!J108</f>
        <v>3.540416666666665</v>
      </c>
      <c r="K37" s="61">
        <f>'29'!K108</f>
        <v>219.32260416666668</v>
      </c>
      <c r="L37" s="61">
        <f>'29'!L108</f>
        <v>27.433854166666663</v>
      </c>
      <c r="M37" s="61">
        <f>'29'!M108</f>
        <v>78.968749999999986</v>
      </c>
      <c r="N37" s="61">
        <f>'29'!N108</f>
        <v>558.74583333333328</v>
      </c>
      <c r="O37" s="61">
        <f>'29'!O108</f>
        <v>0.64375000000000016</v>
      </c>
      <c r="P37" s="202">
        <f>'29'!P108</f>
        <v>2.7902083333333341</v>
      </c>
      <c r="Q37" s="61">
        <f>'29'!Q108</f>
        <v>10.839583333333332</v>
      </c>
      <c r="R37" s="118"/>
      <c r="S37" s="118"/>
      <c r="T37" s="118"/>
      <c r="U37" s="118"/>
    </row>
    <row r="38" spans="1:21" s="54" customFormat="1" ht="15">
      <c r="A38" s="94" t="str">
        <f>'30'!$B$2</f>
        <v>30-06-2022 00:15</v>
      </c>
      <c r="B38" s="61">
        <f>'30'!B108</f>
        <v>2.3646875000000005</v>
      </c>
      <c r="C38" s="61">
        <f>'30'!C108</f>
        <v>18.159479166666674</v>
      </c>
      <c r="D38" s="61">
        <f>'30'!D108</f>
        <v>20.509166666666662</v>
      </c>
      <c r="E38" s="61">
        <f>'30'!E108</f>
        <v>5.7790624999999984</v>
      </c>
      <c r="F38" s="61">
        <f>'30'!F108</f>
        <v>1.6340624999999991</v>
      </c>
      <c r="G38" s="61">
        <f>'30'!G108</f>
        <v>13.316086956521746</v>
      </c>
      <c r="H38" s="61">
        <f>'30'!H108</f>
        <v>12.996428571428567</v>
      </c>
      <c r="I38" s="61">
        <f>'30'!I108</f>
        <v>5.6441666666666643</v>
      </c>
      <c r="J38" s="61">
        <f>'30'!J108</f>
        <v>1.9731250000000002</v>
      </c>
      <c r="K38" s="61">
        <f>'30'!K108</f>
        <v>222.26718750000009</v>
      </c>
      <c r="L38" s="61">
        <f>'30'!L108</f>
        <v>23.408645833333335</v>
      </c>
      <c r="M38" s="61">
        <f>'30'!M108</f>
        <v>85.119166666666658</v>
      </c>
      <c r="N38" s="61">
        <f>'30'!N108</f>
        <v>592.22083333333308</v>
      </c>
      <c r="O38" s="61">
        <f>'30'!O108</f>
        <v>0.010416666666666666</v>
      </c>
      <c r="P38" s="202">
        <f>'30'!P108</f>
        <v>3.0883333333333343</v>
      </c>
      <c r="Q38" s="61">
        <f>'30'!Q108</f>
        <v>15.599270833333334</v>
      </c>
      <c r="R38" s="118"/>
      <c r="S38" s="118"/>
      <c r="T38" s="118"/>
      <c r="U38" s="118"/>
    </row>
    <row r="39" spans="1:21" s="54" customFormat="1" ht="1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ht="15">
      <c r="A40" s="94" t="s">
        <v>59</v>
      </c>
      <c r="B40" s="16">
        <f t="shared" si="0" ref="B40:Q40">MIN(B9:B38)</f>
        <v>0.86287234042553196</v>
      </c>
      <c r="C40" s="16">
        <f t="shared" si="0"/>
        <v>14.95947916666667</v>
      </c>
      <c r="D40" s="16">
        <f t="shared" si="0"/>
        <v>16.330625000000001</v>
      </c>
      <c r="E40" s="16">
        <f t="shared" si="0"/>
        <v>4.2638541666666656</v>
      </c>
      <c r="F40" s="16">
        <f t="shared" si="0"/>
        <v>0.68135416666666637</v>
      </c>
      <c r="G40" s="16">
        <f t="shared" si="0"/>
        <v>13.316086956521746</v>
      </c>
      <c r="H40" s="16">
        <f t="shared" si="0"/>
        <v>12.487812500000004</v>
      </c>
      <c r="I40" s="16">
        <f t="shared" si="0"/>
        <v>3.610833333333336</v>
      </c>
      <c r="J40" s="16">
        <f t="shared" si="0"/>
        <v>1.0232291666666666</v>
      </c>
      <c r="K40" s="16">
        <f t="shared" si="0"/>
        <v>95.993437500000013</v>
      </c>
      <c r="L40" s="16">
        <f t="shared" si="0"/>
        <v>23.408645833333335</v>
      </c>
      <c r="M40" s="16">
        <f t="shared" si="0"/>
        <v>26.572291666666672</v>
      </c>
      <c r="N40" s="16">
        <f t="shared" si="0"/>
        <v>80.914285714285725</v>
      </c>
      <c r="O40" s="16">
        <f t="shared" si="0"/>
        <v>0</v>
      </c>
      <c r="P40" s="16">
        <f t="shared" si="0"/>
        <v>1.7592708333333336</v>
      </c>
      <c r="Q40" s="16">
        <f t="shared" si="0"/>
        <v>8.0059374999999999</v>
      </c>
      <c r="R40" s="16"/>
      <c r="S40" s="16"/>
      <c r="T40" s="16"/>
      <c r="U40" s="16"/>
    </row>
    <row r="41" spans="1:21" s="54" customFormat="1" ht="15">
      <c r="A41" s="94" t="s">
        <v>60</v>
      </c>
      <c r="B41" s="16">
        <f t="shared" si="1" ref="B41:Q41">MAX(B9:B38)</f>
        <v>55.937083333333334</v>
      </c>
      <c r="C41" s="16">
        <f t="shared" si="1"/>
        <v>57.554166666666667</v>
      </c>
      <c r="D41" s="16">
        <f t="shared" si="1"/>
        <v>106.54739583333334</v>
      </c>
      <c r="E41" s="16">
        <f t="shared" si="1"/>
        <v>7.0467708333333343</v>
      </c>
      <c r="F41" s="16">
        <f t="shared" si="1"/>
        <v>7.7915624999999977</v>
      </c>
      <c r="G41" s="16">
        <f t="shared" si="1"/>
        <v>272.88791666666663</v>
      </c>
      <c r="H41" s="16">
        <f t="shared" si="1"/>
        <v>68.972291666666649</v>
      </c>
      <c r="I41" s="16">
        <f t="shared" si="1"/>
        <v>13.481904761904767</v>
      </c>
      <c r="J41" s="16">
        <f t="shared" si="1"/>
        <v>4.4396874999999998</v>
      </c>
      <c r="K41" s="16">
        <f t="shared" si="1"/>
        <v>280.61874999999998</v>
      </c>
      <c r="L41" s="16">
        <f t="shared" si="1"/>
        <v>48.609479166666667</v>
      </c>
      <c r="M41" s="16">
        <f t="shared" si="1"/>
        <v>89.688125000000056</v>
      </c>
      <c r="N41" s="16">
        <f t="shared" si="1"/>
        <v>937.06979166666645</v>
      </c>
      <c r="O41" s="16">
        <f t="shared" si="1"/>
        <v>0.64375000000000016</v>
      </c>
      <c r="P41" s="16">
        <f t="shared" si="1"/>
        <v>3.0883333333333343</v>
      </c>
      <c r="Q41" s="16">
        <f t="shared" si="1"/>
        <v>123.79583333333335</v>
      </c>
      <c r="R41" s="16"/>
      <c r="S41" s="16"/>
      <c r="T41" s="16"/>
      <c r="U41" s="16"/>
    </row>
    <row r="42" spans="1:21" s="54" customFormat="1" ht="15">
      <c r="A42" s="94" t="s">
        <v>61</v>
      </c>
      <c r="B42" s="16">
        <f t="shared" si="2" ref="B42:Q42">AVERAGE(B9:B38)</f>
        <v>9.9852524364172623</v>
      </c>
      <c r="C42" s="16">
        <f t="shared" si="2"/>
        <v>28.47609352156433</v>
      </c>
      <c r="D42" s="16">
        <f t="shared" si="2"/>
        <v>38.443061706566773</v>
      </c>
      <c r="E42" s="16">
        <f t="shared" si="2"/>
        <v>5.743788585069443</v>
      </c>
      <c r="F42" s="16">
        <f t="shared" si="2"/>
        <v>2.6376084346177957</v>
      </c>
      <c r="G42" s="16">
        <f t="shared" si="2"/>
        <v>89.873954037263914</v>
      </c>
      <c r="H42" s="16">
        <f t="shared" si="2"/>
        <v>30.435310276543774</v>
      </c>
      <c r="I42" s="16">
        <f t="shared" si="2"/>
        <v>6.4673346157164815</v>
      </c>
      <c r="J42" s="16">
        <f t="shared" si="2"/>
        <v>1.8897052730567736</v>
      </c>
      <c r="K42" s="16">
        <f t="shared" si="2"/>
        <v>214.18562297834427</v>
      </c>
      <c r="L42" s="16">
        <f t="shared" si="2"/>
        <v>40.886456543126904</v>
      </c>
      <c r="M42" s="16">
        <f t="shared" si="2"/>
        <v>57.284327780062128</v>
      </c>
      <c r="N42" s="16">
        <f t="shared" si="2"/>
        <v>447.20184727026458</v>
      </c>
      <c r="O42" s="16">
        <f t="shared" si="2"/>
        <v>0.034652777777777782</v>
      </c>
      <c r="P42" s="16">
        <f t="shared" si="2"/>
        <v>2.3549114766081876</v>
      </c>
      <c r="Q42" s="16">
        <f t="shared" si="2"/>
        <v>46.903544801418171</v>
      </c>
      <c r="R42" s="16"/>
      <c r="S42" s="16"/>
      <c r="T42" s="16"/>
      <c r="U42" s="16"/>
    </row>
    <row r="43" spans="1:21" s="54" customFormat="1" ht="15">
      <c r="A43" s="94" t="s">
        <v>77</v>
      </c>
      <c r="B43" s="16">
        <f t="shared" si="3" ref="B43:Q43">STDEV(B9:B38)</f>
        <v>15.152961424859349</v>
      </c>
      <c r="C43" s="16">
        <f t="shared" si="3"/>
        <v>12.90497757408334</v>
      </c>
      <c r="D43" s="16">
        <f t="shared" si="3"/>
        <v>26.427578171682896</v>
      </c>
      <c r="E43" s="16">
        <f t="shared" si="3"/>
        <v>0.74446882030126116</v>
      </c>
      <c r="F43" s="16">
        <f t="shared" si="3"/>
        <v>1.569580133061705</v>
      </c>
      <c r="G43" s="16">
        <f t="shared" si="3"/>
        <v>60.908532964798198</v>
      </c>
      <c r="H43" s="16">
        <f t="shared" si="3"/>
        <v>16.283610412581293</v>
      </c>
      <c r="I43" s="16">
        <f t="shared" si="3"/>
        <v>2.5732920020363967</v>
      </c>
      <c r="J43" s="16">
        <f t="shared" si="3"/>
        <v>0.7498631731726495</v>
      </c>
      <c r="K43" s="16">
        <f t="shared" si="3"/>
        <v>35.508812082498352</v>
      </c>
      <c r="L43" s="16">
        <f t="shared" si="3"/>
        <v>6.2493556305998439</v>
      </c>
      <c r="M43" s="16">
        <f t="shared" si="3"/>
        <v>21.634619893617252</v>
      </c>
      <c r="N43" s="16">
        <f t="shared" si="3"/>
        <v>168.18650507640618</v>
      </c>
      <c r="O43" s="16">
        <f t="shared" si="3"/>
        <v>0.12161297642965238</v>
      </c>
      <c r="P43" s="16">
        <f t="shared" si="3"/>
        <v>0.29911942803069441</v>
      </c>
      <c r="Q43" s="16">
        <f t="shared" si="3"/>
        <v>38.48505381121474</v>
      </c>
      <c r="R43" s="16"/>
      <c r="S43" s="16"/>
      <c r="T43" s="16"/>
      <c r="U43" s="16"/>
    </row>
    <row r="44" spans="1:21" s="54" customFormat="1" ht="15">
      <c r="A44" s="94" t="s">
        <v>62</v>
      </c>
      <c r="B44" s="13">
        <f t="shared" si="4" ref="B44:Q4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ht="15">
      <c r="A45" s="94" t="s">
        <v>63</v>
      </c>
      <c r="B45" s="13" t="str">
        <f>IF(B44&gt;=28,"&gt;90%",IF(B44&lt;=28,"&lt;90%"))</f>
        <v>&gt;90%</v>
      </c>
      <c r="C45" s="13" t="str">
        <f t="shared" si="5" ref="C45:Q4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ht="15">
      <c r="A46" s="94" t="s">
        <v>5</v>
      </c>
      <c r="B46" s="13" t="str">
        <f>IF(B44&gt;=28,"OK",IF(B44&lt;=28,"LESS"))</f>
        <v>OK</v>
      </c>
      <c r="C46" s="13" t="str">
        <f t="shared" si="6" ref="C46:Q4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2:20" ht="1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ht="1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ht="1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>
      <c r="A51" s="98" t="s">
        <v>65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</row>
    <row r="52" spans="1:16" ht="1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ht="1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ht="1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sheetProtection/>
  <mergeCells count="1">
    <mergeCell ref="B51:P51"/>
  </mergeCells>
  <pageMargins left="0.17" right="0.17" top="0.19" bottom="0.16" header="0.17" footer="0.16"/>
  <pageSetup orientation="landscape" paperSize="9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ff2a75-2bd3-4024-b8f2-1c401be487b3}">
  <sheetPr codeName=""/>
  <dimension ref="B1:X119"/>
  <sheetViews>
    <sheetView workbookViewId="0" topLeftCell="A1">
      <selection pane="topLeft" activeCell="D2" sqref="D2"/>
    </sheetView>
  </sheetViews>
  <sheetFormatPr defaultColWidth="8.85881696428571" defaultRowHeight="15"/>
  <cols>
    <col min="1" max="1" width="4.57142857142857" style="24" customWidth="1"/>
    <col min="2" max="2" width="16.1428571428571" style="1" customWidth="1"/>
    <col min="3" max="3" width="10.2857142857143" style="19" customWidth="1"/>
    <col min="4" max="7" width="9.14285714285714" style="19" customWidth="1"/>
    <col min="8" max="8" width="9.14285714285714" style="22" customWidth="1"/>
    <col min="9" max="12" width="9.14285714285714" style="19" customWidth="1"/>
    <col min="13" max="13" width="13.2857142857143" style="19" customWidth="1"/>
    <col min="14" max="14" width="5.71428571428571" style="19" customWidth="1"/>
    <col min="15" max="15" width="16.1428571428571" style="25" customWidth="1"/>
    <col min="16" max="16" width="10.8571428571429" style="25" customWidth="1"/>
    <col min="17" max="17" width="15.4285714285714" style="25" customWidth="1"/>
    <col min="18" max="18" width="13.4285714285714" style="25" customWidth="1"/>
    <col min="19" max="19" width="16.8571428571429" style="84" customWidth="1"/>
    <col min="20" max="20" width="10" style="84" customWidth="1"/>
    <col min="21" max="21" width="12.8571428571429" style="25" customWidth="1"/>
    <col min="22" max="22" width="10.7142857142857" style="25" customWidth="1"/>
    <col min="23" max="23" width="8.85714285714286" style="19"/>
    <col min="24" max="24" width="10.8571428571429" style="19" customWidth="1"/>
    <col min="25" max="16384" width="8.85714285714286" style="19"/>
  </cols>
  <sheetData>
    <row r="1" spans="2:10" ht="24" customHeight="1" thickBot="1">
      <c r="B1" s="54"/>
      <c r="C1" s="111" t="s">
        <v>9</v>
      </c>
      <c r="D1" s="234" t="s">
        <v>2649</v>
      </c>
      <c r="E1" s="234"/>
      <c r="F1" s="234"/>
      <c r="G1" s="234"/>
      <c r="H1" s="234"/>
      <c r="I1" s="234"/>
      <c r="J1" s="235"/>
    </row>
    <row r="2" spans="2:10" ht="22.5" customHeight="1" thickBot="1">
      <c r="B2" s="54"/>
      <c r="C2" s="111" t="s">
        <v>0</v>
      </c>
      <c r="D2" s="112" t="s">
        <v>217</v>
      </c>
      <c r="E2" s="113"/>
      <c r="F2" s="113"/>
      <c r="G2" s="114"/>
      <c r="H2" s="115"/>
      <c r="I2" s="115"/>
      <c r="J2" s="116"/>
    </row>
    <row r="4" spans="19:24" ht="15.75" thickBot="1">
      <c r="S4" s="25"/>
      <c r="T4" s="25"/>
      <c r="U4" s="84"/>
      <c r="V4" s="84"/>
      <c r="W4" s="25"/>
      <c r="X4" s="25"/>
    </row>
    <row r="5" spans="2:24" ht="15">
      <c r="B5" s="49"/>
      <c r="C5" s="40"/>
      <c r="D5" s="40"/>
      <c r="E5" s="40"/>
      <c r="F5" s="40"/>
      <c r="G5" s="233" t="s">
        <v>1</v>
      </c>
      <c r="H5" s="233"/>
      <c r="I5" s="40"/>
      <c r="J5" s="40"/>
      <c r="K5" s="40"/>
      <c r="L5" s="40"/>
      <c r="M5" s="41"/>
      <c r="O5" s="68"/>
      <c r="P5" s="69"/>
      <c r="Q5" s="69"/>
      <c r="R5" s="69"/>
      <c r="S5" s="208"/>
      <c r="T5" s="69"/>
      <c r="U5" s="85"/>
      <c r="V5" s="85"/>
      <c r="W5" s="69"/>
      <c r="X5" s="70"/>
    </row>
    <row r="6" spans="2:24" ht="1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>
      <c r="B8" s="63">
        <v>44714.53125</v>
      </c>
      <c r="C8" s="60" t="s">
        <v>1</v>
      </c>
      <c r="D8" s="60" t="s">
        <v>51</v>
      </c>
      <c r="E8" s="60">
        <v>0</v>
      </c>
      <c r="F8" s="60">
        <v>300</v>
      </c>
      <c r="G8" s="60">
        <v>0</v>
      </c>
      <c r="H8" s="61">
        <v>298.5</v>
      </c>
      <c r="I8" s="60">
        <v>0</v>
      </c>
      <c r="J8" s="61">
        <f>F8/H8</f>
        <v>1.0050251256281406</v>
      </c>
      <c r="K8" s="61">
        <f>(H8-F8)*100/F8</f>
        <v>-0.5</v>
      </c>
      <c r="L8" s="60" t="s">
        <v>67</v>
      </c>
      <c r="M8" s="78" t="s">
        <v>219</v>
      </c>
      <c r="O8" s="63">
        <v>44718.515972222223</v>
      </c>
      <c r="P8" s="64" t="s">
        <v>70</v>
      </c>
      <c r="Q8" s="64">
        <v>4946.0600000000004</v>
      </c>
      <c r="R8" s="64">
        <v>3908.82</v>
      </c>
      <c r="S8" s="77" t="s">
        <v>220</v>
      </c>
      <c r="T8" s="77">
        <v>810.73</v>
      </c>
      <c r="U8" s="86">
        <v>1.0193000000000001</v>
      </c>
      <c r="V8" s="86">
        <v>1.0146999999999999</v>
      </c>
      <c r="W8" s="60" t="s">
        <v>67</v>
      </c>
      <c r="X8" s="78" t="s">
        <v>219</v>
      </c>
    </row>
    <row r="9" spans="2:24" ht="15.7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si="0" ref="J9:J14">F9/H9</f>
        <v>#DIV/0!</v>
      </c>
      <c r="K9" s="61">
        <f t="shared" si="1" ref="K9:K14">(H9-F9)*100/F9</f>
        <v>-100</v>
      </c>
      <c r="L9" s="60" t="s">
        <v>67</v>
      </c>
      <c r="M9" s="62"/>
      <c r="O9" s="63"/>
      <c r="P9" s="64" t="s">
        <v>70</v>
      </c>
      <c r="Q9" s="64"/>
      <c r="R9" s="64"/>
      <c r="S9" s="77" t="s">
        <v>220</v>
      </c>
      <c r="T9" s="77"/>
      <c r="U9" s="86"/>
      <c r="V9" s="86"/>
      <c r="W9" s="60" t="s">
        <v>67</v>
      </c>
      <c r="X9" s="62"/>
    </row>
    <row r="10" spans="2:24" ht="15.75">
      <c r="B10" s="63"/>
      <c r="C10" s="60" t="s">
        <v>1</v>
      </c>
      <c r="D10" s="60" t="s">
        <v>51</v>
      </c>
      <c r="E10" s="60">
        <v>0</v>
      </c>
      <c r="F10" s="60">
        <v>100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/>
      <c r="O10" s="63"/>
      <c r="P10" s="64" t="s">
        <v>70</v>
      </c>
      <c r="Q10" s="64"/>
      <c r="R10" s="64"/>
      <c r="S10" s="77" t="s">
        <v>220</v>
      </c>
      <c r="T10" s="77"/>
      <c r="U10" s="86"/>
      <c r="V10" s="86"/>
      <c r="W10" s="60" t="s">
        <v>67</v>
      </c>
      <c r="X10" s="62"/>
    </row>
    <row r="11" spans="2:24" ht="15.75">
      <c r="B11" s="63"/>
      <c r="C11" s="60" t="s">
        <v>1</v>
      </c>
      <c r="D11" s="60" t="s">
        <v>51</v>
      </c>
      <c r="E11" s="60">
        <v>0</v>
      </c>
      <c r="F11" s="60">
        <v>100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/>
      <c r="O11" s="63"/>
      <c r="P11" s="64" t="s">
        <v>70</v>
      </c>
      <c r="Q11" s="64"/>
      <c r="R11" s="64"/>
      <c r="S11" s="77" t="s">
        <v>220</v>
      </c>
      <c r="T11" s="77"/>
      <c r="U11" s="86"/>
      <c r="V11" s="86"/>
      <c r="W11" s="60" t="s">
        <v>67</v>
      </c>
      <c r="X11" s="62"/>
    </row>
    <row r="12" spans="2:24" ht="15.7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220</v>
      </c>
      <c r="T12" s="77"/>
      <c r="U12" s="86"/>
      <c r="V12" s="86"/>
      <c r="W12" s="60" t="s">
        <v>67</v>
      </c>
      <c r="X12" s="62"/>
    </row>
    <row r="13" spans="2:24" ht="15.7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 t="s">
        <v>220</v>
      </c>
      <c r="T13" s="77"/>
      <c r="U13" s="86"/>
      <c r="V13" s="86"/>
      <c r="W13" s="60" t="s">
        <v>67</v>
      </c>
      <c r="X13" s="62"/>
    </row>
    <row r="14" spans="2:24" ht="15.7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 t="s">
        <v>220</v>
      </c>
      <c r="T14" s="77"/>
      <c r="U14" s="86"/>
      <c r="V14" s="86"/>
      <c r="W14" s="60" t="s">
        <v>67</v>
      </c>
      <c r="X14" s="78"/>
    </row>
    <row r="15" spans="2:24" ht="15.7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 t="s">
        <v>220</v>
      </c>
      <c r="T15" s="77"/>
      <c r="U15" s="86"/>
      <c r="V15" s="86"/>
      <c r="W15" s="60" t="s">
        <v>67</v>
      </c>
      <c r="X15" s="78"/>
    </row>
    <row r="16" spans="2:24" ht="15.7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 t="s">
        <v>220</v>
      </c>
      <c r="T16" s="77"/>
      <c r="U16" s="86"/>
      <c r="V16" s="86"/>
      <c r="W16" s="60" t="s">
        <v>67</v>
      </c>
      <c r="X16" s="78"/>
    </row>
    <row r="17" spans="2:24" ht="15.7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 t="s">
        <v>220</v>
      </c>
      <c r="T17" s="77"/>
      <c r="U17" s="86"/>
      <c r="V17" s="86"/>
      <c r="W17" s="60"/>
      <c r="X17" s="78"/>
    </row>
    <row r="18" spans="2:24" ht="15.7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220</v>
      </c>
      <c r="T18" s="77"/>
      <c r="U18" s="86"/>
      <c r="V18" s="86"/>
      <c r="W18" s="60"/>
      <c r="X18" s="78"/>
    </row>
    <row r="19" spans="2:24" ht="15.7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>
      <c r="B21" s="44"/>
      <c r="C21" s="231" t="s">
        <v>25</v>
      </c>
      <c r="D21" s="231"/>
      <c r="E21" s="231"/>
      <c r="F21" s="231"/>
      <c r="G21" s="231"/>
      <c r="H21" s="231"/>
      <c r="I21" s="45">
        <f>COUNT(B8:B20)</f>
        <v>1</v>
      </c>
      <c r="J21" s="46"/>
      <c r="K21" s="46"/>
      <c r="L21" s="47"/>
      <c r="M21" s="48"/>
      <c r="O21" s="80"/>
      <c r="P21" s="230" t="s">
        <v>84</v>
      </c>
      <c r="Q21" s="230"/>
      <c r="R21" s="230"/>
      <c r="S21" s="230"/>
      <c r="T21" s="81">
        <f>COUNT(O8:O20)</f>
        <v>1</v>
      </c>
      <c r="U21" s="88"/>
      <c r="V21" s="88"/>
      <c r="W21" s="82"/>
      <c r="X21" s="83"/>
    </row>
    <row r="22" spans="3:24" ht="1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10:24" ht="15.75" thickBot="1">
      <c r="J23" s="22"/>
      <c r="K23" s="22"/>
      <c r="S23" s="25"/>
      <c r="T23" s="25"/>
      <c r="U23" s="84"/>
      <c r="V23" s="84"/>
      <c r="W23" s="25"/>
      <c r="X23" s="25"/>
    </row>
    <row r="24" spans="2:24" s="24" customFormat="1" ht="15">
      <c r="B24" s="49"/>
      <c r="C24" s="50"/>
      <c r="D24" s="50"/>
      <c r="E24" s="50"/>
      <c r="F24" s="50"/>
      <c r="G24" s="232" t="s">
        <v>2</v>
      </c>
      <c r="H24" s="23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ht="1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>
      <c r="B27" s="63">
        <v>44714.541666666664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0.80</v>
      </c>
      <c r="H27" s="61">
        <v>199</v>
      </c>
      <c r="I27" s="60">
        <v>0</v>
      </c>
      <c r="J27" s="61">
        <f>F27/H27</f>
        <v>1.0050251256281406</v>
      </c>
      <c r="K27" s="61">
        <f>(H27-F27)*100/F27</f>
        <v>-0.5</v>
      </c>
      <c r="L27" s="60" t="s">
        <v>67</v>
      </c>
      <c r="M27" s="78" t="s">
        <v>216</v>
      </c>
      <c r="O27" s="63">
        <v>44718.515972222223</v>
      </c>
      <c r="P27" s="64" t="s">
        <v>71</v>
      </c>
      <c r="Q27" s="64">
        <v>5202.26</v>
      </c>
      <c r="R27" s="64">
        <v>4117.41</v>
      </c>
      <c r="S27" s="77" t="s">
        <v>221</v>
      </c>
      <c r="T27" s="77">
        <v>797.57</v>
      </c>
      <c r="U27" s="86">
        <v>1.01</v>
      </c>
      <c r="V27" s="86">
        <v>1.0143</v>
      </c>
      <c r="W27" s="60" t="s">
        <v>67</v>
      </c>
      <c r="X27" s="78" t="s">
        <v>219</v>
      </c>
    </row>
    <row r="28" spans="2:24" s="24" customFormat="1" ht="15.7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>
        <v>1.20</v>
      </c>
      <c r="H28" s="61"/>
      <c r="I28" s="60">
        <v>0</v>
      </c>
      <c r="J28" s="61" t="e">
        <f t="shared" si="2" ref="J28:J33">F28/H28</f>
        <v>#DIV/0!</v>
      </c>
      <c r="K28" s="61">
        <f t="shared" si="3" ref="K28:K33">(H28-F28)*100/F28</f>
        <v>-100</v>
      </c>
      <c r="L28" s="60" t="s">
        <v>67</v>
      </c>
      <c r="M28" s="62"/>
      <c r="O28" s="63"/>
      <c r="P28" s="64" t="s">
        <v>71</v>
      </c>
      <c r="Q28" s="64"/>
      <c r="R28" s="64"/>
      <c r="S28" s="77" t="s">
        <v>221</v>
      </c>
      <c r="T28" s="77"/>
      <c r="U28" s="86"/>
      <c r="V28" s="86"/>
      <c r="W28" s="60" t="s">
        <v>67</v>
      </c>
      <c r="X28" s="62"/>
    </row>
    <row r="29" spans="2:24" s="24" customFormat="1" ht="15.7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>
        <v>1.40</v>
      </c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/>
      <c r="O29" s="63"/>
      <c r="P29" s="64" t="s">
        <v>71</v>
      </c>
      <c r="Q29" s="64"/>
      <c r="R29" s="64"/>
      <c r="S29" s="77" t="s">
        <v>221</v>
      </c>
      <c r="T29" s="77"/>
      <c r="U29" s="86"/>
      <c r="V29" s="86"/>
      <c r="W29" s="60" t="s">
        <v>67</v>
      </c>
      <c r="X29" s="62"/>
    </row>
    <row r="30" spans="2:24" s="24" customFormat="1" ht="15.7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>
        <v>1</v>
      </c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/>
      <c r="O30" s="63"/>
      <c r="P30" s="64" t="s">
        <v>71</v>
      </c>
      <c r="Q30" s="64"/>
      <c r="R30" s="64"/>
      <c r="S30" s="77" t="s">
        <v>221</v>
      </c>
      <c r="T30" s="77"/>
      <c r="U30" s="86"/>
      <c r="V30" s="86"/>
      <c r="W30" s="60" t="s">
        <v>67</v>
      </c>
      <c r="X30" s="62"/>
    </row>
    <row r="31" spans="2:24" s="24" customFormat="1" ht="15.7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>
        <v>1.20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221</v>
      </c>
      <c r="T31" s="77"/>
      <c r="U31" s="86"/>
      <c r="V31" s="86"/>
      <c r="W31" s="60" t="s">
        <v>67</v>
      </c>
      <c r="X31" s="62"/>
    </row>
    <row r="32" spans="2:24" s="24" customFormat="1" ht="15.7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 t="s">
        <v>221</v>
      </c>
      <c r="T32" s="77"/>
      <c r="U32" s="86"/>
      <c r="V32" s="86"/>
      <c r="W32" s="60" t="s">
        <v>67</v>
      </c>
      <c r="X32" s="62"/>
    </row>
    <row r="33" spans="2:24" s="24" customFormat="1" ht="15.7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 t="s">
        <v>221</v>
      </c>
      <c r="T33" s="77"/>
      <c r="U33" s="86"/>
      <c r="V33" s="86"/>
      <c r="W33" s="60" t="s">
        <v>67</v>
      </c>
      <c r="X33" s="78"/>
    </row>
    <row r="34" spans="2:24" s="24" customFormat="1" ht="15.7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 t="s">
        <v>221</v>
      </c>
      <c r="T34" s="77"/>
      <c r="U34" s="86"/>
      <c r="V34" s="86"/>
      <c r="W34" s="60" t="s">
        <v>67</v>
      </c>
      <c r="X34" s="78"/>
    </row>
    <row r="35" spans="2:24" s="24" customFormat="1" ht="15.7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 t="s">
        <v>221</v>
      </c>
      <c r="T35" s="77"/>
      <c r="U35" s="86"/>
      <c r="V35" s="86"/>
      <c r="W35" s="60" t="s">
        <v>67</v>
      </c>
      <c r="X35" s="78"/>
    </row>
    <row r="36" spans="2:24" s="24" customFormat="1" ht="15.7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 t="s">
        <v>221</v>
      </c>
      <c r="T36" s="77"/>
      <c r="U36" s="86"/>
      <c r="V36" s="86"/>
      <c r="W36" s="60"/>
      <c r="X36" s="78"/>
    </row>
    <row r="37" spans="2:24" s="24" customFormat="1" ht="15.7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 t="s">
        <v>221</v>
      </c>
      <c r="T37" s="77"/>
      <c r="U37" s="86"/>
      <c r="V37" s="86"/>
      <c r="W37" s="60"/>
      <c r="X37" s="78"/>
    </row>
    <row r="38" spans="2:24" s="24" customFormat="1" ht="15.7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30" t="s">
        <v>85</v>
      </c>
      <c r="Q40" s="230"/>
      <c r="R40" s="230"/>
      <c r="S40" s="230"/>
      <c r="T40" s="81">
        <f>COUNT(O27:O39)</f>
        <v>1</v>
      </c>
      <c r="U40" s="88"/>
      <c r="V40" s="88"/>
      <c r="W40" s="82"/>
      <c r="X40" s="83"/>
    </row>
    <row r="41" spans="2:24" s="24" customFormat="1" ht="15.75" thickBot="1">
      <c r="B41" s="44"/>
      <c r="C41" s="47"/>
      <c r="D41" s="231" t="s">
        <v>26</v>
      </c>
      <c r="E41" s="231"/>
      <c r="F41" s="231"/>
      <c r="G41" s="231"/>
      <c r="H41" s="231"/>
      <c r="I41" s="231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2" s="24" customFormat="1" ht="1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ht="15.75" thickBot="1"/>
    <row r="44" spans="2:13" ht="15">
      <c r="B44" s="49"/>
      <c r="C44" s="50"/>
      <c r="D44" s="50"/>
      <c r="E44" s="50"/>
      <c r="F44" s="50"/>
      <c r="G44" s="232" t="s">
        <v>23</v>
      </c>
      <c r="H44" s="232"/>
      <c r="I44" s="40"/>
      <c r="J44" s="51"/>
      <c r="K44" s="51"/>
      <c r="L44" s="40"/>
      <c r="M44" s="41"/>
    </row>
    <row r="45" spans="2:22" s="24" customFormat="1" ht="1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2" s="24" customFormat="1" ht="15.75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2" s="24" customFormat="1" ht="15.75">
      <c r="B47" s="63"/>
      <c r="C47" s="60" t="s">
        <v>23</v>
      </c>
      <c r="D47" s="60" t="s">
        <v>51</v>
      </c>
      <c r="E47" s="60">
        <v>0</v>
      </c>
      <c r="F47" s="60">
        <v>250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/>
      <c r="O47" s="25"/>
      <c r="P47" s="25"/>
      <c r="Q47" s="25"/>
      <c r="R47" s="25"/>
      <c r="S47" s="84"/>
      <c r="T47" s="84"/>
      <c r="U47" s="25"/>
      <c r="V47" s="25"/>
    </row>
    <row r="48" spans="2:22" s="24" customFormat="1" ht="15.7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1.20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>
      <c r="B61" s="44"/>
      <c r="C61" s="47"/>
      <c r="D61" s="231" t="s">
        <v>27</v>
      </c>
      <c r="E61" s="231"/>
      <c r="F61" s="231"/>
      <c r="G61" s="231"/>
      <c r="H61" s="231"/>
      <c r="I61" s="231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ht="1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ht="15.75" thickBot="1"/>
    <row r="64" spans="2:13" ht="15">
      <c r="B64" s="49"/>
      <c r="C64" s="50"/>
      <c r="D64" s="50"/>
      <c r="E64" s="50"/>
      <c r="F64" s="50"/>
      <c r="G64" s="232" t="s">
        <v>3</v>
      </c>
      <c r="H64" s="232"/>
      <c r="I64" s="40"/>
      <c r="J64" s="51"/>
      <c r="K64" s="51"/>
      <c r="L64" s="40"/>
      <c r="M64" s="41"/>
    </row>
    <row r="65" spans="2:13" ht="1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>
      <c r="B67" s="63">
        <v>44806.625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7">
        <v>4.99</v>
      </c>
      <c r="I67" s="60">
        <v>0</v>
      </c>
      <c r="J67" s="61">
        <f>F67/H67</f>
        <v>1.002004008016032</v>
      </c>
      <c r="K67" s="61">
        <f>(H67-F67)*100/F67</f>
        <v>-0.19999999999999574</v>
      </c>
      <c r="L67" s="60" t="s">
        <v>67</v>
      </c>
      <c r="M67" s="78" t="s">
        <v>216</v>
      </c>
    </row>
    <row r="68" spans="2:13" ht="15.75">
      <c r="B68" s="63"/>
      <c r="C68" s="60" t="s">
        <v>3</v>
      </c>
      <c r="D68" s="60" t="s">
        <v>52</v>
      </c>
      <c r="E68" s="60">
        <v>0</v>
      </c>
      <c r="F68" s="60">
        <v>6</v>
      </c>
      <c r="G68" s="60">
        <v>0</v>
      </c>
      <c r="H68" s="61"/>
      <c r="I68" s="60">
        <v>0</v>
      </c>
      <c r="J68" s="61" t="e">
        <f t="shared" si="4" ref="J68:J73">F68/H68</f>
        <v>#DIV/0!</v>
      </c>
      <c r="K68" s="61">
        <f t="shared" si="5" ref="K68:K73">(H68-F68)*100/F68</f>
        <v>-100</v>
      </c>
      <c r="L68" s="60" t="s">
        <v>67</v>
      </c>
      <c r="M68" s="62"/>
    </row>
    <row r="69" spans="2:13" ht="15.75">
      <c r="B69" s="63"/>
      <c r="C69" s="60" t="s">
        <v>3</v>
      </c>
      <c r="D69" s="60" t="s">
        <v>52</v>
      </c>
      <c r="E69" s="60">
        <v>0</v>
      </c>
      <c r="F69" s="60">
        <v>6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/>
    </row>
    <row r="70" spans="2:13" ht="15.75">
      <c r="B70" s="63"/>
      <c r="C70" s="60" t="s">
        <v>3</v>
      </c>
      <c r="D70" s="60" t="s">
        <v>52</v>
      </c>
      <c r="E70" s="60">
        <v>0</v>
      </c>
      <c r="F70" s="60">
        <v>6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/>
    </row>
    <row r="71" spans="2:13" ht="15.7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>
      <c r="B81" s="44"/>
      <c r="C81" s="47"/>
      <c r="D81" s="231" t="s">
        <v>28</v>
      </c>
      <c r="E81" s="231"/>
      <c r="F81" s="231"/>
      <c r="G81" s="231"/>
      <c r="H81" s="231"/>
      <c r="I81" s="231"/>
      <c r="J81" s="52">
        <f>COUNT(B67:B79)</f>
        <v>1</v>
      </c>
      <c r="K81" s="46"/>
      <c r="L81" s="47"/>
      <c r="M81" s="48"/>
    </row>
    <row r="83" ht="15.75" thickBot="1"/>
    <row r="84" spans="2:13" ht="15">
      <c r="B84" s="49"/>
      <c r="C84" s="50"/>
      <c r="D84" s="50"/>
      <c r="E84" s="50"/>
      <c r="F84" s="50"/>
      <c r="G84" s="232" t="s">
        <v>24</v>
      </c>
      <c r="H84" s="232"/>
      <c r="I84" s="40"/>
      <c r="J84" s="51"/>
      <c r="K84" s="51"/>
      <c r="L84" s="40"/>
      <c r="M84" s="41"/>
    </row>
    <row r="85" spans="2:13" ht="1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si="6" ref="J87:J92">F87/H87</f>
        <v>#DIV/0!</v>
      </c>
      <c r="K87" s="61">
        <f t="shared" si="7" ref="K87:K92">(H87-F87)*100/F87</f>
        <v>-100</v>
      </c>
      <c r="L87" s="60" t="s">
        <v>67</v>
      </c>
      <c r="M87" s="62"/>
    </row>
    <row r="88" spans="2:13" ht="15.7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>
      <c r="B101" s="44"/>
      <c r="C101" s="47"/>
      <c r="D101" s="231" t="s">
        <v>29</v>
      </c>
      <c r="E101" s="231"/>
      <c r="F101" s="231"/>
      <c r="G101" s="231"/>
      <c r="H101" s="231"/>
      <c r="I101" s="231"/>
      <c r="J101" s="52">
        <f>COUNT(B87:B99)</f>
        <v>0</v>
      </c>
      <c r="K101" s="46"/>
      <c r="L101" s="47"/>
      <c r="M101" s="48"/>
    </row>
    <row r="103" ht="15.75" thickBot="1"/>
    <row r="104" spans="2:13" ht="15">
      <c r="B104" s="49"/>
      <c r="C104" s="40"/>
      <c r="D104" s="40"/>
      <c r="E104" s="40"/>
      <c r="F104" s="40"/>
      <c r="G104" s="233" t="s">
        <v>4</v>
      </c>
      <c r="H104" s="233"/>
      <c r="I104" s="40"/>
      <c r="J104" s="40"/>
      <c r="K104" s="40"/>
      <c r="L104" s="40"/>
      <c r="M104" s="41"/>
    </row>
    <row r="105" spans="2:13" ht="1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>
      <c r="B107" s="63">
        <v>44714.489583333336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</v>
      </c>
      <c r="I107" s="60">
        <f>G107-E107</f>
        <v>0</v>
      </c>
      <c r="J107" s="61">
        <f>F107/H107</f>
        <v>0.99688473520249221</v>
      </c>
      <c r="K107" s="61">
        <f>(H107-F107)*100/F107</f>
        <v>0.3125</v>
      </c>
      <c r="L107" s="60" t="s">
        <v>67</v>
      </c>
      <c r="M107" s="62" t="s">
        <v>216</v>
      </c>
    </row>
    <row r="108" spans="2:13" ht="15.7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/>
    </row>
    <row r="109" spans="2:13" ht="15.7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si="8" ref="I109:I114">G109-E109</f>
        <v>0</v>
      </c>
      <c r="J109" s="61" t="e">
        <f t="shared" si="9" ref="J109:J114">F109/H109</f>
        <v>#DIV/0!</v>
      </c>
      <c r="K109" s="61">
        <f t="shared" si="10" ref="K109:K114">(H109-F109)*100/F109</f>
        <v>-100</v>
      </c>
      <c r="L109" s="60" t="s">
        <v>67</v>
      </c>
      <c r="M109" s="62"/>
    </row>
    <row r="110" spans="2:13" ht="15.7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/>
    </row>
    <row r="111" spans="2:13" ht="15.7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>
      <c r="B119" s="44"/>
      <c r="C119" s="231" t="s">
        <v>69</v>
      </c>
      <c r="D119" s="231"/>
      <c r="E119" s="231"/>
      <c r="F119" s="231"/>
      <c r="G119" s="231"/>
      <c r="H119" s="231"/>
      <c r="I119" s="52">
        <f>COUNT(B107:B118)</f>
        <v>1</v>
      </c>
      <c r="J119" s="46"/>
      <c r="K119" s="46"/>
      <c r="L119" s="47"/>
      <c r="M119" s="48"/>
    </row>
  </sheetData>
  <sheetProtection/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orientation="portrait" paperSize="9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3db310-1447-4762-93ba-84f716be8176}">
  <sheetPr codeName=""/>
  <dimension ref="A2:E56"/>
  <sheetViews>
    <sheetView workbookViewId="0" topLeftCell="A1">
      <selection pane="topLeft" activeCell="B2" sqref="B2:C2"/>
    </sheetView>
  </sheetViews>
  <sheetFormatPr defaultColWidth="9.14285714285714" defaultRowHeight="15"/>
  <cols>
    <col min="1" max="1" width="9.14285714285714" style="12" customWidth="1"/>
    <col min="2" max="2" width="28.2857142857143" customWidth="1"/>
    <col min="3" max="3" width="30" customWidth="1"/>
    <col min="4" max="4" width="27.8571428571429" customWidth="1"/>
  </cols>
  <sheetData>
    <row r="2" spans="2:5" ht="15">
      <c r="B2" s="236" t="s">
        <v>2647</v>
      </c>
      <c r="C2" s="236"/>
      <c r="D2" s="237" t="str">
        <f>'MONTHLY 31'!$B$2</f>
        <v>01-06-2022 00:15</v>
      </c>
      <c r="E2" s="237"/>
    </row>
    <row r="3" spans="2:5" ht="15">
      <c r="B3" s="236" t="s">
        <v>21</v>
      </c>
      <c r="C3" s="236"/>
      <c r="D3" s="237"/>
      <c r="E3" s="237"/>
    </row>
    <row r="7" spans="1:4" s="19" customFormat="1" ht="15">
      <c r="A7" s="53"/>
      <c r="B7" s="30" t="s">
        <v>6</v>
      </c>
      <c r="C7" s="30" t="s">
        <v>7</v>
      </c>
      <c r="D7" s="31" t="s">
        <v>8</v>
      </c>
    </row>
    <row r="8" spans="1:4" s="24" customFormat="1" ht="15">
      <c r="A8" s="53"/>
      <c r="B8" s="56"/>
      <c r="C8" s="56"/>
      <c r="D8" s="33">
        <f t="shared" si="0" ref="D8:D13">C8-B8</f>
        <v>0</v>
      </c>
    </row>
    <row r="9" spans="1:4" s="24" customFormat="1" ht="15">
      <c r="A9" s="53"/>
      <c r="B9" s="56"/>
      <c r="C9" s="56"/>
      <c r="D9" s="33">
        <f t="shared" si="0"/>
        <v>0</v>
      </c>
    </row>
    <row r="10" spans="1:4" s="24" customFormat="1" ht="15">
      <c r="A10" s="53"/>
      <c r="B10" s="32"/>
      <c r="C10" s="32"/>
      <c r="D10" s="33">
        <f t="shared" si="0"/>
        <v>0</v>
      </c>
    </row>
    <row r="11" spans="1:4" s="19" customFormat="1" ht="15">
      <c r="A11" s="53"/>
      <c r="B11" s="34"/>
      <c r="C11" s="34"/>
      <c r="D11" s="33">
        <f t="shared" si="0"/>
        <v>0</v>
      </c>
    </row>
    <row r="12" spans="2:4" ht="15">
      <c r="B12" s="34"/>
      <c r="C12" s="34"/>
      <c r="D12" s="33">
        <f t="shared" si="0"/>
        <v>0</v>
      </c>
    </row>
    <row r="13" spans="2:4" ht="15">
      <c r="B13" s="34"/>
      <c r="C13" s="34"/>
      <c r="D13" s="33">
        <f t="shared" si="0"/>
        <v>0</v>
      </c>
    </row>
    <row r="14" spans="2:4" s="12" customFormat="1" ht="15">
      <c r="B14" s="34"/>
      <c r="C14" s="34"/>
      <c r="D14" s="33">
        <f t="shared" si="1" ref="D14:D23">C14-B14</f>
        <v>0</v>
      </c>
    </row>
    <row r="15" spans="2:4" s="12" customFormat="1" ht="15">
      <c r="B15" s="32"/>
      <c r="C15" s="32"/>
      <c r="D15" s="33">
        <f t="shared" si="1"/>
        <v>0</v>
      </c>
    </row>
    <row r="16" spans="2:4" s="12" customFormat="1" ht="15">
      <c r="B16" s="32"/>
      <c r="C16" s="32"/>
      <c r="D16" s="33">
        <f t="shared" si="1"/>
        <v>0</v>
      </c>
    </row>
    <row r="17" spans="2:4" ht="15">
      <c r="B17" s="32"/>
      <c r="C17" s="32"/>
      <c r="D17" s="33">
        <f t="shared" si="1"/>
        <v>0</v>
      </c>
    </row>
    <row r="18" spans="2:4" ht="15">
      <c r="B18" s="32"/>
      <c r="C18" s="32"/>
      <c r="D18" s="33">
        <f t="shared" si="1"/>
        <v>0</v>
      </c>
    </row>
    <row r="19" spans="2:4" ht="15">
      <c r="B19" s="34"/>
      <c r="C19" s="32"/>
      <c r="D19" s="33">
        <f t="shared" si="1"/>
        <v>0</v>
      </c>
    </row>
    <row r="20" spans="2:4" ht="15">
      <c r="B20" s="34"/>
      <c r="C20" s="32"/>
      <c r="D20" s="33">
        <f t="shared" si="1"/>
        <v>0</v>
      </c>
    </row>
    <row r="21" spans="2:4" ht="15">
      <c r="B21" s="34"/>
      <c r="C21" s="32"/>
      <c r="D21" s="33">
        <f t="shared" si="1"/>
        <v>0</v>
      </c>
    </row>
    <row r="22" spans="2:4" s="12" customFormat="1" ht="15">
      <c r="B22" s="34"/>
      <c r="C22" s="32"/>
      <c r="D22" s="33">
        <f t="shared" si="1"/>
        <v>0</v>
      </c>
    </row>
    <row r="23" spans="2:4" s="12" customFormat="1" ht="15">
      <c r="B23" s="34"/>
      <c r="C23" s="32"/>
      <c r="D23" s="33">
        <f t="shared" si="1"/>
        <v>0</v>
      </c>
    </row>
    <row r="24" spans="2:4" s="12" customFormat="1" ht="15">
      <c r="B24" s="36" t="s">
        <v>22</v>
      </c>
      <c r="C24" s="32"/>
      <c r="D24" s="35">
        <f>SUM(D7:D23)</f>
        <v>0</v>
      </c>
    </row>
    <row r="25" spans="2:4" s="12" customFormat="1" ht="15">
      <c r="B25" s="21"/>
      <c r="C25" s="1"/>
      <c r="D25" s="20"/>
    </row>
    <row r="26" spans="2:4" s="12" customFormat="1" ht="15">
      <c r="B26" s="21"/>
      <c r="C26" s="1"/>
      <c r="D26" s="20"/>
    </row>
    <row r="27" spans="2:4" s="12" customFormat="1" ht="15">
      <c r="B27" s="21"/>
      <c r="C27" s="1"/>
      <c r="D27" s="20"/>
    </row>
    <row r="28" spans="2:4" s="12" customFormat="1" ht="15">
      <c r="B28" s="21"/>
      <c r="C28" s="1"/>
      <c r="D28" s="20"/>
    </row>
    <row r="29" spans="2:4" s="12" customFormat="1" ht="15">
      <c r="B29" s="21"/>
      <c r="C29" s="1"/>
      <c r="D29" s="20"/>
    </row>
    <row r="30" spans="2:4" s="12" customFormat="1" ht="15">
      <c r="B30" s="21"/>
      <c r="C30" s="1"/>
      <c r="D30" s="20"/>
    </row>
    <row r="31" spans="2:4" s="12" customFormat="1" ht="15">
      <c r="B31" s="21"/>
      <c r="C31" s="1"/>
      <c r="D31" s="20"/>
    </row>
    <row r="32" spans="2:4" s="12" customFormat="1" ht="15">
      <c r="B32" s="21"/>
      <c r="C32" s="1"/>
      <c r="D32" s="20"/>
    </row>
    <row r="33" spans="2:4" s="12" customFormat="1" ht="15">
      <c r="B33" s="21"/>
      <c r="C33" s="1"/>
      <c r="D33" s="20"/>
    </row>
    <row r="34" spans="2:4" s="12" customFormat="1" ht="15">
      <c r="B34" s="21"/>
      <c r="C34" s="1"/>
      <c r="D34" s="20"/>
    </row>
    <row r="35" spans="2:4" s="12" customFormat="1" ht="15">
      <c r="B35" s="21"/>
      <c r="C35" s="1"/>
      <c r="D35" s="20"/>
    </row>
    <row r="36" spans="2:4" s="12" customFormat="1" ht="15">
      <c r="B36" s="21"/>
      <c r="C36" s="1"/>
      <c r="D36" s="20"/>
    </row>
    <row r="37" spans="2:4" s="12" customFormat="1" ht="15">
      <c r="B37" s="21"/>
      <c r="C37" s="1"/>
      <c r="D37" s="20"/>
    </row>
    <row r="38" spans="2:4" s="12" customFormat="1" ht="15">
      <c r="B38" s="21"/>
      <c r="C38" s="1"/>
      <c r="D38" s="20"/>
    </row>
    <row r="39" spans="2:4" s="12" customFormat="1" ht="15">
      <c r="B39" s="21"/>
      <c r="C39" s="1"/>
      <c r="D39" s="20"/>
    </row>
    <row r="40" spans="2:4" s="12" customFormat="1" ht="15">
      <c r="B40" s="21"/>
      <c r="C40" s="1"/>
      <c r="D40" s="20"/>
    </row>
    <row r="41" spans="2:4" s="12" customFormat="1" ht="15">
      <c r="B41" s="21"/>
      <c r="C41" s="1"/>
      <c r="D41" s="20"/>
    </row>
    <row r="42" spans="2:4" s="12" customFormat="1" ht="15">
      <c r="B42" s="21"/>
      <c r="C42" s="1"/>
      <c r="D42" s="20"/>
    </row>
    <row r="43" spans="2:4" s="12" customFormat="1" ht="15">
      <c r="B43" s="21"/>
      <c r="C43" s="1"/>
      <c r="D43" s="20"/>
    </row>
    <row r="44" spans="2:4" s="12" customFormat="1" ht="15.75">
      <c r="B44" s="238" t="s">
        <v>22</v>
      </c>
      <c r="C44" s="238"/>
      <c r="D44" s="20">
        <f>SUM(D11:D42)</f>
        <v>0</v>
      </c>
    </row>
    <row r="45" spans="2:4" s="12" customFormat="1" ht="15">
      <c r="B45" s="21"/>
      <c r="C45" s="1"/>
      <c r="D45" s="20"/>
    </row>
    <row r="46" spans="2:4" s="12" customFormat="1" ht="15">
      <c r="B46" s="1"/>
      <c r="C46" s="1"/>
      <c r="D46" s="20"/>
    </row>
    <row r="47" spans="2:4" ht="15">
      <c r="B47" s="1"/>
      <c r="C47" s="1"/>
      <c r="D47" s="20"/>
    </row>
    <row r="48" spans="2:4" ht="15">
      <c r="B48" s="1"/>
      <c r="C48" s="1"/>
      <c r="D48" s="20"/>
    </row>
    <row r="49" spans="2:4" s="12" customFormat="1" ht="15">
      <c r="B49" s="1"/>
      <c r="C49" s="1"/>
      <c r="D49" s="20"/>
    </row>
    <row r="50" spans="2:4" s="12" customFormat="1" ht="15">
      <c r="B50" s="21"/>
      <c r="C50" s="1"/>
      <c r="D50" s="20"/>
    </row>
    <row r="51" spans="2:4" s="12" customFormat="1" ht="15">
      <c r="B51" s="21"/>
      <c r="C51" s="1"/>
      <c r="D51" s="20"/>
    </row>
    <row r="52" spans="2:4" s="12" customFormat="1" ht="15">
      <c r="B52" s="21"/>
      <c r="C52" s="1"/>
      <c r="D52" s="20"/>
    </row>
    <row r="53" spans="2:4" s="12" customFormat="1" ht="15">
      <c r="B53" s="21"/>
      <c r="C53" s="1"/>
      <c r="D53" s="20"/>
    </row>
    <row r="54" spans="2:4" s="12" customFormat="1" ht="15">
      <c r="B54" s="1"/>
      <c r="C54" s="1"/>
      <c r="D54" s="20"/>
    </row>
    <row r="55" spans="4:4" ht="15">
      <c r="D55" s="20"/>
    </row>
    <row r="56" spans="4:4" ht="15" thickBot="1">
      <c r="D56" s="20"/>
    </row>
  </sheetData>
  <sheetProtection/>
  <mergeCells count="4">
    <mergeCell ref="B2:C2"/>
    <mergeCell ref="B3:C3"/>
    <mergeCell ref="D2:E3"/>
    <mergeCell ref="B44:C44"/>
  </mergeCells>
  <pageMargins left="0.7" right="0.7" top="0.75" bottom="0.75" header="0.3" footer="0.3"/>
  <pageSetup orientation="portrait" paperSize="9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b16294-8b6e-4c1e-b9a7-e65780eef918}">
  <sheetPr codeName=""/>
  <dimension ref="B2:AB86"/>
  <sheetViews>
    <sheetView workbookViewId="0" topLeftCell="A58">
      <selection pane="topLeft" activeCell="B4" sqref="B4"/>
    </sheetView>
  </sheetViews>
  <sheetFormatPr defaultColWidth="9.14285714285714" defaultRowHeight="15"/>
  <cols>
    <col min="1" max="1" width="7" style="54" customWidth="1"/>
    <col min="2" max="2" width="13.4285714285714" style="54" customWidth="1"/>
    <col min="3" max="3" width="14" style="54" customWidth="1"/>
    <col min="4" max="4" width="14.1428571428571" style="54" customWidth="1"/>
    <col min="5" max="5" width="18" style="54" customWidth="1"/>
    <col min="6" max="6" width="12.5714285714286" style="54" customWidth="1"/>
    <col min="7" max="8" width="12" style="54" customWidth="1"/>
    <col min="9" max="9" width="12.5714285714286" style="54" customWidth="1"/>
    <col min="10" max="10" width="12" style="54" customWidth="1"/>
    <col min="11" max="11" width="13.1428571428571" style="54" customWidth="1"/>
    <col min="12" max="12" width="12.5714285714286" style="54" customWidth="1"/>
    <col min="13" max="13" width="12" style="54" customWidth="1"/>
    <col min="14" max="14" width="14" style="54" customWidth="1"/>
    <col min="15" max="15" width="14.5714285714286" style="54" customWidth="1"/>
    <col min="16" max="16" width="11.1428571428571" style="54" customWidth="1"/>
    <col min="17" max="17" width="11.7142857142857" style="54" customWidth="1"/>
    <col min="18" max="18" width="11.8571428571429" style="54" customWidth="1"/>
    <col min="19" max="19" width="12.5714285714286" style="54" customWidth="1"/>
    <col min="20" max="20" width="12" style="54" customWidth="1"/>
    <col min="21" max="21" width="14" style="54" customWidth="1"/>
    <col min="22" max="22" width="14.5714285714286" style="54" customWidth="1"/>
    <col min="23" max="23" width="9.14285714285714" style="54"/>
    <col min="24" max="24" width="12.2857142857143" style="54" customWidth="1"/>
    <col min="25" max="25" width="11.7142857142857" style="54" customWidth="1"/>
    <col min="26" max="16384" width="9.14285714285714" style="54"/>
  </cols>
  <sheetData>
    <row r="2" spans="2:8" s="12" customFormat="1" ht="15" customHeight="1">
      <c r="B2" s="254" t="s">
        <v>2648</v>
      </c>
      <c r="C2" s="254"/>
      <c r="D2" s="254"/>
      <c r="E2" s="254"/>
      <c r="F2" s="255">
        <v>44713</v>
      </c>
      <c r="G2" s="256"/>
      <c r="H2" s="256"/>
    </row>
    <row r="3" spans="2:8" s="12" customFormat="1" ht="15" customHeight="1">
      <c r="B3" s="254"/>
      <c r="C3" s="254"/>
      <c r="D3" s="254"/>
      <c r="E3" s="254"/>
      <c r="F3" s="256"/>
      <c r="G3" s="256"/>
      <c r="H3" s="256"/>
    </row>
    <row r="8" spans="10:21" ht="15">
      <c r="J8" s="14"/>
      <c r="K8" s="14"/>
      <c r="L8" s="14"/>
      <c r="U8" s="125"/>
    </row>
    <row r="9" spans="10:21" ht="15.75">
      <c r="J9" s="126"/>
      <c r="K9" s="126"/>
      <c r="L9" s="14"/>
      <c r="U9" s="125"/>
    </row>
    <row r="10" spans="21:21" ht="15">
      <c r="U10" s="125"/>
    </row>
    <row r="11" spans="21:21" ht="15.75" thickBot="1">
      <c r="U11" s="125"/>
    </row>
    <row r="12" spans="2:21" ht="15.75" customHeight="1" thickBot="1">
      <c r="B12" s="257" t="s">
        <v>4</v>
      </c>
      <c r="C12" s="259" t="s">
        <v>134</v>
      </c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127"/>
      <c r="U12" s="125"/>
    </row>
    <row r="13" spans="2:21" ht="15" customHeight="1">
      <c r="B13" s="258"/>
      <c r="C13" s="128" t="s">
        <v>78</v>
      </c>
      <c r="D13" s="129" t="s">
        <v>83</v>
      </c>
      <c r="E13" s="129" t="s">
        <v>135</v>
      </c>
      <c r="F13" s="129" t="s">
        <v>222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>
      <c r="B14" s="258"/>
      <c r="C14" s="124">
        <v>44718</v>
      </c>
      <c r="D14" s="60">
        <v>24.10</v>
      </c>
      <c r="E14" s="60">
        <v>5</v>
      </c>
      <c r="F14" s="60">
        <v>4035.5</v>
      </c>
      <c r="G14" s="60">
        <v>1</v>
      </c>
      <c r="H14" s="60">
        <v>11.90</v>
      </c>
      <c r="I14" s="60">
        <v>5</v>
      </c>
      <c r="J14" s="60">
        <v>3.30</v>
      </c>
      <c r="K14" s="195">
        <v>2423398912</v>
      </c>
      <c r="L14" s="195">
        <v>2513913600</v>
      </c>
      <c r="M14" s="60">
        <v>1498.40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>
      <c r="B15" s="258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>
      <c r="B16" s="258"/>
      <c r="C16" s="195">
        <v>2425504512</v>
      </c>
      <c r="D16" s="195">
        <v>2513962496</v>
      </c>
      <c r="E16" s="60">
        <v>1445.70</v>
      </c>
      <c r="F16" s="60" t="s">
        <v>223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223</v>
      </c>
      <c r="L16" s="60" t="s">
        <v>224</v>
      </c>
      <c r="M16" s="60">
        <v>485</v>
      </c>
      <c r="N16" s="60" t="s">
        <v>224</v>
      </c>
      <c r="O16" s="60">
        <v>30</v>
      </c>
      <c r="P16" s="60">
        <v>49.5</v>
      </c>
      <c r="Q16" s="60">
        <v>50</v>
      </c>
      <c r="R16" s="150" t="s">
        <v>219</v>
      </c>
      <c r="X16" s="11"/>
    </row>
    <row r="17" spans="2:24" ht="15.75" customHeight="1">
      <c r="B17" s="258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18" ht="15.75" customHeight="1">
      <c r="B18" s="258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18" ht="15.7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18" ht="15.75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19" ht="16.5" thickBot="1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10:10" ht="15">
      <c r="J22" s="14"/>
    </row>
    <row r="23" spans="2:27" s="149" customFormat="1" ht="15.75" customHeight="1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10:10" ht="15" customHeight="1">
      <c r="J24" s="14"/>
    </row>
    <row r="25" spans="2:20" ht="15" customHeight="1">
      <c r="B25" s="249" t="s">
        <v>2</v>
      </c>
      <c r="C25" s="252" t="s">
        <v>134</v>
      </c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41"/>
      <c r="S25" s="188"/>
      <c r="T25" s="189"/>
    </row>
    <row r="26" spans="2:28" ht="15" customHeight="1">
      <c r="B26" s="249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0" ht="15.75" customHeight="1">
      <c r="B27" s="249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0" ht="15" customHeight="1">
      <c r="B28" s="249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0" ht="15.75" customHeight="1">
      <c r="B29" s="251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0" ht="1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3:3" ht="15">
      <c r="C31" s="151"/>
    </row>
    <row r="32" spans="3:3" ht="15">
      <c r="C32" s="151"/>
    </row>
    <row r="33" spans="3:3" ht="15" customHeight="1">
      <c r="C33" s="151"/>
    </row>
    <row r="34" ht="15.75" customHeight="1"/>
    <row r="35" ht="15" customHeight="1" thickBot="1"/>
    <row r="36" spans="2:15" ht="15.75" customHeight="1">
      <c r="B36" s="243" t="s">
        <v>3</v>
      </c>
      <c r="C36" s="245" t="s">
        <v>134</v>
      </c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6"/>
    </row>
    <row r="37" spans="2:15" ht="15.75" customHeight="1">
      <c r="B37" s="244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ht="15">
      <c r="B38" s="244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>
      <c r="B39" s="244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ht="15">
      <c r="B40" s="244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15" ht="1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15" ht="15.75" customHeight="1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15" ht="15" customHeight="1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18" ht="15" customHeight="1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18" ht="15" customHeight="1" thickBot="1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10:25" ht="15.75" customHeight="1">
      <c r="J46" s="161"/>
      <c r="R46" s="162"/>
      <c r="Y46" s="149"/>
    </row>
    <row r="47" spans="10:18" ht="16.5" thickBot="1">
      <c r="J47" s="161"/>
      <c r="R47" s="160"/>
    </row>
    <row r="48" spans="2:18" ht="15">
      <c r="B48" s="247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17" ht="15">
      <c r="B49" s="248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17" ht="15">
      <c r="B50" s="248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17" ht="15.75">
      <c r="B51" s="248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17" ht="15.75">
      <c r="B52" s="248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17" ht="1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17" ht="1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17" ht="1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17" ht="15.75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17" ht="16.5" thickBot="1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ht="15">
      <c r="B61" s="249" t="s">
        <v>185</v>
      </c>
      <c r="C61" s="252" t="s">
        <v>134</v>
      </c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41"/>
      <c r="S61" s="166"/>
      <c r="T61" s="167"/>
    </row>
    <row r="62" spans="2:20" ht="15.75">
      <c r="B62" s="249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ht="1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>
      <c r="B65" s="251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ht="15">
      <c r="B69" s="249" t="s">
        <v>202</v>
      </c>
      <c r="C69" s="252" t="s">
        <v>134</v>
      </c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41"/>
      <c r="S69" s="166"/>
      <c r="T69" s="167"/>
    </row>
    <row r="70" spans="2:20" ht="15.75">
      <c r="B70" s="249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>
      <c r="B71" s="249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ht="1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>
      <c r="B73" s="251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ht="15">
      <c r="B77" s="239" t="s">
        <v>24</v>
      </c>
      <c r="C77" s="241" t="s">
        <v>134</v>
      </c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177"/>
      <c r="S77" s="177"/>
      <c r="T77" s="178"/>
    </row>
    <row r="78" spans="2:20" ht="15">
      <c r="B78" s="240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ht="15">
      <c r="B79" s="240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>
      <c r="B80" s="240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>
      <c r="B81" s="2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ht="15">
      <c r="B82" s="240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ht="15">
      <c r="B83" s="240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ht="1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sheetProtection/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2024-09-05T16:41:49Z</dcterms:modified>
  <cp:category/>
</cp:coreProperties>
</file>