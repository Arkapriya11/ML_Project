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0" sheetId="39" r:id="rId33"/>
  </sheets>
  <definedNames/>
  <calcPr calcId="144525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<sst xmlns="http://schemas.openxmlformats.org/spreadsheetml/2006/main" count="3236" uniqueCount="784">
  <si>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</si>
  <si>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</si>
  <si>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</si>
  <si>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</si>
  <si>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</si>
  <si>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</si>
  <si>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</si>
  <si>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</si>
  <si>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</si>
  <si>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</si>
  <si>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</si>
  <si>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</si>
  <si>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</si>
  <si>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</si>
  <si>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</si>
  <si>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</si>
  <si>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</si>
  <si>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</si>
  <si>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</si>
  <si>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</si>
  <si>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</si>
  <si>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</si>
  <si>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</si>
  <si>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</si>
  <si>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</si>
  <si>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</si>
  <si>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</si>
  <si>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</si>
  <si>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</si>
  <si>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</si>
  <si>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</si>
  <si>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</si>
  <si>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</si>
  <si>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</si>
  <si>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</si>
  <si>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</si>
  <si>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</si>
  <si>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</si>
  <si>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</si>
  <si>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</si>
  <si>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KK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</si>
  <si>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</si>
  <si>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</si>
  <si>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</si>
  <si>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</si>
  <si>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</si>
  <si>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</si>
  <si>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</si>
  <si>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</si>
  <si>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</si>
  <si>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</si>
  <si>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</si>
  <si>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</si>
  <si>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</si>
  <si>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</si>
  <si>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</si>
  <si>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</si>
  <si>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</si>
  <si>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</si>
  <si>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</si>
  <si>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</si>
  <si>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01-06-2022 01:00</t>
  </si>
  <si>
    <t>01-06-2022 02:00</t>
  </si>
  <si>
    <t>01-06-2022 03:00</t>
  </si>
  <si>
    <t>01-06-2022 04:00</t>
  </si>
  <si>
    <t>01-06-2022 05:00</t>
  </si>
  <si>
    <t>01-06-2022 06:00</t>
  </si>
  <si>
    <t>01-06-2022 07:00</t>
  </si>
  <si>
    <t>01-06-2022 08:00</t>
  </si>
  <si>
    <t>01-06-2022 09:00</t>
  </si>
  <si>
    <t>01-06-2022 10:00</t>
  </si>
  <si>
    <t>01-06-2022 11:00</t>
  </si>
  <si>
    <t>01-06-2022 12:00</t>
  </si>
  <si>
    <t>01-06-2022 13:00</t>
  </si>
  <si>
    <t>01-06-2022 14:00</t>
  </si>
  <si>
    <t>01-06-2022 15:00</t>
  </si>
  <si>
    <t>01-06-2022 16:00</t>
  </si>
  <si>
    <t>01-06-2022 17:00</t>
  </si>
  <si>
    <t>01-06-2022 18:00</t>
  </si>
  <si>
    <t>01-06-2022 19:00</t>
  </si>
  <si>
    <t>01-06-2022 20:00</t>
  </si>
  <si>
    <t>01-06-2022 21:00</t>
  </si>
  <si>
    <t>01-06-2022 22:00</t>
  </si>
  <si>
    <t>01-06-2022 23:00</t>
  </si>
  <si>
    <t>01-06-2022 24:00</t>
  </si>
  <si>
    <t>02-06-2022 01:00</t>
  </si>
  <si>
    <t>02-06-2022 02:00</t>
  </si>
  <si>
    <t>02-06-2022 03:00</t>
  </si>
  <si>
    <t>02-06-2022 04:00</t>
  </si>
  <si>
    <t>02-06-2022 05:00</t>
  </si>
  <si>
    <t>02-06-2022 06:00</t>
  </si>
  <si>
    <t>02-06-2022 07:00</t>
  </si>
  <si>
    <t>02-06-2022 08:00</t>
  </si>
  <si>
    <t>02-06-2022 09:00</t>
  </si>
  <si>
    <t>02-06-2022 10:00</t>
  </si>
  <si>
    <t>02-06-2022 11:00</t>
  </si>
  <si>
    <t>02-06-2022 12:00</t>
  </si>
  <si>
    <t>02-06-2022 13:00</t>
  </si>
  <si>
    <t>02-06-2022 14:00</t>
  </si>
  <si>
    <t>02-06-2022 15:00</t>
  </si>
  <si>
    <t>02-06-2022 16:00</t>
  </si>
  <si>
    <t>02-06-2022 17:00</t>
  </si>
  <si>
    <t>02-06-2022 18:00</t>
  </si>
  <si>
    <t>02-06-2022 19:00</t>
  </si>
  <si>
    <t>02-06-2022 20:00</t>
  </si>
  <si>
    <t>02-06-2022 21:00</t>
  </si>
  <si>
    <t>02-06-2022 22:00</t>
  </si>
  <si>
    <t>02-06-2022 23:00</t>
  </si>
  <si>
    <t>02-06-2022 24:00</t>
  </si>
  <si>
    <t>03-06-2022 01:00</t>
  </si>
  <si>
    <t>03-06-2022 02:00</t>
  </si>
  <si>
    <t>03-06-2022 03:00</t>
  </si>
  <si>
    <t>03-06-2022 04:00</t>
  </si>
  <si>
    <t>03-06-2022 05:00</t>
  </si>
  <si>
    <t>03-06-2022 06:00</t>
  </si>
  <si>
    <t>03-06-2022 07:00</t>
  </si>
  <si>
    <t>03-06-2022 08:00</t>
  </si>
  <si>
    <t>03-06-2022 09:00</t>
  </si>
  <si>
    <t>03-06-2022 10:00</t>
  </si>
  <si>
    <t>03-06-2022 11:00</t>
  </si>
  <si>
    <t>03-06-2022 12:00</t>
  </si>
  <si>
    <t>03-06-2022 13:00</t>
  </si>
  <si>
    <t>03-06-2022 14:00</t>
  </si>
  <si>
    <t>03-06-2022 15:00</t>
  </si>
  <si>
    <t>03-06-2022 16:00</t>
  </si>
  <si>
    <t>03-06-2022 17:00</t>
  </si>
  <si>
    <t>03-06-2022 18:00</t>
  </si>
  <si>
    <t>03-06-2022 19:00</t>
  </si>
  <si>
    <t>03-06-2022 20:00</t>
  </si>
  <si>
    <t>03-06-2022 21:00</t>
  </si>
  <si>
    <t>03-06-2022 22:00</t>
  </si>
  <si>
    <t>03-06-2022 23:00</t>
  </si>
  <si>
    <t>03-06-2022 24:00</t>
  </si>
  <si>
    <t>04-06-2022 01:00</t>
  </si>
  <si>
    <t>04-06-2022 02:00</t>
  </si>
  <si>
    <t>04-06-2022 03:00</t>
  </si>
  <si>
    <t>04-06-2022 04:00</t>
  </si>
  <si>
    <t>04-06-2022 05:00</t>
  </si>
  <si>
    <t>04-06-2022 06:00</t>
  </si>
  <si>
    <t>04-06-2022 07:00</t>
  </si>
  <si>
    <t>04-06-2022 08:00</t>
  </si>
  <si>
    <t>04-06-2022 09:00</t>
  </si>
  <si>
    <t>04-06-2022 10:00</t>
  </si>
  <si>
    <t>04-06-2022 11:00</t>
  </si>
  <si>
    <t>04-06-2022 12:00</t>
  </si>
  <si>
    <t>04-06-2022 13:00</t>
  </si>
  <si>
    <t>04-06-2022 14:00</t>
  </si>
  <si>
    <t>04-06-2022 15:00</t>
  </si>
  <si>
    <t>04-06-2022 16:00</t>
  </si>
  <si>
    <t>04-06-2022 17:00</t>
  </si>
  <si>
    <t>04-06-2022 18:00</t>
  </si>
  <si>
    <t>04-06-2022 19:00</t>
  </si>
  <si>
    <t>04-06-2022 20:00</t>
  </si>
  <si>
    <t>04-06-2022 21:00</t>
  </si>
  <si>
    <t>04-06-2022 22:00</t>
  </si>
  <si>
    <t>04-06-2022 23:00</t>
  </si>
  <si>
    <t>04-06-2022 24:00</t>
  </si>
  <si>
    <t>05-06-2022 01:00</t>
  </si>
  <si>
    <t>05-06-2022 02:00</t>
  </si>
  <si>
    <t>05-06-2022 03:00</t>
  </si>
  <si>
    <t>05-06-2022 04:00</t>
  </si>
  <si>
    <t>05-06-2022 05:00</t>
  </si>
  <si>
    <t>05-06-2022 06:00</t>
  </si>
  <si>
    <t>05-06-2022 07:00</t>
  </si>
  <si>
    <t>05-06-2022 08:00</t>
  </si>
  <si>
    <t>05-06-2022 09:00</t>
  </si>
  <si>
    <t>05-06-2022 10:00</t>
  </si>
  <si>
    <t>05-06-2022 11:00</t>
  </si>
  <si>
    <t>05-06-2022 12:00</t>
  </si>
  <si>
    <t>05-06-2022 13:00</t>
  </si>
  <si>
    <t>05-06-2022 14:00</t>
  </si>
  <si>
    <t>05-06-2022 15:00</t>
  </si>
  <si>
    <t>05-06-2022 16:00</t>
  </si>
  <si>
    <t>05-06-2022 17:00</t>
  </si>
  <si>
    <t>05-06-2022 18:00</t>
  </si>
  <si>
    <t>05-06-2022 19:00</t>
  </si>
  <si>
    <t>05-06-2022 20:00</t>
  </si>
  <si>
    <t>05-06-2022 21:00</t>
  </si>
  <si>
    <t>05-06-2022 22:00</t>
  </si>
  <si>
    <t>05-06-2022 23:00</t>
  </si>
  <si>
    <t>05-06-2022 24:00</t>
  </si>
  <si>
    <t>06-06-2022 01:00</t>
  </si>
  <si>
    <t>06-06-2022 02:00</t>
  </si>
  <si>
    <t>06-06-2022 03:00</t>
  </si>
  <si>
    <t>06-06-2022 04:00</t>
  </si>
  <si>
    <t>06-06-2022 05:00</t>
  </si>
  <si>
    <t>06-06-2022 06:00</t>
  </si>
  <si>
    <t>06-06-2022 07:00</t>
  </si>
  <si>
    <t>06-06-2022 08:00</t>
  </si>
  <si>
    <t>06-06-2022 09:00</t>
  </si>
  <si>
    <t>06-06-2022 10:00</t>
  </si>
  <si>
    <t>06-06-2022 11:00</t>
  </si>
  <si>
    <t>06-06-2022 12:00</t>
  </si>
  <si>
    <t>06-06-2022 13:00</t>
  </si>
  <si>
    <t>06-06-2022 14:00</t>
  </si>
  <si>
    <t>06-06-2022 15:00</t>
  </si>
  <si>
    <t>06-06-2022 16:00</t>
  </si>
  <si>
    <t>06-06-2022 17:00</t>
  </si>
  <si>
    <t>06-06-2022 18:00</t>
  </si>
  <si>
    <t>06-06-2022 19:00</t>
  </si>
  <si>
    <t>06-06-2022 20:00</t>
  </si>
  <si>
    <t>06-06-2022 21:00</t>
  </si>
  <si>
    <t>06-06-2022 22:00</t>
  </si>
  <si>
    <t>06-06-2022 23:00</t>
  </si>
  <si>
    <t>06-06-2022 24:00</t>
  </si>
  <si>
    <t>07-06-2022 01:00</t>
  </si>
  <si>
    <t>07-06-2022 02:00</t>
  </si>
  <si>
    <t>07-06-2022 03:00</t>
  </si>
  <si>
    <t>07-06-2022 04:00</t>
  </si>
  <si>
    <t>07-06-2022 05:00</t>
  </si>
  <si>
    <t>07-06-2022 06:00</t>
  </si>
  <si>
    <t>07-06-2022 07:00</t>
  </si>
  <si>
    <t>07-06-2022 08:00</t>
  </si>
  <si>
    <t>07-06-2022 09:00</t>
  </si>
  <si>
    <t>07-06-2022 10:00</t>
  </si>
  <si>
    <t>07-06-2022 11:00</t>
  </si>
  <si>
    <t>07-06-2022 12:00</t>
  </si>
  <si>
    <t>07-06-2022 13:00</t>
  </si>
  <si>
    <t>07-06-2022 14:00</t>
  </si>
  <si>
    <t>07-06-2022 15:00</t>
  </si>
  <si>
    <t>07-06-2022 16:00</t>
  </si>
  <si>
    <t>07-06-2022 17:00</t>
  </si>
  <si>
    <t>07-06-2022 18:00</t>
  </si>
  <si>
    <t>07-06-2022 19:00</t>
  </si>
  <si>
    <t>07-06-2022 20:00</t>
  </si>
  <si>
    <t>07-06-2022 21:00</t>
  </si>
  <si>
    <t>07-06-2022 22:00</t>
  </si>
  <si>
    <t>07-06-2022 23:00</t>
  </si>
  <si>
    <t>07-06-2022 24:00</t>
  </si>
  <si>
    <t>08-06-2022 01:00</t>
  </si>
  <si>
    <t>08-06-2022 02:00</t>
  </si>
  <si>
    <t>08-06-2022 03:00</t>
  </si>
  <si>
    <t>08-06-2022 04:00</t>
  </si>
  <si>
    <t>08-06-2022 05:00</t>
  </si>
  <si>
    <t>08-06-2022 06:00</t>
  </si>
  <si>
    <t>08-06-2022 07:00</t>
  </si>
  <si>
    <t>08-06-2022 08:00</t>
  </si>
  <si>
    <t>08-06-2022 09:00</t>
  </si>
  <si>
    <t>08-06-2022 10:00</t>
  </si>
  <si>
    <t>08-06-2022 11:00</t>
  </si>
  <si>
    <t>08-06-2022 12:00</t>
  </si>
  <si>
    <t>08-06-2022 13:00</t>
  </si>
  <si>
    <t>08-06-2022 14:00</t>
  </si>
  <si>
    <t>08-06-2022 15:00</t>
  </si>
  <si>
    <t>08-06-2022 16:00</t>
  </si>
  <si>
    <t>08-06-2022 17:00</t>
  </si>
  <si>
    <t>08-06-2022 18:00</t>
  </si>
  <si>
    <t>08-06-2022 19:00</t>
  </si>
  <si>
    <t>08-06-2022 20:00</t>
  </si>
  <si>
    <t>08-06-2022 21:00</t>
  </si>
  <si>
    <t>08-06-2022 22:00</t>
  </si>
  <si>
    <t>08-06-2022 23:00</t>
  </si>
  <si>
    <t>08-06-2022 24:00</t>
  </si>
  <si>
    <t>09-06-2022 01:00</t>
  </si>
  <si>
    <t>09-06-2022 02:00</t>
  </si>
  <si>
    <t>09-06-2022 03:00</t>
  </si>
  <si>
    <t>09-06-2022 04:00</t>
  </si>
  <si>
    <t>09-06-2022 05:00</t>
  </si>
  <si>
    <t>09-06-2022 06:00</t>
  </si>
  <si>
    <t>09-06-2022 07:00</t>
  </si>
  <si>
    <t>09-06-2022 08:00</t>
  </si>
  <si>
    <t>09-06-2022 09:00</t>
  </si>
  <si>
    <t>09-06-2022 10:00</t>
  </si>
  <si>
    <t>09-06-2022 11:00</t>
  </si>
  <si>
    <t>09-06-2022 12:00</t>
  </si>
  <si>
    <t>09-06-2022 13:00</t>
  </si>
  <si>
    <t>09-06-2022 14:00</t>
  </si>
  <si>
    <t>09-06-2022 15:00</t>
  </si>
  <si>
    <t>09-06-2022 16:00</t>
  </si>
  <si>
    <t>09-06-2022 17:00</t>
  </si>
  <si>
    <t>09-06-2022 18:00</t>
  </si>
  <si>
    <t>09-06-2022 19:00</t>
  </si>
  <si>
    <t>09-06-2022 20:00</t>
  </si>
  <si>
    <t>09-06-2022 21:00</t>
  </si>
  <si>
    <t>09-06-2022 22:00</t>
  </si>
  <si>
    <t>09-06-2022 23:00</t>
  </si>
  <si>
    <t>09-06-2022 24:00</t>
  </si>
  <si>
    <t>10-06-2022 01:00</t>
  </si>
  <si>
    <t>10-06-2022 02:00</t>
  </si>
  <si>
    <t>10-06-2022 03:00</t>
  </si>
  <si>
    <t>10-06-2022 04:00</t>
  </si>
  <si>
    <t>10-06-2022 05:00</t>
  </si>
  <si>
    <t>10-06-2022 06:00</t>
  </si>
  <si>
    <t>10-06-2022 07:00</t>
  </si>
  <si>
    <t>10-06-2022 08:00</t>
  </si>
  <si>
    <t>10-06-2022 09:00</t>
  </si>
  <si>
    <t>10-06-2022 10:00</t>
  </si>
  <si>
    <t>10-06-2022 11:00</t>
  </si>
  <si>
    <t>10-06-2022 12:00</t>
  </si>
  <si>
    <t>10-06-2022 13:00</t>
  </si>
  <si>
    <t>10-06-2022 14:00</t>
  </si>
  <si>
    <t>10-06-2022 15:00</t>
  </si>
  <si>
    <t>10-06-2022 16:00</t>
  </si>
  <si>
    <t>10-06-2022 17:00</t>
  </si>
  <si>
    <t>10-06-2022 18:00</t>
  </si>
  <si>
    <t>10-06-2022 19:00</t>
  </si>
  <si>
    <t>10-06-2022 20:00</t>
  </si>
  <si>
    <t>10-06-2022 21:00</t>
  </si>
  <si>
    <t>10-06-2022 22:00</t>
  </si>
  <si>
    <t>10-06-2022 23:00</t>
  </si>
  <si>
    <t>10-06-2022 24:00</t>
  </si>
  <si>
    <t>11-06-2022 01:00</t>
  </si>
  <si>
    <t>11-06-2022 02:00</t>
  </si>
  <si>
    <t>11-06-2022 03:00</t>
  </si>
  <si>
    <t>11-06-2022 04:00</t>
  </si>
  <si>
    <t>11-06-2022 05:00</t>
  </si>
  <si>
    <t>11-06-2022 06:00</t>
  </si>
  <si>
    <t>11-06-2022 07:00</t>
  </si>
  <si>
    <t>11-06-2022 08:00</t>
  </si>
  <si>
    <t>11-06-2022 09:00</t>
  </si>
  <si>
    <t>11-06-2022 10:00</t>
  </si>
  <si>
    <t>11-06-2022 11:00</t>
  </si>
  <si>
    <t>11-06-2022 12:00</t>
  </si>
  <si>
    <t>11-06-2022 13:00</t>
  </si>
  <si>
    <t>11-06-2022 14:00</t>
  </si>
  <si>
    <t>11-06-2022 15:00</t>
  </si>
  <si>
    <t>11-06-2022 16:00</t>
  </si>
  <si>
    <t>11-06-2022 17:00</t>
  </si>
  <si>
    <t>11-06-2022 18:00</t>
  </si>
  <si>
    <t>11-06-2022 19:00</t>
  </si>
  <si>
    <t>11-06-2022 20:00</t>
  </si>
  <si>
    <t>11-06-2022 21:00</t>
  </si>
  <si>
    <t>11-06-2022 22:00</t>
  </si>
  <si>
    <t>11-06-2022 23:00</t>
  </si>
  <si>
    <t>11-06-2022 24:00</t>
  </si>
  <si>
    <t>12-06-2022 01:00</t>
  </si>
  <si>
    <t>12-06-2022 02:00</t>
  </si>
  <si>
    <t>12-06-2022 03:00</t>
  </si>
  <si>
    <t>12-06-2022 04:00</t>
  </si>
  <si>
    <t>12-06-2022 05:00</t>
  </si>
  <si>
    <t>12-06-2022 06:00</t>
  </si>
  <si>
    <t>12-06-2022 07:00</t>
  </si>
  <si>
    <t>12-06-2022 08:00</t>
  </si>
  <si>
    <t>12-06-2022 09:00</t>
  </si>
  <si>
    <t>12-06-2022 10:00</t>
  </si>
  <si>
    <t>12-06-2022 11:00</t>
  </si>
  <si>
    <t>12-06-2022 12:00</t>
  </si>
  <si>
    <t>12-06-2022 13:00</t>
  </si>
  <si>
    <t>12-06-2022 14:00</t>
  </si>
  <si>
    <t>12-06-2022 15:00</t>
  </si>
  <si>
    <t>12-06-2022 16:00</t>
  </si>
  <si>
    <t>12-06-2022 17:00</t>
  </si>
  <si>
    <t>12-06-2022 18:00</t>
  </si>
  <si>
    <t>12-06-2022 19:00</t>
  </si>
  <si>
    <t>12-06-2022 20:00</t>
  </si>
  <si>
    <t>12-06-2022 21:00</t>
  </si>
  <si>
    <t>12-06-2022 22:00</t>
  </si>
  <si>
    <t>12-06-2022 23:00</t>
  </si>
  <si>
    <t>12-06-2022 24:00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</si>
  <si>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</si>
  <si>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</si>
  <si>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</si>
  <si>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</si>
  <si>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</si>
  <si>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</si>
  <si>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</si>
  <si>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</si>
  <si>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</si>
  <si>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</si>
  <si>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</si>
  <si>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</si>
  <si>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</si>
  <si>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</si>
  <si>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</si>
  <si>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</si>
  <si>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</si>
  <si>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</si>
  <si>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</si>
  <si>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</si>
  <si>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</si>
  <si>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</si>
  <si>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</si>
  <si>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13-06-2022 24:00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</si>
  <si>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</si>
  <si>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</si>
  <si>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</si>
  <si>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</si>
  <si>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</si>
  <si>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</si>
  <si>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</si>
  <si>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</si>
  <si>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</si>
  <si>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</si>
  <si>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</si>
  <si>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</si>
  <si>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</si>
  <si>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</si>
  <si>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</si>
  <si>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</si>
  <si>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</si>
  <si>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</si>
  <si>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</si>
  <si>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</si>
  <si>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</si>
  <si>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</si>
  <si>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</si>
  <si>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14-06-2022 24:00</t>
  </si>
  <si>
    <t>SUROJIT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</si>
  <si>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</si>
  <si>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</si>
  <si>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</si>
  <si>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</si>
  <si>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</si>
  <si>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</si>
  <si>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</si>
  <si>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</si>
  <si>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</si>
  <si>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</si>
  <si>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</si>
  <si>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</si>
  <si>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</si>
  <si>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</si>
  <si>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</si>
  <si>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</si>
  <si>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</si>
  <si>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</si>
  <si>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</si>
  <si>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</si>
  <si>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</si>
  <si>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</si>
  <si>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</si>
  <si>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15-06-2022 24:00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</si>
  <si>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</si>
  <si>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</si>
  <si>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</si>
  <si>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</si>
  <si>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</si>
  <si>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</si>
  <si>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</si>
  <si>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</si>
  <si>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</si>
  <si>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</si>
  <si>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</si>
  <si>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</si>
  <si>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</si>
  <si>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</si>
  <si>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</si>
  <si>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</si>
  <si>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</si>
  <si>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</si>
  <si>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</si>
  <si>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</si>
  <si>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</si>
  <si>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</si>
  <si>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</si>
  <si>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16-06-2022 24:00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</si>
  <si>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</si>
  <si>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</si>
  <si>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</si>
  <si>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</si>
  <si>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</si>
  <si>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</si>
  <si>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</si>
  <si>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</si>
  <si>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</si>
  <si>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</si>
  <si>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</si>
  <si>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</si>
  <si>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</si>
  <si>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</si>
  <si>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</si>
  <si>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</si>
  <si>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</si>
  <si>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</si>
  <si>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</si>
  <si>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</si>
  <si>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</si>
  <si>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</si>
  <si>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</si>
  <si>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17-06-2022 24:00</t>
  </si>
  <si>
    <t>19-06-2022</t>
  </si>
  <si>
    <t>HUM_BHATAGAON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</si>
  <si>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</si>
  <si>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</si>
  <si>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</si>
  <si>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</si>
  <si>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</si>
  <si>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</si>
  <si>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</si>
  <si>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</si>
  <si>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</si>
  <si>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</si>
  <si>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</si>
  <si>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</si>
  <si>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</si>
  <si>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</si>
  <si>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</si>
  <si>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</si>
  <si>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</si>
  <si>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</si>
  <si>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</si>
  <si>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</si>
  <si>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</si>
  <si>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</si>
  <si>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</si>
  <si>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surojit</t>
  </si>
  <si>
    <t>19-06-2022 24:00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</si>
  <si>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</si>
  <si>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</si>
  <si>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</si>
  <si>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</si>
  <si>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</si>
  <si>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</si>
  <si>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</si>
  <si>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</si>
  <si>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</si>
  <si>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</si>
  <si>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</si>
  <si>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</si>
  <si>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</si>
  <si>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</si>
  <si>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</si>
  <si>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</si>
  <si>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</si>
  <si>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</si>
  <si>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</si>
  <si>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</si>
  <si>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</si>
  <si>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</si>
  <si>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</si>
  <si>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20-06-2022 24:00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</si>
  <si>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</si>
  <si>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</si>
  <si>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</si>
  <si>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</si>
  <si>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</si>
  <si>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</si>
  <si>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</si>
  <si>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</si>
  <si>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</si>
  <si>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</si>
  <si>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</si>
  <si>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</si>
  <si>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</si>
  <si>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</si>
  <si>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</si>
  <si>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</si>
  <si>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</si>
  <si>
    <t>21-06-2022 18:00</t>
  </si>
  <si>
    <t>21-06-2022 19:00</t>
  </si>
  <si>
    <t>21-06-2022 20:00</t>
  </si>
  <si>
    <t>21-06-2022 21:00</t>
  </si>
  <si>
    <t>21-06-2022 22:00</t>
  </si>
  <si>
    <t>21-06-2022 23:00</t>
  </si>
  <si>
    <t>21-06-2022 24:00</t>
  </si>
  <si>
    <t>22-06-2022 01:00</t>
  </si>
  <si>
    <t>22-06-2022 02:00</t>
  </si>
  <si>
    <t>22-06-2022 03:00</t>
  </si>
  <si>
    <t>22-06-2022 04:00</t>
  </si>
  <si>
    <t>22-06-2022 05:00</t>
  </si>
  <si>
    <t>22-06-2022 06:00</t>
  </si>
  <si>
    <t>22-06-2022 07:00</t>
  </si>
  <si>
    <t>22-06-2022 08:00</t>
  </si>
  <si>
    <t>22-06-2022 09:00</t>
  </si>
  <si>
    <t>22-06-2022 10:00</t>
  </si>
  <si>
    <t>22-06-2022 11:00</t>
  </si>
  <si>
    <t>22-06-2022 12:00</t>
  </si>
  <si>
    <t>22-06-2022 13:00</t>
  </si>
  <si>
    <t>22-06-2022 14:00</t>
  </si>
  <si>
    <t>22-06-2022 15:00</t>
  </si>
  <si>
    <t>22-06-2022 16:00</t>
  </si>
  <si>
    <t>22-06-2022 17:00</t>
  </si>
  <si>
    <t>22-06-2022 18:00</t>
  </si>
  <si>
    <t>22-06-2022 19:00</t>
  </si>
  <si>
    <t>22-06-2022 20:00</t>
  </si>
  <si>
    <t>22-06-2022 21:00</t>
  </si>
  <si>
    <t>22-06-2022 22:00</t>
  </si>
  <si>
    <t>22-06-2022 23:00</t>
  </si>
  <si>
    <t>22-06-2022 24:00</t>
  </si>
  <si>
    <t>23-06-2022 01:00</t>
  </si>
  <si>
    <t>23-06-2022 02:00</t>
  </si>
  <si>
    <t>23-06-2022 03:00</t>
  </si>
  <si>
    <t>23-06-2022 04:00</t>
  </si>
  <si>
    <t>23-06-2022 05:00</t>
  </si>
  <si>
    <t>23-06-2022 06:00</t>
  </si>
  <si>
    <t>23-06-2022 07:00</t>
  </si>
  <si>
    <t>23-06-2022 08:00</t>
  </si>
  <si>
    <t>23-06-2022 09:00</t>
  </si>
  <si>
    <t>23-06-2022 10:00</t>
  </si>
  <si>
    <t>23-06-2022 11:00</t>
  </si>
  <si>
    <t>23-06-2022 12:00</t>
  </si>
  <si>
    <t>23-06-2022 13:00</t>
  </si>
  <si>
    <t>23-06-2022 14:00</t>
  </si>
  <si>
    <t>23-06-2022 15:00</t>
  </si>
  <si>
    <t>23-06-2022 16:00</t>
  </si>
  <si>
    <t>23-06-2022 17:00</t>
  </si>
  <si>
    <t>23-06-2022 18:00</t>
  </si>
  <si>
    <t>23-06-2022 19:00</t>
  </si>
  <si>
    <t>23-06-2022 20:00</t>
  </si>
  <si>
    <t>23-06-2022 21:00</t>
  </si>
  <si>
    <t>23-06-2022 22:00</t>
  </si>
  <si>
    <t>23-06-2022 23:00</t>
  </si>
  <si>
    <t>23-06-2022 24:00</t>
  </si>
  <si>
    <t>24-06-2022 01:00</t>
  </si>
  <si>
    <t>24-06-2022 02:00</t>
  </si>
  <si>
    <t>24-06-2022 03:00</t>
  </si>
  <si>
    <t>24-06-2022 04:00</t>
  </si>
  <si>
    <t>24-06-2022 05:00</t>
  </si>
  <si>
    <t>24-06-2022 06:00</t>
  </si>
  <si>
    <t>24-06-2022 07:00</t>
  </si>
  <si>
    <t>24-06-2022 08:00</t>
  </si>
  <si>
    <t>24-06-2022 09:00</t>
  </si>
  <si>
    <t>24-06-2022 10:00</t>
  </si>
  <si>
    <t>24-06-2022 11:00</t>
  </si>
  <si>
    <t>24-06-2022 12:00</t>
  </si>
  <si>
    <t>24-06-2022 13:00</t>
  </si>
  <si>
    <t>24-06-2022 14:00</t>
  </si>
  <si>
    <t>24-06-2022 15:00</t>
  </si>
  <si>
    <t>24-06-2022 16:00</t>
  </si>
  <si>
    <t>24-06-2022 17:00</t>
  </si>
  <si>
    <t>24-06-2022 18:00</t>
  </si>
  <si>
    <t>24-06-2022 19:00</t>
  </si>
  <si>
    <t>24-06-2022 20:00</t>
  </si>
  <si>
    <t>24-06-2022 21:00</t>
  </si>
  <si>
    <t>24-06-2022 22:00</t>
  </si>
  <si>
    <t>24-06-2022 23:00</t>
  </si>
  <si>
    <t>25-06-2022 01:00</t>
  </si>
  <si>
    <t>25-06-2022 02:00</t>
  </si>
  <si>
    <t>25-06-2022 03:00</t>
  </si>
  <si>
    <t>25-06-2022 04:00</t>
  </si>
  <si>
    <t>25-06-2022 05:00</t>
  </si>
  <si>
    <t>25-06-2022 06:00</t>
  </si>
  <si>
    <t>25-06-2022 07:00</t>
  </si>
  <si>
    <t>25-06-2022 08:00</t>
  </si>
  <si>
    <t>25-06-2022 09:00</t>
  </si>
  <si>
    <t>25-06-2022 10:00</t>
  </si>
  <si>
    <t>25-06-2022 11:00</t>
  </si>
  <si>
    <t>25-06-2022 12:00</t>
  </si>
  <si>
    <t>25-06-2022 13:00</t>
  </si>
  <si>
    <t>25-06-2022 14:00</t>
  </si>
  <si>
    <t>25-06-2022 15:00</t>
  </si>
  <si>
    <t>25-06-2022 16:00</t>
  </si>
  <si>
    <t>25-06-2022 17:00</t>
  </si>
  <si>
    <t>25-06-2022 18:00</t>
  </si>
  <si>
    <t>25-06-2022 19:00</t>
  </si>
  <si>
    <t>25-06-2022 20:00</t>
  </si>
  <si>
    <t>25-06-2022 21:00</t>
  </si>
  <si>
    <t>25-06-2022 22:00</t>
  </si>
  <si>
    <t>25-06-2022 23:00</t>
  </si>
  <si>
    <t>25-06-2022 24:00</t>
  </si>
  <si>
    <t>26-06-2022 01:00</t>
  </si>
  <si>
    <t>26-06-2022 02:00</t>
  </si>
  <si>
    <t>26-06-2022 03:00</t>
  </si>
  <si>
    <t>26-06-2022 04:00</t>
  </si>
  <si>
    <t>26-06-2022 05:00</t>
  </si>
  <si>
    <t>26-06-2022 06:00</t>
  </si>
  <si>
    <t>26-06-2022 07:00</t>
  </si>
  <si>
    <t>26-06-2022 08:00</t>
  </si>
  <si>
    <t>26-06-2022 09:00</t>
  </si>
  <si>
    <t>26-06-2022 10:00</t>
  </si>
  <si>
    <t>26-06-2022 11:00</t>
  </si>
  <si>
    <t>26-06-2022 12:00</t>
  </si>
  <si>
    <t>26-06-2022 13:00</t>
  </si>
  <si>
    <t>26-06-2022 14:00</t>
  </si>
  <si>
    <t>26-06-2022 15:00</t>
  </si>
  <si>
    <t>26-06-2022 16:00</t>
  </si>
  <si>
    <t>26-06-2022 17:00</t>
  </si>
  <si>
    <t>26-06-2022 18:00</t>
  </si>
  <si>
    <t>26-06-2022 19:00</t>
  </si>
  <si>
    <t>26-06-2022 20:00</t>
  </si>
  <si>
    <t>26-06-2022 21:00</t>
  </si>
  <si>
    <t>26-06-2022 22:00</t>
  </si>
  <si>
    <t>26-06-2022 23:00</t>
  </si>
  <si>
    <t>26-06-2022 24:00</t>
  </si>
  <si>
    <t>27-06-2022 01:00</t>
  </si>
  <si>
    <t>27-06-2022 02:00</t>
  </si>
  <si>
    <t>27-06-2022 03:00</t>
  </si>
  <si>
    <t>27-06-2022 04:00</t>
  </si>
  <si>
    <t>27-06-2022 05:00</t>
  </si>
  <si>
    <t>27-06-2022 06:00</t>
  </si>
  <si>
    <t>27-06-2022 07:00</t>
  </si>
  <si>
    <t>27-06-2022 08:00</t>
  </si>
  <si>
    <t>27-06-2022 09:00</t>
  </si>
  <si>
    <t>27-06-2022 10:00</t>
  </si>
  <si>
    <t>27-06-2022 11:00</t>
  </si>
  <si>
    <t>27-06-2022 12:00</t>
  </si>
  <si>
    <t>27-06-2022 13:00</t>
  </si>
  <si>
    <t>27-06-2022 14:00</t>
  </si>
  <si>
    <t>27-06-2022 15:00</t>
  </si>
  <si>
    <t>27-06-2022 16:00</t>
  </si>
  <si>
    <t>27-06-2022 17:00</t>
  </si>
  <si>
    <t>27-06-2022 18:00</t>
  </si>
  <si>
    <t>27-06-2022 19:00</t>
  </si>
  <si>
    <t>27-06-2022 20:00</t>
  </si>
  <si>
    <t>27-06-2022 21:00</t>
  </si>
  <si>
    <t>27-06-2022 22:00</t>
  </si>
  <si>
    <t>27-06-2022 23:00</t>
  </si>
  <si>
    <t>27-06-2022 24:00</t>
  </si>
  <si>
    <t>28-06-2022 01:00</t>
  </si>
  <si>
    <t>28-06-2022 02:00</t>
  </si>
  <si>
    <t>28-06-2022 03:00</t>
  </si>
  <si>
    <t>28-06-2022 04:00</t>
  </si>
  <si>
    <t>28-06-2022 05:00</t>
  </si>
  <si>
    <t>28-06-2022 06:00</t>
  </si>
  <si>
    <t>28-06-2022 07:00</t>
  </si>
  <si>
    <t>28-06-2022 08:00</t>
  </si>
  <si>
    <t>28-06-2022 09:00</t>
  </si>
  <si>
    <t>28-06-2022 10:00</t>
  </si>
  <si>
    <t>28-06-2022 11:00</t>
  </si>
  <si>
    <t>28-06-2022 12:00</t>
  </si>
  <si>
    <t>28-06-2022 13:00</t>
  </si>
  <si>
    <t>28-06-2022 14:00</t>
  </si>
  <si>
    <t>28-06-2022 15:00</t>
  </si>
  <si>
    <t>28-06-2022 16:00</t>
  </si>
  <si>
    <t>28-06-2022 17:00</t>
  </si>
  <si>
    <t>28-06-2022 18:00</t>
  </si>
  <si>
    <t>28-06-2022 19:00</t>
  </si>
  <si>
    <t>28-06-2022 20:00</t>
  </si>
  <si>
    <t>28-06-2022 21:00</t>
  </si>
  <si>
    <t>28-06-2022 22:00</t>
  </si>
  <si>
    <t>28-06-2022 23:00</t>
  </si>
  <si>
    <t>28-06-2022 24:00</t>
  </si>
  <si>
    <t>29-06-2022 01:00</t>
  </si>
  <si>
    <t>29-06-2022 02:00</t>
  </si>
  <si>
    <t>29-06-2022 03:00</t>
  </si>
  <si>
    <t>29-06-2022 04:00</t>
  </si>
  <si>
    <t>29-06-2022 05:00</t>
  </si>
  <si>
    <t>29-06-2022 06:00</t>
  </si>
  <si>
    <t>29-06-2022 07:00</t>
  </si>
  <si>
    <t>29-06-2022 08:00</t>
  </si>
  <si>
    <t>29-06-2022 09:00</t>
  </si>
  <si>
    <t>29-06-2022 10:00</t>
  </si>
  <si>
    <t>29-06-2022 11:00</t>
  </si>
  <si>
    <t>29-06-2022 12:00</t>
  </si>
  <si>
    <t>29-06-2022 13:00</t>
  </si>
  <si>
    <t>29-06-2022 14:00</t>
  </si>
  <si>
    <t>29-06-2022 15:00</t>
  </si>
  <si>
    <t>29-06-2022 16:00</t>
  </si>
  <si>
    <t>29-06-2022 17:00</t>
  </si>
  <si>
    <t>29-06-2022 18:00</t>
  </si>
  <si>
    <t>29-06-2022 19:00</t>
  </si>
  <si>
    <t>29-06-2022 20:00</t>
  </si>
  <si>
    <t>29-06-2022 21:00</t>
  </si>
  <si>
    <t>29-06-2022 22:00</t>
  </si>
  <si>
    <t>29-06-2022 23:00</t>
  </si>
  <si>
    <t>29-06-2022 24:00</t>
  </si>
  <si>
    <t>30-06-2022 01:00</t>
  </si>
  <si>
    <t>30-06-2022 02:00</t>
  </si>
  <si>
    <t>30-06-2022 03:00</t>
  </si>
  <si>
    <t>30-06-2022 04:00</t>
  </si>
  <si>
    <t>30-06-2022 05:00</t>
  </si>
  <si>
    <t>30-06-2022 06:00</t>
  </si>
  <si>
    <t>30-06-2022 07:00</t>
  </si>
  <si>
    <t>30-06-2022 08:00</t>
  </si>
  <si>
    <t>30-06-2022 09:00</t>
  </si>
  <si>
    <t>30-06-2022 10:00</t>
  </si>
  <si>
    <t>30-06-2022 11:00</t>
  </si>
  <si>
    <t>30-06-2022 12:00</t>
  </si>
  <si>
    <t>30-06-2022 13:00</t>
  </si>
  <si>
    <t>30-06-2022 14:00</t>
  </si>
  <si>
    <t>30-06-2022 15:00</t>
  </si>
  <si>
    <t>30-06-2022 16:00</t>
  </si>
  <si>
    <t>30-06-2022 17:00</t>
  </si>
  <si>
    <t>30-06-2022 18:00</t>
  </si>
  <si>
    <t>30-06-2022 19:00</t>
  </si>
  <si>
    <t>30-06-2022 20:00</t>
  </si>
  <si>
    <t>30-06-2022 21:00</t>
  </si>
  <si>
    <t>30-06-2022 22:00</t>
  </si>
  <si>
    <t>30-06-2022 23:00</t>
  </si>
  <si>
    <t>30-06-2022 24:00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</si>
  <si>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</si>
  <si>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</si>
  <si>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</si>
  <si>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</si>
  <si>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</si>
  <si>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</si>
  <si>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</si>
  <si>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</si>
  <si>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</si>
  <si>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</si>
  <si>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</si>
  <si>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</si>
  <si>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</si>
  <si>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</si>
  <si>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</si>
  <si>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</si>
  <si>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</si>
  <si>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</si>
  <si>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</si>
  <si>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</si>
  <si>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</si>
  <si>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</si>
  <si>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</si>
  <si>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18-06-2022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</si>
</sst>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7" fillId="0" borderId="1" xfId="0" applyFont="1" applyBorder="1"/>
    <xf numFmtId="0" fontId="8" fillId="3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0" fontId="2" fillId="0" borderId="1" xfId="0" applyFont="1" applyBorder="1" applyAlignment="1">
      <alignment/>
    </xf>
    <xf numFmtId="49" fontId="0" fillId="0" borderId="0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31" Type="http://schemas.openxmlformats.org/officeDocument/2006/relationships/worksheet" Target="worksheets/sheet29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5" Type="http://schemas.openxmlformats.org/officeDocument/2006/relationships/calcChain" Target="calcChain.xml" /><Relationship Id="rId33" Type="http://schemas.openxmlformats.org/officeDocument/2006/relationships/worksheet" Target="worksheets/sheet31.xml" /><Relationship Id="rId20" Type="http://schemas.openxmlformats.org/officeDocument/2006/relationships/worksheet" Target="worksheets/sheet18.xml" /><Relationship Id="rId8" Type="http://schemas.openxmlformats.org/officeDocument/2006/relationships/worksheet" Target="worksheets/sheet6.xml" /><Relationship Id="rId26" Type="http://schemas.openxmlformats.org/officeDocument/2006/relationships/worksheet" Target="worksheets/sheet24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3efbcb-b098-4599-8031-5814c5a06079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22" sqref="G22:H22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41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61</v>
      </c>
      <c r="B9" s="51">
        <v>29.72</v>
      </c>
      <c r="C9" s="51">
        <v>33.56</v>
      </c>
      <c r="D9" s="51">
        <v>60.5</v>
      </c>
      <c r="E9" s="51">
        <v>7.65</v>
      </c>
      <c r="F9" s="51">
        <v>10.23</v>
      </c>
      <c r="G9" s="51">
        <v>159.06</v>
      </c>
      <c r="H9" s="9" t="s">
        <v>15</v>
      </c>
      <c r="I9" s="51">
        <v>3.57</v>
      </c>
      <c r="J9" s="51">
        <v>1.85</v>
      </c>
      <c r="K9" s="51">
        <v>253.23</v>
      </c>
      <c r="L9" s="51">
        <v>39.25</v>
      </c>
      <c r="M9" s="51">
        <v>48.05</v>
      </c>
      <c r="N9" s="51">
        <v>392.40</v>
      </c>
      <c r="O9" s="51">
        <v>0</v>
      </c>
      <c r="P9" s="51">
        <v>1.54</v>
      </c>
      <c r="Q9" s="51">
        <v>81.349999999999994</v>
      </c>
      <c r="R9" s="43"/>
      <c r="S9" s="43"/>
      <c r="T9" s="43"/>
      <c r="U9" s="43"/>
    </row>
    <row r="10" spans="1:21" s="11" customFormat="1" ht="15">
      <c r="A10" s="50" t="s">
        <v>62</v>
      </c>
      <c r="B10" s="51">
        <v>14.63</v>
      </c>
      <c r="C10" s="51">
        <v>33.79</v>
      </c>
      <c r="D10" s="51">
        <v>48.43</v>
      </c>
      <c r="E10" s="51">
        <v>7.65</v>
      </c>
      <c r="F10" s="51">
        <v>1.29</v>
      </c>
      <c r="G10" s="51">
        <v>113.60</v>
      </c>
      <c r="H10" s="9" t="s">
        <v>15</v>
      </c>
      <c r="I10" s="51">
        <v>4.45</v>
      </c>
      <c r="J10" s="51">
        <v>1.58</v>
      </c>
      <c r="K10" s="51">
        <v>306.48</v>
      </c>
      <c r="L10" s="51">
        <v>38.14</v>
      </c>
      <c r="M10" s="51">
        <v>48.39</v>
      </c>
      <c r="N10" s="51">
        <v>404.20</v>
      </c>
      <c r="O10" s="51">
        <v>0</v>
      </c>
      <c r="P10" s="51">
        <v>1.46</v>
      </c>
      <c r="Q10" s="51">
        <v>83.44</v>
      </c>
      <c r="R10" s="43"/>
      <c r="S10" s="43"/>
      <c r="T10" s="43"/>
      <c r="U10" s="43"/>
    </row>
    <row r="11" spans="1:21" s="11" customFormat="1" ht="15">
      <c r="A11" s="50" t="s">
        <v>63</v>
      </c>
      <c r="B11" s="51">
        <v>3.94</v>
      </c>
      <c r="C11" s="51">
        <v>30.37</v>
      </c>
      <c r="D11" s="51">
        <v>34.299999999999997</v>
      </c>
      <c r="E11" s="51">
        <v>7.45</v>
      </c>
      <c r="F11" s="51">
        <v>1.47</v>
      </c>
      <c r="G11" s="51">
        <v>113.60</v>
      </c>
      <c r="H11" s="9" t="s">
        <v>15</v>
      </c>
      <c r="I11" s="51">
        <v>4.45</v>
      </c>
      <c r="J11" s="51">
        <v>1.85</v>
      </c>
      <c r="K11" s="51">
        <v>263.64</v>
      </c>
      <c r="L11" s="51">
        <v>37.340000000000003</v>
      </c>
      <c r="M11" s="51">
        <v>53.36</v>
      </c>
      <c r="N11" s="51">
        <v>548.29999999999995</v>
      </c>
      <c r="O11" s="51">
        <v>0</v>
      </c>
      <c r="P11" s="51">
        <v>1.29</v>
      </c>
      <c r="Q11" s="51">
        <v>73.88</v>
      </c>
      <c r="R11" s="43"/>
      <c r="S11" s="43"/>
      <c r="T11" s="43"/>
      <c r="U11" s="43"/>
    </row>
    <row r="12" spans="1:21" s="11" customFormat="1" ht="15">
      <c r="A12" s="50" t="s">
        <v>64</v>
      </c>
      <c r="B12" s="51">
        <v>2.04</v>
      </c>
      <c r="C12" s="51">
        <v>29.03</v>
      </c>
      <c r="D12" s="51">
        <v>31.03</v>
      </c>
      <c r="E12" s="51">
        <v>7.17</v>
      </c>
      <c r="F12" s="51">
        <v>11.47</v>
      </c>
      <c r="G12" s="51">
        <v>100.69</v>
      </c>
      <c r="H12" s="9" t="s">
        <v>15</v>
      </c>
      <c r="I12" s="51">
        <v>3.58</v>
      </c>
      <c r="J12" s="51">
        <v>1.88</v>
      </c>
      <c r="K12" s="51">
        <v>310.08</v>
      </c>
      <c r="L12" s="51">
        <v>37.979999999999997</v>
      </c>
      <c r="M12" s="51">
        <v>53.26</v>
      </c>
      <c r="N12" s="51">
        <v>547.70000000000005</v>
      </c>
      <c r="O12" s="51">
        <v>0</v>
      </c>
      <c r="P12" s="51">
        <v>1.04</v>
      </c>
      <c r="Q12" s="51">
        <v>74.44</v>
      </c>
      <c r="R12" s="43"/>
      <c r="S12" s="43"/>
      <c r="T12" s="43"/>
      <c r="U12" s="43"/>
    </row>
    <row r="13" spans="1:21" s="11" customFormat="1" ht="15">
      <c r="A13" s="50" t="s">
        <v>65</v>
      </c>
      <c r="B13" s="51">
        <v>2.81</v>
      </c>
      <c r="C13" s="51">
        <v>22.26</v>
      </c>
      <c r="D13" s="51">
        <v>24.90</v>
      </c>
      <c r="E13" s="51">
        <v>7.90</v>
      </c>
      <c r="F13" s="51">
        <v>8.66</v>
      </c>
      <c r="G13" s="51">
        <v>92.54</v>
      </c>
      <c r="H13" s="9" t="s">
        <v>15</v>
      </c>
      <c r="I13" s="51">
        <v>2.84</v>
      </c>
      <c r="J13" s="51">
        <v>15.35</v>
      </c>
      <c r="K13" s="51">
        <v>192.29</v>
      </c>
      <c r="L13" s="51">
        <v>37.67</v>
      </c>
      <c r="M13" s="51">
        <v>56.19</v>
      </c>
      <c r="N13" s="51">
        <v>638.79999999999995</v>
      </c>
      <c r="O13" s="51">
        <v>0</v>
      </c>
      <c r="P13" s="51">
        <v>1.01</v>
      </c>
      <c r="Q13" s="51">
        <v>53.08</v>
      </c>
      <c r="R13" s="43"/>
      <c r="S13" s="43"/>
      <c r="T13" s="43"/>
      <c r="U13" s="43"/>
    </row>
    <row r="14" spans="1:21" s="11" customFormat="1" ht="15">
      <c r="A14" s="50" t="s">
        <v>66</v>
      </c>
      <c r="B14" s="51">
        <v>3.46</v>
      </c>
      <c r="C14" s="51">
        <v>26.97</v>
      </c>
      <c r="D14" s="51">
        <v>30.43</v>
      </c>
      <c r="E14" s="51">
        <v>8.06</v>
      </c>
      <c r="F14" s="51">
        <v>0.84</v>
      </c>
      <c r="G14" s="51">
        <v>93.99</v>
      </c>
      <c r="H14" s="9" t="s">
        <v>15</v>
      </c>
      <c r="I14" s="51">
        <v>4.5199999999999996</v>
      </c>
      <c r="J14" s="51">
        <v>10.97</v>
      </c>
      <c r="K14" s="51">
        <v>233.79</v>
      </c>
      <c r="L14" s="51">
        <v>36.82</v>
      </c>
      <c r="M14" s="51">
        <v>57.67</v>
      </c>
      <c r="N14" s="51">
        <v>407.80</v>
      </c>
      <c r="O14" s="51">
        <v>0</v>
      </c>
      <c r="P14" s="51">
        <v>1.19</v>
      </c>
      <c r="Q14" s="51">
        <v>73.08</v>
      </c>
      <c r="R14" s="43"/>
      <c r="S14" s="43"/>
      <c r="T14" s="43"/>
      <c r="U14" s="43"/>
    </row>
    <row r="15" spans="1:21" s="11" customFormat="1" ht="15">
      <c r="A15" s="50" t="s">
        <v>67</v>
      </c>
      <c r="B15" s="51">
        <v>5.91</v>
      </c>
      <c r="C15" s="51">
        <v>30.45</v>
      </c>
      <c r="D15" s="51">
        <v>36.369999999999997</v>
      </c>
      <c r="E15" s="51">
        <v>7.66</v>
      </c>
      <c r="F15" s="51">
        <v>1</v>
      </c>
      <c r="G15" s="51">
        <v>97.71</v>
      </c>
      <c r="H15" s="9" t="s">
        <v>15</v>
      </c>
      <c r="I15" s="51">
        <v>6.01</v>
      </c>
      <c r="J15" s="51">
        <v>2.09</v>
      </c>
      <c r="K15" s="51">
        <v>320.83</v>
      </c>
      <c r="L15" s="51">
        <v>39.58</v>
      </c>
      <c r="M15" s="51">
        <v>52</v>
      </c>
      <c r="N15" s="51">
        <v>412.20</v>
      </c>
      <c r="O15" s="51">
        <v>0</v>
      </c>
      <c r="P15" s="51">
        <v>1.27</v>
      </c>
      <c r="Q15" s="51">
        <v>70.290000000000006</v>
      </c>
      <c r="R15" s="43"/>
      <c r="S15" s="43"/>
      <c r="T15" s="43"/>
      <c r="U15" s="43"/>
    </row>
    <row r="16" spans="1:21" s="11" customFormat="1" ht="15">
      <c r="A16" s="50" t="s">
        <v>68</v>
      </c>
      <c r="B16" s="51">
        <v>5.94</v>
      </c>
      <c r="C16" s="51">
        <v>32.96</v>
      </c>
      <c r="D16" s="51">
        <v>37.549999999999997</v>
      </c>
      <c r="E16" s="51">
        <v>6.66</v>
      </c>
      <c r="F16" s="51">
        <v>3.36</v>
      </c>
      <c r="G16" s="51">
        <v>107.48</v>
      </c>
      <c r="H16" s="9" t="s">
        <v>15</v>
      </c>
      <c r="I16" s="51">
        <v>6.45</v>
      </c>
      <c r="J16" s="51">
        <v>0.65</v>
      </c>
      <c r="K16" s="51">
        <v>353.31</v>
      </c>
      <c r="L16" s="51">
        <v>42.88</v>
      </c>
      <c r="M16" s="51">
        <v>46.33</v>
      </c>
      <c r="N16" s="51">
        <v>638.5</v>
      </c>
      <c r="O16" s="51">
        <v>0</v>
      </c>
      <c r="P16" s="51">
        <v>1.30</v>
      </c>
      <c r="Q16" s="51">
        <v>72.989999999999995</v>
      </c>
      <c r="R16" s="43"/>
      <c r="S16" s="43"/>
      <c r="T16" s="43"/>
      <c r="U16" s="43"/>
    </row>
    <row r="17" spans="1:21" s="11" customFormat="1" ht="15">
      <c r="A17" s="50" t="s">
        <v>69</v>
      </c>
      <c r="B17" s="51">
        <v>2.85</v>
      </c>
      <c r="C17" s="51">
        <v>30.08</v>
      </c>
      <c r="D17" s="51">
        <v>32.21</v>
      </c>
      <c r="E17" s="51">
        <v>5.71</v>
      </c>
      <c r="F17" s="51">
        <v>4.0999999999999996</v>
      </c>
      <c r="G17" s="51">
        <v>116.59</v>
      </c>
      <c r="H17" s="9" t="s">
        <v>15</v>
      </c>
      <c r="I17" s="51">
        <v>6.24</v>
      </c>
      <c r="J17" s="51">
        <v>0.95</v>
      </c>
      <c r="K17" s="51">
        <v>293.56</v>
      </c>
      <c r="L17" s="51">
        <v>46.61</v>
      </c>
      <c r="M17" s="51">
        <v>39.549999999999997</v>
      </c>
      <c r="N17" s="51">
        <v>890.40</v>
      </c>
      <c r="O17" s="51">
        <v>0</v>
      </c>
      <c r="P17" s="51">
        <v>1.54</v>
      </c>
      <c r="Q17" s="51">
        <v>40.68</v>
      </c>
      <c r="R17" s="43"/>
      <c r="S17" s="43"/>
      <c r="T17" s="43"/>
      <c r="U17" s="43"/>
    </row>
    <row r="18" spans="1:21" s="11" customFormat="1" ht="15">
      <c r="A18" s="50" t="s">
        <v>70</v>
      </c>
      <c r="B18" s="51">
        <v>1.63</v>
      </c>
      <c r="C18" s="51">
        <v>35.99</v>
      </c>
      <c r="D18" s="51">
        <v>37.090000000000003</v>
      </c>
      <c r="E18" s="51">
        <v>5.14</v>
      </c>
      <c r="F18" s="51">
        <v>6.92</v>
      </c>
      <c r="G18" s="51">
        <v>122.58</v>
      </c>
      <c r="H18" s="9" t="s">
        <v>15</v>
      </c>
      <c r="I18" s="51">
        <v>7.96</v>
      </c>
      <c r="J18" s="51">
        <v>2.23</v>
      </c>
      <c r="K18" s="51">
        <v>343.58</v>
      </c>
      <c r="L18" s="51">
        <v>50.75</v>
      </c>
      <c r="M18" s="51">
        <v>34.200000000000003</v>
      </c>
      <c r="N18" s="9" t="s">
        <v>15</v>
      </c>
      <c r="O18" s="51">
        <v>0</v>
      </c>
      <c r="P18" s="51">
        <v>1.72</v>
      </c>
      <c r="Q18" s="51">
        <v>57.60</v>
      </c>
      <c r="R18" s="43"/>
      <c r="S18" s="43"/>
      <c r="T18" s="43"/>
      <c r="U18" s="43"/>
    </row>
    <row r="19" spans="1:21" s="11" customFormat="1" ht="15">
      <c r="A19" s="50" t="s">
        <v>71</v>
      </c>
      <c r="B19" s="51">
        <v>1.20</v>
      </c>
      <c r="C19" s="51">
        <v>38.520000000000003</v>
      </c>
      <c r="D19" s="51">
        <v>39.630000000000003</v>
      </c>
      <c r="E19" s="51">
        <v>5.37</v>
      </c>
      <c r="F19" s="51">
        <v>5.22</v>
      </c>
      <c r="G19" s="51">
        <v>128.59</v>
      </c>
      <c r="H19" s="9" t="s">
        <v>15</v>
      </c>
      <c r="I19" s="51">
        <v>11.69</v>
      </c>
      <c r="J19" s="51">
        <v>3.5</v>
      </c>
      <c r="K19" s="51">
        <v>334.10</v>
      </c>
      <c r="L19" s="51">
        <v>52.48</v>
      </c>
      <c r="M19" s="51">
        <v>29.22</v>
      </c>
      <c r="N19" s="9" t="s">
        <v>15</v>
      </c>
      <c r="O19" s="51">
        <v>0</v>
      </c>
      <c r="P19" s="51">
        <v>1.82</v>
      </c>
      <c r="Q19" s="51">
        <v>61.89</v>
      </c>
      <c r="R19" s="43"/>
      <c r="S19" s="43"/>
      <c r="T19" s="43"/>
      <c r="U19" s="43"/>
    </row>
    <row r="20" spans="1:21" s="11" customFormat="1" ht="15">
      <c r="A20" s="50" t="s">
        <v>72</v>
      </c>
      <c r="B20" s="51">
        <v>1.68</v>
      </c>
      <c r="C20" s="51">
        <v>45.44</v>
      </c>
      <c r="D20" s="51">
        <v>46.26</v>
      </c>
      <c r="E20" s="51">
        <v>6.07</v>
      </c>
      <c r="F20" s="51">
        <v>11.75</v>
      </c>
      <c r="G20" s="51">
        <v>128.59</v>
      </c>
      <c r="H20" s="9" t="s">
        <v>15</v>
      </c>
      <c r="I20" s="51">
        <v>8.82</v>
      </c>
      <c r="J20" s="51">
        <v>4.6100000000000003</v>
      </c>
      <c r="K20" s="51">
        <v>345.68</v>
      </c>
      <c r="L20" s="51">
        <v>53.48</v>
      </c>
      <c r="M20" s="51">
        <v>22.70</v>
      </c>
      <c r="N20" s="9" t="s">
        <v>15</v>
      </c>
      <c r="O20" s="51">
        <v>0</v>
      </c>
      <c r="P20" s="51">
        <v>1.65</v>
      </c>
      <c r="Q20" s="51">
        <v>64.72</v>
      </c>
      <c r="R20" s="43"/>
      <c r="S20" s="43"/>
      <c r="T20" s="43"/>
      <c r="U20" s="43"/>
    </row>
    <row r="21" spans="1:21" s="11" customFormat="1" ht="15">
      <c r="A21" s="50" t="s">
        <v>73</v>
      </c>
      <c r="B21" s="51">
        <v>1.1000000000000001</v>
      </c>
      <c r="C21" s="51">
        <v>58.31</v>
      </c>
      <c r="D21" s="51">
        <v>59.28</v>
      </c>
      <c r="E21" s="51">
        <v>4.9000000000000004</v>
      </c>
      <c r="F21" s="51">
        <v>16.53</v>
      </c>
      <c r="G21" s="51">
        <v>123.88</v>
      </c>
      <c r="H21" s="52" t="s">
        <v>12</v>
      </c>
      <c r="I21" s="51">
        <v>4.4000000000000004</v>
      </c>
      <c r="J21" s="51">
        <v>3.55</v>
      </c>
      <c r="K21" s="51">
        <v>89.57</v>
      </c>
      <c r="L21" s="51">
        <v>55.66</v>
      </c>
      <c r="M21" s="51">
        <v>18.64</v>
      </c>
      <c r="N21" s="51">
        <v>827.5</v>
      </c>
      <c r="O21" s="51">
        <v>0</v>
      </c>
      <c r="P21" s="51">
        <v>1.57</v>
      </c>
      <c r="Q21" s="51">
        <v>109.72</v>
      </c>
      <c r="R21" s="43"/>
      <c r="S21" s="43"/>
      <c r="T21" s="43"/>
      <c r="U21" s="43"/>
    </row>
    <row r="22" spans="1:21" s="11" customFormat="1" ht="15">
      <c r="A22" s="50" t="s">
        <v>74</v>
      </c>
      <c r="B22" s="51">
        <v>0.49</v>
      </c>
      <c r="C22" s="51">
        <v>56.30</v>
      </c>
      <c r="D22" s="51">
        <v>56.79</v>
      </c>
      <c r="E22" s="51">
        <v>4.5999999999999996</v>
      </c>
      <c r="F22" s="51">
        <v>21.29</v>
      </c>
      <c r="G22" s="9" t="s">
        <v>15</v>
      </c>
      <c r="H22" s="9" t="s">
        <v>15</v>
      </c>
      <c r="I22" s="51">
        <v>3.42</v>
      </c>
      <c r="J22" s="51">
        <v>2.57</v>
      </c>
      <c r="K22" s="51">
        <v>50.64</v>
      </c>
      <c r="L22" s="51">
        <v>56.23</v>
      </c>
      <c r="M22" s="51">
        <v>16.41</v>
      </c>
      <c r="N22" s="51">
        <v>895.40</v>
      </c>
      <c r="O22" s="51">
        <v>0</v>
      </c>
      <c r="P22" s="51">
        <v>1.26</v>
      </c>
      <c r="Q22" s="51">
        <v>126.38</v>
      </c>
      <c r="R22" s="43"/>
      <c r="S22" s="43"/>
      <c r="T22" s="43"/>
      <c r="U22" s="43"/>
    </row>
    <row r="23" spans="1:21" s="11" customFormat="1" ht="15">
      <c r="A23" s="50" t="s">
        <v>75</v>
      </c>
      <c r="B23" s="51">
        <v>3.35</v>
      </c>
      <c r="C23" s="51">
        <v>48.94</v>
      </c>
      <c r="D23" s="51">
        <v>51.25</v>
      </c>
      <c r="E23" s="51">
        <v>4.88</v>
      </c>
      <c r="F23" s="51">
        <v>5.19</v>
      </c>
      <c r="G23" s="51">
        <v>205.11</v>
      </c>
      <c r="H23" s="51">
        <v>59.52</v>
      </c>
      <c r="I23" s="51">
        <v>4.42</v>
      </c>
      <c r="J23" s="51">
        <v>3.32</v>
      </c>
      <c r="K23" s="51">
        <v>356.74</v>
      </c>
      <c r="L23" s="51">
        <v>56.05</v>
      </c>
      <c r="M23" s="51">
        <v>14.23</v>
      </c>
      <c r="N23" s="51">
        <v>691.5</v>
      </c>
      <c r="O23" s="51">
        <v>0</v>
      </c>
      <c r="P23" s="51">
        <v>1.38</v>
      </c>
      <c r="Q23" s="51">
        <v>120.11</v>
      </c>
      <c r="R23" s="43"/>
      <c r="S23" s="43"/>
      <c r="T23" s="43"/>
      <c r="U23" s="43"/>
    </row>
    <row r="24" spans="1:21" s="11" customFormat="1" ht="15">
      <c r="A24" s="50" t="s">
        <v>76</v>
      </c>
      <c r="B24" s="51">
        <v>2.80</v>
      </c>
      <c r="C24" s="51">
        <v>46.97</v>
      </c>
      <c r="D24" s="51">
        <v>49.77</v>
      </c>
      <c r="E24" s="51">
        <v>5.74</v>
      </c>
      <c r="F24" s="51">
        <v>6.20</v>
      </c>
      <c r="G24" s="51">
        <v>205.11</v>
      </c>
      <c r="H24" s="51">
        <v>59.52</v>
      </c>
      <c r="I24" s="51">
        <v>4.93</v>
      </c>
      <c r="J24" s="51">
        <v>4.20</v>
      </c>
      <c r="K24" s="51">
        <v>342.38</v>
      </c>
      <c r="L24" s="51">
        <v>55.31</v>
      </c>
      <c r="M24" s="51">
        <v>12.44</v>
      </c>
      <c r="N24" s="51">
        <v>716.80</v>
      </c>
      <c r="O24" s="51">
        <v>0</v>
      </c>
      <c r="P24" s="51">
        <v>1.38</v>
      </c>
      <c r="Q24" s="51">
        <v>103.03</v>
      </c>
      <c r="R24" s="43"/>
      <c r="S24" s="43"/>
      <c r="T24" s="43"/>
      <c r="U24" s="43"/>
    </row>
    <row r="25" spans="1:21" s="11" customFormat="1" ht="15">
      <c r="A25" s="50" t="s">
        <v>77</v>
      </c>
      <c r="B25" s="51">
        <v>1.56</v>
      </c>
      <c r="C25" s="51">
        <v>42.71</v>
      </c>
      <c r="D25" s="51">
        <v>44.27</v>
      </c>
      <c r="E25" s="51">
        <v>5.64</v>
      </c>
      <c r="F25" s="51">
        <v>7.23</v>
      </c>
      <c r="G25" s="51">
        <v>185.05</v>
      </c>
      <c r="H25" s="51">
        <v>57.64</v>
      </c>
      <c r="I25" s="51">
        <v>4.5999999999999996</v>
      </c>
      <c r="J25" s="51">
        <v>4.1500000000000004</v>
      </c>
      <c r="K25" s="51">
        <v>337.64</v>
      </c>
      <c r="L25" s="51">
        <v>54.13</v>
      </c>
      <c r="M25" s="51">
        <v>13.94</v>
      </c>
      <c r="N25" s="51">
        <v>537.40</v>
      </c>
      <c r="O25" s="51">
        <v>0</v>
      </c>
      <c r="P25" s="51">
        <v>1.39</v>
      </c>
      <c r="Q25" s="51">
        <v>102.12</v>
      </c>
      <c r="R25" s="43"/>
      <c r="S25" s="43"/>
      <c r="T25" s="43"/>
      <c r="U25" s="43"/>
    </row>
    <row r="26" spans="1:21" s="11" customFormat="1" ht="15">
      <c r="A26" s="50" t="s">
        <v>78</v>
      </c>
      <c r="B26" s="51">
        <v>3.90</v>
      </c>
      <c r="C26" s="51">
        <v>46.43</v>
      </c>
      <c r="D26" s="51">
        <v>50.33</v>
      </c>
      <c r="E26" s="51">
        <v>6.90</v>
      </c>
      <c r="F26" s="51">
        <v>6.71</v>
      </c>
      <c r="G26" s="51">
        <v>165.65</v>
      </c>
      <c r="H26" s="51">
        <v>44.69</v>
      </c>
      <c r="I26" s="51">
        <v>3.92</v>
      </c>
      <c r="J26" s="51">
        <v>3.68</v>
      </c>
      <c r="K26" s="51">
        <v>358.68</v>
      </c>
      <c r="L26" s="51">
        <v>49.07</v>
      </c>
      <c r="M26" s="51">
        <v>11.70</v>
      </c>
      <c r="N26" s="51">
        <v>254.60</v>
      </c>
      <c r="O26" s="51">
        <v>0</v>
      </c>
      <c r="P26" s="51">
        <v>1.78</v>
      </c>
      <c r="Q26" s="51">
        <v>113.89</v>
      </c>
      <c r="R26" s="43"/>
      <c r="S26" s="43"/>
      <c r="T26" s="43"/>
      <c r="U26" s="43"/>
    </row>
    <row r="27" spans="1:21" s="11" customFormat="1" ht="15">
      <c r="A27" s="50" t="s">
        <v>79</v>
      </c>
      <c r="B27" s="51">
        <v>28.76</v>
      </c>
      <c r="C27" s="51">
        <v>60.55</v>
      </c>
      <c r="D27" s="51">
        <v>89.31</v>
      </c>
      <c r="E27" s="51">
        <v>7.28</v>
      </c>
      <c r="F27" s="51">
        <v>5.03</v>
      </c>
      <c r="G27" s="51">
        <v>165.65</v>
      </c>
      <c r="H27" s="51">
        <v>44.37</v>
      </c>
      <c r="I27" s="51">
        <v>11.52</v>
      </c>
      <c r="J27" s="51">
        <v>2.44</v>
      </c>
      <c r="K27" s="51">
        <v>60.49</v>
      </c>
      <c r="L27" s="51">
        <v>48.59</v>
      </c>
      <c r="M27" s="51">
        <v>19.329999999999998</v>
      </c>
      <c r="N27" s="51">
        <v>157.10</v>
      </c>
      <c r="O27" s="51">
        <v>0</v>
      </c>
      <c r="P27" s="51">
        <v>3.5</v>
      </c>
      <c r="Q27" s="51">
        <v>112.07</v>
      </c>
      <c r="R27" s="43"/>
      <c r="S27" s="43"/>
      <c r="T27" s="43"/>
      <c r="U27" s="43"/>
    </row>
    <row r="28" spans="1:21" s="11" customFormat="1" ht="15">
      <c r="A28" s="50" t="s">
        <v>80</v>
      </c>
      <c r="B28" s="51">
        <v>59.53</v>
      </c>
      <c r="C28" s="51">
        <v>72.95</v>
      </c>
      <c r="D28" s="51">
        <v>132.47</v>
      </c>
      <c r="E28" s="51">
        <v>7.86</v>
      </c>
      <c r="F28" s="51">
        <v>1.83</v>
      </c>
      <c r="G28" s="51">
        <v>191.28</v>
      </c>
      <c r="H28" s="51">
        <v>47.51</v>
      </c>
      <c r="I28" s="51">
        <v>20.99</v>
      </c>
      <c r="J28" s="51">
        <v>2.2400000000000002</v>
      </c>
      <c r="K28" s="51">
        <v>50.74</v>
      </c>
      <c r="L28" s="51">
        <v>47.57</v>
      </c>
      <c r="M28" s="51">
        <v>17.440000000000001</v>
      </c>
      <c r="N28" s="51">
        <v>105.30</v>
      </c>
      <c r="O28" s="51">
        <v>0</v>
      </c>
      <c r="P28" s="51">
        <v>4.0599999999999996</v>
      </c>
      <c r="Q28" s="51">
        <v>121.57</v>
      </c>
      <c r="R28" s="43"/>
      <c r="S28" s="43"/>
      <c r="T28" s="43"/>
      <c r="U28" s="43"/>
    </row>
    <row r="29" spans="1:21" s="11" customFormat="1" ht="15">
      <c r="A29" s="50" t="s">
        <v>81</v>
      </c>
      <c r="B29" s="51">
        <v>115.40</v>
      </c>
      <c r="C29" s="51">
        <v>80.61</v>
      </c>
      <c r="D29" s="51">
        <v>196</v>
      </c>
      <c r="E29" s="51">
        <v>8.4499999999999993</v>
      </c>
      <c r="F29" s="51">
        <v>1.65</v>
      </c>
      <c r="G29" s="51">
        <v>219.75</v>
      </c>
      <c r="H29" s="51">
        <v>50.71</v>
      </c>
      <c r="I29" s="51">
        <v>28.62</v>
      </c>
      <c r="J29" s="51">
        <v>2.12</v>
      </c>
      <c r="K29" s="51">
        <v>249.58</v>
      </c>
      <c r="L29" s="51">
        <v>47.18</v>
      </c>
      <c r="M29" s="51">
        <v>27.14</v>
      </c>
      <c r="N29" s="51">
        <v>107.40</v>
      </c>
      <c r="O29" s="51">
        <v>0</v>
      </c>
      <c r="P29" s="51">
        <v>5.61</v>
      </c>
      <c r="Q29" s="51">
        <v>143.47999999999999</v>
      </c>
      <c r="R29" s="43"/>
      <c r="S29" s="43"/>
      <c r="T29" s="43"/>
      <c r="U29" s="43"/>
    </row>
    <row r="30" spans="1:21" s="11" customFormat="1" ht="15">
      <c r="A30" s="50" t="s">
        <v>82</v>
      </c>
      <c r="B30" s="51">
        <v>166.32</v>
      </c>
      <c r="C30" s="51">
        <v>81.70</v>
      </c>
      <c r="D30" s="51">
        <v>248.02</v>
      </c>
      <c r="E30" s="51">
        <v>8.59</v>
      </c>
      <c r="F30" s="51">
        <v>1.65</v>
      </c>
      <c r="G30" s="51">
        <v>280.81</v>
      </c>
      <c r="H30" s="51">
        <v>61.47</v>
      </c>
      <c r="I30" s="51">
        <v>32.58</v>
      </c>
      <c r="J30" s="51">
        <v>1.89</v>
      </c>
      <c r="K30" s="51">
        <v>150.01</v>
      </c>
      <c r="L30" s="51">
        <v>43.92</v>
      </c>
      <c r="M30" s="51">
        <v>37.15</v>
      </c>
      <c r="N30" s="51">
        <v>110.20</v>
      </c>
      <c r="O30" s="51">
        <v>0</v>
      </c>
      <c r="P30" s="51">
        <v>8.16</v>
      </c>
      <c r="Q30" s="51">
        <v>165.49</v>
      </c>
      <c r="R30" s="43"/>
      <c r="S30" s="43"/>
      <c r="T30" s="43"/>
      <c r="U30" s="43"/>
    </row>
    <row r="31" spans="1:21" s="11" customFormat="1" ht="15">
      <c r="A31" s="50" t="s">
        <v>83</v>
      </c>
      <c r="B31" s="51">
        <v>178.66</v>
      </c>
      <c r="C31" s="51">
        <v>81.900000000000006</v>
      </c>
      <c r="D31" s="51">
        <v>260.56</v>
      </c>
      <c r="E31" s="51">
        <v>9.7100000000000009</v>
      </c>
      <c r="F31" s="51">
        <v>1.46</v>
      </c>
      <c r="G31" s="51">
        <v>333.23</v>
      </c>
      <c r="H31" s="51">
        <v>68.73</v>
      </c>
      <c r="I31" s="51">
        <v>37.119999999999997</v>
      </c>
      <c r="J31" s="51">
        <v>1.63</v>
      </c>
      <c r="K31" s="51">
        <v>312.60000000000002</v>
      </c>
      <c r="L31" s="51">
        <v>42.27</v>
      </c>
      <c r="M31" s="51">
        <v>38.94</v>
      </c>
      <c r="N31" s="51">
        <v>112</v>
      </c>
      <c r="O31" s="51">
        <v>0</v>
      </c>
      <c r="P31" s="51">
        <v>4.79</v>
      </c>
      <c r="Q31" s="51">
        <v>173.84</v>
      </c>
      <c r="R31" s="43"/>
      <c r="S31" s="43"/>
      <c r="T31" s="43"/>
      <c r="U31" s="43"/>
    </row>
    <row r="32" spans="1:21" s="11" customFormat="1" ht="15">
      <c r="A32" s="50" t="s">
        <v>84</v>
      </c>
      <c r="B32" s="51">
        <v>187.88</v>
      </c>
      <c r="C32" s="51">
        <v>68.17</v>
      </c>
      <c r="D32" s="51">
        <v>250.97</v>
      </c>
      <c r="E32" s="51">
        <v>9.33</v>
      </c>
      <c r="F32" s="51">
        <v>0.23</v>
      </c>
      <c r="G32" s="51">
        <v>334.35</v>
      </c>
      <c r="H32" s="51">
        <v>72.650000000000006</v>
      </c>
      <c r="I32" s="51">
        <v>20.71</v>
      </c>
      <c r="J32" s="51">
        <v>1.60</v>
      </c>
      <c r="K32" s="51">
        <v>44.54</v>
      </c>
      <c r="L32" s="51">
        <v>40.33</v>
      </c>
      <c r="M32" s="51">
        <v>47.57</v>
      </c>
      <c r="N32" s="51">
        <v>112.60</v>
      </c>
      <c r="O32" s="51">
        <v>0</v>
      </c>
      <c r="P32" s="51">
        <v>4.66</v>
      </c>
      <c r="Q32" s="51">
        <v>178.14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0.48999999999999999</v>
      </c>
      <c r="C34" s="28">
        <f t="shared" si="0"/>
        <v>22.260000000000002</v>
      </c>
      <c r="D34" s="28">
        <f t="shared" si="0"/>
        <v>24.899999999999999</v>
      </c>
      <c r="E34" s="28">
        <f t="shared" si="0"/>
        <v>4.5999999999999996</v>
      </c>
      <c r="F34" s="28">
        <f t="shared" si="0"/>
        <v>0.23000000000000001</v>
      </c>
      <c r="G34" s="28">
        <f t="shared" si="0"/>
        <v>92.540000000000006</v>
      </c>
      <c r="H34" s="28">
        <f t="shared" si="0"/>
        <v>44.369999999999997</v>
      </c>
      <c r="I34" s="28">
        <f t="shared" si="0"/>
        <v>2.8399999999999999</v>
      </c>
      <c r="J34" s="28">
        <f t="shared" si="0"/>
        <v>0.65000000000000002</v>
      </c>
      <c r="K34" s="28">
        <f t="shared" si="0"/>
        <v>44.539999999999999</v>
      </c>
      <c r="L34" s="28">
        <f t="shared" si="0"/>
        <v>36.82</v>
      </c>
      <c r="M34" s="28">
        <f t="shared" si="0"/>
        <v>11.699999999999999</v>
      </c>
      <c r="N34" s="28">
        <f t="shared" si="0"/>
        <v>105.3</v>
      </c>
      <c r="O34" s="28">
        <f t="shared" si="0"/>
        <v>0</v>
      </c>
      <c r="P34" s="28">
        <f t="shared" si="0"/>
        <v>1.01</v>
      </c>
      <c r="Q34" s="28">
        <f t="shared" si="0"/>
        <v>40.68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187.88</v>
      </c>
      <c r="C35" s="29">
        <f t="shared" si="1"/>
        <v>81.900000000000006</v>
      </c>
      <c r="D35" s="29">
        <f t="shared" si="1"/>
        <v>260.56</v>
      </c>
      <c r="E35" s="29">
        <f t="shared" si="1"/>
        <v>9.7100000000000009</v>
      </c>
      <c r="F35" s="29">
        <f t="shared" si="1"/>
        <v>21.289999999999999</v>
      </c>
      <c r="G35" s="29">
        <f t="shared" si="1"/>
        <v>334.35000000000002</v>
      </c>
      <c r="H35" s="29">
        <f t="shared" si="1"/>
        <v>72.650000000000006</v>
      </c>
      <c r="I35" s="29">
        <f t="shared" si="1"/>
        <v>37.119999999999997</v>
      </c>
      <c r="J35" s="29">
        <f t="shared" si="1"/>
        <v>15.35</v>
      </c>
      <c r="K35" s="29">
        <f t="shared" si="1"/>
        <v>358.68000000000001</v>
      </c>
      <c r="L35" s="29">
        <f t="shared" si="1"/>
        <v>56.229999999999997</v>
      </c>
      <c r="M35" s="29">
        <f t="shared" si="1"/>
        <v>57.670000000000002</v>
      </c>
      <c r="N35" s="29">
        <f t="shared" si="1"/>
        <v>895.39999999999998</v>
      </c>
      <c r="O35" s="29">
        <f t="shared" si="1"/>
        <v>0</v>
      </c>
      <c r="P35" s="29">
        <f t="shared" si="1"/>
        <v>8.1600000000000001</v>
      </c>
      <c r="Q35" s="29">
        <f t="shared" si="1"/>
        <v>178.13999999999999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34.398333333333333</v>
      </c>
      <c r="C36" s="28">
        <f t="shared" si="2"/>
        <v>47.290000000000013</v>
      </c>
      <c r="D36" s="28">
        <f t="shared" si="2"/>
        <v>81.155000000000001</v>
      </c>
      <c r="E36" s="28">
        <f t="shared" si="2"/>
        <v>6.9320833333333347</v>
      </c>
      <c r="F36" s="28">
        <f t="shared" si="2"/>
        <v>5.8879166666666682</v>
      </c>
      <c r="G36" s="28">
        <f t="shared" si="2"/>
        <v>164.56043478260872</v>
      </c>
      <c r="H36" s="28">
        <f t="shared" si="2"/>
        <v>56.680999999999997</v>
      </c>
      <c r="I36" s="28">
        <f t="shared" si="2"/>
        <v>10.325416666666667</v>
      </c>
      <c r="J36" s="28">
        <f t="shared" si="2"/>
        <v>3.3708333333333331</v>
      </c>
      <c r="K36" s="28">
        <f t="shared" si="2"/>
        <v>248.09083333333334</v>
      </c>
      <c r="L36" s="28">
        <f t="shared" si="2"/>
        <v>46.220416666666665</v>
      </c>
      <c r="M36" s="28">
        <f t="shared" si="2"/>
        <v>33.993750000000013</v>
      </c>
      <c r="N36" s="28">
        <f t="shared" si="2"/>
        <v>452.76666666666671</v>
      </c>
      <c r="O36" s="28">
        <f t="shared" si="2"/>
        <v>0</v>
      </c>
      <c r="P36" s="28">
        <f t="shared" si="2"/>
        <v>2.3487500000000003</v>
      </c>
      <c r="Q36" s="28">
        <f t="shared" si="2"/>
        <v>99.053333333333327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60.945856489087149</v>
      </c>
      <c r="C37" s="28">
        <f t="shared" si="3" ref="C37:Q37">STDEV(C9:C32)</f>
        <v>18.66471420948465</v>
      </c>
      <c r="D37" s="28">
        <f t="shared" si="3"/>
        <v>76.085773051665612</v>
      </c>
      <c r="E37" s="28">
        <f t="shared" si="3"/>
        <v>1.4510745019277635</v>
      </c>
      <c r="F37" s="28">
        <f t="shared" si="3"/>
        <v>5.3221146329881561</v>
      </c>
      <c r="G37" s="28">
        <f t="shared" si="3"/>
        <v>71.911088124550744</v>
      </c>
      <c r="H37" s="28">
        <f t="shared" si="3"/>
        <v>9.7483120476202512</v>
      </c>
      <c r="I37" s="28">
        <f t="shared" si="3"/>
        <v>10.003184266573042</v>
      </c>
      <c r="J37" s="28">
        <f t="shared" si="3"/>
        <v>3.2517298629266964</v>
      </c>
      <c r="K37" s="28">
        <f t="shared" si="3"/>
        <v>112.23518614040341</v>
      </c>
      <c r="L37" s="28">
        <f t="shared" si="3"/>
        <v>6.8939232719628318</v>
      </c>
      <c r="M37" s="28">
        <f t="shared" si="3"/>
        <v>16.037993697711251</v>
      </c>
      <c r="N37" s="28">
        <f t="shared" si="3"/>
        <v>271.52755354352769</v>
      </c>
      <c r="O37" s="28">
        <f t="shared" si="3"/>
        <v>0</v>
      </c>
      <c r="P37" s="28">
        <f t="shared" si="3"/>
        <v>1.8221662037018034</v>
      </c>
      <c r="Q37" s="28">
        <f t="shared" si="3"/>
        <v>38.582601132439578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>COUNT(H9:H32)+1</f>
        <v>11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21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32516e-fd3a-4186-b45c-306d21205de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28" sqref="G28:G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53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85</v>
      </c>
      <c r="B9" s="51">
        <v>185.95</v>
      </c>
      <c r="C9" s="51">
        <v>61.34</v>
      </c>
      <c r="D9" s="51">
        <v>247.29</v>
      </c>
      <c r="E9" s="51">
        <v>8.85</v>
      </c>
      <c r="F9" s="4" t="s">
        <v>18</v>
      </c>
      <c r="G9" s="51">
        <v>334.35</v>
      </c>
      <c r="H9" s="51">
        <v>72.650000000000006</v>
      </c>
      <c r="I9" s="51">
        <v>18.34</v>
      </c>
      <c r="J9" s="51">
        <v>1.47</v>
      </c>
      <c r="K9" s="51">
        <v>346.86</v>
      </c>
      <c r="L9" s="51">
        <v>42.16</v>
      </c>
      <c r="M9" s="51">
        <v>54.71</v>
      </c>
      <c r="N9" s="51">
        <v>113.70</v>
      </c>
      <c r="O9" s="51">
        <v>0</v>
      </c>
      <c r="P9" s="51">
        <v>4.13</v>
      </c>
      <c r="Q9" s="51">
        <v>177.61</v>
      </c>
      <c r="R9" s="43"/>
      <c r="S9" s="43"/>
      <c r="T9" s="43"/>
      <c r="U9" s="43"/>
    </row>
    <row r="10" spans="1:21" s="11" customFormat="1" ht="15">
      <c r="A10" s="50" t="s">
        <v>86</v>
      </c>
      <c r="B10" s="51">
        <v>166.72</v>
      </c>
      <c r="C10" s="51">
        <v>53.93</v>
      </c>
      <c r="D10" s="51">
        <v>220.65</v>
      </c>
      <c r="E10" s="51">
        <v>8.61</v>
      </c>
      <c r="F10" s="51">
        <v>0.08</v>
      </c>
      <c r="G10" s="51">
        <v>323.12</v>
      </c>
      <c r="H10" s="51">
        <v>67.099999999999994</v>
      </c>
      <c r="I10" s="51">
        <v>16.260000000000002</v>
      </c>
      <c r="J10" s="51">
        <v>0.62</v>
      </c>
      <c r="K10" s="51">
        <v>232.77</v>
      </c>
      <c r="L10" s="51">
        <v>42.13</v>
      </c>
      <c r="M10" s="51">
        <v>46.51</v>
      </c>
      <c r="N10" s="51">
        <v>115.70</v>
      </c>
      <c r="O10" s="51">
        <v>0</v>
      </c>
      <c r="P10" s="51">
        <v>3.44</v>
      </c>
      <c r="Q10" s="51">
        <v>166.73</v>
      </c>
      <c r="R10" s="43"/>
      <c r="S10" s="43"/>
      <c r="T10" s="43"/>
      <c r="U10" s="43"/>
    </row>
    <row r="11" spans="1:21" s="11" customFormat="1" ht="15">
      <c r="A11" s="50" t="s">
        <v>87</v>
      </c>
      <c r="B11" s="51">
        <v>138.88999999999999</v>
      </c>
      <c r="C11" s="51">
        <v>48.41</v>
      </c>
      <c r="D11" s="51">
        <v>187.30</v>
      </c>
      <c r="E11" s="51">
        <v>9.11</v>
      </c>
      <c r="F11" s="51">
        <v>0.56999999999999995</v>
      </c>
      <c r="G11" s="51">
        <v>293.99</v>
      </c>
      <c r="H11" s="51">
        <v>65.23</v>
      </c>
      <c r="I11" s="51">
        <v>12.80</v>
      </c>
      <c r="J11" s="51">
        <v>2.04</v>
      </c>
      <c r="K11" s="51">
        <v>262.33</v>
      </c>
      <c r="L11" s="51">
        <v>41.90</v>
      </c>
      <c r="M11" s="51">
        <v>44.67</v>
      </c>
      <c r="N11" s="51">
        <v>119.30</v>
      </c>
      <c r="O11" s="51">
        <v>0</v>
      </c>
      <c r="P11" s="51">
        <v>2.15</v>
      </c>
      <c r="Q11" s="51">
        <v>143.78</v>
      </c>
      <c r="R11" s="43"/>
      <c r="S11" s="43"/>
      <c r="T11" s="43"/>
      <c r="U11" s="43"/>
    </row>
    <row r="12" spans="1:21" s="11" customFormat="1" ht="15">
      <c r="A12" s="50" t="s">
        <v>88</v>
      </c>
      <c r="B12" s="51">
        <v>104.36</v>
      </c>
      <c r="C12" s="51">
        <v>43.20</v>
      </c>
      <c r="D12" s="51">
        <v>147.56</v>
      </c>
      <c r="E12" s="51">
        <v>8.51</v>
      </c>
      <c r="F12" s="51">
        <v>0.54</v>
      </c>
      <c r="G12" s="51">
        <v>248.96</v>
      </c>
      <c r="H12" s="51">
        <v>63.11</v>
      </c>
      <c r="I12" s="51">
        <v>10.75</v>
      </c>
      <c r="J12" s="51">
        <v>1.65</v>
      </c>
      <c r="K12" s="51">
        <v>331.03</v>
      </c>
      <c r="L12" s="51">
        <v>40.33</v>
      </c>
      <c r="M12" s="51">
        <v>54.83</v>
      </c>
      <c r="N12" s="51">
        <v>120.70</v>
      </c>
      <c r="O12" s="51">
        <v>0</v>
      </c>
      <c r="P12" s="51">
        <v>2.34</v>
      </c>
      <c r="Q12" s="51">
        <v>131.63</v>
      </c>
      <c r="R12" s="43"/>
      <c r="S12" s="43"/>
      <c r="T12" s="43"/>
      <c r="U12" s="43"/>
    </row>
    <row r="13" spans="1:21" s="11" customFormat="1" ht="15">
      <c r="A13" s="50" t="s">
        <v>89</v>
      </c>
      <c r="B13" s="51">
        <v>63.94</v>
      </c>
      <c r="C13" s="51">
        <v>39.75</v>
      </c>
      <c r="D13" s="51">
        <v>102.21</v>
      </c>
      <c r="E13" s="51">
        <v>7.79</v>
      </c>
      <c r="F13" s="51">
        <v>0.06</v>
      </c>
      <c r="G13" s="51">
        <v>202.81</v>
      </c>
      <c r="H13" s="51">
        <v>57.14</v>
      </c>
      <c r="I13" s="51">
        <v>9.48</v>
      </c>
      <c r="J13" s="51">
        <v>1.41</v>
      </c>
      <c r="K13" s="51">
        <v>297.81</v>
      </c>
      <c r="L13" s="51">
        <v>39.26</v>
      </c>
      <c r="M13" s="51">
        <v>53.43</v>
      </c>
      <c r="N13" s="51">
        <v>122.80</v>
      </c>
      <c r="O13" s="51">
        <v>0</v>
      </c>
      <c r="P13" s="51">
        <v>2.19</v>
      </c>
      <c r="Q13" s="51">
        <v>117.94</v>
      </c>
      <c r="R13" s="43"/>
      <c r="S13" s="43"/>
      <c r="T13" s="43"/>
      <c r="U13" s="43"/>
    </row>
    <row r="14" spans="1:21" s="11" customFormat="1" ht="15">
      <c r="A14" s="50" t="s">
        <v>90</v>
      </c>
      <c r="B14" s="51">
        <v>49.64</v>
      </c>
      <c r="C14" s="51">
        <v>40.880000000000003</v>
      </c>
      <c r="D14" s="51">
        <v>89.54</v>
      </c>
      <c r="E14" s="51">
        <v>7.24</v>
      </c>
      <c r="F14" s="51">
        <v>0.12</v>
      </c>
      <c r="G14" s="51">
        <v>164.33</v>
      </c>
      <c r="H14" s="51">
        <v>47.49</v>
      </c>
      <c r="I14" s="51">
        <v>8.6199999999999992</v>
      </c>
      <c r="J14" s="51">
        <v>1.54</v>
      </c>
      <c r="K14" s="51">
        <v>283.07</v>
      </c>
      <c r="L14" s="51">
        <v>38.979999999999997</v>
      </c>
      <c r="M14" s="51">
        <v>54.77</v>
      </c>
      <c r="N14" s="51">
        <v>186.40</v>
      </c>
      <c r="O14" s="51">
        <v>0</v>
      </c>
      <c r="P14" s="51">
        <v>1.89</v>
      </c>
      <c r="Q14" s="51">
        <v>109.98</v>
      </c>
      <c r="R14" s="43"/>
      <c r="S14" s="43"/>
      <c r="T14" s="43"/>
      <c r="U14" s="43"/>
    </row>
    <row r="15" spans="1:21" s="11" customFormat="1" ht="15">
      <c r="A15" s="50" t="s">
        <v>91</v>
      </c>
      <c r="B15" s="51">
        <v>38.39</v>
      </c>
      <c r="C15" s="51">
        <v>41.90</v>
      </c>
      <c r="D15" s="51">
        <v>77.540000000000006</v>
      </c>
      <c r="E15" s="51">
        <v>7.97</v>
      </c>
      <c r="F15" s="51">
        <v>0.15</v>
      </c>
      <c r="G15" s="51">
        <v>164.33</v>
      </c>
      <c r="H15" s="51">
        <v>49.26</v>
      </c>
      <c r="I15" s="51">
        <v>8.35</v>
      </c>
      <c r="J15" s="51">
        <v>0.96</v>
      </c>
      <c r="K15" s="51">
        <v>353.19</v>
      </c>
      <c r="L15" s="51">
        <v>42.52</v>
      </c>
      <c r="M15" s="51">
        <v>52.44</v>
      </c>
      <c r="N15" s="51">
        <v>367.20</v>
      </c>
      <c r="O15" s="51">
        <v>0</v>
      </c>
      <c r="P15" s="51">
        <v>1.89</v>
      </c>
      <c r="Q15" s="51">
        <v>95.52</v>
      </c>
      <c r="R15" s="43"/>
      <c r="S15" s="43"/>
      <c r="T15" s="43"/>
      <c r="U15" s="43"/>
    </row>
    <row r="16" spans="1:21" s="11" customFormat="1" ht="15">
      <c r="A16" s="50" t="s">
        <v>92</v>
      </c>
      <c r="B16" s="51">
        <v>30.41</v>
      </c>
      <c r="C16" s="51">
        <v>43.92</v>
      </c>
      <c r="D16" s="51">
        <v>71.87</v>
      </c>
      <c r="E16" s="51">
        <v>7.85</v>
      </c>
      <c r="F16" s="51">
        <v>0.38</v>
      </c>
      <c r="G16" s="51">
        <v>162.51</v>
      </c>
      <c r="H16" s="51">
        <v>49.26</v>
      </c>
      <c r="I16" s="51">
        <v>9.31</v>
      </c>
      <c r="J16" s="51">
        <v>1.17</v>
      </c>
      <c r="K16" s="51">
        <v>350.46</v>
      </c>
      <c r="L16" s="51">
        <v>44.97</v>
      </c>
      <c r="M16" s="51">
        <v>47.26</v>
      </c>
      <c r="N16" s="51">
        <v>588.20000000000005</v>
      </c>
      <c r="O16" s="51">
        <v>0</v>
      </c>
      <c r="P16" s="51">
        <v>1.93</v>
      </c>
      <c r="Q16" s="51">
        <v>94.73</v>
      </c>
      <c r="R16" s="43"/>
      <c r="S16" s="43"/>
      <c r="T16" s="43"/>
      <c r="U16" s="43"/>
    </row>
    <row r="17" spans="1:21" s="11" customFormat="1" ht="15">
      <c r="A17" s="50" t="s">
        <v>93</v>
      </c>
      <c r="B17" s="51">
        <v>15.37</v>
      </c>
      <c r="C17" s="51">
        <v>50.43</v>
      </c>
      <c r="D17" s="51">
        <v>61.04</v>
      </c>
      <c r="E17" s="51">
        <v>7.64</v>
      </c>
      <c r="F17" s="51">
        <v>0.67</v>
      </c>
      <c r="G17" s="51">
        <v>144.69</v>
      </c>
      <c r="H17" s="51">
        <v>46.17</v>
      </c>
      <c r="I17" s="51">
        <v>13.61</v>
      </c>
      <c r="J17" s="51">
        <v>2.21</v>
      </c>
      <c r="K17" s="51">
        <v>334.43</v>
      </c>
      <c r="L17" s="51">
        <v>49.77</v>
      </c>
      <c r="M17" s="51">
        <v>39.72</v>
      </c>
      <c r="N17" s="51">
        <v>776.90</v>
      </c>
      <c r="O17" s="51">
        <v>0</v>
      </c>
      <c r="P17" s="51">
        <v>2.2000000000000002</v>
      </c>
      <c r="Q17" s="51">
        <v>90.23</v>
      </c>
      <c r="R17" s="43"/>
      <c r="S17" s="43"/>
      <c r="T17" s="43"/>
      <c r="U17" s="43"/>
    </row>
    <row r="18" spans="1:21" s="11" customFormat="1" ht="15">
      <c r="A18" s="50" t="s">
        <v>94</v>
      </c>
      <c r="B18" s="51">
        <v>5.28</v>
      </c>
      <c r="C18" s="51">
        <v>51.27</v>
      </c>
      <c r="D18" s="51">
        <v>56.06</v>
      </c>
      <c r="E18" s="51">
        <v>7.01</v>
      </c>
      <c r="F18" s="51">
        <v>3.13</v>
      </c>
      <c r="G18" s="51">
        <v>148.44</v>
      </c>
      <c r="H18" s="51">
        <v>46.17</v>
      </c>
      <c r="I18" s="51">
        <v>16.30</v>
      </c>
      <c r="J18" s="51">
        <v>2.76</v>
      </c>
      <c r="K18" s="51">
        <v>330.85</v>
      </c>
      <c r="L18" s="51">
        <v>53.49</v>
      </c>
      <c r="M18" s="51">
        <v>30.68</v>
      </c>
      <c r="N18" s="51">
        <v>948.5</v>
      </c>
      <c r="O18" s="51">
        <v>0</v>
      </c>
      <c r="P18" s="51">
        <v>2.16</v>
      </c>
      <c r="Q18" s="51">
        <v>83.57</v>
      </c>
      <c r="R18" s="43"/>
      <c r="S18" s="43"/>
      <c r="T18" s="43"/>
      <c r="U18" s="43"/>
    </row>
    <row r="19" spans="1:21" s="11" customFormat="1" ht="15">
      <c r="A19" s="50" t="s">
        <v>95</v>
      </c>
      <c r="B19" s="51">
        <v>1.76</v>
      </c>
      <c r="C19" s="51">
        <v>50.66</v>
      </c>
      <c r="D19" s="51">
        <v>52.41</v>
      </c>
      <c r="E19" s="51">
        <v>7.29</v>
      </c>
      <c r="F19" s="51">
        <v>6.60</v>
      </c>
      <c r="G19" s="51">
        <v>160.74</v>
      </c>
      <c r="H19" s="51">
        <v>43.86</v>
      </c>
      <c r="I19" s="51">
        <v>13.26</v>
      </c>
      <c r="J19" s="51">
        <v>2.70</v>
      </c>
      <c r="K19" s="51">
        <v>330.42</v>
      </c>
      <c r="L19" s="51">
        <v>54.44</v>
      </c>
      <c r="M19" s="51">
        <v>23.18</v>
      </c>
      <c r="N19" s="51">
        <v>1045.30</v>
      </c>
      <c r="O19" s="51">
        <v>0</v>
      </c>
      <c r="P19" s="51">
        <v>2.08</v>
      </c>
      <c r="Q19" s="51">
        <v>84.60</v>
      </c>
      <c r="R19" s="43"/>
      <c r="S19" s="43"/>
      <c r="T19" s="43"/>
      <c r="U19" s="43"/>
    </row>
    <row r="20" spans="1:21" s="11" customFormat="1" ht="15">
      <c r="A20" s="50" t="s">
        <v>96</v>
      </c>
      <c r="B20" s="51">
        <v>1.5</v>
      </c>
      <c r="C20" s="51">
        <v>49.09</v>
      </c>
      <c r="D20" s="51">
        <v>50.59</v>
      </c>
      <c r="E20" s="51">
        <v>7.01</v>
      </c>
      <c r="F20" s="51">
        <v>8.60</v>
      </c>
      <c r="G20" s="51">
        <v>160.74</v>
      </c>
      <c r="H20" s="51">
        <v>43.61</v>
      </c>
      <c r="I20" s="51">
        <v>10.32</v>
      </c>
      <c r="J20" s="51">
        <v>2.36</v>
      </c>
      <c r="K20" s="51">
        <v>356.62</v>
      </c>
      <c r="L20" s="51">
        <v>54.71</v>
      </c>
      <c r="M20" s="51">
        <v>18.25</v>
      </c>
      <c r="N20" s="51">
        <v>1069.4000000000001</v>
      </c>
      <c r="O20" s="51">
        <v>0</v>
      </c>
      <c r="P20" s="51">
        <v>1.84</v>
      </c>
      <c r="Q20" s="51">
        <v>83.60</v>
      </c>
      <c r="R20" s="43"/>
      <c r="S20" s="43"/>
      <c r="T20" s="43"/>
      <c r="U20" s="43"/>
    </row>
    <row r="21" spans="1:21" s="11" customFormat="1" ht="15">
      <c r="A21" s="50" t="s">
        <v>97</v>
      </c>
      <c r="B21" s="51">
        <v>0.61</v>
      </c>
      <c r="C21" s="51">
        <v>43.76</v>
      </c>
      <c r="D21" s="51">
        <v>44.36</v>
      </c>
      <c r="E21" s="51">
        <v>7.02</v>
      </c>
      <c r="F21" s="51">
        <v>7.48</v>
      </c>
      <c r="G21" s="51">
        <v>157.34</v>
      </c>
      <c r="H21" s="51">
        <v>41.49</v>
      </c>
      <c r="I21" s="51">
        <v>6.04</v>
      </c>
      <c r="J21" s="51">
        <v>1.66</v>
      </c>
      <c r="K21" s="51">
        <v>207.54</v>
      </c>
      <c r="L21" s="51">
        <v>55.11</v>
      </c>
      <c r="M21" s="51">
        <v>15.98</v>
      </c>
      <c r="N21" s="51">
        <v>1071.30</v>
      </c>
      <c r="O21" s="51">
        <v>0</v>
      </c>
      <c r="P21" s="51">
        <v>1.53</v>
      </c>
      <c r="Q21" s="51">
        <v>79.239999999999995</v>
      </c>
      <c r="R21" s="43"/>
      <c r="S21" s="43"/>
      <c r="T21" s="43"/>
      <c r="U21" s="43"/>
    </row>
    <row r="22" spans="1:21" s="11" customFormat="1" ht="15">
      <c r="A22" s="50" t="s">
        <v>98</v>
      </c>
      <c r="B22" s="51">
        <v>0.44</v>
      </c>
      <c r="C22" s="51">
        <v>34.03</v>
      </c>
      <c r="D22" s="51">
        <v>34.47</v>
      </c>
      <c r="E22" s="51">
        <v>7.14</v>
      </c>
      <c r="F22" s="51">
        <v>9.59</v>
      </c>
      <c r="G22" s="51">
        <v>145.24</v>
      </c>
      <c r="H22" s="51">
        <v>38.67</v>
      </c>
      <c r="I22" s="51">
        <v>7.16</v>
      </c>
      <c r="J22" s="51">
        <v>2.2200000000000002</v>
      </c>
      <c r="K22" s="51">
        <v>307.12</v>
      </c>
      <c r="L22" s="51">
        <v>54.39</v>
      </c>
      <c r="M22" s="51">
        <v>14.39</v>
      </c>
      <c r="N22" s="51">
        <v>976.70</v>
      </c>
      <c r="O22" s="51">
        <v>0</v>
      </c>
      <c r="P22" s="51">
        <v>1.49</v>
      </c>
      <c r="Q22" s="51">
        <v>72.20</v>
      </c>
      <c r="R22" s="43"/>
      <c r="S22" s="43"/>
      <c r="T22" s="43"/>
      <c r="U22" s="43"/>
    </row>
    <row r="23" spans="1:21" s="11" customFormat="1" ht="15">
      <c r="A23" s="50" t="s">
        <v>99</v>
      </c>
      <c r="B23" s="51">
        <v>0.31</v>
      </c>
      <c r="C23" s="51">
        <v>34.08</v>
      </c>
      <c r="D23" s="51">
        <v>34.39</v>
      </c>
      <c r="E23" s="51">
        <v>7.06</v>
      </c>
      <c r="F23" s="51">
        <v>9.9600000000000009</v>
      </c>
      <c r="G23" s="51">
        <v>143.41</v>
      </c>
      <c r="H23" s="51">
        <v>37.74</v>
      </c>
      <c r="I23" s="51">
        <v>7.81</v>
      </c>
      <c r="J23" s="51">
        <v>2.2000000000000002</v>
      </c>
      <c r="K23" s="51">
        <v>330.15</v>
      </c>
      <c r="L23" s="51">
        <v>56.03</v>
      </c>
      <c r="M23" s="51">
        <v>14.30</v>
      </c>
      <c r="N23" s="51">
        <v>846</v>
      </c>
      <c r="O23" s="51">
        <v>0</v>
      </c>
      <c r="P23" s="51">
        <v>1.46</v>
      </c>
      <c r="Q23" s="51">
        <v>64.63</v>
      </c>
      <c r="R23" s="43"/>
      <c r="S23" s="43"/>
      <c r="T23" s="43"/>
      <c r="U23" s="43"/>
    </row>
    <row r="24" spans="1:21" s="11" customFormat="1" ht="15">
      <c r="A24" s="50" t="s">
        <v>100</v>
      </c>
      <c r="B24" s="51">
        <v>0.32</v>
      </c>
      <c r="C24" s="51">
        <v>33.86</v>
      </c>
      <c r="D24" s="51">
        <v>34.14</v>
      </c>
      <c r="E24" s="51">
        <v>6.22</v>
      </c>
      <c r="F24" s="51">
        <v>9.18</v>
      </c>
      <c r="G24" s="51">
        <v>143.44999999999999</v>
      </c>
      <c r="H24" s="51">
        <v>36.74</v>
      </c>
      <c r="I24" s="51">
        <v>6.33</v>
      </c>
      <c r="J24" s="51">
        <v>1.5</v>
      </c>
      <c r="K24" s="51">
        <v>326.98</v>
      </c>
      <c r="L24" s="51">
        <v>55.53</v>
      </c>
      <c r="M24" s="51">
        <v>13.18</v>
      </c>
      <c r="N24" s="51">
        <v>712.90</v>
      </c>
      <c r="O24" s="51">
        <v>0</v>
      </c>
      <c r="P24" s="51">
        <v>1.39</v>
      </c>
      <c r="Q24" s="51">
        <v>57.89</v>
      </c>
      <c r="R24" s="43"/>
      <c r="S24" s="43"/>
      <c r="T24" s="43"/>
      <c r="U24" s="43"/>
    </row>
    <row r="25" spans="1:21" s="11" customFormat="1" ht="15">
      <c r="A25" s="50" t="s">
        <v>101</v>
      </c>
      <c r="B25" s="51">
        <v>0.76</v>
      </c>
      <c r="C25" s="51">
        <v>36.479999999999997</v>
      </c>
      <c r="D25" s="51">
        <v>37.21</v>
      </c>
      <c r="E25" s="51">
        <v>5.90</v>
      </c>
      <c r="F25" s="51">
        <v>7.89</v>
      </c>
      <c r="G25" s="51">
        <v>143.44999999999999</v>
      </c>
      <c r="H25" s="51">
        <v>36.51</v>
      </c>
      <c r="I25" s="51">
        <v>5.5</v>
      </c>
      <c r="J25" s="51">
        <v>2.25</v>
      </c>
      <c r="K25" s="51">
        <v>330.26</v>
      </c>
      <c r="L25" s="51">
        <v>55.87</v>
      </c>
      <c r="M25" s="51">
        <v>14.04</v>
      </c>
      <c r="N25" s="51">
        <v>473.80</v>
      </c>
      <c r="O25" s="51">
        <v>0</v>
      </c>
      <c r="P25" s="51">
        <v>1.47</v>
      </c>
      <c r="Q25" s="51">
        <v>59.08</v>
      </c>
      <c r="R25" s="43"/>
      <c r="S25" s="43"/>
      <c r="T25" s="43"/>
      <c r="U25" s="43"/>
    </row>
    <row r="26" spans="1:21" s="11" customFormat="1" ht="15">
      <c r="A26" s="50" t="s">
        <v>102</v>
      </c>
      <c r="B26" s="51">
        <v>1.1200000000000001</v>
      </c>
      <c r="C26" s="51">
        <v>38.43</v>
      </c>
      <c r="D26" s="51">
        <v>39.549999999999997</v>
      </c>
      <c r="E26" s="51">
        <v>5.88</v>
      </c>
      <c r="F26" s="51">
        <v>5.42</v>
      </c>
      <c r="G26" s="51">
        <v>142.72</v>
      </c>
      <c r="H26" s="51">
        <v>34.19</v>
      </c>
      <c r="I26" s="51">
        <v>3.95</v>
      </c>
      <c r="J26" s="51">
        <v>1.02</v>
      </c>
      <c r="K26" s="51">
        <v>241.26</v>
      </c>
      <c r="L26" s="51">
        <v>54.06</v>
      </c>
      <c r="M26" s="51">
        <v>14.74</v>
      </c>
      <c r="N26" s="51">
        <v>217.10</v>
      </c>
      <c r="O26" s="51">
        <v>0</v>
      </c>
      <c r="P26" s="51">
        <v>1.42</v>
      </c>
      <c r="Q26" s="51">
        <v>58.72</v>
      </c>
      <c r="R26" s="43"/>
      <c r="S26" s="43"/>
      <c r="T26" s="43"/>
      <c r="U26" s="43"/>
    </row>
    <row r="27" spans="1:21" s="11" customFormat="1" ht="15">
      <c r="A27" s="50" t="s">
        <v>103</v>
      </c>
      <c r="B27" s="51">
        <v>42.17</v>
      </c>
      <c r="C27" s="51">
        <v>71.150000000000006</v>
      </c>
      <c r="D27" s="51">
        <v>113.32</v>
      </c>
      <c r="E27" s="51">
        <v>5.86</v>
      </c>
      <c r="F27" s="51">
        <v>4</v>
      </c>
      <c r="G27" s="51">
        <v>152.88999999999999</v>
      </c>
      <c r="H27" s="51">
        <v>37.03</v>
      </c>
      <c r="I27" s="51">
        <v>18.559999999999999</v>
      </c>
      <c r="J27" s="51">
        <v>1.77</v>
      </c>
      <c r="K27" s="51">
        <v>331.58</v>
      </c>
      <c r="L27" s="51">
        <v>51.20</v>
      </c>
      <c r="M27" s="51">
        <v>30.90</v>
      </c>
      <c r="N27" s="51">
        <v>99.90</v>
      </c>
      <c r="O27" s="51">
        <v>0</v>
      </c>
      <c r="P27" s="51">
        <v>3.56</v>
      </c>
      <c r="Q27" s="51">
        <v>86.30</v>
      </c>
      <c r="R27" s="43"/>
      <c r="S27" s="43"/>
      <c r="T27" s="43"/>
      <c r="U27" s="43"/>
    </row>
    <row r="28" spans="1:21" s="11" customFormat="1" ht="15">
      <c r="A28" s="50" t="s">
        <v>104</v>
      </c>
      <c r="B28" s="51">
        <v>81.55</v>
      </c>
      <c r="C28" s="51">
        <v>81.88</v>
      </c>
      <c r="D28" s="51">
        <v>163.43</v>
      </c>
      <c r="E28" s="51">
        <v>7.21</v>
      </c>
      <c r="F28" s="51">
        <v>1.02</v>
      </c>
      <c r="G28" s="51">
        <v>378.04</v>
      </c>
      <c r="H28" s="51">
        <v>49.29</v>
      </c>
      <c r="I28" s="51">
        <v>23.28</v>
      </c>
      <c r="J28" s="51">
        <v>2.08</v>
      </c>
      <c r="K28" s="51">
        <v>339.80</v>
      </c>
      <c r="L28" s="51">
        <v>49.22</v>
      </c>
      <c r="M28" s="51">
        <v>33.36</v>
      </c>
      <c r="N28" s="51">
        <v>77.80</v>
      </c>
      <c r="O28" s="51">
        <v>0</v>
      </c>
      <c r="P28" s="51">
        <v>6.23</v>
      </c>
      <c r="Q28" s="51">
        <v>103.08</v>
      </c>
      <c r="R28" s="43"/>
      <c r="S28" s="43"/>
      <c r="T28" s="43"/>
      <c r="U28" s="43"/>
    </row>
    <row r="29" spans="1:21" s="11" customFormat="1" ht="15">
      <c r="A29" s="50" t="s">
        <v>105</v>
      </c>
      <c r="B29" s="51">
        <v>119.45</v>
      </c>
      <c r="C29" s="51">
        <v>83</v>
      </c>
      <c r="D29" s="51">
        <v>202.38</v>
      </c>
      <c r="E29" s="51">
        <v>7.80</v>
      </c>
      <c r="F29" s="51">
        <v>0.67</v>
      </c>
      <c r="G29" s="51">
        <v>378.04</v>
      </c>
      <c r="H29" s="51">
        <v>58.15</v>
      </c>
      <c r="I29" s="51">
        <v>30.13</v>
      </c>
      <c r="J29" s="51">
        <v>1.66</v>
      </c>
      <c r="K29" s="51">
        <v>332.36</v>
      </c>
      <c r="L29" s="51">
        <v>47.58</v>
      </c>
      <c r="M29" s="51">
        <v>33.520000000000003</v>
      </c>
      <c r="N29" s="51">
        <v>79.30</v>
      </c>
      <c r="O29" s="51">
        <v>0</v>
      </c>
      <c r="P29" s="51">
        <v>6.25</v>
      </c>
      <c r="Q29" s="51">
        <v>124.53</v>
      </c>
      <c r="R29" s="43"/>
      <c r="S29" s="43"/>
      <c r="T29" s="43"/>
      <c r="U29" s="43"/>
    </row>
    <row r="30" spans="1:21" s="11" customFormat="1" ht="15">
      <c r="A30" s="50" t="s">
        <v>106</v>
      </c>
      <c r="B30" s="51">
        <v>143</v>
      </c>
      <c r="C30" s="51">
        <v>82.14</v>
      </c>
      <c r="D30" s="51">
        <v>225.10</v>
      </c>
      <c r="E30" s="51">
        <v>8.52</v>
      </c>
      <c r="F30" s="51">
        <v>0.15</v>
      </c>
      <c r="G30" s="51">
        <v>385.59</v>
      </c>
      <c r="H30" s="51">
        <v>69.010000000000005</v>
      </c>
      <c r="I30" s="51">
        <v>28.98</v>
      </c>
      <c r="J30" s="51">
        <v>1.43</v>
      </c>
      <c r="K30" s="51">
        <v>359.25</v>
      </c>
      <c r="L30" s="51">
        <v>49.24</v>
      </c>
      <c r="M30" s="51">
        <v>33.14</v>
      </c>
      <c r="N30" s="51">
        <v>80.5</v>
      </c>
      <c r="O30" s="51">
        <v>0</v>
      </c>
      <c r="P30" s="51">
        <v>5.72</v>
      </c>
      <c r="Q30" s="51">
        <v>141.18</v>
      </c>
      <c r="R30" s="43"/>
      <c r="S30" s="43"/>
      <c r="T30" s="43"/>
      <c r="U30" s="43"/>
    </row>
    <row r="31" spans="1:21" s="11" customFormat="1" ht="15">
      <c r="A31" s="50" t="s">
        <v>107</v>
      </c>
      <c r="B31" s="51">
        <v>140.16999999999999</v>
      </c>
      <c r="C31" s="51">
        <v>79.650000000000006</v>
      </c>
      <c r="D31" s="51">
        <v>219.83</v>
      </c>
      <c r="E31" s="51">
        <v>8.41</v>
      </c>
      <c r="F31" s="4" t="s">
        <v>18</v>
      </c>
      <c r="G31" s="51">
        <v>385.59</v>
      </c>
      <c r="H31" s="51">
        <v>69.010000000000005</v>
      </c>
      <c r="I31" s="51">
        <v>24.05</v>
      </c>
      <c r="J31" s="51">
        <v>2.0299999999999998</v>
      </c>
      <c r="K31" s="51">
        <v>342.85</v>
      </c>
      <c r="L31" s="51">
        <v>46.55</v>
      </c>
      <c r="M31" s="51">
        <v>39.19</v>
      </c>
      <c r="N31" s="51">
        <v>80.5</v>
      </c>
      <c r="O31" s="51">
        <v>0</v>
      </c>
      <c r="P31" s="51">
        <v>5.21</v>
      </c>
      <c r="Q31" s="51">
        <v>138.27000000000001</v>
      </c>
      <c r="R31" s="43"/>
      <c r="S31" s="43"/>
      <c r="T31" s="43"/>
      <c r="U31" s="43"/>
    </row>
    <row r="32" spans="1:21" s="11" customFormat="1" ht="15">
      <c r="A32" s="50" t="s">
        <v>108</v>
      </c>
      <c r="B32" s="51">
        <v>140.24</v>
      </c>
      <c r="C32" s="51">
        <v>73.540000000000006</v>
      </c>
      <c r="D32" s="51">
        <v>212.05</v>
      </c>
      <c r="E32" s="51">
        <v>7.23</v>
      </c>
      <c r="F32" s="4" t="s">
        <v>18</v>
      </c>
      <c r="G32" s="51">
        <v>304.17</v>
      </c>
      <c r="H32" s="51">
        <v>69.930000000000007</v>
      </c>
      <c r="I32" s="51">
        <v>18.420000000000002</v>
      </c>
      <c r="J32" s="51">
        <v>2.13</v>
      </c>
      <c r="K32" s="51">
        <v>284.06</v>
      </c>
      <c r="L32" s="51">
        <v>49.04</v>
      </c>
      <c r="M32" s="51">
        <v>44.26</v>
      </c>
      <c r="N32" s="51">
        <v>81.20</v>
      </c>
      <c r="O32" s="51">
        <v>0</v>
      </c>
      <c r="P32" s="51">
        <v>4.01</v>
      </c>
      <c r="Q32" s="51">
        <v>135.99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0.31</v>
      </c>
      <c r="C34" s="28">
        <f t="shared" si="0"/>
        <v>33.859999999999999</v>
      </c>
      <c r="D34" s="28">
        <f t="shared" si="0"/>
        <v>34.140000000000001</v>
      </c>
      <c r="E34" s="28">
        <f t="shared" si="0"/>
        <v>5.8600000000000003</v>
      </c>
      <c r="F34" s="28">
        <f t="shared" si="0"/>
        <v>0.059999999999999998</v>
      </c>
      <c r="G34" s="28">
        <f t="shared" si="0"/>
        <v>142.72</v>
      </c>
      <c r="H34" s="28">
        <f t="shared" si="0"/>
        <v>34.189999999999998</v>
      </c>
      <c r="I34" s="28">
        <f t="shared" si="0"/>
        <v>3.9500000000000002</v>
      </c>
      <c r="J34" s="28">
        <f t="shared" si="0"/>
        <v>0.62</v>
      </c>
      <c r="K34" s="28">
        <f t="shared" si="0"/>
        <v>207.53999999999999</v>
      </c>
      <c r="L34" s="28">
        <f t="shared" si="0"/>
        <v>38.979999999999997</v>
      </c>
      <c r="M34" s="28">
        <f t="shared" si="0"/>
        <v>13.18</v>
      </c>
      <c r="N34" s="28">
        <f t="shared" si="0"/>
        <v>77.799999999999997</v>
      </c>
      <c r="O34" s="28">
        <f t="shared" si="0"/>
        <v>0</v>
      </c>
      <c r="P34" s="28">
        <f t="shared" si="0"/>
        <v>1.3899999999999999</v>
      </c>
      <c r="Q34" s="28">
        <f t="shared" si="0"/>
        <v>57.890000000000001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185.94999999999999</v>
      </c>
      <c r="C35" s="29">
        <f t="shared" si="1"/>
        <v>83</v>
      </c>
      <c r="D35" s="29">
        <f t="shared" si="1"/>
        <v>247.28999999999999</v>
      </c>
      <c r="E35" s="29">
        <f t="shared" si="1"/>
        <v>9.1099999999999994</v>
      </c>
      <c r="F35" s="29">
        <f t="shared" si="1"/>
        <v>9.9600000000000009</v>
      </c>
      <c r="G35" s="29">
        <f t="shared" si="1"/>
        <v>385.58999999999997</v>
      </c>
      <c r="H35" s="29">
        <f t="shared" si="1"/>
        <v>72.650000000000006</v>
      </c>
      <c r="I35" s="29">
        <f t="shared" si="1"/>
        <v>30.129999999999999</v>
      </c>
      <c r="J35" s="29">
        <f t="shared" si="1"/>
        <v>2.7599999999999998</v>
      </c>
      <c r="K35" s="29">
        <f t="shared" si="1"/>
        <v>359.25</v>
      </c>
      <c r="L35" s="29">
        <f t="shared" si="1"/>
        <v>56.030000000000001</v>
      </c>
      <c r="M35" s="29">
        <f t="shared" si="1"/>
        <v>54.829999999999998</v>
      </c>
      <c r="N35" s="29">
        <f t="shared" si="1"/>
        <v>1071.3</v>
      </c>
      <c r="O35" s="29">
        <f t="shared" si="1"/>
        <v>0</v>
      </c>
      <c r="P35" s="29">
        <f t="shared" si="1"/>
        <v>6.25</v>
      </c>
      <c r="Q35" s="29">
        <f t="shared" si="1"/>
        <v>177.61000000000001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61.347916666666663</v>
      </c>
      <c r="C36" s="28">
        <f t="shared" si="2"/>
        <v>52.782499999999999</v>
      </c>
      <c r="D36" s="28">
        <f t="shared" si="2"/>
        <v>113.51208333333334</v>
      </c>
      <c r="E36" s="28">
        <f t="shared" si="2"/>
        <v>7.463750000000001</v>
      </c>
      <c r="F36" s="28">
        <f t="shared" si="2"/>
        <v>3.6314285714285717</v>
      </c>
      <c r="G36" s="28">
        <f t="shared" si="2"/>
        <v>223.70583333333329</v>
      </c>
      <c r="H36" s="28">
        <f t="shared" si="2"/>
        <v>51.200416666666662</v>
      </c>
      <c r="I36" s="28">
        <f t="shared" si="2"/>
        <v>13.65041666666667</v>
      </c>
      <c r="J36" s="28">
        <f t="shared" si="2"/>
        <v>1.7849999999999999</v>
      </c>
      <c r="K36" s="28">
        <f t="shared" si="2"/>
        <v>314.29374999999999</v>
      </c>
      <c r="L36" s="28">
        <f t="shared" si="2"/>
        <v>48.68666666666666</v>
      </c>
      <c r="M36" s="28">
        <f t="shared" si="2"/>
        <v>34.227083333333326</v>
      </c>
      <c r="N36" s="28">
        <f t="shared" si="2"/>
        <v>432.12916666666661</v>
      </c>
      <c r="O36" s="28">
        <f t="shared" si="2"/>
        <v>0</v>
      </c>
      <c r="P36" s="28">
        <f t="shared" si="2"/>
        <v>2.8325</v>
      </c>
      <c r="Q36" s="28">
        <f t="shared" si="2"/>
        <v>104.20958333333333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63.899639515834707</v>
      </c>
      <c r="C37" s="28">
        <f t="shared" si="3" ref="C37:Q37">STDEV(C9:C32)</f>
        <v>16.738835929086271</v>
      </c>
      <c r="D37" s="28">
        <f t="shared" si="3"/>
        <v>75.812372569399585</v>
      </c>
      <c r="E37" s="28">
        <f t="shared" si="3"/>
        <v>0.92913616964312851</v>
      </c>
      <c r="F37" s="28">
        <f t="shared" si="3"/>
        <v>3.8221306698153135</v>
      </c>
      <c r="G37" s="28">
        <f t="shared" si="3"/>
        <v>94.814043580816389</v>
      </c>
      <c r="H37" s="28">
        <f t="shared" si="3"/>
        <v>12.605883539793668</v>
      </c>
      <c r="I37" s="28">
        <f t="shared" si="3"/>
        <v>7.3674108950907193</v>
      </c>
      <c r="J37" s="28">
        <f t="shared" si="3"/>
        <v>0.54237801674061215</v>
      </c>
      <c r="K37" s="28">
        <f t="shared" si="3"/>
        <v>41.682613914165195</v>
      </c>
      <c r="L37" s="28">
        <f t="shared" si="3"/>
        <v>5.8898148392440888</v>
      </c>
      <c r="M37" s="28">
        <f t="shared" si="3"/>
        <v>15.19287089084213</v>
      </c>
      <c r="N37" s="28">
        <f t="shared" si="3"/>
        <v>389.12709835931025</v>
      </c>
      <c r="O37" s="28">
        <f t="shared" si="3"/>
        <v>0</v>
      </c>
      <c r="P37" s="28">
        <f t="shared" si="3"/>
        <v>1.5963497764260981</v>
      </c>
      <c r="Q37" s="28">
        <f t="shared" si="3"/>
        <v>34.370118022234365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COUNT(F9:F32)+3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979104-6b30-4565-a1c6-416768c51cf0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28" sqref="G28:H31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109</v>
      </c>
      <c r="B9" s="51">
        <v>125.05</v>
      </c>
      <c r="C9" s="51">
        <v>63.30</v>
      </c>
      <c r="D9" s="51">
        <v>188.35</v>
      </c>
      <c r="E9" s="51">
        <v>7.45</v>
      </c>
      <c r="F9" s="51">
        <v>0.52</v>
      </c>
      <c r="G9" s="51">
        <v>304.17</v>
      </c>
      <c r="H9" s="51">
        <v>69.930000000000007</v>
      </c>
      <c r="I9" s="51">
        <v>13.47</v>
      </c>
      <c r="J9" s="51">
        <v>1.51</v>
      </c>
      <c r="K9" s="51">
        <v>339.39</v>
      </c>
      <c r="L9" s="51">
        <v>48.83</v>
      </c>
      <c r="M9" s="51">
        <v>34.770000000000003</v>
      </c>
      <c r="N9" s="51">
        <v>82.5</v>
      </c>
      <c r="O9" s="51">
        <v>0</v>
      </c>
      <c r="P9" s="51">
        <v>2.25</v>
      </c>
      <c r="Q9" s="51">
        <v>118.21</v>
      </c>
      <c r="R9" s="43"/>
      <c r="S9" s="43"/>
      <c r="T9" s="43"/>
      <c r="U9" s="43"/>
    </row>
    <row r="10" spans="1:21" s="11" customFormat="1" ht="15">
      <c r="A10" s="50" t="s">
        <v>110</v>
      </c>
      <c r="B10" s="51">
        <v>90.09</v>
      </c>
      <c r="C10" s="51">
        <v>52.11</v>
      </c>
      <c r="D10" s="51">
        <v>142.19999999999999</v>
      </c>
      <c r="E10" s="51">
        <v>7.58</v>
      </c>
      <c r="F10" s="51">
        <v>0.66</v>
      </c>
      <c r="G10" s="51">
        <v>236.49</v>
      </c>
      <c r="H10" s="51">
        <v>59.62</v>
      </c>
      <c r="I10" s="51">
        <v>9.75</v>
      </c>
      <c r="J10" s="51">
        <v>1.40</v>
      </c>
      <c r="K10" s="51">
        <v>347.58</v>
      </c>
      <c r="L10" s="51">
        <v>43.42</v>
      </c>
      <c r="M10" s="51">
        <v>42.75</v>
      </c>
      <c r="N10" s="51">
        <v>100.10</v>
      </c>
      <c r="O10" s="51">
        <v>0</v>
      </c>
      <c r="P10" s="51">
        <v>2.67</v>
      </c>
      <c r="Q10" s="51">
        <v>110.29</v>
      </c>
      <c r="R10" s="43"/>
      <c r="S10" s="43"/>
      <c r="T10" s="43"/>
      <c r="U10" s="43"/>
    </row>
    <row r="11" spans="1:21" s="11" customFormat="1" ht="15">
      <c r="A11" s="50" t="s">
        <v>111</v>
      </c>
      <c r="B11" s="51">
        <v>57.65</v>
      </c>
      <c r="C11" s="51">
        <v>42.61</v>
      </c>
      <c r="D11" s="51">
        <v>100.27</v>
      </c>
      <c r="E11" s="51">
        <v>7.11</v>
      </c>
      <c r="F11" s="4" t="s">
        <v>18</v>
      </c>
      <c r="G11" s="51">
        <v>188.71</v>
      </c>
      <c r="H11" s="51">
        <v>55.64</v>
      </c>
      <c r="I11" s="51">
        <v>11.28</v>
      </c>
      <c r="J11" s="51">
        <v>1.73</v>
      </c>
      <c r="K11" s="51">
        <v>295.94</v>
      </c>
      <c r="L11" s="51">
        <v>42.99</v>
      </c>
      <c r="M11" s="51">
        <v>45.31</v>
      </c>
      <c r="N11" s="51">
        <v>111.90</v>
      </c>
      <c r="O11" s="51">
        <v>0</v>
      </c>
      <c r="P11" s="51">
        <v>2.4500000000000002</v>
      </c>
      <c r="Q11" s="51">
        <v>101.20</v>
      </c>
      <c r="R11" s="43"/>
      <c r="S11" s="43"/>
      <c r="T11" s="43"/>
      <c r="U11" s="43"/>
    </row>
    <row r="12" spans="1:21" s="11" customFormat="1" ht="15">
      <c r="A12" s="50" t="s">
        <v>112</v>
      </c>
      <c r="B12" s="51">
        <v>36.53</v>
      </c>
      <c r="C12" s="51">
        <v>38.51</v>
      </c>
      <c r="D12" s="51">
        <v>75.03</v>
      </c>
      <c r="E12" s="51">
        <v>6.01</v>
      </c>
      <c r="F12" s="4" t="s">
        <v>18</v>
      </c>
      <c r="G12" s="51">
        <v>184.67</v>
      </c>
      <c r="H12" s="51">
        <v>55.75</v>
      </c>
      <c r="I12" s="51">
        <v>13.12</v>
      </c>
      <c r="J12" s="51">
        <v>1.87</v>
      </c>
      <c r="K12" s="51">
        <v>204.70</v>
      </c>
      <c r="L12" s="51">
        <v>38.86</v>
      </c>
      <c r="M12" s="51">
        <v>44.52</v>
      </c>
      <c r="N12" s="51">
        <v>112</v>
      </c>
      <c r="O12" s="51">
        <v>0</v>
      </c>
      <c r="P12" s="51">
        <v>2.34</v>
      </c>
      <c r="Q12" s="51">
        <v>88.51</v>
      </c>
      <c r="R12" s="43"/>
      <c r="S12" s="43"/>
      <c r="T12" s="43"/>
      <c r="U12" s="43"/>
    </row>
    <row r="13" spans="1:21" s="11" customFormat="1" ht="15">
      <c r="A13" s="50" t="s">
        <v>113</v>
      </c>
      <c r="B13" s="51">
        <v>33.64</v>
      </c>
      <c r="C13" s="51">
        <v>36.590000000000003</v>
      </c>
      <c r="D13" s="51">
        <v>70.23</v>
      </c>
      <c r="E13" s="51">
        <v>6.75</v>
      </c>
      <c r="F13" s="51">
        <v>0.14000000000000001</v>
      </c>
      <c r="G13" s="51">
        <v>223.60</v>
      </c>
      <c r="H13" s="51">
        <v>55.75</v>
      </c>
      <c r="I13" s="51">
        <v>13.09</v>
      </c>
      <c r="J13" s="51">
        <v>1.78</v>
      </c>
      <c r="K13" s="51">
        <v>337.71</v>
      </c>
      <c r="L13" s="51">
        <v>38.770000000000003</v>
      </c>
      <c r="M13" s="51">
        <v>52</v>
      </c>
      <c r="N13" s="51">
        <v>110.70</v>
      </c>
      <c r="O13" s="51">
        <v>0</v>
      </c>
      <c r="P13" s="51">
        <v>2.34</v>
      </c>
      <c r="Q13" s="51">
        <v>73.52</v>
      </c>
      <c r="R13" s="43"/>
      <c r="S13" s="43"/>
      <c r="T13" s="43"/>
      <c r="U13" s="43"/>
    </row>
    <row r="14" spans="1:21" s="11" customFormat="1" ht="15">
      <c r="A14" s="50" t="s">
        <v>114</v>
      </c>
      <c r="B14" s="51">
        <v>36.47</v>
      </c>
      <c r="C14" s="51">
        <v>36.90</v>
      </c>
      <c r="D14" s="51">
        <v>71.900000000000006</v>
      </c>
      <c r="E14" s="51">
        <v>7.91</v>
      </c>
      <c r="F14" s="51">
        <v>0.21</v>
      </c>
      <c r="G14" s="51">
        <v>272.12</v>
      </c>
      <c r="H14" s="51">
        <v>57.87</v>
      </c>
      <c r="I14" s="51">
        <v>12.91</v>
      </c>
      <c r="J14" s="51">
        <v>1.74</v>
      </c>
      <c r="K14" s="51">
        <v>58.42</v>
      </c>
      <c r="L14" s="51">
        <v>41.23</v>
      </c>
      <c r="M14" s="51">
        <v>45.43</v>
      </c>
      <c r="N14" s="51">
        <v>127.10</v>
      </c>
      <c r="O14" s="51">
        <v>0</v>
      </c>
      <c r="P14" s="51">
        <v>3.01</v>
      </c>
      <c r="Q14" s="51">
        <v>81.36</v>
      </c>
      <c r="R14" s="43"/>
      <c r="S14" s="43"/>
      <c r="T14" s="43"/>
      <c r="U14" s="43"/>
    </row>
    <row r="15" spans="1:21" s="11" customFormat="1" ht="15">
      <c r="A15" s="50" t="s">
        <v>115</v>
      </c>
      <c r="B15" s="51">
        <v>40.11</v>
      </c>
      <c r="C15" s="51">
        <v>43.67</v>
      </c>
      <c r="D15" s="51">
        <v>82.87</v>
      </c>
      <c r="E15" s="51">
        <v>7.84</v>
      </c>
      <c r="F15" s="51">
        <v>0.31</v>
      </c>
      <c r="G15" s="51">
        <v>421.02</v>
      </c>
      <c r="H15" s="51">
        <v>80.989999999999995</v>
      </c>
      <c r="I15" s="51">
        <v>14.71</v>
      </c>
      <c r="J15" s="51">
        <v>1.72</v>
      </c>
      <c r="K15" s="51">
        <v>344.92</v>
      </c>
      <c r="L15" s="51">
        <v>45.53</v>
      </c>
      <c r="M15" s="51">
        <v>40.89</v>
      </c>
      <c r="N15" s="51">
        <v>290.89999999999998</v>
      </c>
      <c r="O15" s="51">
        <v>0</v>
      </c>
      <c r="P15" s="51">
        <v>2.89</v>
      </c>
      <c r="Q15" s="51">
        <v>89.69</v>
      </c>
      <c r="R15" s="43"/>
      <c r="S15" s="43"/>
      <c r="T15" s="43"/>
      <c r="U15" s="43"/>
    </row>
    <row r="16" spans="1:21" s="11" customFormat="1" ht="15">
      <c r="A16" s="50" t="s">
        <v>116</v>
      </c>
      <c r="B16" s="51">
        <v>36.83</v>
      </c>
      <c r="C16" s="51">
        <v>57.13</v>
      </c>
      <c r="D16" s="51">
        <v>83.87</v>
      </c>
      <c r="E16" s="51">
        <v>7.22</v>
      </c>
      <c r="F16" s="51">
        <v>0.80</v>
      </c>
      <c r="G16" s="51">
        <v>421.02</v>
      </c>
      <c r="H16" s="51">
        <v>88.35</v>
      </c>
      <c r="I16" s="51">
        <v>14.57</v>
      </c>
      <c r="J16" s="51">
        <v>2.5299999999999998</v>
      </c>
      <c r="K16" s="51">
        <v>334.53</v>
      </c>
      <c r="L16" s="51">
        <v>50.42</v>
      </c>
      <c r="M16" s="51">
        <v>33.880000000000003</v>
      </c>
      <c r="N16" s="51">
        <v>511.20</v>
      </c>
      <c r="O16" s="51">
        <v>0</v>
      </c>
      <c r="P16" s="51">
        <v>2.74</v>
      </c>
      <c r="Q16" s="51">
        <v>88.16</v>
      </c>
      <c r="R16" s="43"/>
      <c r="S16" s="43"/>
      <c r="T16" s="43"/>
      <c r="U16" s="43"/>
    </row>
    <row r="17" spans="1:21" s="11" customFormat="1" ht="15">
      <c r="A17" s="50" t="s">
        <v>117</v>
      </c>
      <c r="B17" s="51">
        <v>16.190000000000001</v>
      </c>
      <c r="C17" s="51">
        <v>66.98</v>
      </c>
      <c r="D17" s="51">
        <v>77.680000000000007</v>
      </c>
      <c r="E17" s="51">
        <v>7.64</v>
      </c>
      <c r="F17" s="51">
        <v>3.54</v>
      </c>
      <c r="G17" s="51">
        <v>370.31</v>
      </c>
      <c r="H17" s="51">
        <v>91.91</v>
      </c>
      <c r="I17" s="51">
        <v>14.80</v>
      </c>
      <c r="J17" s="51">
        <v>3.28</v>
      </c>
      <c r="K17" s="51">
        <v>350.16</v>
      </c>
      <c r="L17" s="51">
        <v>50.5</v>
      </c>
      <c r="M17" s="51">
        <v>31.62</v>
      </c>
      <c r="N17" s="51">
        <v>696</v>
      </c>
      <c r="O17" s="51">
        <v>0</v>
      </c>
      <c r="P17" s="51">
        <v>3.02</v>
      </c>
      <c r="Q17" s="51">
        <v>82.77</v>
      </c>
      <c r="R17" s="43"/>
      <c r="S17" s="43"/>
      <c r="T17" s="43"/>
      <c r="U17" s="43"/>
    </row>
    <row r="18" spans="1:21" s="11" customFormat="1" ht="15">
      <c r="A18" s="50" t="s">
        <v>118</v>
      </c>
      <c r="B18" s="51">
        <v>8.24</v>
      </c>
      <c r="C18" s="51">
        <v>70.70</v>
      </c>
      <c r="D18" s="51">
        <v>76.180000000000007</v>
      </c>
      <c r="E18" s="51">
        <v>7.97</v>
      </c>
      <c r="F18" s="51">
        <v>9.3800000000000008</v>
      </c>
      <c r="G18" s="51">
        <v>438.11</v>
      </c>
      <c r="H18" s="51">
        <v>98.30</v>
      </c>
      <c r="I18" s="51">
        <v>13.85</v>
      </c>
      <c r="J18" s="51">
        <v>2.65</v>
      </c>
      <c r="K18" s="51">
        <v>344.36</v>
      </c>
      <c r="L18" s="51">
        <v>53.03</v>
      </c>
      <c r="M18" s="51">
        <v>24.34</v>
      </c>
      <c r="N18" s="51">
        <v>797.80</v>
      </c>
      <c r="O18" s="51">
        <v>0</v>
      </c>
      <c r="P18" s="51">
        <v>3.12</v>
      </c>
      <c r="Q18" s="51">
        <v>78.59</v>
      </c>
      <c r="R18" s="43"/>
      <c r="S18" s="43"/>
      <c r="T18" s="43"/>
      <c r="U18" s="43"/>
    </row>
    <row r="19" spans="1:21" s="11" customFormat="1" ht="15">
      <c r="A19" s="50" t="s">
        <v>119</v>
      </c>
      <c r="B19" s="51">
        <v>2.2999999999999998</v>
      </c>
      <c r="C19" s="51">
        <v>69.64</v>
      </c>
      <c r="D19" s="51">
        <v>71.95</v>
      </c>
      <c r="E19" s="51">
        <v>8.41</v>
      </c>
      <c r="F19" s="51">
        <v>9.52</v>
      </c>
      <c r="G19" s="9" t="s">
        <v>15</v>
      </c>
      <c r="H19" s="9" t="s">
        <v>15</v>
      </c>
      <c r="I19" s="51">
        <v>12.86</v>
      </c>
      <c r="J19" s="51">
        <v>1.78</v>
      </c>
      <c r="K19" s="51">
        <v>330.45</v>
      </c>
      <c r="L19" s="51">
        <v>53.74</v>
      </c>
      <c r="M19" s="51">
        <v>22.68</v>
      </c>
      <c r="N19" s="51">
        <v>840.5</v>
      </c>
      <c r="O19" s="51">
        <v>0</v>
      </c>
      <c r="P19" s="51">
        <v>2.92</v>
      </c>
      <c r="Q19" s="51">
        <v>78.38</v>
      </c>
      <c r="R19" s="43"/>
      <c r="S19" s="43"/>
      <c r="T19" s="43"/>
      <c r="U19" s="43"/>
    </row>
    <row r="20" spans="1:21" s="11" customFormat="1" ht="15">
      <c r="A20" s="50" t="s">
        <v>120</v>
      </c>
      <c r="B20" s="51">
        <v>0.47</v>
      </c>
      <c r="C20" s="51">
        <v>62.45</v>
      </c>
      <c r="D20" s="51">
        <v>62.81</v>
      </c>
      <c r="E20" s="51">
        <v>8.1300000000000008</v>
      </c>
      <c r="F20" s="51">
        <v>8.6300000000000008</v>
      </c>
      <c r="G20" s="9" t="s">
        <v>15</v>
      </c>
      <c r="H20" s="9" t="s">
        <v>15</v>
      </c>
      <c r="I20" s="51">
        <v>12.25</v>
      </c>
      <c r="J20" s="51">
        <v>2.27</v>
      </c>
      <c r="K20" s="51">
        <v>334.82</v>
      </c>
      <c r="L20" s="51">
        <v>53.67</v>
      </c>
      <c r="M20" s="51">
        <v>20.38</v>
      </c>
      <c r="N20" s="51">
        <v>886.10</v>
      </c>
      <c r="O20" s="51">
        <v>0</v>
      </c>
      <c r="P20" s="51">
        <v>2.88</v>
      </c>
      <c r="Q20" s="51">
        <v>74.42</v>
      </c>
      <c r="R20" s="43"/>
      <c r="S20" s="43"/>
      <c r="T20" s="43"/>
      <c r="U20" s="43"/>
    </row>
    <row r="21" spans="1:21" s="11" customFormat="1" ht="15">
      <c r="A21" s="50" t="s">
        <v>121</v>
      </c>
      <c r="B21" s="51">
        <v>0.18</v>
      </c>
      <c r="C21" s="51">
        <v>46.96</v>
      </c>
      <c r="D21" s="51">
        <v>47.13</v>
      </c>
      <c r="E21" s="51">
        <v>7.74</v>
      </c>
      <c r="F21" s="51">
        <v>9.5500000000000007</v>
      </c>
      <c r="G21" s="9" t="s">
        <v>15</v>
      </c>
      <c r="H21" s="9" t="s">
        <v>15</v>
      </c>
      <c r="I21" s="51">
        <v>7.80</v>
      </c>
      <c r="J21" s="51">
        <v>2.82</v>
      </c>
      <c r="K21" s="51">
        <v>106.33</v>
      </c>
      <c r="L21" s="51">
        <v>51.21</v>
      </c>
      <c r="M21" s="51">
        <v>17.190000000000001</v>
      </c>
      <c r="N21" s="51">
        <v>960.80</v>
      </c>
      <c r="O21" s="51">
        <v>0</v>
      </c>
      <c r="P21" s="51">
        <v>2.16</v>
      </c>
      <c r="Q21" s="51">
        <v>67.58</v>
      </c>
      <c r="R21" s="43"/>
      <c r="S21" s="43"/>
      <c r="T21" s="43"/>
      <c r="U21" s="43"/>
    </row>
    <row r="22" spans="1:21" s="11" customFormat="1" ht="15">
      <c r="A22" s="50" t="s">
        <v>122</v>
      </c>
      <c r="B22" s="51">
        <v>0.23</v>
      </c>
      <c r="C22" s="51">
        <v>34.65</v>
      </c>
      <c r="D22" s="51">
        <v>34.79</v>
      </c>
      <c r="E22" s="51">
        <v>7.28</v>
      </c>
      <c r="F22" s="51">
        <v>12.66</v>
      </c>
      <c r="G22" s="51">
        <v>191.76</v>
      </c>
      <c r="H22" s="51">
        <v>78.14</v>
      </c>
      <c r="I22" s="51">
        <v>4.28</v>
      </c>
      <c r="J22" s="51">
        <v>2.46</v>
      </c>
      <c r="K22" s="51">
        <v>178.86</v>
      </c>
      <c r="L22" s="51">
        <v>54.63</v>
      </c>
      <c r="M22" s="51">
        <v>14.75</v>
      </c>
      <c r="N22" s="51">
        <v>891.40</v>
      </c>
      <c r="O22" s="51">
        <v>0</v>
      </c>
      <c r="P22" s="51">
        <v>1.56</v>
      </c>
      <c r="Q22" s="51">
        <v>56.81</v>
      </c>
      <c r="R22" s="43"/>
      <c r="S22" s="43"/>
      <c r="T22" s="43"/>
      <c r="U22" s="43"/>
    </row>
    <row r="23" spans="1:21" s="11" customFormat="1" ht="15">
      <c r="A23" s="50" t="s">
        <v>123</v>
      </c>
      <c r="B23" s="51">
        <v>0.26</v>
      </c>
      <c r="C23" s="51">
        <v>31.98</v>
      </c>
      <c r="D23" s="51">
        <v>32.159999999999997</v>
      </c>
      <c r="E23" s="51">
        <v>7.27</v>
      </c>
      <c r="F23" s="51">
        <v>12.42</v>
      </c>
      <c r="G23" s="51">
        <v>159.97999999999999</v>
      </c>
      <c r="H23" s="51">
        <v>64.28</v>
      </c>
      <c r="I23" s="51">
        <v>1.70</v>
      </c>
      <c r="J23" s="51">
        <v>3.09</v>
      </c>
      <c r="K23" s="51">
        <v>104.58</v>
      </c>
      <c r="L23" s="51">
        <v>56.07</v>
      </c>
      <c r="M23" s="51">
        <v>15.10</v>
      </c>
      <c r="N23" s="51">
        <v>767.30</v>
      </c>
      <c r="O23" s="51">
        <v>0</v>
      </c>
      <c r="P23" s="51">
        <v>1.48</v>
      </c>
      <c r="Q23" s="51">
        <v>59.08</v>
      </c>
      <c r="R23" s="43"/>
      <c r="S23" s="43"/>
      <c r="T23" s="43"/>
      <c r="U23" s="43"/>
    </row>
    <row r="24" spans="1:21" s="11" customFormat="1" ht="15">
      <c r="A24" s="50" t="s">
        <v>124</v>
      </c>
      <c r="B24" s="51">
        <v>0.42</v>
      </c>
      <c r="C24" s="51">
        <v>33.04</v>
      </c>
      <c r="D24" s="51">
        <v>33.46</v>
      </c>
      <c r="E24" s="51">
        <v>7.61</v>
      </c>
      <c r="F24" s="51">
        <v>9.8800000000000008</v>
      </c>
      <c r="G24" s="51">
        <v>159.97999999999999</v>
      </c>
      <c r="H24" s="51">
        <v>51.90</v>
      </c>
      <c r="I24" s="8" t="s">
        <v>8</v>
      </c>
      <c r="J24" s="51">
        <v>3.05</v>
      </c>
      <c r="K24" s="51">
        <v>346.75</v>
      </c>
      <c r="L24" s="51">
        <v>55.27</v>
      </c>
      <c r="M24" s="51">
        <v>14.65</v>
      </c>
      <c r="N24" s="51">
        <v>599.79999999999995</v>
      </c>
      <c r="O24" s="51">
        <v>0</v>
      </c>
      <c r="P24" s="51">
        <v>1.5</v>
      </c>
      <c r="Q24" s="51">
        <v>59.15</v>
      </c>
      <c r="R24" s="43"/>
      <c r="S24" s="43"/>
      <c r="T24" s="43"/>
      <c r="U24" s="43"/>
    </row>
    <row r="25" spans="1:21" s="11" customFormat="1" ht="15">
      <c r="A25" s="50" t="s">
        <v>125</v>
      </c>
      <c r="B25" s="51">
        <v>0.64</v>
      </c>
      <c r="C25" s="51">
        <v>46.59</v>
      </c>
      <c r="D25" s="51">
        <v>47.23</v>
      </c>
      <c r="E25" s="51">
        <v>7.32</v>
      </c>
      <c r="F25" s="51">
        <v>9.64</v>
      </c>
      <c r="G25" s="51">
        <v>169.59</v>
      </c>
      <c r="H25" s="51">
        <v>48.31</v>
      </c>
      <c r="I25" s="51">
        <v>0.01</v>
      </c>
      <c r="J25" s="51">
        <v>1.80</v>
      </c>
      <c r="K25" s="51">
        <v>342.31</v>
      </c>
      <c r="L25" s="51">
        <v>52.35</v>
      </c>
      <c r="M25" s="51">
        <v>16.809999999999999</v>
      </c>
      <c r="N25" s="51">
        <v>367.60</v>
      </c>
      <c r="O25" s="51">
        <v>0</v>
      </c>
      <c r="P25" s="51">
        <v>1.75</v>
      </c>
      <c r="Q25" s="51">
        <v>56.42</v>
      </c>
      <c r="R25" s="43"/>
      <c r="S25" s="43"/>
      <c r="T25" s="43"/>
      <c r="U25" s="43"/>
    </row>
    <row r="26" spans="1:21" s="11" customFormat="1" ht="15">
      <c r="A26" s="50" t="s">
        <v>126</v>
      </c>
      <c r="B26" s="51">
        <v>2.46</v>
      </c>
      <c r="C26" s="51">
        <v>64.72</v>
      </c>
      <c r="D26" s="51">
        <v>67.180000000000007</v>
      </c>
      <c r="E26" s="51">
        <v>7.06</v>
      </c>
      <c r="F26" s="51">
        <v>8.42</v>
      </c>
      <c r="G26" s="51">
        <v>169.59</v>
      </c>
      <c r="H26" s="51">
        <v>45.38</v>
      </c>
      <c r="I26" s="51">
        <v>0.45</v>
      </c>
      <c r="J26" s="51">
        <v>2.2400000000000002</v>
      </c>
      <c r="K26" s="51">
        <v>122.91</v>
      </c>
      <c r="L26" s="51">
        <v>51.16</v>
      </c>
      <c r="M26" s="51">
        <v>25.24</v>
      </c>
      <c r="N26" s="51">
        <v>166.90</v>
      </c>
      <c r="O26" s="51">
        <v>0</v>
      </c>
      <c r="P26" s="51">
        <v>2.67</v>
      </c>
      <c r="Q26" s="51">
        <v>56.40</v>
      </c>
      <c r="R26" s="43"/>
      <c r="S26" s="43"/>
      <c r="T26" s="43"/>
      <c r="U26" s="43"/>
    </row>
    <row r="27" spans="1:21" s="11" customFormat="1" ht="15">
      <c r="A27" s="50" t="s">
        <v>127</v>
      </c>
      <c r="B27" s="51">
        <v>17.47</v>
      </c>
      <c r="C27" s="51">
        <v>88.73</v>
      </c>
      <c r="D27" s="51">
        <v>106.20</v>
      </c>
      <c r="E27" s="51">
        <v>6.78</v>
      </c>
      <c r="F27" s="51">
        <v>1.63</v>
      </c>
      <c r="G27" s="51">
        <v>255.79</v>
      </c>
      <c r="H27" s="51">
        <v>54.74</v>
      </c>
      <c r="I27" s="51">
        <v>14.25</v>
      </c>
      <c r="J27" s="51">
        <v>2.0099999999999998</v>
      </c>
      <c r="K27" s="51">
        <v>245.14</v>
      </c>
      <c r="L27" s="51">
        <v>41.86</v>
      </c>
      <c r="M27" s="51">
        <v>40.18</v>
      </c>
      <c r="N27" s="51">
        <v>97.10</v>
      </c>
      <c r="O27" s="51">
        <v>0</v>
      </c>
      <c r="P27" s="51">
        <v>4.7300000000000004</v>
      </c>
      <c r="Q27" s="51">
        <v>75.849999999999994</v>
      </c>
      <c r="R27" s="43"/>
      <c r="S27" s="43"/>
      <c r="T27" s="43"/>
      <c r="U27" s="43"/>
    </row>
    <row r="28" spans="1:21" s="11" customFormat="1" ht="15">
      <c r="A28" s="50" t="s">
        <v>128</v>
      </c>
      <c r="B28" s="51">
        <v>88.69</v>
      </c>
      <c r="C28" s="51">
        <v>101.80</v>
      </c>
      <c r="D28" s="51">
        <v>190.48</v>
      </c>
      <c r="E28" s="51">
        <v>7.95</v>
      </c>
      <c r="F28" s="51">
        <v>0.05</v>
      </c>
      <c r="G28" s="9" t="s">
        <v>15</v>
      </c>
      <c r="H28" s="9" t="s">
        <v>15</v>
      </c>
      <c r="I28" s="51">
        <v>27.04</v>
      </c>
      <c r="J28" s="51">
        <v>2.17</v>
      </c>
      <c r="K28" s="51">
        <v>326.99</v>
      </c>
      <c r="L28" s="51">
        <v>40.590000000000003</v>
      </c>
      <c r="M28" s="51">
        <v>35.40</v>
      </c>
      <c r="N28" s="51">
        <v>73</v>
      </c>
      <c r="O28" s="51">
        <v>0</v>
      </c>
      <c r="P28" s="51">
        <v>4.87</v>
      </c>
      <c r="Q28" s="51">
        <v>116.88</v>
      </c>
      <c r="R28" s="43"/>
      <c r="S28" s="43"/>
      <c r="T28" s="43"/>
      <c r="U28" s="43"/>
    </row>
    <row r="29" spans="1:21" s="11" customFormat="1" ht="15">
      <c r="A29" s="50" t="s">
        <v>129</v>
      </c>
      <c r="B29" s="51">
        <v>119.75</v>
      </c>
      <c r="C29" s="51">
        <v>104.77</v>
      </c>
      <c r="D29" s="51">
        <v>223.38</v>
      </c>
      <c r="E29" s="51">
        <v>8.32</v>
      </c>
      <c r="F29" s="4" t="s">
        <v>18</v>
      </c>
      <c r="G29" s="9" t="s">
        <v>15</v>
      </c>
      <c r="H29" s="9" t="s">
        <v>15</v>
      </c>
      <c r="I29" s="51">
        <v>35.94</v>
      </c>
      <c r="J29" s="51">
        <v>1.81</v>
      </c>
      <c r="K29" s="51">
        <v>254.45</v>
      </c>
      <c r="L29" s="51">
        <v>40.67</v>
      </c>
      <c r="M29" s="51">
        <v>39.58</v>
      </c>
      <c r="N29" s="51">
        <v>74.30</v>
      </c>
      <c r="O29" s="51">
        <v>0</v>
      </c>
      <c r="P29" s="51">
        <v>7.03</v>
      </c>
      <c r="Q29" s="51">
        <v>132.28</v>
      </c>
      <c r="R29" s="43"/>
      <c r="S29" s="43"/>
      <c r="T29" s="43"/>
      <c r="U29" s="43"/>
    </row>
    <row r="30" spans="1:21" s="11" customFormat="1" ht="15">
      <c r="A30" s="50" t="s">
        <v>130</v>
      </c>
      <c r="B30" s="51">
        <v>121.08</v>
      </c>
      <c r="C30" s="51">
        <v>102.41</v>
      </c>
      <c r="D30" s="51">
        <v>223.49</v>
      </c>
      <c r="E30" s="51">
        <v>8.49</v>
      </c>
      <c r="F30" s="51">
        <v>0.63</v>
      </c>
      <c r="G30" s="9" t="s">
        <v>15</v>
      </c>
      <c r="H30" s="9" t="s">
        <v>15</v>
      </c>
      <c r="I30" s="51">
        <v>42.22</v>
      </c>
      <c r="J30" s="51">
        <v>2.76</v>
      </c>
      <c r="K30" s="51">
        <v>211.52</v>
      </c>
      <c r="L30" s="51">
        <v>43.24</v>
      </c>
      <c r="M30" s="51">
        <v>33.08</v>
      </c>
      <c r="N30" s="51">
        <v>75</v>
      </c>
      <c r="O30" s="51">
        <v>0</v>
      </c>
      <c r="P30" s="51">
        <v>5.54</v>
      </c>
      <c r="Q30" s="51">
        <v>132.44999999999999</v>
      </c>
      <c r="R30" s="43"/>
      <c r="S30" s="43"/>
      <c r="T30" s="43"/>
      <c r="U30" s="43"/>
    </row>
    <row r="31" spans="1:21" s="11" customFormat="1" ht="15">
      <c r="A31" s="50" t="s">
        <v>131</v>
      </c>
      <c r="B31" s="51">
        <v>84.56</v>
      </c>
      <c r="C31" s="51">
        <v>90.33</v>
      </c>
      <c r="D31" s="51">
        <v>174.89</v>
      </c>
      <c r="E31" s="51">
        <v>7.86</v>
      </c>
      <c r="F31" s="51">
        <v>0.79</v>
      </c>
      <c r="G31" s="9" t="s">
        <v>15</v>
      </c>
      <c r="H31" s="9" t="s">
        <v>15</v>
      </c>
      <c r="I31" s="51">
        <v>13.51</v>
      </c>
      <c r="J31" s="51">
        <v>2.08</v>
      </c>
      <c r="K31" s="51">
        <v>336.55</v>
      </c>
      <c r="L31" s="51">
        <v>45.01</v>
      </c>
      <c r="M31" s="51">
        <v>37.75</v>
      </c>
      <c r="N31" s="51">
        <v>80.599999999999994</v>
      </c>
      <c r="O31" s="51">
        <v>0</v>
      </c>
      <c r="P31" s="51">
        <v>3.71</v>
      </c>
      <c r="Q31" s="51">
        <v>100.97</v>
      </c>
      <c r="R31" s="43"/>
      <c r="S31" s="43"/>
      <c r="T31" s="43"/>
      <c r="U31" s="43"/>
    </row>
    <row r="32" spans="1:21" s="11" customFormat="1" ht="15">
      <c r="A32" s="50" t="s">
        <v>132</v>
      </c>
      <c r="B32" s="51">
        <v>72.319999999999993</v>
      </c>
      <c r="C32" s="51">
        <v>80.680000000000007</v>
      </c>
      <c r="D32" s="51">
        <v>149.90</v>
      </c>
      <c r="E32" s="51">
        <v>7.37</v>
      </c>
      <c r="F32" s="51">
        <v>0.14000000000000001</v>
      </c>
      <c r="G32" s="51">
        <v>272.26</v>
      </c>
      <c r="H32" s="51">
        <v>72.87</v>
      </c>
      <c r="I32" s="51">
        <v>16.91</v>
      </c>
      <c r="J32" s="51">
        <v>1.73</v>
      </c>
      <c r="K32" s="51">
        <v>354.52</v>
      </c>
      <c r="L32" s="51">
        <v>46.51</v>
      </c>
      <c r="M32" s="51">
        <v>39.31</v>
      </c>
      <c r="N32" s="51">
        <v>79.5</v>
      </c>
      <c r="O32" s="51">
        <v>0</v>
      </c>
      <c r="P32" s="51">
        <v>3.40</v>
      </c>
      <c r="Q32" s="51">
        <v>110.08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0.17999999999999999</v>
      </c>
      <c r="C34" s="28">
        <f t="shared" si="0"/>
        <v>31.98</v>
      </c>
      <c r="D34" s="28">
        <f t="shared" si="0"/>
        <v>32.159999999999997</v>
      </c>
      <c r="E34" s="28">
        <f t="shared" si="0"/>
        <v>6.0099999999999998</v>
      </c>
      <c r="F34" s="28">
        <f t="shared" si="0"/>
        <v>0.050000000000000003</v>
      </c>
      <c r="G34" s="28">
        <f t="shared" si="0"/>
        <v>159.97999999999999</v>
      </c>
      <c r="H34" s="28">
        <f t="shared" si="0"/>
        <v>45.380000000000003</v>
      </c>
      <c r="I34" s="28">
        <f t="shared" si="0"/>
        <v>0.01</v>
      </c>
      <c r="J34" s="28">
        <f t="shared" si="0"/>
        <v>1.3999999999999999</v>
      </c>
      <c r="K34" s="28">
        <f t="shared" si="0"/>
        <v>58.420000000000002</v>
      </c>
      <c r="L34" s="28">
        <f t="shared" si="0"/>
        <v>38.770000000000003</v>
      </c>
      <c r="M34" s="28">
        <f t="shared" si="0"/>
        <v>14.65</v>
      </c>
      <c r="N34" s="28">
        <f t="shared" si="0"/>
        <v>73</v>
      </c>
      <c r="O34" s="28">
        <f t="shared" si="0"/>
        <v>0</v>
      </c>
      <c r="P34" s="28">
        <f t="shared" si="0"/>
        <v>1.48</v>
      </c>
      <c r="Q34" s="28">
        <f t="shared" si="0"/>
        <v>56.399999999999999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125.05</v>
      </c>
      <c r="C35" s="29">
        <f t="shared" si="1"/>
        <v>104.77</v>
      </c>
      <c r="D35" s="29">
        <f t="shared" si="1"/>
        <v>223.49000000000001</v>
      </c>
      <c r="E35" s="29">
        <f t="shared" si="1"/>
        <v>8.4900000000000002</v>
      </c>
      <c r="F35" s="29">
        <f t="shared" si="1"/>
        <v>12.66</v>
      </c>
      <c r="G35" s="29">
        <f t="shared" si="1"/>
        <v>438.11000000000001</v>
      </c>
      <c r="H35" s="29">
        <f t="shared" si="1"/>
        <v>98.299999999999997</v>
      </c>
      <c r="I35" s="29">
        <f t="shared" si="1"/>
        <v>42.219999999999999</v>
      </c>
      <c r="J35" s="29">
        <f t="shared" si="1"/>
        <v>3.2799999999999998</v>
      </c>
      <c r="K35" s="29">
        <f t="shared" si="1"/>
        <v>354.51999999999998</v>
      </c>
      <c r="L35" s="29">
        <f t="shared" si="1"/>
        <v>56.07</v>
      </c>
      <c r="M35" s="29">
        <f t="shared" si="1"/>
        <v>52</v>
      </c>
      <c r="N35" s="29">
        <f t="shared" si="1"/>
        <v>960.79999999999995</v>
      </c>
      <c r="O35" s="29">
        <f t="shared" si="1"/>
        <v>0</v>
      </c>
      <c r="P35" s="29">
        <f t="shared" si="1"/>
        <v>7.0300000000000002</v>
      </c>
      <c r="Q35" s="29">
        <f t="shared" si="1"/>
        <v>132.44999999999999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41.317916666666669</v>
      </c>
      <c r="C36" s="28">
        <f t="shared" si="2"/>
        <v>61.135416666666679</v>
      </c>
      <c r="D36" s="28">
        <f t="shared" si="2"/>
        <v>101.40125</v>
      </c>
      <c r="E36" s="28">
        <f t="shared" si="2"/>
        <v>7.5445833333333328</v>
      </c>
      <c r="F36" s="28">
        <f t="shared" si="2"/>
        <v>4.7390476190476187</v>
      </c>
      <c r="G36" s="28">
        <f t="shared" si="2"/>
        <v>261.12764705882358</v>
      </c>
      <c r="H36" s="28">
        <f t="shared" si="2"/>
        <v>66.454705882352911</v>
      </c>
      <c r="I36" s="28">
        <f t="shared" si="2"/>
        <v>13.946521739130432</v>
      </c>
      <c r="J36" s="28">
        <f t="shared" si="2"/>
        <v>2.1783333333333332</v>
      </c>
      <c r="K36" s="28">
        <f t="shared" si="2"/>
        <v>273.07875000000007</v>
      </c>
      <c r="L36" s="28">
        <f t="shared" si="2"/>
        <v>47.481666666666662</v>
      </c>
      <c r="M36" s="28">
        <f t="shared" si="2"/>
        <v>31.983749999999997</v>
      </c>
      <c r="N36" s="28">
        <f t="shared" si="2"/>
        <v>370.83750000000003</v>
      </c>
      <c r="O36" s="28">
        <f t="shared" si="2"/>
        <v>0</v>
      </c>
      <c r="P36" s="28">
        <f t="shared" si="2"/>
        <v>3.0429166666666667</v>
      </c>
      <c r="Q36" s="28">
        <f t="shared" si="2"/>
        <v>87.043750000000003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43.118137410281108</v>
      </c>
      <c r="C37" s="28">
        <f t="shared" si="3" ref="C37:Q37">STDEV(C9:C32)</f>
        <v>23.47527690796845</v>
      </c>
      <c r="D37" s="28">
        <f t="shared" si="3"/>
        <v>59.84153089710103</v>
      </c>
      <c r="E37" s="28">
        <f t="shared" si="3"/>
        <v>0.57636023734154829</v>
      </c>
      <c r="F37" s="28">
        <f t="shared" si="3"/>
        <v>4.8289438853251383</v>
      </c>
      <c r="G37" s="28">
        <f t="shared" si="3"/>
        <v>97.351757401279599</v>
      </c>
      <c r="H37" s="28">
        <f t="shared" si="3"/>
        <v>16.078478674009943</v>
      </c>
      <c r="I37" s="28">
        <f t="shared" si="3"/>
        <v>9.8958106878598144</v>
      </c>
      <c r="J37" s="28">
        <f t="shared" si="3"/>
        <v>0.53480322806956182</v>
      </c>
      <c r="K37" s="28">
        <f t="shared" si="3"/>
        <v>95.278741700909748</v>
      </c>
      <c r="L37" s="28">
        <f t="shared" si="3"/>
        <v>5.6905288717815825</v>
      </c>
      <c r="M37" s="28">
        <f t="shared" si="3"/>
        <v>11.429048350394382</v>
      </c>
      <c r="N37" s="28">
        <f t="shared" si="3"/>
        <v>335.97472059730148</v>
      </c>
      <c r="O37" s="28">
        <f t="shared" si="3"/>
        <v>0</v>
      </c>
      <c r="P37" s="28">
        <f t="shared" si="3"/>
        <v>1.331453861032357</v>
      </c>
      <c r="Q37" s="28">
        <f t="shared" si="3"/>
        <v>23.627387169480283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</f>
        <v>24</v>
      </c>
      <c r="F38" s="32">
        <f>COUNT(F9:F32)+3</f>
        <v>24</v>
      </c>
      <c r="G38" s="32">
        <f t="shared" si="4"/>
        <v>17</v>
      </c>
      <c r="H38" s="32">
        <f t="shared" si="4"/>
        <v>17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e5024e-7851-4cde-baea-a96dd97564c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133</v>
      </c>
      <c r="B9" s="51">
        <v>67.099999999999994</v>
      </c>
      <c r="C9" s="51">
        <v>72.87</v>
      </c>
      <c r="D9" s="51">
        <v>139.97</v>
      </c>
      <c r="E9" s="51">
        <v>7.16</v>
      </c>
      <c r="F9" s="4" t="s">
        <v>18</v>
      </c>
      <c r="G9" s="51">
        <v>272.26</v>
      </c>
      <c r="H9" s="51">
        <v>72.87</v>
      </c>
      <c r="I9" s="51">
        <v>14.16</v>
      </c>
      <c r="J9" s="51">
        <v>1.92</v>
      </c>
      <c r="K9" s="51">
        <v>342.31</v>
      </c>
      <c r="L9" s="51">
        <v>46.99</v>
      </c>
      <c r="M9" s="51">
        <v>43.07</v>
      </c>
      <c r="N9" s="51">
        <v>106.30</v>
      </c>
      <c r="O9" s="51">
        <v>0</v>
      </c>
      <c r="P9" s="51">
        <v>3.24</v>
      </c>
      <c r="Q9" s="51">
        <v>108.20</v>
      </c>
      <c r="R9" s="43"/>
      <c r="S9" s="43"/>
      <c r="T9" s="43"/>
      <c r="U9" s="43"/>
    </row>
    <row r="10" spans="1:21" s="11" customFormat="1" ht="15">
      <c r="A10" s="50" t="s">
        <v>134</v>
      </c>
      <c r="B10" s="51">
        <v>38.26</v>
      </c>
      <c r="C10" s="51">
        <v>63.29</v>
      </c>
      <c r="D10" s="51">
        <v>101.55</v>
      </c>
      <c r="E10" s="51">
        <v>6.46</v>
      </c>
      <c r="F10" s="51">
        <v>0.52</v>
      </c>
      <c r="G10" s="51">
        <v>236.80</v>
      </c>
      <c r="H10" s="51">
        <v>66.69</v>
      </c>
      <c r="I10" s="51">
        <v>8.76</v>
      </c>
      <c r="J10" s="51">
        <v>1.56</v>
      </c>
      <c r="K10" s="51">
        <v>316.45999999999998</v>
      </c>
      <c r="L10" s="51">
        <v>45.22</v>
      </c>
      <c r="M10" s="51">
        <v>39.39</v>
      </c>
      <c r="N10" s="51">
        <v>105</v>
      </c>
      <c r="O10" s="51">
        <v>0</v>
      </c>
      <c r="P10" s="51">
        <v>2.42</v>
      </c>
      <c r="Q10" s="51">
        <v>89.32</v>
      </c>
      <c r="R10" s="43"/>
      <c r="S10" s="43"/>
      <c r="T10" s="43"/>
      <c r="U10" s="43"/>
    </row>
    <row r="11" spans="1:21" s="11" customFormat="1" ht="15">
      <c r="A11" s="50" t="s">
        <v>135</v>
      </c>
      <c r="B11" s="51">
        <v>13.82</v>
      </c>
      <c r="C11" s="51">
        <v>51.49</v>
      </c>
      <c r="D11" s="51">
        <v>65.30</v>
      </c>
      <c r="E11" s="51">
        <v>6.22</v>
      </c>
      <c r="F11" s="51">
        <v>1.08</v>
      </c>
      <c r="G11" s="51">
        <v>157.34</v>
      </c>
      <c r="H11" s="51">
        <v>56.37</v>
      </c>
      <c r="I11" s="51">
        <v>7.05</v>
      </c>
      <c r="J11" s="51">
        <v>1.59</v>
      </c>
      <c r="K11" s="51">
        <v>233.40</v>
      </c>
      <c r="L11" s="51">
        <v>42.80</v>
      </c>
      <c r="M11" s="51">
        <v>44.43</v>
      </c>
      <c r="N11" s="51">
        <v>105.10</v>
      </c>
      <c r="O11" s="51">
        <v>0</v>
      </c>
      <c r="P11" s="51">
        <v>1.92</v>
      </c>
      <c r="Q11" s="51">
        <v>75.20</v>
      </c>
      <c r="R11" s="43"/>
      <c r="S11" s="43"/>
      <c r="T11" s="43"/>
      <c r="U11" s="43"/>
    </row>
    <row r="12" spans="1:21" s="11" customFormat="1" ht="15">
      <c r="A12" s="50" t="s">
        <v>136</v>
      </c>
      <c r="B12" s="51">
        <v>10.25</v>
      </c>
      <c r="C12" s="51">
        <v>46.08</v>
      </c>
      <c r="D12" s="51">
        <v>56.33</v>
      </c>
      <c r="E12" s="51">
        <v>7.19</v>
      </c>
      <c r="F12" s="51">
        <v>1.78</v>
      </c>
      <c r="G12" s="51">
        <v>160.88</v>
      </c>
      <c r="H12" s="51">
        <v>54.72</v>
      </c>
      <c r="I12" s="51">
        <v>6</v>
      </c>
      <c r="J12" s="51">
        <v>2.2000000000000002</v>
      </c>
      <c r="K12" s="51">
        <v>269.33</v>
      </c>
      <c r="L12" s="51">
        <v>42.79</v>
      </c>
      <c r="M12" s="51">
        <v>43.84</v>
      </c>
      <c r="N12" s="51">
        <v>102.40</v>
      </c>
      <c r="O12" s="51">
        <v>0</v>
      </c>
      <c r="P12" s="51">
        <v>1.73</v>
      </c>
      <c r="Q12" s="51">
        <v>67.040000000000006</v>
      </c>
      <c r="R12" s="43"/>
      <c r="S12" s="43"/>
      <c r="T12" s="43"/>
      <c r="U12" s="43"/>
    </row>
    <row r="13" spans="1:21" s="11" customFormat="1" ht="15">
      <c r="A13" s="50" t="s">
        <v>137</v>
      </c>
      <c r="B13" s="51">
        <v>8.19</v>
      </c>
      <c r="C13" s="51">
        <v>44.15</v>
      </c>
      <c r="D13" s="51">
        <v>52.34</v>
      </c>
      <c r="E13" s="51">
        <v>7.25</v>
      </c>
      <c r="F13" s="51">
        <v>1.1100000000000001</v>
      </c>
      <c r="G13" s="51">
        <v>160.88</v>
      </c>
      <c r="H13" s="51">
        <v>49.60</v>
      </c>
      <c r="I13" s="51">
        <v>7.32</v>
      </c>
      <c r="J13" s="51">
        <v>2.23</v>
      </c>
      <c r="K13" s="51">
        <v>284.70</v>
      </c>
      <c r="L13" s="51">
        <v>43.32</v>
      </c>
      <c r="M13" s="51">
        <v>42.74</v>
      </c>
      <c r="N13" s="51">
        <v>105.30</v>
      </c>
      <c r="O13" s="51">
        <v>0</v>
      </c>
      <c r="P13" s="51">
        <v>1.97</v>
      </c>
      <c r="Q13" s="51">
        <v>74.45</v>
      </c>
      <c r="R13" s="43"/>
      <c r="S13" s="43"/>
      <c r="T13" s="43"/>
      <c r="U13" s="43"/>
    </row>
    <row r="14" spans="1:21" s="11" customFormat="1" ht="15">
      <c r="A14" s="50" t="s">
        <v>138</v>
      </c>
      <c r="B14" s="51">
        <v>4.29</v>
      </c>
      <c r="C14" s="51">
        <v>40.840000000000003</v>
      </c>
      <c r="D14" s="51">
        <v>45.13</v>
      </c>
      <c r="E14" s="51">
        <v>6.91</v>
      </c>
      <c r="F14" s="51">
        <v>0.66</v>
      </c>
      <c r="G14" s="51">
        <v>137.74</v>
      </c>
      <c r="H14" s="51">
        <v>48.74</v>
      </c>
      <c r="I14" s="51">
        <v>6.5</v>
      </c>
      <c r="J14" s="51">
        <v>1.99</v>
      </c>
      <c r="K14" s="51">
        <v>229.13</v>
      </c>
      <c r="L14" s="51">
        <v>41.55</v>
      </c>
      <c r="M14" s="51">
        <v>45.42</v>
      </c>
      <c r="N14" s="51">
        <v>113.70</v>
      </c>
      <c r="O14" s="51">
        <v>0</v>
      </c>
      <c r="P14" s="51">
        <v>1.90</v>
      </c>
      <c r="Q14" s="51">
        <v>70.92</v>
      </c>
      <c r="R14" s="43"/>
      <c r="S14" s="43"/>
      <c r="T14" s="43"/>
      <c r="U14" s="43"/>
    </row>
    <row r="15" spans="1:21" s="11" customFormat="1" ht="15">
      <c r="A15" s="50" t="s">
        <v>139</v>
      </c>
      <c r="B15" s="51">
        <v>4.70</v>
      </c>
      <c r="C15" s="51">
        <v>41.82</v>
      </c>
      <c r="D15" s="51">
        <v>46.51</v>
      </c>
      <c r="E15" s="51">
        <v>6.75</v>
      </c>
      <c r="F15" s="51">
        <v>1.46</v>
      </c>
      <c r="G15" s="51">
        <v>154.47999999999999</v>
      </c>
      <c r="H15" s="51">
        <v>46.51</v>
      </c>
      <c r="I15" s="51">
        <v>7.04</v>
      </c>
      <c r="J15" s="51">
        <v>2.2599999999999998</v>
      </c>
      <c r="K15" s="51">
        <v>228.86</v>
      </c>
      <c r="L15" s="51">
        <v>42.98</v>
      </c>
      <c r="M15" s="51">
        <v>42.30</v>
      </c>
      <c r="N15" s="51">
        <v>314.80</v>
      </c>
      <c r="O15" s="51">
        <v>0</v>
      </c>
      <c r="P15" s="51">
        <v>1.92</v>
      </c>
      <c r="Q15" s="51">
        <v>68.28</v>
      </c>
      <c r="R15" s="43"/>
      <c r="S15" s="43"/>
      <c r="T15" s="43"/>
      <c r="U15" s="43"/>
    </row>
    <row r="16" spans="1:21" s="11" customFormat="1" ht="15">
      <c r="A16" s="50" t="s">
        <v>140</v>
      </c>
      <c r="B16" s="51">
        <v>3.48</v>
      </c>
      <c r="C16" s="51">
        <v>40.130000000000003</v>
      </c>
      <c r="D16" s="51">
        <v>42.97</v>
      </c>
      <c r="E16" s="51">
        <v>6.77</v>
      </c>
      <c r="F16" s="51">
        <v>2</v>
      </c>
      <c r="G16" s="51">
        <v>169.14</v>
      </c>
      <c r="H16" s="51">
        <v>48.82</v>
      </c>
      <c r="I16" s="51">
        <v>7.16</v>
      </c>
      <c r="J16" s="51">
        <v>1.49</v>
      </c>
      <c r="K16" s="51">
        <v>328.42</v>
      </c>
      <c r="L16" s="51">
        <v>48.08</v>
      </c>
      <c r="M16" s="51">
        <v>38.17</v>
      </c>
      <c r="N16" s="51">
        <v>492.30</v>
      </c>
      <c r="O16" s="51">
        <v>0</v>
      </c>
      <c r="P16" s="51">
        <v>1.98</v>
      </c>
      <c r="Q16" s="51">
        <v>60.94</v>
      </c>
      <c r="R16" s="43"/>
      <c r="S16" s="43"/>
      <c r="T16" s="43"/>
      <c r="U16" s="43"/>
    </row>
    <row r="17" spans="1:21" s="11" customFormat="1" ht="15">
      <c r="A17" s="50" t="s">
        <v>141</v>
      </c>
      <c r="B17" s="51">
        <v>2.52</v>
      </c>
      <c r="C17" s="51">
        <v>43.25</v>
      </c>
      <c r="D17" s="51">
        <v>45.10</v>
      </c>
      <c r="E17" s="51">
        <v>7.17</v>
      </c>
      <c r="F17" s="51">
        <v>3.54</v>
      </c>
      <c r="G17" s="51">
        <v>185.79</v>
      </c>
      <c r="H17" s="51">
        <v>50.10</v>
      </c>
      <c r="I17" s="51">
        <v>11.45</v>
      </c>
      <c r="J17" s="51">
        <v>2.2200000000000002</v>
      </c>
      <c r="K17" s="51">
        <v>327.08999999999997</v>
      </c>
      <c r="L17" s="51">
        <v>49.82</v>
      </c>
      <c r="M17" s="51">
        <v>32.369999999999997</v>
      </c>
      <c r="N17" s="51">
        <v>755.80</v>
      </c>
      <c r="O17" s="51">
        <v>0</v>
      </c>
      <c r="P17" s="51">
        <v>2.1800000000000002</v>
      </c>
      <c r="Q17" s="51">
        <v>70.16</v>
      </c>
      <c r="R17" s="43"/>
      <c r="S17" s="43"/>
      <c r="T17" s="43"/>
      <c r="U17" s="43"/>
    </row>
    <row r="18" spans="1:21" s="11" customFormat="1" ht="15">
      <c r="A18" s="50" t="s">
        <v>142</v>
      </c>
      <c r="B18" s="51">
        <v>1.61</v>
      </c>
      <c r="C18" s="51">
        <v>49.25</v>
      </c>
      <c r="D18" s="51">
        <v>50.86</v>
      </c>
      <c r="E18" s="51">
        <v>6.93</v>
      </c>
      <c r="F18" s="51">
        <v>4.0999999999999996</v>
      </c>
      <c r="G18" s="51">
        <v>205.35</v>
      </c>
      <c r="H18" s="51">
        <v>55.48</v>
      </c>
      <c r="I18" s="51">
        <v>16.170000000000002</v>
      </c>
      <c r="J18" s="51">
        <v>2.80</v>
      </c>
      <c r="K18" s="51">
        <v>327.98</v>
      </c>
      <c r="L18" s="51">
        <v>54.26</v>
      </c>
      <c r="M18" s="51">
        <v>24.96</v>
      </c>
      <c r="N18" s="51">
        <v>903.20</v>
      </c>
      <c r="O18" s="51">
        <v>0</v>
      </c>
      <c r="P18" s="51">
        <v>2.2799999999999998</v>
      </c>
      <c r="Q18" s="51">
        <v>69.17</v>
      </c>
      <c r="R18" s="43"/>
      <c r="S18" s="43"/>
      <c r="T18" s="43"/>
      <c r="U18" s="43"/>
    </row>
    <row r="19" spans="1:21" s="11" customFormat="1" ht="15">
      <c r="A19" s="50" t="s">
        <v>143</v>
      </c>
      <c r="B19" s="51">
        <v>1.73</v>
      </c>
      <c r="C19" s="51">
        <v>49.09</v>
      </c>
      <c r="D19" s="51">
        <v>50.52</v>
      </c>
      <c r="E19" s="51">
        <v>6.37</v>
      </c>
      <c r="F19" s="51">
        <v>4.57</v>
      </c>
      <c r="G19" s="51">
        <v>205.35</v>
      </c>
      <c r="H19" s="51">
        <v>55.48</v>
      </c>
      <c r="I19" s="51">
        <v>13.11</v>
      </c>
      <c r="J19" s="51">
        <v>5.61</v>
      </c>
      <c r="K19" s="51">
        <v>334</v>
      </c>
      <c r="L19" s="51">
        <v>55.57</v>
      </c>
      <c r="M19" s="51">
        <v>19.39</v>
      </c>
      <c r="N19" s="51">
        <v>1035</v>
      </c>
      <c r="O19" s="51">
        <v>0</v>
      </c>
      <c r="P19" s="51">
        <v>2.15</v>
      </c>
      <c r="Q19" s="51">
        <v>64.41</v>
      </c>
      <c r="R19" s="43"/>
      <c r="S19" s="43"/>
      <c r="T19" s="43"/>
      <c r="U19" s="43"/>
    </row>
    <row r="20" spans="1:21" s="11" customFormat="1" ht="15">
      <c r="A20" s="50" t="s">
        <v>144</v>
      </c>
      <c r="B20" s="51">
        <v>2.19</v>
      </c>
      <c r="C20" s="51">
        <v>52.81</v>
      </c>
      <c r="D20" s="51">
        <v>54.33</v>
      </c>
      <c r="E20" s="51">
        <v>6.17</v>
      </c>
      <c r="F20" s="51">
        <v>19.170000000000002</v>
      </c>
      <c r="G20" s="51">
        <v>152.18</v>
      </c>
      <c r="H20" s="51">
        <v>44.38</v>
      </c>
      <c r="I20" s="51">
        <v>9.27</v>
      </c>
      <c r="J20" s="51">
        <v>5.22</v>
      </c>
      <c r="K20" s="51">
        <v>340.48</v>
      </c>
      <c r="L20" s="51">
        <v>56.75</v>
      </c>
      <c r="M20" s="51">
        <v>16.739999999999998</v>
      </c>
      <c r="N20" s="51">
        <v>1048.5999999999999</v>
      </c>
      <c r="O20" s="51">
        <v>0</v>
      </c>
      <c r="P20" s="51">
        <v>1.92</v>
      </c>
      <c r="Q20" s="51">
        <v>74.400000000000006</v>
      </c>
      <c r="R20" s="43"/>
      <c r="S20" s="43"/>
      <c r="T20" s="43"/>
      <c r="U20" s="43"/>
    </row>
    <row r="21" spans="1:21" s="11" customFormat="1" ht="15">
      <c r="A21" s="50" t="s">
        <v>145</v>
      </c>
      <c r="B21" s="51">
        <v>4.20</v>
      </c>
      <c r="C21" s="51">
        <v>52.29</v>
      </c>
      <c r="D21" s="51">
        <v>55.03</v>
      </c>
      <c r="E21" s="51">
        <v>3.81</v>
      </c>
      <c r="F21" s="51">
        <v>8.25</v>
      </c>
      <c r="G21" s="18" t="s">
        <v>12</v>
      </c>
      <c r="H21" s="18" t="s">
        <v>12</v>
      </c>
      <c r="I21" s="51">
        <v>4.6500000000000004</v>
      </c>
      <c r="J21" s="51">
        <v>4.37</v>
      </c>
      <c r="K21" s="51">
        <v>348.55</v>
      </c>
      <c r="L21" s="51">
        <v>55.20</v>
      </c>
      <c r="M21" s="51">
        <v>14.94</v>
      </c>
      <c r="N21" s="51">
        <v>1109.5999999999999</v>
      </c>
      <c r="O21" s="51">
        <v>0</v>
      </c>
      <c r="P21" s="51">
        <v>1.53</v>
      </c>
      <c r="Q21" s="51">
        <v>175.02</v>
      </c>
      <c r="R21" s="43"/>
      <c r="S21" s="43"/>
      <c r="T21" s="43"/>
      <c r="U21" s="43"/>
    </row>
    <row r="22" spans="1:21" s="11" customFormat="1" ht="15">
      <c r="A22" s="50" t="s">
        <v>146</v>
      </c>
      <c r="B22" s="51">
        <v>2.72</v>
      </c>
      <c r="C22" s="51">
        <v>50.40</v>
      </c>
      <c r="D22" s="51">
        <v>52.95</v>
      </c>
      <c r="E22" s="51">
        <v>4.5199999999999996</v>
      </c>
      <c r="F22" s="51">
        <v>8.93</v>
      </c>
      <c r="G22" s="18" t="s">
        <v>12</v>
      </c>
      <c r="H22" s="18" t="s">
        <v>12</v>
      </c>
      <c r="I22" s="51">
        <v>0.22</v>
      </c>
      <c r="J22" s="51">
        <v>4.75</v>
      </c>
      <c r="K22" s="51">
        <v>357.39</v>
      </c>
      <c r="L22" s="51">
        <v>52.07</v>
      </c>
      <c r="M22" s="51">
        <v>13.74</v>
      </c>
      <c r="N22" s="51">
        <v>1026.70</v>
      </c>
      <c r="O22" s="51">
        <v>0</v>
      </c>
      <c r="P22" s="51">
        <v>1.54</v>
      </c>
      <c r="Q22" s="51">
        <v>188.16</v>
      </c>
      <c r="R22" s="43"/>
      <c r="S22" s="43"/>
      <c r="T22" s="43"/>
      <c r="U22" s="43"/>
    </row>
    <row r="23" spans="1:21" s="11" customFormat="1" ht="15">
      <c r="A23" s="50" t="s">
        <v>147</v>
      </c>
      <c r="B23" s="51">
        <v>3.44</v>
      </c>
      <c r="C23" s="51">
        <v>49.06</v>
      </c>
      <c r="D23" s="51">
        <v>50.99</v>
      </c>
      <c r="E23" s="51">
        <v>3.68</v>
      </c>
      <c r="F23" s="51">
        <v>8.31</v>
      </c>
      <c r="G23" s="51">
        <v>129.75</v>
      </c>
      <c r="H23" s="51">
        <v>33.96</v>
      </c>
      <c r="I23" s="51">
        <v>0.22</v>
      </c>
      <c r="J23" s="51">
        <v>4.22</v>
      </c>
      <c r="K23" s="51">
        <v>345.84</v>
      </c>
      <c r="L23" s="51">
        <v>51.87</v>
      </c>
      <c r="M23" s="51">
        <v>15.64</v>
      </c>
      <c r="N23" s="51">
        <v>723.70</v>
      </c>
      <c r="O23" s="51">
        <v>0</v>
      </c>
      <c r="P23" s="51">
        <v>1.54</v>
      </c>
      <c r="Q23" s="51">
        <v>182.04</v>
      </c>
      <c r="R23" s="43"/>
      <c r="S23" s="43"/>
      <c r="T23" s="43"/>
      <c r="U23" s="43"/>
    </row>
    <row r="24" spans="1:21" s="11" customFormat="1" ht="15">
      <c r="A24" s="50" t="s">
        <v>148</v>
      </c>
      <c r="B24" s="51">
        <v>2.71</v>
      </c>
      <c r="C24" s="51">
        <v>46.12</v>
      </c>
      <c r="D24" s="51">
        <v>48.80</v>
      </c>
      <c r="E24" s="51">
        <v>4.72</v>
      </c>
      <c r="F24" s="51">
        <v>4.4800000000000004</v>
      </c>
      <c r="G24" s="51">
        <v>126.71</v>
      </c>
      <c r="H24" s="51">
        <v>33.74</v>
      </c>
      <c r="I24" s="4" t="s">
        <v>18</v>
      </c>
      <c r="J24" s="51">
        <v>4.33</v>
      </c>
      <c r="K24" s="51">
        <v>338.54</v>
      </c>
      <c r="L24" s="51">
        <v>51.37</v>
      </c>
      <c r="M24" s="51">
        <v>15.97</v>
      </c>
      <c r="N24" s="51">
        <v>847.10</v>
      </c>
      <c r="O24" s="51">
        <v>0</v>
      </c>
      <c r="P24" s="51">
        <v>1.53</v>
      </c>
      <c r="Q24" s="51">
        <v>143.86000000000001</v>
      </c>
      <c r="R24" s="43"/>
      <c r="S24" s="43"/>
      <c r="T24" s="43"/>
      <c r="U24" s="43"/>
    </row>
    <row r="25" spans="1:21" s="11" customFormat="1" ht="15">
      <c r="A25" s="50" t="s">
        <v>149</v>
      </c>
      <c r="B25" s="51">
        <v>4.1100000000000003</v>
      </c>
      <c r="C25" s="51">
        <v>43.05</v>
      </c>
      <c r="D25" s="51">
        <v>47.15</v>
      </c>
      <c r="E25" s="51">
        <v>5.73</v>
      </c>
      <c r="F25" s="51">
        <v>3.87</v>
      </c>
      <c r="G25" s="51">
        <v>119.60</v>
      </c>
      <c r="H25" s="51">
        <v>32.369999999999997</v>
      </c>
      <c r="I25" s="51">
        <v>0.54</v>
      </c>
      <c r="J25" s="51">
        <v>3.99</v>
      </c>
      <c r="K25" s="51">
        <v>348.95</v>
      </c>
      <c r="L25" s="51">
        <v>49.96</v>
      </c>
      <c r="M25" s="51">
        <v>16.739999999999998</v>
      </c>
      <c r="N25" s="51">
        <v>296.89999999999998</v>
      </c>
      <c r="O25" s="51">
        <v>0</v>
      </c>
      <c r="P25" s="51">
        <v>1.67</v>
      </c>
      <c r="Q25" s="51">
        <v>114.19</v>
      </c>
      <c r="R25" s="43"/>
      <c r="S25" s="43"/>
      <c r="T25" s="43"/>
      <c r="U25" s="43"/>
    </row>
    <row r="26" spans="1:21" s="11" customFormat="1" ht="15">
      <c r="A26" s="50" t="s">
        <v>150</v>
      </c>
      <c r="B26" s="51">
        <v>5.47</v>
      </c>
      <c r="C26" s="51">
        <v>51.42</v>
      </c>
      <c r="D26" s="51">
        <v>56</v>
      </c>
      <c r="E26" s="51">
        <v>6.69</v>
      </c>
      <c r="F26" s="51">
        <v>3.42</v>
      </c>
      <c r="G26" s="51">
        <v>117.59</v>
      </c>
      <c r="H26" s="51">
        <v>30.59</v>
      </c>
      <c r="I26" s="51">
        <v>3.74</v>
      </c>
      <c r="J26" s="51">
        <v>1.85</v>
      </c>
      <c r="K26" s="51">
        <v>356.32</v>
      </c>
      <c r="L26" s="51">
        <v>47.39</v>
      </c>
      <c r="M26" s="51">
        <v>26.09</v>
      </c>
      <c r="N26" s="51">
        <v>200.40</v>
      </c>
      <c r="O26" s="51">
        <v>0</v>
      </c>
      <c r="P26" s="51">
        <v>1.80</v>
      </c>
      <c r="Q26" s="51">
        <v>123.18</v>
      </c>
      <c r="R26" s="43"/>
      <c r="S26" s="43"/>
      <c r="T26" s="43"/>
      <c r="U26" s="43"/>
    </row>
    <row r="27" spans="1:21" s="11" customFormat="1" ht="15">
      <c r="A27" s="50" t="s">
        <v>151</v>
      </c>
      <c r="B27" s="51">
        <v>2.52</v>
      </c>
      <c r="C27" s="51">
        <v>50.15</v>
      </c>
      <c r="D27" s="51">
        <v>52.68</v>
      </c>
      <c r="E27" s="51">
        <v>6.29</v>
      </c>
      <c r="F27" s="51">
        <v>4.28</v>
      </c>
      <c r="G27" s="51">
        <v>125.33</v>
      </c>
      <c r="H27" s="51">
        <v>30.28</v>
      </c>
      <c r="I27" s="51">
        <v>5.99</v>
      </c>
      <c r="J27" s="51">
        <v>1.71</v>
      </c>
      <c r="K27" s="51">
        <v>328.88</v>
      </c>
      <c r="L27" s="51">
        <v>46.38</v>
      </c>
      <c r="M27" s="51">
        <v>29.59</v>
      </c>
      <c r="N27" s="51">
        <v>168.70</v>
      </c>
      <c r="O27" s="51">
        <v>0</v>
      </c>
      <c r="P27" s="51">
        <v>1.81</v>
      </c>
      <c r="Q27" s="51">
        <v>116.32</v>
      </c>
      <c r="R27" s="43"/>
      <c r="S27" s="43"/>
      <c r="T27" s="43"/>
      <c r="U27" s="43"/>
    </row>
    <row r="28" spans="1:21" s="11" customFormat="1" ht="15">
      <c r="A28" s="50" t="s">
        <v>152</v>
      </c>
      <c r="B28" s="51">
        <v>4</v>
      </c>
      <c r="C28" s="51">
        <v>51.86</v>
      </c>
      <c r="D28" s="51">
        <v>55.86</v>
      </c>
      <c r="E28" s="51">
        <v>5.93</v>
      </c>
      <c r="F28" s="51">
        <v>3.29</v>
      </c>
      <c r="G28" s="51">
        <v>127.98</v>
      </c>
      <c r="H28" s="51">
        <v>39.950000000000003</v>
      </c>
      <c r="I28" s="51">
        <v>7.5</v>
      </c>
      <c r="J28" s="51">
        <v>1.34</v>
      </c>
      <c r="K28" s="51">
        <v>327.11</v>
      </c>
      <c r="L28" s="51">
        <v>42.13</v>
      </c>
      <c r="M28" s="51">
        <v>29.70</v>
      </c>
      <c r="N28" s="51">
        <v>136.30000000000001</v>
      </c>
      <c r="O28" s="51">
        <v>0</v>
      </c>
      <c r="P28" s="51">
        <v>2.1800000000000002</v>
      </c>
      <c r="Q28" s="51">
        <v>106.12</v>
      </c>
      <c r="R28" s="43"/>
      <c r="S28" s="43"/>
      <c r="T28" s="43"/>
      <c r="U28" s="43"/>
    </row>
    <row r="29" spans="1:21" s="11" customFormat="1" ht="15">
      <c r="A29" s="50" t="s">
        <v>153</v>
      </c>
      <c r="B29" s="51">
        <v>15.12</v>
      </c>
      <c r="C29" s="51">
        <v>59.46</v>
      </c>
      <c r="D29" s="51">
        <v>74.58</v>
      </c>
      <c r="E29" s="51">
        <v>6.11</v>
      </c>
      <c r="F29" s="51">
        <v>1.69</v>
      </c>
      <c r="G29" s="51">
        <v>128.47</v>
      </c>
      <c r="H29" s="51">
        <v>38.99</v>
      </c>
      <c r="I29" s="51">
        <v>9.69</v>
      </c>
      <c r="J29" s="51">
        <v>1.78</v>
      </c>
      <c r="K29" s="51">
        <v>344.87</v>
      </c>
      <c r="L29" s="51">
        <v>43.23</v>
      </c>
      <c r="M29" s="51">
        <v>24.56</v>
      </c>
      <c r="N29" s="51">
        <v>141.69999999999999</v>
      </c>
      <c r="O29" s="51">
        <v>0</v>
      </c>
      <c r="P29" s="51">
        <v>2.57</v>
      </c>
      <c r="Q29" s="51">
        <v>97.99</v>
      </c>
      <c r="R29" s="43"/>
      <c r="S29" s="43"/>
      <c r="T29" s="43"/>
      <c r="U29" s="43"/>
    </row>
    <row r="30" spans="1:21" s="11" customFormat="1" ht="15">
      <c r="A30" s="50" t="s">
        <v>154</v>
      </c>
      <c r="B30" s="51">
        <v>21.38</v>
      </c>
      <c r="C30" s="51">
        <v>62.61</v>
      </c>
      <c r="D30" s="51">
        <v>83.63</v>
      </c>
      <c r="E30" s="51">
        <v>6.78</v>
      </c>
      <c r="F30" s="51">
        <v>1.28</v>
      </c>
      <c r="G30" s="51">
        <v>160.53</v>
      </c>
      <c r="H30" s="51">
        <v>43.44</v>
      </c>
      <c r="I30" s="51">
        <v>10.82</v>
      </c>
      <c r="J30" s="51">
        <v>1.35</v>
      </c>
      <c r="K30" s="51">
        <v>349.69</v>
      </c>
      <c r="L30" s="51">
        <v>43.56</v>
      </c>
      <c r="M30" s="51">
        <v>24.52</v>
      </c>
      <c r="N30" s="51">
        <v>159.69999999999999</v>
      </c>
      <c r="O30" s="51">
        <v>0</v>
      </c>
      <c r="P30" s="51">
        <v>2.68</v>
      </c>
      <c r="Q30" s="51">
        <v>115.99</v>
      </c>
      <c r="R30" s="43"/>
      <c r="S30" s="43"/>
      <c r="T30" s="43"/>
      <c r="U30" s="43"/>
    </row>
    <row r="31" spans="1:21" s="11" customFormat="1" ht="15">
      <c r="A31" s="50" t="s">
        <v>155</v>
      </c>
      <c r="B31" s="51">
        <v>20.56</v>
      </c>
      <c r="C31" s="51">
        <v>61.51</v>
      </c>
      <c r="D31" s="51">
        <v>82.07</v>
      </c>
      <c r="E31" s="51">
        <v>7.40</v>
      </c>
      <c r="F31" s="51">
        <v>1.86</v>
      </c>
      <c r="G31" s="51">
        <v>160.90</v>
      </c>
      <c r="H31" s="51">
        <v>45.07</v>
      </c>
      <c r="I31" s="51">
        <v>10.35</v>
      </c>
      <c r="J31" s="51">
        <v>2.41</v>
      </c>
      <c r="K31" s="51">
        <v>348.30</v>
      </c>
      <c r="L31" s="51">
        <v>43.32</v>
      </c>
      <c r="M31" s="51">
        <v>26.36</v>
      </c>
      <c r="N31" s="51">
        <v>152.80000000000001</v>
      </c>
      <c r="O31" s="51">
        <v>0</v>
      </c>
      <c r="P31" s="51">
        <v>2.61</v>
      </c>
      <c r="Q31" s="51">
        <v>116.71</v>
      </c>
      <c r="R31" s="43"/>
      <c r="S31" s="43"/>
      <c r="T31" s="43"/>
      <c r="U31" s="43"/>
    </row>
    <row r="32" spans="1:21" s="11" customFormat="1" ht="15">
      <c r="A32" s="50" t="s">
        <v>156</v>
      </c>
      <c r="B32" s="51">
        <v>8.8000000000000007</v>
      </c>
      <c r="C32" s="51">
        <v>53.99</v>
      </c>
      <c r="D32" s="51">
        <v>62.79</v>
      </c>
      <c r="E32" s="51">
        <v>6.59</v>
      </c>
      <c r="F32" s="51">
        <v>2.61</v>
      </c>
      <c r="G32" s="51">
        <v>156.05000000000001</v>
      </c>
      <c r="H32" s="51">
        <v>44.62</v>
      </c>
      <c r="I32" s="51">
        <v>9.32</v>
      </c>
      <c r="J32" s="51">
        <v>2.27</v>
      </c>
      <c r="K32" s="51">
        <v>340.51</v>
      </c>
      <c r="L32" s="51">
        <v>41.22</v>
      </c>
      <c r="M32" s="51">
        <v>27.23</v>
      </c>
      <c r="N32" s="51">
        <v>157.5</v>
      </c>
      <c r="O32" s="51">
        <v>0</v>
      </c>
      <c r="P32" s="51">
        <v>2.31</v>
      </c>
      <c r="Q32" s="51">
        <v>99.12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1.6100000000000001</v>
      </c>
      <c r="C34" s="28">
        <f t="shared" si="0"/>
        <v>40.130000000000003</v>
      </c>
      <c r="D34" s="28">
        <f t="shared" si="0"/>
        <v>42.969999999999999</v>
      </c>
      <c r="E34" s="28">
        <f t="shared" si="0"/>
        <v>3.6800000000000002</v>
      </c>
      <c r="F34" s="28">
        <f t="shared" si="0"/>
        <v>0.52000000000000002</v>
      </c>
      <c r="G34" s="28">
        <f t="shared" si="0"/>
        <v>117.59</v>
      </c>
      <c r="H34" s="28">
        <f t="shared" si="0"/>
        <v>30.280000000000001</v>
      </c>
      <c r="I34" s="28">
        <f t="shared" si="0"/>
        <v>0.22</v>
      </c>
      <c r="J34" s="28">
        <f t="shared" si="0"/>
        <v>1.3400000000000001</v>
      </c>
      <c r="K34" s="28">
        <f t="shared" si="0"/>
        <v>228.86000000000001</v>
      </c>
      <c r="L34" s="28">
        <f t="shared" si="0"/>
        <v>41.219999999999999</v>
      </c>
      <c r="M34" s="28">
        <f t="shared" si="0"/>
        <v>13.74</v>
      </c>
      <c r="N34" s="28">
        <f t="shared" si="0"/>
        <v>102.40000000000001</v>
      </c>
      <c r="O34" s="28">
        <f t="shared" si="0"/>
        <v>0</v>
      </c>
      <c r="P34" s="28">
        <f t="shared" si="0"/>
        <v>1.53</v>
      </c>
      <c r="Q34" s="28">
        <f t="shared" si="0"/>
        <v>60.939999999999998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67.099999999999994</v>
      </c>
      <c r="C35" s="29">
        <f t="shared" si="1"/>
        <v>72.870000000000005</v>
      </c>
      <c r="D35" s="29">
        <f t="shared" si="1"/>
        <v>139.97</v>
      </c>
      <c r="E35" s="29">
        <f t="shared" si="1"/>
        <v>7.4000000000000004</v>
      </c>
      <c r="F35" s="29">
        <f t="shared" si="1"/>
        <v>19.170000000000002</v>
      </c>
      <c r="G35" s="29">
        <f t="shared" si="1"/>
        <v>272.25999999999999</v>
      </c>
      <c r="H35" s="29">
        <f t="shared" si="1"/>
        <v>72.870000000000005</v>
      </c>
      <c r="I35" s="29">
        <f t="shared" si="1"/>
        <v>16.170000000000002</v>
      </c>
      <c r="J35" s="29">
        <f t="shared" si="1"/>
        <v>5.6100000000000003</v>
      </c>
      <c r="K35" s="29">
        <f t="shared" si="1"/>
        <v>357.38999999999999</v>
      </c>
      <c r="L35" s="29">
        <f t="shared" si="1"/>
        <v>56.75</v>
      </c>
      <c r="M35" s="29">
        <f t="shared" si="1"/>
        <v>45.420000000000002</v>
      </c>
      <c r="N35" s="29">
        <f t="shared" si="1"/>
        <v>1109.5999999999999</v>
      </c>
      <c r="O35" s="29">
        <f t="shared" si="1"/>
        <v>0</v>
      </c>
      <c r="P35" s="29">
        <f t="shared" si="1"/>
        <v>3.2400000000000002</v>
      </c>
      <c r="Q35" s="29">
        <f t="shared" si="1"/>
        <v>188.16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10.54875</v>
      </c>
      <c r="C36" s="28">
        <f t="shared" si="2"/>
        <v>51.124583333333327</v>
      </c>
      <c r="D36" s="28">
        <f t="shared" si="2"/>
        <v>61.393333333333324</v>
      </c>
      <c r="E36" s="28">
        <f t="shared" si="2"/>
        <v>6.2333333333333352</v>
      </c>
      <c r="F36" s="28">
        <f t="shared" si="2"/>
        <v>4.0113043478260879</v>
      </c>
      <c r="G36" s="28">
        <f t="shared" si="2"/>
        <v>161.41363636363636</v>
      </c>
      <c r="H36" s="28">
        <f t="shared" si="2"/>
        <v>46.489545454545464</v>
      </c>
      <c r="I36" s="28">
        <f t="shared" si="2"/>
        <v>7.6969565217391294</v>
      </c>
      <c r="J36" s="28">
        <f t="shared" si="2"/>
        <v>2.7275000000000005</v>
      </c>
      <c r="K36" s="28">
        <f t="shared" si="2"/>
        <v>320.71291666666667</v>
      </c>
      <c r="L36" s="28">
        <f t="shared" si="2"/>
        <v>47.409583333333337</v>
      </c>
      <c r="M36" s="28">
        <f t="shared" si="2"/>
        <v>29.079166666666669</v>
      </c>
      <c r="N36" s="28">
        <f t="shared" si="2"/>
        <v>429.52500000000003</v>
      </c>
      <c r="O36" s="28">
        <f t="shared" si="2"/>
        <v>0</v>
      </c>
      <c r="P36" s="28">
        <f t="shared" si="2"/>
        <v>2.0575000000000001</v>
      </c>
      <c r="Q36" s="28">
        <f t="shared" si="2"/>
        <v>102.96624999999996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14.78443579741297</v>
      </c>
      <c r="C37" s="28">
        <f t="shared" si="3" ref="C37:Q37">STDEV(C9:C32)</f>
        <v>8.0656237685230288</v>
      </c>
      <c r="D37" s="28">
        <f t="shared" si="3"/>
        <v>21.963034095194281</v>
      </c>
      <c r="E37" s="28">
        <f t="shared" si="3"/>
        <v>1.047451012309587</v>
      </c>
      <c r="F37" s="28">
        <f t="shared" si="3"/>
        <v>4.0874133900724887</v>
      </c>
      <c r="G37" s="28">
        <f t="shared" si="3"/>
        <v>39.404148505969886</v>
      </c>
      <c r="H37" s="28">
        <f t="shared" si="3"/>
        <v>11.163139376355129</v>
      </c>
      <c r="I37" s="28">
        <f t="shared" si="3"/>
        <v>4.1586245921005807</v>
      </c>
      <c r="J37" s="28">
        <f t="shared" si="3"/>
        <v>1.3339456021761966</v>
      </c>
      <c r="K37" s="28">
        <f t="shared" si="3"/>
        <v>40.329117054896791</v>
      </c>
      <c r="L37" s="28">
        <f t="shared" si="3"/>
        <v>4.9607875244076132</v>
      </c>
      <c r="M37" s="28">
        <f t="shared" si="3"/>
        <v>10.918910965232124</v>
      </c>
      <c r="N37" s="28">
        <f t="shared" si="3"/>
        <v>380.79147351844415</v>
      </c>
      <c r="O37" s="28">
        <f t="shared" si="3"/>
        <v>0</v>
      </c>
      <c r="P37" s="28">
        <f t="shared" si="3"/>
        <v>0.42779769700784581</v>
      </c>
      <c r="Q37" s="28">
        <f t="shared" si="3"/>
        <v>37.9366642447876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>COUNT(G9:G32)+2</f>
        <v>24</v>
      </c>
      <c r="H38" s="32">
        <f>COUNT(H9:H32)+2</f>
        <v>24</v>
      </c>
      <c r="I38" s="32">
        <f>COUNT(I9:I32)+1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77e95-d212-4b46-a897-41f2ee9b5a4f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157</v>
      </c>
      <c r="B9" s="51">
        <v>3.23</v>
      </c>
      <c r="C9" s="51">
        <v>45.95</v>
      </c>
      <c r="D9" s="51">
        <v>49.18</v>
      </c>
      <c r="E9" s="51">
        <v>6.81</v>
      </c>
      <c r="F9" s="51">
        <v>2.31</v>
      </c>
      <c r="G9" s="51">
        <v>144.01</v>
      </c>
      <c r="H9" s="51">
        <v>42.18</v>
      </c>
      <c r="I9" s="51">
        <v>7.83</v>
      </c>
      <c r="J9" s="51">
        <v>2.10</v>
      </c>
      <c r="K9" s="51">
        <v>355.43</v>
      </c>
      <c r="L9" s="51">
        <v>38.74</v>
      </c>
      <c r="M9" s="51">
        <v>28.74</v>
      </c>
      <c r="N9" s="51">
        <v>166.30</v>
      </c>
      <c r="O9" s="51">
        <v>0</v>
      </c>
      <c r="P9" s="51">
        <v>2.09</v>
      </c>
      <c r="Q9" s="51">
        <v>89.35</v>
      </c>
      <c r="R9" s="43"/>
      <c r="S9" s="43"/>
      <c r="T9" s="43"/>
      <c r="U9" s="43"/>
    </row>
    <row r="10" spans="1:21" s="11" customFormat="1" ht="15">
      <c r="A10" s="50" t="s">
        <v>158</v>
      </c>
      <c r="B10" s="51">
        <v>2.2599999999999998</v>
      </c>
      <c r="C10" s="51">
        <v>40.40</v>
      </c>
      <c r="D10" s="51">
        <v>42.48</v>
      </c>
      <c r="E10" s="51">
        <v>7.22</v>
      </c>
      <c r="F10" s="51">
        <v>1.26</v>
      </c>
      <c r="G10" s="51">
        <v>146.25</v>
      </c>
      <c r="H10" s="51">
        <v>38.90</v>
      </c>
      <c r="I10" s="51">
        <v>12.70</v>
      </c>
      <c r="J10" s="51">
        <v>1.28</v>
      </c>
      <c r="K10" s="51">
        <v>343.80</v>
      </c>
      <c r="L10" s="51">
        <v>43.11</v>
      </c>
      <c r="M10" s="51">
        <v>29.42</v>
      </c>
      <c r="N10" s="51">
        <v>172.70</v>
      </c>
      <c r="O10" s="51">
        <v>0</v>
      </c>
      <c r="P10" s="51">
        <v>2.2000000000000002</v>
      </c>
      <c r="Q10" s="51">
        <v>81.239999999999995</v>
      </c>
      <c r="R10" s="43"/>
      <c r="S10" s="43"/>
      <c r="T10" s="43"/>
      <c r="U10" s="43"/>
    </row>
    <row r="11" spans="1:21" s="11" customFormat="1" ht="15">
      <c r="A11" s="50" t="s">
        <v>159</v>
      </c>
      <c r="B11" s="51">
        <v>1.92</v>
      </c>
      <c r="C11" s="51">
        <v>36.53</v>
      </c>
      <c r="D11" s="51">
        <v>38.450000000000003</v>
      </c>
      <c r="E11" s="51">
        <v>7.45</v>
      </c>
      <c r="F11" s="51">
        <v>1.56</v>
      </c>
      <c r="G11" s="51">
        <v>141.41999999999999</v>
      </c>
      <c r="H11" s="51">
        <v>40.29</v>
      </c>
      <c r="I11" s="51">
        <v>13.23</v>
      </c>
      <c r="J11" s="51">
        <v>3.94</v>
      </c>
      <c r="K11" s="51">
        <v>207.39</v>
      </c>
      <c r="L11" s="51">
        <v>41.90</v>
      </c>
      <c r="M11" s="51">
        <v>31.37</v>
      </c>
      <c r="N11" s="51">
        <v>166.5</v>
      </c>
      <c r="O11" s="51">
        <v>0</v>
      </c>
      <c r="P11" s="51">
        <v>2.12</v>
      </c>
      <c r="Q11" s="51">
        <v>85.83</v>
      </c>
      <c r="R11" s="43"/>
      <c r="S11" s="43"/>
      <c r="T11" s="43"/>
      <c r="U11" s="43"/>
    </row>
    <row r="12" spans="1:21" s="11" customFormat="1" ht="15">
      <c r="A12" s="50" t="s">
        <v>160</v>
      </c>
      <c r="B12" s="51">
        <v>1.34</v>
      </c>
      <c r="C12" s="51">
        <v>29.76</v>
      </c>
      <c r="D12" s="51">
        <v>30.94</v>
      </c>
      <c r="E12" s="51">
        <v>6.63</v>
      </c>
      <c r="F12" s="51">
        <v>1.80</v>
      </c>
      <c r="G12" s="51">
        <v>128.07</v>
      </c>
      <c r="H12" s="51">
        <v>39.79</v>
      </c>
      <c r="I12" s="51">
        <v>10.89</v>
      </c>
      <c r="J12" s="51">
        <v>1.82</v>
      </c>
      <c r="K12" s="51">
        <v>174.27</v>
      </c>
      <c r="L12" s="51">
        <v>39.549999999999997</v>
      </c>
      <c r="M12" s="51">
        <v>34.409999999999997</v>
      </c>
      <c r="N12" s="51">
        <v>161.80000000000001</v>
      </c>
      <c r="O12" s="51">
        <v>0</v>
      </c>
      <c r="P12" s="51">
        <v>1.88</v>
      </c>
      <c r="Q12" s="51">
        <v>82.01</v>
      </c>
      <c r="R12" s="43"/>
      <c r="S12" s="43"/>
      <c r="T12" s="43"/>
      <c r="U12" s="43"/>
    </row>
    <row r="13" spans="1:21" s="11" customFormat="1" ht="15">
      <c r="A13" s="50" t="s">
        <v>161</v>
      </c>
      <c r="B13" s="51">
        <v>3.17</v>
      </c>
      <c r="C13" s="51">
        <v>31.04</v>
      </c>
      <c r="D13" s="51">
        <v>33.659999999999997</v>
      </c>
      <c r="E13" s="51">
        <v>6.11</v>
      </c>
      <c r="F13" s="51">
        <v>0.97</v>
      </c>
      <c r="G13" s="51">
        <v>121.84</v>
      </c>
      <c r="H13" s="51">
        <v>37.60</v>
      </c>
      <c r="I13" s="51">
        <v>8.82</v>
      </c>
      <c r="J13" s="51">
        <v>1.93</v>
      </c>
      <c r="K13" s="51">
        <v>275.19</v>
      </c>
      <c r="L13" s="51">
        <v>37.72</v>
      </c>
      <c r="M13" s="51">
        <v>37.25</v>
      </c>
      <c r="N13" s="51">
        <v>149.19999999999999</v>
      </c>
      <c r="O13" s="51">
        <v>0</v>
      </c>
      <c r="P13" s="51">
        <v>1.74</v>
      </c>
      <c r="Q13" s="51">
        <v>82.09</v>
      </c>
      <c r="R13" s="43"/>
      <c r="S13" s="43"/>
      <c r="T13" s="43"/>
      <c r="U13" s="43"/>
    </row>
    <row r="14" spans="1:21" s="11" customFormat="1" ht="15">
      <c r="A14" s="50" t="s">
        <v>162</v>
      </c>
      <c r="B14" s="51">
        <v>5.23</v>
      </c>
      <c r="C14" s="51">
        <v>33.40</v>
      </c>
      <c r="D14" s="51">
        <v>38.630000000000003</v>
      </c>
      <c r="E14" s="51">
        <v>6.65</v>
      </c>
      <c r="F14" s="51">
        <v>0.60</v>
      </c>
      <c r="G14" s="51">
        <v>120.87</v>
      </c>
      <c r="H14" s="51">
        <v>35.880000000000003</v>
      </c>
      <c r="I14" s="51">
        <v>7.77</v>
      </c>
      <c r="J14" s="51">
        <v>2.74</v>
      </c>
      <c r="K14" s="51">
        <v>223.38</v>
      </c>
      <c r="L14" s="51">
        <v>37.590000000000003</v>
      </c>
      <c r="M14" s="51">
        <v>36.56</v>
      </c>
      <c r="N14" s="51">
        <v>210.90</v>
      </c>
      <c r="O14" s="51">
        <v>0</v>
      </c>
      <c r="P14" s="51">
        <v>1.71</v>
      </c>
      <c r="Q14" s="51">
        <v>76.819999999999993</v>
      </c>
      <c r="R14" s="43"/>
      <c r="S14" s="43"/>
      <c r="T14" s="43"/>
      <c r="U14" s="43"/>
    </row>
    <row r="15" spans="1:21" s="11" customFormat="1" ht="15">
      <c r="A15" s="50" t="s">
        <v>163</v>
      </c>
      <c r="B15" s="51">
        <v>8.36</v>
      </c>
      <c r="C15" s="51">
        <v>35.880000000000003</v>
      </c>
      <c r="D15" s="51">
        <v>44.24</v>
      </c>
      <c r="E15" s="51">
        <v>7.37</v>
      </c>
      <c r="F15" s="51">
        <v>0.74</v>
      </c>
      <c r="G15" s="51">
        <v>126.46</v>
      </c>
      <c r="H15" s="51">
        <v>37.18</v>
      </c>
      <c r="I15" s="51">
        <v>7.35</v>
      </c>
      <c r="J15" s="51">
        <v>2.83</v>
      </c>
      <c r="K15" s="51">
        <v>342.47</v>
      </c>
      <c r="L15" s="51">
        <v>40.11</v>
      </c>
      <c r="M15" s="51">
        <v>40.659999999999997</v>
      </c>
      <c r="N15" s="51">
        <v>393.30</v>
      </c>
      <c r="O15" s="51">
        <v>0</v>
      </c>
      <c r="P15" s="51">
        <v>1.76</v>
      </c>
      <c r="Q15" s="51">
        <v>92.40</v>
      </c>
      <c r="R15" s="43"/>
      <c r="S15" s="43"/>
      <c r="T15" s="43"/>
      <c r="U15" s="43"/>
    </row>
    <row r="16" spans="1:21" s="11" customFormat="1" ht="15">
      <c r="A16" s="50" t="s">
        <v>164</v>
      </c>
      <c r="B16" s="51">
        <v>8.5</v>
      </c>
      <c r="C16" s="51">
        <v>41.24</v>
      </c>
      <c r="D16" s="51">
        <v>46.84</v>
      </c>
      <c r="E16" s="51">
        <v>7.57</v>
      </c>
      <c r="F16" s="51">
        <v>1.30</v>
      </c>
      <c r="G16" s="51">
        <v>132.99</v>
      </c>
      <c r="H16" s="51">
        <v>41.37</v>
      </c>
      <c r="I16" s="51">
        <v>7.62</v>
      </c>
      <c r="J16" s="51">
        <v>2.88</v>
      </c>
      <c r="K16" s="51">
        <v>312.22000000000003</v>
      </c>
      <c r="L16" s="51">
        <v>41.11</v>
      </c>
      <c r="M16" s="51">
        <v>35.729999999999997</v>
      </c>
      <c r="N16" s="51">
        <v>635.29999999999995</v>
      </c>
      <c r="O16" s="51">
        <v>0</v>
      </c>
      <c r="P16" s="51">
        <v>1.87</v>
      </c>
      <c r="Q16" s="51">
        <v>92.78</v>
      </c>
      <c r="R16" s="43"/>
      <c r="S16" s="43"/>
      <c r="T16" s="43"/>
      <c r="U16" s="43"/>
    </row>
    <row r="17" spans="1:21" s="11" customFormat="1" ht="15">
      <c r="A17" s="50" t="s">
        <v>165</v>
      </c>
      <c r="B17" s="51">
        <v>2.72</v>
      </c>
      <c r="C17" s="51">
        <v>46.54</v>
      </c>
      <c r="D17" s="51">
        <v>48.10</v>
      </c>
      <c r="E17" s="51">
        <v>7.69</v>
      </c>
      <c r="F17" s="51">
        <v>3.16</v>
      </c>
      <c r="G17" s="51">
        <v>149.02000000000001</v>
      </c>
      <c r="H17" s="51">
        <v>47.16</v>
      </c>
      <c r="I17" s="51">
        <v>8.7100000000000009</v>
      </c>
      <c r="J17" s="51">
        <v>4.13</v>
      </c>
      <c r="K17" s="51">
        <v>329.45</v>
      </c>
      <c r="L17" s="51">
        <v>40.82</v>
      </c>
      <c r="M17" s="51">
        <v>39.56</v>
      </c>
      <c r="N17" s="51">
        <v>810.40</v>
      </c>
      <c r="O17" s="51">
        <v>0</v>
      </c>
      <c r="P17" s="51">
        <v>2.0499999999999998</v>
      </c>
      <c r="Q17" s="51">
        <v>85.82</v>
      </c>
      <c r="R17" s="43"/>
      <c r="S17" s="43"/>
      <c r="T17" s="43"/>
      <c r="U17" s="43"/>
    </row>
    <row r="18" spans="1:21" s="11" customFormat="1" ht="15">
      <c r="A18" s="50" t="s">
        <v>166</v>
      </c>
      <c r="B18" s="51">
        <v>1.37</v>
      </c>
      <c r="C18" s="51">
        <v>46.11</v>
      </c>
      <c r="D18" s="51">
        <v>47.47</v>
      </c>
      <c r="E18" s="51">
        <v>7.18</v>
      </c>
      <c r="F18" s="51">
        <v>4.0199999999999996</v>
      </c>
      <c r="G18" s="51">
        <v>159.93</v>
      </c>
      <c r="H18" s="51">
        <v>48.70</v>
      </c>
      <c r="I18" s="51">
        <v>9.2100000000000009</v>
      </c>
      <c r="J18" s="51">
        <v>3.65</v>
      </c>
      <c r="K18" s="51">
        <v>322.92</v>
      </c>
      <c r="L18" s="51">
        <v>46.64</v>
      </c>
      <c r="M18" s="51">
        <v>26.45</v>
      </c>
      <c r="N18" s="51">
        <v>962.60</v>
      </c>
      <c r="O18" s="51">
        <v>0</v>
      </c>
      <c r="P18" s="51">
        <v>2.08</v>
      </c>
      <c r="Q18" s="51">
        <v>83.21</v>
      </c>
      <c r="R18" s="43"/>
      <c r="S18" s="43"/>
      <c r="T18" s="43"/>
      <c r="U18" s="43"/>
    </row>
    <row r="19" spans="1:21" s="11" customFormat="1" ht="15">
      <c r="A19" s="50" t="s">
        <v>167</v>
      </c>
      <c r="B19" s="51">
        <v>0.77</v>
      </c>
      <c r="C19" s="51">
        <v>47.55</v>
      </c>
      <c r="D19" s="51">
        <v>48.32</v>
      </c>
      <c r="E19" s="51">
        <v>6.60</v>
      </c>
      <c r="F19" s="51">
        <v>4.4800000000000004</v>
      </c>
      <c r="G19" s="51">
        <v>161.72999999999999</v>
      </c>
      <c r="H19" s="51">
        <v>48.62</v>
      </c>
      <c r="I19" s="51">
        <v>8.61</v>
      </c>
      <c r="J19" s="51">
        <v>4.04</v>
      </c>
      <c r="K19" s="51">
        <v>323.86</v>
      </c>
      <c r="L19" s="51">
        <v>50.34</v>
      </c>
      <c r="M19" s="51">
        <v>25.41</v>
      </c>
      <c r="N19" s="51">
        <v>1063.20</v>
      </c>
      <c r="O19" s="51">
        <v>0</v>
      </c>
      <c r="P19" s="51">
        <v>2.08</v>
      </c>
      <c r="Q19" s="51">
        <v>76.040000000000006</v>
      </c>
      <c r="R19" s="43"/>
      <c r="S19" s="43"/>
      <c r="T19" s="43"/>
      <c r="U19" s="43"/>
    </row>
    <row r="20" spans="1:21" s="11" customFormat="1" ht="15">
      <c r="A20" s="50" t="s">
        <v>168</v>
      </c>
      <c r="B20" s="51">
        <v>0.83</v>
      </c>
      <c r="C20" s="51">
        <v>46.79</v>
      </c>
      <c r="D20" s="51">
        <v>47.53</v>
      </c>
      <c r="E20" s="51">
        <v>7</v>
      </c>
      <c r="F20" s="51">
        <v>6.20</v>
      </c>
      <c r="G20" s="51">
        <v>164.76</v>
      </c>
      <c r="H20" s="51">
        <v>47.77</v>
      </c>
      <c r="I20" s="51">
        <v>8.2899999999999991</v>
      </c>
      <c r="J20" s="51">
        <v>3.83</v>
      </c>
      <c r="K20" s="51">
        <v>337.86</v>
      </c>
      <c r="L20" s="51">
        <v>51.99</v>
      </c>
      <c r="M20" s="51">
        <v>22.37</v>
      </c>
      <c r="N20" s="51">
        <v>1106.4000000000001</v>
      </c>
      <c r="O20" s="51">
        <v>0</v>
      </c>
      <c r="P20" s="51">
        <v>2.04</v>
      </c>
      <c r="Q20" s="51">
        <v>83.33</v>
      </c>
      <c r="R20" s="43"/>
      <c r="S20" s="43"/>
      <c r="T20" s="43"/>
      <c r="U20" s="43"/>
    </row>
    <row r="21" spans="1:21" s="11" customFormat="1" ht="15">
      <c r="A21" s="50" t="s">
        <v>169</v>
      </c>
      <c r="B21" s="51">
        <v>0.63</v>
      </c>
      <c r="C21" s="51">
        <v>42.21</v>
      </c>
      <c r="D21" s="51">
        <v>42.73</v>
      </c>
      <c r="E21" s="51">
        <v>7.06</v>
      </c>
      <c r="F21" s="51">
        <v>6.48</v>
      </c>
      <c r="G21" s="51">
        <v>162.33000000000001</v>
      </c>
      <c r="H21" s="51">
        <v>45.66</v>
      </c>
      <c r="I21" s="51">
        <v>7.42</v>
      </c>
      <c r="J21" s="51">
        <v>3.10</v>
      </c>
      <c r="K21" s="51">
        <v>344.11</v>
      </c>
      <c r="L21" s="51">
        <v>53.04</v>
      </c>
      <c r="M21" s="51">
        <v>20.29</v>
      </c>
      <c r="N21" s="51">
        <v>1046.5999999999999</v>
      </c>
      <c r="O21" s="51">
        <v>0</v>
      </c>
      <c r="P21" s="51">
        <v>1.98</v>
      </c>
      <c r="Q21" s="51">
        <v>79.23</v>
      </c>
      <c r="R21" s="43"/>
      <c r="S21" s="43"/>
      <c r="T21" s="43"/>
      <c r="U21" s="43"/>
    </row>
    <row r="22" spans="1:21" s="11" customFormat="1" ht="15">
      <c r="A22" s="50" t="s">
        <v>170</v>
      </c>
      <c r="B22" s="51">
        <v>0.65</v>
      </c>
      <c r="C22" s="51">
        <v>40.65</v>
      </c>
      <c r="D22" s="51">
        <v>41.25</v>
      </c>
      <c r="E22" s="51">
        <v>8.33</v>
      </c>
      <c r="F22" s="51">
        <v>6.25</v>
      </c>
      <c r="G22" s="51">
        <v>155.87</v>
      </c>
      <c r="H22" s="51">
        <v>44.07</v>
      </c>
      <c r="I22" s="51">
        <v>1.04</v>
      </c>
      <c r="J22" s="51">
        <v>3.84</v>
      </c>
      <c r="K22" s="51">
        <v>339.91</v>
      </c>
      <c r="L22" s="51">
        <v>61.64</v>
      </c>
      <c r="M22" s="51">
        <v>17.63</v>
      </c>
      <c r="N22" s="51">
        <v>999.20</v>
      </c>
      <c r="O22" s="51">
        <v>0</v>
      </c>
      <c r="P22" s="51">
        <v>1.92</v>
      </c>
      <c r="Q22" s="51">
        <v>75.06</v>
      </c>
      <c r="R22" s="43"/>
      <c r="S22" s="43"/>
      <c r="T22" s="43"/>
      <c r="U22" s="43"/>
    </row>
    <row r="23" spans="1:21" s="11" customFormat="1" ht="15">
      <c r="A23" s="50" t="s">
        <v>171</v>
      </c>
      <c r="B23" s="51">
        <v>0.74</v>
      </c>
      <c r="C23" s="51">
        <v>39.700000000000003</v>
      </c>
      <c r="D23" s="51">
        <v>40.450000000000003</v>
      </c>
      <c r="E23" s="51">
        <v>7.21</v>
      </c>
      <c r="F23" s="51">
        <v>6.06</v>
      </c>
      <c r="G23" s="51">
        <v>148.61000000000001</v>
      </c>
      <c r="H23" s="51">
        <v>40.47</v>
      </c>
      <c r="I23" s="51">
        <v>0.77</v>
      </c>
      <c r="J23" s="51">
        <v>3.12</v>
      </c>
      <c r="K23" s="51">
        <v>340.34</v>
      </c>
      <c r="L23" s="51">
        <v>62.21</v>
      </c>
      <c r="M23" s="51">
        <v>17.309999999999999</v>
      </c>
      <c r="N23" s="51">
        <v>915.90</v>
      </c>
      <c r="O23" s="51">
        <v>0</v>
      </c>
      <c r="P23" s="51">
        <v>1.82</v>
      </c>
      <c r="Q23" s="51">
        <v>64.27</v>
      </c>
      <c r="R23" s="43"/>
      <c r="S23" s="43"/>
      <c r="T23" s="43"/>
      <c r="U23" s="43"/>
    </row>
    <row r="24" spans="1:21" s="11" customFormat="1" ht="15">
      <c r="A24" s="50" t="s">
        <v>172</v>
      </c>
      <c r="B24" s="51">
        <v>1.81</v>
      </c>
      <c r="C24" s="51">
        <v>41.45</v>
      </c>
      <c r="D24" s="51">
        <v>43.26</v>
      </c>
      <c r="E24" s="51">
        <v>6.79</v>
      </c>
      <c r="F24" s="51">
        <v>4.8899999999999997</v>
      </c>
      <c r="G24" s="51">
        <v>139.47999999999999</v>
      </c>
      <c r="H24" s="51">
        <v>36.86</v>
      </c>
      <c r="I24" s="51">
        <v>2.78</v>
      </c>
      <c r="J24" s="51">
        <v>3.23</v>
      </c>
      <c r="K24" s="51">
        <v>330.31</v>
      </c>
      <c r="L24" s="51">
        <v>61.15</v>
      </c>
      <c r="M24" s="51">
        <v>18.88</v>
      </c>
      <c r="N24" s="51">
        <v>437.10</v>
      </c>
      <c r="O24" s="51">
        <v>0</v>
      </c>
      <c r="P24" s="51">
        <v>1.76</v>
      </c>
      <c r="Q24" s="51">
        <v>71.87</v>
      </c>
      <c r="R24" s="43"/>
      <c r="S24" s="43"/>
      <c r="T24" s="43"/>
      <c r="U24" s="43"/>
    </row>
    <row r="25" spans="1:21" s="11" customFormat="1" ht="15">
      <c r="A25" s="50" t="s">
        <v>173</v>
      </c>
      <c r="B25" s="51">
        <v>4.1100000000000003</v>
      </c>
      <c r="C25" s="51">
        <v>51.35</v>
      </c>
      <c r="D25" s="51">
        <v>55.46</v>
      </c>
      <c r="E25" s="51">
        <v>7.05</v>
      </c>
      <c r="F25" s="51">
        <v>4.1900000000000004</v>
      </c>
      <c r="G25" s="51">
        <v>127.27</v>
      </c>
      <c r="H25" s="51">
        <v>32.979999999999997</v>
      </c>
      <c r="I25" s="51">
        <v>1.42</v>
      </c>
      <c r="J25" s="51">
        <v>2.71</v>
      </c>
      <c r="K25" s="51">
        <v>359.56</v>
      </c>
      <c r="L25" s="51">
        <v>58.95</v>
      </c>
      <c r="M25" s="51">
        <v>19.02</v>
      </c>
      <c r="N25" s="51">
        <v>206</v>
      </c>
      <c r="O25" s="51">
        <v>0</v>
      </c>
      <c r="P25" s="51">
        <v>1.97</v>
      </c>
      <c r="Q25" s="51">
        <v>73.180000000000007</v>
      </c>
      <c r="R25" s="43"/>
      <c r="S25" s="43"/>
      <c r="T25" s="43"/>
      <c r="U25" s="43"/>
    </row>
    <row r="26" spans="1:21" s="11" customFormat="1" ht="15">
      <c r="A26" s="50" t="s">
        <v>174</v>
      </c>
      <c r="B26" s="51">
        <v>15.62</v>
      </c>
      <c r="C26" s="51">
        <v>65.72</v>
      </c>
      <c r="D26" s="51">
        <v>81.34</v>
      </c>
      <c r="E26" s="51">
        <v>7.20</v>
      </c>
      <c r="F26" s="51">
        <v>2.65</v>
      </c>
      <c r="G26" s="51">
        <v>124.93</v>
      </c>
      <c r="H26" s="51">
        <v>31.78</v>
      </c>
      <c r="I26" s="51">
        <v>0.54</v>
      </c>
      <c r="J26" s="51">
        <v>1.86</v>
      </c>
      <c r="K26" s="51">
        <v>352.61</v>
      </c>
      <c r="L26" s="51">
        <v>59.01</v>
      </c>
      <c r="M26" s="51">
        <v>38.44</v>
      </c>
      <c r="N26" s="51">
        <v>263.5</v>
      </c>
      <c r="O26" s="51">
        <v>0</v>
      </c>
      <c r="P26" s="51">
        <v>2.48</v>
      </c>
      <c r="Q26" s="51">
        <v>82.17</v>
      </c>
      <c r="R26" s="43"/>
      <c r="S26" s="43"/>
      <c r="T26" s="43"/>
      <c r="U26" s="43"/>
    </row>
    <row r="27" spans="1:21" s="11" customFormat="1" ht="15">
      <c r="A27" s="50" t="s">
        <v>175</v>
      </c>
      <c r="B27" s="51">
        <v>38.60</v>
      </c>
      <c r="C27" s="51">
        <v>73.89</v>
      </c>
      <c r="D27" s="51">
        <v>112.49</v>
      </c>
      <c r="E27" s="51">
        <v>7.58</v>
      </c>
      <c r="F27" s="51">
        <v>1.1299999999999999</v>
      </c>
      <c r="G27" s="51">
        <v>157.97999999999999</v>
      </c>
      <c r="H27" s="51">
        <v>37.29</v>
      </c>
      <c r="I27" s="51">
        <v>14.13</v>
      </c>
      <c r="J27" s="51">
        <v>1.83</v>
      </c>
      <c r="K27" s="51">
        <v>349.46</v>
      </c>
      <c r="L27" s="51">
        <v>53.21</v>
      </c>
      <c r="M27" s="51">
        <v>41.03</v>
      </c>
      <c r="N27" s="51">
        <v>236.70</v>
      </c>
      <c r="O27" s="51">
        <v>0</v>
      </c>
      <c r="P27" s="51">
        <v>3.24</v>
      </c>
      <c r="Q27" s="51">
        <v>87.49</v>
      </c>
      <c r="R27" s="43"/>
      <c r="S27" s="43"/>
      <c r="T27" s="43"/>
      <c r="U27" s="43"/>
    </row>
    <row r="28" spans="1:21" s="11" customFormat="1" ht="15">
      <c r="A28" s="50" t="s">
        <v>176</v>
      </c>
      <c r="B28" s="51">
        <v>55.15</v>
      </c>
      <c r="C28" s="51">
        <v>80.36</v>
      </c>
      <c r="D28" s="51">
        <v>135.51</v>
      </c>
      <c r="E28" s="51">
        <v>7.60</v>
      </c>
      <c r="F28" s="51">
        <v>0.42</v>
      </c>
      <c r="G28" s="51">
        <v>215.07</v>
      </c>
      <c r="H28" s="51">
        <v>48.11</v>
      </c>
      <c r="I28" s="51">
        <v>22.08</v>
      </c>
      <c r="J28" s="51">
        <v>1.86</v>
      </c>
      <c r="K28" s="51">
        <v>197.55</v>
      </c>
      <c r="L28" s="51">
        <v>54.98</v>
      </c>
      <c r="M28" s="51">
        <v>36.380000000000003</v>
      </c>
      <c r="N28" s="51">
        <v>117.10</v>
      </c>
      <c r="O28" s="51">
        <v>0</v>
      </c>
      <c r="P28" s="51">
        <v>4.3499999999999996</v>
      </c>
      <c r="Q28" s="51">
        <v>107.08</v>
      </c>
      <c r="R28" s="43"/>
      <c r="S28" s="43"/>
      <c r="T28" s="43"/>
      <c r="U28" s="43"/>
    </row>
    <row r="29" spans="1:21" s="11" customFormat="1" ht="15">
      <c r="A29" s="50" t="s">
        <v>177</v>
      </c>
      <c r="B29" s="51">
        <v>54.85</v>
      </c>
      <c r="C29" s="51">
        <v>79.34</v>
      </c>
      <c r="D29" s="51">
        <v>134.19999999999999</v>
      </c>
      <c r="E29" s="51">
        <v>7.95</v>
      </c>
      <c r="F29" s="51">
        <v>0.06</v>
      </c>
      <c r="G29" s="51">
        <v>240.78</v>
      </c>
      <c r="H29" s="51">
        <v>61.51</v>
      </c>
      <c r="I29" s="51">
        <v>21.56</v>
      </c>
      <c r="J29" s="51">
        <v>2.75</v>
      </c>
      <c r="K29" s="51">
        <v>216.01</v>
      </c>
      <c r="L29" s="51">
        <v>54.78</v>
      </c>
      <c r="M29" s="51">
        <v>30</v>
      </c>
      <c r="N29" s="51">
        <v>135.19999999999999</v>
      </c>
      <c r="O29" s="51">
        <v>0</v>
      </c>
      <c r="P29" s="51">
        <v>4.1900000000000004</v>
      </c>
      <c r="Q29" s="51">
        <v>105.04</v>
      </c>
      <c r="R29" s="43"/>
      <c r="S29" s="43"/>
      <c r="T29" s="43"/>
      <c r="U29" s="43"/>
    </row>
    <row r="30" spans="1:21" s="11" customFormat="1" ht="15">
      <c r="A30" s="50" t="s">
        <v>178</v>
      </c>
      <c r="B30" s="51">
        <v>24.71</v>
      </c>
      <c r="C30" s="51">
        <v>68.39</v>
      </c>
      <c r="D30" s="51">
        <v>93.10</v>
      </c>
      <c r="E30" s="51">
        <v>7.06</v>
      </c>
      <c r="F30" s="51">
        <v>0.37</v>
      </c>
      <c r="G30" s="51">
        <v>235.95</v>
      </c>
      <c r="H30" s="51">
        <v>60.14</v>
      </c>
      <c r="I30" s="51">
        <v>15.95</v>
      </c>
      <c r="J30" s="51">
        <v>1.86</v>
      </c>
      <c r="K30" s="51">
        <v>216.28</v>
      </c>
      <c r="L30" s="51">
        <v>53.31</v>
      </c>
      <c r="M30" s="51">
        <v>34.15</v>
      </c>
      <c r="N30" s="51">
        <v>152.30000000000001</v>
      </c>
      <c r="O30" s="51">
        <v>0</v>
      </c>
      <c r="P30" s="51">
        <v>3.38</v>
      </c>
      <c r="Q30" s="51">
        <v>90.20</v>
      </c>
      <c r="R30" s="43"/>
      <c r="S30" s="43"/>
      <c r="T30" s="43"/>
      <c r="U30" s="43"/>
    </row>
    <row r="31" spans="1:21" s="11" customFormat="1" ht="15">
      <c r="A31" s="50" t="s">
        <v>179</v>
      </c>
      <c r="B31" s="51">
        <v>7.58</v>
      </c>
      <c r="C31" s="51">
        <v>56.88</v>
      </c>
      <c r="D31" s="51">
        <v>64.459999999999994</v>
      </c>
      <c r="E31" s="51">
        <v>6.87</v>
      </c>
      <c r="F31" s="51">
        <v>0.95</v>
      </c>
      <c r="G31" s="51">
        <v>218.54</v>
      </c>
      <c r="H31" s="51">
        <v>55.39</v>
      </c>
      <c r="I31" s="51">
        <v>12.95</v>
      </c>
      <c r="J31" s="51">
        <v>1.80</v>
      </c>
      <c r="K31" s="51">
        <v>234.29</v>
      </c>
      <c r="L31" s="51">
        <v>52.34</v>
      </c>
      <c r="M31" s="51">
        <v>36.979999999999997</v>
      </c>
      <c r="N31" s="51">
        <v>222.30</v>
      </c>
      <c r="O31" s="51">
        <v>0</v>
      </c>
      <c r="P31" s="51">
        <v>2.81</v>
      </c>
      <c r="Q31" s="51">
        <v>79.17</v>
      </c>
      <c r="R31" s="43"/>
      <c r="S31" s="43"/>
      <c r="T31" s="43"/>
      <c r="U31" s="43"/>
    </row>
    <row r="32" spans="1:21" s="11" customFormat="1" ht="15">
      <c r="A32" s="50" t="s">
        <v>180</v>
      </c>
      <c r="B32" s="51">
        <v>3.13</v>
      </c>
      <c r="C32" s="51">
        <v>45.62</v>
      </c>
      <c r="D32" s="51">
        <v>48.63</v>
      </c>
      <c r="E32" s="51">
        <v>7.02</v>
      </c>
      <c r="F32" s="51">
        <v>0.80</v>
      </c>
      <c r="G32" s="51">
        <v>195.98</v>
      </c>
      <c r="H32" s="51">
        <v>52.28</v>
      </c>
      <c r="I32" s="51">
        <v>10.68</v>
      </c>
      <c r="J32" s="51">
        <v>2.81</v>
      </c>
      <c r="K32" s="51">
        <v>226.58</v>
      </c>
      <c r="L32" s="51">
        <v>50.84</v>
      </c>
      <c r="M32" s="51">
        <v>38.64</v>
      </c>
      <c r="N32" s="51">
        <v>226.70</v>
      </c>
      <c r="O32" s="51">
        <v>0</v>
      </c>
      <c r="P32" s="51">
        <v>2.5</v>
      </c>
      <c r="Q32" s="51">
        <v>66.61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0.63</v>
      </c>
      <c r="C34" s="28">
        <f t="shared" si="0"/>
        <v>29.760000000000002</v>
      </c>
      <c r="D34" s="28">
        <f t="shared" si="0"/>
        <v>30.940000000000001</v>
      </c>
      <c r="E34" s="28">
        <f t="shared" si="0"/>
        <v>6.1100000000000003</v>
      </c>
      <c r="F34" s="28">
        <f t="shared" si="0"/>
        <v>0.059999999999999998</v>
      </c>
      <c r="G34" s="28">
        <f t="shared" si="0"/>
        <v>120.87</v>
      </c>
      <c r="H34" s="28">
        <f t="shared" si="0"/>
        <v>31.780000000000001</v>
      </c>
      <c r="I34" s="28">
        <f t="shared" si="0"/>
        <v>0.54000000000000004</v>
      </c>
      <c r="J34" s="28">
        <f t="shared" si="0"/>
        <v>1.28</v>
      </c>
      <c r="K34" s="28">
        <f t="shared" si="0"/>
        <v>174.27000000000001</v>
      </c>
      <c r="L34" s="28">
        <f t="shared" si="0"/>
        <v>37.590000000000003</v>
      </c>
      <c r="M34" s="28">
        <f t="shared" si="0"/>
        <v>17.309999999999999</v>
      </c>
      <c r="N34" s="28">
        <f t="shared" si="0"/>
        <v>117.09999999999999</v>
      </c>
      <c r="O34" s="28">
        <f t="shared" si="0"/>
        <v>0</v>
      </c>
      <c r="P34" s="28">
        <f t="shared" si="0"/>
        <v>1.71</v>
      </c>
      <c r="Q34" s="28">
        <f t="shared" si="0"/>
        <v>64.269999999999996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55.149999999999999</v>
      </c>
      <c r="C35" s="29">
        <f t="shared" si="1"/>
        <v>80.359999999999999</v>
      </c>
      <c r="D35" s="29">
        <f t="shared" si="1"/>
        <v>135.50999999999999</v>
      </c>
      <c r="E35" s="29">
        <f t="shared" si="1"/>
        <v>8.3300000000000001</v>
      </c>
      <c r="F35" s="29">
        <f t="shared" si="1"/>
        <v>6.4800000000000004</v>
      </c>
      <c r="G35" s="29">
        <f t="shared" si="1"/>
        <v>240.78</v>
      </c>
      <c r="H35" s="29">
        <f t="shared" si="1"/>
        <v>61.509999999999998</v>
      </c>
      <c r="I35" s="29">
        <f t="shared" si="1"/>
        <v>22.079999999999998</v>
      </c>
      <c r="J35" s="29">
        <f t="shared" si="1"/>
        <v>4.1299999999999999</v>
      </c>
      <c r="K35" s="29">
        <f t="shared" si="1"/>
        <v>359.56</v>
      </c>
      <c r="L35" s="29">
        <f t="shared" si="1"/>
        <v>62.210000000000001</v>
      </c>
      <c r="M35" s="29">
        <f t="shared" si="1"/>
        <v>41.030000000000001</v>
      </c>
      <c r="N35" s="29">
        <f t="shared" si="1"/>
        <v>1106.4000000000001</v>
      </c>
      <c r="O35" s="29">
        <f t="shared" si="1"/>
        <v>0</v>
      </c>
      <c r="P35" s="29">
        <f t="shared" si="1"/>
        <v>4.3499999999999996</v>
      </c>
      <c r="Q35" s="29">
        <f t="shared" si="1"/>
        <v>107.08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10.303333333333333</v>
      </c>
      <c r="C36" s="28">
        <f t="shared" si="2"/>
        <v>48.614583333333343</v>
      </c>
      <c r="D36" s="28">
        <f t="shared" si="2"/>
        <v>58.69666666666668</v>
      </c>
      <c r="E36" s="28">
        <f t="shared" si="2"/>
        <v>7.166666666666667</v>
      </c>
      <c r="F36" s="28">
        <f t="shared" si="2"/>
        <v>2.6104166666666666</v>
      </c>
      <c r="G36" s="28">
        <f t="shared" si="2"/>
        <v>159.17250000000001</v>
      </c>
      <c r="H36" s="28">
        <f t="shared" si="2"/>
        <v>43.832500000000003</v>
      </c>
      <c r="I36" s="28">
        <f t="shared" si="2"/>
        <v>9.2645833333333343</v>
      </c>
      <c r="J36" s="28">
        <f t="shared" si="2"/>
        <v>2.7474999999999992</v>
      </c>
      <c r="K36" s="28">
        <f t="shared" si="2"/>
        <v>293.96875000000006</v>
      </c>
      <c r="L36" s="28">
        <f t="shared" si="2"/>
        <v>49.37833333333333</v>
      </c>
      <c r="M36" s="28">
        <f t="shared" si="2"/>
        <v>30.694999999999997</v>
      </c>
      <c r="N36" s="28">
        <f t="shared" si="2"/>
        <v>456.55000000000013</v>
      </c>
      <c r="O36" s="28">
        <f t="shared" si="2"/>
        <v>0</v>
      </c>
      <c r="P36" s="28">
        <f t="shared" si="2"/>
        <v>2.3341666666666669</v>
      </c>
      <c r="Q36" s="28">
        <f t="shared" si="2"/>
        <v>83.012083333333337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16.347682635047445</v>
      </c>
      <c r="C37" s="28">
        <f t="shared" si="3" ref="C37:Q37">STDEV(C9:C32)</f>
        <v>14.659034898882862</v>
      </c>
      <c r="D37" s="28">
        <f t="shared" si="3"/>
        <v>30.108746333866186</v>
      </c>
      <c r="E37" s="28">
        <f t="shared" si="3"/>
        <v>0.48117308344491189</v>
      </c>
      <c r="F37" s="28">
        <f t="shared" si="3"/>
        <v>2.1533906109176768</v>
      </c>
      <c r="G37" s="28">
        <f t="shared" si="3"/>
        <v>35.939329340963702</v>
      </c>
      <c r="H37" s="28">
        <f t="shared" si="3"/>
        <v>7.9464787115453657</v>
      </c>
      <c r="I37" s="28">
        <f t="shared" si="3"/>
        <v>5.7671935599536592</v>
      </c>
      <c r="J37" s="28">
        <f t="shared" si="3"/>
        <v>0.85753058000993565</v>
      </c>
      <c r="K37" s="28">
        <f t="shared" si="3"/>
        <v>62.363142355533135</v>
      </c>
      <c r="L37" s="28">
        <f t="shared" si="3"/>
        <v>8.2767246549884241</v>
      </c>
      <c r="M37" s="28">
        <f t="shared" si="3"/>
        <v>7.9775374864569732</v>
      </c>
      <c r="N37" s="28">
        <f t="shared" si="3"/>
        <v>368.27204264144751</v>
      </c>
      <c r="O37" s="28">
        <f t="shared" si="3"/>
        <v>0</v>
      </c>
      <c r="P37" s="28">
        <f t="shared" si="3"/>
        <v>0.7411736677709897</v>
      </c>
      <c r="Q37" s="28">
        <f t="shared" si="3"/>
        <v>10.219244836886546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4630bf-1814-4479-9a36-7e147a108399}">
  <sheetPr codeName=""/>
  <dimension ref="A1:U119"/>
  <sheetViews>
    <sheetView workbookViewId="0" topLeftCell="A1">
      <pane xSplit="2" ySplit="8" topLeftCell="C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8" sqref="P3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181</v>
      </c>
      <c r="B9" s="51">
        <v>2.5099999999999998</v>
      </c>
      <c r="C9" s="51">
        <v>40.799999999999997</v>
      </c>
      <c r="D9" s="51">
        <v>43.30</v>
      </c>
      <c r="E9" s="51">
        <v>7.27</v>
      </c>
      <c r="F9" s="51">
        <v>1.30</v>
      </c>
      <c r="G9" s="51">
        <v>172.28</v>
      </c>
      <c r="H9" s="51">
        <v>49.13</v>
      </c>
      <c r="I9" s="51">
        <v>9.84</v>
      </c>
      <c r="J9" s="51">
        <v>2.96</v>
      </c>
      <c r="K9" s="51">
        <v>192.07</v>
      </c>
      <c r="L9" s="51">
        <v>40.36</v>
      </c>
      <c r="M9" s="51">
        <v>38.32</v>
      </c>
      <c r="N9" s="51">
        <v>216</v>
      </c>
      <c r="O9" s="51">
        <v>0</v>
      </c>
      <c r="P9" s="51">
        <v>2.29</v>
      </c>
      <c r="Q9" s="51">
        <v>76.05</v>
      </c>
      <c r="R9" s="43"/>
      <c r="S9" s="43"/>
      <c r="T9" s="43"/>
      <c r="U9" s="43"/>
    </row>
    <row r="10" spans="1:21" s="11" customFormat="1" ht="15">
      <c r="A10" s="50" t="s">
        <v>182</v>
      </c>
      <c r="B10" s="51">
        <v>1.1200000000000001</v>
      </c>
      <c r="C10" s="51">
        <v>31.78</v>
      </c>
      <c r="D10" s="51">
        <v>32.89</v>
      </c>
      <c r="E10" s="51">
        <v>7.34</v>
      </c>
      <c r="F10" s="51">
        <v>1.57</v>
      </c>
      <c r="G10" s="51">
        <v>150.52000000000001</v>
      </c>
      <c r="H10" s="51">
        <v>46.42</v>
      </c>
      <c r="I10" s="51">
        <v>8.6999999999999993</v>
      </c>
      <c r="J10" s="51">
        <v>2.27</v>
      </c>
      <c r="K10" s="51">
        <v>158.30000000000001</v>
      </c>
      <c r="L10" s="51">
        <v>38.450000000000003</v>
      </c>
      <c r="M10" s="51">
        <v>36.46</v>
      </c>
      <c r="N10" s="51">
        <v>216.70</v>
      </c>
      <c r="O10" s="51">
        <v>0</v>
      </c>
      <c r="P10" s="51">
        <v>2.04</v>
      </c>
      <c r="Q10" s="51">
        <v>73.95</v>
      </c>
      <c r="R10" s="43"/>
      <c r="S10" s="43"/>
      <c r="T10" s="43"/>
      <c r="U10" s="43"/>
    </row>
    <row r="11" spans="1:21" s="11" customFormat="1" ht="15">
      <c r="A11" s="50" t="s">
        <v>183</v>
      </c>
      <c r="B11" s="51">
        <v>0.81</v>
      </c>
      <c r="C11" s="51">
        <v>27.51</v>
      </c>
      <c r="D11" s="51">
        <v>28.32</v>
      </c>
      <c r="E11" s="51">
        <v>7.12</v>
      </c>
      <c r="F11" s="51">
        <v>1.69</v>
      </c>
      <c r="G11" s="51">
        <v>130.58000000000001</v>
      </c>
      <c r="H11" s="51">
        <v>42.14</v>
      </c>
      <c r="I11" s="51">
        <v>7.39</v>
      </c>
      <c r="J11" s="51">
        <v>3.03</v>
      </c>
      <c r="K11" s="51">
        <v>176.17</v>
      </c>
      <c r="L11" s="51">
        <v>34.07</v>
      </c>
      <c r="M11" s="51">
        <v>38.28</v>
      </c>
      <c r="N11" s="51">
        <v>193.5</v>
      </c>
      <c r="O11" s="51">
        <v>0</v>
      </c>
      <c r="P11" s="51">
        <v>1.84</v>
      </c>
      <c r="Q11" s="51">
        <v>67.06</v>
      </c>
      <c r="R11" s="43"/>
      <c r="S11" s="43"/>
      <c r="T11" s="43"/>
      <c r="U11" s="43"/>
    </row>
    <row r="12" spans="1:21" s="11" customFormat="1" ht="15">
      <c r="A12" s="50" t="s">
        <v>184</v>
      </c>
      <c r="B12" s="51">
        <v>1.22</v>
      </c>
      <c r="C12" s="51">
        <v>24.12</v>
      </c>
      <c r="D12" s="51">
        <v>25.34</v>
      </c>
      <c r="E12" s="51">
        <v>6.57</v>
      </c>
      <c r="F12" s="51">
        <v>1.75</v>
      </c>
      <c r="G12" s="51">
        <v>116.67</v>
      </c>
      <c r="H12" s="51">
        <v>35.44</v>
      </c>
      <c r="I12" s="51">
        <v>6.32</v>
      </c>
      <c r="J12" s="51">
        <v>2.71</v>
      </c>
      <c r="K12" s="51">
        <v>167.18</v>
      </c>
      <c r="L12" s="51">
        <v>34.32</v>
      </c>
      <c r="M12" s="51">
        <v>42</v>
      </c>
      <c r="N12" s="51">
        <v>258.89999999999998</v>
      </c>
      <c r="O12" s="51">
        <v>0</v>
      </c>
      <c r="P12" s="51">
        <v>1.72</v>
      </c>
      <c r="Q12" s="51">
        <v>61.38</v>
      </c>
      <c r="R12" s="43"/>
      <c r="S12" s="43"/>
      <c r="T12" s="43"/>
      <c r="U12" s="43"/>
    </row>
    <row r="13" spans="1:21" s="11" customFormat="1" ht="15">
      <c r="A13" s="50" t="s">
        <v>185</v>
      </c>
      <c r="B13" s="51">
        <v>2.11</v>
      </c>
      <c r="C13" s="51">
        <v>26.44</v>
      </c>
      <c r="D13" s="51">
        <v>28.55</v>
      </c>
      <c r="E13" s="51">
        <v>7.21</v>
      </c>
      <c r="F13" s="51">
        <v>0.98</v>
      </c>
      <c r="G13" s="51">
        <v>109.65</v>
      </c>
      <c r="H13" s="51">
        <v>34.79</v>
      </c>
      <c r="I13" s="51">
        <v>5.95</v>
      </c>
      <c r="J13" s="51">
        <v>1.03</v>
      </c>
      <c r="K13" s="51">
        <v>190.26</v>
      </c>
      <c r="L13" s="51">
        <v>32.51</v>
      </c>
      <c r="M13" s="51">
        <v>44.88</v>
      </c>
      <c r="N13" s="51">
        <v>134.30000000000001</v>
      </c>
      <c r="O13" s="51">
        <v>0</v>
      </c>
      <c r="P13" s="51">
        <v>1.66</v>
      </c>
      <c r="Q13" s="51">
        <v>64.73</v>
      </c>
      <c r="R13" s="43"/>
      <c r="S13" s="43"/>
      <c r="T13" s="43"/>
      <c r="U13" s="43"/>
    </row>
    <row r="14" spans="1:21" s="11" customFormat="1" ht="15">
      <c r="A14" s="50" t="s">
        <v>186</v>
      </c>
      <c r="B14" s="51">
        <v>3.46</v>
      </c>
      <c r="C14" s="51">
        <v>31.84</v>
      </c>
      <c r="D14" s="51">
        <v>35.299999999999997</v>
      </c>
      <c r="E14" s="51">
        <v>7.45</v>
      </c>
      <c r="F14" s="51">
        <v>0.54</v>
      </c>
      <c r="G14" s="51">
        <v>99.98</v>
      </c>
      <c r="H14" s="51">
        <v>35.590000000000003</v>
      </c>
      <c r="I14" s="51">
        <v>5.85</v>
      </c>
      <c r="J14" s="51">
        <v>1.90</v>
      </c>
      <c r="K14" s="51">
        <v>215.08</v>
      </c>
      <c r="L14" s="51">
        <v>32.18</v>
      </c>
      <c r="M14" s="51">
        <v>45.69</v>
      </c>
      <c r="N14" s="51">
        <v>159.19999999999999</v>
      </c>
      <c r="O14" s="51">
        <v>0</v>
      </c>
      <c r="P14" s="51">
        <v>1.63</v>
      </c>
      <c r="Q14" s="51">
        <v>72.739999999999995</v>
      </c>
      <c r="R14" s="43"/>
      <c r="S14" s="43"/>
      <c r="T14" s="43"/>
      <c r="U14" s="43"/>
    </row>
    <row r="15" spans="1:21" s="11" customFormat="1" ht="15">
      <c r="A15" s="50" t="s">
        <v>187</v>
      </c>
      <c r="B15" s="51">
        <v>3.44</v>
      </c>
      <c r="C15" s="51">
        <v>33.07</v>
      </c>
      <c r="D15" s="51">
        <v>36.21</v>
      </c>
      <c r="E15" s="51">
        <v>7.01</v>
      </c>
      <c r="F15" s="51">
        <v>0.61</v>
      </c>
      <c r="G15" s="51">
        <v>96.41</v>
      </c>
      <c r="H15" s="51">
        <v>34.35</v>
      </c>
      <c r="I15" s="51">
        <v>5.84</v>
      </c>
      <c r="J15" s="51">
        <v>3.20</v>
      </c>
      <c r="K15" s="51">
        <v>171.74</v>
      </c>
      <c r="L15" s="51">
        <v>33.020000000000003</v>
      </c>
      <c r="M15" s="51">
        <v>45.18</v>
      </c>
      <c r="N15" s="51">
        <v>377.10</v>
      </c>
      <c r="O15" s="51">
        <v>0</v>
      </c>
      <c r="P15" s="51">
        <v>1.62</v>
      </c>
      <c r="Q15" s="51">
        <v>70.09</v>
      </c>
      <c r="R15" s="43"/>
      <c r="S15" s="43"/>
      <c r="T15" s="43"/>
      <c r="U15" s="43"/>
    </row>
    <row r="16" spans="1:21" s="11" customFormat="1" ht="15">
      <c r="A16" s="50" t="s">
        <v>188</v>
      </c>
      <c r="B16" s="51">
        <v>2.5299999999999998</v>
      </c>
      <c r="C16" s="51">
        <v>32.51</v>
      </c>
      <c r="D16" s="51">
        <v>35.04</v>
      </c>
      <c r="E16" s="51">
        <v>6.66</v>
      </c>
      <c r="F16" s="51">
        <v>1.69</v>
      </c>
      <c r="G16" s="51">
        <v>107.53</v>
      </c>
      <c r="H16" s="51">
        <v>30.40</v>
      </c>
      <c r="I16" s="51">
        <v>5.87</v>
      </c>
      <c r="J16" s="51">
        <v>2.99</v>
      </c>
      <c r="K16" s="51">
        <v>179.25</v>
      </c>
      <c r="L16" s="51">
        <v>35.39</v>
      </c>
      <c r="M16" s="51">
        <v>44.26</v>
      </c>
      <c r="N16" s="51">
        <v>642.20000000000005</v>
      </c>
      <c r="O16" s="51">
        <v>0</v>
      </c>
      <c r="P16" s="51">
        <v>1.62</v>
      </c>
      <c r="Q16" s="51">
        <v>67.099999999999994</v>
      </c>
      <c r="R16" s="43"/>
      <c r="S16" s="43"/>
      <c r="T16" s="43"/>
      <c r="U16" s="43"/>
    </row>
    <row r="17" spans="1:21" s="11" customFormat="1" ht="15">
      <c r="A17" s="50" t="s">
        <v>189</v>
      </c>
      <c r="B17" s="51">
        <v>1.27</v>
      </c>
      <c r="C17" s="51">
        <v>29.34</v>
      </c>
      <c r="D17" s="51">
        <v>30.20</v>
      </c>
      <c r="E17" s="51">
        <v>6.49</v>
      </c>
      <c r="F17" s="51">
        <v>3.18</v>
      </c>
      <c r="G17" s="51">
        <v>108.64</v>
      </c>
      <c r="H17" s="51">
        <v>33.94</v>
      </c>
      <c r="I17" s="51">
        <v>5.70</v>
      </c>
      <c r="J17" s="51">
        <v>2.76</v>
      </c>
      <c r="K17" s="51">
        <v>218.59</v>
      </c>
      <c r="L17" s="51">
        <v>39.39</v>
      </c>
      <c r="M17" s="51">
        <v>37.729999999999997</v>
      </c>
      <c r="N17" s="51">
        <v>858.20</v>
      </c>
      <c r="O17" s="51">
        <v>0</v>
      </c>
      <c r="P17" s="51">
        <v>1.63</v>
      </c>
      <c r="Q17" s="51">
        <v>52.01</v>
      </c>
      <c r="R17" s="43"/>
      <c r="S17" s="43"/>
      <c r="T17" s="43"/>
      <c r="U17" s="43"/>
    </row>
    <row r="18" spans="1:21" s="11" customFormat="1" ht="15">
      <c r="A18" s="50" t="s">
        <v>190</v>
      </c>
      <c r="B18" s="51">
        <v>0.96</v>
      </c>
      <c r="C18" s="51">
        <v>31.57</v>
      </c>
      <c r="D18" s="51">
        <v>32.479999999999997</v>
      </c>
      <c r="E18" s="51">
        <v>6.12</v>
      </c>
      <c r="F18" s="51">
        <v>3.67</v>
      </c>
      <c r="G18" s="51">
        <v>114.55</v>
      </c>
      <c r="H18" s="51">
        <v>35.15</v>
      </c>
      <c r="I18" s="51">
        <v>5.28</v>
      </c>
      <c r="J18" s="51">
        <v>0.67</v>
      </c>
      <c r="K18" s="51">
        <v>308.26</v>
      </c>
      <c r="L18" s="51">
        <v>42.54</v>
      </c>
      <c r="M18" s="51">
        <v>33.17</v>
      </c>
      <c r="N18" s="51">
        <v>975.10</v>
      </c>
      <c r="O18" s="51">
        <v>0</v>
      </c>
      <c r="P18" s="51">
        <v>1.67</v>
      </c>
      <c r="Q18" s="51">
        <v>58.90</v>
      </c>
      <c r="R18" s="43"/>
      <c r="S18" s="43"/>
      <c r="T18" s="43"/>
      <c r="U18" s="43"/>
    </row>
    <row r="19" spans="1:21" s="11" customFormat="1" ht="15">
      <c r="A19" s="50" t="s">
        <v>191</v>
      </c>
      <c r="B19" s="51">
        <v>0.91</v>
      </c>
      <c r="C19" s="51">
        <v>34.92</v>
      </c>
      <c r="D19" s="51">
        <v>35.54</v>
      </c>
      <c r="E19" s="51">
        <v>5.92</v>
      </c>
      <c r="F19" s="51">
        <v>4.62</v>
      </c>
      <c r="G19" s="51">
        <v>112.54</v>
      </c>
      <c r="H19" s="51">
        <v>42</v>
      </c>
      <c r="I19" s="51">
        <v>5.16</v>
      </c>
      <c r="J19" s="51">
        <v>1.96</v>
      </c>
      <c r="K19" s="51">
        <v>330.41</v>
      </c>
      <c r="L19" s="51">
        <v>43.03</v>
      </c>
      <c r="M19" s="51">
        <v>31.19</v>
      </c>
      <c r="N19" s="51">
        <v>1038.5</v>
      </c>
      <c r="O19" s="51">
        <v>0</v>
      </c>
      <c r="P19" s="51">
        <v>1.75</v>
      </c>
      <c r="Q19" s="51">
        <v>58.11</v>
      </c>
      <c r="R19" s="43"/>
      <c r="S19" s="43"/>
      <c r="T19" s="43"/>
      <c r="U19" s="43"/>
    </row>
    <row r="20" spans="1:21" s="11" customFormat="1" ht="15">
      <c r="A20" s="50" t="s">
        <v>192</v>
      </c>
      <c r="B20" s="51">
        <v>0.93</v>
      </c>
      <c r="C20" s="51">
        <v>39.64</v>
      </c>
      <c r="D20" s="51">
        <v>40.5</v>
      </c>
      <c r="E20" s="51">
        <v>6.29</v>
      </c>
      <c r="F20" s="51">
        <v>6.62</v>
      </c>
      <c r="G20" s="51">
        <v>109.46</v>
      </c>
      <c r="H20" s="51">
        <v>43.34</v>
      </c>
      <c r="I20" s="51">
        <v>6.99</v>
      </c>
      <c r="J20" s="51">
        <v>1.24</v>
      </c>
      <c r="K20" s="51">
        <v>320.02</v>
      </c>
      <c r="L20" s="51">
        <v>46.46</v>
      </c>
      <c r="M20" s="51">
        <v>28.64</v>
      </c>
      <c r="N20" s="51">
        <v>924</v>
      </c>
      <c r="O20" s="51">
        <v>0</v>
      </c>
      <c r="P20" s="51">
        <v>1.86</v>
      </c>
      <c r="Q20" s="51">
        <v>62.51</v>
      </c>
      <c r="R20" s="43"/>
      <c r="S20" s="43"/>
      <c r="T20" s="43"/>
      <c r="U20" s="43"/>
    </row>
    <row r="21" spans="1:21" s="11" customFormat="1" ht="15">
      <c r="A21" s="50" t="s">
        <v>193</v>
      </c>
      <c r="B21" s="51">
        <v>0.38</v>
      </c>
      <c r="C21" s="51">
        <v>34.799999999999997</v>
      </c>
      <c r="D21" s="51">
        <v>35.11</v>
      </c>
      <c r="E21" s="51">
        <v>6.02</v>
      </c>
      <c r="F21" s="51">
        <v>6.74</v>
      </c>
      <c r="G21" s="51">
        <v>113.47</v>
      </c>
      <c r="H21" s="51">
        <v>43.30</v>
      </c>
      <c r="I21" s="51">
        <v>7.53</v>
      </c>
      <c r="J21" s="51">
        <v>2.5499999999999998</v>
      </c>
      <c r="K21" s="51">
        <v>310.63</v>
      </c>
      <c r="L21" s="51">
        <v>43.65</v>
      </c>
      <c r="M21" s="51">
        <v>26.18</v>
      </c>
      <c r="N21" s="51">
        <v>869.20</v>
      </c>
      <c r="O21" s="51">
        <v>0</v>
      </c>
      <c r="P21" s="51">
        <v>1.93</v>
      </c>
      <c r="Q21" s="51">
        <v>57.71</v>
      </c>
      <c r="R21" s="43"/>
      <c r="S21" s="43"/>
      <c r="T21" s="43"/>
      <c r="U21" s="43"/>
    </row>
    <row r="22" spans="1:21" s="11" customFormat="1" ht="15">
      <c r="A22" s="50" t="s">
        <v>194</v>
      </c>
      <c r="B22" s="51">
        <v>0.30</v>
      </c>
      <c r="C22" s="51">
        <v>33.07</v>
      </c>
      <c r="D22" s="51">
        <v>33.369999999999997</v>
      </c>
      <c r="E22" s="51">
        <v>6.86</v>
      </c>
      <c r="F22" s="51">
        <v>6.53</v>
      </c>
      <c r="G22" s="51">
        <v>122.80</v>
      </c>
      <c r="H22" s="51">
        <v>47.56</v>
      </c>
      <c r="I22" s="51">
        <v>5.18</v>
      </c>
      <c r="J22" s="51">
        <v>2.36</v>
      </c>
      <c r="K22" s="51">
        <v>144</v>
      </c>
      <c r="L22" s="51">
        <v>47.38</v>
      </c>
      <c r="M22" s="51">
        <v>23.47</v>
      </c>
      <c r="N22" s="51">
        <v>906.20</v>
      </c>
      <c r="O22" s="51">
        <v>0</v>
      </c>
      <c r="P22" s="51">
        <v>1.96</v>
      </c>
      <c r="Q22" s="51">
        <v>67.34</v>
      </c>
      <c r="R22" s="43"/>
      <c r="S22" s="43"/>
      <c r="T22" s="43"/>
      <c r="U22" s="43"/>
    </row>
    <row r="23" spans="1:21" s="11" customFormat="1" ht="15">
      <c r="A23" s="50" t="s">
        <v>195</v>
      </c>
      <c r="B23" s="51">
        <v>0.44</v>
      </c>
      <c r="C23" s="51">
        <v>32.450000000000003</v>
      </c>
      <c r="D23" s="51">
        <v>32.90</v>
      </c>
      <c r="E23" s="51">
        <v>7.31</v>
      </c>
      <c r="F23" s="51">
        <v>7.80</v>
      </c>
      <c r="G23" s="51">
        <v>125.49</v>
      </c>
      <c r="H23" s="51">
        <v>50.82</v>
      </c>
      <c r="I23" s="51">
        <v>0.070000000000000007</v>
      </c>
      <c r="J23" s="51">
        <v>2.46</v>
      </c>
      <c r="K23" s="51">
        <v>183.22</v>
      </c>
      <c r="L23" s="51">
        <v>50.32</v>
      </c>
      <c r="M23" s="51">
        <v>22.83</v>
      </c>
      <c r="N23" s="51">
        <v>791.60</v>
      </c>
      <c r="O23" s="51">
        <v>0</v>
      </c>
      <c r="P23" s="51">
        <v>1.94</v>
      </c>
      <c r="Q23" s="51">
        <v>69.709999999999994</v>
      </c>
      <c r="R23" s="43"/>
      <c r="S23" s="43"/>
      <c r="T23" s="43"/>
      <c r="U23" s="43"/>
    </row>
    <row r="24" spans="1:21" s="11" customFormat="1" ht="15">
      <c r="A24" s="50" t="s">
        <v>196</v>
      </c>
      <c r="B24" s="51">
        <v>0.31</v>
      </c>
      <c r="C24" s="51">
        <v>31.18</v>
      </c>
      <c r="D24" s="51">
        <v>31.40</v>
      </c>
      <c r="E24" s="51">
        <v>6.12</v>
      </c>
      <c r="F24" s="51">
        <v>8.61</v>
      </c>
      <c r="G24" s="51">
        <v>123.60</v>
      </c>
      <c r="H24" s="51">
        <v>49.63</v>
      </c>
      <c r="I24" s="51">
        <v>0.08</v>
      </c>
      <c r="J24" s="51">
        <v>2.04</v>
      </c>
      <c r="K24" s="51">
        <v>329.10</v>
      </c>
      <c r="L24" s="51">
        <v>44.86</v>
      </c>
      <c r="M24" s="51">
        <v>20.58</v>
      </c>
      <c r="N24" s="51">
        <v>547.10</v>
      </c>
      <c r="O24" s="51">
        <v>0</v>
      </c>
      <c r="P24" s="51">
        <v>1.85</v>
      </c>
      <c r="Q24" s="51">
        <v>65.099999999999994</v>
      </c>
      <c r="R24" s="43"/>
      <c r="S24" s="43"/>
      <c r="T24" s="43"/>
      <c r="U24" s="43"/>
    </row>
    <row r="25" spans="1:21" s="11" customFormat="1" ht="15">
      <c r="A25" s="50" t="s">
        <v>197</v>
      </c>
      <c r="B25" s="51">
        <v>0.53</v>
      </c>
      <c r="C25" s="51">
        <v>32.479999999999997</v>
      </c>
      <c r="D25" s="51">
        <v>33</v>
      </c>
      <c r="E25" s="51">
        <v>5.93</v>
      </c>
      <c r="F25" s="51">
        <v>10.95</v>
      </c>
      <c r="G25" s="51">
        <v>118.92</v>
      </c>
      <c r="H25" s="51">
        <v>48.04</v>
      </c>
      <c r="I25" s="51">
        <v>0.06</v>
      </c>
      <c r="J25" s="51">
        <v>2.2000000000000002</v>
      </c>
      <c r="K25" s="51">
        <v>351.23</v>
      </c>
      <c r="L25" s="51">
        <v>45.24</v>
      </c>
      <c r="M25" s="51">
        <v>21.86</v>
      </c>
      <c r="N25" s="51">
        <v>385.70</v>
      </c>
      <c r="O25" s="51">
        <v>0</v>
      </c>
      <c r="P25" s="51">
        <v>1.82</v>
      </c>
      <c r="Q25" s="51">
        <v>66.30</v>
      </c>
      <c r="R25" s="43"/>
      <c r="S25" s="43"/>
      <c r="T25" s="43"/>
      <c r="U25" s="43"/>
    </row>
    <row r="26" spans="1:21" s="11" customFormat="1" ht="15">
      <c r="A26" s="50" t="s">
        <v>198</v>
      </c>
      <c r="B26" s="51">
        <v>0.24</v>
      </c>
      <c r="C26" s="51">
        <v>24.57</v>
      </c>
      <c r="D26" s="51">
        <v>24.78</v>
      </c>
      <c r="E26" s="51">
        <v>4.5</v>
      </c>
      <c r="F26" s="51">
        <v>15.33</v>
      </c>
      <c r="G26" s="51">
        <v>116.66</v>
      </c>
      <c r="H26" s="51">
        <v>46.49</v>
      </c>
      <c r="I26" s="4" t="s">
        <v>18</v>
      </c>
      <c r="J26" s="51">
        <v>3.31</v>
      </c>
      <c r="K26" s="51">
        <v>203.11</v>
      </c>
      <c r="L26" s="51">
        <v>42.31</v>
      </c>
      <c r="M26" s="51">
        <v>28.76</v>
      </c>
      <c r="N26" s="51">
        <v>131.5</v>
      </c>
      <c r="O26" s="51">
        <v>0</v>
      </c>
      <c r="P26" s="51">
        <v>1.72</v>
      </c>
      <c r="Q26" s="51">
        <v>119.56</v>
      </c>
      <c r="R26" s="43"/>
      <c r="S26" s="43"/>
      <c r="T26" s="43"/>
      <c r="U26" s="43"/>
    </row>
    <row r="27" spans="1:21" s="11" customFormat="1" ht="15">
      <c r="A27" s="50" t="s">
        <v>199</v>
      </c>
      <c r="B27" s="51">
        <v>0.34</v>
      </c>
      <c r="C27" s="51">
        <v>26.73</v>
      </c>
      <c r="D27" s="51">
        <v>26.94</v>
      </c>
      <c r="E27" s="51">
        <v>3.28</v>
      </c>
      <c r="F27" s="51">
        <v>12.78</v>
      </c>
      <c r="G27" s="51">
        <v>120.39</v>
      </c>
      <c r="H27" s="51">
        <v>45.24</v>
      </c>
      <c r="I27" s="51">
        <v>4</v>
      </c>
      <c r="J27" s="51">
        <v>1.97</v>
      </c>
      <c r="K27" s="51">
        <v>222.15</v>
      </c>
      <c r="L27" s="51">
        <v>40.11</v>
      </c>
      <c r="M27" s="51">
        <v>32.979999999999997</v>
      </c>
      <c r="N27" s="51">
        <v>54.80</v>
      </c>
      <c r="O27" s="51">
        <v>0</v>
      </c>
      <c r="P27" s="51">
        <v>1.64</v>
      </c>
      <c r="Q27" s="51">
        <v>112.96</v>
      </c>
      <c r="R27" s="43"/>
      <c r="S27" s="43"/>
      <c r="T27" s="43"/>
      <c r="U27" s="43"/>
    </row>
    <row r="28" spans="1:21" s="11" customFormat="1" ht="15">
      <c r="A28" s="50" t="s">
        <v>200</v>
      </c>
      <c r="B28" s="51">
        <v>0.46</v>
      </c>
      <c r="C28" s="51">
        <v>28.84</v>
      </c>
      <c r="D28" s="51">
        <v>29.30</v>
      </c>
      <c r="E28" s="51">
        <v>5.36</v>
      </c>
      <c r="F28" s="51">
        <v>4.04</v>
      </c>
      <c r="G28" s="51">
        <v>120.37</v>
      </c>
      <c r="H28" s="51">
        <v>44.56</v>
      </c>
      <c r="I28" s="51">
        <v>4.46</v>
      </c>
      <c r="J28" s="51">
        <v>2.4300000000000002</v>
      </c>
      <c r="K28" s="51">
        <v>204.36</v>
      </c>
      <c r="L28" s="51">
        <v>41.33</v>
      </c>
      <c r="M28" s="51">
        <v>36.08</v>
      </c>
      <c r="N28" s="51">
        <v>12.20</v>
      </c>
      <c r="O28" s="51">
        <v>0</v>
      </c>
      <c r="P28" s="51">
        <v>1.71</v>
      </c>
      <c r="Q28" s="51">
        <v>82.5</v>
      </c>
      <c r="R28" s="43"/>
      <c r="S28" s="43"/>
      <c r="T28" s="43"/>
      <c r="U28" s="43"/>
    </row>
    <row r="29" spans="1:21" s="11" customFormat="1" ht="15">
      <c r="A29" s="50" t="s">
        <v>201</v>
      </c>
      <c r="B29" s="51">
        <v>0.59</v>
      </c>
      <c r="C29" s="51">
        <v>31.48</v>
      </c>
      <c r="D29" s="51">
        <v>32.049999999999997</v>
      </c>
      <c r="E29" s="51">
        <v>5.88</v>
      </c>
      <c r="F29" s="51">
        <v>3.08</v>
      </c>
      <c r="G29" s="51">
        <v>118.34</v>
      </c>
      <c r="H29" s="51">
        <v>41.99</v>
      </c>
      <c r="I29" s="51">
        <v>5.03</v>
      </c>
      <c r="J29" s="51">
        <v>2.58</v>
      </c>
      <c r="K29" s="51">
        <v>203.52</v>
      </c>
      <c r="L29" s="51">
        <v>41.40</v>
      </c>
      <c r="M29" s="51">
        <v>38.36</v>
      </c>
      <c r="N29" s="51">
        <v>42.90</v>
      </c>
      <c r="O29" s="51">
        <v>0</v>
      </c>
      <c r="P29" s="51">
        <v>1.74</v>
      </c>
      <c r="Q29" s="51">
        <v>101.68</v>
      </c>
      <c r="R29" s="43"/>
      <c r="S29" s="43"/>
      <c r="T29" s="43"/>
      <c r="U29" s="43"/>
    </row>
    <row r="30" spans="1:21" s="11" customFormat="1" ht="15">
      <c r="A30" s="50" t="s">
        <v>202</v>
      </c>
      <c r="B30" s="51">
        <v>0.79</v>
      </c>
      <c r="C30" s="51">
        <v>27.81</v>
      </c>
      <c r="D30" s="51">
        <v>28.58</v>
      </c>
      <c r="E30" s="51">
        <v>6.20</v>
      </c>
      <c r="F30" s="51">
        <v>2.76</v>
      </c>
      <c r="G30" s="51">
        <v>120.05</v>
      </c>
      <c r="H30" s="51">
        <v>43.02</v>
      </c>
      <c r="I30" s="51">
        <v>4.99</v>
      </c>
      <c r="J30" s="51">
        <v>3.31</v>
      </c>
      <c r="K30" s="51">
        <v>197.63</v>
      </c>
      <c r="L30" s="51">
        <v>42.57</v>
      </c>
      <c r="M30" s="51">
        <v>41.62</v>
      </c>
      <c r="N30" s="51">
        <v>61.20</v>
      </c>
      <c r="O30" s="51">
        <v>0</v>
      </c>
      <c r="P30" s="51">
        <v>1.74</v>
      </c>
      <c r="Q30" s="51">
        <v>75.25</v>
      </c>
      <c r="R30" s="43"/>
      <c r="S30" s="43"/>
      <c r="T30" s="43"/>
      <c r="U30" s="43"/>
    </row>
    <row r="31" spans="1:21" s="11" customFormat="1" ht="15">
      <c r="A31" s="50" t="s">
        <v>203</v>
      </c>
      <c r="B31" s="51">
        <v>0.99</v>
      </c>
      <c r="C31" s="51">
        <v>29.03</v>
      </c>
      <c r="D31" s="51">
        <v>30.02</v>
      </c>
      <c r="E31" s="51">
        <v>6.60</v>
      </c>
      <c r="F31" s="51">
        <v>1.59</v>
      </c>
      <c r="G31" s="51">
        <v>117.10</v>
      </c>
      <c r="H31" s="51">
        <v>42.48</v>
      </c>
      <c r="I31" s="51">
        <v>5.12</v>
      </c>
      <c r="J31" s="51">
        <v>3.04</v>
      </c>
      <c r="K31" s="51">
        <v>192.92</v>
      </c>
      <c r="L31" s="51">
        <v>38.869999999999997</v>
      </c>
      <c r="M31" s="51">
        <v>43.89</v>
      </c>
      <c r="N31" s="51">
        <v>58.5</v>
      </c>
      <c r="O31" s="51">
        <v>0</v>
      </c>
      <c r="P31" s="51">
        <v>1.73</v>
      </c>
      <c r="Q31" s="51">
        <v>82.11</v>
      </c>
      <c r="R31" s="43"/>
      <c r="S31" s="43"/>
      <c r="T31" s="43"/>
      <c r="U31" s="43"/>
    </row>
    <row r="32" spans="1:21" s="11" customFormat="1" ht="15">
      <c r="A32" s="50" t="s">
        <v>204</v>
      </c>
      <c r="B32" s="51">
        <v>0.85</v>
      </c>
      <c r="C32" s="51">
        <v>25.55</v>
      </c>
      <c r="D32" s="51">
        <v>26.40</v>
      </c>
      <c r="E32" s="51">
        <v>6.97</v>
      </c>
      <c r="F32" s="51">
        <v>2</v>
      </c>
      <c r="G32" s="51">
        <v>110.42</v>
      </c>
      <c r="H32" s="51">
        <v>42.99</v>
      </c>
      <c r="I32" s="51">
        <v>5.08</v>
      </c>
      <c r="J32" s="51">
        <v>3.05</v>
      </c>
      <c r="K32" s="51">
        <v>203.45</v>
      </c>
      <c r="L32" s="51">
        <v>42.51</v>
      </c>
      <c r="M32" s="51">
        <v>46.49</v>
      </c>
      <c r="N32" s="51">
        <v>49.60</v>
      </c>
      <c r="O32" s="51">
        <v>0</v>
      </c>
      <c r="P32" s="51">
        <v>1.70</v>
      </c>
      <c r="Q32" s="51">
        <v>86.05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0.23999999999999999</v>
      </c>
      <c r="C34" s="28">
        <f t="shared" si="0"/>
        <v>24.120000000000001</v>
      </c>
      <c r="D34" s="28">
        <f t="shared" si="0"/>
        <v>24.780000000000001</v>
      </c>
      <c r="E34" s="28">
        <f t="shared" si="0"/>
        <v>3.2799999999999998</v>
      </c>
      <c r="F34" s="28">
        <f t="shared" si="0"/>
        <v>0.54000000000000004</v>
      </c>
      <c r="G34" s="28">
        <f t="shared" si="0"/>
        <v>96.409999999999997</v>
      </c>
      <c r="H34" s="28">
        <f t="shared" si="0"/>
        <v>30.399999999999999</v>
      </c>
      <c r="I34" s="28">
        <f t="shared" si="0"/>
        <v>0.059999999999999998</v>
      </c>
      <c r="J34" s="28">
        <f t="shared" si="0"/>
        <v>0.67000000000000004</v>
      </c>
      <c r="K34" s="28">
        <f t="shared" si="0"/>
        <v>144</v>
      </c>
      <c r="L34" s="28">
        <f t="shared" si="0"/>
        <v>32.18</v>
      </c>
      <c r="M34" s="28">
        <f t="shared" si="0"/>
        <v>20.579999999999998</v>
      </c>
      <c r="N34" s="28">
        <f t="shared" si="0"/>
        <v>12.199999999999999</v>
      </c>
      <c r="O34" s="28">
        <f t="shared" si="0"/>
        <v>0</v>
      </c>
      <c r="P34" s="28">
        <f t="shared" si="0"/>
        <v>1.6200000000000001</v>
      </c>
      <c r="Q34" s="28">
        <f t="shared" si="0"/>
        <v>52.009999999999998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3.46</v>
      </c>
      <c r="C35" s="29">
        <f t="shared" si="1"/>
        <v>40.799999999999997</v>
      </c>
      <c r="D35" s="29">
        <f t="shared" si="1"/>
        <v>43.299999999999997</v>
      </c>
      <c r="E35" s="29">
        <f t="shared" si="1"/>
        <v>7.4500000000000002</v>
      </c>
      <c r="F35" s="29">
        <f t="shared" si="1"/>
        <v>15.33</v>
      </c>
      <c r="G35" s="29">
        <f t="shared" si="1"/>
        <v>172.28</v>
      </c>
      <c r="H35" s="29">
        <f t="shared" si="1"/>
        <v>50.82</v>
      </c>
      <c r="I35" s="29">
        <f t="shared" si="1"/>
        <v>9.8399999999999999</v>
      </c>
      <c r="J35" s="29">
        <f t="shared" si="1"/>
        <v>3.3100000000000001</v>
      </c>
      <c r="K35" s="29">
        <f t="shared" si="1"/>
        <v>351.23000000000002</v>
      </c>
      <c r="L35" s="29">
        <f t="shared" si="1"/>
        <v>50.32</v>
      </c>
      <c r="M35" s="29">
        <f t="shared" si="1"/>
        <v>46.490000000000002</v>
      </c>
      <c r="N35" s="29">
        <f t="shared" si="1"/>
        <v>1038.5</v>
      </c>
      <c r="O35" s="29">
        <f t="shared" si="1"/>
        <v>0</v>
      </c>
      <c r="P35" s="29">
        <f t="shared" si="1"/>
        <v>2.29</v>
      </c>
      <c r="Q35" s="29">
        <f t="shared" si="1"/>
        <v>119.56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1.1454166666666665</v>
      </c>
      <c r="C36" s="28">
        <f t="shared" si="2"/>
        <v>30.897083333333331</v>
      </c>
      <c r="D36" s="28">
        <f t="shared" si="2"/>
        <v>31.98</v>
      </c>
      <c r="E36" s="28">
        <f t="shared" si="2"/>
        <v>6.3533333333333326</v>
      </c>
      <c r="F36" s="28">
        <f t="shared" si="2"/>
        <v>4.6012500000000003</v>
      </c>
      <c r="G36" s="28">
        <f t="shared" si="2"/>
        <v>119.0175</v>
      </c>
      <c r="H36" s="28">
        <f t="shared" si="2"/>
        <v>42.033749999999998</v>
      </c>
      <c r="I36" s="28">
        <f t="shared" si="2"/>
        <v>5.2386956521739121</v>
      </c>
      <c r="J36" s="28">
        <f t="shared" si="2"/>
        <v>2.4175</v>
      </c>
      <c r="K36" s="28">
        <f t="shared" si="2"/>
        <v>223.86041666666665</v>
      </c>
      <c r="L36" s="28">
        <f t="shared" si="2"/>
        <v>40.511250000000004</v>
      </c>
      <c r="M36" s="28">
        <f t="shared" si="2"/>
        <v>35.370833333333344</v>
      </c>
      <c r="N36" s="28">
        <f t="shared" si="2"/>
        <v>412.67500000000013</v>
      </c>
      <c r="O36" s="28">
        <f t="shared" si="2"/>
        <v>0</v>
      </c>
      <c r="P36" s="28">
        <f t="shared" si="2"/>
        <v>1.7837500000000004</v>
      </c>
      <c r="Q36" s="28">
        <f t="shared" si="2"/>
        <v>73.787499999999994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0.95466351534780658</v>
      </c>
      <c r="C37" s="28">
        <f t="shared" si="3" ref="C37:Q37">STDEV(C9:C32)</f>
        <v>4.2136057874324493</v>
      </c>
      <c r="D37" s="28">
        <f t="shared" si="3"/>
        <v>4.5209704614212445</v>
      </c>
      <c r="E37" s="28">
        <f t="shared" si="3"/>
        <v>0.96114816605009346</v>
      </c>
      <c r="F37" s="28">
        <f t="shared" si="3"/>
        <v>4.0455120732464271</v>
      </c>
      <c r="G37" s="28">
        <f t="shared" si="3"/>
        <v>15.490628934378556</v>
      </c>
      <c r="H37" s="28">
        <f t="shared" si="3"/>
        <v>5.7399907684367664</v>
      </c>
      <c r="I37" s="28">
        <f t="shared" si="3"/>
        <v>2.445430440541235</v>
      </c>
      <c r="J37" s="28">
        <f t="shared" si="3"/>
        <v>0.70700378204510883</v>
      </c>
      <c r="K37" s="28">
        <f t="shared" si="3"/>
        <v>62.764295269591052</v>
      </c>
      <c r="L37" s="28">
        <f t="shared" si="3"/>
        <v>4.9223229868585481</v>
      </c>
      <c r="M37" s="28">
        <f t="shared" si="3"/>
        <v>8.305154982019415</v>
      </c>
      <c r="N37" s="28">
        <f t="shared" si="3"/>
        <v>361.86686387940119</v>
      </c>
      <c r="O37" s="28">
        <f t="shared" si="3"/>
        <v>0</v>
      </c>
      <c r="P37" s="28">
        <f t="shared" si="3"/>
        <v>0.16040200855296699</v>
      </c>
      <c r="Q37" s="28">
        <f t="shared" si="3"/>
        <v>16.898982024910875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575f63-2a60-4096-938e-239d70b6e6cb}">
  <sheetPr codeName=""/>
  <dimension ref="A1:U119"/>
  <sheetViews>
    <sheetView workbookViewId="0" topLeftCell="A1">
      <pane xSplit="2" ySplit="8" topLeftCell="C18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29" sqref="G29:H32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205</v>
      </c>
      <c r="B9" s="51">
        <v>0.70</v>
      </c>
      <c r="C9" s="51">
        <v>24.81</v>
      </c>
      <c r="D9" s="51">
        <v>25.51</v>
      </c>
      <c r="E9" s="51">
        <v>6.90</v>
      </c>
      <c r="F9" s="51">
        <v>2.06</v>
      </c>
      <c r="G9" s="51">
        <v>103.98</v>
      </c>
      <c r="H9" s="51">
        <v>41.51</v>
      </c>
      <c r="I9" s="51">
        <v>4.84</v>
      </c>
      <c r="J9" s="51">
        <v>2.1800000000000002</v>
      </c>
      <c r="K9" s="51">
        <v>209.73</v>
      </c>
      <c r="L9" s="51">
        <v>45.63</v>
      </c>
      <c r="M9" s="51">
        <v>51.47</v>
      </c>
      <c r="N9" s="51">
        <v>53.90</v>
      </c>
      <c r="O9" s="51">
        <v>0</v>
      </c>
      <c r="P9" s="51">
        <v>1.65</v>
      </c>
      <c r="Q9" s="51">
        <v>77.489999999999995</v>
      </c>
      <c r="R9" s="43"/>
      <c r="S9" s="43"/>
      <c r="T9" s="43"/>
      <c r="U9" s="43"/>
    </row>
    <row r="10" spans="1:21" s="11" customFormat="1" ht="15">
      <c r="A10" s="50" t="s">
        <v>206</v>
      </c>
      <c r="B10" s="51">
        <v>0.92</v>
      </c>
      <c r="C10" s="51">
        <v>23.29</v>
      </c>
      <c r="D10" s="51">
        <v>23.94</v>
      </c>
      <c r="E10" s="51">
        <v>7.08</v>
      </c>
      <c r="F10" s="51">
        <v>2.14</v>
      </c>
      <c r="G10" s="51">
        <v>90.59</v>
      </c>
      <c r="H10" s="51">
        <v>35.83</v>
      </c>
      <c r="I10" s="51">
        <v>4.68</v>
      </c>
      <c r="J10" s="51">
        <v>1.72</v>
      </c>
      <c r="K10" s="51">
        <v>218.62</v>
      </c>
      <c r="L10" s="51">
        <v>41.04</v>
      </c>
      <c r="M10" s="51">
        <v>54.82</v>
      </c>
      <c r="N10" s="51">
        <v>90.90</v>
      </c>
      <c r="O10" s="51">
        <v>0</v>
      </c>
      <c r="P10" s="51">
        <v>1.61</v>
      </c>
      <c r="Q10" s="51">
        <v>78.56</v>
      </c>
      <c r="R10" s="43"/>
      <c r="S10" s="43"/>
      <c r="T10" s="43"/>
      <c r="U10" s="43"/>
    </row>
    <row r="11" spans="1:21" s="11" customFormat="1" ht="15">
      <c r="A11" s="50" t="s">
        <v>207</v>
      </c>
      <c r="B11" s="51">
        <v>1.23</v>
      </c>
      <c r="C11" s="51">
        <v>18.54</v>
      </c>
      <c r="D11" s="51">
        <v>19.64</v>
      </c>
      <c r="E11" s="51">
        <v>7.58</v>
      </c>
      <c r="F11" s="51">
        <v>1.19</v>
      </c>
      <c r="G11" s="51">
        <v>81.150000000000006</v>
      </c>
      <c r="H11" s="51">
        <v>32.43</v>
      </c>
      <c r="I11" s="51">
        <v>4.70</v>
      </c>
      <c r="J11" s="51">
        <v>2.61</v>
      </c>
      <c r="K11" s="51">
        <v>179.38</v>
      </c>
      <c r="L11" s="51">
        <v>41.09</v>
      </c>
      <c r="M11" s="51">
        <v>55.44</v>
      </c>
      <c r="N11" s="51">
        <v>124.30</v>
      </c>
      <c r="O11" s="51">
        <v>0</v>
      </c>
      <c r="P11" s="51">
        <v>1.60</v>
      </c>
      <c r="Q11" s="51">
        <v>58.13</v>
      </c>
      <c r="R11" s="43"/>
      <c r="S11" s="43"/>
      <c r="T11" s="43"/>
      <c r="U11" s="43"/>
    </row>
    <row r="12" spans="1:21" s="11" customFormat="1" ht="15">
      <c r="A12" s="50" t="s">
        <v>208</v>
      </c>
      <c r="B12" s="51">
        <v>1.26</v>
      </c>
      <c r="C12" s="51">
        <v>20.02</v>
      </c>
      <c r="D12" s="51">
        <v>21.08</v>
      </c>
      <c r="E12" s="51">
        <v>7.32</v>
      </c>
      <c r="F12" s="51">
        <v>1.30</v>
      </c>
      <c r="G12" s="51">
        <v>77.69</v>
      </c>
      <c r="H12" s="51">
        <v>31.68</v>
      </c>
      <c r="I12" s="51">
        <v>4.78</v>
      </c>
      <c r="J12" s="51">
        <v>1.75</v>
      </c>
      <c r="K12" s="51">
        <v>222.98</v>
      </c>
      <c r="L12" s="51">
        <v>41.21</v>
      </c>
      <c r="M12" s="51">
        <v>58</v>
      </c>
      <c r="N12" s="51">
        <v>118.40</v>
      </c>
      <c r="O12" s="51">
        <v>0</v>
      </c>
      <c r="P12" s="51">
        <v>1.61</v>
      </c>
      <c r="Q12" s="51">
        <v>80.400000000000006</v>
      </c>
      <c r="R12" s="43"/>
      <c r="S12" s="43"/>
      <c r="T12" s="43"/>
      <c r="U12" s="43"/>
    </row>
    <row r="13" spans="1:21" s="11" customFormat="1" ht="15">
      <c r="A13" s="50" t="s">
        <v>209</v>
      </c>
      <c r="B13" s="51">
        <v>1.02</v>
      </c>
      <c r="C13" s="51">
        <v>20.94</v>
      </c>
      <c r="D13" s="51">
        <v>21.96</v>
      </c>
      <c r="E13" s="51">
        <v>6.88</v>
      </c>
      <c r="F13" s="51">
        <v>1.35</v>
      </c>
      <c r="G13" s="51">
        <v>75.55</v>
      </c>
      <c r="H13" s="51">
        <v>29.54</v>
      </c>
      <c r="I13" s="51">
        <v>4.87</v>
      </c>
      <c r="J13" s="51">
        <v>1.55</v>
      </c>
      <c r="K13" s="51">
        <v>233.5</v>
      </c>
      <c r="L13" s="51">
        <v>43.43</v>
      </c>
      <c r="M13" s="51">
        <v>59.83</v>
      </c>
      <c r="N13" s="51">
        <v>126.60</v>
      </c>
      <c r="O13" s="51">
        <v>0</v>
      </c>
      <c r="P13" s="51">
        <v>1.63</v>
      </c>
      <c r="Q13" s="51">
        <v>75.06</v>
      </c>
      <c r="R13" s="43"/>
      <c r="S13" s="43"/>
      <c r="T13" s="43"/>
      <c r="U13" s="43"/>
    </row>
    <row r="14" spans="1:21" s="11" customFormat="1" ht="15">
      <c r="A14" s="50" t="s">
        <v>210</v>
      </c>
      <c r="B14" s="51">
        <v>1.08</v>
      </c>
      <c r="C14" s="51">
        <v>23.19</v>
      </c>
      <c r="D14" s="51">
        <v>24.17</v>
      </c>
      <c r="E14" s="51">
        <v>6.64</v>
      </c>
      <c r="F14" s="51">
        <v>1.92</v>
      </c>
      <c r="G14" s="51">
        <v>78.37</v>
      </c>
      <c r="H14" s="51">
        <v>34.40</v>
      </c>
      <c r="I14" s="51">
        <v>4.76</v>
      </c>
      <c r="J14" s="51">
        <v>0.80</v>
      </c>
      <c r="K14" s="51">
        <v>296.08</v>
      </c>
      <c r="L14" s="51">
        <v>38.53</v>
      </c>
      <c r="M14" s="51">
        <v>58.36</v>
      </c>
      <c r="N14" s="51">
        <v>125.80</v>
      </c>
      <c r="O14" s="51">
        <v>0</v>
      </c>
      <c r="P14" s="51">
        <v>1.66</v>
      </c>
      <c r="Q14" s="51">
        <v>74.47</v>
      </c>
      <c r="R14" s="43"/>
      <c r="S14" s="43"/>
      <c r="T14" s="43"/>
      <c r="U14" s="43"/>
    </row>
    <row r="15" spans="1:21" s="11" customFormat="1" ht="15">
      <c r="A15" s="50" t="s">
        <v>211</v>
      </c>
      <c r="B15" s="51">
        <v>1.97</v>
      </c>
      <c r="C15" s="51">
        <v>25.75</v>
      </c>
      <c r="D15" s="51">
        <v>27.71</v>
      </c>
      <c r="E15" s="51">
        <v>6.58</v>
      </c>
      <c r="F15" s="51">
        <v>1.54</v>
      </c>
      <c r="G15" s="51">
        <v>78.33</v>
      </c>
      <c r="H15" s="51">
        <v>34.06</v>
      </c>
      <c r="I15" s="51">
        <v>5.29</v>
      </c>
      <c r="J15" s="51">
        <v>1.08</v>
      </c>
      <c r="K15" s="51">
        <v>311.26</v>
      </c>
      <c r="L15" s="51">
        <v>38.520000000000003</v>
      </c>
      <c r="M15" s="51">
        <v>56.30</v>
      </c>
      <c r="N15" s="51">
        <v>353.60</v>
      </c>
      <c r="O15" s="51">
        <v>0</v>
      </c>
      <c r="P15" s="51">
        <v>1.74</v>
      </c>
      <c r="Q15" s="51">
        <v>54.42</v>
      </c>
      <c r="R15" s="43"/>
      <c r="S15" s="43"/>
      <c r="T15" s="43"/>
      <c r="U15" s="43"/>
    </row>
    <row r="16" spans="1:21" s="11" customFormat="1" ht="15">
      <c r="A16" s="50" t="s">
        <v>212</v>
      </c>
      <c r="B16" s="51">
        <v>1.94</v>
      </c>
      <c r="C16" s="51">
        <v>32.94</v>
      </c>
      <c r="D16" s="51">
        <v>34.159999999999997</v>
      </c>
      <c r="E16" s="51">
        <v>5.98</v>
      </c>
      <c r="F16" s="51">
        <v>2.69</v>
      </c>
      <c r="G16" s="51">
        <v>101.54</v>
      </c>
      <c r="H16" s="51">
        <v>44.28</v>
      </c>
      <c r="I16" s="51">
        <v>5.73</v>
      </c>
      <c r="J16" s="51">
        <v>0.47</v>
      </c>
      <c r="K16" s="51">
        <v>235.66</v>
      </c>
      <c r="L16" s="51">
        <v>38.54</v>
      </c>
      <c r="M16" s="51">
        <v>53.81</v>
      </c>
      <c r="N16" s="51">
        <v>559.5</v>
      </c>
      <c r="O16" s="51">
        <v>0</v>
      </c>
      <c r="P16" s="51">
        <v>1.85</v>
      </c>
      <c r="Q16" s="51">
        <v>71.78</v>
      </c>
      <c r="R16" s="43"/>
      <c r="S16" s="43"/>
      <c r="T16" s="43"/>
      <c r="U16" s="43"/>
    </row>
    <row r="17" spans="1:21" s="11" customFormat="1" ht="15">
      <c r="A17" s="50" t="s">
        <v>213</v>
      </c>
      <c r="B17" s="51">
        <v>1.01</v>
      </c>
      <c r="C17" s="51">
        <v>32.15</v>
      </c>
      <c r="D17" s="51">
        <v>33.159999999999997</v>
      </c>
      <c r="E17" s="51">
        <v>5.5</v>
      </c>
      <c r="F17" s="51">
        <v>3.17</v>
      </c>
      <c r="G17" s="51">
        <v>111.20</v>
      </c>
      <c r="H17" s="51">
        <v>46.23</v>
      </c>
      <c r="I17" s="51">
        <v>7.19</v>
      </c>
      <c r="J17" s="51">
        <v>0.61</v>
      </c>
      <c r="K17" s="51">
        <v>248.82</v>
      </c>
      <c r="L17" s="51">
        <v>41.25</v>
      </c>
      <c r="M17" s="51">
        <v>47.43</v>
      </c>
      <c r="N17" s="51">
        <v>786.70</v>
      </c>
      <c r="O17" s="51">
        <v>0</v>
      </c>
      <c r="P17" s="51">
        <v>1.98</v>
      </c>
      <c r="Q17" s="51">
        <v>73.569999999999993</v>
      </c>
      <c r="R17" s="43"/>
      <c r="S17" s="43"/>
      <c r="T17" s="43"/>
      <c r="U17" s="43"/>
    </row>
    <row r="18" spans="1:21" s="11" customFormat="1" ht="15">
      <c r="A18" s="50" t="s">
        <v>214</v>
      </c>
      <c r="B18" s="51">
        <v>1.35</v>
      </c>
      <c r="C18" s="51">
        <v>34.82</v>
      </c>
      <c r="D18" s="51">
        <v>36.07</v>
      </c>
      <c r="E18" s="51">
        <v>5.58</v>
      </c>
      <c r="F18" s="51">
        <v>3.47</v>
      </c>
      <c r="G18" s="51">
        <v>113.31</v>
      </c>
      <c r="H18" s="51">
        <v>48.20</v>
      </c>
      <c r="I18" s="51">
        <v>8.40</v>
      </c>
      <c r="J18" s="51">
        <v>2.11</v>
      </c>
      <c r="K18" s="51">
        <v>339.75</v>
      </c>
      <c r="L18" s="51">
        <v>48.42</v>
      </c>
      <c r="M18" s="51">
        <v>39.65</v>
      </c>
      <c r="N18" s="51">
        <v>909</v>
      </c>
      <c r="O18" s="51">
        <v>0</v>
      </c>
      <c r="P18" s="51">
        <v>2.14</v>
      </c>
      <c r="Q18" s="51">
        <v>58.5</v>
      </c>
      <c r="R18" s="43"/>
      <c r="S18" s="43"/>
      <c r="T18" s="43"/>
      <c r="U18" s="43"/>
    </row>
    <row r="19" spans="1:21" s="11" customFormat="1" ht="15">
      <c r="A19" s="50" t="s">
        <v>215</v>
      </c>
      <c r="B19" s="51">
        <v>1.54</v>
      </c>
      <c r="C19" s="51">
        <v>35.49</v>
      </c>
      <c r="D19" s="51">
        <v>37.020000000000003</v>
      </c>
      <c r="E19" s="51">
        <v>5.63</v>
      </c>
      <c r="F19" s="51">
        <v>4.05</v>
      </c>
      <c r="G19" s="51">
        <v>120.92</v>
      </c>
      <c r="H19" s="51">
        <v>47.34</v>
      </c>
      <c r="I19" s="51">
        <v>8.3699999999999992</v>
      </c>
      <c r="J19" s="51">
        <v>2.82</v>
      </c>
      <c r="K19" s="51">
        <v>345.27</v>
      </c>
      <c r="L19" s="51">
        <v>53.05</v>
      </c>
      <c r="M19" s="51">
        <v>27.23</v>
      </c>
      <c r="N19" s="51">
        <v>1015.90</v>
      </c>
      <c r="O19" s="51">
        <v>0</v>
      </c>
      <c r="P19" s="51">
        <v>2.14</v>
      </c>
      <c r="Q19" s="51">
        <v>57.15</v>
      </c>
      <c r="R19" s="43"/>
      <c r="S19" s="43"/>
      <c r="T19" s="43"/>
      <c r="U19" s="43"/>
    </row>
    <row r="20" spans="1:21" s="11" customFormat="1" ht="15">
      <c r="A20" s="50" t="s">
        <v>216</v>
      </c>
      <c r="B20" s="51">
        <v>2.2400000000000002</v>
      </c>
      <c r="C20" s="51">
        <v>40.840000000000003</v>
      </c>
      <c r="D20" s="51">
        <v>42.77</v>
      </c>
      <c r="E20" s="51">
        <v>6.05</v>
      </c>
      <c r="F20" s="51">
        <v>3.62</v>
      </c>
      <c r="G20" s="51">
        <v>121.56</v>
      </c>
      <c r="H20" s="51">
        <v>43.93</v>
      </c>
      <c r="I20" s="51">
        <v>6.97</v>
      </c>
      <c r="J20" s="51">
        <v>2.87</v>
      </c>
      <c r="K20" s="51">
        <v>357.89</v>
      </c>
      <c r="L20" s="51">
        <v>52.94</v>
      </c>
      <c r="M20" s="51">
        <v>20.12</v>
      </c>
      <c r="N20" s="51">
        <v>1056.70</v>
      </c>
      <c r="O20" s="51">
        <v>0</v>
      </c>
      <c r="P20" s="51">
        <v>2.10</v>
      </c>
      <c r="Q20" s="51">
        <v>53.95</v>
      </c>
      <c r="R20" s="43"/>
      <c r="S20" s="43"/>
      <c r="T20" s="43"/>
      <c r="U20" s="43"/>
    </row>
    <row r="21" spans="1:21" s="11" customFormat="1" ht="15">
      <c r="A21" s="50" t="s">
        <v>217</v>
      </c>
      <c r="B21" s="51">
        <v>1.55</v>
      </c>
      <c r="C21" s="51">
        <v>45.28</v>
      </c>
      <c r="D21" s="51">
        <v>46.83</v>
      </c>
      <c r="E21" s="51">
        <v>6</v>
      </c>
      <c r="F21" s="51">
        <v>5.64</v>
      </c>
      <c r="G21" s="51">
        <v>122.99</v>
      </c>
      <c r="H21" s="51">
        <v>45.02</v>
      </c>
      <c r="I21" s="51">
        <v>6.18</v>
      </c>
      <c r="J21" s="51">
        <v>1.99</v>
      </c>
      <c r="K21" s="51">
        <v>353.76</v>
      </c>
      <c r="L21" s="51">
        <v>54.97</v>
      </c>
      <c r="M21" s="51">
        <v>19.079999999999998</v>
      </c>
      <c r="N21" s="51">
        <v>1169.30</v>
      </c>
      <c r="O21" s="51">
        <v>0</v>
      </c>
      <c r="P21" s="51">
        <v>2.09</v>
      </c>
      <c r="Q21" s="51">
        <v>75.27</v>
      </c>
      <c r="R21" s="43"/>
      <c r="S21" s="43"/>
      <c r="T21" s="43"/>
      <c r="U21" s="43"/>
    </row>
    <row r="22" spans="1:21" s="11" customFormat="1" ht="15">
      <c r="A22" s="50" t="s">
        <v>218</v>
      </c>
      <c r="B22" s="51">
        <v>1.1599999999999999</v>
      </c>
      <c r="C22" s="51">
        <v>44.66</v>
      </c>
      <c r="D22" s="51">
        <v>45.71</v>
      </c>
      <c r="E22" s="51">
        <v>6.06</v>
      </c>
      <c r="F22" s="51">
        <v>6.09</v>
      </c>
      <c r="G22" s="51">
        <v>122.83</v>
      </c>
      <c r="H22" s="51">
        <v>43.84</v>
      </c>
      <c r="I22" s="4" t="s">
        <v>18</v>
      </c>
      <c r="J22" s="51">
        <v>2.4300000000000002</v>
      </c>
      <c r="K22" s="51">
        <v>344.23</v>
      </c>
      <c r="L22" s="51">
        <v>52.28</v>
      </c>
      <c r="M22" s="51">
        <v>15.84</v>
      </c>
      <c r="N22" s="51">
        <v>990.70</v>
      </c>
      <c r="O22" s="51">
        <v>0</v>
      </c>
      <c r="P22" s="51">
        <v>2.0499999999999998</v>
      </c>
      <c r="Q22" s="51">
        <v>77.88</v>
      </c>
      <c r="R22" s="43"/>
      <c r="S22" s="43"/>
      <c r="T22" s="43"/>
      <c r="U22" s="43"/>
    </row>
    <row r="23" spans="1:21" s="11" customFormat="1" ht="15">
      <c r="A23" s="50" t="s">
        <v>219</v>
      </c>
      <c r="B23" s="51">
        <v>3.17</v>
      </c>
      <c r="C23" s="51">
        <v>48.69</v>
      </c>
      <c r="D23" s="51">
        <v>51.86</v>
      </c>
      <c r="E23" s="51">
        <v>5.77</v>
      </c>
      <c r="F23" s="51">
        <v>8.4700000000000006</v>
      </c>
      <c r="G23" s="51">
        <v>126.10</v>
      </c>
      <c r="H23" s="51">
        <v>38.39</v>
      </c>
      <c r="I23" s="4" t="s">
        <v>18</v>
      </c>
      <c r="J23" s="51">
        <v>3.01</v>
      </c>
      <c r="K23" s="51">
        <v>343.82</v>
      </c>
      <c r="L23" s="51">
        <v>51.55</v>
      </c>
      <c r="M23" s="51">
        <v>15.87</v>
      </c>
      <c r="N23" s="51">
        <v>901.5</v>
      </c>
      <c r="O23" s="51">
        <v>0</v>
      </c>
      <c r="P23" s="51">
        <v>1.98</v>
      </c>
      <c r="Q23" s="51">
        <v>94.90</v>
      </c>
      <c r="R23" s="43"/>
      <c r="S23" s="43"/>
      <c r="T23" s="43"/>
      <c r="U23" s="43"/>
    </row>
    <row r="24" spans="1:21" s="11" customFormat="1" ht="15">
      <c r="A24" s="50" t="s">
        <v>220</v>
      </c>
      <c r="B24" s="51">
        <v>2.5299999999999998</v>
      </c>
      <c r="C24" s="51">
        <v>56.13</v>
      </c>
      <c r="D24" s="51">
        <v>58.66</v>
      </c>
      <c r="E24" s="51">
        <v>4.72</v>
      </c>
      <c r="F24" s="51">
        <v>6.67</v>
      </c>
      <c r="G24" s="51">
        <v>123.27</v>
      </c>
      <c r="H24" s="51">
        <v>36.75</v>
      </c>
      <c r="I24" s="51">
        <v>4.6100000000000003</v>
      </c>
      <c r="J24" s="51">
        <v>3.09</v>
      </c>
      <c r="K24" s="51">
        <v>344.89</v>
      </c>
      <c r="L24" s="51">
        <v>59.59</v>
      </c>
      <c r="M24" s="51">
        <v>14.42</v>
      </c>
      <c r="N24" s="51">
        <v>878.70</v>
      </c>
      <c r="O24" s="51">
        <v>0</v>
      </c>
      <c r="P24" s="51">
        <v>1.87</v>
      </c>
      <c r="Q24" s="51">
        <v>116.90</v>
      </c>
      <c r="R24" s="43"/>
      <c r="S24" s="43"/>
      <c r="T24" s="43"/>
      <c r="U24" s="43"/>
    </row>
    <row r="25" spans="1:21" s="11" customFormat="1" ht="15">
      <c r="A25" s="50" t="s">
        <v>221</v>
      </c>
      <c r="B25" s="51">
        <v>2.77</v>
      </c>
      <c r="C25" s="51">
        <v>44</v>
      </c>
      <c r="D25" s="51">
        <v>46.58</v>
      </c>
      <c r="E25" s="51">
        <v>5.1100000000000003</v>
      </c>
      <c r="F25" s="51">
        <v>3.09</v>
      </c>
      <c r="G25" s="51">
        <v>112.91</v>
      </c>
      <c r="H25" s="51">
        <v>34.69</v>
      </c>
      <c r="I25" s="51">
        <v>4.51</v>
      </c>
      <c r="J25" s="51">
        <v>3</v>
      </c>
      <c r="K25" s="51">
        <v>342.28</v>
      </c>
      <c r="L25" s="51">
        <v>55.18</v>
      </c>
      <c r="M25" s="51">
        <v>15.5</v>
      </c>
      <c r="N25" s="51">
        <v>491.30</v>
      </c>
      <c r="O25" s="51">
        <v>0</v>
      </c>
      <c r="P25" s="51">
        <v>1.75</v>
      </c>
      <c r="Q25" s="51">
        <v>137.47</v>
      </c>
      <c r="R25" s="43"/>
      <c r="S25" s="43"/>
      <c r="T25" s="43"/>
      <c r="U25" s="43"/>
    </row>
    <row r="26" spans="1:21" s="11" customFormat="1" ht="15">
      <c r="A26" s="50" t="s">
        <v>222</v>
      </c>
      <c r="B26" s="51">
        <v>9.4499999999999993</v>
      </c>
      <c r="C26" s="51">
        <v>47.66</v>
      </c>
      <c r="D26" s="51">
        <v>57.11</v>
      </c>
      <c r="E26" s="51">
        <v>5.18</v>
      </c>
      <c r="F26" s="51">
        <v>2.27</v>
      </c>
      <c r="G26" s="51">
        <v>108.31</v>
      </c>
      <c r="H26" s="51">
        <v>29.20</v>
      </c>
      <c r="I26" s="51">
        <v>5.29</v>
      </c>
      <c r="J26" s="51">
        <v>2.64</v>
      </c>
      <c r="K26" s="51">
        <v>337.47</v>
      </c>
      <c r="L26" s="51">
        <v>52.90</v>
      </c>
      <c r="M26" s="51">
        <v>26.68</v>
      </c>
      <c r="N26" s="51">
        <v>333.30</v>
      </c>
      <c r="O26" s="51">
        <v>0</v>
      </c>
      <c r="P26" s="51">
        <v>2.02</v>
      </c>
      <c r="Q26" s="51">
        <v>134.30000000000001</v>
      </c>
      <c r="R26" s="43"/>
      <c r="S26" s="43"/>
      <c r="T26" s="43"/>
      <c r="U26" s="43"/>
    </row>
    <row r="27" spans="1:21" s="11" customFormat="1" ht="15">
      <c r="A27" s="50" t="s">
        <v>223</v>
      </c>
      <c r="B27" s="51">
        <v>37.51</v>
      </c>
      <c r="C27" s="51">
        <v>59.53</v>
      </c>
      <c r="D27" s="51">
        <v>97.05</v>
      </c>
      <c r="E27" s="51">
        <v>5.5</v>
      </c>
      <c r="F27" s="51">
        <v>1.44</v>
      </c>
      <c r="G27" s="51">
        <v>116.05</v>
      </c>
      <c r="H27" s="51">
        <v>28.21</v>
      </c>
      <c r="I27" s="51">
        <v>6.87</v>
      </c>
      <c r="J27" s="51">
        <v>1.71</v>
      </c>
      <c r="K27" s="51">
        <v>351.90</v>
      </c>
      <c r="L27" s="51">
        <v>44.14</v>
      </c>
      <c r="M27" s="51">
        <v>36.04</v>
      </c>
      <c r="N27" s="51">
        <v>257.80</v>
      </c>
      <c r="O27" s="51">
        <v>0</v>
      </c>
      <c r="P27" s="51">
        <v>2.69</v>
      </c>
      <c r="Q27" s="51">
        <v>134.86000000000001</v>
      </c>
      <c r="R27" s="43"/>
      <c r="S27" s="43"/>
      <c r="T27" s="43"/>
      <c r="U27" s="43"/>
    </row>
    <row r="28" spans="1:21" s="11" customFormat="1" ht="15">
      <c r="A28" s="50" t="s">
        <v>224</v>
      </c>
      <c r="B28" s="51">
        <v>91.85</v>
      </c>
      <c r="C28" s="51">
        <v>65.989999999999995</v>
      </c>
      <c r="D28" s="51">
        <v>157.84</v>
      </c>
      <c r="E28" s="51">
        <v>6.96</v>
      </c>
      <c r="F28" s="51">
        <v>1.41</v>
      </c>
      <c r="G28" s="51">
        <v>275.08999999999997</v>
      </c>
      <c r="H28" s="51">
        <v>45.51</v>
      </c>
      <c r="I28" s="51">
        <v>15.71</v>
      </c>
      <c r="J28" s="51">
        <v>1</v>
      </c>
      <c r="K28" s="51">
        <v>354.59</v>
      </c>
      <c r="L28" s="51">
        <v>45.42</v>
      </c>
      <c r="M28" s="51">
        <v>38.85</v>
      </c>
      <c r="N28" s="51">
        <v>271</v>
      </c>
      <c r="O28" s="51">
        <v>0</v>
      </c>
      <c r="P28" s="51">
        <v>3.86</v>
      </c>
      <c r="Q28" s="51">
        <v>152.96</v>
      </c>
      <c r="R28" s="43"/>
      <c r="S28" s="43"/>
      <c r="T28" s="43"/>
      <c r="U28" s="43"/>
    </row>
    <row r="29" spans="1:21" s="11" customFormat="1" ht="15">
      <c r="A29" s="50" t="s">
        <v>225</v>
      </c>
      <c r="B29" s="51">
        <v>131.22</v>
      </c>
      <c r="C29" s="51">
        <v>67.569999999999993</v>
      </c>
      <c r="D29" s="51">
        <v>198.79</v>
      </c>
      <c r="E29" s="51">
        <v>7.65</v>
      </c>
      <c r="F29" s="51">
        <v>0.38</v>
      </c>
      <c r="G29" s="9" t="s">
        <v>15</v>
      </c>
      <c r="H29" s="9" t="s">
        <v>15</v>
      </c>
      <c r="I29" s="51">
        <v>19.920000000000002</v>
      </c>
      <c r="J29" s="51">
        <v>1.95</v>
      </c>
      <c r="K29" s="51">
        <v>181.01</v>
      </c>
      <c r="L29" s="51">
        <v>46.04</v>
      </c>
      <c r="M29" s="51">
        <v>31.5</v>
      </c>
      <c r="N29" s="51">
        <v>278.20</v>
      </c>
      <c r="O29" s="51">
        <v>0</v>
      </c>
      <c r="P29" s="51">
        <v>4.12</v>
      </c>
      <c r="Q29" s="51">
        <v>177.53</v>
      </c>
      <c r="R29" s="43"/>
      <c r="S29" s="43"/>
      <c r="T29" s="43"/>
      <c r="U29" s="43"/>
    </row>
    <row r="30" spans="1:21" s="11" customFormat="1" ht="15">
      <c r="A30" s="50" t="s">
        <v>226</v>
      </c>
      <c r="B30" s="51">
        <v>139.72</v>
      </c>
      <c r="C30" s="51">
        <v>66.48</v>
      </c>
      <c r="D30" s="51">
        <v>204.31</v>
      </c>
      <c r="E30" s="51">
        <v>8.16</v>
      </c>
      <c r="F30" s="51">
        <v>0.45</v>
      </c>
      <c r="G30" s="9" t="s">
        <v>15</v>
      </c>
      <c r="H30" s="9" t="s">
        <v>15</v>
      </c>
      <c r="I30" s="51">
        <v>19.399999999999999</v>
      </c>
      <c r="J30" s="51">
        <v>1.38</v>
      </c>
      <c r="K30" s="51">
        <v>358.92</v>
      </c>
      <c r="L30" s="51">
        <v>45.07</v>
      </c>
      <c r="M30" s="51">
        <v>39.119999999999997</v>
      </c>
      <c r="N30" s="51">
        <v>295.30</v>
      </c>
      <c r="O30" s="51">
        <v>0</v>
      </c>
      <c r="P30" s="51">
        <v>4.49</v>
      </c>
      <c r="Q30" s="51">
        <v>184.10</v>
      </c>
      <c r="R30" s="43"/>
      <c r="S30" s="43"/>
      <c r="T30" s="43"/>
      <c r="U30" s="43"/>
    </row>
    <row r="31" spans="1:21" s="11" customFormat="1" ht="15">
      <c r="A31" s="50" t="s">
        <v>227</v>
      </c>
      <c r="B31" s="51">
        <v>167.28</v>
      </c>
      <c r="C31" s="51">
        <v>63.53</v>
      </c>
      <c r="D31" s="51">
        <v>230.81</v>
      </c>
      <c r="E31" s="51">
        <v>8.3800000000000008</v>
      </c>
      <c r="F31" s="51">
        <v>0.39</v>
      </c>
      <c r="G31" s="9" t="s">
        <v>15</v>
      </c>
      <c r="H31" s="9" t="s">
        <v>15</v>
      </c>
      <c r="I31" s="51">
        <v>22.48</v>
      </c>
      <c r="J31" s="51">
        <v>1.05</v>
      </c>
      <c r="K31" s="51">
        <v>359.27</v>
      </c>
      <c r="L31" s="51">
        <v>35.35</v>
      </c>
      <c r="M31" s="51">
        <v>38.47</v>
      </c>
      <c r="N31" s="51">
        <v>324.39999999999998</v>
      </c>
      <c r="O31" s="51">
        <v>0</v>
      </c>
      <c r="P31" s="51">
        <v>5.13</v>
      </c>
      <c r="Q31" s="51">
        <v>183.61</v>
      </c>
      <c r="R31" s="43"/>
      <c r="S31" s="43"/>
      <c r="T31" s="43"/>
      <c r="U31" s="43"/>
    </row>
    <row r="32" spans="1:21" s="11" customFormat="1" ht="15">
      <c r="A32" s="50" t="s">
        <v>228</v>
      </c>
      <c r="B32" s="51">
        <v>175.42</v>
      </c>
      <c r="C32" s="51">
        <v>63.81</v>
      </c>
      <c r="D32" s="51">
        <v>238.74</v>
      </c>
      <c r="E32" s="51">
        <v>8.25</v>
      </c>
      <c r="F32" s="51">
        <v>0.78</v>
      </c>
      <c r="G32" s="9" t="s">
        <v>15</v>
      </c>
      <c r="H32" s="9" t="s">
        <v>15</v>
      </c>
      <c r="I32" s="51">
        <v>23.60</v>
      </c>
      <c r="J32" s="51">
        <v>0.80</v>
      </c>
      <c r="K32" s="51">
        <v>270.66000000000003</v>
      </c>
      <c r="L32" s="51">
        <v>51.38</v>
      </c>
      <c r="M32" s="51">
        <v>39.99</v>
      </c>
      <c r="N32" s="51">
        <v>360.20</v>
      </c>
      <c r="O32" s="51">
        <v>0</v>
      </c>
      <c r="P32" s="51">
        <v>5.20</v>
      </c>
      <c r="Q32" s="51">
        <v>186.45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0.69999999999999996</v>
      </c>
      <c r="C34" s="28">
        <f t="shared" si="0"/>
        <v>18.539999999999999</v>
      </c>
      <c r="D34" s="28">
        <f t="shared" si="0"/>
        <v>19.640000000000001</v>
      </c>
      <c r="E34" s="28">
        <f t="shared" si="0"/>
        <v>4.7199999999999998</v>
      </c>
      <c r="F34" s="28">
        <f t="shared" si="0"/>
        <v>0.38</v>
      </c>
      <c r="G34" s="28">
        <f t="shared" si="0"/>
        <v>75.549999999999997</v>
      </c>
      <c r="H34" s="28">
        <f t="shared" si="0"/>
        <v>28.210000000000001</v>
      </c>
      <c r="I34" s="28">
        <f t="shared" si="0"/>
        <v>4.5099999999999998</v>
      </c>
      <c r="J34" s="28">
        <f t="shared" si="0"/>
        <v>0.46999999999999997</v>
      </c>
      <c r="K34" s="28">
        <f t="shared" si="0"/>
        <v>179.38</v>
      </c>
      <c r="L34" s="28">
        <f t="shared" si="0"/>
        <v>35.350000000000001</v>
      </c>
      <c r="M34" s="28">
        <f t="shared" si="0"/>
        <v>14.42</v>
      </c>
      <c r="N34" s="28">
        <f t="shared" si="0"/>
        <v>53.899999999999999</v>
      </c>
      <c r="O34" s="28">
        <f t="shared" si="0"/>
        <v>0</v>
      </c>
      <c r="P34" s="28">
        <f t="shared" si="0"/>
        <v>1.6000000000000001</v>
      </c>
      <c r="Q34" s="28">
        <f t="shared" si="0"/>
        <v>53.950000000000003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175.41999999999999</v>
      </c>
      <c r="C35" s="29">
        <f t="shared" si="1"/>
        <v>67.569999999999993</v>
      </c>
      <c r="D35" s="29">
        <f t="shared" si="1"/>
        <v>238.74000000000001</v>
      </c>
      <c r="E35" s="29">
        <f t="shared" si="1"/>
        <v>8.3800000000000008</v>
      </c>
      <c r="F35" s="29">
        <f t="shared" si="1"/>
        <v>8.4700000000000006</v>
      </c>
      <c r="G35" s="29">
        <f t="shared" si="1"/>
        <v>275.08999999999997</v>
      </c>
      <c r="H35" s="29">
        <f t="shared" si="1"/>
        <v>48.200000000000003</v>
      </c>
      <c r="I35" s="29">
        <f t="shared" si="1"/>
        <v>23.600000000000001</v>
      </c>
      <c r="J35" s="29">
        <f t="shared" si="1"/>
        <v>3.0899999999999999</v>
      </c>
      <c r="K35" s="29">
        <f t="shared" si="1"/>
        <v>359.26999999999998</v>
      </c>
      <c r="L35" s="29">
        <f t="shared" si="1"/>
        <v>59.590000000000003</v>
      </c>
      <c r="M35" s="29">
        <f t="shared" si="1"/>
        <v>59.829999999999998</v>
      </c>
      <c r="N35" s="29">
        <f t="shared" si="1"/>
        <v>1169.3</v>
      </c>
      <c r="O35" s="29">
        <f t="shared" si="1"/>
        <v>0</v>
      </c>
      <c r="P35" s="29">
        <f t="shared" si="1"/>
        <v>5.2000000000000002</v>
      </c>
      <c r="Q35" s="29">
        <f t="shared" si="1"/>
        <v>186.44999999999999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32.495416666666664</v>
      </c>
      <c r="C36" s="28">
        <f t="shared" si="2"/>
        <v>41.921249999999993</v>
      </c>
      <c r="D36" s="28">
        <f t="shared" si="2"/>
        <v>74.228333333333339</v>
      </c>
      <c r="E36" s="28">
        <f t="shared" si="2"/>
        <v>6.4774999999999991</v>
      </c>
      <c r="F36" s="28">
        <f t="shared" si="2"/>
        <v>2.7325000000000004</v>
      </c>
      <c r="G36" s="28">
        <f t="shared" si="2"/>
        <v>113.08699999999999</v>
      </c>
      <c r="H36" s="28">
        <f t="shared" si="2"/>
        <v>38.552000000000007</v>
      </c>
      <c r="I36" s="28">
        <f t="shared" si="2"/>
        <v>9.0522727272727277</v>
      </c>
      <c r="J36" s="28">
        <f t="shared" si="2"/>
        <v>1.8591666666666669</v>
      </c>
      <c r="K36" s="28">
        <f t="shared" si="2"/>
        <v>297.57249999999999</v>
      </c>
      <c r="L36" s="28">
        <f t="shared" si="2"/>
        <v>46.563333333333333</v>
      </c>
      <c r="M36" s="28">
        <f t="shared" si="2"/>
        <v>38.075833333333335</v>
      </c>
      <c r="N36" s="28">
        <f t="shared" si="2"/>
        <v>494.70833333333326</v>
      </c>
      <c r="O36" s="28">
        <f t="shared" si="2"/>
        <v>0</v>
      </c>
      <c r="P36" s="28">
        <f t="shared" si="2"/>
        <v>2.456666666666667</v>
      </c>
      <c r="Q36" s="28">
        <f t="shared" si="2"/>
        <v>102.90458333333335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59.02740962277916</v>
      </c>
      <c r="C37" s="28">
        <f t="shared" si="3" ref="C37:Q37">STDEV(C9:C32)</f>
        <v>16.665645035717088</v>
      </c>
      <c r="D37" s="28">
        <f t="shared" si="3"/>
        <v>72.269321512548174</v>
      </c>
      <c r="E37" s="28">
        <f t="shared" si="3"/>
        <v>1.0483040133224011</v>
      </c>
      <c r="F37" s="28">
        <f t="shared" si="3"/>
        <v>2.1309606937390626</v>
      </c>
      <c r="G37" s="28">
        <f t="shared" si="3"/>
        <v>42.113279828276731</v>
      </c>
      <c r="H37" s="28">
        <f t="shared" si="3"/>
        <v>6.6542828313800531</v>
      </c>
      <c r="I37" s="28">
        <f t="shared" si="3"/>
        <v>6.4469933426499795</v>
      </c>
      <c r="J37" s="28">
        <f t="shared" si="3"/>
        <v>0.83115904754676118</v>
      </c>
      <c r="K37" s="28">
        <f t="shared" si="3"/>
        <v>63.611013146138973</v>
      </c>
      <c r="L37" s="28">
        <f t="shared" si="3"/>
        <v>6.5234324564980914</v>
      </c>
      <c r="M37" s="28">
        <f t="shared" si="3"/>
        <v>15.815588599657707</v>
      </c>
      <c r="N37" s="28">
        <f t="shared" si="3"/>
        <v>364.52739494675399</v>
      </c>
      <c r="O37" s="28">
        <f t="shared" si="3"/>
        <v>0</v>
      </c>
      <c r="P37" s="28">
        <f t="shared" si="3"/>
        <v>1.1559248759502396</v>
      </c>
      <c r="Q37" s="28">
        <f t="shared" si="3"/>
        <v>46.150635303853285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20</v>
      </c>
      <c r="H38" s="32">
        <f t="shared" si="4"/>
        <v>20</v>
      </c>
      <c r="I38" s="32">
        <f>COUNT(I9:I32)+2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fea4c9-c53e-49d4-a2a8-9f7a5ef6c410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18" sqref="L1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229</v>
      </c>
      <c r="B9" s="51">
        <v>159.55000000000001</v>
      </c>
      <c r="C9" s="51">
        <v>59.64</v>
      </c>
      <c r="D9" s="51">
        <v>219.19</v>
      </c>
      <c r="E9" s="51">
        <v>8.25</v>
      </c>
      <c r="F9" s="51">
        <v>0.19</v>
      </c>
      <c r="G9" s="51">
        <v>308.87</v>
      </c>
      <c r="H9" s="51">
        <v>78.069999999999993</v>
      </c>
      <c r="I9" s="51">
        <v>22.69</v>
      </c>
      <c r="J9" s="51">
        <v>2.65</v>
      </c>
      <c r="K9" s="51">
        <v>259.99</v>
      </c>
      <c r="L9" s="9" t="s">
        <v>15</v>
      </c>
      <c r="M9" s="51">
        <v>34.450000000000003</v>
      </c>
      <c r="N9" s="51">
        <v>280</v>
      </c>
      <c r="O9" s="51">
        <v>0</v>
      </c>
      <c r="P9" s="51">
        <v>4.70</v>
      </c>
      <c r="Q9" s="51">
        <v>155.44</v>
      </c>
      <c r="R9" s="43"/>
      <c r="S9" s="43"/>
      <c r="T9" s="43"/>
      <c r="U9" s="43"/>
    </row>
    <row r="10" spans="1:21" s="11" customFormat="1" ht="15">
      <c r="A10" s="50" t="s">
        <v>230</v>
      </c>
      <c r="B10" s="51">
        <v>109.70</v>
      </c>
      <c r="C10" s="51">
        <v>53.65</v>
      </c>
      <c r="D10" s="51">
        <v>163.35</v>
      </c>
      <c r="E10" s="51">
        <v>7.99</v>
      </c>
      <c r="F10" s="51">
        <v>0.84</v>
      </c>
      <c r="G10" s="51">
        <v>221.47</v>
      </c>
      <c r="H10" s="51">
        <v>73.489999999999995</v>
      </c>
      <c r="I10" s="51">
        <v>19.25</v>
      </c>
      <c r="J10" s="51">
        <v>1.86</v>
      </c>
      <c r="K10" s="51">
        <v>271.77</v>
      </c>
      <c r="L10" s="9" t="s">
        <v>15</v>
      </c>
      <c r="M10" s="51">
        <v>34.31</v>
      </c>
      <c r="N10" s="51">
        <v>204.5</v>
      </c>
      <c r="O10" s="51">
        <v>0</v>
      </c>
      <c r="P10" s="51">
        <v>3.92</v>
      </c>
      <c r="Q10" s="51">
        <v>148.30000000000001</v>
      </c>
      <c r="R10" s="43"/>
      <c r="S10" s="43"/>
      <c r="T10" s="43"/>
      <c r="U10" s="43"/>
    </row>
    <row r="11" spans="1:21" s="11" customFormat="1" ht="15">
      <c r="A11" s="50" t="s">
        <v>231</v>
      </c>
      <c r="B11" s="51">
        <v>66.290000000000006</v>
      </c>
      <c r="C11" s="51">
        <v>45.73</v>
      </c>
      <c r="D11" s="51">
        <v>112.02</v>
      </c>
      <c r="E11" s="51">
        <v>7.52</v>
      </c>
      <c r="F11" s="51">
        <v>0.40</v>
      </c>
      <c r="G11" s="51">
        <v>110.71</v>
      </c>
      <c r="H11" s="51">
        <v>59.30</v>
      </c>
      <c r="I11" s="51">
        <v>15.78</v>
      </c>
      <c r="J11" s="51">
        <v>1.42</v>
      </c>
      <c r="K11" s="51">
        <v>282.02</v>
      </c>
      <c r="L11" s="9" t="s">
        <v>15</v>
      </c>
      <c r="M11" s="51">
        <v>42.91</v>
      </c>
      <c r="N11" s="51">
        <v>187.40</v>
      </c>
      <c r="O11" s="51">
        <v>0</v>
      </c>
      <c r="P11" s="51">
        <v>3.20</v>
      </c>
      <c r="Q11" s="51">
        <v>131.49</v>
      </c>
      <c r="R11" s="43"/>
      <c r="S11" s="43"/>
      <c r="T11" s="43"/>
      <c r="U11" s="43"/>
    </row>
    <row r="12" spans="1:21" s="11" customFormat="1" ht="15">
      <c r="A12" s="50" t="s">
        <v>232</v>
      </c>
      <c r="B12" s="51">
        <v>36.840000000000003</v>
      </c>
      <c r="C12" s="51">
        <v>38.51</v>
      </c>
      <c r="D12" s="51">
        <v>75.34</v>
      </c>
      <c r="E12" s="51">
        <v>7.19</v>
      </c>
      <c r="F12" s="51">
        <v>0.60</v>
      </c>
      <c r="G12" s="51">
        <v>116.63</v>
      </c>
      <c r="H12" s="51">
        <v>49.84</v>
      </c>
      <c r="I12" s="51">
        <v>12.58</v>
      </c>
      <c r="J12" s="51">
        <v>1.31</v>
      </c>
      <c r="K12" s="51">
        <v>333.23</v>
      </c>
      <c r="L12" s="9" t="s">
        <v>15</v>
      </c>
      <c r="M12" s="51">
        <v>44.34</v>
      </c>
      <c r="N12" s="51">
        <v>170.90</v>
      </c>
      <c r="O12" s="51">
        <v>0</v>
      </c>
      <c r="P12" s="51">
        <v>2.77</v>
      </c>
      <c r="Q12" s="51">
        <v>111.06</v>
      </c>
      <c r="R12" s="43"/>
      <c r="S12" s="43"/>
      <c r="T12" s="43"/>
      <c r="U12" s="43"/>
    </row>
    <row r="13" spans="1:21" s="11" customFormat="1" ht="15">
      <c r="A13" s="50" t="s">
        <v>233</v>
      </c>
      <c r="B13" s="51">
        <v>18.79</v>
      </c>
      <c r="C13" s="51">
        <v>37.29</v>
      </c>
      <c r="D13" s="51">
        <v>53.37</v>
      </c>
      <c r="E13" s="51">
        <v>7.18</v>
      </c>
      <c r="F13" s="51">
        <v>0.81</v>
      </c>
      <c r="G13" s="51">
        <v>111.17</v>
      </c>
      <c r="H13" s="51">
        <v>48.15</v>
      </c>
      <c r="I13" s="51">
        <v>10.210000000000001</v>
      </c>
      <c r="J13" s="51">
        <v>1.05</v>
      </c>
      <c r="K13" s="51">
        <v>256.57</v>
      </c>
      <c r="L13" s="9" t="s">
        <v>15</v>
      </c>
      <c r="M13" s="51">
        <v>40.159999999999997</v>
      </c>
      <c r="N13" s="51">
        <v>198.40</v>
      </c>
      <c r="O13" s="51">
        <v>0</v>
      </c>
      <c r="P13" s="51">
        <v>2.37</v>
      </c>
      <c r="Q13" s="51">
        <v>85.89</v>
      </c>
      <c r="R13" s="43"/>
      <c r="S13" s="43"/>
      <c r="T13" s="43"/>
      <c r="U13" s="43"/>
    </row>
    <row r="14" spans="1:21" s="11" customFormat="1" ht="15">
      <c r="A14" s="50" t="s">
        <v>234</v>
      </c>
      <c r="B14" s="51">
        <v>10.92</v>
      </c>
      <c r="C14" s="51">
        <v>39.06</v>
      </c>
      <c r="D14" s="51">
        <v>47.74</v>
      </c>
      <c r="E14" s="51">
        <v>7.56</v>
      </c>
      <c r="F14" s="51">
        <v>0.65</v>
      </c>
      <c r="G14" s="51">
        <v>111.11</v>
      </c>
      <c r="H14" s="51">
        <v>41.55</v>
      </c>
      <c r="I14" s="51">
        <v>8.94</v>
      </c>
      <c r="J14" s="51">
        <v>0.62</v>
      </c>
      <c r="K14" s="51">
        <v>345.48</v>
      </c>
      <c r="L14" s="51">
        <v>47.47</v>
      </c>
      <c r="M14" s="51">
        <v>40.450000000000003</v>
      </c>
      <c r="N14" s="51">
        <v>210.70</v>
      </c>
      <c r="O14" s="51">
        <v>0</v>
      </c>
      <c r="P14" s="51">
        <v>2.2400000000000002</v>
      </c>
      <c r="Q14" s="51">
        <v>97.24</v>
      </c>
      <c r="R14" s="43"/>
      <c r="S14" s="43"/>
      <c r="T14" s="43"/>
      <c r="U14" s="43"/>
    </row>
    <row r="15" spans="1:21" s="11" customFormat="1" ht="15">
      <c r="A15" s="50" t="s">
        <v>235</v>
      </c>
      <c r="B15" s="51">
        <v>6.83</v>
      </c>
      <c r="C15" s="51">
        <v>39.08</v>
      </c>
      <c r="D15" s="51">
        <v>45.64</v>
      </c>
      <c r="E15" s="51">
        <v>7.28</v>
      </c>
      <c r="F15" s="51">
        <v>1.43</v>
      </c>
      <c r="G15" s="51">
        <v>107.31</v>
      </c>
      <c r="H15" s="51">
        <v>42.12</v>
      </c>
      <c r="I15" s="51">
        <v>8.09</v>
      </c>
      <c r="J15" s="51">
        <v>0.74</v>
      </c>
      <c r="K15" s="51">
        <v>351.99</v>
      </c>
      <c r="L15" s="51">
        <v>34.39</v>
      </c>
      <c r="M15" s="51">
        <v>37.82</v>
      </c>
      <c r="N15" s="51">
        <v>394</v>
      </c>
      <c r="O15" s="51">
        <v>0</v>
      </c>
      <c r="P15" s="51">
        <v>2.15</v>
      </c>
      <c r="Q15" s="51">
        <v>101.56</v>
      </c>
      <c r="R15" s="43"/>
      <c r="S15" s="43"/>
      <c r="T15" s="43"/>
      <c r="U15" s="43"/>
    </row>
    <row r="16" spans="1:21" s="11" customFormat="1" ht="15">
      <c r="A16" s="50" t="s">
        <v>236</v>
      </c>
      <c r="B16" s="51">
        <v>5.12</v>
      </c>
      <c r="C16" s="51">
        <v>39.130000000000003</v>
      </c>
      <c r="D16" s="51">
        <v>44.16</v>
      </c>
      <c r="E16" s="51">
        <v>6.65</v>
      </c>
      <c r="F16" s="51">
        <v>1.34</v>
      </c>
      <c r="G16" s="51">
        <v>109.24</v>
      </c>
      <c r="H16" s="51">
        <v>42.68</v>
      </c>
      <c r="I16" s="51">
        <v>7.71</v>
      </c>
      <c r="J16" s="51">
        <v>0.93</v>
      </c>
      <c r="K16" s="51">
        <v>330.78</v>
      </c>
      <c r="L16" s="9" t="s">
        <v>15</v>
      </c>
      <c r="M16" s="51">
        <v>32.72</v>
      </c>
      <c r="N16" s="51">
        <v>536.29999999999995</v>
      </c>
      <c r="O16" s="51">
        <v>0</v>
      </c>
      <c r="P16" s="51">
        <v>2.0499999999999998</v>
      </c>
      <c r="Q16" s="51">
        <v>89.68</v>
      </c>
      <c r="R16" s="43"/>
      <c r="S16" s="43"/>
      <c r="T16" s="43"/>
      <c r="U16" s="43"/>
    </row>
    <row r="17" spans="1:21" s="11" customFormat="1" ht="15">
      <c r="A17" s="50" t="s">
        <v>237</v>
      </c>
      <c r="B17" s="51">
        <v>3.78</v>
      </c>
      <c r="C17" s="51">
        <v>44.79</v>
      </c>
      <c r="D17" s="51">
        <v>47.91</v>
      </c>
      <c r="E17" s="51">
        <v>6.39</v>
      </c>
      <c r="F17" s="51">
        <v>2.14</v>
      </c>
      <c r="G17" s="51">
        <v>133.38999999999999</v>
      </c>
      <c r="H17" s="51">
        <v>42.66</v>
      </c>
      <c r="I17" s="51">
        <v>10.39</v>
      </c>
      <c r="J17" s="51">
        <v>2.75</v>
      </c>
      <c r="K17" s="51">
        <v>337.95</v>
      </c>
      <c r="L17" s="51">
        <v>56.81</v>
      </c>
      <c r="M17" s="51">
        <v>27.84</v>
      </c>
      <c r="N17" s="51">
        <v>730.60</v>
      </c>
      <c r="O17" s="51">
        <v>0</v>
      </c>
      <c r="P17" s="51">
        <v>2.4700000000000002</v>
      </c>
      <c r="Q17" s="51">
        <v>84.84</v>
      </c>
      <c r="R17" s="43"/>
      <c r="S17" s="43"/>
      <c r="T17" s="43"/>
      <c r="U17" s="43"/>
    </row>
    <row r="18" spans="1:21" s="11" customFormat="1" ht="15">
      <c r="A18" s="50" t="s">
        <v>238</v>
      </c>
      <c r="B18" s="51">
        <v>2.95</v>
      </c>
      <c r="C18" s="51">
        <v>45.24</v>
      </c>
      <c r="D18" s="51">
        <v>48.12</v>
      </c>
      <c r="E18" s="51">
        <v>6.06</v>
      </c>
      <c r="F18" s="51">
        <v>3.12</v>
      </c>
      <c r="G18" s="51">
        <v>165.74</v>
      </c>
      <c r="H18" s="51">
        <v>43.47</v>
      </c>
      <c r="I18" s="51">
        <v>11.18</v>
      </c>
      <c r="J18" s="51">
        <v>2.69</v>
      </c>
      <c r="K18" s="51">
        <v>330.01</v>
      </c>
      <c r="L18" s="9" t="s">
        <v>15</v>
      </c>
      <c r="M18" s="51">
        <v>21.21</v>
      </c>
      <c r="N18" s="51">
        <v>837.10</v>
      </c>
      <c r="O18" s="51">
        <v>0</v>
      </c>
      <c r="P18" s="51">
        <v>2.35</v>
      </c>
      <c r="Q18" s="51">
        <v>72.63</v>
      </c>
      <c r="R18" s="43"/>
      <c r="S18" s="43"/>
      <c r="T18" s="43"/>
      <c r="U18" s="43"/>
    </row>
    <row r="19" spans="1:21" s="11" customFormat="1" ht="15">
      <c r="A19" s="50" t="s">
        <v>239</v>
      </c>
      <c r="B19" s="51">
        <v>2.34</v>
      </c>
      <c r="C19" s="51">
        <v>44.43</v>
      </c>
      <c r="D19" s="51">
        <v>46.59</v>
      </c>
      <c r="E19" s="51">
        <v>5.88</v>
      </c>
      <c r="F19" s="51">
        <v>3.64</v>
      </c>
      <c r="G19" s="51">
        <v>156.66</v>
      </c>
      <c r="H19" s="51">
        <v>42.67</v>
      </c>
      <c r="I19" s="51">
        <v>9.49</v>
      </c>
      <c r="J19" s="51">
        <v>3.73</v>
      </c>
      <c r="K19" s="51">
        <v>345.47</v>
      </c>
      <c r="L19" s="9" t="s">
        <v>15</v>
      </c>
      <c r="M19" s="51">
        <v>17.489999999999998</v>
      </c>
      <c r="N19" s="51">
        <v>917</v>
      </c>
      <c r="O19" s="51">
        <v>0</v>
      </c>
      <c r="P19" s="51">
        <v>2.2200000000000002</v>
      </c>
      <c r="Q19" s="51">
        <v>79.13</v>
      </c>
      <c r="R19" s="43"/>
      <c r="S19" s="43"/>
      <c r="T19" s="43"/>
      <c r="U19" s="43"/>
    </row>
    <row r="20" spans="1:21" s="11" customFormat="1" ht="15">
      <c r="A20" s="50" t="s">
        <v>240</v>
      </c>
      <c r="B20" s="51">
        <v>2.77</v>
      </c>
      <c r="C20" s="51">
        <v>41.98</v>
      </c>
      <c r="D20" s="51">
        <v>44.71</v>
      </c>
      <c r="E20" s="51">
        <v>6.36</v>
      </c>
      <c r="F20" s="51">
        <v>3.90</v>
      </c>
      <c r="G20" s="51">
        <v>140.08000000000001</v>
      </c>
      <c r="H20" s="51">
        <v>40.93</v>
      </c>
      <c r="I20" s="51">
        <v>8.2100000000000009</v>
      </c>
      <c r="J20" s="51">
        <v>3.43</v>
      </c>
      <c r="K20" s="51">
        <v>345.53</v>
      </c>
      <c r="L20" s="9" t="s">
        <v>15</v>
      </c>
      <c r="M20" s="51">
        <v>15.38</v>
      </c>
      <c r="N20" s="51">
        <v>941.20</v>
      </c>
      <c r="O20" s="51">
        <v>0</v>
      </c>
      <c r="P20" s="51">
        <v>2.11</v>
      </c>
      <c r="Q20" s="51">
        <v>75.92</v>
      </c>
      <c r="R20" s="43"/>
      <c r="S20" s="43"/>
      <c r="T20" s="43"/>
      <c r="U20" s="43"/>
    </row>
    <row r="21" spans="1:21" s="11" customFormat="1" ht="15">
      <c r="A21" s="50" t="s">
        <v>241</v>
      </c>
      <c r="B21" s="51">
        <v>2.10</v>
      </c>
      <c r="C21" s="51">
        <v>40.33</v>
      </c>
      <c r="D21" s="51">
        <v>42.42</v>
      </c>
      <c r="E21" s="51">
        <v>6.43</v>
      </c>
      <c r="F21" s="51">
        <v>4.4000000000000004</v>
      </c>
      <c r="G21" s="51">
        <v>172.86</v>
      </c>
      <c r="H21" s="51">
        <v>40.270000000000003</v>
      </c>
      <c r="I21" s="51">
        <v>6.90</v>
      </c>
      <c r="J21" s="51">
        <v>3.43</v>
      </c>
      <c r="K21" s="51">
        <v>352.90</v>
      </c>
      <c r="L21" s="9" t="s">
        <v>15</v>
      </c>
      <c r="M21" s="51">
        <v>13.92</v>
      </c>
      <c r="N21" s="51">
        <v>918.5</v>
      </c>
      <c r="O21" s="51">
        <v>0</v>
      </c>
      <c r="P21" s="51">
        <v>2.04</v>
      </c>
      <c r="Q21" s="51">
        <v>72.06</v>
      </c>
      <c r="R21" s="43"/>
      <c r="S21" s="43"/>
      <c r="T21" s="43"/>
      <c r="U21" s="43"/>
    </row>
    <row r="22" spans="1:21" s="11" customFormat="1" ht="15">
      <c r="A22" s="50" t="s">
        <v>242</v>
      </c>
      <c r="B22" s="51">
        <v>2.48</v>
      </c>
      <c r="C22" s="51">
        <v>42.17</v>
      </c>
      <c r="D22" s="51">
        <v>44.65</v>
      </c>
      <c r="E22" s="51">
        <v>6.63</v>
      </c>
      <c r="F22" s="51">
        <v>4.24</v>
      </c>
      <c r="G22" s="51">
        <v>168.38</v>
      </c>
      <c r="H22" s="51">
        <v>41.78</v>
      </c>
      <c r="I22" s="51">
        <v>6.28</v>
      </c>
      <c r="J22" s="51">
        <v>2.82</v>
      </c>
      <c r="K22" s="51">
        <v>348.39</v>
      </c>
      <c r="L22" s="9" t="s">
        <v>15</v>
      </c>
      <c r="M22" s="51">
        <v>15.41</v>
      </c>
      <c r="N22" s="51">
        <v>828.80</v>
      </c>
      <c r="O22" s="51">
        <v>0</v>
      </c>
      <c r="P22" s="51">
        <v>2.02</v>
      </c>
      <c r="Q22" s="51">
        <v>70.099999999999994</v>
      </c>
      <c r="R22" s="43"/>
      <c r="S22" s="43"/>
      <c r="T22" s="43"/>
      <c r="U22" s="43"/>
    </row>
    <row r="23" spans="1:21" s="11" customFormat="1" ht="15">
      <c r="A23" s="50" t="s">
        <v>243</v>
      </c>
      <c r="B23" s="51">
        <v>3.90</v>
      </c>
      <c r="C23" s="51">
        <v>42.77</v>
      </c>
      <c r="D23" s="51">
        <v>45.59</v>
      </c>
      <c r="E23" s="51">
        <v>6.70</v>
      </c>
      <c r="F23" s="51">
        <v>3.28</v>
      </c>
      <c r="G23" s="51">
        <v>148.68</v>
      </c>
      <c r="H23" s="51">
        <v>40.450000000000003</v>
      </c>
      <c r="I23" s="51">
        <v>5.63</v>
      </c>
      <c r="J23" s="51">
        <v>2.64</v>
      </c>
      <c r="K23" s="51">
        <v>334.23</v>
      </c>
      <c r="L23" s="51">
        <v>46.83</v>
      </c>
      <c r="M23" s="51">
        <v>17.559999999999999</v>
      </c>
      <c r="N23" s="51">
        <v>275.89999999999998</v>
      </c>
      <c r="O23" s="51">
        <v>0</v>
      </c>
      <c r="P23" s="51">
        <v>2.0099999999999998</v>
      </c>
      <c r="Q23" s="51">
        <v>176.43</v>
      </c>
      <c r="R23" s="43"/>
      <c r="S23" s="43"/>
      <c r="T23" s="43"/>
      <c r="U23" s="43"/>
    </row>
    <row r="24" spans="1:21" s="11" customFormat="1" ht="15">
      <c r="A24" s="50" t="s">
        <v>244</v>
      </c>
      <c r="B24" s="51">
        <v>3.82</v>
      </c>
      <c r="C24" s="51">
        <v>41.40</v>
      </c>
      <c r="D24" s="51">
        <v>45.22</v>
      </c>
      <c r="E24" s="51">
        <v>5.75</v>
      </c>
      <c r="F24" s="51">
        <v>3.27</v>
      </c>
      <c r="G24" s="51">
        <v>146.28</v>
      </c>
      <c r="H24" s="51">
        <v>36.25</v>
      </c>
      <c r="I24" s="51">
        <v>5.94</v>
      </c>
      <c r="J24" s="51">
        <v>3.95</v>
      </c>
      <c r="K24" s="51">
        <v>332.03</v>
      </c>
      <c r="L24" s="9" t="s">
        <v>15</v>
      </c>
      <c r="M24" s="51">
        <v>15.92</v>
      </c>
      <c r="N24" s="51">
        <v>635.90</v>
      </c>
      <c r="O24" s="51">
        <v>0</v>
      </c>
      <c r="P24" s="51">
        <v>1.99</v>
      </c>
      <c r="Q24" s="51">
        <v>157.53</v>
      </c>
      <c r="R24" s="43"/>
      <c r="S24" s="43"/>
      <c r="T24" s="43"/>
      <c r="U24" s="43"/>
    </row>
    <row r="25" spans="1:21" s="11" customFormat="1" ht="15">
      <c r="A25" s="50" t="s">
        <v>245</v>
      </c>
      <c r="B25" s="51">
        <v>3.48</v>
      </c>
      <c r="C25" s="51">
        <v>39.92</v>
      </c>
      <c r="D25" s="51">
        <v>42.18</v>
      </c>
      <c r="E25" s="51">
        <v>6.02</v>
      </c>
      <c r="F25" s="51">
        <v>6.88</v>
      </c>
      <c r="G25" s="51">
        <v>116.10</v>
      </c>
      <c r="H25" s="51">
        <v>35.049999999999997</v>
      </c>
      <c r="I25" s="51">
        <v>5.16</v>
      </c>
      <c r="J25" s="51">
        <v>3.45</v>
      </c>
      <c r="K25" s="51">
        <v>331.81</v>
      </c>
      <c r="L25" s="51">
        <v>43.57</v>
      </c>
      <c r="M25" s="51">
        <v>16.54</v>
      </c>
      <c r="N25" s="51">
        <v>281.39999999999998</v>
      </c>
      <c r="O25" s="51">
        <v>0</v>
      </c>
      <c r="P25" s="51">
        <v>1.83</v>
      </c>
      <c r="Q25" s="51">
        <v>149.44</v>
      </c>
      <c r="R25" s="43"/>
      <c r="S25" s="43"/>
      <c r="T25" s="43"/>
      <c r="U25" s="43"/>
    </row>
    <row r="26" spans="1:21" s="11" customFormat="1" ht="15">
      <c r="A26" s="50" t="s">
        <v>246</v>
      </c>
      <c r="B26" s="51">
        <v>5.44</v>
      </c>
      <c r="C26" s="51">
        <v>46.60</v>
      </c>
      <c r="D26" s="51">
        <v>52.04</v>
      </c>
      <c r="E26" s="51">
        <v>4.42</v>
      </c>
      <c r="F26" s="51">
        <v>4.18</v>
      </c>
      <c r="G26" s="18" t="s">
        <v>12</v>
      </c>
      <c r="H26" s="18" t="s">
        <v>12</v>
      </c>
      <c r="I26" s="51">
        <v>4.25</v>
      </c>
      <c r="J26" s="51">
        <v>3.11</v>
      </c>
      <c r="K26" s="51">
        <v>314.85000000000002</v>
      </c>
      <c r="L26" s="51">
        <v>41.74</v>
      </c>
      <c r="M26" s="51">
        <v>25.82</v>
      </c>
      <c r="N26" s="51">
        <v>78.30</v>
      </c>
      <c r="O26" s="51">
        <v>0</v>
      </c>
      <c r="P26" s="51">
        <v>2.09</v>
      </c>
      <c r="Q26" s="51">
        <v>137</v>
      </c>
      <c r="R26" s="43"/>
      <c r="S26" s="43"/>
      <c r="T26" s="43"/>
      <c r="U26" s="43"/>
    </row>
    <row r="27" spans="1:21" s="11" customFormat="1" ht="15">
      <c r="A27" s="50" t="s">
        <v>247</v>
      </c>
      <c r="B27" s="51">
        <v>41.64</v>
      </c>
      <c r="C27" s="51">
        <v>62.19</v>
      </c>
      <c r="D27" s="51">
        <v>103.83</v>
      </c>
      <c r="E27" s="51">
        <v>5.39</v>
      </c>
      <c r="F27" s="51">
        <v>1.1599999999999999</v>
      </c>
      <c r="G27" s="51">
        <v>164.70</v>
      </c>
      <c r="H27" s="51">
        <v>50.70</v>
      </c>
      <c r="I27" s="51">
        <v>10.06</v>
      </c>
      <c r="J27" s="51">
        <v>1.70</v>
      </c>
      <c r="K27" s="51">
        <v>331.42</v>
      </c>
      <c r="L27" s="9" t="s">
        <v>15</v>
      </c>
      <c r="M27" s="51">
        <v>36.74</v>
      </c>
      <c r="N27" s="51">
        <v>17.399999999999999</v>
      </c>
      <c r="O27" s="51">
        <v>0</v>
      </c>
      <c r="P27" s="51">
        <v>2.66</v>
      </c>
      <c r="Q27" s="51">
        <v>151.02000000000001</v>
      </c>
      <c r="R27" s="43"/>
      <c r="S27" s="43"/>
      <c r="T27" s="43"/>
      <c r="U27" s="43"/>
    </row>
    <row r="28" spans="1:21" s="11" customFormat="1" ht="15">
      <c r="A28" s="50" t="s">
        <v>248</v>
      </c>
      <c r="B28" s="51">
        <v>109.61</v>
      </c>
      <c r="C28" s="51">
        <v>66.30</v>
      </c>
      <c r="D28" s="51">
        <v>175.91</v>
      </c>
      <c r="E28" s="51">
        <v>7.17</v>
      </c>
      <c r="F28" s="51">
        <v>0.76</v>
      </c>
      <c r="G28" s="9" t="s">
        <v>15</v>
      </c>
      <c r="H28" s="9" t="s">
        <v>15</v>
      </c>
      <c r="I28" s="51">
        <v>11.24</v>
      </c>
      <c r="J28" s="51">
        <v>1.55</v>
      </c>
      <c r="K28" s="51">
        <v>71.459999999999994</v>
      </c>
      <c r="L28" s="51">
        <v>46.96</v>
      </c>
      <c r="M28" s="51">
        <v>38.01</v>
      </c>
      <c r="N28" s="51">
        <v>0.10</v>
      </c>
      <c r="O28" s="51">
        <v>0</v>
      </c>
      <c r="P28" s="51">
        <v>3.66</v>
      </c>
      <c r="Q28" s="51">
        <v>180.17</v>
      </c>
      <c r="R28" s="43"/>
      <c r="S28" s="43"/>
      <c r="T28" s="43"/>
      <c r="U28" s="43"/>
    </row>
    <row r="29" spans="1:21" s="11" customFormat="1" ht="15">
      <c r="A29" s="50" t="s">
        <v>249</v>
      </c>
      <c r="B29" s="51">
        <v>161.99</v>
      </c>
      <c r="C29" s="51">
        <v>67.39</v>
      </c>
      <c r="D29" s="51">
        <v>227.70</v>
      </c>
      <c r="E29" s="51">
        <v>8.6300000000000008</v>
      </c>
      <c r="F29" s="51">
        <v>1.22</v>
      </c>
      <c r="G29" s="9" t="s">
        <v>15</v>
      </c>
      <c r="H29" s="9" t="s">
        <v>15</v>
      </c>
      <c r="I29" s="51">
        <v>18.21</v>
      </c>
      <c r="J29" s="51">
        <v>1.73</v>
      </c>
      <c r="K29" s="51">
        <v>291.01</v>
      </c>
      <c r="L29" s="51">
        <v>47.16</v>
      </c>
      <c r="M29" s="51">
        <v>34.15</v>
      </c>
      <c r="N29" s="8" t="s">
        <v>8</v>
      </c>
      <c r="O29" s="51">
        <v>0</v>
      </c>
      <c r="P29" s="51">
        <v>4.7699999999999996</v>
      </c>
      <c r="Q29" s="51">
        <v>200.03</v>
      </c>
      <c r="R29" s="43"/>
      <c r="S29" s="43"/>
      <c r="T29" s="43"/>
      <c r="U29" s="43"/>
    </row>
    <row r="30" spans="1:21" s="11" customFormat="1" ht="15">
      <c r="A30" s="50" t="s">
        <v>250</v>
      </c>
      <c r="B30" s="51">
        <v>193.21</v>
      </c>
      <c r="C30" s="51">
        <v>65.39</v>
      </c>
      <c r="D30" s="51">
        <v>254.56</v>
      </c>
      <c r="E30" s="51">
        <v>9.25</v>
      </c>
      <c r="F30" s="51">
        <v>0.70</v>
      </c>
      <c r="G30" s="9" t="s">
        <v>15</v>
      </c>
      <c r="H30" s="9" t="s">
        <v>15</v>
      </c>
      <c r="I30" s="51">
        <v>23.02</v>
      </c>
      <c r="J30" s="51">
        <v>1.35</v>
      </c>
      <c r="K30" s="51">
        <v>329.53</v>
      </c>
      <c r="L30" s="51">
        <v>45.38</v>
      </c>
      <c r="M30" s="51">
        <v>36.659999999999997</v>
      </c>
      <c r="N30" s="51">
        <v>0.80</v>
      </c>
      <c r="O30" s="51">
        <v>0</v>
      </c>
      <c r="P30" s="51">
        <v>5.49</v>
      </c>
      <c r="Q30" s="51">
        <v>208.56</v>
      </c>
      <c r="R30" s="43"/>
      <c r="S30" s="43"/>
      <c r="T30" s="43"/>
      <c r="U30" s="43"/>
    </row>
    <row r="31" spans="1:21" s="11" customFormat="1" ht="15">
      <c r="A31" s="50" t="s">
        <v>251</v>
      </c>
      <c r="B31" s="51">
        <v>204.02</v>
      </c>
      <c r="C31" s="51">
        <v>65</v>
      </c>
      <c r="D31" s="51">
        <v>269.01</v>
      </c>
      <c r="E31" s="51">
        <v>9.33</v>
      </c>
      <c r="F31" s="51">
        <v>0.64</v>
      </c>
      <c r="G31" s="9" t="s">
        <v>15</v>
      </c>
      <c r="H31" s="9" t="s">
        <v>15</v>
      </c>
      <c r="I31" s="51">
        <v>25.14</v>
      </c>
      <c r="J31" s="51">
        <v>1.43</v>
      </c>
      <c r="K31" s="51">
        <v>294.80</v>
      </c>
      <c r="L31" s="51">
        <v>57.62</v>
      </c>
      <c r="M31" s="51">
        <v>39.770000000000003</v>
      </c>
      <c r="N31" s="51">
        <v>6.80</v>
      </c>
      <c r="O31" s="51">
        <v>0</v>
      </c>
      <c r="P31" s="51">
        <v>6.10</v>
      </c>
      <c r="Q31" s="51">
        <v>207.81</v>
      </c>
      <c r="R31" s="43"/>
      <c r="S31" s="43"/>
      <c r="T31" s="43"/>
      <c r="U31" s="43"/>
    </row>
    <row r="32" spans="1:21" s="11" customFormat="1" ht="15">
      <c r="A32" s="50" t="s">
        <v>252</v>
      </c>
      <c r="B32" s="51">
        <v>223.85</v>
      </c>
      <c r="C32" s="51">
        <v>67.38</v>
      </c>
      <c r="D32" s="51">
        <v>287.82</v>
      </c>
      <c r="E32" s="51">
        <v>9.44</v>
      </c>
      <c r="F32" s="51">
        <v>0.32</v>
      </c>
      <c r="G32" s="9" t="s">
        <v>15</v>
      </c>
      <c r="H32" s="9" t="s">
        <v>15</v>
      </c>
      <c r="I32" s="51">
        <v>27.91</v>
      </c>
      <c r="J32" s="51">
        <v>0.93</v>
      </c>
      <c r="K32" s="51">
        <v>247.22</v>
      </c>
      <c r="L32" s="51">
        <v>55.54</v>
      </c>
      <c r="M32" s="51">
        <v>43.42</v>
      </c>
      <c r="N32" s="51">
        <v>5.40</v>
      </c>
      <c r="O32" s="51">
        <v>0</v>
      </c>
      <c r="P32" s="51">
        <v>6.40</v>
      </c>
      <c r="Q32" s="51">
        <v>216.42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2.1000000000000001</v>
      </c>
      <c r="C34" s="28">
        <f t="shared" si="0"/>
        <v>37.289999999999999</v>
      </c>
      <c r="D34" s="28">
        <f t="shared" si="0"/>
        <v>42.18</v>
      </c>
      <c r="E34" s="28">
        <f t="shared" si="0"/>
        <v>4.4199999999999999</v>
      </c>
      <c r="F34" s="28">
        <f t="shared" si="0"/>
        <v>0.19</v>
      </c>
      <c r="G34" s="28">
        <f t="shared" si="0"/>
        <v>107.31</v>
      </c>
      <c r="H34" s="28">
        <f t="shared" si="0"/>
        <v>35.049999999999997</v>
      </c>
      <c r="I34" s="28">
        <f t="shared" si="0"/>
        <v>4.25</v>
      </c>
      <c r="J34" s="28">
        <f t="shared" si="0"/>
        <v>0.62</v>
      </c>
      <c r="K34" s="28">
        <f t="shared" si="0"/>
        <v>71.459999999999994</v>
      </c>
      <c r="L34" s="28">
        <f t="shared" si="0"/>
        <v>34.390000000000001</v>
      </c>
      <c r="M34" s="28">
        <f t="shared" si="0"/>
        <v>13.92</v>
      </c>
      <c r="N34" s="28">
        <f t="shared" si="0"/>
        <v>0.10000000000000001</v>
      </c>
      <c r="O34" s="28">
        <f t="shared" si="0"/>
        <v>0</v>
      </c>
      <c r="P34" s="28">
        <f t="shared" si="0"/>
        <v>1.8300000000000001</v>
      </c>
      <c r="Q34" s="28">
        <f t="shared" si="0"/>
        <v>70.099999999999994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223.84999999999999</v>
      </c>
      <c r="C35" s="29">
        <f t="shared" si="1"/>
        <v>67.390000000000001</v>
      </c>
      <c r="D35" s="29">
        <f t="shared" si="1"/>
        <v>287.81999999999999</v>
      </c>
      <c r="E35" s="29">
        <f t="shared" si="1"/>
        <v>9.4399999999999995</v>
      </c>
      <c r="F35" s="29">
        <f t="shared" si="1"/>
        <v>6.8799999999999999</v>
      </c>
      <c r="G35" s="29">
        <f t="shared" si="1"/>
        <v>308.87</v>
      </c>
      <c r="H35" s="29">
        <f t="shared" si="1"/>
        <v>78.069999999999993</v>
      </c>
      <c r="I35" s="29">
        <f t="shared" si="1"/>
        <v>27.91</v>
      </c>
      <c r="J35" s="29">
        <f t="shared" si="1"/>
        <v>3.9500000000000002</v>
      </c>
      <c r="K35" s="29">
        <f t="shared" si="1"/>
        <v>352.89999999999998</v>
      </c>
      <c r="L35" s="29">
        <f t="shared" si="1"/>
        <v>57.619999999999997</v>
      </c>
      <c r="M35" s="29">
        <f t="shared" si="1"/>
        <v>44.340000000000003</v>
      </c>
      <c r="N35" s="29">
        <f t="shared" si="1"/>
        <v>941.20000000000005</v>
      </c>
      <c r="O35" s="29">
        <f t="shared" si="1"/>
        <v>0</v>
      </c>
      <c r="P35" s="29">
        <f t="shared" si="1"/>
        <v>6.4000000000000004</v>
      </c>
      <c r="Q35" s="29">
        <f t="shared" si="1"/>
        <v>216.41999999999999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57.559166666666663</v>
      </c>
      <c r="C36" s="28">
        <f t="shared" si="2"/>
        <v>48.973749999999995</v>
      </c>
      <c r="D36" s="28">
        <f t="shared" si="2"/>
        <v>105.79458333333334</v>
      </c>
      <c r="E36" s="28">
        <f t="shared" si="2"/>
        <v>7.0612500000000002</v>
      </c>
      <c r="F36" s="28">
        <f t="shared" si="2"/>
        <v>2.0879166666666671</v>
      </c>
      <c r="G36" s="28">
        <f t="shared" si="2"/>
        <v>150.52111111111111</v>
      </c>
      <c r="H36" s="28">
        <f t="shared" si="2"/>
        <v>47.190555555555555</v>
      </c>
      <c r="I36" s="28">
        <f t="shared" si="2"/>
        <v>12.260833333333336</v>
      </c>
      <c r="J36" s="28">
        <f t="shared" si="2"/>
        <v>2.13625</v>
      </c>
      <c r="K36" s="28">
        <f t="shared" si="2"/>
        <v>307.10166666666669</v>
      </c>
      <c r="L36" s="28">
        <f t="shared" si="2"/>
        <v>47.588181818181809</v>
      </c>
      <c r="M36" s="28">
        <f t="shared" si="2"/>
        <v>30.124999999999996</v>
      </c>
      <c r="N36" s="28">
        <f t="shared" si="2"/>
        <v>376.40869565217372</v>
      </c>
      <c r="O36" s="28">
        <f t="shared" si="2"/>
        <v>0</v>
      </c>
      <c r="P36" s="28">
        <f t="shared" si="2"/>
        <v>3.0670833333333332</v>
      </c>
      <c r="Q36" s="28">
        <f t="shared" si="2"/>
        <v>131.65625000000003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76.170268929816572</v>
      </c>
      <c r="C37" s="28">
        <f t="shared" si="3" ref="C37:Q37">STDEV(C9:C32)</f>
        <v>10.973958032146133</v>
      </c>
      <c r="D37" s="28">
        <f t="shared" si="3"/>
        <v>85.530777271625468</v>
      </c>
      <c r="E37" s="28">
        <f t="shared" si="3"/>
        <v>1.2799399187665692</v>
      </c>
      <c r="F37" s="28">
        <f t="shared" si="3"/>
        <v>1.7734539602919948</v>
      </c>
      <c r="G37" s="28">
        <f t="shared" si="3"/>
        <v>49.948038869690379</v>
      </c>
      <c r="H37" s="28">
        <f t="shared" si="3"/>
        <v>11.816384174836228</v>
      </c>
      <c r="I37" s="28">
        <f t="shared" si="3"/>
        <v>6.8620873466914665</v>
      </c>
      <c r="J37" s="28">
        <f t="shared" si="3"/>
        <v>1.0414572253212862</v>
      </c>
      <c r="K37" s="28">
        <f t="shared" si="3"/>
        <v>59.802020590165959</v>
      </c>
      <c r="L37" s="28">
        <f t="shared" si="3"/>
        <v>6.9245401553920765</v>
      </c>
      <c r="M37" s="28">
        <f t="shared" si="3"/>
        <v>10.659256030813555</v>
      </c>
      <c r="N37" s="28">
        <f t="shared" si="3"/>
        <v>337.80253095699067</v>
      </c>
      <c r="O37" s="28">
        <f t="shared" si="3"/>
        <v>0</v>
      </c>
      <c r="P37" s="28">
        <f t="shared" si="3"/>
        <v>1.407404268631554</v>
      </c>
      <c r="Q37" s="28">
        <f t="shared" si="3"/>
        <v>49.085972565666701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19</v>
      </c>
      <c r="H38" s="32">
        <f>COUNT(H9:H32)+1</f>
        <v>19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11</v>
      </c>
      <c r="M38" s="32">
        <f t="shared" si="4"/>
        <v>24</v>
      </c>
      <c r="N38" s="32">
        <f>COUNT(N9:N32)+1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afd289-061e-49e2-86dc-9c2766d3e6f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253</v>
      </c>
      <c r="B9" s="51">
        <v>206.04</v>
      </c>
      <c r="C9" s="51">
        <v>62.72</v>
      </c>
      <c r="D9" s="51">
        <v>268.76</v>
      </c>
      <c r="E9" s="51">
        <v>9.1199999999999992</v>
      </c>
      <c r="F9" s="51">
        <v>0.36</v>
      </c>
      <c r="G9" s="51">
        <v>397.43</v>
      </c>
      <c r="H9" s="51">
        <v>90.87</v>
      </c>
      <c r="I9" s="51">
        <v>28.83</v>
      </c>
      <c r="J9" s="51">
        <v>0.94</v>
      </c>
      <c r="K9" s="51">
        <v>233.04</v>
      </c>
      <c r="L9" s="51">
        <v>35.29</v>
      </c>
      <c r="M9" s="51">
        <v>36.520000000000003</v>
      </c>
      <c r="N9" s="8" t="s">
        <v>8</v>
      </c>
      <c r="O9" s="51">
        <v>0</v>
      </c>
      <c r="P9" s="51">
        <v>6.08</v>
      </c>
      <c r="Q9" s="51">
        <v>208.05</v>
      </c>
      <c r="R9" s="43"/>
      <c r="S9" s="43"/>
      <c r="T9" s="43"/>
      <c r="U9" s="43"/>
    </row>
    <row r="10" spans="1:21" s="11" customFormat="1" ht="15">
      <c r="A10" s="50" t="s">
        <v>254</v>
      </c>
      <c r="B10" s="51">
        <v>134.13</v>
      </c>
      <c r="C10" s="51">
        <v>52.47</v>
      </c>
      <c r="D10" s="51">
        <v>186.60</v>
      </c>
      <c r="E10" s="51">
        <v>8.06</v>
      </c>
      <c r="F10" s="51">
        <v>0.66</v>
      </c>
      <c r="G10" s="51">
        <v>273.22000000000003</v>
      </c>
      <c r="H10" s="51">
        <v>81.81</v>
      </c>
      <c r="I10" s="51">
        <v>25.23</v>
      </c>
      <c r="J10" s="51">
        <v>1.20</v>
      </c>
      <c r="K10" s="51">
        <v>265.67</v>
      </c>
      <c r="L10" s="51">
        <v>34.630000000000003</v>
      </c>
      <c r="M10" s="51">
        <v>29.41</v>
      </c>
      <c r="N10" s="51">
        <v>0.60</v>
      </c>
      <c r="O10" s="51">
        <v>0</v>
      </c>
      <c r="P10" s="51">
        <v>4.75</v>
      </c>
      <c r="Q10" s="51">
        <v>167.45</v>
      </c>
      <c r="R10" s="43"/>
      <c r="S10" s="43"/>
      <c r="T10" s="43"/>
      <c r="U10" s="43"/>
    </row>
    <row r="11" spans="1:21" s="11" customFormat="1" ht="15">
      <c r="A11" s="50" t="s">
        <v>255</v>
      </c>
      <c r="B11" s="51">
        <v>79.63</v>
      </c>
      <c r="C11" s="51">
        <v>44.79</v>
      </c>
      <c r="D11" s="51">
        <v>124.42</v>
      </c>
      <c r="E11" s="51">
        <v>7.37</v>
      </c>
      <c r="F11" s="51">
        <v>1.58</v>
      </c>
      <c r="G11" s="51">
        <v>180.03</v>
      </c>
      <c r="H11" s="51">
        <v>69.39</v>
      </c>
      <c r="I11" s="51">
        <v>20.28</v>
      </c>
      <c r="J11" s="51">
        <v>0.73</v>
      </c>
      <c r="K11" s="51">
        <v>345.99</v>
      </c>
      <c r="L11" s="51">
        <v>59.31</v>
      </c>
      <c r="M11" s="51">
        <v>30.48</v>
      </c>
      <c r="N11" s="51">
        <v>5.40</v>
      </c>
      <c r="O11" s="51">
        <v>0</v>
      </c>
      <c r="P11" s="51">
        <v>3.70</v>
      </c>
      <c r="Q11" s="51">
        <v>135.37</v>
      </c>
      <c r="R11" s="43"/>
      <c r="S11" s="43"/>
      <c r="T11" s="43"/>
      <c r="U11" s="43"/>
    </row>
    <row r="12" spans="1:21" s="11" customFormat="1" ht="15">
      <c r="A12" s="50" t="s">
        <v>256</v>
      </c>
      <c r="B12" s="51">
        <v>51.19</v>
      </c>
      <c r="C12" s="51">
        <v>40.39</v>
      </c>
      <c r="D12" s="51">
        <v>91.59</v>
      </c>
      <c r="E12" s="51">
        <v>8.49</v>
      </c>
      <c r="F12" s="51">
        <v>0.39</v>
      </c>
      <c r="G12" s="51">
        <v>154.24</v>
      </c>
      <c r="H12" s="51">
        <v>62.44</v>
      </c>
      <c r="I12" s="51">
        <v>16.46</v>
      </c>
      <c r="J12" s="51">
        <v>0.70</v>
      </c>
      <c r="K12" s="51">
        <v>352.99</v>
      </c>
      <c r="L12" s="51">
        <v>47.99</v>
      </c>
      <c r="M12" s="51">
        <v>33.74</v>
      </c>
      <c r="N12" s="51">
        <v>7.70</v>
      </c>
      <c r="O12" s="51">
        <v>0</v>
      </c>
      <c r="P12" s="51">
        <v>3.15</v>
      </c>
      <c r="Q12" s="51">
        <v>120.54</v>
      </c>
      <c r="R12" s="43"/>
      <c r="S12" s="43"/>
      <c r="T12" s="43"/>
      <c r="U12" s="43"/>
    </row>
    <row r="13" spans="1:21" s="11" customFormat="1" ht="15">
      <c r="A13" s="50" t="s">
        <v>257</v>
      </c>
      <c r="B13" s="51">
        <v>32.869999999999997</v>
      </c>
      <c r="C13" s="51">
        <v>36.409999999999997</v>
      </c>
      <c r="D13" s="51">
        <v>69.28</v>
      </c>
      <c r="E13" s="51">
        <v>8.48</v>
      </c>
      <c r="F13" s="51">
        <v>0.92</v>
      </c>
      <c r="G13" s="51">
        <v>99.19</v>
      </c>
      <c r="H13" s="51">
        <v>54.47</v>
      </c>
      <c r="I13" s="51">
        <v>13.29</v>
      </c>
      <c r="J13" s="51">
        <v>0.48</v>
      </c>
      <c r="K13" s="51">
        <v>312.58999999999997</v>
      </c>
      <c r="L13" s="51">
        <v>43.23</v>
      </c>
      <c r="M13" s="51">
        <v>34.81</v>
      </c>
      <c r="N13" s="51">
        <v>10.40</v>
      </c>
      <c r="O13" s="51">
        <v>0</v>
      </c>
      <c r="P13" s="51">
        <v>2.73</v>
      </c>
      <c r="Q13" s="51">
        <v>111.44</v>
      </c>
      <c r="R13" s="43"/>
      <c r="S13" s="43"/>
      <c r="T13" s="43"/>
      <c r="U13" s="43"/>
    </row>
    <row r="14" spans="1:21" s="11" customFormat="1" ht="15">
      <c r="A14" s="50" t="s">
        <v>258</v>
      </c>
      <c r="B14" s="51">
        <v>17.850000000000001</v>
      </c>
      <c r="C14" s="51">
        <v>35.93</v>
      </c>
      <c r="D14" s="51">
        <v>53.78</v>
      </c>
      <c r="E14" s="51">
        <v>7.96</v>
      </c>
      <c r="F14" s="51">
        <v>0.60</v>
      </c>
      <c r="G14" s="51">
        <v>89.60</v>
      </c>
      <c r="H14" s="51">
        <v>47.23</v>
      </c>
      <c r="I14" s="51">
        <v>10.45</v>
      </c>
      <c r="J14" s="51">
        <v>0.48</v>
      </c>
      <c r="K14" s="51">
        <v>349.24</v>
      </c>
      <c r="L14" s="51">
        <v>42.44</v>
      </c>
      <c r="M14" s="51">
        <v>36.090000000000003</v>
      </c>
      <c r="N14" s="51">
        <v>36.5</v>
      </c>
      <c r="O14" s="51">
        <v>0</v>
      </c>
      <c r="P14" s="51">
        <v>2.35</v>
      </c>
      <c r="Q14" s="51">
        <v>102.81</v>
      </c>
      <c r="R14" s="43"/>
      <c r="S14" s="43"/>
      <c r="T14" s="43"/>
      <c r="U14" s="43"/>
    </row>
    <row r="15" spans="1:21" s="11" customFormat="1" ht="15">
      <c r="A15" s="50" t="s">
        <v>259</v>
      </c>
      <c r="B15" s="51">
        <v>9.68</v>
      </c>
      <c r="C15" s="51">
        <v>36.61</v>
      </c>
      <c r="D15" s="51">
        <v>46.21</v>
      </c>
      <c r="E15" s="51">
        <v>7.25</v>
      </c>
      <c r="F15" s="51">
        <v>0.68</v>
      </c>
      <c r="G15" s="51">
        <v>93.77</v>
      </c>
      <c r="H15" s="51">
        <v>47.23</v>
      </c>
      <c r="I15" s="51">
        <v>8.1300000000000008</v>
      </c>
      <c r="J15" s="51">
        <v>1.1000000000000001</v>
      </c>
      <c r="K15" s="51">
        <v>38.65</v>
      </c>
      <c r="L15" s="51">
        <v>43.75</v>
      </c>
      <c r="M15" s="51">
        <v>36.31</v>
      </c>
      <c r="N15" s="51">
        <v>189</v>
      </c>
      <c r="O15" s="51">
        <v>0</v>
      </c>
      <c r="P15" s="51">
        <v>2.15</v>
      </c>
      <c r="Q15" s="51">
        <v>96.59</v>
      </c>
      <c r="R15" s="43"/>
      <c r="S15" s="43"/>
      <c r="T15" s="43"/>
      <c r="U15" s="43"/>
    </row>
    <row r="16" spans="1:21" s="11" customFormat="1" ht="15">
      <c r="A16" s="50" t="s">
        <v>260</v>
      </c>
      <c r="B16" s="51">
        <v>9.92</v>
      </c>
      <c r="C16" s="51">
        <v>43.5</v>
      </c>
      <c r="D16" s="51">
        <v>51.34</v>
      </c>
      <c r="E16" s="51">
        <v>6.43</v>
      </c>
      <c r="F16" s="51">
        <v>0.42</v>
      </c>
      <c r="G16" s="51">
        <v>123.87</v>
      </c>
      <c r="H16" s="51">
        <v>41.75</v>
      </c>
      <c r="I16" s="51">
        <v>12.08</v>
      </c>
      <c r="J16" s="51">
        <v>0.59</v>
      </c>
      <c r="K16" s="51">
        <v>342.39</v>
      </c>
      <c r="L16" s="51">
        <v>44.79</v>
      </c>
      <c r="M16" s="51">
        <v>34.18</v>
      </c>
      <c r="N16" s="51">
        <v>429.5</v>
      </c>
      <c r="O16" s="51">
        <v>0</v>
      </c>
      <c r="P16" s="51">
        <v>2.54</v>
      </c>
      <c r="Q16" s="51">
        <v>96.31</v>
      </c>
      <c r="R16" s="43"/>
      <c r="S16" s="43"/>
      <c r="T16" s="43"/>
      <c r="U16" s="43"/>
    </row>
    <row r="17" spans="1:21" s="11" customFormat="1" ht="15">
      <c r="A17" s="50" t="s">
        <v>261</v>
      </c>
      <c r="B17" s="51">
        <v>6.03</v>
      </c>
      <c r="C17" s="51">
        <v>48.40</v>
      </c>
      <c r="D17" s="51">
        <v>51.56</v>
      </c>
      <c r="E17" s="51">
        <v>6.68</v>
      </c>
      <c r="F17" s="51">
        <v>2.11</v>
      </c>
      <c r="G17" s="51">
        <v>150.47999999999999</v>
      </c>
      <c r="H17" s="51">
        <v>47.84</v>
      </c>
      <c r="I17" s="51">
        <v>14.30</v>
      </c>
      <c r="J17" s="51">
        <v>1.55</v>
      </c>
      <c r="K17" s="51">
        <v>354.71</v>
      </c>
      <c r="L17" s="51">
        <v>45.72</v>
      </c>
      <c r="M17" s="51">
        <v>31.26</v>
      </c>
      <c r="N17" s="51">
        <v>664.5</v>
      </c>
      <c r="O17" s="51">
        <v>0</v>
      </c>
      <c r="P17" s="51">
        <v>2.59</v>
      </c>
      <c r="Q17" s="51">
        <v>94.35</v>
      </c>
      <c r="R17" s="43"/>
      <c r="S17" s="43"/>
      <c r="T17" s="43"/>
      <c r="U17" s="43"/>
    </row>
    <row r="18" spans="1:21" s="11" customFormat="1" ht="15">
      <c r="A18" s="50" t="s">
        <v>262</v>
      </c>
      <c r="B18" s="51">
        <v>1.72</v>
      </c>
      <c r="C18" s="51">
        <v>46.78</v>
      </c>
      <c r="D18" s="51">
        <v>48.49</v>
      </c>
      <c r="E18" s="51">
        <v>5.71</v>
      </c>
      <c r="F18" s="51">
        <v>4.2699999999999996</v>
      </c>
      <c r="G18" s="51">
        <v>167.45</v>
      </c>
      <c r="H18" s="51">
        <v>47.84</v>
      </c>
      <c r="I18" s="51">
        <v>14.27</v>
      </c>
      <c r="J18" s="51">
        <v>2.61</v>
      </c>
      <c r="K18" s="51">
        <v>335.51</v>
      </c>
      <c r="L18" s="51">
        <v>50.89</v>
      </c>
      <c r="M18" s="51">
        <v>27.45</v>
      </c>
      <c r="N18" s="51">
        <v>815</v>
      </c>
      <c r="O18" s="51">
        <v>0</v>
      </c>
      <c r="P18" s="51">
        <v>2.48</v>
      </c>
      <c r="Q18" s="51">
        <v>90.51</v>
      </c>
      <c r="R18" s="43"/>
      <c r="S18" s="43"/>
      <c r="T18" s="43"/>
      <c r="U18" s="43"/>
    </row>
    <row r="19" spans="1:21" s="11" customFormat="1" ht="15">
      <c r="A19" s="50" t="s">
        <v>263</v>
      </c>
      <c r="B19" s="51">
        <v>1.98</v>
      </c>
      <c r="C19" s="51">
        <v>39.99</v>
      </c>
      <c r="D19" s="51">
        <v>41.31</v>
      </c>
      <c r="E19" s="51">
        <v>4.99</v>
      </c>
      <c r="F19" s="51">
        <v>3.54</v>
      </c>
      <c r="G19" s="51">
        <v>167.45</v>
      </c>
      <c r="H19" s="51">
        <v>45.93</v>
      </c>
      <c r="I19" s="51">
        <v>9.81</v>
      </c>
      <c r="J19" s="51">
        <v>3.53</v>
      </c>
      <c r="K19" s="51">
        <v>325.83</v>
      </c>
      <c r="L19" s="51">
        <v>54.72</v>
      </c>
      <c r="M19" s="51">
        <v>22.45</v>
      </c>
      <c r="N19" s="51">
        <v>1017.40</v>
      </c>
      <c r="O19" s="51">
        <v>0</v>
      </c>
      <c r="P19" s="51">
        <v>2.19</v>
      </c>
      <c r="Q19" s="51">
        <v>80.88</v>
      </c>
      <c r="R19" s="43"/>
      <c r="S19" s="43"/>
      <c r="T19" s="43"/>
      <c r="U19" s="43"/>
    </row>
    <row r="20" spans="1:21" s="11" customFormat="1" ht="15">
      <c r="A20" s="50" t="s">
        <v>264</v>
      </c>
      <c r="B20" s="51">
        <v>1.91</v>
      </c>
      <c r="C20" s="51">
        <v>40.92</v>
      </c>
      <c r="D20" s="51">
        <v>42.81</v>
      </c>
      <c r="E20" s="51">
        <v>4.8899999999999997</v>
      </c>
      <c r="F20" s="51">
        <v>3.59</v>
      </c>
      <c r="G20" s="51">
        <v>143.63999999999999</v>
      </c>
      <c r="H20" s="51">
        <v>45.93</v>
      </c>
      <c r="I20" s="51">
        <v>7.05</v>
      </c>
      <c r="J20" s="51">
        <v>2.64</v>
      </c>
      <c r="K20" s="51">
        <v>336.91</v>
      </c>
      <c r="L20" s="51">
        <v>54.55</v>
      </c>
      <c r="M20" s="51">
        <v>20.66</v>
      </c>
      <c r="N20" s="51">
        <v>929</v>
      </c>
      <c r="O20" s="51">
        <v>0</v>
      </c>
      <c r="P20" s="51">
        <v>2.06</v>
      </c>
      <c r="Q20" s="51">
        <v>75.44</v>
      </c>
      <c r="R20" s="43"/>
      <c r="S20" s="43"/>
      <c r="T20" s="43"/>
      <c r="U20" s="43"/>
    </row>
    <row r="21" spans="1:21" s="11" customFormat="1" ht="15">
      <c r="A21" s="50" t="s">
        <v>265</v>
      </c>
      <c r="B21" s="51">
        <v>1.71</v>
      </c>
      <c r="C21" s="51">
        <v>41.89</v>
      </c>
      <c r="D21" s="51">
        <v>43.60</v>
      </c>
      <c r="E21" s="51">
        <v>4.88</v>
      </c>
      <c r="F21" s="51">
        <v>4.0999999999999996</v>
      </c>
      <c r="G21" s="51">
        <v>120.59</v>
      </c>
      <c r="H21" s="51">
        <v>41.60</v>
      </c>
      <c r="I21" s="51">
        <v>5.73</v>
      </c>
      <c r="J21" s="51">
        <v>2.14</v>
      </c>
      <c r="K21" s="51">
        <v>335.59</v>
      </c>
      <c r="L21" s="51">
        <v>53.25</v>
      </c>
      <c r="M21" s="51">
        <v>20.34</v>
      </c>
      <c r="N21" s="51">
        <v>980.20</v>
      </c>
      <c r="O21" s="51">
        <v>0</v>
      </c>
      <c r="P21" s="51">
        <v>1.95</v>
      </c>
      <c r="Q21" s="51">
        <v>73.87</v>
      </c>
      <c r="R21" s="43"/>
      <c r="S21" s="43"/>
      <c r="T21" s="43"/>
      <c r="U21" s="43"/>
    </row>
    <row r="22" spans="1:21" s="11" customFormat="1" ht="15">
      <c r="A22" s="50" t="s">
        <v>266</v>
      </c>
      <c r="B22" s="51">
        <v>1.56</v>
      </c>
      <c r="C22" s="51">
        <v>40.60</v>
      </c>
      <c r="D22" s="51">
        <v>42.16</v>
      </c>
      <c r="E22" s="51">
        <v>5.08</v>
      </c>
      <c r="F22" s="51">
        <v>7.10</v>
      </c>
      <c r="G22" s="51">
        <v>113.90</v>
      </c>
      <c r="H22" s="51">
        <v>35.729999999999997</v>
      </c>
      <c r="I22" s="51">
        <v>5.19</v>
      </c>
      <c r="J22" s="51">
        <v>1.94</v>
      </c>
      <c r="K22" s="51">
        <v>324.51</v>
      </c>
      <c r="L22" s="51">
        <v>53.22</v>
      </c>
      <c r="M22" s="51">
        <v>19.09</v>
      </c>
      <c r="N22" s="51">
        <v>949</v>
      </c>
      <c r="O22" s="51">
        <v>0</v>
      </c>
      <c r="P22" s="51">
        <v>1.89</v>
      </c>
      <c r="Q22" s="51">
        <v>77.94</v>
      </c>
      <c r="R22" s="43"/>
      <c r="S22" s="43"/>
      <c r="T22" s="43"/>
      <c r="U22" s="43"/>
    </row>
    <row r="23" spans="1:21" s="11" customFormat="1" ht="15">
      <c r="A23" s="50" t="s">
        <v>267</v>
      </c>
      <c r="B23" s="51">
        <v>0.96</v>
      </c>
      <c r="C23" s="51">
        <v>35.86</v>
      </c>
      <c r="D23" s="51">
        <v>36.42</v>
      </c>
      <c r="E23" s="51">
        <v>4.63</v>
      </c>
      <c r="F23" s="51">
        <v>6.21</v>
      </c>
      <c r="G23" s="51">
        <v>100.96</v>
      </c>
      <c r="H23" s="51">
        <v>33.979999999999997</v>
      </c>
      <c r="I23" s="51">
        <v>4.68</v>
      </c>
      <c r="J23" s="51">
        <v>2.5299999999999998</v>
      </c>
      <c r="K23" s="51">
        <v>341.87</v>
      </c>
      <c r="L23" s="51">
        <v>54.19</v>
      </c>
      <c r="M23" s="51">
        <v>18.559999999999999</v>
      </c>
      <c r="N23" s="51">
        <v>782.70</v>
      </c>
      <c r="O23" s="51">
        <v>0</v>
      </c>
      <c r="P23" s="51">
        <v>1.82</v>
      </c>
      <c r="Q23" s="51">
        <v>88.52</v>
      </c>
      <c r="R23" s="43"/>
      <c r="S23" s="43"/>
      <c r="T23" s="43"/>
      <c r="U23" s="43"/>
    </row>
    <row r="24" spans="1:21" s="11" customFormat="1" ht="15">
      <c r="A24" s="50" t="s">
        <v>268</v>
      </c>
      <c r="B24" s="51">
        <v>1.66</v>
      </c>
      <c r="C24" s="51">
        <v>35.04</v>
      </c>
      <c r="D24" s="51">
        <v>36.35</v>
      </c>
      <c r="E24" s="51">
        <v>5.03</v>
      </c>
      <c r="F24" s="51">
        <v>4.16</v>
      </c>
      <c r="G24" s="51">
        <v>100.96</v>
      </c>
      <c r="H24" s="51">
        <v>31.85</v>
      </c>
      <c r="I24" s="51">
        <v>3.99</v>
      </c>
      <c r="J24" s="51">
        <v>2.38</v>
      </c>
      <c r="K24" s="51">
        <v>324.12</v>
      </c>
      <c r="L24" s="51">
        <v>55.03</v>
      </c>
      <c r="M24" s="51">
        <v>18.21</v>
      </c>
      <c r="N24" s="51">
        <v>664.60</v>
      </c>
      <c r="O24" s="51">
        <v>0</v>
      </c>
      <c r="P24" s="51">
        <v>1.76</v>
      </c>
      <c r="Q24" s="51">
        <v>102.22</v>
      </c>
      <c r="R24" s="43"/>
      <c r="S24" s="43"/>
      <c r="T24" s="43"/>
      <c r="U24" s="43"/>
    </row>
    <row r="25" spans="1:21" s="11" customFormat="1" ht="15">
      <c r="A25" s="50" t="s">
        <v>269</v>
      </c>
      <c r="B25" s="51">
        <v>1.70</v>
      </c>
      <c r="C25" s="51">
        <v>37.33</v>
      </c>
      <c r="D25" s="51">
        <v>39.020000000000003</v>
      </c>
      <c r="E25" s="51">
        <v>5.13</v>
      </c>
      <c r="F25" s="51">
        <v>3.84</v>
      </c>
      <c r="G25" s="51">
        <v>100.73</v>
      </c>
      <c r="H25" s="51">
        <v>29.32</v>
      </c>
      <c r="I25" s="51">
        <v>3.78</v>
      </c>
      <c r="J25" s="51">
        <v>1.63</v>
      </c>
      <c r="K25" s="51">
        <v>334.97</v>
      </c>
      <c r="L25" s="51">
        <v>52.94</v>
      </c>
      <c r="M25" s="51">
        <v>17.850000000000001</v>
      </c>
      <c r="N25" s="51">
        <v>453.70</v>
      </c>
      <c r="O25" s="51">
        <v>0</v>
      </c>
      <c r="P25" s="51">
        <v>1.76</v>
      </c>
      <c r="Q25" s="51">
        <v>99.32</v>
      </c>
      <c r="R25" s="43"/>
      <c r="S25" s="43"/>
      <c r="T25" s="43"/>
      <c r="U25" s="43"/>
    </row>
    <row r="26" spans="1:21" s="11" customFormat="1" ht="15">
      <c r="A26" s="50" t="s">
        <v>270</v>
      </c>
      <c r="B26" s="51">
        <v>4</v>
      </c>
      <c r="C26" s="51">
        <v>45.78</v>
      </c>
      <c r="D26" s="51">
        <v>49.78</v>
      </c>
      <c r="E26" s="51">
        <v>5.39</v>
      </c>
      <c r="F26" s="51">
        <v>3.15</v>
      </c>
      <c r="G26" s="51">
        <v>96.86</v>
      </c>
      <c r="H26" s="51">
        <v>26.11</v>
      </c>
      <c r="I26" s="51">
        <v>4.18</v>
      </c>
      <c r="J26" s="51">
        <v>2.17</v>
      </c>
      <c r="K26" s="51">
        <v>330.35</v>
      </c>
      <c r="L26" s="51">
        <v>54.64</v>
      </c>
      <c r="M26" s="51">
        <v>30.60</v>
      </c>
      <c r="N26" s="51">
        <v>133</v>
      </c>
      <c r="O26" s="51">
        <v>0</v>
      </c>
      <c r="P26" s="51">
        <v>1.91</v>
      </c>
      <c r="Q26" s="51">
        <v>112.02</v>
      </c>
      <c r="R26" s="43"/>
      <c r="S26" s="43"/>
      <c r="T26" s="43"/>
      <c r="U26" s="43"/>
    </row>
    <row r="27" spans="1:21" s="11" customFormat="1" ht="15">
      <c r="A27" s="50" t="s">
        <v>271</v>
      </c>
      <c r="B27" s="51">
        <v>5.33</v>
      </c>
      <c r="C27" s="51">
        <v>50.85</v>
      </c>
      <c r="D27" s="51">
        <v>56.18</v>
      </c>
      <c r="E27" s="51">
        <v>5.22</v>
      </c>
      <c r="F27" s="51">
        <v>2.5099999999999998</v>
      </c>
      <c r="G27" s="51">
        <v>118.99</v>
      </c>
      <c r="H27" s="51">
        <v>32.90</v>
      </c>
      <c r="I27" s="51">
        <v>4.82</v>
      </c>
      <c r="J27" s="51">
        <v>3</v>
      </c>
      <c r="K27" s="51">
        <v>315.36</v>
      </c>
      <c r="L27" s="51">
        <v>47.32</v>
      </c>
      <c r="M27" s="51">
        <v>31.82</v>
      </c>
      <c r="N27" s="51">
        <v>84.80</v>
      </c>
      <c r="O27" s="51">
        <v>0</v>
      </c>
      <c r="P27" s="51">
        <v>2.14</v>
      </c>
      <c r="Q27" s="51">
        <v>106.23</v>
      </c>
      <c r="R27" s="43"/>
      <c r="S27" s="43"/>
      <c r="T27" s="43"/>
      <c r="U27" s="43"/>
    </row>
    <row r="28" spans="1:21" s="11" customFormat="1" ht="15">
      <c r="A28" s="50" t="s">
        <v>272</v>
      </c>
      <c r="B28" s="51">
        <v>13.33</v>
      </c>
      <c r="C28" s="51">
        <v>60.36</v>
      </c>
      <c r="D28" s="51">
        <v>73.680000000000007</v>
      </c>
      <c r="E28" s="51">
        <v>5.86</v>
      </c>
      <c r="F28" s="51">
        <v>1.36</v>
      </c>
      <c r="G28" s="51">
        <v>118.99</v>
      </c>
      <c r="H28" s="51">
        <v>32.90</v>
      </c>
      <c r="I28" s="51">
        <v>6.5</v>
      </c>
      <c r="J28" s="51">
        <v>1.38</v>
      </c>
      <c r="K28" s="51">
        <v>286.70</v>
      </c>
      <c r="L28" s="51">
        <v>47.26</v>
      </c>
      <c r="M28" s="51">
        <v>33.68</v>
      </c>
      <c r="N28" s="51">
        <v>77.400000000000006</v>
      </c>
      <c r="O28" s="51">
        <v>0</v>
      </c>
      <c r="P28" s="51">
        <v>2.61</v>
      </c>
      <c r="Q28" s="51">
        <v>101.62</v>
      </c>
      <c r="R28" s="43"/>
      <c r="S28" s="43"/>
      <c r="T28" s="43"/>
      <c r="U28" s="43"/>
    </row>
    <row r="29" spans="1:21" s="11" customFormat="1" ht="15">
      <c r="A29" s="50" t="s">
        <v>273</v>
      </c>
      <c r="B29" s="51">
        <v>15.20</v>
      </c>
      <c r="C29" s="51">
        <v>62.24</v>
      </c>
      <c r="D29" s="51">
        <v>77.430000000000007</v>
      </c>
      <c r="E29" s="51">
        <v>6.12</v>
      </c>
      <c r="F29" s="51">
        <v>1.48</v>
      </c>
      <c r="G29" s="51">
        <v>134.65</v>
      </c>
      <c r="H29" s="51">
        <v>36.369999999999997</v>
      </c>
      <c r="I29" s="51">
        <v>8.3699999999999992</v>
      </c>
      <c r="J29" s="51">
        <v>0.99</v>
      </c>
      <c r="K29" s="51">
        <v>335.84</v>
      </c>
      <c r="L29" s="51">
        <v>50.78</v>
      </c>
      <c r="M29" s="51">
        <v>23.98</v>
      </c>
      <c r="N29" s="51">
        <v>31.10</v>
      </c>
      <c r="O29" s="51">
        <v>0</v>
      </c>
      <c r="P29" s="51">
        <v>2.85</v>
      </c>
      <c r="Q29" s="51">
        <v>95.90</v>
      </c>
      <c r="R29" s="43"/>
      <c r="S29" s="43"/>
      <c r="T29" s="43"/>
      <c r="U29" s="43"/>
    </row>
    <row r="30" spans="1:21" s="11" customFormat="1" ht="15">
      <c r="A30" s="50" t="s">
        <v>274</v>
      </c>
      <c r="B30" s="51">
        <v>18.16</v>
      </c>
      <c r="C30" s="51">
        <v>61.90</v>
      </c>
      <c r="D30" s="51">
        <v>79.430000000000007</v>
      </c>
      <c r="E30" s="51">
        <v>6.49</v>
      </c>
      <c r="F30" s="51">
        <v>1.64</v>
      </c>
      <c r="G30" s="51">
        <v>135.69</v>
      </c>
      <c r="H30" s="51">
        <v>40.479999999999997</v>
      </c>
      <c r="I30" s="51">
        <v>9.32</v>
      </c>
      <c r="J30" s="51">
        <v>1.1100000000000001</v>
      </c>
      <c r="K30" s="51">
        <v>359.14</v>
      </c>
      <c r="L30" s="51">
        <v>46.13</v>
      </c>
      <c r="M30" s="51">
        <v>28.42</v>
      </c>
      <c r="N30" s="51">
        <v>5.80</v>
      </c>
      <c r="O30" s="51">
        <v>0</v>
      </c>
      <c r="P30" s="51">
        <v>2.92</v>
      </c>
      <c r="Q30" s="51">
        <v>97.26</v>
      </c>
      <c r="R30" s="43"/>
      <c r="S30" s="43"/>
      <c r="T30" s="43"/>
      <c r="U30" s="43"/>
    </row>
    <row r="31" spans="1:21" s="11" customFormat="1" ht="15">
      <c r="A31" s="50" t="s">
        <v>275</v>
      </c>
      <c r="B31" s="51">
        <v>11.72</v>
      </c>
      <c r="C31" s="51">
        <v>56.17</v>
      </c>
      <c r="D31" s="51">
        <v>67.89</v>
      </c>
      <c r="E31" s="51">
        <v>6.49</v>
      </c>
      <c r="F31" s="51">
        <v>1.68</v>
      </c>
      <c r="G31" s="51">
        <v>137.56</v>
      </c>
      <c r="H31" s="51">
        <v>40.479999999999997</v>
      </c>
      <c r="I31" s="51">
        <v>9.23</v>
      </c>
      <c r="J31" s="51">
        <v>1.98</v>
      </c>
      <c r="K31" s="51">
        <v>350.07</v>
      </c>
      <c r="L31" s="51">
        <v>45.27</v>
      </c>
      <c r="M31" s="51">
        <v>30</v>
      </c>
      <c r="N31" s="51">
        <v>7.20</v>
      </c>
      <c r="O31" s="51">
        <v>0</v>
      </c>
      <c r="P31" s="51">
        <v>2.73</v>
      </c>
      <c r="Q31" s="51">
        <v>100.76</v>
      </c>
      <c r="R31" s="43"/>
      <c r="S31" s="43"/>
      <c r="T31" s="43"/>
      <c r="U31" s="43"/>
    </row>
    <row r="32" spans="1:21" s="11" customFormat="1" ht="15">
      <c r="A32" s="50" t="s">
        <v>276</v>
      </c>
      <c r="B32" s="51">
        <v>3.27</v>
      </c>
      <c r="C32" s="51">
        <v>45.32</v>
      </c>
      <c r="D32" s="51">
        <v>48.59</v>
      </c>
      <c r="E32" s="51">
        <v>5.36</v>
      </c>
      <c r="F32" s="51">
        <v>1.48</v>
      </c>
      <c r="G32" s="51">
        <v>137.56</v>
      </c>
      <c r="H32" s="51">
        <v>36.299999999999997</v>
      </c>
      <c r="I32" s="51">
        <v>8.2100000000000009</v>
      </c>
      <c r="J32" s="51">
        <v>1.71</v>
      </c>
      <c r="K32" s="51">
        <v>354.74</v>
      </c>
      <c r="L32" s="51">
        <v>44.83</v>
      </c>
      <c r="M32" s="51">
        <v>32.590000000000003</v>
      </c>
      <c r="N32" s="51">
        <v>8.5</v>
      </c>
      <c r="O32" s="51">
        <v>0</v>
      </c>
      <c r="P32" s="51">
        <v>2.36</v>
      </c>
      <c r="Q32" s="51">
        <v>88.27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0.95999999999999996</v>
      </c>
      <c r="C34" s="28">
        <f t="shared" si="0"/>
        <v>35.039999999999999</v>
      </c>
      <c r="D34" s="28">
        <f t="shared" si="0"/>
        <v>36.350000000000001</v>
      </c>
      <c r="E34" s="28">
        <f t="shared" si="0"/>
        <v>4.6299999999999999</v>
      </c>
      <c r="F34" s="28">
        <f t="shared" si="0"/>
        <v>0.35999999999999999</v>
      </c>
      <c r="G34" s="28">
        <f t="shared" si="0"/>
        <v>89.599999999999994</v>
      </c>
      <c r="H34" s="28">
        <f t="shared" si="0"/>
        <v>26.109999999999999</v>
      </c>
      <c r="I34" s="28">
        <f t="shared" si="0"/>
        <v>3.7799999999999998</v>
      </c>
      <c r="J34" s="28">
        <f t="shared" si="0"/>
        <v>0.47999999999999998</v>
      </c>
      <c r="K34" s="28">
        <f t="shared" si="0"/>
        <v>38.649999999999999</v>
      </c>
      <c r="L34" s="28">
        <f t="shared" si="0"/>
        <v>34.630000000000003</v>
      </c>
      <c r="M34" s="28">
        <f t="shared" si="0"/>
        <v>17.850000000000001</v>
      </c>
      <c r="N34" s="28">
        <f t="shared" si="0"/>
        <v>0.59999999999999998</v>
      </c>
      <c r="O34" s="28">
        <f t="shared" si="0"/>
        <v>0</v>
      </c>
      <c r="P34" s="28">
        <f t="shared" si="0"/>
        <v>1.76</v>
      </c>
      <c r="Q34" s="28">
        <f t="shared" si="0"/>
        <v>73.870000000000005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206.03999999999999</v>
      </c>
      <c r="C35" s="29">
        <f t="shared" si="1"/>
        <v>62.719999999999999</v>
      </c>
      <c r="D35" s="29">
        <f t="shared" si="1"/>
        <v>268.75999999999999</v>
      </c>
      <c r="E35" s="29">
        <f t="shared" si="1"/>
        <v>9.1199999999999992</v>
      </c>
      <c r="F35" s="29">
        <f t="shared" si="1"/>
        <v>7.0999999999999996</v>
      </c>
      <c r="G35" s="29">
        <f t="shared" si="1"/>
        <v>397.43000000000001</v>
      </c>
      <c r="H35" s="29">
        <f t="shared" si="1"/>
        <v>90.870000000000005</v>
      </c>
      <c r="I35" s="29">
        <f t="shared" si="1"/>
        <v>28.829999999999998</v>
      </c>
      <c r="J35" s="29">
        <f t="shared" si="1"/>
        <v>3.5299999999999998</v>
      </c>
      <c r="K35" s="29">
        <f t="shared" si="1"/>
        <v>359.13999999999999</v>
      </c>
      <c r="L35" s="29">
        <f t="shared" si="1"/>
        <v>59.310000000000002</v>
      </c>
      <c r="M35" s="29">
        <f t="shared" si="1"/>
        <v>36.520000000000003</v>
      </c>
      <c r="N35" s="29">
        <f t="shared" si="1"/>
        <v>1017.4</v>
      </c>
      <c r="O35" s="29">
        <f t="shared" si="1"/>
        <v>0</v>
      </c>
      <c r="P35" s="29">
        <f t="shared" si="1"/>
        <v>6.0800000000000001</v>
      </c>
      <c r="Q35" s="29">
        <f t="shared" si="1"/>
        <v>208.05000000000001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26.314583333333331</v>
      </c>
      <c r="C36" s="28">
        <f t="shared" si="2"/>
        <v>45.927083333333336</v>
      </c>
      <c r="D36" s="28">
        <f t="shared" si="2"/>
        <v>71.945000000000007</v>
      </c>
      <c r="E36" s="28">
        <f t="shared" si="2"/>
        <v>6.2962500000000006</v>
      </c>
      <c r="F36" s="28">
        <f t="shared" si="2"/>
        <v>2.409583333333333</v>
      </c>
      <c r="G36" s="28">
        <f t="shared" si="2"/>
        <v>144.07541666666665</v>
      </c>
      <c r="H36" s="28">
        <f t="shared" si="2"/>
        <v>45.864583333333336</v>
      </c>
      <c r="I36" s="28">
        <f t="shared" si="2"/>
        <v>10.590833333333334</v>
      </c>
      <c r="J36" s="28">
        <f t="shared" si="2"/>
        <v>1.64625</v>
      </c>
      <c r="K36" s="28">
        <f t="shared" si="2"/>
        <v>316.11583333333334</v>
      </c>
      <c r="L36" s="28">
        <f t="shared" si="2"/>
        <v>48.423750000000005</v>
      </c>
      <c r="M36" s="28">
        <f t="shared" si="2"/>
        <v>28.270833333333332</v>
      </c>
      <c r="N36" s="28">
        <f t="shared" si="2"/>
        <v>360.13043478260869</v>
      </c>
      <c r="O36" s="28">
        <f t="shared" si="2"/>
        <v>0</v>
      </c>
      <c r="P36" s="28">
        <f t="shared" si="2"/>
        <v>2.6445833333333328</v>
      </c>
      <c r="Q36" s="28">
        <f t="shared" si="2"/>
        <v>105.15291666666667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49.063699498860586</v>
      </c>
      <c r="C37" s="28">
        <f t="shared" si="3" ref="C37:Q37">STDEV(C9:C32)</f>
        <v>9.1001660181543507</v>
      </c>
      <c r="D37" s="28">
        <f t="shared" si="3"/>
        <v>53.524858101470997</v>
      </c>
      <c r="E37" s="28">
        <f t="shared" si="3"/>
        <v>1.3523982321272314</v>
      </c>
      <c r="F37" s="28">
        <f t="shared" si="3"/>
        <v>1.860548023909989</v>
      </c>
      <c r="G37" s="28">
        <f t="shared" si="3"/>
        <v>66.6296597997937</v>
      </c>
      <c r="H37" s="28">
        <f t="shared" si="3"/>
        <v>16.079377550997926</v>
      </c>
      <c r="I37" s="28">
        <f t="shared" si="3"/>
        <v>6.6405087001751131</v>
      </c>
      <c r="J37" s="28">
        <f t="shared" si="3"/>
        <v>0.85217273458214837</v>
      </c>
      <c r="K37" s="28">
        <f t="shared" si="3"/>
        <v>66.057962158189113</v>
      </c>
      <c r="L37" s="28">
        <f t="shared" si="3"/>
        <v>6.2147453076638879</v>
      </c>
      <c r="M37" s="28">
        <f t="shared" si="3"/>
        <v>6.4189277966005518</v>
      </c>
      <c r="N37" s="28">
        <f t="shared" si="3"/>
        <v>392.90491613433602</v>
      </c>
      <c r="O37" s="28">
        <f t="shared" si="3"/>
        <v>0</v>
      </c>
      <c r="P37" s="28">
        <f t="shared" si="3"/>
        <v>0.99631485841648038</v>
      </c>
      <c r="Q37" s="28">
        <f t="shared" si="3"/>
        <v>29.613263990426056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2306b7-e791-4247-9a4d-9b2b0700b740}">
  <sheetPr codeName=""/>
  <dimension ref="A1:U119"/>
  <sheetViews>
    <sheetView workbookViewId="0" topLeftCell="A1">
      <pane xSplit="2" ySplit="8" topLeftCell="C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277</v>
      </c>
      <c r="B9" s="51">
        <v>2.2599999999999998</v>
      </c>
      <c r="C9" s="51">
        <v>38.19</v>
      </c>
      <c r="D9" s="51">
        <v>40.450000000000003</v>
      </c>
      <c r="E9" s="51">
        <v>5.74</v>
      </c>
      <c r="F9" s="51">
        <v>1.23</v>
      </c>
      <c r="G9" s="51">
        <v>119.37</v>
      </c>
      <c r="H9" s="51">
        <v>36.299999999999997</v>
      </c>
      <c r="I9" s="51">
        <v>6.37</v>
      </c>
      <c r="J9" s="51">
        <v>0.85</v>
      </c>
      <c r="K9" s="51">
        <v>348.23</v>
      </c>
      <c r="L9" s="51">
        <v>44.95</v>
      </c>
      <c r="M9" s="51">
        <v>33.58</v>
      </c>
      <c r="N9" s="51">
        <v>9.1999999999999993</v>
      </c>
      <c r="O9" s="51">
        <v>0</v>
      </c>
      <c r="P9" s="51">
        <v>2.14</v>
      </c>
      <c r="Q9" s="51">
        <v>84.49</v>
      </c>
      <c r="R9" s="43"/>
      <c r="S9" s="43"/>
      <c r="T9" s="43"/>
      <c r="U9" s="43"/>
    </row>
    <row r="10" spans="1:21" s="11" customFormat="1" ht="15">
      <c r="A10" s="50" t="s">
        <v>278</v>
      </c>
      <c r="B10" s="51">
        <v>2.11</v>
      </c>
      <c r="C10" s="51">
        <v>34.81</v>
      </c>
      <c r="D10" s="51">
        <v>36.93</v>
      </c>
      <c r="E10" s="51">
        <v>6.15</v>
      </c>
      <c r="F10" s="51">
        <v>1.41</v>
      </c>
      <c r="G10" s="51">
        <v>104.85</v>
      </c>
      <c r="H10" s="51">
        <v>33.659999999999997</v>
      </c>
      <c r="I10" s="51">
        <v>6.81</v>
      </c>
      <c r="J10" s="51">
        <v>1.35</v>
      </c>
      <c r="K10" s="51">
        <v>301.49</v>
      </c>
      <c r="L10" s="51">
        <v>46.80</v>
      </c>
      <c r="M10" s="51">
        <v>35.81</v>
      </c>
      <c r="N10" s="51">
        <v>10.30</v>
      </c>
      <c r="O10" s="51">
        <v>0</v>
      </c>
      <c r="P10" s="51">
        <v>2.15</v>
      </c>
      <c r="Q10" s="51">
        <v>76.98</v>
      </c>
      <c r="R10" s="43"/>
      <c r="S10" s="43"/>
      <c r="T10" s="43"/>
      <c r="U10" s="43"/>
    </row>
    <row r="11" spans="1:21" s="11" customFormat="1" ht="15">
      <c r="A11" s="50" t="s">
        <v>279</v>
      </c>
      <c r="B11" s="51">
        <v>1.33</v>
      </c>
      <c r="C11" s="51">
        <v>30.90</v>
      </c>
      <c r="D11" s="51">
        <v>32.24</v>
      </c>
      <c r="E11" s="51">
        <v>6.49</v>
      </c>
      <c r="F11" s="51">
        <v>1.60</v>
      </c>
      <c r="G11" s="51">
        <v>97.10</v>
      </c>
      <c r="H11" s="51">
        <v>35.94</v>
      </c>
      <c r="I11" s="51">
        <v>6.59</v>
      </c>
      <c r="J11" s="51">
        <v>0.93</v>
      </c>
      <c r="K11" s="51">
        <v>282.49</v>
      </c>
      <c r="L11" s="51">
        <v>48.82</v>
      </c>
      <c r="M11" s="51">
        <v>37.450000000000003</v>
      </c>
      <c r="N11" s="51">
        <v>13.90</v>
      </c>
      <c r="O11" s="51">
        <v>0</v>
      </c>
      <c r="P11" s="51">
        <v>2.0299999999999998</v>
      </c>
      <c r="Q11" s="51">
        <v>84.45</v>
      </c>
      <c r="R11" s="43"/>
      <c r="S11" s="43"/>
      <c r="T11" s="43"/>
      <c r="U11" s="43"/>
    </row>
    <row r="12" spans="1:21" s="11" customFormat="1" ht="15">
      <c r="A12" s="50" t="s">
        <v>280</v>
      </c>
      <c r="B12" s="51">
        <v>0.81</v>
      </c>
      <c r="C12" s="51">
        <v>26.18</v>
      </c>
      <c r="D12" s="51">
        <v>26.98</v>
      </c>
      <c r="E12" s="51">
        <v>5.46</v>
      </c>
      <c r="F12" s="51">
        <v>1.36</v>
      </c>
      <c r="G12" s="51">
        <v>89.15</v>
      </c>
      <c r="H12" s="51">
        <v>35.94</v>
      </c>
      <c r="I12" s="51">
        <v>5.77</v>
      </c>
      <c r="J12" s="51">
        <v>1.28</v>
      </c>
      <c r="K12" s="51">
        <v>229.41</v>
      </c>
      <c r="L12" s="51">
        <v>44.96</v>
      </c>
      <c r="M12" s="51">
        <v>37.14</v>
      </c>
      <c r="N12" s="51">
        <v>89.5</v>
      </c>
      <c r="O12" s="51">
        <v>0</v>
      </c>
      <c r="P12" s="51">
        <v>1.91</v>
      </c>
      <c r="Q12" s="51">
        <v>81.37</v>
      </c>
      <c r="R12" s="43"/>
      <c r="S12" s="43"/>
      <c r="T12" s="43"/>
      <c r="U12" s="43"/>
    </row>
    <row r="13" spans="1:21" s="11" customFormat="1" ht="15">
      <c r="A13" s="50" t="s">
        <v>281</v>
      </c>
      <c r="B13" s="51">
        <v>0.85</v>
      </c>
      <c r="C13" s="51">
        <v>24.07</v>
      </c>
      <c r="D13" s="51">
        <v>24.88</v>
      </c>
      <c r="E13" s="51">
        <v>5.47</v>
      </c>
      <c r="F13" s="51">
        <v>1.35</v>
      </c>
      <c r="G13" s="51">
        <v>77.02</v>
      </c>
      <c r="H13" s="51">
        <v>31.87</v>
      </c>
      <c r="I13" s="51">
        <v>4.99</v>
      </c>
      <c r="J13" s="51">
        <v>1.54</v>
      </c>
      <c r="K13" s="51">
        <v>221.05</v>
      </c>
      <c r="L13" s="51">
        <v>43.85</v>
      </c>
      <c r="M13" s="51">
        <v>38.130000000000003</v>
      </c>
      <c r="N13" s="51">
        <v>92.5</v>
      </c>
      <c r="O13" s="51">
        <v>0</v>
      </c>
      <c r="P13" s="51">
        <v>1.81</v>
      </c>
      <c r="Q13" s="51">
        <v>79.38</v>
      </c>
      <c r="R13" s="43"/>
      <c r="S13" s="43"/>
      <c r="T13" s="43"/>
      <c r="U13" s="43"/>
    </row>
    <row r="14" spans="1:21" s="11" customFormat="1" ht="15">
      <c r="A14" s="50" t="s">
        <v>282</v>
      </c>
      <c r="B14" s="51">
        <v>1.60</v>
      </c>
      <c r="C14" s="51">
        <v>24.90</v>
      </c>
      <c r="D14" s="51">
        <v>26.5</v>
      </c>
      <c r="E14" s="51">
        <v>6.23</v>
      </c>
      <c r="F14" s="51">
        <v>0.98</v>
      </c>
      <c r="G14" s="51">
        <v>70.040000000000006</v>
      </c>
      <c r="H14" s="51">
        <v>28.70</v>
      </c>
      <c r="I14" s="51">
        <v>4.18</v>
      </c>
      <c r="J14" s="51">
        <v>1.38</v>
      </c>
      <c r="K14" s="51">
        <v>236.47</v>
      </c>
      <c r="L14" s="51">
        <v>43.96</v>
      </c>
      <c r="M14" s="51">
        <v>39.020000000000003</v>
      </c>
      <c r="N14" s="51">
        <v>119.60</v>
      </c>
      <c r="O14" s="51">
        <v>0</v>
      </c>
      <c r="P14" s="51">
        <v>1.77</v>
      </c>
      <c r="Q14" s="51">
        <v>69.150000000000006</v>
      </c>
      <c r="R14" s="43"/>
      <c r="S14" s="43"/>
      <c r="T14" s="43"/>
      <c r="U14" s="43"/>
    </row>
    <row r="15" spans="1:21" s="11" customFormat="1" ht="15">
      <c r="A15" s="50" t="s">
        <v>283</v>
      </c>
      <c r="B15" s="51">
        <v>3.35</v>
      </c>
      <c r="C15" s="51">
        <v>29.46</v>
      </c>
      <c r="D15" s="51">
        <v>32.81</v>
      </c>
      <c r="E15" s="51">
        <v>6.21</v>
      </c>
      <c r="F15" s="51">
        <v>0.65</v>
      </c>
      <c r="G15" s="51">
        <v>78.25</v>
      </c>
      <c r="H15" s="51">
        <v>27.84</v>
      </c>
      <c r="I15" s="51">
        <v>4.21</v>
      </c>
      <c r="J15" s="51">
        <v>0.67</v>
      </c>
      <c r="K15" s="51">
        <v>275.87</v>
      </c>
      <c r="L15" s="51">
        <v>43.94</v>
      </c>
      <c r="M15" s="51">
        <v>40.549999999999997</v>
      </c>
      <c r="N15" s="51">
        <v>114.5</v>
      </c>
      <c r="O15" s="51">
        <v>0</v>
      </c>
      <c r="P15" s="51">
        <v>1.82</v>
      </c>
      <c r="Q15" s="51">
        <v>83.04</v>
      </c>
      <c r="R15" s="43"/>
      <c r="S15" s="43"/>
      <c r="T15" s="43"/>
      <c r="U15" s="43"/>
    </row>
    <row r="16" spans="1:21" s="11" customFormat="1" ht="15">
      <c r="A16" s="50" t="s">
        <v>284</v>
      </c>
      <c r="B16" s="51">
        <v>5.72</v>
      </c>
      <c r="C16" s="51">
        <v>35.79</v>
      </c>
      <c r="D16" s="51">
        <v>41.5</v>
      </c>
      <c r="E16" s="51">
        <v>5.98</v>
      </c>
      <c r="F16" s="51">
        <v>0.39</v>
      </c>
      <c r="G16" s="51">
        <v>79.87</v>
      </c>
      <c r="H16" s="51">
        <v>31.75</v>
      </c>
      <c r="I16" s="51">
        <v>4.80</v>
      </c>
      <c r="J16" s="51">
        <v>2.5299999999999998</v>
      </c>
      <c r="K16" s="51">
        <v>319.58</v>
      </c>
      <c r="L16" s="51">
        <v>43.25</v>
      </c>
      <c r="M16" s="51">
        <v>42.32</v>
      </c>
      <c r="N16" s="51">
        <v>261</v>
      </c>
      <c r="O16" s="51">
        <v>0</v>
      </c>
      <c r="P16" s="51">
        <v>1.93</v>
      </c>
      <c r="Q16" s="51">
        <v>85.80</v>
      </c>
      <c r="R16" s="43"/>
      <c r="S16" s="43"/>
      <c r="T16" s="43"/>
      <c r="U16" s="43"/>
    </row>
    <row r="17" spans="1:21" s="11" customFormat="1" ht="15">
      <c r="A17" s="50" t="s">
        <v>285</v>
      </c>
      <c r="B17" s="51">
        <v>5.42</v>
      </c>
      <c r="C17" s="51">
        <v>35.99</v>
      </c>
      <c r="D17" s="51">
        <v>41.41</v>
      </c>
      <c r="E17" s="51">
        <v>5.74</v>
      </c>
      <c r="F17" s="51">
        <v>1.81</v>
      </c>
      <c r="G17" s="51">
        <v>87.70</v>
      </c>
      <c r="H17" s="51">
        <v>31.75</v>
      </c>
      <c r="I17" s="51">
        <v>5.42</v>
      </c>
      <c r="J17" s="51">
        <v>3.78</v>
      </c>
      <c r="K17" s="51">
        <v>320.02</v>
      </c>
      <c r="L17" s="51">
        <v>45.67</v>
      </c>
      <c r="M17" s="51">
        <v>40.700000000000003</v>
      </c>
      <c r="N17" s="51">
        <v>409.10</v>
      </c>
      <c r="O17" s="51">
        <v>0</v>
      </c>
      <c r="P17" s="51">
        <v>1.93</v>
      </c>
      <c r="Q17" s="51">
        <v>80.30</v>
      </c>
      <c r="R17" s="43"/>
      <c r="S17" s="43"/>
      <c r="T17" s="43"/>
      <c r="U17" s="43"/>
    </row>
    <row r="18" spans="1:21" s="11" customFormat="1" ht="15">
      <c r="A18" s="50" t="s">
        <v>286</v>
      </c>
      <c r="B18" s="51">
        <v>2.4900000000000002</v>
      </c>
      <c r="C18" s="51">
        <v>33.25</v>
      </c>
      <c r="D18" s="51">
        <v>35.520000000000003</v>
      </c>
      <c r="E18" s="51">
        <v>5.37</v>
      </c>
      <c r="F18" s="51">
        <v>2.33</v>
      </c>
      <c r="G18" s="51">
        <v>87.70</v>
      </c>
      <c r="H18" s="51">
        <v>28.29</v>
      </c>
      <c r="I18" s="51">
        <v>4.88</v>
      </c>
      <c r="J18" s="51">
        <v>3.70</v>
      </c>
      <c r="K18" s="51">
        <v>338.25</v>
      </c>
      <c r="L18" s="51">
        <v>52.32</v>
      </c>
      <c r="M18" s="51">
        <v>34.61</v>
      </c>
      <c r="N18" s="51">
        <v>869.20</v>
      </c>
      <c r="O18" s="51">
        <v>0</v>
      </c>
      <c r="P18" s="51">
        <v>1.96</v>
      </c>
      <c r="Q18" s="51">
        <v>73.84</v>
      </c>
      <c r="R18" s="43"/>
      <c r="S18" s="43"/>
      <c r="T18" s="43"/>
      <c r="U18" s="43"/>
    </row>
    <row r="19" spans="1:21" s="11" customFormat="1" ht="15">
      <c r="A19" s="50" t="s">
        <v>287</v>
      </c>
      <c r="B19" s="51">
        <v>3.07</v>
      </c>
      <c r="C19" s="51">
        <v>37.020000000000003</v>
      </c>
      <c r="D19" s="51">
        <v>39.83</v>
      </c>
      <c r="E19" s="51">
        <v>5.64</v>
      </c>
      <c r="F19" s="51">
        <v>4.18</v>
      </c>
      <c r="G19" s="51">
        <v>81.73</v>
      </c>
      <c r="H19" s="51">
        <v>28.47</v>
      </c>
      <c r="I19" s="51">
        <v>4.55</v>
      </c>
      <c r="J19" s="51">
        <v>3.33</v>
      </c>
      <c r="K19" s="51">
        <v>333.96</v>
      </c>
      <c r="L19" s="51">
        <v>52.64</v>
      </c>
      <c r="M19" s="51">
        <v>28.89</v>
      </c>
      <c r="N19" s="51">
        <v>853</v>
      </c>
      <c r="O19" s="51">
        <v>0</v>
      </c>
      <c r="P19" s="51">
        <v>2.08</v>
      </c>
      <c r="Q19" s="51">
        <v>65.540000000000006</v>
      </c>
      <c r="R19" s="43"/>
      <c r="S19" s="43"/>
      <c r="T19" s="43"/>
      <c r="U19" s="43"/>
    </row>
    <row r="20" spans="1:21" s="11" customFormat="1" ht="15">
      <c r="A20" s="50" t="s">
        <v>288</v>
      </c>
      <c r="B20" s="51">
        <v>3.98</v>
      </c>
      <c r="C20" s="51">
        <v>40.61</v>
      </c>
      <c r="D20" s="51">
        <v>43.73</v>
      </c>
      <c r="E20" s="51">
        <v>3.25</v>
      </c>
      <c r="F20" s="51">
        <v>3.99</v>
      </c>
      <c r="G20" s="51">
        <v>81.06</v>
      </c>
      <c r="H20" s="51">
        <v>28.65</v>
      </c>
      <c r="I20" s="51">
        <v>4.22</v>
      </c>
      <c r="J20" s="51">
        <v>2.73</v>
      </c>
      <c r="K20" s="51">
        <v>322.73</v>
      </c>
      <c r="L20" s="51">
        <v>52.59</v>
      </c>
      <c r="M20" s="51">
        <v>30.92</v>
      </c>
      <c r="N20" s="51">
        <v>1008.60</v>
      </c>
      <c r="O20" s="51">
        <v>0</v>
      </c>
      <c r="P20" s="51">
        <v>2.08</v>
      </c>
      <c r="Q20" s="51">
        <v>92.36</v>
      </c>
      <c r="R20" s="43"/>
      <c r="S20" s="43"/>
      <c r="T20" s="43"/>
      <c r="U20" s="43"/>
    </row>
    <row r="21" spans="1:21" s="11" customFormat="1" ht="15">
      <c r="A21" s="50" t="s">
        <v>289</v>
      </c>
      <c r="B21" s="51">
        <v>2.4700000000000002</v>
      </c>
      <c r="C21" s="51">
        <v>37.65</v>
      </c>
      <c r="D21" s="51">
        <v>39.93</v>
      </c>
      <c r="E21" s="51">
        <v>3.33</v>
      </c>
      <c r="F21" s="51">
        <v>6.17</v>
      </c>
      <c r="G21" s="51">
        <v>77.45</v>
      </c>
      <c r="H21" s="51">
        <v>28.65</v>
      </c>
      <c r="I21" s="51">
        <v>4.1900000000000004</v>
      </c>
      <c r="J21" s="51">
        <v>2.5</v>
      </c>
      <c r="K21" s="51">
        <v>335.05</v>
      </c>
      <c r="L21" s="51">
        <v>56.03</v>
      </c>
      <c r="M21" s="51">
        <v>26.90</v>
      </c>
      <c r="N21" s="51">
        <v>1004.5</v>
      </c>
      <c r="O21" s="51">
        <v>0</v>
      </c>
      <c r="P21" s="51">
        <v>2.06</v>
      </c>
      <c r="Q21" s="51">
        <v>89.96</v>
      </c>
      <c r="R21" s="43"/>
      <c r="S21" s="43"/>
      <c r="T21" s="43"/>
      <c r="U21" s="43"/>
    </row>
    <row r="22" spans="1:21" s="11" customFormat="1" ht="15">
      <c r="A22" s="50" t="s">
        <v>290</v>
      </c>
      <c r="B22" s="51">
        <v>1.61</v>
      </c>
      <c r="C22" s="51">
        <v>39.04</v>
      </c>
      <c r="D22" s="51">
        <v>40.29</v>
      </c>
      <c r="E22" s="51">
        <v>3.45</v>
      </c>
      <c r="F22" s="51">
        <v>6.73</v>
      </c>
      <c r="G22" s="51">
        <v>72.77</v>
      </c>
      <c r="H22" s="51">
        <v>29.12</v>
      </c>
      <c r="I22" s="51">
        <v>4.04</v>
      </c>
      <c r="J22" s="51">
        <v>2.11</v>
      </c>
      <c r="K22" s="51">
        <v>328.29</v>
      </c>
      <c r="L22" s="51">
        <v>55.80</v>
      </c>
      <c r="M22" s="51">
        <v>24.93</v>
      </c>
      <c r="N22" s="51">
        <v>976.10</v>
      </c>
      <c r="O22" s="51">
        <v>0</v>
      </c>
      <c r="P22" s="51">
        <v>1.98</v>
      </c>
      <c r="Q22" s="51">
        <v>123.32</v>
      </c>
      <c r="R22" s="43"/>
      <c r="S22" s="43"/>
      <c r="T22" s="43"/>
      <c r="U22" s="43"/>
    </row>
    <row r="23" spans="1:21" s="11" customFormat="1" ht="15">
      <c r="A23" s="50" t="s">
        <v>291</v>
      </c>
      <c r="B23" s="51">
        <v>2.69</v>
      </c>
      <c r="C23" s="51">
        <v>31.66</v>
      </c>
      <c r="D23" s="51">
        <v>33.54</v>
      </c>
      <c r="E23" s="51">
        <v>3.30</v>
      </c>
      <c r="F23" s="51">
        <v>4.54</v>
      </c>
      <c r="G23" s="51">
        <v>70.010000000000005</v>
      </c>
      <c r="H23" s="51">
        <v>29.12</v>
      </c>
      <c r="I23" s="51">
        <v>3.87</v>
      </c>
      <c r="J23" s="51">
        <v>1.45</v>
      </c>
      <c r="K23" s="51">
        <v>332.01</v>
      </c>
      <c r="L23" s="51">
        <v>52.82</v>
      </c>
      <c r="M23" s="51">
        <v>25.32</v>
      </c>
      <c r="N23" s="51">
        <v>653.79999999999995</v>
      </c>
      <c r="O23" s="51">
        <v>0</v>
      </c>
      <c r="P23" s="51">
        <v>1.94</v>
      </c>
      <c r="Q23" s="51">
        <v>84.78</v>
      </c>
      <c r="R23" s="43"/>
      <c r="S23" s="43"/>
      <c r="T23" s="43"/>
      <c r="U23" s="43"/>
    </row>
    <row r="24" spans="1:21" s="11" customFormat="1" ht="15">
      <c r="A24" s="50" t="s">
        <v>292</v>
      </c>
      <c r="B24" s="51">
        <v>1.39</v>
      </c>
      <c r="C24" s="51">
        <v>33.340000000000003</v>
      </c>
      <c r="D24" s="51">
        <v>34.11</v>
      </c>
      <c r="E24" s="51">
        <v>4.54</v>
      </c>
      <c r="F24" s="51">
        <v>3.82</v>
      </c>
      <c r="G24" s="51">
        <v>80.650000000000006</v>
      </c>
      <c r="H24" s="51">
        <v>29.32</v>
      </c>
      <c r="I24" s="51">
        <v>4.41</v>
      </c>
      <c r="J24" s="51">
        <v>1.58</v>
      </c>
      <c r="K24" s="51">
        <v>333.29</v>
      </c>
      <c r="L24" s="51">
        <v>54.25</v>
      </c>
      <c r="M24" s="51">
        <v>27.07</v>
      </c>
      <c r="N24" s="51">
        <v>564</v>
      </c>
      <c r="O24" s="51">
        <v>0</v>
      </c>
      <c r="P24" s="51">
        <v>2</v>
      </c>
      <c r="Q24" s="51">
        <v>136.16999999999999</v>
      </c>
      <c r="R24" s="43"/>
      <c r="S24" s="43"/>
      <c r="T24" s="43"/>
      <c r="U24" s="43"/>
    </row>
    <row r="25" spans="1:21" s="11" customFormat="1" ht="15">
      <c r="A25" s="50" t="s">
        <v>293</v>
      </c>
      <c r="B25" s="51">
        <v>1.17</v>
      </c>
      <c r="C25" s="51">
        <v>47.09</v>
      </c>
      <c r="D25" s="51">
        <v>47.58</v>
      </c>
      <c r="E25" s="51">
        <v>4.20</v>
      </c>
      <c r="F25" s="51">
        <v>14.11</v>
      </c>
      <c r="G25" s="51">
        <v>81.44</v>
      </c>
      <c r="H25" s="54" t="s">
        <v>18</v>
      </c>
      <c r="I25" s="51">
        <v>6</v>
      </c>
      <c r="J25" s="51">
        <v>1.25</v>
      </c>
      <c r="K25" s="51">
        <v>353.30</v>
      </c>
      <c r="L25" s="51">
        <v>55.98</v>
      </c>
      <c r="M25" s="51">
        <v>27.10</v>
      </c>
      <c r="N25" s="51">
        <v>222.10</v>
      </c>
      <c r="O25" s="51">
        <v>0</v>
      </c>
      <c r="P25" s="51">
        <v>2.10</v>
      </c>
      <c r="Q25" s="51">
        <v>135.63999999999999</v>
      </c>
      <c r="R25" s="43"/>
      <c r="S25" s="43"/>
      <c r="T25" s="43"/>
      <c r="U25" s="43"/>
    </row>
    <row r="26" spans="1:21" s="11" customFormat="1" ht="15">
      <c r="A26" s="50" t="s">
        <v>294</v>
      </c>
      <c r="B26" s="51">
        <v>1.44</v>
      </c>
      <c r="C26" s="51">
        <v>51.64</v>
      </c>
      <c r="D26" s="51">
        <v>53.08</v>
      </c>
      <c r="E26" s="51">
        <v>3.30</v>
      </c>
      <c r="F26" s="51">
        <v>7.44</v>
      </c>
      <c r="G26" s="51">
        <v>54.52</v>
      </c>
      <c r="H26" s="51">
        <v>19.649999999999999</v>
      </c>
      <c r="I26" s="51">
        <v>6.92</v>
      </c>
      <c r="J26" s="51">
        <v>1.83</v>
      </c>
      <c r="K26" s="51">
        <v>348.17</v>
      </c>
      <c r="L26" s="51">
        <v>54.67</v>
      </c>
      <c r="M26" s="51">
        <v>35.56</v>
      </c>
      <c r="N26" s="51">
        <v>144.10</v>
      </c>
      <c r="O26" s="51">
        <v>0</v>
      </c>
      <c r="P26" s="51">
        <v>2.16</v>
      </c>
      <c r="Q26" s="51">
        <v>140.38</v>
      </c>
      <c r="R26" s="43"/>
      <c r="S26" s="43"/>
      <c r="T26" s="43"/>
      <c r="U26" s="43"/>
    </row>
    <row r="27" spans="1:21" s="11" customFormat="1" ht="15">
      <c r="A27" s="50" t="s">
        <v>295</v>
      </c>
      <c r="B27" s="51">
        <v>4.9800000000000004</v>
      </c>
      <c r="C27" s="51">
        <v>70.31</v>
      </c>
      <c r="D27" s="51">
        <v>72.31</v>
      </c>
      <c r="E27" s="51">
        <v>3.79</v>
      </c>
      <c r="F27" s="51">
        <v>2.80</v>
      </c>
      <c r="G27" s="51">
        <v>92.64</v>
      </c>
      <c r="H27" s="51">
        <v>34.909999999999997</v>
      </c>
      <c r="I27" s="51">
        <v>6.77</v>
      </c>
      <c r="J27" s="51">
        <v>1.46</v>
      </c>
      <c r="K27" s="51">
        <v>357.33</v>
      </c>
      <c r="L27" s="51">
        <v>51.20</v>
      </c>
      <c r="M27" s="51">
        <v>34.770000000000003</v>
      </c>
      <c r="N27" s="51">
        <v>78.20</v>
      </c>
      <c r="O27" s="51">
        <v>0</v>
      </c>
      <c r="P27" s="51">
        <v>2.29</v>
      </c>
      <c r="Q27" s="51">
        <v>188.66</v>
      </c>
      <c r="R27" s="43"/>
      <c r="S27" s="43"/>
      <c r="T27" s="43"/>
      <c r="U27" s="43"/>
    </row>
    <row r="28" spans="1:21" s="11" customFormat="1" ht="15">
      <c r="A28" s="50" t="s">
        <v>296</v>
      </c>
      <c r="B28" s="51">
        <v>11.68</v>
      </c>
      <c r="C28" s="51">
        <v>72.98</v>
      </c>
      <c r="D28" s="51">
        <v>81.849999999999994</v>
      </c>
      <c r="E28" s="51">
        <v>5.61</v>
      </c>
      <c r="F28" s="51">
        <v>0.83</v>
      </c>
      <c r="G28" s="51">
        <v>104.71</v>
      </c>
      <c r="H28" s="51">
        <v>36.04</v>
      </c>
      <c r="I28" s="51">
        <v>7.14</v>
      </c>
      <c r="J28" s="51">
        <v>0.43</v>
      </c>
      <c r="K28" s="51">
        <v>347.58</v>
      </c>
      <c r="L28" s="51">
        <v>51.08</v>
      </c>
      <c r="M28" s="51">
        <v>26.64</v>
      </c>
      <c r="N28" s="51">
        <v>104.80</v>
      </c>
      <c r="O28" s="51">
        <v>0</v>
      </c>
      <c r="P28" s="51">
        <v>2.56</v>
      </c>
      <c r="Q28" s="51">
        <v>202.42</v>
      </c>
      <c r="R28" s="43"/>
      <c r="S28" s="43"/>
      <c r="T28" s="43"/>
      <c r="U28" s="43"/>
    </row>
    <row r="29" spans="1:21" s="11" customFormat="1" ht="15">
      <c r="A29" s="50" t="s">
        <v>297</v>
      </c>
      <c r="B29" s="51">
        <v>16.100000000000001</v>
      </c>
      <c r="C29" s="51">
        <v>61.07</v>
      </c>
      <c r="D29" s="51">
        <v>77.180000000000007</v>
      </c>
      <c r="E29" s="51">
        <v>6.24</v>
      </c>
      <c r="F29" s="51">
        <v>1.44</v>
      </c>
      <c r="G29" s="51">
        <v>115.08</v>
      </c>
      <c r="H29" s="51">
        <v>32.17</v>
      </c>
      <c r="I29" s="51">
        <v>8.5299999999999994</v>
      </c>
      <c r="J29" s="51">
        <v>0.84</v>
      </c>
      <c r="K29" s="51">
        <v>326.12</v>
      </c>
      <c r="L29" s="51">
        <v>49.60</v>
      </c>
      <c r="M29" s="51">
        <v>28.02</v>
      </c>
      <c r="N29" s="51">
        <v>77</v>
      </c>
      <c r="O29" s="51">
        <v>0</v>
      </c>
      <c r="P29" s="51">
        <v>2.85</v>
      </c>
      <c r="Q29" s="51">
        <v>179.69</v>
      </c>
      <c r="R29" s="43"/>
      <c r="S29" s="43"/>
      <c r="T29" s="43"/>
      <c r="U29" s="43"/>
    </row>
    <row r="30" spans="1:21" s="11" customFormat="1" ht="15">
      <c r="A30" s="50" t="s">
        <v>298</v>
      </c>
      <c r="B30" s="51">
        <v>13.58</v>
      </c>
      <c r="C30" s="51">
        <v>61.03</v>
      </c>
      <c r="D30" s="51">
        <v>74.61</v>
      </c>
      <c r="E30" s="51">
        <v>5.98</v>
      </c>
      <c r="F30" s="51">
        <v>1.56</v>
      </c>
      <c r="G30" s="51">
        <v>124.86</v>
      </c>
      <c r="H30" s="51">
        <v>37.28</v>
      </c>
      <c r="I30" s="51">
        <v>9.08</v>
      </c>
      <c r="J30" s="51">
        <v>1.56</v>
      </c>
      <c r="K30" s="51">
        <v>235.41</v>
      </c>
      <c r="L30" s="51">
        <v>49.61</v>
      </c>
      <c r="M30" s="51">
        <v>29.12</v>
      </c>
      <c r="N30" s="51">
        <v>53.60</v>
      </c>
      <c r="O30" s="51">
        <v>0</v>
      </c>
      <c r="P30" s="51">
        <v>2.78</v>
      </c>
      <c r="Q30" s="51">
        <v>167.48</v>
      </c>
      <c r="R30" s="43"/>
      <c r="S30" s="43"/>
      <c r="T30" s="43"/>
      <c r="U30" s="43"/>
    </row>
    <row r="31" spans="1:21" s="11" customFormat="1" ht="15">
      <c r="A31" s="50" t="s">
        <v>299</v>
      </c>
      <c r="B31" s="51">
        <v>3</v>
      </c>
      <c r="C31" s="51">
        <v>53.94</v>
      </c>
      <c r="D31" s="51">
        <v>56.94</v>
      </c>
      <c r="E31" s="51">
        <v>5.89</v>
      </c>
      <c r="F31" s="51">
        <v>4.37</v>
      </c>
      <c r="G31" s="51">
        <v>150.33000000000001</v>
      </c>
      <c r="H31" s="51">
        <v>40.82</v>
      </c>
      <c r="I31" s="51">
        <v>8.25</v>
      </c>
      <c r="J31" s="51">
        <v>1.52</v>
      </c>
      <c r="K31" s="51">
        <v>286.27999999999997</v>
      </c>
      <c r="L31" s="51">
        <v>48.38</v>
      </c>
      <c r="M31" s="51">
        <v>39.72</v>
      </c>
      <c r="N31" s="51">
        <v>84.90</v>
      </c>
      <c r="O31" s="51">
        <v>0</v>
      </c>
      <c r="P31" s="51">
        <v>2.54</v>
      </c>
      <c r="Q31" s="51">
        <v>166.61</v>
      </c>
      <c r="R31" s="43"/>
      <c r="S31" s="43"/>
      <c r="T31" s="43"/>
      <c r="U31" s="43"/>
    </row>
    <row r="32" spans="1:21" s="11" customFormat="1" ht="15">
      <c r="A32" s="50" t="s">
        <v>300</v>
      </c>
      <c r="B32" s="51">
        <v>0.47</v>
      </c>
      <c r="C32" s="51">
        <v>37.909999999999997</v>
      </c>
      <c r="D32" s="51">
        <v>38.21</v>
      </c>
      <c r="E32" s="51">
        <v>4.97</v>
      </c>
      <c r="F32" s="51">
        <v>5.07</v>
      </c>
      <c r="G32" s="51">
        <v>166.39</v>
      </c>
      <c r="H32" s="51">
        <v>37</v>
      </c>
      <c r="I32" s="51">
        <v>6.43</v>
      </c>
      <c r="J32" s="51">
        <v>1.05</v>
      </c>
      <c r="K32" s="51">
        <v>348.93</v>
      </c>
      <c r="L32" s="51">
        <v>56.61</v>
      </c>
      <c r="M32" s="51">
        <v>41.81</v>
      </c>
      <c r="N32" s="51">
        <v>88.40</v>
      </c>
      <c r="O32" s="51">
        <v>0</v>
      </c>
      <c r="P32" s="51">
        <v>2.10</v>
      </c>
      <c r="Q32" s="51">
        <v>156.32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0.46999999999999997</v>
      </c>
      <c r="C34" s="28">
        <f t="shared" si="0"/>
        <v>24.07</v>
      </c>
      <c r="D34" s="28">
        <f t="shared" si="0"/>
        <v>24.879999999999999</v>
      </c>
      <c r="E34" s="28">
        <f t="shared" si="0"/>
        <v>3.25</v>
      </c>
      <c r="F34" s="28">
        <f t="shared" si="0"/>
        <v>0.39000000000000001</v>
      </c>
      <c r="G34" s="28">
        <f t="shared" si="0"/>
        <v>54.520000000000003</v>
      </c>
      <c r="H34" s="28">
        <f t="shared" si="0"/>
        <v>19.649999999999999</v>
      </c>
      <c r="I34" s="28">
        <f t="shared" si="0"/>
        <v>3.8700000000000001</v>
      </c>
      <c r="J34" s="28">
        <f t="shared" si="0"/>
        <v>0.42999999999999999</v>
      </c>
      <c r="K34" s="28">
        <f t="shared" si="0"/>
        <v>221.05000000000001</v>
      </c>
      <c r="L34" s="28">
        <f t="shared" si="0"/>
        <v>43.25</v>
      </c>
      <c r="M34" s="28">
        <f t="shared" si="0"/>
        <v>24.93</v>
      </c>
      <c r="N34" s="28">
        <f t="shared" si="0"/>
        <v>9.1999999999999993</v>
      </c>
      <c r="O34" s="28">
        <f t="shared" si="0"/>
        <v>0</v>
      </c>
      <c r="P34" s="28">
        <f t="shared" si="0"/>
        <v>1.77</v>
      </c>
      <c r="Q34" s="28">
        <f t="shared" si="0"/>
        <v>65.540000000000006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16.100000000000001</v>
      </c>
      <c r="C35" s="29">
        <f t="shared" si="1"/>
        <v>72.980000000000004</v>
      </c>
      <c r="D35" s="29">
        <f t="shared" si="1"/>
        <v>81.849999999999994</v>
      </c>
      <c r="E35" s="29">
        <f t="shared" si="1"/>
        <v>6.4900000000000002</v>
      </c>
      <c r="F35" s="29">
        <f t="shared" si="1"/>
        <v>14.109999999999999</v>
      </c>
      <c r="G35" s="29">
        <f t="shared" si="1"/>
        <v>166.38999999999999</v>
      </c>
      <c r="H35" s="29">
        <f t="shared" si="1"/>
        <v>40.82</v>
      </c>
      <c r="I35" s="29">
        <f t="shared" si="1"/>
        <v>9.0800000000000001</v>
      </c>
      <c r="J35" s="29">
        <f t="shared" si="1"/>
        <v>3.7799999999999998</v>
      </c>
      <c r="K35" s="29">
        <f t="shared" si="1"/>
        <v>357.32999999999998</v>
      </c>
      <c r="L35" s="29">
        <f t="shared" si="1"/>
        <v>56.609999999999999</v>
      </c>
      <c r="M35" s="29">
        <f t="shared" si="1"/>
        <v>42.32</v>
      </c>
      <c r="N35" s="29">
        <f t="shared" si="1"/>
        <v>1008.6</v>
      </c>
      <c r="O35" s="29">
        <f t="shared" si="1"/>
        <v>0</v>
      </c>
      <c r="P35" s="29">
        <f t="shared" si="1"/>
        <v>2.8500000000000001</v>
      </c>
      <c r="Q35" s="29">
        <f t="shared" si="1"/>
        <v>202.41999999999999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3.8987499999999997</v>
      </c>
      <c r="C36" s="28">
        <f t="shared" si="2"/>
        <v>41.201250000000002</v>
      </c>
      <c r="D36" s="28">
        <f t="shared" si="2"/>
        <v>44.683750000000003</v>
      </c>
      <c r="E36" s="28">
        <f t="shared" si="2"/>
        <v>5.0970833333333339</v>
      </c>
      <c r="F36" s="28">
        <f t="shared" si="2"/>
        <v>3.3399999999999999</v>
      </c>
      <c r="G36" s="28">
        <f t="shared" si="2"/>
        <v>93.528750000000002</v>
      </c>
      <c r="H36" s="28">
        <f t="shared" si="2"/>
        <v>31.879999999999995</v>
      </c>
      <c r="I36" s="28">
        <f t="shared" si="2"/>
        <v>5.767500000000001</v>
      </c>
      <c r="J36" s="28">
        <f t="shared" si="2"/>
        <v>1.7354166666666666</v>
      </c>
      <c r="K36" s="28">
        <f t="shared" si="2"/>
        <v>310.88791666666668</v>
      </c>
      <c r="L36" s="28">
        <f t="shared" si="2"/>
        <v>49.990833333333335</v>
      </c>
      <c r="M36" s="28">
        <f t="shared" si="2"/>
        <v>33.586666666666666</v>
      </c>
      <c r="N36" s="28">
        <f t="shared" si="2"/>
        <v>329.24583333333334</v>
      </c>
      <c r="O36" s="28">
        <f t="shared" si="2"/>
        <v>0</v>
      </c>
      <c r="P36" s="28">
        <f t="shared" si="2"/>
        <v>2.1237499999999998</v>
      </c>
      <c r="Q36" s="28">
        <f t="shared" si="2"/>
        <v>113.67208333333333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4.121089252908118</v>
      </c>
      <c r="C37" s="28">
        <f t="shared" si="3" ref="C37:Q37">STDEV(C9:C32)</f>
        <v>13.749711874451595</v>
      </c>
      <c r="D37" s="28">
        <f t="shared" si="3"/>
        <v>16.397855324374895</v>
      </c>
      <c r="E37" s="28">
        <f t="shared" si="3"/>
        <v>1.1294611226315954</v>
      </c>
      <c r="F37" s="28">
        <f t="shared" si="3"/>
        <v>3.0679308988306766</v>
      </c>
      <c r="G37" s="28">
        <f t="shared" si="3"/>
        <v>26.058531660141703</v>
      </c>
      <c r="H37" s="28">
        <f t="shared" si="3"/>
        <v>4.5763830497656226</v>
      </c>
      <c r="I37" s="28">
        <f t="shared" si="3"/>
        <v>1.529297224217709</v>
      </c>
      <c r="J37" s="28">
        <f t="shared" si="3"/>
        <v>0.92066128958750537</v>
      </c>
      <c r="K37" s="28">
        <f t="shared" si="3"/>
        <v>42.657072707732311</v>
      </c>
      <c r="L37" s="28">
        <f t="shared" si="3"/>
        <v>4.4709389313136709</v>
      </c>
      <c r="M37" s="28">
        <f t="shared" si="3"/>
        <v>5.7878986700263733</v>
      </c>
      <c r="N37" s="28">
        <f t="shared" si="3"/>
        <v>360.97275216831946</v>
      </c>
      <c r="O37" s="28">
        <f t="shared" si="3"/>
        <v>0</v>
      </c>
      <c r="P37" s="28">
        <f t="shared" si="3"/>
        <v>0.28761103715895819</v>
      </c>
      <c r="Q37" s="28">
        <f t="shared" si="3"/>
        <v>43.241612806181394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b37947-f675-485b-b8ba-37fe0bb802a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301</v>
      </c>
      <c r="B9" s="51">
        <v>0.04</v>
      </c>
      <c r="C9" s="51">
        <v>32.15</v>
      </c>
      <c r="D9" s="51">
        <v>32.19</v>
      </c>
      <c r="E9" s="51">
        <v>4.38</v>
      </c>
      <c r="F9" s="51">
        <v>7.06</v>
      </c>
      <c r="G9" s="51">
        <v>129.79</v>
      </c>
      <c r="H9" s="51">
        <v>32.75</v>
      </c>
      <c r="I9" s="51">
        <v>4.2300000000000004</v>
      </c>
      <c r="J9" s="51">
        <v>1.61</v>
      </c>
      <c r="K9" s="51">
        <v>343.51</v>
      </c>
      <c r="L9" s="51">
        <v>50.84</v>
      </c>
      <c r="M9" s="51">
        <v>47.20</v>
      </c>
      <c r="N9" s="51">
        <v>78.900000000000006</v>
      </c>
      <c r="O9" s="51">
        <v>0</v>
      </c>
      <c r="P9" s="51">
        <v>1.82</v>
      </c>
      <c r="Q9" s="51">
        <v>140.58000000000001</v>
      </c>
      <c r="R9" s="43"/>
      <c r="S9" s="43"/>
      <c r="T9" s="43"/>
      <c r="U9" s="43"/>
    </row>
    <row r="10" spans="1:21" s="11" customFormat="1" ht="15">
      <c r="A10" s="50" t="s">
        <v>302</v>
      </c>
      <c r="B10" s="51">
        <v>0.15</v>
      </c>
      <c r="C10" s="51">
        <v>22.09</v>
      </c>
      <c r="D10" s="51">
        <v>22.24</v>
      </c>
      <c r="E10" s="51">
        <v>4.16</v>
      </c>
      <c r="F10" s="51">
        <v>5.27</v>
      </c>
      <c r="G10" s="51">
        <v>112.33</v>
      </c>
      <c r="H10" s="51">
        <v>27.95</v>
      </c>
      <c r="I10" s="51">
        <v>2.64</v>
      </c>
      <c r="J10" s="51">
        <v>0.79</v>
      </c>
      <c r="K10" s="51">
        <v>251.41</v>
      </c>
      <c r="L10" s="51">
        <v>44.23</v>
      </c>
      <c r="M10" s="51">
        <v>49.32</v>
      </c>
      <c r="N10" s="51">
        <v>81.20</v>
      </c>
      <c r="O10" s="51">
        <v>0</v>
      </c>
      <c r="P10" s="51">
        <v>1.71</v>
      </c>
      <c r="Q10" s="51">
        <v>123.14</v>
      </c>
      <c r="R10" s="43"/>
      <c r="S10" s="43"/>
      <c r="T10" s="43"/>
      <c r="U10" s="43"/>
    </row>
    <row r="11" spans="1:21" s="11" customFormat="1" ht="15">
      <c r="A11" s="50" t="s">
        <v>303</v>
      </c>
      <c r="B11" s="51">
        <v>0.56000000000000005</v>
      </c>
      <c r="C11" s="51">
        <v>21.80</v>
      </c>
      <c r="D11" s="51">
        <v>22.23</v>
      </c>
      <c r="E11" s="51">
        <v>4.72</v>
      </c>
      <c r="F11" s="51">
        <v>3.61</v>
      </c>
      <c r="G11" s="51">
        <v>87.97</v>
      </c>
      <c r="H11" s="51">
        <v>25.20</v>
      </c>
      <c r="I11" s="51">
        <v>2.29</v>
      </c>
      <c r="J11" s="51">
        <v>0.90</v>
      </c>
      <c r="K11" s="51">
        <v>349.66</v>
      </c>
      <c r="L11" s="51">
        <v>42.19</v>
      </c>
      <c r="M11" s="51">
        <v>50.11</v>
      </c>
      <c r="N11" s="51">
        <v>100.90</v>
      </c>
      <c r="O11" s="51">
        <v>0</v>
      </c>
      <c r="P11" s="51">
        <v>1.65</v>
      </c>
      <c r="Q11" s="51">
        <v>116.27</v>
      </c>
      <c r="R11" s="43"/>
      <c r="S11" s="43"/>
      <c r="T11" s="43"/>
      <c r="U11" s="43"/>
    </row>
    <row r="12" spans="1:21" s="11" customFormat="1" ht="15">
      <c r="A12" s="50" t="s">
        <v>304</v>
      </c>
      <c r="B12" s="51">
        <v>0.20</v>
      </c>
      <c r="C12" s="51">
        <v>20.23</v>
      </c>
      <c r="D12" s="51">
        <v>20.43</v>
      </c>
      <c r="E12" s="51">
        <v>4.70</v>
      </c>
      <c r="F12" s="51">
        <v>4.3899999999999997</v>
      </c>
      <c r="G12" s="51">
        <v>58.90</v>
      </c>
      <c r="H12" s="51">
        <v>22.37</v>
      </c>
      <c r="I12" s="51">
        <v>2.14</v>
      </c>
      <c r="J12" s="51">
        <v>0.34</v>
      </c>
      <c r="K12" s="51">
        <v>334.43</v>
      </c>
      <c r="L12" s="51">
        <v>44.85</v>
      </c>
      <c r="M12" s="51">
        <v>47.42</v>
      </c>
      <c r="N12" s="51">
        <v>93.20</v>
      </c>
      <c r="O12" s="51">
        <v>0</v>
      </c>
      <c r="P12" s="51">
        <v>1.66</v>
      </c>
      <c r="Q12" s="51">
        <v>111.43</v>
      </c>
      <c r="R12" s="43"/>
      <c r="S12" s="43"/>
      <c r="T12" s="43"/>
      <c r="U12" s="43"/>
    </row>
    <row r="13" spans="1:21" s="11" customFormat="1" ht="15">
      <c r="A13" s="50" t="s">
        <v>305</v>
      </c>
      <c r="B13" s="51">
        <v>0.28000000000000003</v>
      </c>
      <c r="C13" s="51">
        <v>23.25</v>
      </c>
      <c r="D13" s="51">
        <v>23.53</v>
      </c>
      <c r="E13" s="51">
        <v>5.15</v>
      </c>
      <c r="F13" s="51">
        <v>3.03</v>
      </c>
      <c r="G13" s="51">
        <v>52.81</v>
      </c>
      <c r="H13" s="51">
        <v>22.37</v>
      </c>
      <c r="I13" s="51">
        <v>2.12</v>
      </c>
      <c r="J13" s="51">
        <v>1.08</v>
      </c>
      <c r="K13" s="51">
        <v>222.98</v>
      </c>
      <c r="L13" s="51">
        <v>43.90</v>
      </c>
      <c r="M13" s="51">
        <v>46.96</v>
      </c>
      <c r="N13" s="51">
        <v>108.20</v>
      </c>
      <c r="O13" s="51">
        <v>0</v>
      </c>
      <c r="P13" s="51">
        <v>1.65</v>
      </c>
      <c r="Q13" s="51">
        <v>111.24</v>
      </c>
      <c r="R13" s="43"/>
      <c r="S13" s="43"/>
      <c r="T13" s="43"/>
      <c r="U13" s="43"/>
    </row>
    <row r="14" spans="1:21" s="11" customFormat="1" ht="15">
      <c r="A14" s="50" t="s">
        <v>306</v>
      </c>
      <c r="B14" s="51">
        <v>0.48</v>
      </c>
      <c r="C14" s="51">
        <v>24.06</v>
      </c>
      <c r="D14" s="51">
        <v>24.55</v>
      </c>
      <c r="E14" s="51">
        <v>5.24</v>
      </c>
      <c r="F14" s="51">
        <v>3.89</v>
      </c>
      <c r="G14" s="51">
        <v>38.10</v>
      </c>
      <c r="H14" s="51">
        <v>20.38</v>
      </c>
      <c r="I14" s="51">
        <v>2.21</v>
      </c>
      <c r="J14" s="51">
        <v>0.98</v>
      </c>
      <c r="K14" s="51">
        <v>333.34</v>
      </c>
      <c r="L14" s="51">
        <v>41.26</v>
      </c>
      <c r="M14" s="51">
        <v>46.23</v>
      </c>
      <c r="N14" s="51">
        <v>117.10</v>
      </c>
      <c r="O14" s="51">
        <v>0</v>
      </c>
      <c r="P14" s="51">
        <v>1.67</v>
      </c>
      <c r="Q14" s="51">
        <v>119.22</v>
      </c>
      <c r="R14" s="43"/>
      <c r="S14" s="43"/>
      <c r="T14" s="43"/>
      <c r="U14" s="43"/>
    </row>
    <row r="15" spans="1:21" s="11" customFormat="1" ht="15">
      <c r="A15" s="50" t="s">
        <v>307</v>
      </c>
      <c r="B15" s="51">
        <v>0.62</v>
      </c>
      <c r="C15" s="51">
        <v>25.44</v>
      </c>
      <c r="D15" s="51">
        <v>26.02</v>
      </c>
      <c r="E15" s="51">
        <v>4.9800000000000004</v>
      </c>
      <c r="F15" s="51">
        <v>2.72</v>
      </c>
      <c r="G15" s="51">
        <v>41.31</v>
      </c>
      <c r="H15" s="51">
        <v>15.84</v>
      </c>
      <c r="I15" s="51">
        <v>2.40</v>
      </c>
      <c r="J15" s="51">
        <v>1.28</v>
      </c>
      <c r="K15" s="51">
        <v>233.46</v>
      </c>
      <c r="L15" s="51">
        <v>42.53</v>
      </c>
      <c r="M15" s="51">
        <v>48.44</v>
      </c>
      <c r="N15" s="51">
        <v>322.20</v>
      </c>
      <c r="O15" s="51">
        <v>0</v>
      </c>
      <c r="P15" s="51">
        <v>1.72</v>
      </c>
      <c r="Q15" s="51">
        <v>111.70</v>
      </c>
      <c r="R15" s="43"/>
      <c r="S15" s="43"/>
      <c r="T15" s="43"/>
      <c r="U15" s="43"/>
    </row>
    <row r="16" spans="1:21" s="11" customFormat="1" ht="15">
      <c r="A16" s="50" t="s">
        <v>308</v>
      </c>
      <c r="B16" s="51">
        <v>0.60</v>
      </c>
      <c r="C16" s="51">
        <v>25.96</v>
      </c>
      <c r="D16" s="51">
        <v>26.37</v>
      </c>
      <c r="E16" s="51">
        <v>5.08</v>
      </c>
      <c r="F16" s="51">
        <v>3.29</v>
      </c>
      <c r="G16" s="51">
        <v>47.59</v>
      </c>
      <c r="H16" s="51">
        <v>18.20</v>
      </c>
      <c r="I16" s="51">
        <v>2.66</v>
      </c>
      <c r="J16" s="51">
        <v>1.05</v>
      </c>
      <c r="K16" s="51">
        <v>240.02</v>
      </c>
      <c r="L16" s="51">
        <v>44.23</v>
      </c>
      <c r="M16" s="51">
        <v>49.45</v>
      </c>
      <c r="N16" s="51">
        <v>560.29999999999995</v>
      </c>
      <c r="O16" s="51">
        <v>0</v>
      </c>
      <c r="P16" s="51">
        <v>1.77</v>
      </c>
      <c r="Q16" s="51">
        <v>106.48</v>
      </c>
      <c r="R16" s="43"/>
      <c r="S16" s="43"/>
      <c r="T16" s="43"/>
      <c r="U16" s="43"/>
    </row>
    <row r="17" spans="1:21" s="11" customFormat="1" ht="15">
      <c r="A17" s="50" t="s">
        <v>309</v>
      </c>
      <c r="B17" s="51">
        <v>0.51</v>
      </c>
      <c r="C17" s="51">
        <v>29.04</v>
      </c>
      <c r="D17" s="51">
        <v>29.49</v>
      </c>
      <c r="E17" s="51">
        <v>4.97</v>
      </c>
      <c r="F17" s="51">
        <v>3.98</v>
      </c>
      <c r="G17" s="51">
        <v>57.21</v>
      </c>
      <c r="H17" s="51">
        <v>23.91</v>
      </c>
      <c r="I17" s="51">
        <v>2.81</v>
      </c>
      <c r="J17" s="51">
        <v>1.1100000000000001</v>
      </c>
      <c r="K17" s="51">
        <v>355.53</v>
      </c>
      <c r="L17" s="51">
        <v>47.34</v>
      </c>
      <c r="M17" s="51">
        <v>47.35</v>
      </c>
      <c r="N17" s="51">
        <v>741.10</v>
      </c>
      <c r="O17" s="51">
        <v>0</v>
      </c>
      <c r="P17" s="51">
        <v>1.82</v>
      </c>
      <c r="Q17" s="51">
        <v>98.71</v>
      </c>
      <c r="R17" s="43"/>
      <c r="S17" s="43"/>
      <c r="T17" s="43"/>
      <c r="U17" s="43"/>
    </row>
    <row r="18" spans="1:21" s="11" customFormat="1" ht="15">
      <c r="A18" s="50" t="s">
        <v>310</v>
      </c>
      <c r="B18" s="51">
        <v>0.39</v>
      </c>
      <c r="C18" s="51">
        <v>28.81</v>
      </c>
      <c r="D18" s="51">
        <v>29.16</v>
      </c>
      <c r="E18" s="51">
        <v>4.54</v>
      </c>
      <c r="F18" s="51">
        <v>6.02</v>
      </c>
      <c r="G18" s="51">
        <v>66.97</v>
      </c>
      <c r="H18" s="51">
        <v>26.38</v>
      </c>
      <c r="I18" s="51">
        <v>3.01</v>
      </c>
      <c r="J18" s="51">
        <v>1.1499999999999999</v>
      </c>
      <c r="K18" s="51">
        <v>355.18</v>
      </c>
      <c r="L18" s="51">
        <v>51.78</v>
      </c>
      <c r="M18" s="51">
        <v>40.340000000000003</v>
      </c>
      <c r="N18" s="51">
        <v>962</v>
      </c>
      <c r="O18" s="51">
        <v>0</v>
      </c>
      <c r="P18" s="51">
        <v>1.89</v>
      </c>
      <c r="Q18" s="51">
        <v>93.57</v>
      </c>
      <c r="R18" s="43"/>
      <c r="S18" s="43"/>
      <c r="T18" s="43"/>
      <c r="U18" s="43"/>
    </row>
    <row r="19" spans="1:21" s="11" customFormat="1" ht="15">
      <c r="A19" s="50" t="s">
        <v>311</v>
      </c>
      <c r="B19" s="51">
        <v>0.46</v>
      </c>
      <c r="C19" s="51">
        <v>29.62</v>
      </c>
      <c r="D19" s="51">
        <v>30.05</v>
      </c>
      <c r="E19" s="51">
        <v>4.88</v>
      </c>
      <c r="F19" s="51">
        <v>6.98</v>
      </c>
      <c r="G19" s="51">
        <v>74.80</v>
      </c>
      <c r="H19" s="51">
        <v>23.71</v>
      </c>
      <c r="I19" s="51">
        <v>3.64</v>
      </c>
      <c r="J19" s="51">
        <v>1.20</v>
      </c>
      <c r="K19" s="51">
        <v>334.69</v>
      </c>
      <c r="L19" s="51">
        <v>50.86</v>
      </c>
      <c r="M19" s="51">
        <v>38.46</v>
      </c>
      <c r="N19" s="51">
        <v>906.40</v>
      </c>
      <c r="O19" s="51">
        <v>0</v>
      </c>
      <c r="P19" s="51">
        <v>2.10</v>
      </c>
      <c r="Q19" s="51">
        <v>70.59</v>
      </c>
      <c r="R19" s="43"/>
      <c r="S19" s="43"/>
      <c r="T19" s="43"/>
      <c r="U19" s="43"/>
    </row>
    <row r="20" spans="1:21" s="11" customFormat="1" ht="15">
      <c r="A20" s="50" t="s">
        <v>312</v>
      </c>
      <c r="B20" s="51">
        <v>0.52</v>
      </c>
      <c r="C20" s="51">
        <v>35.33</v>
      </c>
      <c r="D20" s="51">
        <v>35.729999999999997</v>
      </c>
      <c r="E20" s="51">
        <v>3.92</v>
      </c>
      <c r="F20" s="51">
        <v>7.64</v>
      </c>
      <c r="G20" s="51">
        <v>90.54</v>
      </c>
      <c r="H20" s="51">
        <v>24.37</v>
      </c>
      <c r="I20" s="51">
        <v>6.13</v>
      </c>
      <c r="J20" s="51">
        <v>0.88</v>
      </c>
      <c r="K20" s="51">
        <v>357.96</v>
      </c>
      <c r="L20" s="51">
        <v>50.79</v>
      </c>
      <c r="M20" s="51">
        <v>36.26</v>
      </c>
      <c r="N20" s="51">
        <v>938</v>
      </c>
      <c r="O20" s="51">
        <v>0</v>
      </c>
      <c r="P20" s="51">
        <v>2.23</v>
      </c>
      <c r="Q20" s="51">
        <v>71.61</v>
      </c>
      <c r="R20" s="43"/>
      <c r="S20" s="43"/>
      <c r="T20" s="43"/>
      <c r="U20" s="43"/>
    </row>
    <row r="21" spans="1:21" s="11" customFormat="1" ht="15">
      <c r="A21" s="50" t="s">
        <v>313</v>
      </c>
      <c r="B21" s="51">
        <v>0.28000000000000003</v>
      </c>
      <c r="C21" s="51">
        <v>32.85</v>
      </c>
      <c r="D21" s="51">
        <v>33.06</v>
      </c>
      <c r="E21" s="51">
        <v>3.81</v>
      </c>
      <c r="F21" s="51">
        <v>8.11</v>
      </c>
      <c r="G21" s="51">
        <v>94.45</v>
      </c>
      <c r="H21" s="51">
        <v>25.01</v>
      </c>
      <c r="I21" s="51">
        <v>6.27</v>
      </c>
      <c r="J21" s="51">
        <v>1.23</v>
      </c>
      <c r="K21" s="51">
        <v>336.35</v>
      </c>
      <c r="L21" s="51">
        <v>50.84</v>
      </c>
      <c r="M21" s="51">
        <v>37.299999999999997</v>
      </c>
      <c r="N21" s="51">
        <v>741.5</v>
      </c>
      <c r="O21" s="51">
        <v>0</v>
      </c>
      <c r="P21" s="51">
        <v>2.25</v>
      </c>
      <c r="Q21" s="51">
        <v>66.37</v>
      </c>
      <c r="R21" s="43"/>
      <c r="S21" s="43"/>
      <c r="T21" s="43"/>
      <c r="U21" s="43"/>
    </row>
    <row r="22" spans="1:21" s="11" customFormat="1" ht="15">
      <c r="A22" s="50" t="s">
        <v>314</v>
      </c>
      <c r="B22" s="51">
        <v>0.34</v>
      </c>
      <c r="C22" s="51">
        <v>32.99</v>
      </c>
      <c r="D22" s="51">
        <v>33.33</v>
      </c>
      <c r="E22" s="51">
        <v>3.61</v>
      </c>
      <c r="F22" s="51">
        <v>8.11</v>
      </c>
      <c r="G22" s="51">
        <v>92.07</v>
      </c>
      <c r="H22" s="51">
        <v>26.70</v>
      </c>
      <c r="I22" s="51">
        <v>5.81</v>
      </c>
      <c r="J22" s="51">
        <v>0.84</v>
      </c>
      <c r="K22" s="51">
        <v>356.87</v>
      </c>
      <c r="L22" s="51">
        <v>49.92</v>
      </c>
      <c r="M22" s="51">
        <v>36.44</v>
      </c>
      <c r="N22" s="51">
        <v>750.70</v>
      </c>
      <c r="O22" s="51">
        <v>0</v>
      </c>
      <c r="P22" s="51">
        <v>2.19</v>
      </c>
      <c r="Q22" s="51">
        <v>67.62</v>
      </c>
      <c r="R22" s="43"/>
      <c r="S22" s="43"/>
      <c r="T22" s="43"/>
      <c r="U22" s="43"/>
    </row>
    <row r="23" spans="1:21" s="11" customFormat="1" ht="15">
      <c r="A23" s="50" t="s">
        <v>315</v>
      </c>
      <c r="B23" s="51">
        <v>0.66</v>
      </c>
      <c r="C23" s="51">
        <v>32.58</v>
      </c>
      <c r="D23" s="51">
        <v>33.07</v>
      </c>
      <c r="E23" s="51">
        <v>3.95</v>
      </c>
      <c r="F23" s="51">
        <v>7.42</v>
      </c>
      <c r="G23" s="51">
        <v>90.81</v>
      </c>
      <c r="H23" s="51">
        <v>28.55</v>
      </c>
      <c r="I23" s="51">
        <v>5.60</v>
      </c>
      <c r="J23" s="51">
        <v>1.1499999999999999</v>
      </c>
      <c r="K23" s="51">
        <v>335.86</v>
      </c>
      <c r="L23" s="51">
        <v>50.61</v>
      </c>
      <c r="M23" s="51">
        <v>34.28</v>
      </c>
      <c r="N23" s="51">
        <v>725.80</v>
      </c>
      <c r="O23" s="51">
        <v>0</v>
      </c>
      <c r="P23" s="51">
        <v>2.16</v>
      </c>
      <c r="Q23" s="51">
        <v>68.040000000000006</v>
      </c>
      <c r="R23" s="43"/>
      <c r="S23" s="43"/>
      <c r="T23" s="43"/>
      <c r="U23" s="43"/>
    </row>
    <row r="24" spans="1:21" s="11" customFormat="1" ht="15">
      <c r="A24" s="50" t="s">
        <v>316</v>
      </c>
      <c r="B24" s="51">
        <v>0.34</v>
      </c>
      <c r="C24" s="51">
        <v>32.5</v>
      </c>
      <c r="D24" s="51">
        <v>32.840000000000003</v>
      </c>
      <c r="E24" s="51">
        <v>4.42</v>
      </c>
      <c r="F24" s="51">
        <v>7.38</v>
      </c>
      <c r="G24" s="51">
        <v>91.09</v>
      </c>
      <c r="H24" s="51">
        <v>30.08</v>
      </c>
      <c r="I24" s="51">
        <v>5.93</v>
      </c>
      <c r="J24" s="51">
        <v>1.42</v>
      </c>
      <c r="K24" s="51">
        <v>282.51</v>
      </c>
      <c r="L24" s="51">
        <v>55.77</v>
      </c>
      <c r="M24" s="51">
        <v>30.63</v>
      </c>
      <c r="N24" s="51">
        <v>608.79999999999995</v>
      </c>
      <c r="O24" s="51">
        <v>0</v>
      </c>
      <c r="P24" s="51">
        <v>2.16</v>
      </c>
      <c r="Q24" s="51">
        <v>55.73</v>
      </c>
      <c r="R24" s="43"/>
      <c r="S24" s="43"/>
      <c r="T24" s="43"/>
      <c r="U24" s="43"/>
    </row>
    <row r="25" spans="1:21" s="11" customFormat="1" ht="15">
      <c r="A25" s="50" t="s">
        <v>317</v>
      </c>
      <c r="B25" s="51">
        <v>0.59</v>
      </c>
      <c r="C25" s="51">
        <v>33.57</v>
      </c>
      <c r="D25" s="51">
        <v>33.92</v>
      </c>
      <c r="E25" s="51">
        <v>4.4000000000000004</v>
      </c>
      <c r="F25" s="51">
        <v>6.70</v>
      </c>
      <c r="G25" s="51">
        <v>93.06</v>
      </c>
      <c r="H25" s="51">
        <v>30.83</v>
      </c>
      <c r="I25" s="51">
        <v>5.82</v>
      </c>
      <c r="J25" s="51">
        <v>2.89</v>
      </c>
      <c r="K25" s="51">
        <v>346.61</v>
      </c>
      <c r="L25" s="51">
        <v>54.19</v>
      </c>
      <c r="M25" s="51">
        <v>31.16</v>
      </c>
      <c r="N25" s="51">
        <v>296.80</v>
      </c>
      <c r="O25" s="51">
        <v>0</v>
      </c>
      <c r="P25" s="51">
        <v>2.13</v>
      </c>
      <c r="Q25" s="51">
        <v>69.05</v>
      </c>
      <c r="R25" s="43"/>
      <c r="S25" s="43"/>
      <c r="T25" s="43"/>
      <c r="U25" s="43"/>
    </row>
    <row r="26" spans="1:21" s="11" customFormat="1" ht="15">
      <c r="A26" s="50" t="s">
        <v>318</v>
      </c>
      <c r="B26" s="51">
        <v>1.90</v>
      </c>
      <c r="C26" s="51">
        <v>37.229999999999997</v>
      </c>
      <c r="D26" s="51">
        <v>39.130000000000003</v>
      </c>
      <c r="E26" s="51">
        <v>5.72</v>
      </c>
      <c r="F26" s="51">
        <v>3.69</v>
      </c>
      <c r="G26" s="51">
        <v>101.33</v>
      </c>
      <c r="H26" s="51">
        <v>23.46</v>
      </c>
      <c r="I26" s="51">
        <v>5.43</v>
      </c>
      <c r="J26" s="51">
        <v>4.37</v>
      </c>
      <c r="K26" s="51">
        <v>328.48</v>
      </c>
      <c r="L26" s="51">
        <v>43.99</v>
      </c>
      <c r="M26" s="51">
        <v>50.91</v>
      </c>
      <c r="N26" s="51">
        <v>37.40</v>
      </c>
      <c r="O26" s="51">
        <v>0</v>
      </c>
      <c r="P26" s="51">
        <v>2.17</v>
      </c>
      <c r="Q26" s="51">
        <v>69.16</v>
      </c>
      <c r="R26" s="43"/>
      <c r="S26" s="43"/>
      <c r="T26" s="43"/>
      <c r="U26" s="43"/>
    </row>
    <row r="27" spans="1:21" s="11" customFormat="1" ht="15">
      <c r="A27" s="50" t="s">
        <v>319</v>
      </c>
      <c r="B27" s="51">
        <v>3.12</v>
      </c>
      <c r="C27" s="51">
        <v>41.63</v>
      </c>
      <c r="D27" s="51">
        <v>44.75</v>
      </c>
      <c r="E27" s="51">
        <v>5.99</v>
      </c>
      <c r="F27" s="51">
        <v>3.01</v>
      </c>
      <c r="G27" s="51">
        <v>104.22</v>
      </c>
      <c r="H27" s="51">
        <v>27.70</v>
      </c>
      <c r="I27" s="51">
        <v>5.62</v>
      </c>
      <c r="J27" s="51">
        <v>2.09</v>
      </c>
      <c r="K27" s="51">
        <v>343.80</v>
      </c>
      <c r="L27" s="51">
        <v>46.63</v>
      </c>
      <c r="M27" s="51">
        <v>49.47</v>
      </c>
      <c r="N27" s="51">
        <v>1.30</v>
      </c>
      <c r="O27" s="51">
        <v>0</v>
      </c>
      <c r="P27" s="51">
        <v>2.2599999999999998</v>
      </c>
      <c r="Q27" s="51">
        <v>87.93</v>
      </c>
      <c r="R27" s="43"/>
      <c r="S27" s="43"/>
      <c r="T27" s="43"/>
      <c r="U27" s="43"/>
    </row>
    <row r="28" spans="1:21" s="11" customFormat="1" ht="15">
      <c r="A28" s="50" t="s">
        <v>320</v>
      </c>
      <c r="B28" s="51">
        <v>8.52</v>
      </c>
      <c r="C28" s="51">
        <v>48.75</v>
      </c>
      <c r="D28" s="51">
        <v>57.26</v>
      </c>
      <c r="E28" s="51">
        <v>6.80</v>
      </c>
      <c r="F28" s="51">
        <v>2.02</v>
      </c>
      <c r="G28" s="51">
        <v>115.27</v>
      </c>
      <c r="H28" s="51">
        <v>30.58</v>
      </c>
      <c r="I28" s="51">
        <v>7.13</v>
      </c>
      <c r="J28" s="51">
        <v>4.75</v>
      </c>
      <c r="K28" s="51">
        <v>336.84</v>
      </c>
      <c r="L28" s="51">
        <v>44.27</v>
      </c>
      <c r="M28" s="51">
        <v>50.49</v>
      </c>
      <c r="N28" s="51">
        <v>7.10</v>
      </c>
      <c r="O28" s="51">
        <v>1.40</v>
      </c>
      <c r="P28" s="51">
        <v>2.57</v>
      </c>
      <c r="Q28" s="51">
        <v>78.37</v>
      </c>
      <c r="R28" s="43"/>
      <c r="S28" s="43"/>
      <c r="T28" s="43"/>
      <c r="U28" s="43"/>
    </row>
    <row r="29" spans="1:21" s="11" customFormat="1" ht="15">
      <c r="A29" s="50" t="s">
        <v>321</v>
      </c>
      <c r="B29" s="51">
        <v>4.26</v>
      </c>
      <c r="C29" s="51">
        <v>46.77</v>
      </c>
      <c r="D29" s="51">
        <v>51.02</v>
      </c>
      <c r="E29" s="51">
        <v>6.57</v>
      </c>
      <c r="F29" s="51">
        <v>3.94</v>
      </c>
      <c r="G29" s="51">
        <v>118.59</v>
      </c>
      <c r="H29" s="51">
        <v>31.74</v>
      </c>
      <c r="I29" s="51">
        <v>7.64</v>
      </c>
      <c r="J29" s="51">
        <v>3.69</v>
      </c>
      <c r="K29" s="51">
        <v>220.67</v>
      </c>
      <c r="L29" s="51">
        <v>39.31</v>
      </c>
      <c r="M29" s="51">
        <v>90.32</v>
      </c>
      <c r="N29" s="55" t="s">
        <v>8</v>
      </c>
      <c r="O29" s="51">
        <v>4</v>
      </c>
      <c r="P29" s="51">
        <v>2.46</v>
      </c>
      <c r="Q29" s="51">
        <v>78.80</v>
      </c>
      <c r="R29" s="43"/>
      <c r="S29" s="43"/>
      <c r="T29" s="43"/>
      <c r="U29" s="43"/>
    </row>
    <row r="30" spans="1:21" s="11" customFormat="1" ht="15">
      <c r="A30" s="50" t="s">
        <v>322</v>
      </c>
      <c r="B30" s="51">
        <v>0.24</v>
      </c>
      <c r="C30" s="51">
        <v>30.85</v>
      </c>
      <c r="D30" s="51">
        <v>31.10</v>
      </c>
      <c r="E30" s="51">
        <v>5.52</v>
      </c>
      <c r="F30" s="51">
        <v>5.0199999999999996</v>
      </c>
      <c r="G30" s="51">
        <v>101.08</v>
      </c>
      <c r="H30" s="51">
        <v>32.25</v>
      </c>
      <c r="I30" s="51">
        <v>5.87</v>
      </c>
      <c r="J30" s="51">
        <v>2.4500000000000002</v>
      </c>
      <c r="K30" s="51">
        <v>219.87</v>
      </c>
      <c r="L30" s="51">
        <v>33.08</v>
      </c>
      <c r="M30" s="51">
        <v>95</v>
      </c>
      <c r="N30" s="55" t="s">
        <v>8</v>
      </c>
      <c r="O30" s="51">
        <v>2.40</v>
      </c>
      <c r="P30" s="51">
        <v>2.10</v>
      </c>
      <c r="Q30" s="51">
        <v>65.38</v>
      </c>
      <c r="R30" s="43"/>
      <c r="S30" s="43"/>
      <c r="T30" s="43"/>
      <c r="U30" s="43"/>
    </row>
    <row r="31" spans="1:21" s="11" customFormat="1" ht="15">
      <c r="A31" s="50" t="s">
        <v>323</v>
      </c>
      <c r="B31" s="51">
        <v>0.61</v>
      </c>
      <c r="C31" s="51">
        <v>22.75</v>
      </c>
      <c r="D31" s="51">
        <v>23.36</v>
      </c>
      <c r="E31" s="51">
        <v>5.19</v>
      </c>
      <c r="F31" s="51">
        <v>3.32</v>
      </c>
      <c r="G31" s="51">
        <v>76.58</v>
      </c>
      <c r="H31" s="51">
        <v>29.32</v>
      </c>
      <c r="I31" s="51">
        <v>4.17</v>
      </c>
      <c r="J31" s="51">
        <v>1.51</v>
      </c>
      <c r="K31" s="51">
        <v>257.62</v>
      </c>
      <c r="L31" s="51">
        <v>32.619999999999997</v>
      </c>
      <c r="M31" s="51">
        <v>86.06</v>
      </c>
      <c r="N31" s="55" t="s">
        <v>8</v>
      </c>
      <c r="O31" s="51">
        <v>0.40</v>
      </c>
      <c r="P31" s="51">
        <v>1.92</v>
      </c>
      <c r="Q31" s="51">
        <v>69.540000000000006</v>
      </c>
      <c r="R31" s="43"/>
      <c r="S31" s="43"/>
      <c r="T31" s="43"/>
      <c r="U31" s="43"/>
    </row>
    <row r="32" spans="1:21" s="11" customFormat="1" ht="15">
      <c r="A32" s="50" t="s">
        <v>324</v>
      </c>
      <c r="B32" s="51">
        <v>0.57999999999999996</v>
      </c>
      <c r="C32" s="51">
        <v>21.86</v>
      </c>
      <c r="D32" s="51">
        <v>22.31</v>
      </c>
      <c r="E32" s="51">
        <v>5.08</v>
      </c>
      <c r="F32" s="51">
        <v>3.17</v>
      </c>
      <c r="G32" s="51">
        <v>45.54</v>
      </c>
      <c r="H32" s="51">
        <v>21.15</v>
      </c>
      <c r="I32" s="51">
        <v>3.45</v>
      </c>
      <c r="J32" s="51">
        <v>1.38</v>
      </c>
      <c r="K32" s="51">
        <v>292.32</v>
      </c>
      <c r="L32" s="51">
        <v>33.82</v>
      </c>
      <c r="M32" s="51">
        <v>82.88</v>
      </c>
      <c r="N32" s="55" t="s">
        <v>8</v>
      </c>
      <c r="O32" s="51">
        <v>0</v>
      </c>
      <c r="P32" s="51">
        <v>1.85</v>
      </c>
      <c r="Q32" s="51">
        <v>66.39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0.040000000000000001</v>
      </c>
      <c r="C34" s="28">
        <f t="shared" si="0"/>
        <v>20.23</v>
      </c>
      <c r="D34" s="28">
        <f t="shared" si="0"/>
        <v>20.43</v>
      </c>
      <c r="E34" s="28">
        <f t="shared" si="0"/>
        <v>3.6099999999999999</v>
      </c>
      <c r="F34" s="28">
        <f t="shared" si="0"/>
        <v>2.02</v>
      </c>
      <c r="G34" s="28">
        <f t="shared" si="0"/>
        <v>38.100000000000001</v>
      </c>
      <c r="H34" s="28">
        <f t="shared" si="0"/>
        <v>15.84</v>
      </c>
      <c r="I34" s="28">
        <f t="shared" si="0"/>
        <v>2.1200000000000001</v>
      </c>
      <c r="J34" s="28">
        <f t="shared" si="0"/>
        <v>0.34000000000000002</v>
      </c>
      <c r="K34" s="28">
        <f t="shared" si="0"/>
        <v>219.87</v>
      </c>
      <c r="L34" s="28">
        <f t="shared" si="0"/>
        <v>32.619999999999997</v>
      </c>
      <c r="M34" s="28">
        <f t="shared" si="0"/>
        <v>30.629999999999999</v>
      </c>
      <c r="N34" s="28">
        <f t="shared" si="0"/>
        <v>1.3</v>
      </c>
      <c r="O34" s="28">
        <f t="shared" si="0"/>
        <v>0</v>
      </c>
      <c r="P34" s="28">
        <f t="shared" si="0"/>
        <v>1.6499999999999999</v>
      </c>
      <c r="Q34" s="28">
        <f t="shared" si="0"/>
        <v>55.729999999999997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8.5199999999999996</v>
      </c>
      <c r="C35" s="29">
        <f t="shared" si="1"/>
        <v>48.75</v>
      </c>
      <c r="D35" s="29">
        <f t="shared" si="1"/>
        <v>57.259999999999998</v>
      </c>
      <c r="E35" s="29">
        <f t="shared" si="1"/>
        <v>6.7999999999999998</v>
      </c>
      <c r="F35" s="29">
        <f t="shared" si="1"/>
        <v>8.1099999999999994</v>
      </c>
      <c r="G35" s="29">
        <f t="shared" si="1"/>
        <v>129.78999999999999</v>
      </c>
      <c r="H35" s="29">
        <f t="shared" si="1"/>
        <v>32.75</v>
      </c>
      <c r="I35" s="29">
        <f t="shared" si="1"/>
        <v>7.6399999999999997</v>
      </c>
      <c r="J35" s="29">
        <f t="shared" si="1"/>
        <v>4.75</v>
      </c>
      <c r="K35" s="29">
        <f t="shared" si="1"/>
        <v>357.95999999999998</v>
      </c>
      <c r="L35" s="29">
        <f t="shared" si="1"/>
        <v>55.770000000000003</v>
      </c>
      <c r="M35" s="29">
        <f t="shared" si="1"/>
        <v>95</v>
      </c>
      <c r="N35" s="29">
        <f t="shared" si="1"/>
        <v>962</v>
      </c>
      <c r="O35" s="29">
        <f t="shared" si="1"/>
        <v>4</v>
      </c>
      <c r="P35" s="29">
        <f t="shared" si="1"/>
        <v>2.5699999999999998</v>
      </c>
      <c r="Q35" s="29">
        <f t="shared" si="1"/>
        <v>140.58000000000001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1.0937499999999998</v>
      </c>
      <c r="C36" s="28">
        <f t="shared" si="2"/>
        <v>30.504583333333333</v>
      </c>
      <c r="D36" s="28">
        <f t="shared" si="2"/>
        <v>31.547500000000003</v>
      </c>
      <c r="E36" s="28">
        <f t="shared" si="2"/>
        <v>4.9074999999999998</v>
      </c>
      <c r="F36" s="28">
        <f t="shared" si="2"/>
        <v>4.9904166666666656</v>
      </c>
      <c r="G36" s="28">
        <f t="shared" si="2"/>
        <v>82.600416666666646</v>
      </c>
      <c r="H36" s="28">
        <f t="shared" si="2"/>
        <v>25.866666666666664</v>
      </c>
      <c r="I36" s="28">
        <f t="shared" si="2"/>
        <v>4.3758333333333344</v>
      </c>
      <c r="J36" s="28">
        <f t="shared" si="2"/>
        <v>1.6725000000000003</v>
      </c>
      <c r="K36" s="28">
        <f t="shared" si="2"/>
        <v>307.08208333333334</v>
      </c>
      <c r="L36" s="28">
        <f t="shared" si="2"/>
        <v>45.410416666666663</v>
      </c>
      <c r="M36" s="28">
        <f t="shared" si="2"/>
        <v>50.936666666666667</v>
      </c>
      <c r="N36" s="28">
        <f t="shared" si="2"/>
        <v>408.94500000000005</v>
      </c>
      <c r="O36" s="28">
        <f t="shared" si="2"/>
        <v>0.34166666666666673</v>
      </c>
      <c r="P36" s="28">
        <f t="shared" si="2"/>
        <v>1.9962500000000005</v>
      </c>
      <c r="Q36" s="28">
        <f t="shared" si="2"/>
        <v>88.204999999999984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1.859826575599012</v>
      </c>
      <c r="C37" s="28">
        <f t="shared" si="3" ref="C37:Q37">STDEV(C9:C32)</f>
        <v>7.6760751855113485</v>
      </c>
      <c r="D37" s="28">
        <f t="shared" si="3"/>
        <v>9.178167975762058</v>
      </c>
      <c r="E37" s="28">
        <f t="shared" si="3"/>
        <v>0.81284925603920077</v>
      </c>
      <c r="F37" s="28">
        <f t="shared" si="3"/>
        <v>1.960830523166067</v>
      </c>
      <c r="G37" s="28">
        <f t="shared" si="3"/>
        <v>26.312029564798742</v>
      </c>
      <c r="H37" s="28">
        <f t="shared" si="3"/>
        <v>4.5147898662320856</v>
      </c>
      <c r="I37" s="28">
        <f t="shared" si="3"/>
        <v>1.7769463711089029</v>
      </c>
      <c r="J37" s="28">
        <f t="shared" si="3"/>
        <v>1.1493750664940754</v>
      </c>
      <c r="K37" s="28">
        <f t="shared" si="3"/>
        <v>50.835448858925034</v>
      </c>
      <c r="L37" s="28">
        <f t="shared" si="3"/>
        <v>6.3483510212027801</v>
      </c>
      <c r="M37" s="28">
        <f t="shared" si="3"/>
        <v>18.413483402509499</v>
      </c>
      <c r="N37" s="28">
        <f t="shared" si="3"/>
        <v>355.89391600218232</v>
      </c>
      <c r="O37" s="28">
        <f t="shared" si="3"/>
        <v>0.95731357211851897</v>
      </c>
      <c r="P37" s="28">
        <f t="shared" si="3"/>
        <v>0.26889164619099409</v>
      </c>
      <c r="Q37" s="28">
        <f t="shared" si="3"/>
        <v>23.788830590627327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COUNT(N9:N32)+4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87295c-b145-4798-a7e1-8360ab8d069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325</v>
      </c>
      <c r="B9" s="51">
        <v>0.46</v>
      </c>
      <c r="C9" s="51">
        <v>19.559999999999999</v>
      </c>
      <c r="D9" s="51">
        <v>20.02</v>
      </c>
      <c r="E9" s="51">
        <v>5.0599999999999996</v>
      </c>
      <c r="F9" s="51">
        <v>4.72</v>
      </c>
      <c r="G9" s="51">
        <v>21.03</v>
      </c>
      <c r="H9" s="51">
        <v>15.39</v>
      </c>
      <c r="I9" s="51">
        <v>3.07</v>
      </c>
      <c r="J9" s="51">
        <v>1.30</v>
      </c>
      <c r="K9" s="51">
        <v>358.65</v>
      </c>
      <c r="L9" s="51">
        <v>37.99</v>
      </c>
      <c r="M9" s="51">
        <v>75.540000000000006</v>
      </c>
      <c r="N9" s="51">
        <v>0</v>
      </c>
      <c r="O9" s="51">
        <v>0</v>
      </c>
      <c r="P9" s="51">
        <v>1.79</v>
      </c>
      <c r="Q9" s="51">
        <v>58.57</v>
      </c>
      <c r="R9" s="43"/>
      <c r="S9" s="43"/>
      <c r="T9" s="43"/>
      <c r="U9" s="43"/>
    </row>
    <row r="10" spans="1:21" s="11" customFormat="1" ht="15">
      <c r="A10" s="50" t="s">
        <v>326</v>
      </c>
      <c r="B10" s="51">
        <v>0.5</v>
      </c>
      <c r="C10" s="51">
        <v>18.39</v>
      </c>
      <c r="D10" s="51">
        <v>18.88</v>
      </c>
      <c r="E10" s="51">
        <v>5.09</v>
      </c>
      <c r="F10" s="51">
        <v>4.43</v>
      </c>
      <c r="G10" s="51">
        <v>23.39</v>
      </c>
      <c r="H10" s="51">
        <v>12.42</v>
      </c>
      <c r="I10" s="51">
        <v>2.4900000000000002</v>
      </c>
      <c r="J10" s="51">
        <v>1.59</v>
      </c>
      <c r="K10" s="51">
        <v>347.97</v>
      </c>
      <c r="L10" s="51">
        <v>38.72</v>
      </c>
      <c r="M10" s="51">
        <v>75.61</v>
      </c>
      <c r="N10" s="51">
        <v>3.60</v>
      </c>
      <c r="O10" s="51">
        <v>0</v>
      </c>
      <c r="P10" s="51">
        <v>1.79</v>
      </c>
      <c r="Q10" s="51">
        <v>53.37</v>
      </c>
      <c r="R10" s="43"/>
      <c r="S10" s="43"/>
      <c r="T10" s="43"/>
      <c r="U10" s="43"/>
    </row>
    <row r="11" spans="1:21" s="11" customFormat="1" ht="15">
      <c r="A11" s="50" t="s">
        <v>327</v>
      </c>
      <c r="B11" s="51">
        <v>0.89</v>
      </c>
      <c r="C11" s="51">
        <v>22.53</v>
      </c>
      <c r="D11" s="51">
        <v>23.41</v>
      </c>
      <c r="E11" s="51">
        <v>6.55</v>
      </c>
      <c r="F11" s="51">
        <v>2.5299999999999998</v>
      </c>
      <c r="G11" s="51">
        <v>32.89</v>
      </c>
      <c r="H11" s="51">
        <v>15.55</v>
      </c>
      <c r="I11" s="51">
        <v>3.32</v>
      </c>
      <c r="J11" s="51">
        <v>3.20</v>
      </c>
      <c r="K11" s="51">
        <v>331.37</v>
      </c>
      <c r="L11" s="51">
        <v>38.43</v>
      </c>
      <c r="M11" s="51">
        <v>82.20</v>
      </c>
      <c r="N11" s="51">
        <v>17.70</v>
      </c>
      <c r="O11" s="51">
        <v>0</v>
      </c>
      <c r="P11" s="51">
        <v>1.80</v>
      </c>
      <c r="Q11" s="51">
        <v>53.08</v>
      </c>
      <c r="R11" s="43"/>
      <c r="S11" s="43"/>
      <c r="T11" s="43"/>
      <c r="U11" s="43"/>
    </row>
    <row r="12" spans="1:21" s="11" customFormat="1" ht="15">
      <c r="A12" s="50" t="s">
        <v>328</v>
      </c>
      <c r="B12" s="51">
        <v>1.52</v>
      </c>
      <c r="C12" s="51">
        <v>22.99</v>
      </c>
      <c r="D12" s="51">
        <v>24.35</v>
      </c>
      <c r="E12" s="51">
        <v>5.88</v>
      </c>
      <c r="F12" s="51">
        <v>2.14</v>
      </c>
      <c r="G12" s="51">
        <v>35.64</v>
      </c>
      <c r="H12" s="51">
        <v>17.05</v>
      </c>
      <c r="I12" s="51">
        <v>3.29</v>
      </c>
      <c r="J12" s="51">
        <v>1.81</v>
      </c>
      <c r="K12" s="51">
        <v>344.88</v>
      </c>
      <c r="L12" s="51">
        <v>36.15</v>
      </c>
      <c r="M12" s="51">
        <v>80.42</v>
      </c>
      <c r="N12" s="51">
        <v>17.30</v>
      </c>
      <c r="O12" s="51">
        <v>0</v>
      </c>
      <c r="P12" s="51">
        <v>1.76</v>
      </c>
      <c r="Q12" s="51">
        <v>61.91</v>
      </c>
      <c r="R12" s="43"/>
      <c r="S12" s="43"/>
      <c r="T12" s="43"/>
      <c r="U12" s="43"/>
    </row>
    <row r="13" spans="1:21" s="11" customFormat="1" ht="15">
      <c r="A13" s="50" t="s">
        <v>329</v>
      </c>
      <c r="B13" s="51">
        <v>1.23</v>
      </c>
      <c r="C13" s="51">
        <v>21.17</v>
      </c>
      <c r="D13" s="51">
        <v>22.40</v>
      </c>
      <c r="E13" s="51">
        <v>5.70</v>
      </c>
      <c r="F13" s="51">
        <v>2.11</v>
      </c>
      <c r="G13" s="51">
        <v>27.03</v>
      </c>
      <c r="H13" s="51">
        <v>14.94</v>
      </c>
      <c r="I13" s="51">
        <v>2.93</v>
      </c>
      <c r="J13" s="51">
        <v>1.95</v>
      </c>
      <c r="K13" s="51">
        <v>208.46</v>
      </c>
      <c r="L13" s="51">
        <v>35.74</v>
      </c>
      <c r="M13" s="51">
        <v>85.09</v>
      </c>
      <c r="N13" s="51">
        <v>24</v>
      </c>
      <c r="O13" s="51">
        <v>0</v>
      </c>
      <c r="P13" s="51">
        <v>1.82</v>
      </c>
      <c r="Q13" s="51">
        <v>53.82</v>
      </c>
      <c r="R13" s="43"/>
      <c r="S13" s="43"/>
      <c r="T13" s="43"/>
      <c r="U13" s="43"/>
    </row>
    <row r="14" spans="1:21" s="11" customFormat="1" ht="15">
      <c r="A14" s="50" t="s">
        <v>330</v>
      </c>
      <c r="B14" s="51">
        <v>1.81</v>
      </c>
      <c r="C14" s="51">
        <v>21.35</v>
      </c>
      <c r="D14" s="51">
        <v>22.77</v>
      </c>
      <c r="E14" s="51">
        <v>6.02</v>
      </c>
      <c r="F14" s="51">
        <v>1.32</v>
      </c>
      <c r="G14" s="51">
        <v>31.41</v>
      </c>
      <c r="H14" s="51">
        <v>18.11</v>
      </c>
      <c r="I14" s="51">
        <v>4.4000000000000004</v>
      </c>
      <c r="J14" s="51">
        <v>1.93</v>
      </c>
      <c r="K14" s="51">
        <v>223.62</v>
      </c>
      <c r="L14" s="51">
        <v>35.630000000000003</v>
      </c>
      <c r="M14" s="51">
        <v>84.61</v>
      </c>
      <c r="N14" s="51">
        <v>35.10</v>
      </c>
      <c r="O14" s="51">
        <v>0</v>
      </c>
      <c r="P14" s="51">
        <v>1.90</v>
      </c>
      <c r="Q14" s="51">
        <v>50.53</v>
      </c>
      <c r="R14" s="43"/>
      <c r="S14" s="43"/>
      <c r="T14" s="43"/>
      <c r="U14" s="43"/>
    </row>
    <row r="15" spans="1:21" s="11" customFormat="1" ht="15">
      <c r="A15" s="50" t="s">
        <v>331</v>
      </c>
      <c r="B15" s="51">
        <v>1.80</v>
      </c>
      <c r="C15" s="51">
        <v>22.86</v>
      </c>
      <c r="D15" s="51">
        <v>24.49</v>
      </c>
      <c r="E15" s="51">
        <v>6.25</v>
      </c>
      <c r="F15" s="51">
        <v>1.27</v>
      </c>
      <c r="G15" s="51">
        <v>38.33</v>
      </c>
      <c r="H15" s="51">
        <v>19.12</v>
      </c>
      <c r="I15" s="51">
        <v>4.32</v>
      </c>
      <c r="J15" s="51">
        <v>0.92</v>
      </c>
      <c r="K15" s="51">
        <v>354.08</v>
      </c>
      <c r="L15" s="51">
        <v>36.92</v>
      </c>
      <c r="M15" s="51">
        <v>83.46</v>
      </c>
      <c r="N15" s="51">
        <v>118.90</v>
      </c>
      <c r="O15" s="51">
        <v>0</v>
      </c>
      <c r="P15" s="51">
        <v>1.89</v>
      </c>
      <c r="Q15" s="51">
        <v>47.67</v>
      </c>
      <c r="R15" s="43"/>
      <c r="S15" s="43"/>
      <c r="T15" s="43"/>
      <c r="U15" s="43"/>
    </row>
    <row r="16" spans="1:21" s="11" customFormat="1" ht="15">
      <c r="A16" s="50" t="s">
        <v>332</v>
      </c>
      <c r="B16" s="51">
        <v>3.07</v>
      </c>
      <c r="C16" s="51">
        <v>25.29</v>
      </c>
      <c r="D16" s="51">
        <v>28.12</v>
      </c>
      <c r="E16" s="51">
        <v>5.24</v>
      </c>
      <c r="F16" s="51">
        <v>1.23</v>
      </c>
      <c r="G16" s="51">
        <v>46.40</v>
      </c>
      <c r="H16" s="51">
        <v>18.100000000000001</v>
      </c>
      <c r="I16" s="51">
        <v>4.0599999999999996</v>
      </c>
      <c r="J16" s="51">
        <v>0.92</v>
      </c>
      <c r="K16" s="51">
        <v>252.05</v>
      </c>
      <c r="L16" s="51">
        <v>37.08</v>
      </c>
      <c r="M16" s="51">
        <v>79.14</v>
      </c>
      <c r="N16" s="51">
        <v>142.69999999999999</v>
      </c>
      <c r="O16" s="51">
        <v>0</v>
      </c>
      <c r="P16" s="51">
        <v>1.92</v>
      </c>
      <c r="Q16" s="51">
        <v>57.39</v>
      </c>
      <c r="R16" s="43"/>
      <c r="S16" s="43"/>
      <c r="T16" s="43"/>
      <c r="U16" s="43"/>
    </row>
    <row r="17" spans="1:21" s="11" customFormat="1" ht="15">
      <c r="A17" s="50" t="s">
        <v>333</v>
      </c>
      <c r="B17" s="51">
        <v>5.45</v>
      </c>
      <c r="C17" s="51">
        <v>27.24</v>
      </c>
      <c r="D17" s="51">
        <v>32.69</v>
      </c>
      <c r="E17" s="51">
        <v>4.95</v>
      </c>
      <c r="F17" s="51">
        <v>1.37</v>
      </c>
      <c r="G17" s="51">
        <v>48.36</v>
      </c>
      <c r="H17" s="51">
        <v>20.100000000000001</v>
      </c>
      <c r="I17" s="51">
        <v>4.2300000000000004</v>
      </c>
      <c r="J17" s="51">
        <v>1.65</v>
      </c>
      <c r="K17" s="51">
        <v>335.36</v>
      </c>
      <c r="L17" s="51">
        <v>38.61</v>
      </c>
      <c r="M17" s="51">
        <v>77</v>
      </c>
      <c r="N17" s="51">
        <v>337.80</v>
      </c>
      <c r="O17" s="51">
        <v>0</v>
      </c>
      <c r="P17" s="51">
        <v>2.11</v>
      </c>
      <c r="Q17" s="51">
        <v>54</v>
      </c>
      <c r="R17" s="43"/>
      <c r="S17" s="43"/>
      <c r="T17" s="43"/>
      <c r="U17" s="43"/>
    </row>
    <row r="18" spans="1:21" s="11" customFormat="1" ht="15">
      <c r="A18" s="50" t="s">
        <v>334</v>
      </c>
      <c r="B18" s="51">
        <v>5.68</v>
      </c>
      <c r="C18" s="51">
        <v>29.36</v>
      </c>
      <c r="D18" s="51">
        <v>34.04</v>
      </c>
      <c r="E18" s="51">
        <v>5.41</v>
      </c>
      <c r="F18" s="51">
        <v>1.36</v>
      </c>
      <c r="G18" s="51">
        <v>52.67</v>
      </c>
      <c r="H18" s="51">
        <v>18.41</v>
      </c>
      <c r="I18" s="51">
        <v>5.38</v>
      </c>
      <c r="J18" s="51">
        <v>1.28</v>
      </c>
      <c r="K18" s="51">
        <v>324.26</v>
      </c>
      <c r="L18" s="51">
        <v>40.74</v>
      </c>
      <c r="M18" s="51">
        <v>68.34</v>
      </c>
      <c r="N18" s="51">
        <v>685</v>
      </c>
      <c r="O18" s="51">
        <v>0</v>
      </c>
      <c r="P18" s="51">
        <v>2.14</v>
      </c>
      <c r="Q18" s="51">
        <v>46.54</v>
      </c>
      <c r="R18" s="43"/>
      <c r="S18" s="43"/>
      <c r="T18" s="43"/>
      <c r="U18" s="43"/>
    </row>
    <row r="19" spans="1:21" s="11" customFormat="1" ht="15">
      <c r="A19" s="50" t="s">
        <v>335</v>
      </c>
      <c r="B19" s="51">
        <v>3.76</v>
      </c>
      <c r="C19" s="51">
        <v>31.99</v>
      </c>
      <c r="D19" s="51">
        <v>35.200000000000003</v>
      </c>
      <c r="E19" s="51">
        <v>5.53</v>
      </c>
      <c r="F19" s="51">
        <v>1.69</v>
      </c>
      <c r="G19" s="51">
        <v>57</v>
      </c>
      <c r="H19" s="51">
        <v>18.93</v>
      </c>
      <c r="I19" s="51">
        <v>5.32</v>
      </c>
      <c r="J19" s="51">
        <v>1.80</v>
      </c>
      <c r="K19" s="51">
        <v>339.19</v>
      </c>
      <c r="L19" s="51">
        <v>40.479999999999997</v>
      </c>
      <c r="M19" s="51">
        <v>67.209999999999994</v>
      </c>
      <c r="N19" s="51">
        <v>427</v>
      </c>
      <c r="O19" s="51">
        <v>0</v>
      </c>
      <c r="P19" s="51">
        <v>2.25</v>
      </c>
      <c r="Q19" s="51">
        <v>48.05</v>
      </c>
      <c r="R19" s="43"/>
      <c r="S19" s="43"/>
      <c r="T19" s="43"/>
      <c r="U19" s="43"/>
    </row>
    <row r="20" spans="1:21" s="11" customFormat="1" ht="15">
      <c r="A20" s="50" t="s">
        <v>336</v>
      </c>
      <c r="B20" s="51">
        <v>3.21</v>
      </c>
      <c r="C20" s="51">
        <v>33.130000000000003</v>
      </c>
      <c r="D20" s="51">
        <v>35.67</v>
      </c>
      <c r="E20" s="51">
        <v>6.53</v>
      </c>
      <c r="F20" s="51">
        <v>1.61</v>
      </c>
      <c r="G20" s="51">
        <v>66.010000000000005</v>
      </c>
      <c r="H20" s="51">
        <v>21.55</v>
      </c>
      <c r="I20" s="51">
        <v>7.07</v>
      </c>
      <c r="J20" s="51">
        <v>1</v>
      </c>
      <c r="K20" s="51">
        <v>326.95</v>
      </c>
      <c r="L20" s="51">
        <v>41.61</v>
      </c>
      <c r="M20" s="51">
        <v>64.61</v>
      </c>
      <c r="N20" s="51">
        <v>471.10</v>
      </c>
      <c r="O20" s="51">
        <v>0</v>
      </c>
      <c r="P20" s="51">
        <v>2.48</v>
      </c>
      <c r="Q20" s="51">
        <v>49.60</v>
      </c>
      <c r="R20" s="43"/>
      <c r="S20" s="43"/>
      <c r="T20" s="43"/>
      <c r="U20" s="43"/>
    </row>
    <row r="21" spans="1:21" s="11" customFormat="1" ht="15">
      <c r="A21" s="50" t="s">
        <v>337</v>
      </c>
      <c r="B21" s="51">
        <v>1.92</v>
      </c>
      <c r="C21" s="51">
        <v>33.40</v>
      </c>
      <c r="D21" s="51">
        <v>35.32</v>
      </c>
      <c r="E21" s="51">
        <v>6.70</v>
      </c>
      <c r="F21" s="51">
        <v>4.80</v>
      </c>
      <c r="G21" s="51">
        <v>68.27</v>
      </c>
      <c r="H21" s="51">
        <v>24.22</v>
      </c>
      <c r="I21" s="51">
        <v>8.43</v>
      </c>
      <c r="J21" s="51">
        <v>0.86</v>
      </c>
      <c r="K21" s="51">
        <v>329.11</v>
      </c>
      <c r="L21" s="51">
        <v>42.90</v>
      </c>
      <c r="M21" s="51">
        <v>61.83</v>
      </c>
      <c r="N21" s="51">
        <v>767</v>
      </c>
      <c r="O21" s="51">
        <v>0</v>
      </c>
      <c r="P21" s="51">
        <v>2.70</v>
      </c>
      <c r="Q21" s="51">
        <v>51.47</v>
      </c>
      <c r="R21" s="43"/>
      <c r="S21" s="43"/>
      <c r="T21" s="43"/>
      <c r="U21" s="43"/>
    </row>
    <row r="22" spans="1:21" s="11" customFormat="1" ht="15">
      <c r="A22" s="50" t="s">
        <v>338</v>
      </c>
      <c r="B22" s="51">
        <v>0.92</v>
      </c>
      <c r="C22" s="51">
        <v>33.01</v>
      </c>
      <c r="D22" s="51">
        <v>33.92</v>
      </c>
      <c r="E22" s="51">
        <v>8.75</v>
      </c>
      <c r="F22" s="51">
        <v>5.46</v>
      </c>
      <c r="G22" s="51">
        <v>72.62</v>
      </c>
      <c r="H22" s="51">
        <v>26.43</v>
      </c>
      <c r="I22" s="51">
        <v>9.4600000000000009</v>
      </c>
      <c r="J22" s="51">
        <v>1.03</v>
      </c>
      <c r="K22" s="51">
        <v>359.30</v>
      </c>
      <c r="L22" s="51">
        <v>45.91</v>
      </c>
      <c r="M22" s="51">
        <v>58.82</v>
      </c>
      <c r="N22" s="51">
        <v>992.5</v>
      </c>
      <c r="O22" s="51">
        <v>0</v>
      </c>
      <c r="P22" s="51">
        <v>2.65</v>
      </c>
      <c r="Q22" s="51">
        <v>39.89</v>
      </c>
      <c r="R22" s="43"/>
      <c r="S22" s="43"/>
      <c r="T22" s="43"/>
      <c r="U22" s="43"/>
    </row>
    <row r="23" spans="1:21" s="11" customFormat="1" ht="15">
      <c r="A23" s="50" t="s">
        <v>339</v>
      </c>
      <c r="B23" s="51">
        <v>0.60</v>
      </c>
      <c r="C23" s="51">
        <v>34.01</v>
      </c>
      <c r="D23" s="51">
        <v>34.31</v>
      </c>
      <c r="E23" s="51">
        <v>5.56</v>
      </c>
      <c r="F23" s="51">
        <v>7.46</v>
      </c>
      <c r="G23" s="51">
        <v>75.180000000000007</v>
      </c>
      <c r="H23" s="51">
        <v>27.01</v>
      </c>
      <c r="I23" s="51">
        <v>9.32</v>
      </c>
      <c r="J23" s="51">
        <v>1.30</v>
      </c>
      <c r="K23" s="51">
        <v>331.11</v>
      </c>
      <c r="L23" s="51">
        <v>48.47</v>
      </c>
      <c r="M23" s="51">
        <v>50</v>
      </c>
      <c r="N23" s="51">
        <v>878.30</v>
      </c>
      <c r="O23" s="51">
        <v>0</v>
      </c>
      <c r="P23" s="51">
        <v>2.58</v>
      </c>
      <c r="Q23" s="51">
        <v>34.18</v>
      </c>
      <c r="R23" s="43"/>
      <c r="S23" s="43"/>
      <c r="T23" s="43"/>
      <c r="U23" s="43"/>
    </row>
    <row r="24" spans="1:21" s="11" customFormat="1" ht="15">
      <c r="A24" s="50" t="s">
        <v>340</v>
      </c>
      <c r="B24" s="51">
        <v>0.39</v>
      </c>
      <c r="C24" s="51">
        <v>35.119999999999997</v>
      </c>
      <c r="D24" s="51">
        <v>35.479999999999997</v>
      </c>
      <c r="E24" s="51">
        <v>4.7300000000000004</v>
      </c>
      <c r="F24" s="51">
        <v>7.56</v>
      </c>
      <c r="G24" s="51">
        <v>73.069999999999993</v>
      </c>
      <c r="H24" s="51">
        <v>26.13</v>
      </c>
      <c r="I24" s="51">
        <v>9.10</v>
      </c>
      <c r="J24" s="51">
        <v>0.98</v>
      </c>
      <c r="K24" s="51">
        <v>251.66</v>
      </c>
      <c r="L24" s="51">
        <v>50.43</v>
      </c>
      <c r="M24" s="51">
        <v>43.86</v>
      </c>
      <c r="N24" s="51">
        <v>697.90</v>
      </c>
      <c r="O24" s="51">
        <v>0</v>
      </c>
      <c r="P24" s="51">
        <v>2.48</v>
      </c>
      <c r="Q24" s="51">
        <v>36.67</v>
      </c>
      <c r="R24" s="43"/>
      <c r="S24" s="43"/>
      <c r="T24" s="43"/>
      <c r="U24" s="43"/>
    </row>
    <row r="25" spans="1:21" s="11" customFormat="1" ht="15">
      <c r="A25" s="50" t="s">
        <v>341</v>
      </c>
      <c r="B25" s="51">
        <v>0.35</v>
      </c>
      <c r="C25" s="51">
        <v>33</v>
      </c>
      <c r="D25" s="51">
        <v>33.35</v>
      </c>
      <c r="E25" s="51">
        <v>4.75</v>
      </c>
      <c r="F25" s="51">
        <v>6.44</v>
      </c>
      <c r="G25" s="51">
        <v>68.36</v>
      </c>
      <c r="H25" s="51">
        <v>22.58</v>
      </c>
      <c r="I25" s="51">
        <v>8.51</v>
      </c>
      <c r="J25" s="51">
        <v>0.42</v>
      </c>
      <c r="K25" s="51">
        <v>247.12</v>
      </c>
      <c r="L25" s="51">
        <v>50.27</v>
      </c>
      <c r="M25" s="51">
        <v>44.28</v>
      </c>
      <c r="N25" s="51">
        <v>434.70</v>
      </c>
      <c r="O25" s="51">
        <v>0</v>
      </c>
      <c r="P25" s="51">
        <v>2.37</v>
      </c>
      <c r="Q25" s="51">
        <v>38.24</v>
      </c>
      <c r="R25" s="43"/>
      <c r="S25" s="43"/>
      <c r="T25" s="43"/>
      <c r="U25" s="43"/>
    </row>
    <row r="26" spans="1:21" s="11" customFormat="1" ht="15">
      <c r="A26" s="50" t="s">
        <v>342</v>
      </c>
      <c r="B26" s="51">
        <v>0.60</v>
      </c>
      <c r="C26" s="51">
        <v>30.19</v>
      </c>
      <c r="D26" s="51">
        <v>30.68</v>
      </c>
      <c r="E26" s="51">
        <v>4.9000000000000004</v>
      </c>
      <c r="F26" s="51">
        <v>6.24</v>
      </c>
      <c r="G26" s="51">
        <v>60.18</v>
      </c>
      <c r="H26" s="51">
        <v>23.66</v>
      </c>
      <c r="I26" s="51">
        <v>7.65</v>
      </c>
      <c r="J26" s="51">
        <v>0.85</v>
      </c>
      <c r="K26" s="51">
        <v>281.05</v>
      </c>
      <c r="L26" s="51">
        <v>54.96</v>
      </c>
      <c r="M26" s="51">
        <v>46.91</v>
      </c>
      <c r="N26" s="51">
        <v>56.60</v>
      </c>
      <c r="O26" s="51">
        <v>0</v>
      </c>
      <c r="P26" s="51">
        <v>2.2999999999999998</v>
      </c>
      <c r="Q26" s="51">
        <v>34.630000000000003</v>
      </c>
      <c r="R26" s="43"/>
      <c r="S26" s="43"/>
      <c r="T26" s="43"/>
      <c r="U26" s="43"/>
    </row>
    <row r="27" spans="1:21" s="11" customFormat="1" ht="15">
      <c r="A27" s="50" t="s">
        <v>343</v>
      </c>
      <c r="B27" s="51">
        <v>0.67</v>
      </c>
      <c r="C27" s="51">
        <v>30.31</v>
      </c>
      <c r="D27" s="51">
        <v>30.89</v>
      </c>
      <c r="E27" s="51">
        <v>5.05</v>
      </c>
      <c r="F27" s="51">
        <v>4.5</v>
      </c>
      <c r="G27" s="51">
        <v>55.65</v>
      </c>
      <c r="H27" s="51">
        <v>22.29</v>
      </c>
      <c r="I27" s="51">
        <v>6.78</v>
      </c>
      <c r="J27" s="51">
        <v>0.97</v>
      </c>
      <c r="K27" s="51">
        <v>310.56</v>
      </c>
      <c r="L27" s="51">
        <v>49.27</v>
      </c>
      <c r="M27" s="51">
        <v>52.46</v>
      </c>
      <c r="N27" s="51">
        <v>6.60</v>
      </c>
      <c r="O27" s="51">
        <v>0</v>
      </c>
      <c r="P27" s="51">
        <v>2.25</v>
      </c>
      <c r="Q27" s="51">
        <v>30.90</v>
      </c>
      <c r="R27" s="43"/>
      <c r="S27" s="43"/>
      <c r="T27" s="43"/>
      <c r="U27" s="43"/>
    </row>
    <row r="28" spans="1:21" s="11" customFormat="1" ht="15">
      <c r="A28" s="50" t="s">
        <v>344</v>
      </c>
      <c r="B28" s="51">
        <v>2.5299999999999998</v>
      </c>
      <c r="C28" s="51">
        <v>35.90</v>
      </c>
      <c r="D28" s="51">
        <v>38.43</v>
      </c>
      <c r="E28" s="51">
        <v>6.04</v>
      </c>
      <c r="F28" s="51">
        <v>2.4300000000000002</v>
      </c>
      <c r="G28" s="51">
        <v>63.17</v>
      </c>
      <c r="H28" s="51">
        <v>21.74</v>
      </c>
      <c r="I28" s="51">
        <v>6.40</v>
      </c>
      <c r="J28" s="51">
        <v>1.29</v>
      </c>
      <c r="K28" s="51">
        <v>318.36</v>
      </c>
      <c r="L28" s="51">
        <v>47.34</v>
      </c>
      <c r="M28" s="51">
        <v>53.56</v>
      </c>
      <c r="N28" s="55" t="s">
        <v>8</v>
      </c>
      <c r="O28" s="51">
        <v>0</v>
      </c>
      <c r="P28" s="51">
        <v>2.4300000000000002</v>
      </c>
      <c r="Q28" s="51">
        <v>37.92</v>
      </c>
      <c r="R28" s="43"/>
      <c r="S28" s="43"/>
      <c r="T28" s="43"/>
      <c r="U28" s="43"/>
    </row>
    <row r="29" spans="1:21" s="11" customFormat="1" ht="15">
      <c r="A29" s="50" t="s">
        <v>345</v>
      </c>
      <c r="B29" s="51">
        <v>10.35</v>
      </c>
      <c r="C29" s="51">
        <v>40.78</v>
      </c>
      <c r="D29" s="51">
        <v>51.13</v>
      </c>
      <c r="E29" s="51">
        <v>7.56</v>
      </c>
      <c r="F29" s="51">
        <v>0.68</v>
      </c>
      <c r="G29" s="51">
        <v>86.68</v>
      </c>
      <c r="H29" s="51">
        <v>27</v>
      </c>
      <c r="I29" s="51">
        <v>8.08</v>
      </c>
      <c r="J29" s="51">
        <v>1.66</v>
      </c>
      <c r="K29" s="51">
        <v>335.21</v>
      </c>
      <c r="L29" s="51">
        <v>47.33</v>
      </c>
      <c r="M29" s="51">
        <v>58.81</v>
      </c>
      <c r="N29" s="55" t="s">
        <v>8</v>
      </c>
      <c r="O29" s="51">
        <v>0</v>
      </c>
      <c r="P29" s="51">
        <v>2.86</v>
      </c>
      <c r="Q29" s="51">
        <v>44.41</v>
      </c>
      <c r="R29" s="43"/>
      <c r="S29" s="43"/>
      <c r="T29" s="43"/>
      <c r="U29" s="43"/>
    </row>
    <row r="30" spans="1:21" s="11" customFormat="1" ht="15">
      <c r="A30" s="50" t="s">
        <v>346</v>
      </c>
      <c r="B30" s="51">
        <v>18.22</v>
      </c>
      <c r="C30" s="51">
        <v>42.09</v>
      </c>
      <c r="D30" s="51">
        <v>60.31</v>
      </c>
      <c r="E30" s="51">
        <v>7.61</v>
      </c>
      <c r="F30" s="51">
        <v>0.93</v>
      </c>
      <c r="G30" s="51">
        <v>107.72</v>
      </c>
      <c r="H30" s="51">
        <v>29.14</v>
      </c>
      <c r="I30" s="51">
        <v>9.92</v>
      </c>
      <c r="J30" s="51">
        <v>1.83</v>
      </c>
      <c r="K30" s="51">
        <v>251.49</v>
      </c>
      <c r="L30" s="51">
        <v>46.35</v>
      </c>
      <c r="M30" s="51">
        <v>60.20</v>
      </c>
      <c r="N30" s="55" t="s">
        <v>8</v>
      </c>
      <c r="O30" s="51">
        <v>0</v>
      </c>
      <c r="P30" s="51">
        <v>3.20</v>
      </c>
      <c r="Q30" s="51">
        <v>51.40</v>
      </c>
      <c r="R30" s="43"/>
      <c r="S30" s="43"/>
      <c r="T30" s="43"/>
      <c r="U30" s="43"/>
    </row>
    <row r="31" spans="1:21" s="11" customFormat="1" ht="15">
      <c r="A31" s="50" t="s">
        <v>347</v>
      </c>
      <c r="B31" s="51">
        <v>16.579999999999998</v>
      </c>
      <c r="C31" s="51">
        <v>41.60</v>
      </c>
      <c r="D31" s="51">
        <v>58.18</v>
      </c>
      <c r="E31" s="51">
        <v>7.30</v>
      </c>
      <c r="F31" s="51">
        <v>0.70</v>
      </c>
      <c r="G31" s="51">
        <v>115.43</v>
      </c>
      <c r="H31" s="51">
        <v>33.39</v>
      </c>
      <c r="I31" s="51">
        <v>10.34</v>
      </c>
      <c r="J31" s="51">
        <v>1.78</v>
      </c>
      <c r="K31" s="51">
        <v>340.85</v>
      </c>
      <c r="L31" s="51">
        <v>45.53</v>
      </c>
      <c r="M31" s="51">
        <v>63.32</v>
      </c>
      <c r="N31" s="55" t="s">
        <v>8</v>
      </c>
      <c r="O31" s="51">
        <v>0</v>
      </c>
      <c r="P31" s="51">
        <v>3.12</v>
      </c>
      <c r="Q31" s="51">
        <v>43.24</v>
      </c>
      <c r="R31" s="43"/>
      <c r="S31" s="43"/>
      <c r="T31" s="43"/>
      <c r="U31" s="43"/>
    </row>
    <row r="32" spans="1:21" s="11" customFormat="1" ht="15">
      <c r="A32" s="50" t="s">
        <v>348</v>
      </c>
      <c r="B32" s="51">
        <v>11.10</v>
      </c>
      <c r="C32" s="51">
        <v>38.58</v>
      </c>
      <c r="D32" s="51">
        <v>49.68</v>
      </c>
      <c r="E32" s="51">
        <v>6.45</v>
      </c>
      <c r="F32" s="51">
        <v>0.70</v>
      </c>
      <c r="G32" s="51">
        <v>117.15</v>
      </c>
      <c r="H32" s="51">
        <v>37.799999999999997</v>
      </c>
      <c r="I32" s="51">
        <v>9.7100000000000009</v>
      </c>
      <c r="J32" s="51">
        <v>1.72</v>
      </c>
      <c r="K32" s="51">
        <v>218.37</v>
      </c>
      <c r="L32" s="51">
        <v>45.38</v>
      </c>
      <c r="M32" s="51">
        <v>65.5</v>
      </c>
      <c r="N32" s="55" t="s">
        <v>8</v>
      </c>
      <c r="O32" s="51">
        <v>0</v>
      </c>
      <c r="P32" s="51">
        <v>2.91</v>
      </c>
      <c r="Q32" s="51">
        <v>37.200000000000003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0.34999999999999998</v>
      </c>
      <c r="C34" s="28">
        <f t="shared" si="0"/>
        <v>18.390000000000001</v>
      </c>
      <c r="D34" s="28">
        <f t="shared" si="0"/>
        <v>18.879999999999999</v>
      </c>
      <c r="E34" s="28">
        <f t="shared" si="0"/>
        <v>4.7300000000000004</v>
      </c>
      <c r="F34" s="28">
        <f t="shared" si="0"/>
        <v>0.68000000000000005</v>
      </c>
      <c r="G34" s="28">
        <f t="shared" si="0"/>
        <v>21.030000000000001</v>
      </c>
      <c r="H34" s="28">
        <f t="shared" si="0"/>
        <v>12.42</v>
      </c>
      <c r="I34" s="28">
        <f t="shared" si="0"/>
        <v>2.4900000000000002</v>
      </c>
      <c r="J34" s="28">
        <f t="shared" si="0"/>
        <v>0.41999999999999998</v>
      </c>
      <c r="K34" s="28">
        <f t="shared" si="0"/>
        <v>208.46000000000001</v>
      </c>
      <c r="L34" s="28">
        <f t="shared" si="0"/>
        <v>35.630000000000003</v>
      </c>
      <c r="M34" s="28">
        <f t="shared" si="0"/>
        <v>43.859999999999999</v>
      </c>
      <c r="N34" s="28">
        <f t="shared" si="0"/>
        <v>0</v>
      </c>
      <c r="O34" s="28">
        <f t="shared" si="0"/>
        <v>0</v>
      </c>
      <c r="P34" s="28">
        <f t="shared" si="0"/>
        <v>1.76</v>
      </c>
      <c r="Q34" s="28">
        <f t="shared" si="0"/>
        <v>30.899999999999999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18.219999999999999</v>
      </c>
      <c r="C35" s="29">
        <f t="shared" si="1"/>
        <v>42.090000000000003</v>
      </c>
      <c r="D35" s="29">
        <f t="shared" si="1"/>
        <v>60.310000000000002</v>
      </c>
      <c r="E35" s="29">
        <f t="shared" si="1"/>
        <v>8.75</v>
      </c>
      <c r="F35" s="29">
        <f t="shared" si="1"/>
        <v>7.5599999999999996</v>
      </c>
      <c r="G35" s="29">
        <f t="shared" si="1"/>
        <v>117.15000000000001</v>
      </c>
      <c r="H35" s="29">
        <f t="shared" si="1"/>
        <v>37.799999999999997</v>
      </c>
      <c r="I35" s="29">
        <f t="shared" si="1"/>
        <v>10.34</v>
      </c>
      <c r="J35" s="29">
        <f t="shared" si="1"/>
        <v>3.2000000000000002</v>
      </c>
      <c r="K35" s="29">
        <f t="shared" si="1"/>
        <v>359.30000000000001</v>
      </c>
      <c r="L35" s="29">
        <f t="shared" si="1"/>
        <v>54.960000000000001</v>
      </c>
      <c r="M35" s="29">
        <f t="shared" si="1"/>
        <v>85.090000000000003</v>
      </c>
      <c r="N35" s="29">
        <f t="shared" si="1"/>
        <v>992.5</v>
      </c>
      <c r="O35" s="29">
        <f t="shared" si="1"/>
        <v>0</v>
      </c>
      <c r="P35" s="29">
        <f t="shared" si="1"/>
        <v>3.2000000000000002</v>
      </c>
      <c r="Q35" s="29">
        <f t="shared" si="1"/>
        <v>61.909999999999997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3.9004166666666666</v>
      </c>
      <c r="C36" s="28">
        <f t="shared" si="2"/>
        <v>30.160416666666666</v>
      </c>
      <c r="D36" s="28">
        <f t="shared" si="2"/>
        <v>33.904999999999994</v>
      </c>
      <c r="E36" s="28">
        <f t="shared" si="2"/>
        <v>5.9837500000000015</v>
      </c>
      <c r="F36" s="28">
        <f t="shared" si="2"/>
        <v>3.0700000000000016</v>
      </c>
      <c r="G36" s="28">
        <f t="shared" si="2"/>
        <v>60.151666666666671</v>
      </c>
      <c r="H36" s="28">
        <f t="shared" si="2"/>
        <v>22.127499999999998</v>
      </c>
      <c r="I36" s="28">
        <f t="shared" si="2"/>
        <v>6.3991666666666669</v>
      </c>
      <c r="J36" s="28">
        <f t="shared" si="2"/>
        <v>1.4183333333333337</v>
      </c>
      <c r="K36" s="28">
        <f t="shared" si="2"/>
        <v>305.04291666666666</v>
      </c>
      <c r="L36" s="28">
        <f t="shared" si="2"/>
        <v>43.010000000000012</v>
      </c>
      <c r="M36" s="28">
        <f t="shared" si="2"/>
        <v>65.94916666666667</v>
      </c>
      <c r="N36" s="28">
        <f t="shared" si="2"/>
        <v>321.77894736842109</v>
      </c>
      <c r="O36" s="28">
        <f t="shared" si="2"/>
        <v>0</v>
      </c>
      <c r="P36" s="28">
        <f t="shared" si="2"/>
        <v>2.3124999999999996</v>
      </c>
      <c r="Q36" s="28">
        <f t="shared" si="2"/>
        <v>46.444999999999993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5.0728651360356309</v>
      </c>
      <c r="C37" s="28">
        <f t="shared" si="3" ref="C37:Q37">STDEV(C9:C32)</f>
        <v>7.1422140515368842</v>
      </c>
      <c r="D37" s="28">
        <f t="shared" si="3"/>
        <v>11.193374981580012</v>
      </c>
      <c r="E37" s="28">
        <f t="shared" si="3"/>
        <v>1.0458814152582405</v>
      </c>
      <c r="F37" s="28">
        <f t="shared" si="3"/>
        <v>2.2814126058783968</v>
      </c>
      <c r="G37" s="28">
        <f t="shared" si="3"/>
        <v>27.215321239054433</v>
      </c>
      <c r="H37" s="28">
        <f t="shared" si="3"/>
        <v>6.0472582720350037</v>
      </c>
      <c r="I37" s="28">
        <f t="shared" si="3"/>
        <v>2.6034707881840209</v>
      </c>
      <c r="J37" s="28">
        <f t="shared" si="3"/>
        <v>0.56956632370729909</v>
      </c>
      <c r="K37" s="28">
        <f t="shared" si="3"/>
        <v>48.840852775303475</v>
      </c>
      <c r="L37" s="28">
        <f t="shared" si="3"/>
        <v>5.5662281351174361</v>
      </c>
      <c r="M37" s="28">
        <f t="shared" si="3"/>
        <v>13.276298566362129</v>
      </c>
      <c r="N37" s="28">
        <f t="shared" si="3"/>
        <v>340.03853797759677</v>
      </c>
      <c r="O37" s="28">
        <f t="shared" si="3"/>
        <v>0</v>
      </c>
      <c r="P37" s="28">
        <f t="shared" si="3"/>
        <v>0.43952790879385251</v>
      </c>
      <c r="Q37" s="28">
        <f t="shared" si="3"/>
        <v>8.5973276940140675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COUNT(N9:N32)+5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824dc4-cecb-4e52-bbaf-8fcb42fd507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8" sqref="N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349</v>
      </c>
      <c r="B9" s="51">
        <v>7.81</v>
      </c>
      <c r="C9" s="51">
        <v>33.49</v>
      </c>
      <c r="D9" s="51">
        <v>41.29</v>
      </c>
      <c r="E9" s="51">
        <v>6.98</v>
      </c>
      <c r="F9" s="51">
        <v>0.57999999999999996</v>
      </c>
      <c r="G9" s="51">
        <v>97.81</v>
      </c>
      <c r="H9" s="51">
        <v>38.82</v>
      </c>
      <c r="I9" s="51">
        <v>8.7100000000000009</v>
      </c>
      <c r="J9" s="51">
        <v>2.72</v>
      </c>
      <c r="K9" s="51">
        <v>178.18</v>
      </c>
      <c r="L9" s="51">
        <v>44.68</v>
      </c>
      <c r="M9" s="51">
        <v>64.599999999999994</v>
      </c>
      <c r="N9" s="55" t="s">
        <v>8</v>
      </c>
      <c r="O9" s="51">
        <v>0</v>
      </c>
      <c r="P9" s="51">
        <v>2.68</v>
      </c>
      <c r="Q9" s="51">
        <v>36.85</v>
      </c>
      <c r="R9" s="43"/>
      <c r="S9" s="43"/>
      <c r="T9" s="43"/>
      <c r="U9" s="43"/>
    </row>
    <row r="10" spans="1:21" s="11" customFormat="1" ht="15">
      <c r="A10" s="50" t="s">
        <v>350</v>
      </c>
      <c r="B10" s="51">
        <v>4.59</v>
      </c>
      <c r="C10" s="51">
        <v>28.29</v>
      </c>
      <c r="D10" s="51">
        <v>32.880000000000003</v>
      </c>
      <c r="E10" s="51">
        <v>7.11</v>
      </c>
      <c r="F10" s="51">
        <v>1.51</v>
      </c>
      <c r="G10" s="51">
        <v>78.349999999999994</v>
      </c>
      <c r="H10" s="51">
        <v>35.08</v>
      </c>
      <c r="I10" s="51">
        <v>7.95</v>
      </c>
      <c r="J10" s="51">
        <v>3.36</v>
      </c>
      <c r="K10" s="51">
        <v>174.49</v>
      </c>
      <c r="L10" s="51">
        <v>41.49</v>
      </c>
      <c r="M10" s="51">
        <v>65.63</v>
      </c>
      <c r="N10" s="55" t="s">
        <v>8</v>
      </c>
      <c r="O10" s="51">
        <v>0</v>
      </c>
      <c r="P10" s="51">
        <v>2.4700000000000002</v>
      </c>
      <c r="Q10" s="51">
        <v>39.479999999999997</v>
      </c>
      <c r="R10" s="43"/>
      <c r="S10" s="43"/>
      <c r="T10" s="43"/>
      <c r="U10" s="43"/>
    </row>
    <row r="11" spans="1:21" s="11" customFormat="1" ht="15">
      <c r="A11" s="50" t="s">
        <v>351</v>
      </c>
      <c r="B11" s="51">
        <v>2.4900000000000002</v>
      </c>
      <c r="C11" s="51">
        <v>22.28</v>
      </c>
      <c r="D11" s="51">
        <v>24.77</v>
      </c>
      <c r="E11" s="51">
        <v>6.98</v>
      </c>
      <c r="F11" s="51">
        <v>1.81</v>
      </c>
      <c r="G11" s="51">
        <v>65.150000000000006</v>
      </c>
      <c r="H11" s="51">
        <v>27.73</v>
      </c>
      <c r="I11" s="51">
        <v>6.73</v>
      </c>
      <c r="J11" s="51">
        <v>2.67</v>
      </c>
      <c r="K11" s="51">
        <v>185.23</v>
      </c>
      <c r="L11" s="51">
        <v>39.86</v>
      </c>
      <c r="M11" s="51">
        <v>66.47</v>
      </c>
      <c r="N11" s="55" t="s">
        <v>8</v>
      </c>
      <c r="O11" s="51">
        <v>0</v>
      </c>
      <c r="P11" s="51">
        <v>2.2200000000000002</v>
      </c>
      <c r="Q11" s="51">
        <v>35.82</v>
      </c>
      <c r="R11" s="43"/>
      <c r="S11" s="43"/>
      <c r="T11" s="43"/>
      <c r="U11" s="43"/>
    </row>
    <row r="12" spans="1:21" s="11" customFormat="1" ht="15">
      <c r="A12" s="50" t="s">
        <v>352</v>
      </c>
      <c r="B12" s="51">
        <v>1.93</v>
      </c>
      <c r="C12" s="51">
        <v>20.12</v>
      </c>
      <c r="D12" s="51">
        <v>22.04</v>
      </c>
      <c r="E12" s="51">
        <v>7.60</v>
      </c>
      <c r="F12" s="51">
        <v>1.02</v>
      </c>
      <c r="G12" s="51">
        <v>52.23</v>
      </c>
      <c r="H12" s="51">
        <v>22.18</v>
      </c>
      <c r="I12" s="51">
        <v>5.37</v>
      </c>
      <c r="J12" s="51">
        <v>2.5299999999999998</v>
      </c>
      <c r="K12" s="51">
        <v>276.27</v>
      </c>
      <c r="L12" s="51">
        <v>39.65</v>
      </c>
      <c r="M12" s="51">
        <v>67.02</v>
      </c>
      <c r="N12" s="55" t="s">
        <v>8</v>
      </c>
      <c r="O12" s="51">
        <v>0</v>
      </c>
      <c r="P12" s="51">
        <v>2.04</v>
      </c>
      <c r="Q12" s="51">
        <v>30.30</v>
      </c>
      <c r="R12" s="43"/>
      <c r="S12" s="43"/>
      <c r="T12" s="43"/>
      <c r="U12" s="43"/>
    </row>
    <row r="13" spans="1:21" s="11" customFormat="1" ht="15">
      <c r="A13" s="50" t="s">
        <v>353</v>
      </c>
      <c r="B13" s="51">
        <v>3.62</v>
      </c>
      <c r="C13" s="51">
        <v>20.61</v>
      </c>
      <c r="D13" s="51">
        <v>24.23</v>
      </c>
      <c r="E13" s="51">
        <v>8.40</v>
      </c>
      <c r="F13" s="51">
        <v>0.40</v>
      </c>
      <c r="G13" s="51">
        <v>42.12</v>
      </c>
      <c r="H13" s="51">
        <v>20.70</v>
      </c>
      <c r="I13" s="51">
        <v>4.4800000000000004</v>
      </c>
      <c r="J13" s="51">
        <v>1.5</v>
      </c>
      <c r="K13" s="51">
        <v>295.38</v>
      </c>
      <c r="L13" s="51">
        <v>41.96</v>
      </c>
      <c r="M13" s="51">
        <v>68.27</v>
      </c>
      <c r="N13" s="55" t="s">
        <v>8</v>
      </c>
      <c r="O13" s="51">
        <v>0</v>
      </c>
      <c r="P13" s="51">
        <v>1.94</v>
      </c>
      <c r="Q13" s="51">
        <v>29.45</v>
      </c>
      <c r="R13" s="43"/>
      <c r="S13" s="43"/>
      <c r="T13" s="43"/>
      <c r="U13" s="43"/>
    </row>
    <row r="14" spans="1:21" s="11" customFormat="1" ht="15">
      <c r="A14" s="50" t="s">
        <v>354</v>
      </c>
      <c r="B14" s="51">
        <v>6.74</v>
      </c>
      <c r="C14" s="51">
        <v>22.23</v>
      </c>
      <c r="D14" s="51">
        <v>28.98</v>
      </c>
      <c r="E14" s="51">
        <v>9.17</v>
      </c>
      <c r="F14" s="51">
        <v>0.21</v>
      </c>
      <c r="G14" s="51">
        <v>44.88</v>
      </c>
      <c r="H14" s="51">
        <v>19.39</v>
      </c>
      <c r="I14" s="51">
        <v>4.42</v>
      </c>
      <c r="J14" s="51">
        <v>2.4900000000000002</v>
      </c>
      <c r="K14" s="51">
        <v>194.49</v>
      </c>
      <c r="L14" s="51">
        <v>40.85</v>
      </c>
      <c r="M14" s="51">
        <v>70.180000000000007</v>
      </c>
      <c r="N14" s="51">
        <v>39.700000000000003</v>
      </c>
      <c r="O14" s="51">
        <v>0</v>
      </c>
      <c r="P14" s="51">
        <v>1.92</v>
      </c>
      <c r="Q14" s="51">
        <v>34.61</v>
      </c>
      <c r="R14" s="43"/>
      <c r="S14" s="43"/>
      <c r="T14" s="43"/>
      <c r="U14" s="43"/>
    </row>
    <row r="15" spans="1:21" s="11" customFormat="1" ht="15">
      <c r="A15" s="50" t="s">
        <v>355</v>
      </c>
      <c r="B15" s="51">
        <v>7.45</v>
      </c>
      <c r="C15" s="51">
        <v>23.94</v>
      </c>
      <c r="D15" s="51">
        <v>30.87</v>
      </c>
      <c r="E15" s="51">
        <v>8.94</v>
      </c>
      <c r="F15" s="51">
        <v>1.03</v>
      </c>
      <c r="G15" s="51">
        <v>49.66</v>
      </c>
      <c r="H15" s="51">
        <v>17.899999999999999</v>
      </c>
      <c r="I15" s="51">
        <v>4.62</v>
      </c>
      <c r="J15" s="51">
        <v>2.57</v>
      </c>
      <c r="K15" s="51">
        <v>188.5</v>
      </c>
      <c r="L15" s="51">
        <v>37.83</v>
      </c>
      <c r="M15" s="51">
        <v>67.319999999999993</v>
      </c>
      <c r="N15" s="51">
        <v>233.60</v>
      </c>
      <c r="O15" s="51">
        <v>0</v>
      </c>
      <c r="P15" s="51">
        <v>1.92</v>
      </c>
      <c r="Q15" s="51">
        <v>39.28</v>
      </c>
      <c r="R15" s="43"/>
      <c r="S15" s="43"/>
      <c r="T15" s="43"/>
      <c r="U15" s="43"/>
    </row>
    <row r="16" spans="1:21" s="11" customFormat="1" ht="15">
      <c r="A16" s="50" t="s">
        <v>356</v>
      </c>
      <c r="B16" s="51">
        <v>6.11</v>
      </c>
      <c r="C16" s="51">
        <v>23.97</v>
      </c>
      <c r="D16" s="51">
        <v>30.05</v>
      </c>
      <c r="E16" s="51">
        <v>7.32</v>
      </c>
      <c r="F16" s="51">
        <v>1.25</v>
      </c>
      <c r="G16" s="51">
        <v>50.75</v>
      </c>
      <c r="H16" s="51">
        <v>18.510000000000002</v>
      </c>
      <c r="I16" s="51">
        <v>4.6100000000000003</v>
      </c>
      <c r="J16" s="51">
        <v>2.66</v>
      </c>
      <c r="K16" s="51">
        <v>212.60</v>
      </c>
      <c r="L16" s="51">
        <v>39.75</v>
      </c>
      <c r="M16" s="51">
        <v>62.60</v>
      </c>
      <c r="N16" s="51">
        <v>488</v>
      </c>
      <c r="O16" s="51">
        <v>0</v>
      </c>
      <c r="P16" s="51">
        <v>1.91</v>
      </c>
      <c r="Q16" s="51">
        <v>35</v>
      </c>
      <c r="R16" s="43"/>
      <c r="S16" s="43"/>
      <c r="T16" s="43"/>
      <c r="U16" s="43"/>
    </row>
    <row r="17" spans="1:21" s="11" customFormat="1" ht="15">
      <c r="A17" s="50" t="s">
        <v>357</v>
      </c>
      <c r="B17" s="51">
        <v>2.21</v>
      </c>
      <c r="C17" s="51">
        <v>26.37</v>
      </c>
      <c r="D17" s="51">
        <v>27.48</v>
      </c>
      <c r="E17" s="51">
        <v>7.06</v>
      </c>
      <c r="F17" s="51">
        <v>2.81</v>
      </c>
      <c r="G17" s="51">
        <v>50.32</v>
      </c>
      <c r="H17" s="51">
        <v>18.38</v>
      </c>
      <c r="I17" s="51">
        <v>4.3600000000000003</v>
      </c>
      <c r="J17" s="51">
        <v>1.07</v>
      </c>
      <c r="K17" s="51">
        <v>285.07</v>
      </c>
      <c r="L17" s="51">
        <v>42.34</v>
      </c>
      <c r="M17" s="51">
        <v>54.52</v>
      </c>
      <c r="N17" s="51">
        <v>711.40</v>
      </c>
      <c r="O17" s="51">
        <v>0</v>
      </c>
      <c r="P17" s="51">
        <v>1.90</v>
      </c>
      <c r="Q17" s="51">
        <v>30.21</v>
      </c>
      <c r="R17" s="43"/>
      <c r="S17" s="43"/>
      <c r="T17" s="43"/>
      <c r="U17" s="43"/>
    </row>
    <row r="18" spans="1:21" s="11" customFormat="1" ht="15">
      <c r="A18" s="50" t="s">
        <v>358</v>
      </c>
      <c r="B18" s="51">
        <v>1.06</v>
      </c>
      <c r="C18" s="51">
        <v>27.54</v>
      </c>
      <c r="D18" s="51">
        <v>28.60</v>
      </c>
      <c r="E18" s="51">
        <v>6.01</v>
      </c>
      <c r="F18" s="51">
        <v>4.43</v>
      </c>
      <c r="G18" s="51">
        <v>56.25</v>
      </c>
      <c r="H18" s="51">
        <v>18.73</v>
      </c>
      <c r="I18" s="51">
        <v>3.97</v>
      </c>
      <c r="J18" s="51">
        <v>1.59</v>
      </c>
      <c r="K18" s="51">
        <v>259.58999999999997</v>
      </c>
      <c r="L18" s="51">
        <v>43.12</v>
      </c>
      <c r="M18" s="51">
        <v>50.48</v>
      </c>
      <c r="N18" s="51">
        <v>904.40</v>
      </c>
      <c r="O18" s="51">
        <v>0</v>
      </c>
      <c r="P18" s="51">
        <v>1.93</v>
      </c>
      <c r="Q18" s="51">
        <v>28.11</v>
      </c>
      <c r="R18" s="43"/>
      <c r="S18" s="43"/>
      <c r="T18" s="43"/>
      <c r="U18" s="43"/>
    </row>
    <row r="19" spans="1:21" s="11" customFormat="1" ht="15">
      <c r="A19" s="50" t="s">
        <v>359</v>
      </c>
      <c r="B19" s="51">
        <v>0.37</v>
      </c>
      <c r="C19" s="51">
        <v>25.49</v>
      </c>
      <c r="D19" s="51">
        <v>25.85</v>
      </c>
      <c r="E19" s="51">
        <v>5.28</v>
      </c>
      <c r="F19" s="51">
        <v>8.35</v>
      </c>
      <c r="G19" s="51">
        <v>57.28</v>
      </c>
      <c r="H19" s="51">
        <v>18.89</v>
      </c>
      <c r="I19" s="51">
        <v>3.85</v>
      </c>
      <c r="J19" s="51">
        <v>1.08</v>
      </c>
      <c r="K19" s="51">
        <v>299.38</v>
      </c>
      <c r="L19" s="51">
        <v>44.44</v>
      </c>
      <c r="M19" s="51">
        <v>49.06</v>
      </c>
      <c r="N19" s="51">
        <v>945.5</v>
      </c>
      <c r="O19" s="51">
        <v>0</v>
      </c>
      <c r="P19" s="51">
        <v>2</v>
      </c>
      <c r="Q19" s="51">
        <v>31.25</v>
      </c>
      <c r="R19" s="43"/>
      <c r="S19" s="43"/>
      <c r="T19" s="43"/>
      <c r="U19" s="43"/>
    </row>
    <row r="20" spans="1:21" s="11" customFormat="1" ht="15">
      <c r="A20" s="50" t="s">
        <v>360</v>
      </c>
      <c r="B20" s="51">
        <v>0.41</v>
      </c>
      <c r="C20" s="51">
        <v>21.68</v>
      </c>
      <c r="D20" s="51">
        <v>21.96</v>
      </c>
      <c r="E20" s="51">
        <v>4.3899999999999997</v>
      </c>
      <c r="F20" s="51">
        <v>13.32</v>
      </c>
      <c r="G20" s="51">
        <v>60.16</v>
      </c>
      <c r="H20" s="51">
        <v>17.84</v>
      </c>
      <c r="I20" s="51">
        <v>3.93</v>
      </c>
      <c r="J20" s="51">
        <v>1.25</v>
      </c>
      <c r="K20" s="51">
        <v>326.37</v>
      </c>
      <c r="L20" s="51">
        <v>45.22</v>
      </c>
      <c r="M20" s="51">
        <v>46.36</v>
      </c>
      <c r="N20" s="51">
        <v>997</v>
      </c>
      <c r="O20" s="51">
        <v>0</v>
      </c>
      <c r="P20" s="51">
        <v>2.0299999999999998</v>
      </c>
      <c r="Q20" s="51">
        <v>31.42</v>
      </c>
      <c r="R20" s="43"/>
      <c r="S20" s="43"/>
      <c r="T20" s="43"/>
      <c r="U20" s="43"/>
    </row>
    <row r="21" spans="1:21" s="11" customFormat="1" ht="15">
      <c r="A21" s="50" t="s">
        <v>361</v>
      </c>
      <c r="B21" s="51">
        <v>0.11</v>
      </c>
      <c r="C21" s="51">
        <v>25.91</v>
      </c>
      <c r="D21" s="51">
        <v>25.91</v>
      </c>
      <c r="E21" s="51">
        <v>3.93</v>
      </c>
      <c r="F21" s="51">
        <v>23.13</v>
      </c>
      <c r="G21" s="51">
        <v>62.33</v>
      </c>
      <c r="H21" s="51">
        <v>18.54</v>
      </c>
      <c r="I21" s="51">
        <v>4</v>
      </c>
      <c r="J21" s="51">
        <v>1</v>
      </c>
      <c r="K21" s="51">
        <v>320.89</v>
      </c>
      <c r="L21" s="51">
        <v>46.06</v>
      </c>
      <c r="M21" s="51">
        <v>44.96</v>
      </c>
      <c r="N21" s="51">
        <v>1004.40</v>
      </c>
      <c r="O21" s="51">
        <v>0</v>
      </c>
      <c r="P21" s="51">
        <v>2.11</v>
      </c>
      <c r="Q21" s="51">
        <v>28.82</v>
      </c>
      <c r="R21" s="43"/>
      <c r="S21" s="43"/>
      <c r="T21" s="43"/>
      <c r="U21" s="43"/>
    </row>
    <row r="22" spans="1:21" s="11" customFormat="1" ht="15">
      <c r="A22" s="50" t="s">
        <v>362</v>
      </c>
      <c r="B22" s="51">
        <v>0.17</v>
      </c>
      <c r="C22" s="51">
        <v>26.47</v>
      </c>
      <c r="D22" s="51">
        <v>26.64</v>
      </c>
      <c r="E22" s="51">
        <v>3.34</v>
      </c>
      <c r="F22" s="51">
        <v>23.90</v>
      </c>
      <c r="G22" s="51">
        <v>62.32</v>
      </c>
      <c r="H22" s="51">
        <v>21.16</v>
      </c>
      <c r="I22" s="51">
        <v>4.3899999999999997</v>
      </c>
      <c r="J22" s="51">
        <v>1.95</v>
      </c>
      <c r="K22" s="51">
        <v>341.42</v>
      </c>
      <c r="L22" s="51">
        <v>49.03</v>
      </c>
      <c r="M22" s="51">
        <v>42.24</v>
      </c>
      <c r="N22" s="51">
        <v>958</v>
      </c>
      <c r="O22" s="51">
        <v>0</v>
      </c>
      <c r="P22" s="51">
        <v>2.12</v>
      </c>
      <c r="Q22" s="51">
        <v>44.75</v>
      </c>
      <c r="R22" s="43"/>
      <c r="S22" s="43"/>
      <c r="T22" s="43"/>
      <c r="U22" s="43"/>
    </row>
    <row r="23" spans="1:21" s="11" customFormat="1" ht="15">
      <c r="A23" s="50" t="s">
        <v>363</v>
      </c>
      <c r="B23" s="51">
        <v>0.62</v>
      </c>
      <c r="C23" s="51">
        <v>29.16</v>
      </c>
      <c r="D23" s="51">
        <v>29.77</v>
      </c>
      <c r="E23" s="51">
        <v>2.75</v>
      </c>
      <c r="F23" s="51">
        <v>17.55</v>
      </c>
      <c r="G23" s="51">
        <v>63.05</v>
      </c>
      <c r="H23" s="51">
        <v>20.56</v>
      </c>
      <c r="I23" s="51">
        <v>4.57</v>
      </c>
      <c r="J23" s="51">
        <v>1.63</v>
      </c>
      <c r="K23" s="51">
        <v>314.95</v>
      </c>
      <c r="L23" s="51">
        <v>53.37</v>
      </c>
      <c r="M23" s="51">
        <v>40.07</v>
      </c>
      <c r="N23" s="51">
        <v>748.40</v>
      </c>
      <c r="O23" s="51">
        <v>0</v>
      </c>
      <c r="P23" s="51">
        <v>2.08</v>
      </c>
      <c r="Q23" s="51">
        <v>88.60</v>
      </c>
      <c r="R23" s="43"/>
      <c r="S23" s="43"/>
      <c r="T23" s="43"/>
      <c r="U23" s="43"/>
    </row>
    <row r="24" spans="1:21" s="11" customFormat="1" ht="15">
      <c r="A24" s="50" t="s">
        <v>364</v>
      </c>
      <c r="B24" s="51">
        <v>0.5</v>
      </c>
      <c r="C24" s="51">
        <v>29.23</v>
      </c>
      <c r="D24" s="51">
        <v>29.70</v>
      </c>
      <c r="E24" s="51">
        <v>4.04</v>
      </c>
      <c r="F24" s="51">
        <v>16.36</v>
      </c>
      <c r="G24" s="51">
        <v>60.03</v>
      </c>
      <c r="H24" s="51">
        <v>17.97</v>
      </c>
      <c r="I24" s="51">
        <v>4.34</v>
      </c>
      <c r="J24" s="51">
        <v>1.32</v>
      </c>
      <c r="K24" s="51">
        <v>334.10</v>
      </c>
      <c r="L24" s="51">
        <v>51.08</v>
      </c>
      <c r="M24" s="51">
        <v>38.130000000000003</v>
      </c>
      <c r="N24" s="51">
        <v>601.5</v>
      </c>
      <c r="O24" s="51">
        <v>0</v>
      </c>
      <c r="P24" s="51">
        <v>2.08</v>
      </c>
      <c r="Q24" s="51">
        <v>84.91</v>
      </c>
      <c r="R24" s="43"/>
      <c r="S24" s="43"/>
      <c r="T24" s="43"/>
      <c r="U24" s="43"/>
    </row>
    <row r="25" spans="1:21" s="11" customFormat="1" ht="15">
      <c r="A25" s="50" t="s">
        <v>365</v>
      </c>
      <c r="B25" s="51">
        <v>0.71</v>
      </c>
      <c r="C25" s="51">
        <v>29.85</v>
      </c>
      <c r="D25" s="51">
        <v>30.56</v>
      </c>
      <c r="E25" s="51">
        <v>3.89</v>
      </c>
      <c r="F25" s="51">
        <v>19.260000000000002</v>
      </c>
      <c r="G25" s="51">
        <v>51.37</v>
      </c>
      <c r="H25" s="51">
        <v>19.28</v>
      </c>
      <c r="I25" s="51">
        <v>5</v>
      </c>
      <c r="J25" s="51">
        <v>1.25</v>
      </c>
      <c r="K25" s="51">
        <v>289.06</v>
      </c>
      <c r="L25" s="51">
        <v>51.51</v>
      </c>
      <c r="M25" s="51">
        <v>37.909999999999997</v>
      </c>
      <c r="N25" s="51">
        <v>378.90</v>
      </c>
      <c r="O25" s="51">
        <v>0</v>
      </c>
      <c r="P25" s="51">
        <v>2.06</v>
      </c>
      <c r="Q25" s="51">
        <v>87.92</v>
      </c>
      <c r="R25" s="43"/>
      <c r="S25" s="43"/>
      <c r="T25" s="43"/>
      <c r="U25" s="43"/>
    </row>
    <row r="26" spans="1:21" s="11" customFormat="1" ht="15">
      <c r="A26" s="50" t="s">
        <v>366</v>
      </c>
      <c r="B26" s="51">
        <v>1</v>
      </c>
      <c r="C26" s="51">
        <v>32.94</v>
      </c>
      <c r="D26" s="51">
        <v>33.94</v>
      </c>
      <c r="E26" s="51">
        <v>3.65</v>
      </c>
      <c r="F26" s="51">
        <v>17.82</v>
      </c>
      <c r="G26" s="51">
        <v>51.63</v>
      </c>
      <c r="H26" s="51">
        <v>20.46</v>
      </c>
      <c r="I26" s="51">
        <v>4.43</v>
      </c>
      <c r="J26" s="51">
        <v>0.64</v>
      </c>
      <c r="K26" s="51">
        <v>335.83</v>
      </c>
      <c r="L26" s="51">
        <v>50.05</v>
      </c>
      <c r="M26" s="51">
        <v>41.46</v>
      </c>
      <c r="N26" s="51">
        <v>70.20</v>
      </c>
      <c r="O26" s="51">
        <v>0</v>
      </c>
      <c r="P26" s="51">
        <v>2.11</v>
      </c>
      <c r="Q26" s="51">
        <v>85.25</v>
      </c>
      <c r="R26" s="43"/>
      <c r="S26" s="43"/>
      <c r="T26" s="43"/>
      <c r="U26" s="43"/>
    </row>
    <row r="27" spans="1:21" s="11" customFormat="1" ht="15">
      <c r="A27" s="50" t="s">
        <v>367</v>
      </c>
      <c r="B27" s="51">
        <v>1.33</v>
      </c>
      <c r="C27" s="51">
        <v>28.07</v>
      </c>
      <c r="D27" s="51">
        <v>28.34</v>
      </c>
      <c r="E27" s="51">
        <v>4.2300000000000004</v>
      </c>
      <c r="F27" s="51">
        <v>4.4800000000000004</v>
      </c>
      <c r="G27" s="51">
        <v>61.27</v>
      </c>
      <c r="H27" s="51">
        <v>20.63</v>
      </c>
      <c r="I27" s="51">
        <v>4.3600000000000003</v>
      </c>
      <c r="J27" s="51">
        <v>1.55</v>
      </c>
      <c r="K27" s="51">
        <v>339.83</v>
      </c>
      <c r="L27" s="51">
        <v>46.17</v>
      </c>
      <c r="M27" s="51">
        <v>51.44</v>
      </c>
      <c r="N27" s="51">
        <v>6.90</v>
      </c>
      <c r="O27" s="51">
        <v>0</v>
      </c>
      <c r="P27" s="51">
        <v>2.2000000000000002</v>
      </c>
      <c r="Q27" s="51">
        <v>82.30</v>
      </c>
      <c r="R27" s="43"/>
      <c r="S27" s="43"/>
      <c r="T27" s="43"/>
      <c r="U27" s="43"/>
    </row>
    <row r="28" spans="1:21" s="11" customFormat="1" ht="15">
      <c r="A28" s="50" t="s">
        <v>368</v>
      </c>
      <c r="B28" s="51">
        <v>6.11</v>
      </c>
      <c r="C28" s="51">
        <v>34.119999999999997</v>
      </c>
      <c r="D28" s="51">
        <v>40.24</v>
      </c>
      <c r="E28" s="51">
        <v>4.88</v>
      </c>
      <c r="F28" s="51">
        <v>1.48</v>
      </c>
      <c r="G28" s="51">
        <v>71.27</v>
      </c>
      <c r="H28" s="51">
        <v>24.08</v>
      </c>
      <c r="I28" s="51">
        <v>5.55</v>
      </c>
      <c r="J28" s="51">
        <v>1.57</v>
      </c>
      <c r="K28" s="51">
        <v>340.24</v>
      </c>
      <c r="L28" s="51">
        <v>48.42</v>
      </c>
      <c r="M28" s="51">
        <v>52.74</v>
      </c>
      <c r="N28" s="55" t="s">
        <v>8</v>
      </c>
      <c r="O28" s="51">
        <v>0</v>
      </c>
      <c r="P28" s="51">
        <v>2.60</v>
      </c>
      <c r="Q28" s="51">
        <v>99.42</v>
      </c>
      <c r="R28" s="43"/>
      <c r="S28" s="43"/>
      <c r="T28" s="43"/>
      <c r="U28" s="43"/>
    </row>
    <row r="29" spans="1:21" s="11" customFormat="1" ht="15">
      <c r="A29" s="50" t="s">
        <v>369</v>
      </c>
      <c r="B29" s="51">
        <v>6.04</v>
      </c>
      <c r="C29" s="51">
        <v>36.020000000000003</v>
      </c>
      <c r="D29" s="51">
        <v>41.85</v>
      </c>
      <c r="E29" s="51">
        <v>5.34</v>
      </c>
      <c r="F29" s="51">
        <v>1.29</v>
      </c>
      <c r="G29" s="51">
        <v>86.93</v>
      </c>
      <c r="H29" s="51">
        <v>26.73</v>
      </c>
      <c r="I29" s="51">
        <v>7.05</v>
      </c>
      <c r="J29" s="51">
        <v>2.3199999999999998</v>
      </c>
      <c r="K29" s="51">
        <v>347.81</v>
      </c>
      <c r="L29" s="51">
        <v>47.11</v>
      </c>
      <c r="M29" s="51">
        <v>50.68</v>
      </c>
      <c r="N29" s="55" t="s">
        <v>8</v>
      </c>
      <c r="O29" s="51">
        <v>0</v>
      </c>
      <c r="P29" s="51">
        <v>2.72</v>
      </c>
      <c r="Q29" s="51">
        <v>82.27</v>
      </c>
      <c r="R29" s="43"/>
      <c r="S29" s="43"/>
      <c r="T29" s="43"/>
      <c r="U29" s="43"/>
    </row>
    <row r="30" spans="1:21" s="11" customFormat="1" ht="15">
      <c r="A30" s="50" t="s">
        <v>370</v>
      </c>
      <c r="B30" s="51">
        <v>10.75</v>
      </c>
      <c r="C30" s="51">
        <v>33.840000000000003</v>
      </c>
      <c r="D30" s="51">
        <v>44.34</v>
      </c>
      <c r="E30" s="51">
        <v>6.32</v>
      </c>
      <c r="F30" s="51">
        <v>1.30</v>
      </c>
      <c r="G30" s="51">
        <v>96.79</v>
      </c>
      <c r="H30" s="51">
        <v>28.13</v>
      </c>
      <c r="I30" s="51">
        <v>7.74</v>
      </c>
      <c r="J30" s="51">
        <v>2.98</v>
      </c>
      <c r="K30" s="51">
        <v>69.86</v>
      </c>
      <c r="L30" s="51">
        <v>45.33</v>
      </c>
      <c r="M30" s="51">
        <v>49.14</v>
      </c>
      <c r="N30" s="55" t="s">
        <v>8</v>
      </c>
      <c r="O30" s="51">
        <v>0</v>
      </c>
      <c r="P30" s="51">
        <v>3.01</v>
      </c>
      <c r="Q30" s="51">
        <v>73.42</v>
      </c>
      <c r="R30" s="43"/>
      <c r="S30" s="43"/>
      <c r="T30" s="43"/>
      <c r="U30" s="43"/>
    </row>
    <row r="31" spans="1:21" s="11" customFormat="1" ht="15">
      <c r="A31" s="50" t="s">
        <v>371</v>
      </c>
      <c r="B31" s="51">
        <v>10.77</v>
      </c>
      <c r="C31" s="51">
        <v>26.20</v>
      </c>
      <c r="D31" s="51">
        <v>36.89</v>
      </c>
      <c r="E31" s="51">
        <v>6.72</v>
      </c>
      <c r="F31" s="51">
        <v>1.1399999999999999</v>
      </c>
      <c r="G31" s="51">
        <v>102.25</v>
      </c>
      <c r="H31" s="51">
        <v>30.25</v>
      </c>
      <c r="I31" s="51">
        <v>7.76</v>
      </c>
      <c r="J31" s="51">
        <v>1.63</v>
      </c>
      <c r="K31" s="51">
        <v>224.90</v>
      </c>
      <c r="L31" s="51">
        <v>44.74</v>
      </c>
      <c r="M31" s="51">
        <v>54.48</v>
      </c>
      <c r="N31" s="55" t="s">
        <v>8</v>
      </c>
      <c r="O31" s="51">
        <v>0</v>
      </c>
      <c r="P31" s="51">
        <v>3</v>
      </c>
      <c r="Q31" s="51">
        <v>57.43</v>
      </c>
      <c r="R31" s="43"/>
      <c r="S31" s="43"/>
      <c r="T31" s="43"/>
      <c r="U31" s="43"/>
    </row>
    <row r="32" spans="1:21" s="11" customFormat="1" ht="15">
      <c r="A32" s="50" t="s">
        <v>372</v>
      </c>
      <c r="B32" s="51">
        <v>13.79</v>
      </c>
      <c r="C32" s="51">
        <v>26.04</v>
      </c>
      <c r="D32" s="51">
        <v>38.29</v>
      </c>
      <c r="E32" s="51">
        <v>7.01</v>
      </c>
      <c r="F32" s="51">
        <v>1.17</v>
      </c>
      <c r="G32" s="51">
        <v>103.87</v>
      </c>
      <c r="H32" s="51">
        <v>32.15</v>
      </c>
      <c r="I32" s="51">
        <v>8.02</v>
      </c>
      <c r="J32" s="51">
        <v>1.64</v>
      </c>
      <c r="K32" s="51">
        <v>254.05</v>
      </c>
      <c r="L32" s="51">
        <v>48.03</v>
      </c>
      <c r="M32" s="51">
        <v>56.01</v>
      </c>
      <c r="N32" s="55" t="s">
        <v>8</v>
      </c>
      <c r="O32" s="51">
        <v>0</v>
      </c>
      <c r="P32" s="51">
        <v>2.99</v>
      </c>
      <c r="Q32" s="51">
        <v>79.760000000000005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0.11</v>
      </c>
      <c r="C34" s="28">
        <f t="shared" si="0"/>
        <v>20.120000000000001</v>
      </c>
      <c r="D34" s="28">
        <f t="shared" si="0"/>
        <v>21.960000000000001</v>
      </c>
      <c r="E34" s="28">
        <f t="shared" si="0"/>
        <v>2.75</v>
      </c>
      <c r="F34" s="28">
        <f t="shared" si="0"/>
        <v>0.20999999999999999</v>
      </c>
      <c r="G34" s="28">
        <f t="shared" si="0"/>
        <v>42.119999999999997</v>
      </c>
      <c r="H34" s="28">
        <f t="shared" si="0"/>
        <v>17.84</v>
      </c>
      <c r="I34" s="28">
        <f t="shared" si="0"/>
        <v>3.8500000000000001</v>
      </c>
      <c r="J34" s="28">
        <f t="shared" si="0"/>
        <v>0.64000000000000001</v>
      </c>
      <c r="K34" s="28">
        <f t="shared" si="0"/>
        <v>69.859999999999999</v>
      </c>
      <c r="L34" s="28">
        <f t="shared" si="0"/>
        <v>37.829999999999998</v>
      </c>
      <c r="M34" s="28">
        <f t="shared" si="0"/>
        <v>37.909999999999997</v>
      </c>
      <c r="N34" s="28">
        <f t="shared" si="0"/>
        <v>6.9000000000000004</v>
      </c>
      <c r="O34" s="28">
        <f t="shared" si="0"/>
        <v>0</v>
      </c>
      <c r="P34" s="28">
        <f t="shared" si="0"/>
        <v>1.8999999999999999</v>
      </c>
      <c r="Q34" s="28">
        <f t="shared" si="0"/>
        <v>28.109999999999999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13.789999999999999</v>
      </c>
      <c r="C35" s="29">
        <f t="shared" si="1"/>
        <v>36.020000000000003</v>
      </c>
      <c r="D35" s="29">
        <f t="shared" si="1"/>
        <v>44.340000000000003</v>
      </c>
      <c r="E35" s="29">
        <f t="shared" si="1"/>
        <v>9.1699999999999999</v>
      </c>
      <c r="F35" s="29">
        <f t="shared" si="1"/>
        <v>23.899999999999999</v>
      </c>
      <c r="G35" s="29">
        <f t="shared" si="1"/>
        <v>103.87</v>
      </c>
      <c r="H35" s="29">
        <f t="shared" si="1"/>
        <v>38.82</v>
      </c>
      <c r="I35" s="29">
        <f t="shared" si="1"/>
        <v>8.7100000000000009</v>
      </c>
      <c r="J35" s="29">
        <f t="shared" si="1"/>
        <v>3.3599999999999999</v>
      </c>
      <c r="K35" s="29">
        <f t="shared" si="1"/>
        <v>347.81</v>
      </c>
      <c r="L35" s="29">
        <f t="shared" si="1"/>
        <v>53.369999999999997</v>
      </c>
      <c r="M35" s="29">
        <f t="shared" si="1"/>
        <v>70.180000000000007</v>
      </c>
      <c r="N35" s="29">
        <f t="shared" si="1"/>
        <v>1004.4</v>
      </c>
      <c r="O35" s="29">
        <f t="shared" si="1"/>
        <v>0</v>
      </c>
      <c r="P35" s="29">
        <f t="shared" si="1"/>
        <v>3.0099999999999998</v>
      </c>
      <c r="Q35" s="29">
        <f t="shared" si="1"/>
        <v>99.420000000000002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4.0287499999999996</v>
      </c>
      <c r="C36" s="28">
        <f t="shared" si="2"/>
        <v>27.244166666666668</v>
      </c>
      <c r="D36" s="28">
        <f t="shared" si="2"/>
        <v>31.061250000000001</v>
      </c>
      <c r="E36" s="28">
        <f t="shared" si="2"/>
        <v>5.889166666666668</v>
      </c>
      <c r="F36" s="28">
        <f t="shared" si="2"/>
        <v>6.8999999999999977</v>
      </c>
      <c r="G36" s="28">
        <f t="shared" si="2"/>
        <v>65.752916666666678</v>
      </c>
      <c r="H36" s="28">
        <f t="shared" si="2"/>
        <v>23.087083333333329</v>
      </c>
      <c r="I36" s="28">
        <f t="shared" si="2"/>
        <v>5.425416666666667</v>
      </c>
      <c r="J36" s="28">
        <f t="shared" si="2"/>
        <v>1.87375</v>
      </c>
      <c r="K36" s="28">
        <f t="shared" si="2"/>
        <v>266.18708333333331</v>
      </c>
      <c r="L36" s="28">
        <f t="shared" si="2"/>
        <v>45.087083333333332</v>
      </c>
      <c r="M36" s="28">
        <f t="shared" si="2"/>
        <v>53.823750000000011</v>
      </c>
      <c r="N36" s="28">
        <f t="shared" si="2"/>
        <v>577.7071428571428</v>
      </c>
      <c r="O36" s="28">
        <f t="shared" si="2"/>
        <v>0</v>
      </c>
      <c r="P36" s="28">
        <f t="shared" si="2"/>
        <v>2.2516666666666665</v>
      </c>
      <c r="Q36" s="28">
        <f t="shared" si="2"/>
        <v>54.026249999999997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3.9541407163058606</v>
      </c>
      <c r="C37" s="28">
        <f t="shared" si="3" ref="C37:Q37">STDEV(C9:C32)</f>
        <v>4.4790681451921852</v>
      </c>
      <c r="D37" s="28">
        <f t="shared" si="3"/>
        <v>6.3880849089807583</v>
      </c>
      <c r="E37" s="28">
        <f t="shared" si="3"/>
        <v>1.8421417513003839</v>
      </c>
      <c r="F37" s="28">
        <f t="shared" si="3"/>
        <v>8.1838356054720052</v>
      </c>
      <c r="G37" s="28">
        <f t="shared" si="3"/>
        <v>18.646047833759308</v>
      </c>
      <c r="H37" s="28">
        <f t="shared" si="3"/>
        <v>5.9882823836052665</v>
      </c>
      <c r="I37" s="28">
        <f t="shared" si="3"/>
        <v>1.5821256454438155</v>
      </c>
      <c r="J37" s="28">
        <f t="shared" si="3"/>
        <v>0.72646740553472033</v>
      </c>
      <c r="K37" s="28">
        <f t="shared" si="3"/>
        <v>72.775436400595396</v>
      </c>
      <c r="L37" s="28">
        <f t="shared" si="3"/>
        <v>4.185042183743211</v>
      </c>
      <c r="M37" s="28">
        <f t="shared" si="3"/>
        <v>10.453309778538344</v>
      </c>
      <c r="N37" s="28">
        <f t="shared" si="3"/>
        <v>375.28338515823526</v>
      </c>
      <c r="O37" s="28">
        <f t="shared" si="3"/>
        <v>0</v>
      </c>
      <c r="P37" s="28">
        <f t="shared" si="3"/>
        <v>0.37457995798966237</v>
      </c>
      <c r="Q37" s="28">
        <f t="shared" si="3"/>
        <v>25.479759198319535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COUNT(N9:N32)+10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5510bd-0ded-4844-9346-0a1a03a45058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T34" sqref="T3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373</v>
      </c>
      <c r="B9" s="51">
        <v>10.63</v>
      </c>
      <c r="C9" s="51">
        <v>25.47</v>
      </c>
      <c r="D9" s="51">
        <v>36.090000000000003</v>
      </c>
      <c r="E9" s="51">
        <v>6.63</v>
      </c>
      <c r="F9" s="51">
        <v>1.07</v>
      </c>
      <c r="G9" s="51">
        <v>103.03</v>
      </c>
      <c r="H9" s="51">
        <v>30.49</v>
      </c>
      <c r="I9" s="51">
        <v>7.68</v>
      </c>
      <c r="J9" s="51">
        <v>1.66</v>
      </c>
      <c r="K9" s="51">
        <v>286.95</v>
      </c>
      <c r="L9" s="51">
        <v>47</v>
      </c>
      <c r="M9" s="51">
        <v>59.11</v>
      </c>
      <c r="N9" s="8" t="s">
        <v>8</v>
      </c>
      <c r="O9" s="51">
        <v>0</v>
      </c>
      <c r="P9" s="51">
        <v>2.73</v>
      </c>
      <c r="Q9" s="51">
        <v>74.209999999999994</v>
      </c>
      <c r="R9" s="43"/>
      <c r="S9" s="43"/>
      <c r="T9" s="43"/>
      <c r="U9" s="43"/>
    </row>
    <row r="10" spans="1:21" s="11" customFormat="1" ht="15">
      <c r="A10" s="50" t="s">
        <v>374</v>
      </c>
      <c r="B10" s="51">
        <v>5.35</v>
      </c>
      <c r="C10" s="51">
        <v>23.26</v>
      </c>
      <c r="D10" s="51">
        <v>28.62</v>
      </c>
      <c r="E10" s="51">
        <v>6.54</v>
      </c>
      <c r="F10" s="51">
        <v>1.0900000000000001</v>
      </c>
      <c r="G10" s="51">
        <v>95.30</v>
      </c>
      <c r="H10" s="51">
        <v>30.75</v>
      </c>
      <c r="I10" s="51">
        <v>6.42</v>
      </c>
      <c r="J10" s="51">
        <v>1.83</v>
      </c>
      <c r="K10" s="51">
        <v>214.90</v>
      </c>
      <c r="L10" s="51">
        <v>33.72</v>
      </c>
      <c r="M10" s="51">
        <v>63.14</v>
      </c>
      <c r="N10" s="8" t="s">
        <v>8</v>
      </c>
      <c r="O10" s="51">
        <v>0</v>
      </c>
      <c r="P10" s="51">
        <v>2.4700000000000002</v>
      </c>
      <c r="Q10" s="51">
        <v>61.77</v>
      </c>
      <c r="R10" s="43"/>
      <c r="S10" s="43"/>
      <c r="T10" s="43"/>
      <c r="U10" s="43"/>
    </row>
    <row r="11" spans="1:21" s="11" customFormat="1" ht="15">
      <c r="A11" s="50" t="s">
        <v>375</v>
      </c>
      <c r="B11" s="51">
        <v>3.30</v>
      </c>
      <c r="C11" s="51">
        <v>19.86</v>
      </c>
      <c r="D11" s="51">
        <v>22.5</v>
      </c>
      <c r="E11" s="51">
        <v>6.97</v>
      </c>
      <c r="F11" s="51">
        <v>1</v>
      </c>
      <c r="G11" s="51">
        <v>84.75</v>
      </c>
      <c r="H11" s="51">
        <v>29.38</v>
      </c>
      <c r="I11" s="51">
        <v>5.53</v>
      </c>
      <c r="J11" s="51">
        <v>2.2599999999999998</v>
      </c>
      <c r="K11" s="51">
        <v>193.14</v>
      </c>
      <c r="L11" s="51">
        <v>41.98</v>
      </c>
      <c r="M11" s="51">
        <v>63.83</v>
      </c>
      <c r="N11" s="8" t="s">
        <v>8</v>
      </c>
      <c r="O11" s="51">
        <v>0</v>
      </c>
      <c r="P11" s="51">
        <v>2.3199999999999998</v>
      </c>
      <c r="Q11" s="51">
        <v>57</v>
      </c>
      <c r="R11" s="43"/>
      <c r="S11" s="43"/>
      <c r="T11" s="43"/>
      <c r="U11" s="43"/>
    </row>
    <row r="12" spans="1:21" s="11" customFormat="1" ht="15">
      <c r="A12" s="50" t="s">
        <v>376</v>
      </c>
      <c r="B12" s="51">
        <v>3.91</v>
      </c>
      <c r="C12" s="51">
        <v>13.29</v>
      </c>
      <c r="D12" s="51">
        <v>16.809999999999999</v>
      </c>
      <c r="E12" s="51">
        <v>7.60</v>
      </c>
      <c r="F12" s="51">
        <v>0.94</v>
      </c>
      <c r="G12" s="51">
        <v>74.849999999999994</v>
      </c>
      <c r="H12" s="51">
        <v>29.33</v>
      </c>
      <c r="I12" s="51">
        <v>5.39</v>
      </c>
      <c r="J12" s="51">
        <v>2.04</v>
      </c>
      <c r="K12" s="51">
        <v>232.99</v>
      </c>
      <c r="L12" s="51">
        <v>42.45</v>
      </c>
      <c r="M12" s="51">
        <v>66.12</v>
      </c>
      <c r="N12" s="8" t="s">
        <v>8</v>
      </c>
      <c r="O12" s="51">
        <v>0</v>
      </c>
      <c r="P12" s="51">
        <v>2.27</v>
      </c>
      <c r="Q12" s="51">
        <v>44.24</v>
      </c>
      <c r="R12" s="43"/>
      <c r="S12" s="43"/>
      <c r="T12" s="43"/>
      <c r="U12" s="43"/>
    </row>
    <row r="13" spans="1:21" s="11" customFormat="1" ht="15">
      <c r="A13" s="50" t="s">
        <v>377</v>
      </c>
      <c r="B13" s="51">
        <v>3.75</v>
      </c>
      <c r="C13" s="51">
        <v>16.829999999999998</v>
      </c>
      <c r="D13" s="51">
        <v>20.20</v>
      </c>
      <c r="E13" s="51">
        <v>7.71</v>
      </c>
      <c r="F13" s="51">
        <v>1.1200000000000001</v>
      </c>
      <c r="G13" s="51">
        <v>64.11</v>
      </c>
      <c r="H13" s="51">
        <v>24.97</v>
      </c>
      <c r="I13" s="51">
        <v>5.38</v>
      </c>
      <c r="J13" s="51">
        <v>1.51</v>
      </c>
      <c r="K13" s="51">
        <v>249.88</v>
      </c>
      <c r="L13" s="51">
        <v>43.18</v>
      </c>
      <c r="M13" s="51">
        <v>69</v>
      </c>
      <c r="N13" s="8" t="s">
        <v>8</v>
      </c>
      <c r="O13" s="51">
        <v>0</v>
      </c>
      <c r="P13" s="51">
        <v>2.19</v>
      </c>
      <c r="Q13" s="51">
        <v>58.69</v>
      </c>
      <c r="R13" s="43"/>
      <c r="S13" s="43"/>
      <c r="T13" s="43"/>
      <c r="U13" s="43"/>
    </row>
    <row r="14" spans="1:21" s="11" customFormat="1" ht="15">
      <c r="A14" s="50" t="s">
        <v>378</v>
      </c>
      <c r="B14" s="51">
        <v>2.5499999999999998</v>
      </c>
      <c r="C14" s="51">
        <v>17.690000000000001</v>
      </c>
      <c r="D14" s="51">
        <v>20.239999999999998</v>
      </c>
      <c r="E14" s="51">
        <v>7.20</v>
      </c>
      <c r="F14" s="51">
        <v>0.99</v>
      </c>
      <c r="G14" s="51">
        <v>60.21</v>
      </c>
      <c r="H14" s="51">
        <v>25.06</v>
      </c>
      <c r="I14" s="51">
        <v>4.76</v>
      </c>
      <c r="J14" s="51">
        <v>1.59</v>
      </c>
      <c r="K14" s="51">
        <v>233.48</v>
      </c>
      <c r="L14" s="51">
        <v>42.61</v>
      </c>
      <c r="M14" s="51">
        <v>70.30</v>
      </c>
      <c r="N14" s="51">
        <v>26.60</v>
      </c>
      <c r="O14" s="51">
        <v>0</v>
      </c>
      <c r="P14" s="51">
        <v>2.0699999999999998</v>
      </c>
      <c r="Q14" s="51">
        <v>52.12</v>
      </c>
      <c r="R14" s="43"/>
      <c r="S14" s="43"/>
      <c r="T14" s="43"/>
      <c r="U14" s="43"/>
    </row>
    <row r="15" spans="1:21" s="11" customFormat="1" ht="15">
      <c r="A15" s="50" t="s">
        <v>379</v>
      </c>
      <c r="B15" s="51">
        <v>2.77</v>
      </c>
      <c r="C15" s="51">
        <v>18.64</v>
      </c>
      <c r="D15" s="51">
        <v>21.11</v>
      </c>
      <c r="E15" s="51">
        <v>6.55</v>
      </c>
      <c r="F15" s="51">
        <v>1.18</v>
      </c>
      <c r="G15" s="51">
        <v>53.97</v>
      </c>
      <c r="H15" s="51">
        <v>22.66</v>
      </c>
      <c r="I15" s="51">
        <v>4.32</v>
      </c>
      <c r="J15" s="51">
        <v>1.01</v>
      </c>
      <c r="K15" s="51">
        <v>330.42</v>
      </c>
      <c r="L15" s="51">
        <v>42.32</v>
      </c>
      <c r="M15" s="51">
        <v>68.73</v>
      </c>
      <c r="N15" s="51">
        <v>198.5</v>
      </c>
      <c r="O15" s="51">
        <v>0</v>
      </c>
      <c r="P15" s="51">
        <v>2.0299999999999998</v>
      </c>
      <c r="Q15" s="51">
        <v>46.94</v>
      </c>
      <c r="R15" s="43"/>
      <c r="S15" s="43"/>
      <c r="T15" s="43"/>
      <c r="U15" s="43"/>
    </row>
    <row r="16" spans="1:21" s="11" customFormat="1" ht="15">
      <c r="A16" s="50" t="s">
        <v>380</v>
      </c>
      <c r="B16" s="51">
        <v>3.25</v>
      </c>
      <c r="C16" s="51">
        <v>19.63</v>
      </c>
      <c r="D16" s="51">
        <v>21.75</v>
      </c>
      <c r="E16" s="51">
        <v>5.74</v>
      </c>
      <c r="F16" s="51">
        <v>2.54</v>
      </c>
      <c r="G16" s="51">
        <v>55.93</v>
      </c>
      <c r="H16" s="51">
        <v>24.08</v>
      </c>
      <c r="I16" s="51">
        <v>4.51</v>
      </c>
      <c r="J16" s="51">
        <v>0.32</v>
      </c>
      <c r="K16" s="51">
        <v>321.52</v>
      </c>
      <c r="L16" s="51">
        <v>42.55</v>
      </c>
      <c r="M16" s="51">
        <v>62.19</v>
      </c>
      <c r="N16" s="51">
        <v>441.5</v>
      </c>
      <c r="O16" s="51">
        <v>0</v>
      </c>
      <c r="P16" s="51">
        <v>2.02</v>
      </c>
      <c r="Q16" s="51">
        <v>36.83</v>
      </c>
      <c r="R16" s="43"/>
      <c r="S16" s="43"/>
      <c r="T16" s="43"/>
      <c r="U16" s="43"/>
    </row>
    <row r="17" spans="1:21" s="11" customFormat="1" ht="15">
      <c r="A17" s="50" t="s">
        <v>381</v>
      </c>
      <c r="B17" s="51">
        <v>1.1000000000000001</v>
      </c>
      <c r="C17" s="51">
        <v>23.70</v>
      </c>
      <c r="D17" s="51">
        <v>24.74</v>
      </c>
      <c r="E17" s="51">
        <v>4.7699999999999996</v>
      </c>
      <c r="F17" s="51">
        <v>3.84</v>
      </c>
      <c r="G17" s="51">
        <v>57.05</v>
      </c>
      <c r="H17" s="51">
        <v>22.98</v>
      </c>
      <c r="I17" s="51">
        <v>4.16</v>
      </c>
      <c r="J17" s="51">
        <v>1.45</v>
      </c>
      <c r="K17" s="51">
        <v>350.68</v>
      </c>
      <c r="L17" s="51">
        <v>47</v>
      </c>
      <c r="M17" s="51">
        <v>56.07</v>
      </c>
      <c r="N17" s="51">
        <v>665.90</v>
      </c>
      <c r="O17" s="51">
        <v>0</v>
      </c>
      <c r="P17" s="51">
        <v>1.99</v>
      </c>
      <c r="Q17" s="51">
        <v>43.37</v>
      </c>
      <c r="R17" s="43"/>
      <c r="S17" s="43"/>
      <c r="T17" s="43"/>
      <c r="U17" s="43"/>
    </row>
    <row r="18" spans="1:21" s="11" customFormat="1" ht="15">
      <c r="A18" s="50" t="s">
        <v>382</v>
      </c>
      <c r="B18" s="51">
        <v>0.94</v>
      </c>
      <c r="C18" s="51">
        <v>23.80</v>
      </c>
      <c r="D18" s="51">
        <v>24.61</v>
      </c>
      <c r="E18" s="51">
        <v>3.85</v>
      </c>
      <c r="F18" s="51">
        <v>4.63</v>
      </c>
      <c r="G18" s="51">
        <v>57.23</v>
      </c>
      <c r="H18" s="51">
        <v>18.760000000000002</v>
      </c>
      <c r="I18" s="51">
        <v>4.5</v>
      </c>
      <c r="J18" s="51">
        <v>0.69</v>
      </c>
      <c r="K18" s="51">
        <v>349.73</v>
      </c>
      <c r="L18" s="9" t="s">
        <v>15</v>
      </c>
      <c r="M18" s="51">
        <v>49.18</v>
      </c>
      <c r="N18" s="51">
        <v>856.30</v>
      </c>
      <c r="O18" s="51">
        <v>0</v>
      </c>
      <c r="P18" s="51">
        <v>2.08</v>
      </c>
      <c r="Q18" s="51">
        <v>44.40</v>
      </c>
      <c r="R18" s="43"/>
      <c r="S18" s="43"/>
      <c r="T18" s="43"/>
      <c r="U18" s="43"/>
    </row>
    <row r="19" spans="1:21" s="11" customFormat="1" ht="15">
      <c r="A19" s="50" t="s">
        <v>383</v>
      </c>
      <c r="B19" s="51">
        <v>0.68</v>
      </c>
      <c r="C19" s="51">
        <v>23.95</v>
      </c>
      <c r="D19" s="51">
        <v>24.53</v>
      </c>
      <c r="E19" s="51">
        <v>4.3099999999999996</v>
      </c>
      <c r="F19" s="51">
        <v>6.43</v>
      </c>
      <c r="G19" s="51">
        <v>61.33</v>
      </c>
      <c r="H19" s="51">
        <v>21.98</v>
      </c>
      <c r="I19" s="51">
        <v>6.29</v>
      </c>
      <c r="J19" s="51">
        <v>1.26</v>
      </c>
      <c r="K19" s="51">
        <v>323.87</v>
      </c>
      <c r="L19" s="9" t="s">
        <v>15</v>
      </c>
      <c r="M19" s="51">
        <v>43.87</v>
      </c>
      <c r="N19" s="51">
        <v>1124.9000000000001</v>
      </c>
      <c r="O19" s="51">
        <v>0</v>
      </c>
      <c r="P19" s="51">
        <v>2.27</v>
      </c>
      <c r="Q19" s="51">
        <v>34.36</v>
      </c>
      <c r="R19" s="43"/>
      <c r="S19" s="43"/>
      <c r="T19" s="43"/>
      <c r="U19" s="43"/>
    </row>
    <row r="20" spans="1:21" s="11" customFormat="1" ht="15">
      <c r="A20" s="50" t="s">
        <v>384</v>
      </c>
      <c r="B20" s="51">
        <v>0.59</v>
      </c>
      <c r="C20" s="51">
        <v>24.19</v>
      </c>
      <c r="D20" s="51">
        <v>24.68</v>
      </c>
      <c r="E20" s="51">
        <v>3.74</v>
      </c>
      <c r="F20" s="51">
        <v>6.65</v>
      </c>
      <c r="G20" s="51">
        <v>64.599999999999994</v>
      </c>
      <c r="H20" s="51">
        <v>23.03</v>
      </c>
      <c r="I20" s="51">
        <v>7.89</v>
      </c>
      <c r="J20" s="51">
        <v>1.95</v>
      </c>
      <c r="K20" s="51">
        <v>322.56</v>
      </c>
      <c r="L20" s="9" t="s">
        <v>15</v>
      </c>
      <c r="M20" s="51">
        <v>41.65</v>
      </c>
      <c r="N20" s="51">
        <v>1231.9000000000001</v>
      </c>
      <c r="O20" s="51">
        <v>0</v>
      </c>
      <c r="P20" s="51">
        <v>2.29</v>
      </c>
      <c r="Q20" s="51">
        <v>34.5</v>
      </c>
      <c r="R20" s="43"/>
      <c r="S20" s="43"/>
      <c r="T20" s="43"/>
      <c r="U20" s="43"/>
    </row>
    <row r="21" spans="1:21" s="11" customFormat="1" ht="15">
      <c r="A21" s="50" t="s">
        <v>385</v>
      </c>
      <c r="B21" s="51">
        <v>0.83</v>
      </c>
      <c r="C21" s="51">
        <v>27.70</v>
      </c>
      <c r="D21" s="51">
        <v>28.16</v>
      </c>
      <c r="E21" s="51">
        <v>3.68</v>
      </c>
      <c r="F21" s="51">
        <v>12.27</v>
      </c>
      <c r="G21" s="51">
        <v>65.819999999999993</v>
      </c>
      <c r="H21" s="51">
        <v>23.63</v>
      </c>
      <c r="I21" s="51">
        <v>7.35</v>
      </c>
      <c r="J21" s="51">
        <v>2.86</v>
      </c>
      <c r="K21" s="51">
        <v>323.63</v>
      </c>
      <c r="L21" s="9" t="s">
        <v>15</v>
      </c>
      <c r="M21" s="51">
        <v>36.78</v>
      </c>
      <c r="N21" s="51">
        <v>1239.70</v>
      </c>
      <c r="O21" s="51">
        <v>0</v>
      </c>
      <c r="P21" s="51">
        <v>2.2599999999999998</v>
      </c>
      <c r="Q21" s="51">
        <v>40.28</v>
      </c>
      <c r="R21" s="43"/>
      <c r="S21" s="43"/>
      <c r="T21" s="43"/>
      <c r="U21" s="43"/>
    </row>
    <row r="22" spans="1:21" s="11" customFormat="1" ht="15">
      <c r="A22" s="50" t="s">
        <v>386</v>
      </c>
      <c r="B22" s="51">
        <v>0.44</v>
      </c>
      <c r="C22" s="51">
        <v>26.53</v>
      </c>
      <c r="D22" s="51">
        <v>26.96</v>
      </c>
      <c r="E22" s="51">
        <v>4.47</v>
      </c>
      <c r="F22" s="51">
        <v>8.2799999999999994</v>
      </c>
      <c r="G22" s="51">
        <v>72.33</v>
      </c>
      <c r="H22" s="51">
        <v>26.02</v>
      </c>
      <c r="I22" s="51">
        <v>6.85</v>
      </c>
      <c r="J22" s="51">
        <v>1.62</v>
      </c>
      <c r="K22" s="51">
        <v>325.04000000000002</v>
      </c>
      <c r="L22" s="9" t="s">
        <v>15</v>
      </c>
      <c r="M22" s="51">
        <v>33.5</v>
      </c>
      <c r="N22" s="51">
        <v>978.60</v>
      </c>
      <c r="O22" s="51">
        <v>0</v>
      </c>
      <c r="P22" s="51">
        <v>2.2599999999999998</v>
      </c>
      <c r="Q22" s="51">
        <v>67.47</v>
      </c>
      <c r="R22" s="43"/>
      <c r="S22" s="43"/>
      <c r="T22" s="43"/>
      <c r="U22" s="43"/>
    </row>
    <row r="23" spans="1:21" s="11" customFormat="1" ht="15">
      <c r="A23" s="50" t="s">
        <v>387</v>
      </c>
      <c r="B23" s="51">
        <v>0.070000000000000007</v>
      </c>
      <c r="C23" s="51">
        <v>20.51</v>
      </c>
      <c r="D23" s="51">
        <v>20.51</v>
      </c>
      <c r="E23" s="51">
        <v>3.43</v>
      </c>
      <c r="F23" s="51">
        <v>19.38</v>
      </c>
      <c r="G23" s="51">
        <v>76.20</v>
      </c>
      <c r="H23" s="51">
        <v>27.5</v>
      </c>
      <c r="I23" s="51">
        <v>7.18</v>
      </c>
      <c r="J23" s="51">
        <v>0.60</v>
      </c>
      <c r="K23" s="51">
        <v>251.43</v>
      </c>
      <c r="L23" s="9" t="s">
        <v>15</v>
      </c>
      <c r="M23" s="51">
        <v>33.26</v>
      </c>
      <c r="N23" s="51">
        <v>804.60</v>
      </c>
      <c r="O23" s="51">
        <v>0</v>
      </c>
      <c r="P23" s="51">
        <v>2.23</v>
      </c>
      <c r="Q23" s="51">
        <v>62.93</v>
      </c>
      <c r="R23" s="43"/>
      <c r="S23" s="43"/>
      <c r="T23" s="43"/>
      <c r="U23" s="43"/>
    </row>
    <row r="24" spans="1:21" s="11" customFormat="1" ht="15">
      <c r="A24" s="50" t="s">
        <v>388</v>
      </c>
      <c r="B24" s="51">
        <v>0</v>
      </c>
      <c r="C24" s="51">
        <v>19.579999999999998</v>
      </c>
      <c r="D24" s="51">
        <v>19.579999999999998</v>
      </c>
      <c r="E24" s="51">
        <v>2.79</v>
      </c>
      <c r="F24" s="51">
        <v>16.02</v>
      </c>
      <c r="G24" s="51">
        <v>76.80</v>
      </c>
      <c r="H24" s="51">
        <v>28.17</v>
      </c>
      <c r="I24" s="51">
        <v>7.20</v>
      </c>
      <c r="J24" s="51">
        <v>1.59</v>
      </c>
      <c r="K24" s="51">
        <v>222.90</v>
      </c>
      <c r="L24" s="9" t="s">
        <v>15</v>
      </c>
      <c r="M24" s="51">
        <v>31.72</v>
      </c>
      <c r="N24" s="51">
        <v>631.60</v>
      </c>
      <c r="O24" s="51">
        <v>0</v>
      </c>
      <c r="P24" s="51">
        <v>2.11</v>
      </c>
      <c r="Q24" s="51">
        <v>63.56</v>
      </c>
      <c r="R24" s="43"/>
      <c r="S24" s="43"/>
      <c r="T24" s="43"/>
      <c r="U24" s="43"/>
    </row>
    <row r="25" spans="1:21" s="11" customFormat="1" ht="15">
      <c r="A25" s="50" t="s">
        <v>389</v>
      </c>
      <c r="B25" s="51">
        <v>0.09</v>
      </c>
      <c r="C25" s="51">
        <v>15.63</v>
      </c>
      <c r="D25" s="51">
        <v>15.63</v>
      </c>
      <c r="E25" s="51">
        <v>3.39</v>
      </c>
      <c r="F25" s="51">
        <v>9.51</v>
      </c>
      <c r="G25" s="51">
        <v>51.07</v>
      </c>
      <c r="H25" s="51">
        <v>22.89</v>
      </c>
      <c r="I25" s="51">
        <v>6.57</v>
      </c>
      <c r="J25" s="51">
        <v>2.35</v>
      </c>
      <c r="K25" s="51">
        <v>217.14</v>
      </c>
      <c r="L25" s="9" t="s">
        <v>15</v>
      </c>
      <c r="M25" s="51">
        <v>34.159999999999997</v>
      </c>
      <c r="N25" s="51">
        <v>193.80</v>
      </c>
      <c r="O25" s="51">
        <v>0</v>
      </c>
      <c r="P25" s="51">
        <v>2.0299999999999998</v>
      </c>
      <c r="Q25" s="51">
        <v>44.37</v>
      </c>
      <c r="R25" s="43"/>
      <c r="S25" s="43"/>
      <c r="T25" s="43"/>
      <c r="U25" s="43"/>
    </row>
    <row r="26" spans="1:21" s="11" customFormat="1" ht="15">
      <c r="A26" s="50" t="s">
        <v>390</v>
      </c>
      <c r="B26" s="51">
        <v>0.15</v>
      </c>
      <c r="C26" s="51">
        <v>17.34</v>
      </c>
      <c r="D26" s="51">
        <v>17.489999999999998</v>
      </c>
      <c r="E26" s="51">
        <v>4.0199999999999996</v>
      </c>
      <c r="F26" s="51">
        <v>5.1100000000000003</v>
      </c>
      <c r="G26" s="51">
        <v>55.15</v>
      </c>
      <c r="H26" s="51">
        <v>22.89</v>
      </c>
      <c r="I26" s="51">
        <v>22.05</v>
      </c>
      <c r="J26" s="51">
        <v>2.04</v>
      </c>
      <c r="K26" s="51">
        <v>233.65</v>
      </c>
      <c r="L26" s="9" t="s">
        <v>15</v>
      </c>
      <c r="M26" s="51">
        <v>37.909999999999997</v>
      </c>
      <c r="N26" s="51">
        <v>73.599999999999994</v>
      </c>
      <c r="O26" s="51">
        <v>0</v>
      </c>
      <c r="P26" s="51">
        <v>2.02</v>
      </c>
      <c r="Q26" s="51">
        <v>59.07</v>
      </c>
      <c r="R26" s="43"/>
      <c r="S26" s="43"/>
      <c r="T26" s="43"/>
      <c r="U26" s="43"/>
    </row>
    <row r="27" spans="1:21" s="11" customFormat="1" ht="15">
      <c r="A27" s="50" t="s">
        <v>391</v>
      </c>
      <c r="B27" s="51">
        <v>0.42</v>
      </c>
      <c r="C27" s="51">
        <v>18.04</v>
      </c>
      <c r="D27" s="51">
        <v>18.29</v>
      </c>
      <c r="E27" s="51">
        <v>4.09</v>
      </c>
      <c r="F27" s="51">
        <v>4.05</v>
      </c>
      <c r="G27" s="51">
        <v>57.53</v>
      </c>
      <c r="H27" s="51">
        <v>21.29</v>
      </c>
      <c r="I27" s="51">
        <v>5.03</v>
      </c>
      <c r="J27" s="51">
        <v>1.54</v>
      </c>
      <c r="K27" s="51">
        <v>310.47000000000003</v>
      </c>
      <c r="L27" s="51">
        <v>49.12</v>
      </c>
      <c r="M27" s="51">
        <v>45.40</v>
      </c>
      <c r="N27" s="51">
        <v>17.100000000000001</v>
      </c>
      <c r="O27" s="51">
        <v>0</v>
      </c>
      <c r="P27" s="51">
        <v>2.0499999999999998</v>
      </c>
      <c r="Q27" s="51">
        <v>58.79</v>
      </c>
      <c r="R27" s="43"/>
      <c r="S27" s="43"/>
      <c r="T27" s="43"/>
      <c r="U27" s="43"/>
    </row>
    <row r="28" spans="1:21" s="11" customFormat="1" ht="15">
      <c r="A28" s="50" t="s">
        <v>392</v>
      </c>
      <c r="B28" s="51">
        <v>3.07</v>
      </c>
      <c r="C28" s="51">
        <v>25.39</v>
      </c>
      <c r="D28" s="51">
        <v>28.47</v>
      </c>
      <c r="E28" s="51">
        <v>4.6500000000000004</v>
      </c>
      <c r="F28" s="51">
        <v>3.20</v>
      </c>
      <c r="G28" s="51">
        <v>70.41</v>
      </c>
      <c r="H28" s="51">
        <v>23.17</v>
      </c>
      <c r="I28" s="51">
        <v>5.13</v>
      </c>
      <c r="J28" s="51">
        <v>3.28</v>
      </c>
      <c r="K28" s="51">
        <v>349.71</v>
      </c>
      <c r="L28" s="51">
        <v>44.93</v>
      </c>
      <c r="M28" s="51">
        <v>51.03</v>
      </c>
      <c r="N28" s="8" t="s">
        <v>8</v>
      </c>
      <c r="O28" s="51">
        <v>0</v>
      </c>
      <c r="P28" s="51">
        <v>2.34</v>
      </c>
      <c r="Q28" s="51">
        <v>52.48</v>
      </c>
      <c r="R28" s="43"/>
      <c r="S28" s="43"/>
      <c r="T28" s="43"/>
      <c r="U28" s="43"/>
    </row>
    <row r="29" spans="1:21" s="11" customFormat="1" ht="15">
      <c r="A29" s="50" t="s">
        <v>393</v>
      </c>
      <c r="B29" s="51">
        <v>3.23</v>
      </c>
      <c r="C29" s="51">
        <v>23.28</v>
      </c>
      <c r="D29" s="51">
        <v>26.51</v>
      </c>
      <c r="E29" s="51">
        <v>5.62</v>
      </c>
      <c r="F29" s="51">
        <v>1.86</v>
      </c>
      <c r="G29" s="51">
        <v>80.47</v>
      </c>
      <c r="H29" s="51">
        <v>25.16</v>
      </c>
      <c r="I29" s="51">
        <v>5.70</v>
      </c>
      <c r="J29" s="51">
        <v>3.42</v>
      </c>
      <c r="K29" s="51">
        <v>350.01</v>
      </c>
      <c r="L29" s="51">
        <v>42.97</v>
      </c>
      <c r="M29" s="51">
        <v>50.41</v>
      </c>
      <c r="N29" s="8" t="s">
        <v>8</v>
      </c>
      <c r="O29" s="51">
        <v>0</v>
      </c>
      <c r="P29" s="51">
        <v>2.46</v>
      </c>
      <c r="Q29" s="51">
        <v>45.99</v>
      </c>
      <c r="R29" s="43"/>
      <c r="S29" s="43"/>
      <c r="T29" s="43"/>
      <c r="U29" s="43"/>
    </row>
    <row r="30" spans="1:21" s="11" customFormat="1" ht="15">
      <c r="A30" s="50" t="s">
        <v>394</v>
      </c>
      <c r="B30" s="51">
        <v>4.38</v>
      </c>
      <c r="C30" s="51">
        <v>26.5</v>
      </c>
      <c r="D30" s="51">
        <v>30.88</v>
      </c>
      <c r="E30" s="51">
        <v>6.68</v>
      </c>
      <c r="F30" s="51">
        <v>1.74</v>
      </c>
      <c r="G30" s="51">
        <v>83.55</v>
      </c>
      <c r="H30" s="51">
        <v>26.66</v>
      </c>
      <c r="I30" s="51">
        <v>6.05</v>
      </c>
      <c r="J30" s="51">
        <v>2.25</v>
      </c>
      <c r="K30" s="51">
        <v>337.33</v>
      </c>
      <c r="L30" s="51">
        <v>41.49</v>
      </c>
      <c r="M30" s="51">
        <v>55.08</v>
      </c>
      <c r="N30" s="8" t="s">
        <v>8</v>
      </c>
      <c r="O30" s="51">
        <v>0</v>
      </c>
      <c r="P30" s="51">
        <v>2.54</v>
      </c>
      <c r="Q30" s="51">
        <v>48.94</v>
      </c>
      <c r="R30" s="43"/>
      <c r="S30" s="43"/>
      <c r="T30" s="43"/>
      <c r="U30" s="43"/>
    </row>
    <row r="31" spans="1:21" s="11" customFormat="1" ht="15">
      <c r="A31" s="50" t="s">
        <v>395</v>
      </c>
      <c r="B31" s="51">
        <v>4.82</v>
      </c>
      <c r="C31" s="51">
        <v>29.21</v>
      </c>
      <c r="D31" s="51">
        <v>33.5</v>
      </c>
      <c r="E31" s="51">
        <v>6.87</v>
      </c>
      <c r="F31" s="51">
        <v>1.35</v>
      </c>
      <c r="G31" s="51">
        <v>89.36</v>
      </c>
      <c r="H31" s="51">
        <v>27.13</v>
      </c>
      <c r="I31" s="51">
        <v>6.42</v>
      </c>
      <c r="J31" s="51">
        <v>1.80</v>
      </c>
      <c r="K31" s="51">
        <v>322.64999999999998</v>
      </c>
      <c r="L31" s="51">
        <v>44.74</v>
      </c>
      <c r="M31" s="51">
        <v>55.30</v>
      </c>
      <c r="N31" s="8" t="s">
        <v>8</v>
      </c>
      <c r="O31" s="51">
        <v>0</v>
      </c>
      <c r="P31" s="51">
        <v>2.62</v>
      </c>
      <c r="Q31" s="51">
        <v>58.01</v>
      </c>
      <c r="R31" s="43"/>
      <c r="S31" s="43"/>
      <c r="T31" s="43"/>
      <c r="U31" s="43"/>
    </row>
    <row r="32" spans="1:21" s="11" customFormat="1" ht="15">
      <c r="A32" s="50" t="s">
        <v>396</v>
      </c>
      <c r="B32" s="51">
        <v>3.44</v>
      </c>
      <c r="C32" s="51">
        <v>27.65</v>
      </c>
      <c r="D32" s="51">
        <v>31.09</v>
      </c>
      <c r="E32" s="51">
        <v>6.25</v>
      </c>
      <c r="F32" s="51">
        <v>1.5</v>
      </c>
      <c r="G32" s="51">
        <v>90.96</v>
      </c>
      <c r="H32" s="51">
        <v>27.83</v>
      </c>
      <c r="I32" s="51">
        <v>6.39</v>
      </c>
      <c r="J32" s="51">
        <v>1.64</v>
      </c>
      <c r="K32" s="51">
        <v>242.69</v>
      </c>
      <c r="L32" s="51">
        <v>46.45</v>
      </c>
      <c r="M32" s="51">
        <v>51.20</v>
      </c>
      <c r="N32" s="8" t="s">
        <v>8</v>
      </c>
      <c r="O32" s="51">
        <v>0</v>
      </c>
      <c r="P32" s="51">
        <v>2.58</v>
      </c>
      <c r="Q32" s="51">
        <v>49.96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</v>
      </c>
      <c r="C34" s="28">
        <f t="shared" si="0"/>
        <v>13.289999999999999</v>
      </c>
      <c r="D34" s="28">
        <f t="shared" si="0"/>
        <v>15.630000000000001</v>
      </c>
      <c r="E34" s="28">
        <f t="shared" si="0"/>
        <v>2.79</v>
      </c>
      <c r="F34" s="28">
        <f t="shared" si="0"/>
        <v>0.93999999999999995</v>
      </c>
      <c r="G34" s="28">
        <f t="shared" si="0"/>
        <v>51.07</v>
      </c>
      <c r="H34" s="28">
        <f t="shared" si="0"/>
        <v>18.760000000000002</v>
      </c>
      <c r="I34" s="28">
        <f t="shared" si="0"/>
        <v>4.1600000000000001</v>
      </c>
      <c r="J34" s="28">
        <f t="shared" si="0"/>
        <v>0.32000000000000001</v>
      </c>
      <c r="K34" s="28">
        <f t="shared" si="0"/>
        <v>193.13999999999999</v>
      </c>
      <c r="L34" s="28">
        <f t="shared" si="0"/>
        <v>33.719999999999999</v>
      </c>
      <c r="M34" s="28">
        <f t="shared" si="0"/>
        <v>31.719999999999999</v>
      </c>
      <c r="N34" s="28">
        <f t="shared" si="0"/>
        <v>17.100000000000001</v>
      </c>
      <c r="O34" s="28">
        <f t="shared" si="0"/>
        <v>0</v>
      </c>
      <c r="P34" s="28">
        <f t="shared" si="0"/>
        <v>1.99</v>
      </c>
      <c r="Q34" s="28">
        <f t="shared" si="0"/>
        <v>34.359999999999999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10.630000000000001</v>
      </c>
      <c r="C35" s="29">
        <f t="shared" si="1"/>
        <v>29.210000000000001</v>
      </c>
      <c r="D35" s="29">
        <f t="shared" si="1"/>
        <v>36.090000000000003</v>
      </c>
      <c r="E35" s="29">
        <f t="shared" si="1"/>
        <v>7.71</v>
      </c>
      <c r="F35" s="29">
        <f t="shared" si="1"/>
        <v>19.379999999999999</v>
      </c>
      <c r="G35" s="29">
        <f t="shared" si="1"/>
        <v>103.03</v>
      </c>
      <c r="H35" s="29">
        <f t="shared" si="1"/>
        <v>30.75</v>
      </c>
      <c r="I35" s="29">
        <f t="shared" si="1"/>
        <v>22.050000000000001</v>
      </c>
      <c r="J35" s="29">
        <f t="shared" si="1"/>
        <v>3.4199999999999999</v>
      </c>
      <c r="K35" s="29">
        <f t="shared" si="1"/>
        <v>350.68000000000001</v>
      </c>
      <c r="L35" s="29">
        <f t="shared" si="1"/>
        <v>49.119999999999997</v>
      </c>
      <c r="M35" s="29">
        <f t="shared" si="1"/>
        <v>70.299999999999997</v>
      </c>
      <c r="N35" s="29">
        <f t="shared" si="1"/>
        <v>1239.7</v>
      </c>
      <c r="O35" s="29">
        <f t="shared" si="1"/>
        <v>0</v>
      </c>
      <c r="P35" s="29">
        <f t="shared" si="1"/>
        <v>2.73</v>
      </c>
      <c r="Q35" s="29">
        <f t="shared" si="1"/>
        <v>74.209999999999994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2.4900000000000002</v>
      </c>
      <c r="C36" s="28">
        <f t="shared" si="2"/>
        <v>21.986249999999998</v>
      </c>
      <c r="D36" s="28">
        <f t="shared" si="2"/>
        <v>24.289583333333336</v>
      </c>
      <c r="E36" s="28">
        <f t="shared" si="2"/>
        <v>5.314583333333335</v>
      </c>
      <c r="F36" s="28">
        <f t="shared" si="2"/>
        <v>4.8229166666666661</v>
      </c>
      <c r="G36" s="28">
        <f t="shared" si="2"/>
        <v>70.917083333333323</v>
      </c>
      <c r="H36" s="28">
        <f t="shared" si="2"/>
        <v>25.242083333333337</v>
      </c>
      <c r="I36" s="28">
        <f t="shared" si="2"/>
        <v>6.6145833333333313</v>
      </c>
      <c r="J36" s="28">
        <f t="shared" si="2"/>
        <v>1.7733333333333334</v>
      </c>
      <c r="K36" s="28">
        <f t="shared" si="2"/>
        <v>287.36541666666665</v>
      </c>
      <c r="L36" s="28">
        <f t="shared" si="2"/>
        <v>43.500666666666675</v>
      </c>
      <c r="M36" s="28">
        <f t="shared" si="2"/>
        <v>51.205833333333324</v>
      </c>
      <c r="N36" s="28">
        <f t="shared" si="2"/>
        <v>606.0428571428572</v>
      </c>
      <c r="O36" s="28">
        <f t="shared" si="2"/>
        <v>0</v>
      </c>
      <c r="P36" s="28">
        <f t="shared" si="2"/>
        <v>2.2595833333333326</v>
      </c>
      <c r="Q36" s="28">
        <f t="shared" si="2"/>
        <v>51.678333333333335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2.430800548039231</v>
      </c>
      <c r="C37" s="28">
        <f t="shared" si="3" ref="C37:Q37">STDEV(C9:C32)</f>
        <v>4.3105349335138703</v>
      </c>
      <c r="D37" s="28">
        <f t="shared" si="3"/>
        <v>5.4376285425419137</v>
      </c>
      <c r="E37" s="28">
        <f t="shared" si="3"/>
        <v>1.5323922166981558</v>
      </c>
      <c r="F37" s="28">
        <f t="shared" si="3"/>
        <v>5.0341567915043397</v>
      </c>
      <c r="G37" s="28">
        <f t="shared" si="3"/>
        <v>14.628752949664582</v>
      </c>
      <c r="H37" s="28">
        <f t="shared" si="3"/>
        <v>3.1112390641821071</v>
      </c>
      <c r="I37" s="28">
        <f t="shared" si="3"/>
        <v>3.4653978743480924</v>
      </c>
      <c r="J37" s="28">
        <f t="shared" si="3"/>
        <v>0.75165710653003248</v>
      </c>
      <c r="K37" s="28">
        <f t="shared" si="3"/>
        <v>53.146979543540013</v>
      </c>
      <c r="L37" s="28">
        <f t="shared" si="3"/>
        <v>3.5349388086574258</v>
      </c>
      <c r="M37" s="28">
        <f t="shared" si="3"/>
        <v>12.554918286807217</v>
      </c>
      <c r="N37" s="28">
        <f t="shared" si="3"/>
        <v>450.36160977645466</v>
      </c>
      <c r="O37" s="28">
        <f t="shared" si="3"/>
        <v>0</v>
      </c>
      <c r="P37" s="28">
        <f t="shared" si="3"/>
        <v>0.21480990922545753</v>
      </c>
      <c r="Q37" s="28">
        <f t="shared" si="3"/>
        <v>10.615227645746195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15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8c7d01-335e-4eb3-be18-1e8005e2249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38" sqref="A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398</v>
      </c>
      <c r="B9" s="51">
        <v>1.33</v>
      </c>
      <c r="C9" s="51">
        <v>23.86</v>
      </c>
      <c r="D9" s="51">
        <v>25.16</v>
      </c>
      <c r="E9" s="51">
        <v>6.19</v>
      </c>
      <c r="F9" s="51">
        <v>1.38</v>
      </c>
      <c r="G9" s="51">
        <v>87.73</v>
      </c>
      <c r="H9" s="51">
        <v>28.92</v>
      </c>
      <c r="I9" s="51">
        <v>5.71</v>
      </c>
      <c r="J9" s="51">
        <v>1.98</v>
      </c>
      <c r="K9" s="51">
        <v>214.98</v>
      </c>
      <c r="L9" s="51">
        <v>40.97</v>
      </c>
      <c r="M9" s="51">
        <v>55.22</v>
      </c>
      <c r="N9" s="8" t="s">
        <v>8</v>
      </c>
      <c r="O9" s="51">
        <v>0</v>
      </c>
      <c r="P9" s="51">
        <v>2.41</v>
      </c>
      <c r="Q9" s="51">
        <v>46.59</v>
      </c>
      <c r="R9" s="43"/>
      <c r="S9" s="43"/>
      <c r="T9" s="43"/>
      <c r="U9" s="43"/>
    </row>
    <row r="10" spans="1:21" s="11" customFormat="1" ht="15">
      <c r="A10" s="50" t="s">
        <v>399</v>
      </c>
      <c r="B10" s="51">
        <v>1.41</v>
      </c>
      <c r="C10" s="51">
        <v>15.57</v>
      </c>
      <c r="D10" s="51">
        <v>16.89</v>
      </c>
      <c r="E10" s="51">
        <v>7.03</v>
      </c>
      <c r="F10" s="51">
        <v>1.38</v>
      </c>
      <c r="G10" s="51">
        <v>84.29</v>
      </c>
      <c r="H10" s="51">
        <v>28.96</v>
      </c>
      <c r="I10" s="51">
        <v>5.32</v>
      </c>
      <c r="J10" s="51">
        <v>2.13</v>
      </c>
      <c r="K10" s="51">
        <v>221.67</v>
      </c>
      <c r="L10" s="51">
        <v>40.67</v>
      </c>
      <c r="M10" s="51">
        <v>57.33</v>
      </c>
      <c r="N10" s="8" t="s">
        <v>8</v>
      </c>
      <c r="O10" s="51">
        <v>0</v>
      </c>
      <c r="P10" s="51">
        <v>2.31</v>
      </c>
      <c r="Q10" s="51">
        <v>34.58</v>
      </c>
      <c r="R10" s="43"/>
      <c r="S10" s="43"/>
      <c r="T10" s="43"/>
      <c r="U10" s="43"/>
    </row>
    <row r="11" spans="1:21" s="11" customFormat="1" ht="15">
      <c r="A11" s="50" t="s">
        <v>400</v>
      </c>
      <c r="B11" s="51">
        <v>1.5</v>
      </c>
      <c r="C11" s="51">
        <v>16.04</v>
      </c>
      <c r="D11" s="51">
        <v>17.41</v>
      </c>
      <c r="E11" s="51">
        <v>7.37</v>
      </c>
      <c r="F11" s="51">
        <v>1.63</v>
      </c>
      <c r="G11" s="51">
        <v>69.099999999999994</v>
      </c>
      <c r="H11" s="51">
        <v>27.24</v>
      </c>
      <c r="I11" s="51">
        <v>5.0999999999999996</v>
      </c>
      <c r="J11" s="51">
        <v>1.80</v>
      </c>
      <c r="K11" s="51">
        <v>205.56</v>
      </c>
      <c r="L11" s="51">
        <v>39.869999999999997</v>
      </c>
      <c r="M11" s="51">
        <v>61.18</v>
      </c>
      <c r="N11" s="8" t="s">
        <v>8</v>
      </c>
      <c r="O11" s="51">
        <v>0</v>
      </c>
      <c r="P11" s="51">
        <v>2.2000000000000002</v>
      </c>
      <c r="Q11" s="51">
        <v>47.01</v>
      </c>
      <c r="R11" s="43"/>
      <c r="S11" s="43"/>
      <c r="T11" s="43"/>
      <c r="U11" s="43"/>
    </row>
    <row r="12" spans="1:21" s="11" customFormat="1" ht="15">
      <c r="A12" s="50" t="s">
        <v>401</v>
      </c>
      <c r="B12" s="51">
        <v>0.85</v>
      </c>
      <c r="C12" s="51">
        <v>15.09</v>
      </c>
      <c r="D12" s="51">
        <v>15.87</v>
      </c>
      <c r="E12" s="51">
        <v>7.08</v>
      </c>
      <c r="F12" s="51">
        <v>1.69</v>
      </c>
      <c r="G12" s="51">
        <v>63.75</v>
      </c>
      <c r="H12" s="51">
        <v>23.61</v>
      </c>
      <c r="I12" s="51">
        <v>4.58</v>
      </c>
      <c r="J12" s="51">
        <v>1.87</v>
      </c>
      <c r="K12" s="51">
        <v>224.67</v>
      </c>
      <c r="L12" s="51">
        <v>39.22</v>
      </c>
      <c r="M12" s="51">
        <v>63.65</v>
      </c>
      <c r="N12" s="8" t="s">
        <v>8</v>
      </c>
      <c r="O12" s="51">
        <v>0</v>
      </c>
      <c r="P12" s="51">
        <v>2.0699999999999998</v>
      </c>
      <c r="Q12" s="51">
        <v>46.32</v>
      </c>
      <c r="R12" s="43"/>
      <c r="S12" s="43"/>
      <c r="T12" s="43"/>
      <c r="U12" s="43"/>
    </row>
    <row r="13" spans="1:21" s="11" customFormat="1" ht="15">
      <c r="A13" s="50" t="s">
        <v>402</v>
      </c>
      <c r="B13" s="51">
        <v>0.94</v>
      </c>
      <c r="C13" s="51">
        <v>15.06</v>
      </c>
      <c r="D13" s="51">
        <v>15.84</v>
      </c>
      <c r="E13" s="51">
        <v>6.51</v>
      </c>
      <c r="F13" s="51">
        <v>1.31</v>
      </c>
      <c r="G13" s="51">
        <v>48.99</v>
      </c>
      <c r="H13" s="51">
        <v>23.11</v>
      </c>
      <c r="I13" s="51">
        <v>3.97</v>
      </c>
      <c r="J13" s="51">
        <v>2.29</v>
      </c>
      <c r="K13" s="51">
        <v>209.97</v>
      </c>
      <c r="L13" s="51">
        <v>39.15</v>
      </c>
      <c r="M13" s="51">
        <v>65.42</v>
      </c>
      <c r="N13" s="8" t="s">
        <v>8</v>
      </c>
      <c r="O13" s="51">
        <v>0</v>
      </c>
      <c r="P13" s="51">
        <v>1.98</v>
      </c>
      <c r="Q13" s="51">
        <v>45.19</v>
      </c>
      <c r="R13" s="43"/>
      <c r="S13" s="43"/>
      <c r="T13" s="43"/>
      <c r="U13" s="43"/>
    </row>
    <row r="14" spans="1:21" s="11" customFormat="1" ht="15">
      <c r="A14" s="50" t="s">
        <v>403</v>
      </c>
      <c r="B14" s="51">
        <v>2.17</v>
      </c>
      <c r="C14" s="51">
        <v>13.26</v>
      </c>
      <c r="D14" s="51">
        <v>15.43</v>
      </c>
      <c r="E14" s="51">
        <v>7.49</v>
      </c>
      <c r="F14" s="51">
        <v>0.66</v>
      </c>
      <c r="G14" s="51">
        <v>49.21</v>
      </c>
      <c r="H14" s="51">
        <v>26.47</v>
      </c>
      <c r="I14" s="51">
        <v>3.66</v>
      </c>
      <c r="J14" s="51">
        <v>1.91</v>
      </c>
      <c r="K14" s="51">
        <v>224.37</v>
      </c>
      <c r="L14" s="51">
        <v>38.81</v>
      </c>
      <c r="M14" s="51">
        <v>66.02</v>
      </c>
      <c r="N14" s="51">
        <v>19</v>
      </c>
      <c r="O14" s="51">
        <v>0</v>
      </c>
      <c r="P14" s="51">
        <v>1.95</v>
      </c>
      <c r="Q14" s="51">
        <v>35.159999999999997</v>
      </c>
      <c r="R14" s="43"/>
      <c r="S14" s="43"/>
      <c r="T14" s="43"/>
      <c r="U14" s="43"/>
    </row>
    <row r="15" spans="1:21" s="11" customFormat="1" ht="15">
      <c r="A15" s="50" t="s">
        <v>404</v>
      </c>
      <c r="B15" s="51">
        <v>4.0199999999999996</v>
      </c>
      <c r="C15" s="51">
        <v>18.89</v>
      </c>
      <c r="D15" s="51">
        <v>22.91</v>
      </c>
      <c r="E15" s="51">
        <v>7.88</v>
      </c>
      <c r="F15" s="51">
        <v>0.93</v>
      </c>
      <c r="G15" s="51">
        <v>47.96</v>
      </c>
      <c r="H15" s="51">
        <v>19.260000000000002</v>
      </c>
      <c r="I15" s="51">
        <v>3.97</v>
      </c>
      <c r="J15" s="51">
        <v>1.58</v>
      </c>
      <c r="K15" s="51">
        <v>331.31</v>
      </c>
      <c r="L15" s="51">
        <v>41.60</v>
      </c>
      <c r="M15" s="51">
        <v>64.87</v>
      </c>
      <c r="N15" s="51">
        <v>226.5</v>
      </c>
      <c r="O15" s="51">
        <v>0</v>
      </c>
      <c r="P15" s="51">
        <v>2</v>
      </c>
      <c r="Q15" s="51">
        <v>39.840000000000003</v>
      </c>
      <c r="R15" s="43"/>
      <c r="S15" s="43"/>
      <c r="T15" s="43"/>
      <c r="U15" s="43"/>
    </row>
    <row r="16" spans="1:21" s="11" customFormat="1" ht="15">
      <c r="A16" s="50" t="s">
        <v>405</v>
      </c>
      <c r="B16" s="51">
        <v>4.3499999999999996</v>
      </c>
      <c r="C16" s="51">
        <v>21.84</v>
      </c>
      <c r="D16" s="51">
        <v>25.85</v>
      </c>
      <c r="E16" s="51">
        <v>7.65</v>
      </c>
      <c r="F16" s="51">
        <v>1.37</v>
      </c>
      <c r="G16" s="51">
        <v>52.85</v>
      </c>
      <c r="H16" s="51">
        <v>20.49</v>
      </c>
      <c r="I16" s="51">
        <v>4.63</v>
      </c>
      <c r="J16" s="51">
        <v>1.47</v>
      </c>
      <c r="K16" s="51">
        <v>349.95</v>
      </c>
      <c r="L16" s="51">
        <v>43.44</v>
      </c>
      <c r="M16" s="51">
        <v>56.98</v>
      </c>
      <c r="N16" s="51">
        <v>380.10</v>
      </c>
      <c r="O16" s="51">
        <v>0</v>
      </c>
      <c r="P16" s="51">
        <v>2.10</v>
      </c>
      <c r="Q16" s="51">
        <v>45.69</v>
      </c>
      <c r="R16" s="43"/>
      <c r="S16" s="43"/>
      <c r="T16" s="43"/>
      <c r="U16" s="43"/>
    </row>
    <row r="17" spans="1:21" s="11" customFormat="1" ht="15">
      <c r="A17" s="50" t="s">
        <v>406</v>
      </c>
      <c r="B17" s="51">
        <v>3.31</v>
      </c>
      <c r="C17" s="51">
        <v>23.43</v>
      </c>
      <c r="D17" s="51">
        <v>26.37</v>
      </c>
      <c r="E17" s="51">
        <v>5.98</v>
      </c>
      <c r="F17" s="51">
        <v>1.90</v>
      </c>
      <c r="G17" s="51">
        <v>54.16</v>
      </c>
      <c r="H17" s="51">
        <v>22.64</v>
      </c>
      <c r="I17" s="51">
        <v>5.07</v>
      </c>
      <c r="J17" s="51">
        <v>2.0499999999999998</v>
      </c>
      <c r="K17" s="51">
        <v>340.62</v>
      </c>
      <c r="L17" s="51">
        <v>46.14</v>
      </c>
      <c r="M17" s="51">
        <v>55.27</v>
      </c>
      <c r="N17" s="51">
        <v>714.80</v>
      </c>
      <c r="O17" s="51">
        <v>0</v>
      </c>
      <c r="P17" s="51">
        <v>2.14</v>
      </c>
      <c r="Q17" s="51">
        <v>40.24</v>
      </c>
      <c r="R17" s="43"/>
      <c r="S17" s="43"/>
      <c r="T17" s="43"/>
      <c r="U17" s="43"/>
    </row>
    <row r="18" spans="1:21" s="11" customFormat="1" ht="15">
      <c r="A18" s="50" t="s">
        <v>407</v>
      </c>
      <c r="B18" s="51">
        <v>2.16</v>
      </c>
      <c r="C18" s="51">
        <v>24.34</v>
      </c>
      <c r="D18" s="51">
        <v>26.49</v>
      </c>
      <c r="E18" s="51">
        <v>6.29</v>
      </c>
      <c r="F18" s="51">
        <v>2.2799999999999998</v>
      </c>
      <c r="G18" s="51">
        <v>57.17</v>
      </c>
      <c r="H18" s="51">
        <v>23.77</v>
      </c>
      <c r="I18" s="51">
        <v>5.04</v>
      </c>
      <c r="J18" s="51">
        <v>2.63</v>
      </c>
      <c r="K18" s="51">
        <v>336.99</v>
      </c>
      <c r="L18" s="9" t="s">
        <v>15</v>
      </c>
      <c r="M18" s="51">
        <v>43.18</v>
      </c>
      <c r="N18" s="51">
        <v>1008.10</v>
      </c>
      <c r="O18" s="51">
        <v>0</v>
      </c>
      <c r="P18" s="51">
        <v>2.2000000000000002</v>
      </c>
      <c r="Q18" s="51">
        <v>35.229999999999997</v>
      </c>
      <c r="R18" s="43"/>
      <c r="S18" s="43"/>
      <c r="T18" s="43"/>
      <c r="U18" s="43"/>
    </row>
    <row r="19" spans="1:21" s="11" customFormat="1" ht="15">
      <c r="A19" s="50" t="s">
        <v>408</v>
      </c>
      <c r="B19" s="51">
        <v>1.68</v>
      </c>
      <c r="C19" s="51">
        <v>21.84</v>
      </c>
      <c r="D19" s="51">
        <v>23.26</v>
      </c>
      <c r="E19" s="51">
        <v>6.44</v>
      </c>
      <c r="F19" s="51">
        <v>2.81</v>
      </c>
      <c r="G19" s="51">
        <v>61.11</v>
      </c>
      <c r="H19" s="51">
        <v>23.58</v>
      </c>
      <c r="I19" s="51">
        <v>5.25</v>
      </c>
      <c r="J19" s="51">
        <v>2.5499999999999998</v>
      </c>
      <c r="K19" s="51">
        <v>337.26</v>
      </c>
      <c r="L19" s="9" t="s">
        <v>15</v>
      </c>
      <c r="M19" s="51">
        <v>40.57</v>
      </c>
      <c r="N19" s="51">
        <v>1133.30</v>
      </c>
      <c r="O19" s="51">
        <v>0</v>
      </c>
      <c r="P19" s="51">
        <v>2.27</v>
      </c>
      <c r="Q19" s="51">
        <v>24.41</v>
      </c>
      <c r="R19" s="43"/>
      <c r="S19" s="43"/>
      <c r="T19" s="43"/>
      <c r="U19" s="43"/>
    </row>
    <row r="20" spans="1:21" s="11" customFormat="1" ht="15">
      <c r="A20" s="50" t="s">
        <v>409</v>
      </c>
      <c r="B20" s="51">
        <v>1.66</v>
      </c>
      <c r="C20" s="51">
        <v>23.82</v>
      </c>
      <c r="D20" s="51">
        <v>24.92</v>
      </c>
      <c r="E20" s="51">
        <v>6.69</v>
      </c>
      <c r="F20" s="51">
        <v>4.1399999999999997</v>
      </c>
      <c r="G20" s="51">
        <v>61.89</v>
      </c>
      <c r="H20" s="51">
        <v>21.42</v>
      </c>
      <c r="I20" s="51">
        <v>5.38</v>
      </c>
      <c r="J20" s="51">
        <v>2.15</v>
      </c>
      <c r="K20" s="51">
        <v>342.57</v>
      </c>
      <c r="L20" s="9" t="s">
        <v>15</v>
      </c>
      <c r="M20" s="51">
        <v>35.659999999999997</v>
      </c>
      <c r="N20" s="51">
        <v>976.20</v>
      </c>
      <c r="O20" s="51">
        <v>0</v>
      </c>
      <c r="P20" s="51">
        <v>2.29</v>
      </c>
      <c r="Q20" s="51">
        <v>30.97</v>
      </c>
      <c r="R20" s="43"/>
      <c r="S20" s="43"/>
      <c r="T20" s="43"/>
      <c r="U20" s="43"/>
    </row>
    <row r="21" spans="1:21" s="11" customFormat="1" ht="15">
      <c r="A21" s="50" t="s">
        <v>410</v>
      </c>
      <c r="B21" s="51">
        <v>0.80</v>
      </c>
      <c r="C21" s="51">
        <v>21.72</v>
      </c>
      <c r="D21" s="51">
        <v>22.52</v>
      </c>
      <c r="E21" s="51">
        <v>6.45</v>
      </c>
      <c r="F21" s="51">
        <v>4.7699999999999996</v>
      </c>
      <c r="G21" s="51">
        <v>61.69</v>
      </c>
      <c r="H21" s="51">
        <v>20.58</v>
      </c>
      <c r="I21" s="51">
        <v>5.0599999999999996</v>
      </c>
      <c r="J21" s="51">
        <v>1.36</v>
      </c>
      <c r="K21" s="51">
        <v>346.57</v>
      </c>
      <c r="L21" s="9" t="s">
        <v>15</v>
      </c>
      <c r="M21" s="51">
        <v>38.06</v>
      </c>
      <c r="N21" s="51">
        <v>845.40</v>
      </c>
      <c r="O21" s="51">
        <v>0</v>
      </c>
      <c r="P21" s="51">
        <v>2.2599999999999998</v>
      </c>
      <c r="Q21" s="51">
        <v>29.16</v>
      </c>
      <c r="R21" s="43"/>
      <c r="S21" s="43"/>
      <c r="T21" s="43"/>
      <c r="U21" s="43"/>
    </row>
    <row r="22" spans="1:21" s="11" customFormat="1" ht="15">
      <c r="A22" s="50" t="s">
        <v>411</v>
      </c>
      <c r="B22" s="51">
        <v>0.95</v>
      </c>
      <c r="C22" s="51">
        <v>24.22</v>
      </c>
      <c r="D22" s="51">
        <v>25.04</v>
      </c>
      <c r="E22" s="51">
        <v>6.18</v>
      </c>
      <c r="F22" s="51">
        <v>4.4000000000000004</v>
      </c>
      <c r="G22" s="51">
        <v>58.16</v>
      </c>
      <c r="H22" s="51">
        <v>17.559999999999999</v>
      </c>
      <c r="I22" s="51">
        <v>4.7300000000000004</v>
      </c>
      <c r="J22" s="51">
        <v>1.59</v>
      </c>
      <c r="K22" s="51">
        <v>311.13</v>
      </c>
      <c r="L22" s="51">
        <v>46.67</v>
      </c>
      <c r="M22" s="51">
        <v>40.29</v>
      </c>
      <c r="N22" s="51">
        <v>201.5</v>
      </c>
      <c r="O22" s="51">
        <v>0</v>
      </c>
      <c r="P22" s="51">
        <v>2.29</v>
      </c>
      <c r="Q22" s="51">
        <v>28.31</v>
      </c>
      <c r="R22" s="43"/>
      <c r="S22" s="43"/>
      <c r="T22" s="43"/>
      <c r="U22" s="43"/>
    </row>
    <row r="23" spans="1:21" s="11" customFormat="1" ht="15">
      <c r="A23" s="50" t="s">
        <v>412</v>
      </c>
      <c r="B23" s="51">
        <v>1.49</v>
      </c>
      <c r="C23" s="51">
        <v>24.40</v>
      </c>
      <c r="D23" s="51">
        <v>25.89</v>
      </c>
      <c r="E23" s="51">
        <v>7.17</v>
      </c>
      <c r="F23" s="51">
        <v>3</v>
      </c>
      <c r="G23" s="51">
        <v>60.81</v>
      </c>
      <c r="H23" s="51">
        <v>19.34</v>
      </c>
      <c r="I23" s="51">
        <v>6.11</v>
      </c>
      <c r="J23" s="51">
        <v>2.4900000000000002</v>
      </c>
      <c r="K23" s="51">
        <v>350.90</v>
      </c>
      <c r="L23" s="51">
        <v>46.07</v>
      </c>
      <c r="M23" s="51">
        <v>44.31</v>
      </c>
      <c r="N23" s="51">
        <v>100.20</v>
      </c>
      <c r="O23" s="51">
        <v>0</v>
      </c>
      <c r="P23" s="51">
        <v>2.4300000000000002</v>
      </c>
      <c r="Q23" s="51">
        <v>23.06</v>
      </c>
      <c r="R23" s="43"/>
      <c r="S23" s="43"/>
      <c r="T23" s="43"/>
      <c r="U23" s="43"/>
    </row>
    <row r="24" spans="1:21" s="11" customFormat="1" ht="15">
      <c r="A24" s="50" t="s">
        <v>413</v>
      </c>
      <c r="B24" s="51">
        <v>2.04</v>
      </c>
      <c r="C24" s="51">
        <v>24.47</v>
      </c>
      <c r="D24" s="51">
        <v>26.49</v>
      </c>
      <c r="E24" s="51">
        <v>7.39</v>
      </c>
      <c r="F24" s="51">
        <v>2.3199999999999998</v>
      </c>
      <c r="G24" s="51">
        <v>70.599999999999994</v>
      </c>
      <c r="H24" s="51">
        <v>21.70</v>
      </c>
      <c r="I24" s="51">
        <v>6.80</v>
      </c>
      <c r="J24" s="51">
        <v>4.26</v>
      </c>
      <c r="K24" s="51">
        <v>97.5</v>
      </c>
      <c r="L24" s="51">
        <v>42.42</v>
      </c>
      <c r="M24" s="51">
        <v>52.21</v>
      </c>
      <c r="N24" s="51">
        <v>27.5</v>
      </c>
      <c r="O24" s="51">
        <v>0</v>
      </c>
      <c r="P24" s="51">
        <v>2.4300000000000002</v>
      </c>
      <c r="Q24" s="51">
        <v>27.54</v>
      </c>
      <c r="R24" s="43"/>
      <c r="S24" s="43"/>
      <c r="T24" s="43"/>
      <c r="U24" s="43"/>
    </row>
    <row r="25" spans="1:21" s="11" customFormat="1" ht="15">
      <c r="A25" s="50" t="s">
        <v>414</v>
      </c>
      <c r="B25" s="51">
        <v>0.73</v>
      </c>
      <c r="C25" s="51">
        <v>21.25</v>
      </c>
      <c r="D25" s="51">
        <v>21.95</v>
      </c>
      <c r="E25" s="51">
        <v>6.06</v>
      </c>
      <c r="F25" s="51">
        <v>2.5499999999999998</v>
      </c>
      <c r="G25" s="51">
        <v>72.98</v>
      </c>
      <c r="H25" s="51">
        <v>23.69</v>
      </c>
      <c r="I25" s="51">
        <v>6.40</v>
      </c>
      <c r="J25" s="51">
        <v>3.59</v>
      </c>
      <c r="K25" s="51">
        <v>130.36000000000001</v>
      </c>
      <c r="L25" s="51">
        <v>40.799999999999997</v>
      </c>
      <c r="M25" s="51">
        <v>53.62</v>
      </c>
      <c r="N25" s="51">
        <v>30.30</v>
      </c>
      <c r="O25" s="51">
        <v>0</v>
      </c>
      <c r="P25" s="51">
        <v>2.2799999999999998</v>
      </c>
      <c r="Q25" s="51">
        <v>28.88</v>
      </c>
      <c r="R25" s="43"/>
      <c r="S25" s="43"/>
      <c r="T25" s="43"/>
      <c r="U25" s="43"/>
    </row>
    <row r="26" spans="1:21" s="11" customFormat="1" ht="15">
      <c r="A26" s="50" t="s">
        <v>415</v>
      </c>
      <c r="B26" s="51">
        <v>0.90</v>
      </c>
      <c r="C26" s="51">
        <v>22.24</v>
      </c>
      <c r="D26" s="51">
        <v>23.08</v>
      </c>
      <c r="E26" s="51">
        <v>6.14</v>
      </c>
      <c r="F26" s="51">
        <v>2.61</v>
      </c>
      <c r="G26" s="51">
        <v>73.78</v>
      </c>
      <c r="H26" s="51">
        <v>24.21</v>
      </c>
      <c r="I26" s="51">
        <v>5.28</v>
      </c>
      <c r="J26" s="51">
        <v>3.86</v>
      </c>
      <c r="K26" s="51">
        <v>169.07</v>
      </c>
      <c r="L26" s="51">
        <v>40.72</v>
      </c>
      <c r="M26" s="51">
        <v>53.40</v>
      </c>
      <c r="N26" s="51">
        <v>35.90</v>
      </c>
      <c r="O26" s="51">
        <v>0</v>
      </c>
      <c r="P26" s="51">
        <v>2.15</v>
      </c>
      <c r="Q26" s="51">
        <v>27.42</v>
      </c>
      <c r="R26" s="43"/>
      <c r="S26" s="43"/>
      <c r="T26" s="43"/>
      <c r="U26" s="43"/>
    </row>
    <row r="27" spans="1:21" s="11" customFormat="1" ht="15">
      <c r="A27" s="50" t="s">
        <v>416</v>
      </c>
      <c r="B27" s="51">
        <v>0.44</v>
      </c>
      <c r="C27" s="51">
        <v>21.35</v>
      </c>
      <c r="D27" s="51">
        <v>21.79</v>
      </c>
      <c r="E27" s="51">
        <v>5.52</v>
      </c>
      <c r="F27" s="51">
        <v>3.76</v>
      </c>
      <c r="G27" s="51">
        <v>74.84</v>
      </c>
      <c r="H27" s="51">
        <v>21.45</v>
      </c>
      <c r="I27" s="51">
        <v>4.55</v>
      </c>
      <c r="J27" s="51">
        <v>4.92</v>
      </c>
      <c r="K27" s="51">
        <v>213.40</v>
      </c>
      <c r="L27" s="51">
        <v>38.49</v>
      </c>
      <c r="M27" s="51">
        <v>60.53</v>
      </c>
      <c r="N27" s="51">
        <v>0.10</v>
      </c>
      <c r="O27" s="51">
        <v>0</v>
      </c>
      <c r="P27" s="51">
        <v>2.0699999999999998</v>
      </c>
      <c r="Q27" s="51">
        <v>24.41</v>
      </c>
      <c r="R27" s="43"/>
      <c r="S27" s="43"/>
      <c r="T27" s="43"/>
      <c r="U27" s="43"/>
    </row>
    <row r="28" spans="1:21" s="11" customFormat="1" ht="15">
      <c r="A28" s="50" t="s">
        <v>417</v>
      </c>
      <c r="B28" s="51">
        <v>0.90</v>
      </c>
      <c r="C28" s="51">
        <v>20.85</v>
      </c>
      <c r="D28" s="51">
        <v>21.75</v>
      </c>
      <c r="E28" s="51">
        <v>5.86</v>
      </c>
      <c r="F28" s="51">
        <v>2.77</v>
      </c>
      <c r="G28" s="51">
        <v>74.040000000000006</v>
      </c>
      <c r="H28" s="51">
        <v>16.78</v>
      </c>
      <c r="I28" s="51">
        <v>3.85</v>
      </c>
      <c r="J28" s="51">
        <v>2.2599999999999998</v>
      </c>
      <c r="K28" s="51">
        <v>245.30</v>
      </c>
      <c r="L28" s="51">
        <v>37.03</v>
      </c>
      <c r="M28" s="51">
        <v>63.59</v>
      </c>
      <c r="N28" s="8" t="s">
        <v>8</v>
      </c>
      <c r="O28" s="51">
        <v>0</v>
      </c>
      <c r="P28" s="51">
        <v>2.0699999999999998</v>
      </c>
      <c r="Q28" s="51">
        <v>23.62</v>
      </c>
      <c r="R28" s="43"/>
      <c r="S28" s="43"/>
      <c r="T28" s="43"/>
      <c r="U28" s="43"/>
    </row>
    <row r="29" spans="1:21" s="11" customFormat="1" ht="15">
      <c r="A29" s="50" t="s">
        <v>418</v>
      </c>
      <c r="B29" s="51">
        <v>1.01</v>
      </c>
      <c r="C29" s="51">
        <v>21.14</v>
      </c>
      <c r="D29" s="51">
        <v>22.15</v>
      </c>
      <c r="E29" s="51">
        <v>5.74</v>
      </c>
      <c r="F29" s="51">
        <v>2.16</v>
      </c>
      <c r="G29" s="51">
        <v>66.47</v>
      </c>
      <c r="H29" s="51">
        <v>19.190000000000001</v>
      </c>
      <c r="I29" s="51">
        <v>3.95</v>
      </c>
      <c r="J29" s="51">
        <v>3.07</v>
      </c>
      <c r="K29" s="51">
        <v>207.28</v>
      </c>
      <c r="L29" s="51">
        <v>36.79</v>
      </c>
      <c r="M29" s="51">
        <v>71.30</v>
      </c>
      <c r="N29" s="8" t="s">
        <v>8</v>
      </c>
      <c r="O29" s="51">
        <v>0</v>
      </c>
      <c r="P29" s="51">
        <v>2.0499999999999998</v>
      </c>
      <c r="Q29" s="51">
        <v>30.12</v>
      </c>
      <c r="R29" s="43"/>
      <c r="S29" s="43"/>
      <c r="T29" s="43"/>
      <c r="U29" s="43"/>
    </row>
    <row r="30" spans="1:21" s="11" customFormat="1" ht="15">
      <c r="A30" s="50" t="s">
        <v>419</v>
      </c>
      <c r="B30" s="51">
        <v>0.49</v>
      </c>
      <c r="C30" s="51">
        <v>16.79</v>
      </c>
      <c r="D30" s="51">
        <v>17.149999999999999</v>
      </c>
      <c r="E30" s="51">
        <v>5.31</v>
      </c>
      <c r="F30" s="51">
        <v>3.21</v>
      </c>
      <c r="G30" s="51">
        <v>64.67</v>
      </c>
      <c r="H30" s="51">
        <v>21.40</v>
      </c>
      <c r="I30" s="51">
        <v>3.69</v>
      </c>
      <c r="J30" s="51">
        <v>2.0099999999999998</v>
      </c>
      <c r="K30" s="51">
        <v>257.88</v>
      </c>
      <c r="L30" s="51">
        <v>34.90</v>
      </c>
      <c r="M30" s="51">
        <v>78.87</v>
      </c>
      <c r="N30" s="8" t="s">
        <v>8</v>
      </c>
      <c r="O30" s="51">
        <v>0</v>
      </c>
      <c r="P30" s="51">
        <v>2.0099999999999998</v>
      </c>
      <c r="Q30" s="51">
        <v>26.40</v>
      </c>
      <c r="R30" s="43"/>
      <c r="S30" s="43"/>
      <c r="T30" s="43"/>
      <c r="U30" s="43"/>
    </row>
    <row r="31" spans="1:21" s="11" customFormat="1" ht="15">
      <c r="A31" s="50" t="s">
        <v>420</v>
      </c>
      <c r="B31" s="51">
        <v>0.98</v>
      </c>
      <c r="C31" s="51">
        <v>16.59</v>
      </c>
      <c r="D31" s="51">
        <v>17.16</v>
      </c>
      <c r="E31" s="51">
        <v>5.65</v>
      </c>
      <c r="F31" s="51">
        <v>2.39</v>
      </c>
      <c r="G31" s="51">
        <v>51.28</v>
      </c>
      <c r="H31" s="51">
        <v>19.920000000000002</v>
      </c>
      <c r="I31" s="51">
        <v>3.45</v>
      </c>
      <c r="J31" s="51">
        <v>1.5</v>
      </c>
      <c r="K31" s="51">
        <v>324.29000000000002</v>
      </c>
      <c r="L31" s="51">
        <v>34.119999999999997</v>
      </c>
      <c r="M31" s="51">
        <v>78.20</v>
      </c>
      <c r="N31" s="8" t="s">
        <v>8</v>
      </c>
      <c r="O31" s="51">
        <v>0</v>
      </c>
      <c r="P31" s="51">
        <v>2.0499999999999998</v>
      </c>
      <c r="Q31" s="51">
        <v>22.94</v>
      </c>
      <c r="R31" s="43"/>
      <c r="S31" s="43"/>
      <c r="T31" s="43"/>
      <c r="U31" s="43"/>
    </row>
    <row r="32" spans="1:21" s="11" customFormat="1" ht="15">
      <c r="A32" s="50" t="s">
        <v>421</v>
      </c>
      <c r="B32" s="51">
        <v>2.2799999999999998</v>
      </c>
      <c r="C32" s="51">
        <v>16.670000000000002</v>
      </c>
      <c r="D32" s="51">
        <v>18.95</v>
      </c>
      <c r="E32" s="51">
        <v>6.35</v>
      </c>
      <c r="F32" s="51">
        <v>1.30</v>
      </c>
      <c r="G32" s="51">
        <v>45.10</v>
      </c>
      <c r="H32" s="51">
        <v>17.350000000000001</v>
      </c>
      <c r="I32" s="51">
        <v>3.76</v>
      </c>
      <c r="J32" s="51">
        <v>2.29</v>
      </c>
      <c r="K32" s="51">
        <v>313.83</v>
      </c>
      <c r="L32" s="51">
        <v>34.44</v>
      </c>
      <c r="M32" s="51">
        <v>79.47</v>
      </c>
      <c r="N32" s="8" t="s">
        <v>8</v>
      </c>
      <c r="O32" s="51">
        <v>0</v>
      </c>
      <c r="P32" s="51">
        <v>2.06</v>
      </c>
      <c r="Q32" s="51">
        <v>23.51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0.44</v>
      </c>
      <c r="C34" s="28">
        <f t="shared" si="0"/>
        <v>13.26</v>
      </c>
      <c r="D34" s="28">
        <f t="shared" si="0"/>
        <v>15.43</v>
      </c>
      <c r="E34" s="28">
        <f t="shared" si="0"/>
        <v>5.3099999999999996</v>
      </c>
      <c r="F34" s="28">
        <f t="shared" si="0"/>
        <v>0.66000000000000003</v>
      </c>
      <c r="G34" s="28">
        <f t="shared" si="0"/>
        <v>45.100000000000001</v>
      </c>
      <c r="H34" s="28">
        <f t="shared" si="0"/>
        <v>16.780000000000001</v>
      </c>
      <c r="I34" s="28">
        <f t="shared" si="0"/>
        <v>3.4500000000000002</v>
      </c>
      <c r="J34" s="28">
        <f t="shared" si="0"/>
        <v>1.3600000000000001</v>
      </c>
      <c r="K34" s="28">
        <f t="shared" si="0"/>
        <v>97.5</v>
      </c>
      <c r="L34" s="28">
        <f t="shared" si="0"/>
        <v>34.119999999999997</v>
      </c>
      <c r="M34" s="28">
        <f t="shared" si="0"/>
        <v>35.659999999999997</v>
      </c>
      <c r="N34" s="28">
        <f t="shared" si="0"/>
        <v>0.10000000000000001</v>
      </c>
      <c r="O34" s="28">
        <f t="shared" si="0"/>
        <v>0</v>
      </c>
      <c r="P34" s="28">
        <f t="shared" si="0"/>
        <v>1.95</v>
      </c>
      <c r="Q34" s="28">
        <f t="shared" si="0"/>
        <v>22.940000000000001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4.3499999999999996</v>
      </c>
      <c r="C35" s="29">
        <f t="shared" si="1"/>
        <v>24.469999999999999</v>
      </c>
      <c r="D35" s="29">
        <f t="shared" si="1"/>
        <v>26.489999999999998</v>
      </c>
      <c r="E35" s="29">
        <f t="shared" si="1"/>
        <v>7.8799999999999999</v>
      </c>
      <c r="F35" s="29">
        <f t="shared" si="1"/>
        <v>4.7699999999999996</v>
      </c>
      <c r="G35" s="29">
        <f t="shared" si="1"/>
        <v>87.730000000000004</v>
      </c>
      <c r="H35" s="29">
        <f t="shared" si="1"/>
        <v>28.960000000000001</v>
      </c>
      <c r="I35" s="29">
        <f t="shared" si="1"/>
        <v>6.7999999999999998</v>
      </c>
      <c r="J35" s="29">
        <f t="shared" si="1"/>
        <v>4.9199999999999999</v>
      </c>
      <c r="K35" s="29">
        <f t="shared" si="1"/>
        <v>350.89999999999998</v>
      </c>
      <c r="L35" s="29">
        <f t="shared" si="1"/>
        <v>46.670000000000002</v>
      </c>
      <c r="M35" s="29">
        <f t="shared" si="1"/>
        <v>79.469999999999999</v>
      </c>
      <c r="N35" s="29">
        <f t="shared" si="1"/>
        <v>1133.3</v>
      </c>
      <c r="O35" s="29">
        <f t="shared" si="1"/>
        <v>0</v>
      </c>
      <c r="P35" s="29">
        <f t="shared" si="1"/>
        <v>2.4300000000000002</v>
      </c>
      <c r="Q35" s="29">
        <f t="shared" si="1"/>
        <v>47.009999999999998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1.5995833333333331</v>
      </c>
      <c r="C36" s="28">
        <f t="shared" si="2"/>
        <v>20.197083333333335</v>
      </c>
      <c r="D36" s="28">
        <f t="shared" si="2"/>
        <v>21.679999999999996</v>
      </c>
      <c r="E36" s="28">
        <f t="shared" si="2"/>
        <v>6.5175000000000018</v>
      </c>
      <c r="F36" s="28">
        <f t="shared" si="2"/>
        <v>2.3633333333333328</v>
      </c>
      <c r="G36" s="28">
        <f t="shared" si="2"/>
        <v>63.026249999999983</v>
      </c>
      <c r="H36" s="28">
        <f t="shared" si="2"/>
        <v>22.193333333333332</v>
      </c>
      <c r="I36" s="28">
        <f t="shared" si="2"/>
        <v>4.8045833333333343</v>
      </c>
      <c r="J36" s="28">
        <f t="shared" si="2"/>
        <v>2.4004166666666666</v>
      </c>
      <c r="K36" s="28">
        <f t="shared" si="2"/>
        <v>262.80958333333331</v>
      </c>
      <c r="L36" s="28">
        <f t="shared" si="2"/>
        <v>40.116</v>
      </c>
      <c r="M36" s="28">
        <f t="shared" si="2"/>
        <v>57.466666666666661</v>
      </c>
      <c r="N36" s="28">
        <f t="shared" si="2"/>
        <v>407.06428571428569</v>
      </c>
      <c r="O36" s="28">
        <f t="shared" si="2"/>
        <v>0</v>
      </c>
      <c r="P36" s="28">
        <f t="shared" si="2"/>
        <v>2.1695833333333332</v>
      </c>
      <c r="Q36" s="28">
        <f t="shared" si="2"/>
        <v>32.774999999999999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1.0401984725612903</v>
      </c>
      <c r="C37" s="28">
        <f t="shared" si="3" ref="C37:Q37">STDEV(C9:C32)</f>
        <v>3.6113522448290314</v>
      </c>
      <c r="D37" s="28">
        <f t="shared" si="3"/>
        <v>3.8491670471053445</v>
      </c>
      <c r="E37" s="28">
        <f t="shared" si="3"/>
        <v>0.71633274998120655</v>
      </c>
      <c r="F37" s="28">
        <f t="shared" si="3"/>
        <v>1.103420242647406</v>
      </c>
      <c r="G37" s="28">
        <f t="shared" si="3"/>
        <v>11.370006237809534</v>
      </c>
      <c r="H37" s="28">
        <f t="shared" si="3"/>
        <v>3.3702556562382182</v>
      </c>
      <c r="I37" s="28">
        <f t="shared" si="3"/>
        <v>0.90924708062395665</v>
      </c>
      <c r="J37" s="28">
        <f t="shared" si="3"/>
        <v>0.92045111419520198</v>
      </c>
      <c r="K37" s="28">
        <f t="shared" si="3"/>
        <v>75.681238584816455</v>
      </c>
      <c r="L37" s="28">
        <f t="shared" si="3"/>
        <v>3.6794556233511679</v>
      </c>
      <c r="M37" s="28">
        <f t="shared" si="3"/>
        <v>12.739180461889237</v>
      </c>
      <c r="N37" s="28">
        <f t="shared" si="3"/>
        <v>430.48873764798788</v>
      </c>
      <c r="O37" s="28">
        <f t="shared" si="3"/>
        <v>0</v>
      </c>
      <c r="P37" s="28">
        <f t="shared" si="3"/>
        <v>0.14585517434790576</v>
      </c>
      <c r="Q37" s="28">
        <f t="shared" si="3"/>
        <v>8.5323252348374385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20</v>
      </c>
      <c r="M38" s="32">
        <f t="shared" si="4"/>
        <v>24</v>
      </c>
      <c r="N38" s="32">
        <f>COUNT(N9:N32)+10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5fcced-bfa0-48c4-9ffd-901f387bd83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25" sqref="N25:N2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422</v>
      </c>
      <c r="B9" s="9" t="s">
        <v>15</v>
      </c>
      <c r="C9" s="9" t="s">
        <v>15</v>
      </c>
      <c r="D9" s="9" t="s">
        <v>15</v>
      </c>
      <c r="E9" s="9" t="s">
        <v>15</v>
      </c>
      <c r="F9" s="9" t="s">
        <v>15</v>
      </c>
      <c r="G9" s="9" t="s">
        <v>15</v>
      </c>
      <c r="H9" s="9" t="s">
        <v>15</v>
      </c>
      <c r="I9" s="9" t="s">
        <v>15</v>
      </c>
      <c r="J9" s="9" t="s">
        <v>15</v>
      </c>
      <c r="K9" s="9" t="s">
        <v>15</v>
      </c>
      <c r="L9" s="9" t="s">
        <v>15</v>
      </c>
      <c r="M9" s="9" t="s">
        <v>15</v>
      </c>
      <c r="N9" s="9" t="s">
        <v>15</v>
      </c>
      <c r="O9" s="9" t="s">
        <v>15</v>
      </c>
      <c r="P9" s="9" t="s">
        <v>15</v>
      </c>
      <c r="Q9" s="9" t="s">
        <v>15</v>
      </c>
      <c r="R9" s="43"/>
      <c r="S9" s="43"/>
      <c r="T9" s="43"/>
      <c r="U9" s="43"/>
    </row>
    <row r="10" spans="1:21" s="11" customFormat="1" ht="15">
      <c r="A10" s="50" t="s">
        <v>423</v>
      </c>
      <c r="B10" s="9" t="s">
        <v>15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43"/>
      <c r="S10" s="43"/>
      <c r="T10" s="43"/>
      <c r="U10" s="43"/>
    </row>
    <row r="11" spans="1:21" s="11" customFormat="1" ht="15">
      <c r="A11" s="50" t="s">
        <v>424</v>
      </c>
      <c r="B11" s="9" t="s">
        <v>15</v>
      </c>
      <c r="C11" s="9" t="s">
        <v>15</v>
      </c>
      <c r="D11" s="9" t="s">
        <v>15</v>
      </c>
      <c r="E11" s="9" t="s">
        <v>15</v>
      </c>
      <c r="F11" s="9" t="s">
        <v>15</v>
      </c>
      <c r="G11" s="9" t="s">
        <v>15</v>
      </c>
      <c r="H11" s="9" t="s">
        <v>15</v>
      </c>
      <c r="I11" s="9" t="s">
        <v>15</v>
      </c>
      <c r="J11" s="9" t="s">
        <v>15</v>
      </c>
      <c r="K11" s="9" t="s">
        <v>15</v>
      </c>
      <c r="L11" s="9" t="s">
        <v>15</v>
      </c>
      <c r="M11" s="9" t="s">
        <v>15</v>
      </c>
      <c r="N11" s="9" t="s">
        <v>15</v>
      </c>
      <c r="O11" s="9" t="s">
        <v>15</v>
      </c>
      <c r="P11" s="9" t="s">
        <v>15</v>
      </c>
      <c r="Q11" s="9" t="s">
        <v>15</v>
      </c>
      <c r="R11" s="43"/>
      <c r="S11" s="43"/>
      <c r="T11" s="43"/>
      <c r="U11" s="43"/>
    </row>
    <row r="12" spans="1:21" s="11" customFormat="1" ht="15">
      <c r="A12" s="50" t="s">
        <v>425</v>
      </c>
      <c r="B12" s="9" t="s">
        <v>15</v>
      </c>
      <c r="C12" s="9" t="s">
        <v>15</v>
      </c>
      <c r="D12" s="9" t="s">
        <v>15</v>
      </c>
      <c r="E12" s="9" t="s">
        <v>15</v>
      </c>
      <c r="F12" s="9" t="s">
        <v>15</v>
      </c>
      <c r="G12" s="9" t="s">
        <v>15</v>
      </c>
      <c r="H12" s="9" t="s">
        <v>15</v>
      </c>
      <c r="I12" s="9" t="s">
        <v>15</v>
      </c>
      <c r="J12" s="9" t="s">
        <v>15</v>
      </c>
      <c r="K12" s="9" t="s">
        <v>15</v>
      </c>
      <c r="L12" s="9" t="s">
        <v>15</v>
      </c>
      <c r="M12" s="9" t="s">
        <v>15</v>
      </c>
      <c r="N12" s="9" t="s">
        <v>15</v>
      </c>
      <c r="O12" s="9" t="s">
        <v>15</v>
      </c>
      <c r="P12" s="9" t="s">
        <v>15</v>
      </c>
      <c r="Q12" s="9" t="s">
        <v>15</v>
      </c>
      <c r="R12" s="43"/>
      <c r="S12" s="43"/>
      <c r="T12" s="43"/>
      <c r="U12" s="43"/>
    </row>
    <row r="13" spans="1:21" s="11" customFormat="1" ht="15">
      <c r="A13" s="50" t="s">
        <v>426</v>
      </c>
      <c r="B13" s="9" t="s">
        <v>15</v>
      </c>
      <c r="C13" s="9" t="s">
        <v>15</v>
      </c>
      <c r="D13" s="9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43"/>
      <c r="S13" s="43"/>
      <c r="T13" s="43"/>
      <c r="U13" s="43"/>
    </row>
    <row r="14" spans="1:21" s="11" customFormat="1" ht="15">
      <c r="A14" s="50" t="s">
        <v>427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H14" s="9" t="s">
        <v>15</v>
      </c>
      <c r="I14" s="9" t="s">
        <v>15</v>
      </c>
      <c r="J14" s="9" t="s">
        <v>15</v>
      </c>
      <c r="K14" s="9" t="s">
        <v>15</v>
      </c>
      <c r="L14" s="9" t="s">
        <v>15</v>
      </c>
      <c r="M14" s="9" t="s">
        <v>15</v>
      </c>
      <c r="N14" s="9" t="s">
        <v>15</v>
      </c>
      <c r="O14" s="9" t="s">
        <v>15</v>
      </c>
      <c r="P14" s="9" t="s">
        <v>15</v>
      </c>
      <c r="Q14" s="9" t="s">
        <v>15</v>
      </c>
      <c r="R14" s="43"/>
      <c r="S14" s="43"/>
      <c r="T14" s="43"/>
      <c r="U14" s="43"/>
    </row>
    <row r="15" spans="1:21" s="11" customFormat="1" ht="15">
      <c r="A15" s="50" t="s">
        <v>428</v>
      </c>
      <c r="B15" s="9" t="s">
        <v>15</v>
      </c>
      <c r="C15" s="9" t="s">
        <v>15</v>
      </c>
      <c r="D15" s="9" t="s">
        <v>15</v>
      </c>
      <c r="E15" s="9" t="s">
        <v>15</v>
      </c>
      <c r="F15" s="9" t="s">
        <v>15</v>
      </c>
      <c r="G15" s="9" t="s">
        <v>15</v>
      </c>
      <c r="H15" s="9" t="s">
        <v>15</v>
      </c>
      <c r="I15" s="9" t="s">
        <v>15</v>
      </c>
      <c r="J15" s="9" t="s">
        <v>15</v>
      </c>
      <c r="K15" s="9" t="s">
        <v>15</v>
      </c>
      <c r="L15" s="9" t="s">
        <v>15</v>
      </c>
      <c r="M15" s="9" t="s">
        <v>15</v>
      </c>
      <c r="N15" s="9" t="s">
        <v>15</v>
      </c>
      <c r="O15" s="9" t="s">
        <v>15</v>
      </c>
      <c r="P15" s="9" t="s">
        <v>15</v>
      </c>
      <c r="Q15" s="9" t="s">
        <v>15</v>
      </c>
      <c r="R15" s="43"/>
      <c r="S15" s="43"/>
      <c r="T15" s="43"/>
      <c r="U15" s="43"/>
    </row>
    <row r="16" spans="1:21" s="11" customFormat="1" ht="15">
      <c r="A16" s="50" t="s">
        <v>429</v>
      </c>
      <c r="B16" s="9" t="s">
        <v>15</v>
      </c>
      <c r="C16" s="9" t="s">
        <v>15</v>
      </c>
      <c r="D16" s="9" t="s">
        <v>15</v>
      </c>
      <c r="E16" s="9" t="s">
        <v>15</v>
      </c>
      <c r="F16" s="9" t="s">
        <v>15</v>
      </c>
      <c r="G16" s="9" t="s">
        <v>15</v>
      </c>
      <c r="H16" s="9" t="s">
        <v>15</v>
      </c>
      <c r="I16" s="9" t="s">
        <v>15</v>
      </c>
      <c r="J16" s="9" t="s">
        <v>15</v>
      </c>
      <c r="K16" s="9" t="s">
        <v>15</v>
      </c>
      <c r="L16" s="9" t="s">
        <v>15</v>
      </c>
      <c r="M16" s="9" t="s">
        <v>15</v>
      </c>
      <c r="N16" s="9" t="s">
        <v>15</v>
      </c>
      <c r="O16" s="9" t="s">
        <v>15</v>
      </c>
      <c r="P16" s="9" t="s">
        <v>15</v>
      </c>
      <c r="Q16" s="9" t="s">
        <v>15</v>
      </c>
      <c r="R16" s="43"/>
      <c r="S16" s="43"/>
      <c r="T16" s="43"/>
      <c r="U16" s="43"/>
    </row>
    <row r="17" spans="1:21" s="11" customFormat="1" ht="15">
      <c r="A17" s="50" t="s">
        <v>430</v>
      </c>
      <c r="B17" s="9" t="s">
        <v>15</v>
      </c>
      <c r="C17" s="9" t="s">
        <v>15</v>
      </c>
      <c r="D17" s="9" t="s">
        <v>15</v>
      </c>
      <c r="E17" s="9" t="s">
        <v>15</v>
      </c>
      <c r="F17" s="9" t="s">
        <v>15</v>
      </c>
      <c r="G17" s="9" t="s">
        <v>15</v>
      </c>
      <c r="H17" s="9" t="s">
        <v>15</v>
      </c>
      <c r="I17" s="9" t="s">
        <v>15</v>
      </c>
      <c r="J17" s="9" t="s">
        <v>15</v>
      </c>
      <c r="K17" s="9" t="s">
        <v>15</v>
      </c>
      <c r="L17" s="9" t="s">
        <v>15</v>
      </c>
      <c r="M17" s="9" t="s">
        <v>15</v>
      </c>
      <c r="N17" s="9" t="s">
        <v>15</v>
      </c>
      <c r="O17" s="9" t="s">
        <v>15</v>
      </c>
      <c r="P17" s="9" t="s">
        <v>15</v>
      </c>
      <c r="Q17" s="9" t="s">
        <v>15</v>
      </c>
      <c r="R17" s="43"/>
      <c r="S17" s="43"/>
      <c r="T17" s="43"/>
      <c r="U17" s="43"/>
    </row>
    <row r="18" spans="1:21" s="11" customFormat="1" ht="15">
      <c r="A18" s="50" t="s">
        <v>431</v>
      </c>
      <c r="B18" s="9" t="s">
        <v>15</v>
      </c>
      <c r="C18" s="9" t="s">
        <v>15</v>
      </c>
      <c r="D18" s="9" t="s">
        <v>15</v>
      </c>
      <c r="E18" s="9" t="s">
        <v>15</v>
      </c>
      <c r="F18" s="9" t="s">
        <v>15</v>
      </c>
      <c r="G18" s="9" t="s">
        <v>15</v>
      </c>
      <c r="H18" s="9" t="s">
        <v>15</v>
      </c>
      <c r="I18" s="9" t="s">
        <v>15</v>
      </c>
      <c r="J18" s="9" t="s">
        <v>15</v>
      </c>
      <c r="K18" s="9" t="s">
        <v>15</v>
      </c>
      <c r="L18" s="9" t="s">
        <v>15</v>
      </c>
      <c r="M18" s="9" t="s">
        <v>15</v>
      </c>
      <c r="N18" s="9" t="s">
        <v>15</v>
      </c>
      <c r="O18" s="9" t="s">
        <v>15</v>
      </c>
      <c r="P18" s="9" t="s">
        <v>15</v>
      </c>
      <c r="Q18" s="9" t="s">
        <v>15</v>
      </c>
      <c r="R18" s="43"/>
      <c r="S18" s="43"/>
      <c r="T18" s="43"/>
      <c r="U18" s="43"/>
    </row>
    <row r="19" spans="1:21" s="11" customFormat="1" ht="15">
      <c r="A19" s="50" t="s">
        <v>432</v>
      </c>
      <c r="B19" s="9" t="s">
        <v>15</v>
      </c>
      <c r="C19" s="9" t="s">
        <v>15</v>
      </c>
      <c r="D19" s="9" t="s">
        <v>15</v>
      </c>
      <c r="E19" s="9" t="s">
        <v>15</v>
      </c>
      <c r="F19" s="9" t="s">
        <v>15</v>
      </c>
      <c r="G19" s="9" t="s">
        <v>15</v>
      </c>
      <c r="H19" s="9" t="s">
        <v>15</v>
      </c>
      <c r="I19" s="9" t="s">
        <v>15</v>
      </c>
      <c r="J19" s="9" t="s">
        <v>15</v>
      </c>
      <c r="K19" s="9" t="s">
        <v>15</v>
      </c>
      <c r="L19" s="9" t="s">
        <v>15</v>
      </c>
      <c r="M19" s="9" t="s">
        <v>15</v>
      </c>
      <c r="N19" s="9" t="s">
        <v>15</v>
      </c>
      <c r="O19" s="9" t="s">
        <v>15</v>
      </c>
      <c r="P19" s="9" t="s">
        <v>15</v>
      </c>
      <c r="Q19" s="9" t="s">
        <v>15</v>
      </c>
      <c r="R19" s="43"/>
      <c r="S19" s="43"/>
      <c r="T19" s="43"/>
      <c r="U19" s="43"/>
    </row>
    <row r="20" spans="1:21" s="11" customFormat="1" ht="15">
      <c r="A20" s="50" t="s">
        <v>433</v>
      </c>
      <c r="B20" s="9" t="s">
        <v>15</v>
      </c>
      <c r="C20" s="9" t="s">
        <v>15</v>
      </c>
      <c r="D20" s="9" t="s">
        <v>15</v>
      </c>
      <c r="E20" s="9" t="s">
        <v>15</v>
      </c>
      <c r="F20" s="9" t="s">
        <v>15</v>
      </c>
      <c r="G20" s="9" t="s">
        <v>15</v>
      </c>
      <c r="H20" s="9" t="s">
        <v>15</v>
      </c>
      <c r="I20" s="9" t="s">
        <v>15</v>
      </c>
      <c r="J20" s="9" t="s">
        <v>15</v>
      </c>
      <c r="K20" s="9" t="s">
        <v>15</v>
      </c>
      <c r="L20" s="9" t="s">
        <v>15</v>
      </c>
      <c r="M20" s="9" t="s">
        <v>15</v>
      </c>
      <c r="N20" s="9" t="s">
        <v>15</v>
      </c>
      <c r="O20" s="9" t="s">
        <v>15</v>
      </c>
      <c r="P20" s="9" t="s">
        <v>15</v>
      </c>
      <c r="Q20" s="9" t="s">
        <v>15</v>
      </c>
      <c r="R20" s="43"/>
      <c r="S20" s="43"/>
      <c r="T20" s="43"/>
      <c r="U20" s="43"/>
    </row>
    <row r="21" spans="1:21" s="11" customFormat="1" ht="15">
      <c r="A21" s="50" t="s">
        <v>434</v>
      </c>
      <c r="B21" s="9" t="s">
        <v>15</v>
      </c>
      <c r="C21" s="9" t="s">
        <v>15</v>
      </c>
      <c r="D21" s="9" t="s">
        <v>15</v>
      </c>
      <c r="E21" s="9" t="s">
        <v>15</v>
      </c>
      <c r="F21" s="9" t="s">
        <v>15</v>
      </c>
      <c r="G21" s="9" t="s">
        <v>15</v>
      </c>
      <c r="H21" s="9" t="s">
        <v>15</v>
      </c>
      <c r="I21" s="9" t="s">
        <v>15</v>
      </c>
      <c r="J21" s="9" t="s">
        <v>15</v>
      </c>
      <c r="K21" s="9" t="s">
        <v>15</v>
      </c>
      <c r="L21" s="9" t="s">
        <v>15</v>
      </c>
      <c r="M21" s="9" t="s">
        <v>15</v>
      </c>
      <c r="N21" s="9" t="s">
        <v>15</v>
      </c>
      <c r="O21" s="9" t="s">
        <v>15</v>
      </c>
      <c r="P21" s="9" t="s">
        <v>15</v>
      </c>
      <c r="Q21" s="9" t="s">
        <v>15</v>
      </c>
      <c r="R21" s="43"/>
      <c r="S21" s="43"/>
      <c r="T21" s="43"/>
      <c r="U21" s="43"/>
    </row>
    <row r="22" spans="1:21" s="11" customFormat="1" ht="15">
      <c r="A22" s="50" t="s">
        <v>435</v>
      </c>
      <c r="B22" s="9" t="s">
        <v>15</v>
      </c>
      <c r="C22" s="9" t="s">
        <v>15</v>
      </c>
      <c r="D22" s="9" t="s">
        <v>15</v>
      </c>
      <c r="E22" s="9" t="s">
        <v>15</v>
      </c>
      <c r="F22" s="9" t="s">
        <v>15</v>
      </c>
      <c r="G22" s="9" t="s">
        <v>15</v>
      </c>
      <c r="H22" s="9" t="s">
        <v>15</v>
      </c>
      <c r="I22" s="9" t="s">
        <v>15</v>
      </c>
      <c r="J22" s="9" t="s">
        <v>15</v>
      </c>
      <c r="K22" s="9" t="s">
        <v>15</v>
      </c>
      <c r="L22" s="9" t="s">
        <v>15</v>
      </c>
      <c r="M22" s="9" t="s">
        <v>15</v>
      </c>
      <c r="N22" s="9" t="s">
        <v>15</v>
      </c>
      <c r="O22" s="9" t="s">
        <v>15</v>
      </c>
      <c r="P22" s="9" t="s">
        <v>15</v>
      </c>
      <c r="Q22" s="9" t="s">
        <v>15</v>
      </c>
      <c r="R22" s="43"/>
      <c r="S22" s="43"/>
      <c r="T22" s="43"/>
      <c r="U22" s="43"/>
    </row>
    <row r="23" spans="1:21" s="11" customFormat="1" ht="15">
      <c r="A23" s="50" t="s">
        <v>436</v>
      </c>
      <c r="B23" s="9" t="s">
        <v>15</v>
      </c>
      <c r="C23" s="9" t="s">
        <v>15</v>
      </c>
      <c r="D23" s="9" t="s">
        <v>15</v>
      </c>
      <c r="E23" s="9" t="s">
        <v>15</v>
      </c>
      <c r="F23" s="9" t="s">
        <v>15</v>
      </c>
      <c r="G23" s="9" t="s">
        <v>15</v>
      </c>
      <c r="H23" s="9" t="s">
        <v>15</v>
      </c>
      <c r="I23" s="9" t="s">
        <v>15</v>
      </c>
      <c r="J23" s="9" t="s">
        <v>15</v>
      </c>
      <c r="K23" s="9" t="s">
        <v>15</v>
      </c>
      <c r="L23" s="9" t="s">
        <v>15</v>
      </c>
      <c r="M23" s="9" t="s">
        <v>15</v>
      </c>
      <c r="N23" s="9" t="s">
        <v>15</v>
      </c>
      <c r="O23" s="9" t="s">
        <v>15</v>
      </c>
      <c r="P23" s="9" t="s">
        <v>15</v>
      </c>
      <c r="Q23" s="9" t="s">
        <v>15</v>
      </c>
      <c r="R23" s="43"/>
      <c r="S23" s="43"/>
      <c r="T23" s="43"/>
      <c r="U23" s="43"/>
    </row>
    <row r="24" spans="1:21" s="11" customFormat="1" ht="15">
      <c r="A24" s="50" t="s">
        <v>437</v>
      </c>
      <c r="B24" s="9" t="s">
        <v>15</v>
      </c>
      <c r="C24" s="9" t="s">
        <v>15</v>
      </c>
      <c r="D24" s="9" t="s">
        <v>15</v>
      </c>
      <c r="E24" s="9" t="s">
        <v>15</v>
      </c>
      <c r="F24" s="9" t="s">
        <v>15</v>
      </c>
      <c r="G24" s="9" t="s">
        <v>15</v>
      </c>
      <c r="H24" s="9" t="s">
        <v>15</v>
      </c>
      <c r="I24" s="9" t="s">
        <v>15</v>
      </c>
      <c r="J24" s="9" t="s">
        <v>15</v>
      </c>
      <c r="K24" s="9" t="s">
        <v>15</v>
      </c>
      <c r="L24" s="9" t="s">
        <v>15</v>
      </c>
      <c r="M24" s="9" t="s">
        <v>15</v>
      </c>
      <c r="N24" s="9" t="s">
        <v>15</v>
      </c>
      <c r="O24" s="9" t="s">
        <v>15</v>
      </c>
      <c r="P24" s="9" t="s">
        <v>15</v>
      </c>
      <c r="Q24" s="9" t="s">
        <v>15</v>
      </c>
      <c r="R24" s="43"/>
      <c r="S24" s="43"/>
      <c r="T24" s="43"/>
      <c r="U24" s="43"/>
    </row>
    <row r="25" spans="1:21" s="11" customFormat="1" ht="15">
      <c r="A25" s="50" t="s">
        <v>438</v>
      </c>
      <c r="B25" s="51">
        <v>1.17</v>
      </c>
      <c r="C25" s="51">
        <v>20.53</v>
      </c>
      <c r="D25" s="51">
        <v>21.32</v>
      </c>
      <c r="E25" s="51">
        <v>4.91</v>
      </c>
      <c r="F25" s="51">
        <v>4.0999999999999996</v>
      </c>
      <c r="G25" s="51">
        <v>42.11</v>
      </c>
      <c r="H25" s="51">
        <v>14.53</v>
      </c>
      <c r="I25" s="51">
        <v>3.03</v>
      </c>
      <c r="J25" s="51">
        <v>19.850000000000001</v>
      </c>
      <c r="K25" s="51">
        <v>48.90</v>
      </c>
      <c r="L25" s="51">
        <v>33.409999999999997</v>
      </c>
      <c r="M25" s="51">
        <v>42.17</v>
      </c>
      <c r="N25" s="9" t="s">
        <v>15</v>
      </c>
      <c r="O25" s="51">
        <v>0</v>
      </c>
      <c r="P25" s="51">
        <v>2.0699999999999998</v>
      </c>
      <c r="Q25" s="51">
        <v>14.64</v>
      </c>
      <c r="R25" s="43"/>
      <c r="S25" s="43"/>
      <c r="T25" s="43"/>
      <c r="U25" s="43"/>
    </row>
    <row r="26" spans="1:21" s="11" customFormat="1" ht="15">
      <c r="A26" s="50" t="s">
        <v>439</v>
      </c>
      <c r="B26" s="51">
        <v>0.96</v>
      </c>
      <c r="C26" s="51">
        <v>19.73</v>
      </c>
      <c r="D26" s="51">
        <v>20.51</v>
      </c>
      <c r="E26" s="51">
        <v>5.5</v>
      </c>
      <c r="F26" s="51">
        <v>3.42</v>
      </c>
      <c r="G26" s="51">
        <v>40.03</v>
      </c>
      <c r="H26" s="51">
        <v>15.91</v>
      </c>
      <c r="I26" s="51">
        <v>3.03</v>
      </c>
      <c r="J26" s="51">
        <v>9.5399999999999991</v>
      </c>
      <c r="K26" s="51">
        <v>47.96</v>
      </c>
      <c r="L26" s="51">
        <v>37.21</v>
      </c>
      <c r="M26" s="51">
        <v>49.05</v>
      </c>
      <c r="N26" s="9" t="s">
        <v>15</v>
      </c>
      <c r="O26" s="51">
        <v>0</v>
      </c>
      <c r="P26" s="51">
        <v>2.0699999999999998</v>
      </c>
      <c r="Q26" s="51">
        <v>12.19</v>
      </c>
      <c r="R26" s="43"/>
      <c r="S26" s="43"/>
      <c r="T26" s="43"/>
      <c r="U26" s="43"/>
    </row>
    <row r="27" spans="1:21" s="11" customFormat="1" ht="15">
      <c r="A27" s="50" t="s">
        <v>440</v>
      </c>
      <c r="B27" s="51">
        <v>2.64</v>
      </c>
      <c r="C27" s="51">
        <v>25.65</v>
      </c>
      <c r="D27" s="51">
        <v>28.30</v>
      </c>
      <c r="E27" s="51">
        <v>5.76</v>
      </c>
      <c r="F27" s="51">
        <v>2.98</v>
      </c>
      <c r="G27" s="51">
        <v>43.34</v>
      </c>
      <c r="H27" s="51">
        <v>17.23</v>
      </c>
      <c r="I27" s="51">
        <v>3.46</v>
      </c>
      <c r="J27" s="51">
        <v>5.19</v>
      </c>
      <c r="K27" s="51">
        <v>335.89</v>
      </c>
      <c r="L27" s="51">
        <v>48.52</v>
      </c>
      <c r="M27" s="51">
        <v>58.96</v>
      </c>
      <c r="N27" s="9" t="s">
        <v>15</v>
      </c>
      <c r="O27" s="51">
        <v>0</v>
      </c>
      <c r="P27" s="51">
        <v>2.27</v>
      </c>
      <c r="Q27" s="51">
        <v>16.11</v>
      </c>
      <c r="R27" s="43"/>
      <c r="S27" s="43"/>
      <c r="T27" s="43"/>
      <c r="U27" s="43"/>
    </row>
    <row r="28" spans="1:21" s="11" customFormat="1" ht="15">
      <c r="A28" s="50" t="s">
        <v>441</v>
      </c>
      <c r="B28" s="51">
        <v>7.76</v>
      </c>
      <c r="C28" s="51">
        <v>31.40</v>
      </c>
      <c r="D28" s="51">
        <v>39.159999999999997</v>
      </c>
      <c r="E28" s="51">
        <v>6.08</v>
      </c>
      <c r="F28" s="51">
        <v>1.38</v>
      </c>
      <c r="G28" s="51">
        <v>68.12</v>
      </c>
      <c r="H28" s="51">
        <v>21.5</v>
      </c>
      <c r="I28" s="51">
        <v>4.72</v>
      </c>
      <c r="J28" s="51">
        <v>2.27</v>
      </c>
      <c r="K28" s="51">
        <v>350.88</v>
      </c>
      <c r="L28" s="51">
        <v>45.72</v>
      </c>
      <c r="M28" s="51">
        <v>64.75</v>
      </c>
      <c r="N28" s="51">
        <v>79.400000000000006</v>
      </c>
      <c r="O28" s="51">
        <v>0</v>
      </c>
      <c r="P28" s="51">
        <v>2.86</v>
      </c>
      <c r="Q28" s="51">
        <v>20.82</v>
      </c>
      <c r="R28" s="43"/>
      <c r="S28" s="43"/>
      <c r="T28" s="43"/>
      <c r="U28" s="43"/>
    </row>
    <row r="29" spans="1:21" s="11" customFormat="1" ht="15">
      <c r="A29" s="50" t="s">
        <v>442</v>
      </c>
      <c r="B29" s="51">
        <v>15.22</v>
      </c>
      <c r="C29" s="51">
        <v>33.44</v>
      </c>
      <c r="D29" s="51">
        <v>46.94</v>
      </c>
      <c r="E29" s="51">
        <v>5.80</v>
      </c>
      <c r="F29" s="51">
        <v>0.65</v>
      </c>
      <c r="G29" s="51">
        <v>97.41</v>
      </c>
      <c r="H29" s="51">
        <v>28.32</v>
      </c>
      <c r="I29" s="51">
        <v>6.45</v>
      </c>
      <c r="J29" s="51">
        <v>2.48</v>
      </c>
      <c r="K29" s="51">
        <v>28.72</v>
      </c>
      <c r="L29" s="51">
        <v>40.82</v>
      </c>
      <c r="M29" s="51">
        <v>64.319999999999993</v>
      </c>
      <c r="N29" s="51">
        <v>80</v>
      </c>
      <c r="O29" s="51">
        <v>0</v>
      </c>
      <c r="P29" s="51">
        <v>3.58</v>
      </c>
      <c r="Q29" s="51">
        <v>23.51</v>
      </c>
      <c r="R29" s="43"/>
      <c r="S29" s="43"/>
      <c r="T29" s="43"/>
      <c r="U29" s="43"/>
    </row>
    <row r="30" spans="1:21" s="11" customFormat="1" ht="15">
      <c r="A30" s="50" t="s">
        <v>443</v>
      </c>
      <c r="B30" s="51">
        <v>17.079999999999998</v>
      </c>
      <c r="C30" s="51">
        <v>30.84</v>
      </c>
      <c r="D30" s="51">
        <v>47.84</v>
      </c>
      <c r="E30" s="51">
        <v>6.95</v>
      </c>
      <c r="F30" s="51">
        <v>0.96</v>
      </c>
      <c r="G30" s="51">
        <v>104.76</v>
      </c>
      <c r="H30" s="51">
        <v>32.40</v>
      </c>
      <c r="I30" s="51">
        <v>7.48</v>
      </c>
      <c r="J30" s="51">
        <v>2.5</v>
      </c>
      <c r="K30" s="51">
        <v>85.94</v>
      </c>
      <c r="L30" s="51">
        <v>43.87</v>
      </c>
      <c r="M30" s="51">
        <v>65.61</v>
      </c>
      <c r="N30" s="51">
        <v>81</v>
      </c>
      <c r="O30" s="51">
        <v>0</v>
      </c>
      <c r="P30" s="51">
        <v>3.62</v>
      </c>
      <c r="Q30" s="51">
        <v>22.45</v>
      </c>
      <c r="R30" s="43"/>
      <c r="S30" s="43"/>
      <c r="T30" s="43"/>
      <c r="U30" s="43"/>
    </row>
    <row r="31" spans="1:21" s="11" customFormat="1" ht="15">
      <c r="A31" s="50" t="s">
        <v>444</v>
      </c>
      <c r="B31" s="51">
        <v>13</v>
      </c>
      <c r="C31" s="51">
        <v>28.31</v>
      </c>
      <c r="D31" s="51">
        <v>39.200000000000003</v>
      </c>
      <c r="E31" s="51">
        <v>7.78</v>
      </c>
      <c r="F31" s="51">
        <v>0.97</v>
      </c>
      <c r="G31" s="51">
        <v>100.62</v>
      </c>
      <c r="H31" s="51">
        <v>34.42</v>
      </c>
      <c r="I31" s="51">
        <v>7.42</v>
      </c>
      <c r="J31" s="51">
        <v>2.33</v>
      </c>
      <c r="K31" s="51">
        <v>176.47</v>
      </c>
      <c r="L31" s="51">
        <v>41.75</v>
      </c>
      <c r="M31" s="51">
        <v>67.88</v>
      </c>
      <c r="N31" s="51">
        <v>82.10</v>
      </c>
      <c r="O31" s="51">
        <v>0</v>
      </c>
      <c r="P31" s="51">
        <v>3.38</v>
      </c>
      <c r="Q31" s="51">
        <v>21.16</v>
      </c>
      <c r="R31" s="43"/>
      <c r="S31" s="43"/>
      <c r="T31" s="43"/>
      <c r="U31" s="43"/>
    </row>
    <row r="32" spans="1:21" s="11" customFormat="1" ht="15">
      <c r="A32" s="50" t="s">
        <v>445</v>
      </c>
      <c r="B32" s="51">
        <v>8.31</v>
      </c>
      <c r="C32" s="51">
        <v>28.08</v>
      </c>
      <c r="D32" s="51">
        <v>36.380000000000003</v>
      </c>
      <c r="E32" s="51">
        <v>7.24</v>
      </c>
      <c r="F32" s="51">
        <v>1.02</v>
      </c>
      <c r="G32" s="51">
        <v>94.62</v>
      </c>
      <c r="H32" s="51">
        <v>35.53</v>
      </c>
      <c r="I32" s="51">
        <v>7.26</v>
      </c>
      <c r="J32" s="51">
        <v>1.21</v>
      </c>
      <c r="K32" s="51">
        <v>274.98</v>
      </c>
      <c r="L32" s="51">
        <v>40.97</v>
      </c>
      <c r="M32" s="51">
        <v>66.040000000000006</v>
      </c>
      <c r="N32" s="51">
        <v>84.20</v>
      </c>
      <c r="O32" s="51">
        <v>0</v>
      </c>
      <c r="P32" s="51">
        <v>3.09</v>
      </c>
      <c r="Q32" s="51">
        <v>22.36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0.95999999999999996</v>
      </c>
      <c r="C34" s="28">
        <f t="shared" si="0"/>
        <v>19.73</v>
      </c>
      <c r="D34" s="28">
        <f t="shared" si="0"/>
        <v>20.510000000000002</v>
      </c>
      <c r="E34" s="28">
        <f t="shared" si="0"/>
        <v>4.9100000000000001</v>
      </c>
      <c r="F34" s="28">
        <f t="shared" si="0"/>
        <v>0.65000000000000002</v>
      </c>
      <c r="G34" s="28">
        <f t="shared" si="0"/>
        <v>40.030000000000001</v>
      </c>
      <c r="H34" s="28">
        <f t="shared" si="0"/>
        <v>14.529999999999999</v>
      </c>
      <c r="I34" s="28">
        <f t="shared" si="0"/>
        <v>3.0299999999999998</v>
      </c>
      <c r="J34" s="28">
        <f t="shared" si="0"/>
        <v>1.21</v>
      </c>
      <c r="K34" s="28">
        <f t="shared" si="0"/>
        <v>28.719999999999999</v>
      </c>
      <c r="L34" s="28">
        <f t="shared" si="0"/>
        <v>33.409999999999997</v>
      </c>
      <c r="M34" s="28">
        <f t="shared" si="0"/>
        <v>42.170000000000002</v>
      </c>
      <c r="N34" s="28">
        <f t="shared" si="0"/>
        <v>79.400000000000006</v>
      </c>
      <c r="O34" s="28">
        <f t="shared" si="0"/>
        <v>0</v>
      </c>
      <c r="P34" s="28">
        <f t="shared" si="0"/>
        <v>2.0699999999999998</v>
      </c>
      <c r="Q34" s="28">
        <f t="shared" si="0"/>
        <v>12.19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17.079999999999998</v>
      </c>
      <c r="C35" s="29">
        <f t="shared" si="1"/>
        <v>33.439999999999998</v>
      </c>
      <c r="D35" s="29">
        <f t="shared" si="1"/>
        <v>47.840000000000003</v>
      </c>
      <c r="E35" s="29">
        <f t="shared" si="1"/>
        <v>7.7800000000000002</v>
      </c>
      <c r="F35" s="29">
        <f t="shared" si="1"/>
        <v>4.0999999999999996</v>
      </c>
      <c r="G35" s="29">
        <f t="shared" si="1"/>
        <v>104.76000000000001</v>
      </c>
      <c r="H35" s="29">
        <f t="shared" si="1"/>
        <v>35.530000000000001</v>
      </c>
      <c r="I35" s="29">
        <f t="shared" si="1"/>
        <v>7.4800000000000004</v>
      </c>
      <c r="J35" s="29">
        <f t="shared" si="1"/>
        <v>19.850000000000001</v>
      </c>
      <c r="K35" s="29">
        <f t="shared" si="1"/>
        <v>350.88</v>
      </c>
      <c r="L35" s="29">
        <f t="shared" si="1"/>
        <v>48.520000000000003</v>
      </c>
      <c r="M35" s="29">
        <f t="shared" si="1"/>
        <v>67.879999999999995</v>
      </c>
      <c r="N35" s="29">
        <f t="shared" si="1"/>
        <v>84.200000000000003</v>
      </c>
      <c r="O35" s="29">
        <f t="shared" si="1"/>
        <v>0</v>
      </c>
      <c r="P35" s="29">
        <f t="shared" si="1"/>
        <v>3.6200000000000001</v>
      </c>
      <c r="Q35" s="29">
        <f t="shared" si="1"/>
        <v>23.510000000000002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8.2675000000000001</v>
      </c>
      <c r="C36" s="28">
        <f t="shared" si="2"/>
        <v>27.247500000000002</v>
      </c>
      <c r="D36" s="28">
        <f t="shared" si="2"/>
        <v>34.956249999999997</v>
      </c>
      <c r="E36" s="28">
        <f t="shared" si="2"/>
        <v>6.2525000000000004</v>
      </c>
      <c r="F36" s="28">
        <f t="shared" si="2"/>
        <v>1.9349999999999998</v>
      </c>
      <c r="G36" s="28">
        <f t="shared" si="2"/>
        <v>73.876249999999999</v>
      </c>
      <c r="H36" s="28">
        <f t="shared" si="2"/>
        <v>24.98</v>
      </c>
      <c r="I36" s="28">
        <f t="shared" si="2"/>
        <v>5.3562499999999993</v>
      </c>
      <c r="J36" s="28">
        <f t="shared" si="2"/>
        <v>5.6712499999999997</v>
      </c>
      <c r="K36" s="28">
        <f t="shared" si="2"/>
        <v>168.7175</v>
      </c>
      <c r="L36" s="28">
        <f t="shared" si="2"/>
        <v>41.533749999999998</v>
      </c>
      <c r="M36" s="28">
        <f t="shared" si="2"/>
        <v>59.847500000000004</v>
      </c>
      <c r="N36" s="28">
        <f t="shared" si="2"/>
        <v>81.340000000000003</v>
      </c>
      <c r="O36" s="28">
        <f t="shared" si="2"/>
        <v>0</v>
      </c>
      <c r="P36" s="28">
        <f t="shared" si="2"/>
        <v>2.8674999999999997</v>
      </c>
      <c r="Q36" s="28">
        <f t="shared" si="2"/>
        <v>19.155000000000001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6.3706486550204824</v>
      </c>
      <c r="C37" s="28">
        <f t="shared" si="3" ref="C37:Q37">STDEV(C9:C32)</f>
        <v>4.992965766241233</v>
      </c>
      <c r="D37" s="28">
        <f t="shared" si="3"/>
        <v>10.598223486576831</v>
      </c>
      <c r="E37" s="28">
        <f t="shared" si="3"/>
        <v>0.97398665288595532</v>
      </c>
      <c r="F37" s="28">
        <f t="shared" si="3"/>
        <v>1.3449800848233513</v>
      </c>
      <c r="G37" s="28">
        <f t="shared" si="3"/>
        <v>28.718921058871882</v>
      </c>
      <c r="H37" s="28">
        <f t="shared" si="3"/>
        <v>8.7035985989375995</v>
      </c>
      <c r="I37" s="28">
        <f t="shared" si="3"/>
        <v>2.0147097451352303</v>
      </c>
      <c r="J37" s="28">
        <f t="shared" si="3"/>
        <v>6.3145171458880602</v>
      </c>
      <c r="K37" s="28">
        <f t="shared" si="3"/>
        <v>135.15687337841376</v>
      </c>
      <c r="L37" s="28">
        <f t="shared" si="3"/>
        <v>4.7412262955605211</v>
      </c>
      <c r="M37" s="28">
        <f t="shared" si="3"/>
        <v>9.3348804415023423</v>
      </c>
      <c r="N37" s="28">
        <f t="shared" si="3"/>
        <v>1.8994736112934016</v>
      </c>
      <c r="O37" s="28">
        <f t="shared" si="3"/>
        <v>0</v>
      </c>
      <c r="P37" s="28">
        <f t="shared" si="3"/>
        <v>0.65630458956624327</v>
      </c>
      <c r="Q37" s="28">
        <f t="shared" si="3"/>
        <v>4.226714360554098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8</v>
      </c>
      <c r="C38" s="32">
        <f t="shared" si="4"/>
        <v>8</v>
      </c>
      <c r="D38" s="32">
        <f t="shared" si="4"/>
        <v>8</v>
      </c>
      <c r="E38" s="32">
        <f t="shared" si="4"/>
        <v>8</v>
      </c>
      <c r="F38" s="32">
        <f t="shared" si="4"/>
        <v>8</v>
      </c>
      <c r="G38" s="32">
        <f t="shared" si="4"/>
        <v>8</v>
      </c>
      <c r="H38" s="32">
        <f t="shared" si="4"/>
        <v>8</v>
      </c>
      <c r="I38" s="32">
        <f t="shared" si="4"/>
        <v>8</v>
      </c>
      <c r="J38" s="32">
        <f t="shared" si="4"/>
        <v>8</v>
      </c>
      <c r="K38" s="32">
        <f t="shared" si="4"/>
        <v>8</v>
      </c>
      <c r="L38" s="32">
        <f t="shared" si="4"/>
        <v>8</v>
      </c>
      <c r="M38" s="32">
        <f t="shared" si="4"/>
        <v>8</v>
      </c>
      <c r="N38" s="32">
        <f t="shared" si="4"/>
        <v>5</v>
      </c>
      <c r="O38" s="32">
        <f t="shared" si="4"/>
        <v>8</v>
      </c>
      <c r="P38" s="32">
        <f t="shared" si="4"/>
        <v>8</v>
      </c>
      <c r="Q38" s="32">
        <f t="shared" si="4"/>
        <v>8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&lt;90%</v>
      </c>
      <c r="C39" s="29" t="str">
        <f t="shared" si="5" ref="C39:P39">IF(C38&gt;=22,"&gt;90%",IF(C38&lt;=22,"&lt;90%"))</f>
        <v>&lt;90%</v>
      </c>
      <c r="D39" s="29" t="str">
        <f t="shared" si="5"/>
        <v>&lt;90%</v>
      </c>
      <c r="E39" s="29" t="str">
        <f t="shared" si="5"/>
        <v>&lt;90%</v>
      </c>
      <c r="F39" s="29" t="str">
        <f t="shared" si="5"/>
        <v>&lt;90%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&lt;90%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LESS</v>
      </c>
      <c r="C40" s="29" t="str">
        <f t="shared" si="6" ref="C40:Q40">IF(C38&gt;=22,"OK",IF(C38&lt;=22,"LESS"))</f>
        <v>LESS</v>
      </c>
      <c r="D40" s="29" t="str">
        <f t="shared" si="6"/>
        <v>LESS</v>
      </c>
      <c r="E40" s="29" t="str">
        <f t="shared" si="6"/>
        <v>LESS</v>
      </c>
      <c r="F40" s="29" t="str">
        <f t="shared" si="6"/>
        <v>LESS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LESS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LESS</v>
      </c>
      <c r="Q40" s="29" t="str">
        <f t="shared" si="6"/>
        <v>LESS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5b1919-1802-441d-a8f5-6a8af82696ac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41" sqref="F4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446</v>
      </c>
      <c r="B9" s="51">
        <v>3.40</v>
      </c>
      <c r="C9" s="51">
        <v>24.22</v>
      </c>
      <c r="D9" s="51">
        <v>27.62</v>
      </c>
      <c r="E9" s="51">
        <v>5.75</v>
      </c>
      <c r="F9" s="51">
        <v>1</v>
      </c>
      <c r="G9" s="51">
        <v>85.03</v>
      </c>
      <c r="H9" s="51">
        <v>37.31</v>
      </c>
      <c r="I9" s="51">
        <v>6.43</v>
      </c>
      <c r="J9" s="51">
        <v>2.19</v>
      </c>
      <c r="K9" s="51">
        <v>180.28</v>
      </c>
      <c r="L9" s="51">
        <v>40.119999999999997</v>
      </c>
      <c r="M9" s="51">
        <v>70.34</v>
      </c>
      <c r="N9" s="51">
        <v>86.60</v>
      </c>
      <c r="O9" s="51">
        <v>0</v>
      </c>
      <c r="P9" s="51">
        <v>2.78</v>
      </c>
      <c r="Q9" s="51">
        <v>19.989999999999998</v>
      </c>
      <c r="R9" s="43"/>
      <c r="S9" s="43"/>
      <c r="T9" s="43"/>
      <c r="U9" s="43"/>
    </row>
    <row r="10" spans="1:21" s="11" customFormat="1" ht="15">
      <c r="A10" s="50" t="s">
        <v>447</v>
      </c>
      <c r="B10" s="51">
        <v>1.92</v>
      </c>
      <c r="C10" s="51">
        <v>19.899999999999999</v>
      </c>
      <c r="D10" s="51">
        <v>21.35</v>
      </c>
      <c r="E10" s="51">
        <v>6.82</v>
      </c>
      <c r="F10" s="51">
        <v>0.86</v>
      </c>
      <c r="G10" s="51">
        <v>80.760000000000005</v>
      </c>
      <c r="H10" s="51">
        <v>38.46</v>
      </c>
      <c r="I10" s="51">
        <v>5.67</v>
      </c>
      <c r="J10" s="51">
        <v>2.2200000000000002</v>
      </c>
      <c r="K10" s="51">
        <v>206.11</v>
      </c>
      <c r="L10" s="51">
        <v>38.869999999999997</v>
      </c>
      <c r="M10" s="51">
        <v>75.64</v>
      </c>
      <c r="N10" s="51">
        <v>109</v>
      </c>
      <c r="O10" s="51">
        <v>0</v>
      </c>
      <c r="P10" s="51">
        <v>2.54</v>
      </c>
      <c r="Q10" s="51">
        <v>17.559999999999999</v>
      </c>
      <c r="R10" s="43"/>
      <c r="S10" s="43"/>
      <c r="T10" s="43"/>
      <c r="U10" s="43"/>
    </row>
    <row r="11" spans="1:21" s="11" customFormat="1" ht="15">
      <c r="A11" s="50" t="s">
        <v>448</v>
      </c>
      <c r="B11" s="51">
        <v>2.40</v>
      </c>
      <c r="C11" s="51">
        <v>15.88</v>
      </c>
      <c r="D11" s="51">
        <v>17.95</v>
      </c>
      <c r="E11" s="51">
        <v>7</v>
      </c>
      <c r="F11" s="51">
        <v>0.98</v>
      </c>
      <c r="G11" s="51">
        <v>75.14</v>
      </c>
      <c r="H11" s="51">
        <v>35.85</v>
      </c>
      <c r="I11" s="51">
        <v>5.38</v>
      </c>
      <c r="J11" s="51">
        <v>1.72</v>
      </c>
      <c r="K11" s="51">
        <v>224.41</v>
      </c>
      <c r="L11" s="51">
        <v>37.96</v>
      </c>
      <c r="M11" s="51">
        <v>77.52</v>
      </c>
      <c r="N11" s="51">
        <v>106</v>
      </c>
      <c r="O11" s="51">
        <v>0</v>
      </c>
      <c r="P11" s="51">
        <v>2.42</v>
      </c>
      <c r="Q11" s="51">
        <v>13.68</v>
      </c>
      <c r="R11" s="43"/>
      <c r="S11" s="43"/>
      <c r="T11" s="43"/>
      <c r="U11" s="43"/>
    </row>
    <row r="12" spans="1:21" s="11" customFormat="1" ht="15">
      <c r="A12" s="50" t="s">
        <v>449</v>
      </c>
      <c r="B12" s="51">
        <v>2.38</v>
      </c>
      <c r="C12" s="51">
        <v>15.51</v>
      </c>
      <c r="D12" s="51">
        <v>17.88</v>
      </c>
      <c r="E12" s="51">
        <v>6.93</v>
      </c>
      <c r="F12" s="51">
        <v>0.69</v>
      </c>
      <c r="G12" s="51">
        <v>60.26</v>
      </c>
      <c r="H12" s="51">
        <v>33.07</v>
      </c>
      <c r="I12" s="51">
        <v>5.23</v>
      </c>
      <c r="J12" s="51">
        <v>1.93</v>
      </c>
      <c r="K12" s="51">
        <v>210.02</v>
      </c>
      <c r="L12" s="51">
        <v>37.75</v>
      </c>
      <c r="M12" s="51">
        <v>78.34</v>
      </c>
      <c r="N12" s="51">
        <v>111</v>
      </c>
      <c r="O12" s="51">
        <v>0</v>
      </c>
      <c r="P12" s="51">
        <v>2.31</v>
      </c>
      <c r="Q12" s="51">
        <v>16.32</v>
      </c>
      <c r="R12" s="43"/>
      <c r="S12" s="43"/>
      <c r="T12" s="43"/>
      <c r="U12" s="43"/>
    </row>
    <row r="13" spans="1:21" s="11" customFormat="1" ht="15">
      <c r="A13" s="50" t="s">
        <v>450</v>
      </c>
      <c r="B13" s="51">
        <v>1.61</v>
      </c>
      <c r="C13" s="51">
        <v>15.25</v>
      </c>
      <c r="D13" s="51">
        <v>16.86</v>
      </c>
      <c r="E13" s="51">
        <v>6.83</v>
      </c>
      <c r="F13" s="51">
        <v>0.72</v>
      </c>
      <c r="G13" s="51">
        <v>53.78</v>
      </c>
      <c r="H13" s="51">
        <v>26.11</v>
      </c>
      <c r="I13" s="51">
        <v>4.68</v>
      </c>
      <c r="J13" s="51">
        <v>1.56</v>
      </c>
      <c r="K13" s="51">
        <v>231.23</v>
      </c>
      <c r="L13" s="51">
        <v>37.28</v>
      </c>
      <c r="M13" s="51">
        <v>81.349999999999994</v>
      </c>
      <c r="N13" s="51">
        <v>100.30</v>
      </c>
      <c r="O13" s="51">
        <v>0</v>
      </c>
      <c r="P13" s="51">
        <v>2.19</v>
      </c>
      <c r="Q13" s="51">
        <v>16.29</v>
      </c>
      <c r="R13" s="43"/>
      <c r="S13" s="43"/>
      <c r="T13" s="43"/>
      <c r="U13" s="43"/>
    </row>
    <row r="14" spans="1:21" s="11" customFormat="1" ht="15">
      <c r="A14" s="50" t="s">
        <v>451</v>
      </c>
      <c r="B14" s="51">
        <v>2.4900000000000002</v>
      </c>
      <c r="C14" s="51">
        <v>15.63</v>
      </c>
      <c r="D14" s="51">
        <v>17.47</v>
      </c>
      <c r="E14" s="51">
        <v>6.85</v>
      </c>
      <c r="F14" s="51">
        <v>0.79</v>
      </c>
      <c r="G14" s="51">
        <v>53.88</v>
      </c>
      <c r="H14" s="51">
        <v>26.23</v>
      </c>
      <c r="I14" s="51">
        <v>4.22</v>
      </c>
      <c r="J14" s="51">
        <v>1.19</v>
      </c>
      <c r="K14" s="51">
        <v>349.59</v>
      </c>
      <c r="L14" s="51">
        <v>36.590000000000003</v>
      </c>
      <c r="M14" s="51">
        <v>82.19</v>
      </c>
      <c r="N14" s="51">
        <v>177.5</v>
      </c>
      <c r="O14" s="51">
        <v>0</v>
      </c>
      <c r="P14" s="51">
        <v>2.12</v>
      </c>
      <c r="Q14" s="51">
        <v>15.65</v>
      </c>
      <c r="R14" s="43"/>
      <c r="S14" s="43"/>
      <c r="T14" s="43"/>
      <c r="U14" s="43"/>
    </row>
    <row r="15" spans="1:21" s="11" customFormat="1" ht="15">
      <c r="A15" s="50" t="s">
        <v>452</v>
      </c>
      <c r="B15" s="51">
        <v>3</v>
      </c>
      <c r="C15" s="51">
        <v>17.13</v>
      </c>
      <c r="D15" s="51">
        <v>19.22</v>
      </c>
      <c r="E15" s="51">
        <v>7.06</v>
      </c>
      <c r="F15" s="51">
        <v>1.79</v>
      </c>
      <c r="G15" s="51">
        <v>50.39</v>
      </c>
      <c r="H15" s="51">
        <v>25.80</v>
      </c>
      <c r="I15" s="51">
        <v>4.1500000000000004</v>
      </c>
      <c r="J15" s="51">
        <v>1.05</v>
      </c>
      <c r="K15" s="51">
        <v>240.53</v>
      </c>
      <c r="L15" s="51">
        <v>38.369999999999997</v>
      </c>
      <c r="M15" s="51">
        <v>76.099999999999994</v>
      </c>
      <c r="N15" s="51">
        <v>370.90</v>
      </c>
      <c r="O15" s="51">
        <v>0</v>
      </c>
      <c r="P15" s="51">
        <v>2.09</v>
      </c>
      <c r="Q15" s="51">
        <v>13.48</v>
      </c>
      <c r="R15" s="43"/>
      <c r="S15" s="43"/>
      <c r="T15" s="43"/>
      <c r="U15" s="43"/>
    </row>
    <row r="16" spans="1:21" s="11" customFormat="1" ht="15">
      <c r="A16" s="50" t="s">
        <v>453</v>
      </c>
      <c r="B16" s="51">
        <v>1.33</v>
      </c>
      <c r="C16" s="51">
        <v>17.149999999999999</v>
      </c>
      <c r="D16" s="51">
        <v>18.47</v>
      </c>
      <c r="E16" s="51">
        <v>6.19</v>
      </c>
      <c r="F16" s="51">
        <v>3.36</v>
      </c>
      <c r="G16" s="51">
        <v>49.62</v>
      </c>
      <c r="H16" s="51">
        <v>24.47</v>
      </c>
      <c r="I16" s="51">
        <v>4.08</v>
      </c>
      <c r="J16" s="51">
        <v>1.52</v>
      </c>
      <c r="K16" s="51">
        <v>252.03</v>
      </c>
      <c r="L16" s="51">
        <v>39.94</v>
      </c>
      <c r="M16" s="51">
        <v>69.36</v>
      </c>
      <c r="N16" s="51">
        <v>586.29999999999995</v>
      </c>
      <c r="O16" s="51">
        <v>0</v>
      </c>
      <c r="P16" s="51">
        <v>2.04</v>
      </c>
      <c r="Q16" s="51">
        <v>13.65</v>
      </c>
      <c r="R16" s="43"/>
      <c r="S16" s="43"/>
      <c r="T16" s="43"/>
      <c r="U16" s="43"/>
    </row>
    <row r="17" spans="1:21" s="11" customFormat="1" ht="15">
      <c r="A17" s="50" t="s">
        <v>454</v>
      </c>
      <c r="B17" s="51">
        <v>0.81</v>
      </c>
      <c r="C17" s="51">
        <v>17.91</v>
      </c>
      <c r="D17" s="51">
        <v>18.68</v>
      </c>
      <c r="E17" s="51">
        <v>4.0999999999999996</v>
      </c>
      <c r="F17" s="51">
        <v>4.01</v>
      </c>
      <c r="G17" s="51">
        <v>50.72</v>
      </c>
      <c r="H17" s="51">
        <v>24.33</v>
      </c>
      <c r="I17" s="51">
        <v>3.46</v>
      </c>
      <c r="J17" s="51">
        <v>0.67</v>
      </c>
      <c r="K17" s="51">
        <v>252.64</v>
      </c>
      <c r="L17" s="51">
        <v>41.06</v>
      </c>
      <c r="M17" s="51">
        <v>65.92</v>
      </c>
      <c r="N17" s="51">
        <v>565.79999999999995</v>
      </c>
      <c r="O17" s="51">
        <v>0</v>
      </c>
      <c r="P17" s="51">
        <v>2.0099999999999998</v>
      </c>
      <c r="Q17" s="51">
        <v>15.03</v>
      </c>
      <c r="R17" s="43"/>
      <c r="S17" s="43"/>
      <c r="T17" s="43"/>
      <c r="U17" s="43"/>
    </row>
    <row r="18" spans="1:21" s="11" customFormat="1" ht="15">
      <c r="A18" s="50" t="s">
        <v>455</v>
      </c>
      <c r="B18" s="51">
        <v>0.68</v>
      </c>
      <c r="C18" s="51">
        <v>20.190000000000001</v>
      </c>
      <c r="D18" s="51">
        <v>20.88</v>
      </c>
      <c r="E18" s="51">
        <v>3.24</v>
      </c>
      <c r="F18" s="51">
        <v>4.8099999999999996</v>
      </c>
      <c r="G18" s="51">
        <v>54.37</v>
      </c>
      <c r="H18" s="51">
        <v>22.69</v>
      </c>
      <c r="I18" s="51">
        <v>3.08</v>
      </c>
      <c r="J18" s="51">
        <v>0.51</v>
      </c>
      <c r="K18" s="51">
        <v>292.70999999999998</v>
      </c>
      <c r="L18" s="51">
        <v>42.57</v>
      </c>
      <c r="M18" s="51">
        <v>62.89</v>
      </c>
      <c r="N18" s="51">
        <v>848.20</v>
      </c>
      <c r="O18" s="51">
        <v>0</v>
      </c>
      <c r="P18" s="51">
        <v>2.04</v>
      </c>
      <c r="Q18" s="51">
        <v>14.39</v>
      </c>
      <c r="R18" s="43"/>
      <c r="S18" s="43"/>
      <c r="T18" s="43"/>
      <c r="U18" s="43"/>
    </row>
    <row r="19" spans="1:21" s="11" customFormat="1" ht="15">
      <c r="A19" s="50" t="s">
        <v>456</v>
      </c>
      <c r="B19" s="51">
        <v>0.70</v>
      </c>
      <c r="C19" s="51">
        <v>21.03</v>
      </c>
      <c r="D19" s="51">
        <v>21.63</v>
      </c>
      <c r="E19" s="51">
        <v>2.99</v>
      </c>
      <c r="F19" s="51">
        <v>5.52</v>
      </c>
      <c r="G19" s="51">
        <v>55.99</v>
      </c>
      <c r="H19" s="51">
        <v>20.67</v>
      </c>
      <c r="I19" s="51">
        <v>2.95</v>
      </c>
      <c r="J19" s="51">
        <v>0.59</v>
      </c>
      <c r="K19" s="51">
        <v>335.92</v>
      </c>
      <c r="L19" s="51">
        <v>44.68</v>
      </c>
      <c r="M19" s="51">
        <v>57.69</v>
      </c>
      <c r="N19" s="51">
        <v>940.90</v>
      </c>
      <c r="O19" s="51">
        <v>0</v>
      </c>
      <c r="P19" s="51">
        <v>2.0699999999999998</v>
      </c>
      <c r="Q19" s="51">
        <v>12.65</v>
      </c>
      <c r="R19" s="43"/>
      <c r="S19" s="43"/>
      <c r="T19" s="43"/>
      <c r="U19" s="43"/>
    </row>
    <row r="20" spans="1:21" s="11" customFormat="1" ht="15">
      <c r="A20" s="50" t="s">
        <v>457</v>
      </c>
      <c r="B20" s="51">
        <v>0.54</v>
      </c>
      <c r="C20" s="51">
        <v>21.32</v>
      </c>
      <c r="D20" s="51">
        <v>21.86</v>
      </c>
      <c r="E20" s="51">
        <v>2.94</v>
      </c>
      <c r="F20" s="51">
        <v>7.29</v>
      </c>
      <c r="G20" s="51">
        <v>56.24</v>
      </c>
      <c r="H20" s="51">
        <v>18.5</v>
      </c>
      <c r="I20" s="51">
        <v>3.02</v>
      </c>
      <c r="J20" s="51">
        <v>1.91</v>
      </c>
      <c r="K20" s="51">
        <v>267.70999999999998</v>
      </c>
      <c r="L20" s="51">
        <v>42.94</v>
      </c>
      <c r="M20" s="51">
        <v>62.99</v>
      </c>
      <c r="N20" s="51">
        <v>990.90</v>
      </c>
      <c r="O20" s="51">
        <v>0</v>
      </c>
      <c r="P20" s="51">
        <v>2.0699999999999998</v>
      </c>
      <c r="Q20" s="51">
        <v>10.52</v>
      </c>
      <c r="R20" s="43"/>
      <c r="S20" s="43"/>
      <c r="T20" s="43"/>
      <c r="U20" s="43"/>
    </row>
    <row r="21" spans="1:21" s="11" customFormat="1" ht="15">
      <c r="A21" s="50" t="s">
        <v>458</v>
      </c>
      <c r="B21" s="51">
        <v>0.54</v>
      </c>
      <c r="C21" s="51">
        <v>19.52</v>
      </c>
      <c r="D21" s="51">
        <v>20.059999999999999</v>
      </c>
      <c r="E21" s="51">
        <v>3.28</v>
      </c>
      <c r="F21" s="51">
        <v>6.08</v>
      </c>
      <c r="G21" s="51">
        <v>57.36</v>
      </c>
      <c r="H21" s="51">
        <v>19.71</v>
      </c>
      <c r="I21" s="51">
        <v>2.79</v>
      </c>
      <c r="J21" s="51">
        <v>1.22</v>
      </c>
      <c r="K21" s="51">
        <v>335.89</v>
      </c>
      <c r="L21" s="51">
        <v>45.89</v>
      </c>
      <c r="M21" s="51">
        <v>54.30</v>
      </c>
      <c r="N21" s="51">
        <v>1235.5</v>
      </c>
      <c r="O21" s="51">
        <v>0</v>
      </c>
      <c r="P21" s="51">
        <v>2.0299999999999998</v>
      </c>
      <c r="Q21" s="51">
        <v>11.39</v>
      </c>
      <c r="R21" s="43"/>
      <c r="S21" s="43"/>
      <c r="T21" s="43"/>
      <c r="U21" s="43"/>
    </row>
    <row r="22" spans="1:21" s="11" customFormat="1" ht="15">
      <c r="A22" s="50" t="s">
        <v>459</v>
      </c>
      <c r="B22" s="51">
        <v>0.59</v>
      </c>
      <c r="C22" s="51">
        <v>21.64</v>
      </c>
      <c r="D22" s="51">
        <v>22.07</v>
      </c>
      <c r="E22" s="51">
        <v>3.31</v>
      </c>
      <c r="F22" s="51">
        <v>7.40</v>
      </c>
      <c r="G22" s="51">
        <v>57.45</v>
      </c>
      <c r="H22" s="51">
        <v>18.559999999999999</v>
      </c>
      <c r="I22" s="51">
        <v>2.79</v>
      </c>
      <c r="J22" s="51">
        <v>1.80</v>
      </c>
      <c r="K22" s="51">
        <v>340.83</v>
      </c>
      <c r="L22" s="51">
        <v>47.88</v>
      </c>
      <c r="M22" s="51">
        <v>49.71</v>
      </c>
      <c r="N22" s="51">
        <v>1041.0999999999999</v>
      </c>
      <c r="O22" s="51">
        <v>0</v>
      </c>
      <c r="P22" s="51">
        <v>2.04</v>
      </c>
      <c r="Q22" s="51">
        <v>11.88</v>
      </c>
      <c r="R22" s="43"/>
      <c r="S22" s="43"/>
      <c r="T22" s="43"/>
      <c r="U22" s="43"/>
    </row>
    <row r="23" spans="1:21" s="11" customFormat="1" ht="15">
      <c r="A23" s="50" t="s">
        <v>460</v>
      </c>
      <c r="B23" s="51">
        <v>0.51</v>
      </c>
      <c r="C23" s="51">
        <v>20.75</v>
      </c>
      <c r="D23" s="51">
        <v>21.22</v>
      </c>
      <c r="E23" s="51">
        <v>3.30</v>
      </c>
      <c r="F23" s="51">
        <v>8.65</v>
      </c>
      <c r="G23" s="51">
        <v>53.30</v>
      </c>
      <c r="H23" s="51">
        <v>21.68</v>
      </c>
      <c r="I23" s="51">
        <v>2.76</v>
      </c>
      <c r="J23" s="51">
        <v>1.26</v>
      </c>
      <c r="K23" s="51">
        <v>349.53</v>
      </c>
      <c r="L23" s="51">
        <v>49.42</v>
      </c>
      <c r="M23" s="51">
        <v>47.29</v>
      </c>
      <c r="N23" s="51">
        <v>959.40</v>
      </c>
      <c r="O23" s="51">
        <v>0</v>
      </c>
      <c r="P23" s="51">
        <v>2.0299999999999998</v>
      </c>
      <c r="Q23" s="51">
        <v>11.34</v>
      </c>
      <c r="R23" s="43"/>
      <c r="S23" s="43"/>
      <c r="T23" s="43"/>
      <c r="U23" s="43"/>
    </row>
    <row r="24" spans="1:21" s="11" customFormat="1" ht="15">
      <c r="A24" s="50" t="s">
        <v>461</v>
      </c>
      <c r="B24" s="51">
        <v>0.34</v>
      </c>
      <c r="C24" s="51">
        <v>19.43</v>
      </c>
      <c r="D24" s="51">
        <v>19.66</v>
      </c>
      <c r="E24" s="51">
        <v>3.17</v>
      </c>
      <c r="F24" s="51">
        <v>8.61</v>
      </c>
      <c r="G24" s="51">
        <v>54.69</v>
      </c>
      <c r="H24" s="51">
        <v>21.36</v>
      </c>
      <c r="I24" s="51">
        <v>2.54</v>
      </c>
      <c r="J24" s="51">
        <v>0.90</v>
      </c>
      <c r="K24" s="51">
        <v>323.5</v>
      </c>
      <c r="L24" s="51">
        <v>48.66</v>
      </c>
      <c r="M24" s="51">
        <v>46.47</v>
      </c>
      <c r="N24" s="51">
        <v>747.30</v>
      </c>
      <c r="O24" s="51">
        <v>0</v>
      </c>
      <c r="P24" s="51">
        <v>2</v>
      </c>
      <c r="Q24" s="51">
        <v>9.01</v>
      </c>
      <c r="R24" s="43"/>
      <c r="S24" s="43"/>
      <c r="T24" s="43"/>
      <c r="U24" s="43"/>
    </row>
    <row r="25" spans="1:21" s="11" customFormat="1" ht="15">
      <c r="A25" s="50" t="s">
        <v>462</v>
      </c>
      <c r="B25" s="51">
        <v>0.63</v>
      </c>
      <c r="C25" s="51">
        <v>21.14</v>
      </c>
      <c r="D25" s="51">
        <v>21.75</v>
      </c>
      <c r="E25" s="51">
        <v>3.89</v>
      </c>
      <c r="F25" s="51">
        <v>6.29</v>
      </c>
      <c r="G25" s="51">
        <v>55.13</v>
      </c>
      <c r="H25" s="51">
        <v>19.329999999999998</v>
      </c>
      <c r="I25" s="51">
        <v>2.56</v>
      </c>
      <c r="J25" s="51">
        <v>1.23</v>
      </c>
      <c r="K25" s="51">
        <v>354.14</v>
      </c>
      <c r="L25" s="51">
        <v>47.08</v>
      </c>
      <c r="M25" s="51">
        <v>46.68</v>
      </c>
      <c r="N25" s="51">
        <v>411.5</v>
      </c>
      <c r="O25" s="51">
        <v>0</v>
      </c>
      <c r="P25" s="51">
        <v>2.0299999999999998</v>
      </c>
      <c r="Q25" s="51">
        <v>9.91</v>
      </c>
      <c r="R25" s="43"/>
      <c r="S25" s="43"/>
      <c r="T25" s="43"/>
      <c r="U25" s="43"/>
    </row>
    <row r="26" spans="1:21" s="11" customFormat="1" ht="15">
      <c r="A26" s="50" t="s">
        <v>463</v>
      </c>
      <c r="B26" s="51">
        <v>0.90</v>
      </c>
      <c r="C26" s="51">
        <v>22.60</v>
      </c>
      <c r="D26" s="51">
        <v>23.49</v>
      </c>
      <c r="E26" s="51">
        <v>3.98</v>
      </c>
      <c r="F26" s="51">
        <v>4.62</v>
      </c>
      <c r="G26" s="51">
        <v>50.85</v>
      </c>
      <c r="H26" s="51">
        <v>19.16</v>
      </c>
      <c r="I26" s="51">
        <v>2.99</v>
      </c>
      <c r="J26" s="51">
        <v>1.18</v>
      </c>
      <c r="K26" s="51">
        <v>346.21</v>
      </c>
      <c r="L26" s="51">
        <v>45.08</v>
      </c>
      <c r="M26" s="51">
        <v>54.57</v>
      </c>
      <c r="N26" s="51">
        <v>206.10</v>
      </c>
      <c r="O26" s="51">
        <v>0</v>
      </c>
      <c r="P26" s="51">
        <v>2.10</v>
      </c>
      <c r="Q26" s="51">
        <v>10.47</v>
      </c>
      <c r="R26" s="43"/>
      <c r="S26" s="43"/>
      <c r="T26" s="43"/>
      <c r="U26" s="43"/>
    </row>
    <row r="27" spans="1:21" s="11" customFormat="1" ht="15">
      <c r="A27" s="50" t="s">
        <v>464</v>
      </c>
      <c r="B27" s="51">
        <v>1.59</v>
      </c>
      <c r="C27" s="51">
        <v>25.46</v>
      </c>
      <c r="D27" s="51">
        <v>27.02</v>
      </c>
      <c r="E27" s="51">
        <v>4.4000000000000004</v>
      </c>
      <c r="F27" s="51">
        <v>3.28</v>
      </c>
      <c r="G27" s="51">
        <v>49.51</v>
      </c>
      <c r="H27" s="51">
        <v>15.96</v>
      </c>
      <c r="I27" s="51">
        <v>3.61</v>
      </c>
      <c r="J27" s="51">
        <v>1.5</v>
      </c>
      <c r="K27" s="51">
        <v>349.29</v>
      </c>
      <c r="L27" s="51">
        <v>43.81</v>
      </c>
      <c r="M27" s="51">
        <v>59.80</v>
      </c>
      <c r="N27" s="51">
        <v>113</v>
      </c>
      <c r="O27" s="51">
        <v>0</v>
      </c>
      <c r="P27" s="51">
        <v>2.2200000000000002</v>
      </c>
      <c r="Q27" s="51">
        <v>11.33</v>
      </c>
      <c r="R27" s="43"/>
      <c r="S27" s="43"/>
      <c r="T27" s="43"/>
      <c r="U27" s="43"/>
    </row>
    <row r="28" spans="1:21" s="11" customFormat="1" ht="15">
      <c r="A28" s="50" t="s">
        <v>465</v>
      </c>
      <c r="B28" s="51">
        <v>2.39</v>
      </c>
      <c r="C28" s="51">
        <v>23.5</v>
      </c>
      <c r="D28" s="51">
        <v>25.43</v>
      </c>
      <c r="E28" s="51">
        <v>4.88</v>
      </c>
      <c r="F28" s="51">
        <v>2.0499999999999998</v>
      </c>
      <c r="G28" s="51">
        <v>55.07</v>
      </c>
      <c r="H28" s="51">
        <v>15.48</v>
      </c>
      <c r="I28" s="51">
        <v>4.22</v>
      </c>
      <c r="J28" s="51">
        <v>3.74</v>
      </c>
      <c r="K28" s="51">
        <v>51.67</v>
      </c>
      <c r="L28" s="51">
        <v>39.68</v>
      </c>
      <c r="M28" s="51">
        <v>68.78</v>
      </c>
      <c r="N28" s="51">
        <v>97.90</v>
      </c>
      <c r="O28" s="51">
        <v>0</v>
      </c>
      <c r="P28" s="51">
        <v>2.27</v>
      </c>
      <c r="Q28" s="51">
        <v>10.26</v>
      </c>
      <c r="R28" s="43"/>
      <c r="S28" s="43"/>
      <c r="T28" s="43"/>
      <c r="U28" s="43"/>
    </row>
    <row r="29" spans="1:21" s="11" customFormat="1" ht="15">
      <c r="A29" s="50" t="s">
        <v>466</v>
      </c>
      <c r="B29" s="51">
        <v>2.5099999999999998</v>
      </c>
      <c r="C29" s="51">
        <v>24.57</v>
      </c>
      <c r="D29" s="51">
        <v>26.79</v>
      </c>
      <c r="E29" s="51">
        <v>5.66</v>
      </c>
      <c r="F29" s="51">
        <v>2.64</v>
      </c>
      <c r="G29" s="51">
        <v>56.79</v>
      </c>
      <c r="H29" s="51">
        <v>16.46</v>
      </c>
      <c r="I29" s="51">
        <v>4.34</v>
      </c>
      <c r="J29" s="51">
        <v>4.4400000000000004</v>
      </c>
      <c r="K29" s="51">
        <v>49.17</v>
      </c>
      <c r="L29" s="51">
        <v>36.130000000000003</v>
      </c>
      <c r="M29" s="51">
        <v>76.680000000000007</v>
      </c>
      <c r="N29" s="51">
        <v>102.20</v>
      </c>
      <c r="O29" s="51">
        <v>0</v>
      </c>
      <c r="P29" s="51">
        <v>2.3199999999999998</v>
      </c>
      <c r="Q29" s="51">
        <v>10.44</v>
      </c>
      <c r="R29" s="43"/>
      <c r="S29" s="43"/>
      <c r="T29" s="43"/>
      <c r="U29" s="43"/>
    </row>
    <row r="30" spans="1:21" s="11" customFormat="1" ht="15">
      <c r="A30" s="50" t="s">
        <v>467</v>
      </c>
      <c r="B30" s="51">
        <v>3.39</v>
      </c>
      <c r="C30" s="51">
        <v>24.43</v>
      </c>
      <c r="D30" s="51">
        <v>27.82</v>
      </c>
      <c r="E30" s="51">
        <v>5.65</v>
      </c>
      <c r="F30" s="51">
        <v>1.75</v>
      </c>
      <c r="G30" s="51">
        <v>50.63</v>
      </c>
      <c r="H30" s="51">
        <v>18.05</v>
      </c>
      <c r="I30" s="51">
        <v>4.4800000000000004</v>
      </c>
      <c r="J30" s="51">
        <v>3.28</v>
      </c>
      <c r="K30" s="51">
        <v>74.97</v>
      </c>
      <c r="L30" s="51">
        <v>34.83</v>
      </c>
      <c r="M30" s="51">
        <v>75.30</v>
      </c>
      <c r="N30" s="51">
        <v>96.80</v>
      </c>
      <c r="O30" s="51">
        <v>0</v>
      </c>
      <c r="P30" s="51">
        <v>2.36</v>
      </c>
      <c r="Q30" s="51">
        <v>11.99</v>
      </c>
      <c r="R30" s="43"/>
      <c r="S30" s="43"/>
      <c r="T30" s="43"/>
      <c r="U30" s="43"/>
    </row>
    <row r="31" spans="1:21" s="11" customFormat="1" ht="15">
      <c r="A31" s="50" t="s">
        <v>468</v>
      </c>
      <c r="B31" s="51">
        <v>2.52</v>
      </c>
      <c r="C31" s="51">
        <v>23.83</v>
      </c>
      <c r="D31" s="51">
        <v>26.21</v>
      </c>
      <c r="E31" s="51">
        <v>5.96</v>
      </c>
      <c r="F31" s="51">
        <v>2.09</v>
      </c>
      <c r="G31" s="51">
        <v>47.72</v>
      </c>
      <c r="H31" s="51">
        <v>19.53</v>
      </c>
      <c r="I31" s="51">
        <v>4.38</v>
      </c>
      <c r="J31" s="51">
        <v>3.34</v>
      </c>
      <c r="K31" s="51">
        <v>70.17</v>
      </c>
      <c r="L31" s="51">
        <v>34.46</v>
      </c>
      <c r="M31" s="51">
        <v>78.709999999999994</v>
      </c>
      <c r="N31" s="51">
        <v>97.70</v>
      </c>
      <c r="O31" s="51">
        <v>0</v>
      </c>
      <c r="P31" s="51">
        <v>2.37</v>
      </c>
      <c r="Q31" s="51">
        <v>12.43</v>
      </c>
      <c r="R31" s="43"/>
      <c r="S31" s="43"/>
      <c r="T31" s="43"/>
      <c r="U31" s="43"/>
    </row>
    <row r="32" spans="1:21" s="11" customFormat="1" ht="15">
      <c r="A32" s="50" t="s">
        <v>469</v>
      </c>
      <c r="B32" s="51">
        <v>2.52</v>
      </c>
      <c r="C32" s="51">
        <v>22.49</v>
      </c>
      <c r="D32" s="51">
        <v>24.93</v>
      </c>
      <c r="E32" s="51">
        <v>5.89</v>
      </c>
      <c r="F32" s="51">
        <v>1.30</v>
      </c>
      <c r="G32" s="51">
        <v>48.05</v>
      </c>
      <c r="H32" s="51">
        <v>19.95</v>
      </c>
      <c r="I32" s="51">
        <v>4.20</v>
      </c>
      <c r="J32" s="51">
        <v>2.71</v>
      </c>
      <c r="K32" s="51">
        <v>79.819999999999993</v>
      </c>
      <c r="L32" s="51">
        <v>33.43</v>
      </c>
      <c r="M32" s="51">
        <v>78.27</v>
      </c>
      <c r="N32" s="51">
        <v>109.40</v>
      </c>
      <c r="O32" s="51">
        <v>0</v>
      </c>
      <c r="P32" s="51">
        <v>2.36</v>
      </c>
      <c r="Q32" s="51">
        <v>12.20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0.34000000000000002</v>
      </c>
      <c r="C34" s="28">
        <f t="shared" si="0"/>
        <v>15.25</v>
      </c>
      <c r="D34" s="28">
        <f t="shared" si="0"/>
        <v>16.859999999999999</v>
      </c>
      <c r="E34" s="28">
        <f t="shared" si="0"/>
        <v>2.9399999999999999</v>
      </c>
      <c r="F34" s="28">
        <f t="shared" si="0"/>
        <v>0.68999999999999995</v>
      </c>
      <c r="G34" s="28">
        <f t="shared" si="0"/>
        <v>47.719999999999999</v>
      </c>
      <c r="H34" s="28">
        <f t="shared" si="0"/>
        <v>15.48</v>
      </c>
      <c r="I34" s="28">
        <f t="shared" si="0"/>
        <v>2.54</v>
      </c>
      <c r="J34" s="28">
        <f t="shared" si="0"/>
        <v>0.51000000000000001</v>
      </c>
      <c r="K34" s="28">
        <f t="shared" si="0"/>
        <v>49.170000000000002</v>
      </c>
      <c r="L34" s="28">
        <f t="shared" si="0"/>
        <v>33.43</v>
      </c>
      <c r="M34" s="28">
        <f t="shared" si="0"/>
        <v>46.469999999999999</v>
      </c>
      <c r="N34" s="28">
        <f t="shared" si="0"/>
        <v>86.599999999999994</v>
      </c>
      <c r="O34" s="28">
        <f t="shared" si="0"/>
        <v>0</v>
      </c>
      <c r="P34" s="28">
        <f t="shared" si="0"/>
        <v>2</v>
      </c>
      <c r="Q34" s="28">
        <f t="shared" si="0"/>
        <v>9.0099999999999998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3.3999999999999999</v>
      </c>
      <c r="C35" s="29">
        <f t="shared" si="1"/>
        <v>25.460000000000001</v>
      </c>
      <c r="D35" s="29">
        <f t="shared" si="1"/>
        <v>27.82</v>
      </c>
      <c r="E35" s="29">
        <f t="shared" si="1"/>
        <v>7.0599999999999996</v>
      </c>
      <c r="F35" s="29">
        <f t="shared" si="1"/>
        <v>8.6500000000000004</v>
      </c>
      <c r="G35" s="29">
        <f t="shared" si="1"/>
        <v>85.030000000000001</v>
      </c>
      <c r="H35" s="29">
        <f t="shared" si="1"/>
        <v>38.460000000000001</v>
      </c>
      <c r="I35" s="29">
        <f t="shared" si="1"/>
        <v>6.4299999999999997</v>
      </c>
      <c r="J35" s="29">
        <f t="shared" si="1"/>
        <v>4.4400000000000004</v>
      </c>
      <c r="K35" s="29">
        <f t="shared" si="1"/>
        <v>354.13999999999999</v>
      </c>
      <c r="L35" s="29">
        <f t="shared" si="1"/>
        <v>49.420000000000002</v>
      </c>
      <c r="M35" s="29">
        <f t="shared" si="1"/>
        <v>82.189999999999998</v>
      </c>
      <c r="N35" s="29">
        <f t="shared" si="1"/>
        <v>1235.5</v>
      </c>
      <c r="O35" s="29">
        <f t="shared" si="1"/>
        <v>0</v>
      </c>
      <c r="P35" s="29">
        <f t="shared" si="1"/>
        <v>2.7799999999999998</v>
      </c>
      <c r="Q35" s="29">
        <f t="shared" si="1"/>
        <v>19.989999999999998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1.6537500000000003</v>
      </c>
      <c r="C36" s="28">
        <f t="shared" si="2"/>
        <v>20.436666666666664</v>
      </c>
      <c r="D36" s="28">
        <f t="shared" si="2"/>
        <v>21.930000000000003</v>
      </c>
      <c r="E36" s="28">
        <f t="shared" si="2"/>
        <v>5.0029166666666667</v>
      </c>
      <c r="F36" s="28">
        <f t="shared" si="2"/>
        <v>3.6074999999999999</v>
      </c>
      <c r="G36" s="28">
        <f t="shared" si="2"/>
        <v>56.780416666666667</v>
      </c>
      <c r="H36" s="28">
        <f t="shared" si="2"/>
        <v>23.280000000000001</v>
      </c>
      <c r="I36" s="28">
        <f t="shared" si="2"/>
        <v>3.9170833333333328</v>
      </c>
      <c r="J36" s="28">
        <f t="shared" si="2"/>
        <v>1.8191666666666668</v>
      </c>
      <c r="K36" s="28">
        <f t="shared" si="2"/>
        <v>240.34875</v>
      </c>
      <c r="L36" s="28">
        <f t="shared" si="2"/>
        <v>41.020000000000003</v>
      </c>
      <c r="M36" s="28">
        <f t="shared" si="2"/>
        <v>66.537083333333328</v>
      </c>
      <c r="N36" s="28">
        <f t="shared" si="2"/>
        <v>425.4708333333333</v>
      </c>
      <c r="O36" s="28">
        <f t="shared" si="2"/>
        <v>0</v>
      </c>
      <c r="P36" s="28">
        <f t="shared" si="2"/>
        <v>2.2004166666666669</v>
      </c>
      <c r="Q36" s="28">
        <f t="shared" si="2"/>
        <v>12.994166666666667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1.0097387199710113</v>
      </c>
      <c r="C37" s="28">
        <f t="shared" si="3" ref="C37:Q37">STDEV(C9:C32)</f>
        <v>3.1685295817058301</v>
      </c>
      <c r="D37" s="28">
        <f t="shared" si="3"/>
        <v>3.4707172545267122</v>
      </c>
      <c r="E37" s="28">
        <f t="shared" si="3"/>
        <v>1.5250672947851143</v>
      </c>
      <c r="F37" s="28">
        <f t="shared" si="3"/>
        <v>2.6535148961985926</v>
      </c>
      <c r="G37" s="28">
        <f t="shared" si="3"/>
        <v>9.7407822555108545</v>
      </c>
      <c r="H37" s="28">
        <f t="shared" si="3"/>
        <v>6.6724514757060724</v>
      </c>
      <c r="I37" s="28">
        <f t="shared" si="3"/>
        <v>1.0654391997696524</v>
      </c>
      <c r="J37" s="28">
        <f t="shared" si="3"/>
        <v>1.0255726572809545</v>
      </c>
      <c r="K37" s="28">
        <f t="shared" si="3"/>
        <v>106.15716950587939</v>
      </c>
      <c r="L37" s="28">
        <f t="shared" si="3"/>
        <v>4.718784847265546</v>
      </c>
      <c r="M37" s="28">
        <f t="shared" si="3"/>
        <v>11.951214775136878</v>
      </c>
      <c r="N37" s="28">
        <f t="shared" si="3"/>
        <v>389.68790687483857</v>
      </c>
      <c r="O37" s="28">
        <f t="shared" si="3"/>
        <v>0</v>
      </c>
      <c r="P37" s="28">
        <f t="shared" si="3"/>
        <v>0.1993790178369409</v>
      </c>
      <c r="Q37" s="28">
        <f t="shared" si="3"/>
        <v>2.7128469189758975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61a5cf-9e1e-4b1f-9eb3-e2b90af333b7}">
  <sheetPr codeName=""/>
  <dimension ref="A1:U119"/>
  <sheetViews>
    <sheetView workbookViewId="0" topLeftCell="A1">
      <pane xSplit="1" ySplit="8" topLeftCell="B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760</v>
      </c>
      <c r="B9" s="51">
        <v>2.46</v>
      </c>
      <c r="C9" s="51">
        <v>18.73</v>
      </c>
      <c r="D9" s="51">
        <v>21.19</v>
      </c>
      <c r="E9" s="51">
        <v>7.36</v>
      </c>
      <c r="F9" s="51">
        <v>1.29</v>
      </c>
      <c r="G9" s="51">
        <v>45.51</v>
      </c>
      <c r="H9" s="51">
        <v>17.93</v>
      </c>
      <c r="I9" s="51">
        <v>4.13</v>
      </c>
      <c r="J9" s="51">
        <v>2.48</v>
      </c>
      <c r="K9" s="51">
        <v>186.97</v>
      </c>
      <c r="L9" s="51">
        <v>33.58</v>
      </c>
      <c r="M9" s="51">
        <v>77.89</v>
      </c>
      <c r="N9" s="51">
        <v>106.5</v>
      </c>
      <c r="O9" s="51">
        <v>0</v>
      </c>
      <c r="P9" s="51">
        <v>2.29</v>
      </c>
      <c r="Q9" s="51">
        <v>9.89</v>
      </c>
      <c r="R9" s="43"/>
      <c r="S9" s="43"/>
      <c r="T9" s="43"/>
      <c r="U9" s="43"/>
    </row>
    <row r="10" spans="1:21" s="11" customFormat="1" ht="15">
      <c r="A10" s="50" t="s">
        <v>761</v>
      </c>
      <c r="B10" s="51">
        <v>2.15</v>
      </c>
      <c r="C10" s="51">
        <v>16.91</v>
      </c>
      <c r="D10" s="51">
        <v>19.05</v>
      </c>
      <c r="E10" s="51">
        <v>7.76</v>
      </c>
      <c r="F10" s="51">
        <v>1.42</v>
      </c>
      <c r="G10" s="51">
        <v>45.97</v>
      </c>
      <c r="H10" s="51">
        <v>18.75</v>
      </c>
      <c r="I10" s="51">
        <v>4.04</v>
      </c>
      <c r="J10" s="51">
        <v>3.23</v>
      </c>
      <c r="K10" s="51">
        <v>181.10</v>
      </c>
      <c r="L10" s="51">
        <v>33.58</v>
      </c>
      <c r="M10" s="51">
        <v>76.91</v>
      </c>
      <c r="N10" s="51">
        <v>133.19999999999999</v>
      </c>
      <c r="O10" s="51">
        <v>0</v>
      </c>
      <c r="P10" s="51">
        <v>2.2200000000000002</v>
      </c>
      <c r="Q10" s="51">
        <v>10.41</v>
      </c>
      <c r="R10" s="43"/>
      <c r="S10" s="43"/>
      <c r="T10" s="43"/>
      <c r="U10" s="43"/>
    </row>
    <row r="11" spans="1:21" s="11" customFormat="1" ht="15">
      <c r="A11" s="50" t="s">
        <v>762</v>
      </c>
      <c r="B11" s="51">
        <v>0.80</v>
      </c>
      <c r="C11" s="51">
        <v>14.91</v>
      </c>
      <c r="D11" s="51">
        <v>15.72</v>
      </c>
      <c r="E11" s="51">
        <v>7.17</v>
      </c>
      <c r="F11" s="51">
        <v>1.56</v>
      </c>
      <c r="G11" s="51">
        <v>46.95</v>
      </c>
      <c r="H11" s="51">
        <v>13.71</v>
      </c>
      <c r="I11" s="51">
        <v>3.70</v>
      </c>
      <c r="J11" s="51">
        <v>2.94</v>
      </c>
      <c r="K11" s="51">
        <v>181.80</v>
      </c>
      <c r="L11" s="51">
        <v>33.49</v>
      </c>
      <c r="M11" s="51">
        <v>81.44</v>
      </c>
      <c r="N11" s="51">
        <v>129.90</v>
      </c>
      <c r="O11" s="51">
        <v>0</v>
      </c>
      <c r="P11" s="51">
        <v>2.09</v>
      </c>
      <c r="Q11" s="51">
        <v>11.07</v>
      </c>
      <c r="R11" s="43"/>
      <c r="S11" s="43"/>
      <c r="T11" s="43"/>
      <c r="U11" s="43"/>
    </row>
    <row r="12" spans="1:21" s="11" customFormat="1" ht="15">
      <c r="A12" s="50" t="s">
        <v>763</v>
      </c>
      <c r="B12" s="51">
        <v>1.01</v>
      </c>
      <c r="C12" s="51">
        <v>14.95</v>
      </c>
      <c r="D12" s="51">
        <v>15.74</v>
      </c>
      <c r="E12" s="51">
        <v>7.08</v>
      </c>
      <c r="F12" s="51">
        <v>1.77</v>
      </c>
      <c r="G12" s="51">
        <v>33.049999999999997</v>
      </c>
      <c r="H12" s="51">
        <v>13.20</v>
      </c>
      <c r="I12" s="51">
        <v>3.16</v>
      </c>
      <c r="J12" s="51">
        <v>2.5</v>
      </c>
      <c r="K12" s="51">
        <v>204</v>
      </c>
      <c r="L12" s="51">
        <v>33.15</v>
      </c>
      <c r="M12" s="51">
        <v>77.97</v>
      </c>
      <c r="N12" s="51">
        <v>219.10</v>
      </c>
      <c r="O12" s="51">
        <v>0</v>
      </c>
      <c r="P12" s="51">
        <v>2</v>
      </c>
      <c r="Q12" s="51">
        <v>11.12</v>
      </c>
      <c r="R12" s="43"/>
      <c r="S12" s="43"/>
      <c r="T12" s="43"/>
      <c r="U12" s="43"/>
    </row>
    <row r="13" spans="1:21" s="11" customFormat="1" ht="15">
      <c r="A13" s="50" t="s">
        <v>764</v>
      </c>
      <c r="B13" s="51">
        <v>1.06</v>
      </c>
      <c r="C13" s="51">
        <v>15.96</v>
      </c>
      <c r="D13" s="51">
        <v>16.62</v>
      </c>
      <c r="E13" s="51">
        <v>6.90</v>
      </c>
      <c r="F13" s="51">
        <v>2.4700000000000002</v>
      </c>
      <c r="G13" s="51">
        <v>27.08</v>
      </c>
      <c r="H13" s="51">
        <v>12.49</v>
      </c>
      <c r="I13" s="51">
        <v>2.81</v>
      </c>
      <c r="J13" s="51">
        <v>0.80</v>
      </c>
      <c r="K13" s="51">
        <v>228.32</v>
      </c>
      <c r="L13" s="51">
        <v>31.92</v>
      </c>
      <c r="M13" s="51">
        <v>77.97</v>
      </c>
      <c r="N13" s="51">
        <v>206.60</v>
      </c>
      <c r="O13" s="51">
        <v>0</v>
      </c>
      <c r="P13" s="51">
        <v>1.94</v>
      </c>
      <c r="Q13" s="51">
        <v>9.90</v>
      </c>
      <c r="R13" s="43"/>
      <c r="S13" s="43"/>
      <c r="T13" s="43"/>
      <c r="U13" s="43"/>
    </row>
    <row r="14" spans="1:21" s="11" customFormat="1" ht="15">
      <c r="A14" s="50" t="s">
        <v>765</v>
      </c>
      <c r="B14" s="51">
        <v>1.35</v>
      </c>
      <c r="C14" s="51">
        <v>16.510000000000002</v>
      </c>
      <c r="D14" s="51">
        <v>17.87</v>
      </c>
      <c r="E14" s="51">
        <v>6.75</v>
      </c>
      <c r="F14" s="51">
        <v>2.11</v>
      </c>
      <c r="G14" s="51">
        <v>21.26</v>
      </c>
      <c r="H14" s="51">
        <v>9.14</v>
      </c>
      <c r="I14" s="51">
        <v>2.57</v>
      </c>
      <c r="J14" s="51">
        <v>0.80</v>
      </c>
      <c r="K14" s="51">
        <v>338.61</v>
      </c>
      <c r="L14" s="51">
        <v>31.45</v>
      </c>
      <c r="M14" s="51">
        <v>80.75</v>
      </c>
      <c r="N14" s="51">
        <v>232.40</v>
      </c>
      <c r="O14" s="51">
        <v>0</v>
      </c>
      <c r="P14" s="51">
        <v>1.97</v>
      </c>
      <c r="Q14" s="51">
        <v>9.6999999999999993</v>
      </c>
      <c r="R14" s="43"/>
      <c r="S14" s="43"/>
      <c r="T14" s="43"/>
      <c r="U14" s="43"/>
    </row>
    <row r="15" spans="1:21" s="11" customFormat="1" ht="15">
      <c r="A15" s="50" t="s">
        <v>766</v>
      </c>
      <c r="B15" s="51">
        <v>2.36</v>
      </c>
      <c r="C15" s="51">
        <v>18.600000000000001</v>
      </c>
      <c r="D15" s="51">
        <v>20.96</v>
      </c>
      <c r="E15" s="51">
        <v>6.79</v>
      </c>
      <c r="F15" s="51">
        <v>1.27</v>
      </c>
      <c r="G15" s="51">
        <v>24.57</v>
      </c>
      <c r="H15" s="51">
        <v>8.86</v>
      </c>
      <c r="I15" s="51">
        <v>4.3099999999999996</v>
      </c>
      <c r="J15" s="51">
        <v>2.67</v>
      </c>
      <c r="K15" s="51">
        <v>318.72000000000003</v>
      </c>
      <c r="L15" s="51">
        <v>32.020000000000003</v>
      </c>
      <c r="M15" s="51">
        <v>81.89</v>
      </c>
      <c r="N15" s="51">
        <v>302.89999999999998</v>
      </c>
      <c r="O15" s="51">
        <v>0</v>
      </c>
      <c r="P15" s="51">
        <v>2.14</v>
      </c>
      <c r="Q15" s="51">
        <v>11.75</v>
      </c>
      <c r="R15" s="43"/>
      <c r="S15" s="43"/>
      <c r="T15" s="43"/>
      <c r="U15" s="43"/>
    </row>
    <row r="16" spans="1:21" s="11" customFormat="1" ht="15">
      <c r="A16" s="50" t="s">
        <v>767</v>
      </c>
      <c r="B16" s="51">
        <v>1.56</v>
      </c>
      <c r="C16" s="51">
        <v>17.66</v>
      </c>
      <c r="D16" s="51">
        <v>19.22</v>
      </c>
      <c r="E16" s="51">
        <v>6.46</v>
      </c>
      <c r="F16" s="51">
        <v>1.86</v>
      </c>
      <c r="G16" s="51">
        <v>28.15</v>
      </c>
      <c r="H16" s="51">
        <v>10.96</v>
      </c>
      <c r="I16" s="51">
        <v>4.67</v>
      </c>
      <c r="J16" s="51">
        <v>2.66</v>
      </c>
      <c r="K16" s="51">
        <v>207.14</v>
      </c>
      <c r="L16" s="51">
        <v>33.630000000000003</v>
      </c>
      <c r="M16" s="51">
        <v>82.52</v>
      </c>
      <c r="N16" s="51">
        <v>592.20000000000005</v>
      </c>
      <c r="O16" s="51">
        <v>0</v>
      </c>
      <c r="P16" s="51">
        <v>2.09</v>
      </c>
      <c r="Q16" s="51">
        <v>11.64</v>
      </c>
      <c r="R16" s="43"/>
      <c r="S16" s="43"/>
      <c r="T16" s="43"/>
      <c r="U16" s="43"/>
    </row>
    <row r="17" spans="1:21" s="11" customFormat="1" ht="15">
      <c r="A17" s="50" t="s">
        <v>768</v>
      </c>
      <c r="B17" s="51">
        <v>1.73</v>
      </c>
      <c r="C17" s="51">
        <v>16.18</v>
      </c>
      <c r="D17" s="51">
        <v>17.89</v>
      </c>
      <c r="E17" s="51">
        <v>5.88</v>
      </c>
      <c r="F17" s="51">
        <v>1.83</v>
      </c>
      <c r="G17" s="51">
        <v>29.69</v>
      </c>
      <c r="H17" s="51">
        <v>12.44</v>
      </c>
      <c r="I17" s="51">
        <v>4.0999999999999996</v>
      </c>
      <c r="J17" s="51">
        <v>1.81</v>
      </c>
      <c r="K17" s="51">
        <v>324.74</v>
      </c>
      <c r="L17" s="51">
        <v>36.47</v>
      </c>
      <c r="M17" s="51">
        <v>72.92</v>
      </c>
      <c r="N17" s="51">
        <v>782.60</v>
      </c>
      <c r="O17" s="51">
        <v>0</v>
      </c>
      <c r="P17" s="51">
        <v>2.04</v>
      </c>
      <c r="Q17" s="51">
        <v>11.36</v>
      </c>
      <c r="R17" s="43"/>
      <c r="S17" s="43"/>
      <c r="T17" s="43"/>
      <c r="U17" s="43"/>
    </row>
    <row r="18" spans="1:21" s="11" customFormat="1" ht="15">
      <c r="A18" s="50" t="s">
        <v>769</v>
      </c>
      <c r="B18" s="51">
        <v>1.97</v>
      </c>
      <c r="C18" s="51">
        <v>17.68</v>
      </c>
      <c r="D18" s="51">
        <v>18.920000000000002</v>
      </c>
      <c r="E18" s="51">
        <v>5.79</v>
      </c>
      <c r="F18" s="51">
        <v>2.73</v>
      </c>
      <c r="G18" s="51">
        <v>30.37</v>
      </c>
      <c r="H18" s="51">
        <v>11.26</v>
      </c>
      <c r="I18" s="51">
        <v>3.83</v>
      </c>
      <c r="J18" s="51">
        <v>1.80</v>
      </c>
      <c r="K18" s="51">
        <v>324.74</v>
      </c>
      <c r="L18" s="51">
        <v>39.299999999999997</v>
      </c>
      <c r="M18" s="51">
        <v>62.74</v>
      </c>
      <c r="N18" s="51">
        <v>1152.4000000000001</v>
      </c>
      <c r="O18" s="51">
        <v>0</v>
      </c>
      <c r="P18" s="51">
        <v>2.0499999999999998</v>
      </c>
      <c r="Q18" s="51">
        <v>9.83</v>
      </c>
      <c r="R18" s="43"/>
      <c r="S18" s="43"/>
      <c r="T18" s="43"/>
      <c r="U18" s="43"/>
    </row>
    <row r="19" spans="1:21" s="11" customFormat="1" ht="15">
      <c r="A19" s="50" t="s">
        <v>770</v>
      </c>
      <c r="B19" s="51">
        <v>0.62</v>
      </c>
      <c r="C19" s="51">
        <v>17.36</v>
      </c>
      <c r="D19" s="51">
        <v>17.98</v>
      </c>
      <c r="E19" s="51">
        <v>5.71</v>
      </c>
      <c r="F19" s="51">
        <v>4.22</v>
      </c>
      <c r="G19" s="51">
        <v>41.33</v>
      </c>
      <c r="H19" s="51">
        <v>13.09</v>
      </c>
      <c r="I19" s="51">
        <v>3.74</v>
      </c>
      <c r="J19" s="51">
        <v>2.15</v>
      </c>
      <c r="K19" s="51">
        <v>221.21</v>
      </c>
      <c r="L19" s="51">
        <v>40.35</v>
      </c>
      <c r="M19" s="51">
        <v>57.56</v>
      </c>
      <c r="N19" s="51">
        <v>1099.0999999999999</v>
      </c>
      <c r="O19" s="51">
        <v>0</v>
      </c>
      <c r="P19" s="51">
        <v>2.0299999999999998</v>
      </c>
      <c r="Q19" s="51">
        <v>10.70</v>
      </c>
      <c r="R19" s="43"/>
      <c r="S19" s="43"/>
      <c r="T19" s="43"/>
      <c r="U19" s="43"/>
    </row>
    <row r="20" spans="1:21" s="11" customFormat="1" ht="15">
      <c r="A20" s="50" t="s">
        <v>771</v>
      </c>
      <c r="B20" s="51">
        <v>0.42</v>
      </c>
      <c r="C20" s="51">
        <v>15.49</v>
      </c>
      <c r="D20" s="51">
        <v>15.90</v>
      </c>
      <c r="E20" s="51">
        <v>4.29</v>
      </c>
      <c r="F20" s="51">
        <v>5.73</v>
      </c>
      <c r="G20" s="51">
        <v>47.71</v>
      </c>
      <c r="H20" s="51">
        <v>15</v>
      </c>
      <c r="I20" s="51">
        <v>3.14</v>
      </c>
      <c r="J20" s="51">
        <v>2.71</v>
      </c>
      <c r="K20" s="51">
        <v>223.69</v>
      </c>
      <c r="L20" s="51">
        <v>43.28</v>
      </c>
      <c r="M20" s="51">
        <v>54.64</v>
      </c>
      <c r="N20" s="51">
        <v>1141.9000000000001</v>
      </c>
      <c r="O20" s="51">
        <v>0</v>
      </c>
      <c r="P20" s="51">
        <v>1.99</v>
      </c>
      <c r="Q20" s="51">
        <v>10.31</v>
      </c>
      <c r="R20" s="43"/>
      <c r="S20" s="43"/>
      <c r="T20" s="43"/>
      <c r="U20" s="43"/>
    </row>
    <row r="21" spans="1:21" s="11" customFormat="1" ht="15">
      <c r="A21" s="50" t="s">
        <v>772</v>
      </c>
      <c r="B21" s="51">
        <v>0.61</v>
      </c>
      <c r="C21" s="51">
        <v>18.43</v>
      </c>
      <c r="D21" s="51">
        <v>19.04</v>
      </c>
      <c r="E21" s="51">
        <v>3.27</v>
      </c>
      <c r="F21" s="51">
        <v>5.28</v>
      </c>
      <c r="G21" s="51">
        <v>49.36</v>
      </c>
      <c r="H21" s="51">
        <v>16.02</v>
      </c>
      <c r="I21" s="51">
        <v>2.56</v>
      </c>
      <c r="J21" s="51">
        <v>0.99</v>
      </c>
      <c r="K21" s="51">
        <v>264.01</v>
      </c>
      <c r="L21" s="51">
        <v>44.40</v>
      </c>
      <c r="M21" s="51">
        <v>53.5</v>
      </c>
      <c r="N21" s="51">
        <v>1021.20</v>
      </c>
      <c r="O21" s="51">
        <v>0</v>
      </c>
      <c r="P21" s="51">
        <v>2.0099999999999998</v>
      </c>
      <c r="Q21" s="51">
        <v>10.11</v>
      </c>
      <c r="R21" s="43"/>
      <c r="S21" s="43"/>
      <c r="T21" s="43"/>
      <c r="U21" s="43"/>
    </row>
    <row r="22" spans="1:21" s="11" customFormat="1" ht="15">
      <c r="A22" s="50" t="s">
        <v>773</v>
      </c>
      <c r="B22" s="51">
        <v>0.46</v>
      </c>
      <c r="C22" s="51">
        <v>18.350000000000001</v>
      </c>
      <c r="D22" s="51">
        <v>18.73</v>
      </c>
      <c r="E22" s="51">
        <v>2.92</v>
      </c>
      <c r="F22" s="51">
        <v>7.40</v>
      </c>
      <c r="G22" s="51">
        <v>51.07</v>
      </c>
      <c r="H22" s="51">
        <v>16.82</v>
      </c>
      <c r="I22" s="51">
        <v>2.52</v>
      </c>
      <c r="J22" s="51">
        <v>2.54</v>
      </c>
      <c r="K22" s="51">
        <v>338.76</v>
      </c>
      <c r="L22" s="51">
        <v>44.43</v>
      </c>
      <c r="M22" s="51">
        <v>51.52</v>
      </c>
      <c r="N22" s="51">
        <v>887.90</v>
      </c>
      <c r="O22" s="51">
        <v>0</v>
      </c>
      <c r="P22" s="51">
        <v>2.0099999999999998</v>
      </c>
      <c r="Q22" s="51">
        <v>11.43</v>
      </c>
      <c r="R22" s="43"/>
      <c r="S22" s="43"/>
      <c r="T22" s="43"/>
      <c r="U22" s="43"/>
    </row>
    <row r="23" spans="1:21" s="11" customFormat="1" ht="15">
      <c r="A23" s="50" t="s">
        <v>774</v>
      </c>
      <c r="B23" s="51">
        <v>2.17</v>
      </c>
      <c r="C23" s="51">
        <v>18.43</v>
      </c>
      <c r="D23" s="51">
        <v>20.43</v>
      </c>
      <c r="E23" s="51">
        <v>3.39</v>
      </c>
      <c r="F23" s="51">
        <v>6.61</v>
      </c>
      <c r="G23" s="51">
        <v>69.63</v>
      </c>
      <c r="H23" s="51">
        <v>18.21</v>
      </c>
      <c r="I23" s="51">
        <v>2.3199999999999998</v>
      </c>
      <c r="J23" s="51">
        <v>5.53</v>
      </c>
      <c r="K23" s="51">
        <v>324.24</v>
      </c>
      <c r="L23" s="51">
        <v>39.090000000000003</v>
      </c>
      <c r="M23" s="51">
        <v>74.400000000000006</v>
      </c>
      <c r="N23" s="51">
        <v>211</v>
      </c>
      <c r="O23" s="51">
        <v>0</v>
      </c>
      <c r="P23" s="51">
        <v>2</v>
      </c>
      <c r="Q23" s="51">
        <v>32.78</v>
      </c>
      <c r="R23" s="43"/>
      <c r="S23" s="43"/>
      <c r="T23" s="43"/>
      <c r="U23" s="43"/>
    </row>
    <row r="24" spans="1:21" s="11" customFormat="1" ht="15">
      <c r="A24" s="50" t="s">
        <v>775</v>
      </c>
      <c r="B24" s="51">
        <v>5.34</v>
      </c>
      <c r="C24" s="51">
        <v>21.41</v>
      </c>
      <c r="D24" s="51">
        <v>26.75</v>
      </c>
      <c r="E24" s="51">
        <v>3.72</v>
      </c>
      <c r="F24" s="51">
        <v>2.29</v>
      </c>
      <c r="G24" s="51">
        <v>74.34</v>
      </c>
      <c r="H24" s="51">
        <v>14.12</v>
      </c>
      <c r="I24" s="51">
        <v>2.92</v>
      </c>
      <c r="J24" s="51">
        <v>3.70</v>
      </c>
      <c r="K24" s="51">
        <v>352.55</v>
      </c>
      <c r="L24" s="51">
        <v>34.89</v>
      </c>
      <c r="M24" s="51">
        <v>69.91</v>
      </c>
      <c r="N24" s="51">
        <v>124</v>
      </c>
      <c r="O24" s="51">
        <v>0</v>
      </c>
      <c r="P24" s="51">
        <v>2.13</v>
      </c>
      <c r="Q24" s="51">
        <v>52.23</v>
      </c>
      <c r="R24" s="43"/>
      <c r="S24" s="43"/>
      <c r="T24" s="43"/>
      <c r="U24" s="43"/>
    </row>
    <row r="25" spans="1:21" s="11" customFormat="1" ht="15">
      <c r="A25" s="50" t="s">
        <v>776</v>
      </c>
      <c r="B25" s="51">
        <v>10.210000000000001</v>
      </c>
      <c r="C25" s="51">
        <v>31.37</v>
      </c>
      <c r="D25" s="51">
        <v>41.58</v>
      </c>
      <c r="E25" s="51">
        <v>4.46</v>
      </c>
      <c r="F25" s="51">
        <v>0.89</v>
      </c>
      <c r="G25" s="51">
        <v>67.84</v>
      </c>
      <c r="H25" s="51">
        <v>14.87</v>
      </c>
      <c r="I25" s="51">
        <v>3.78</v>
      </c>
      <c r="J25" s="51">
        <v>2.94</v>
      </c>
      <c r="K25" s="51">
        <v>356.24</v>
      </c>
      <c r="L25" s="51">
        <v>35.36</v>
      </c>
      <c r="M25" s="51">
        <v>67.31</v>
      </c>
      <c r="N25" s="51">
        <v>117</v>
      </c>
      <c r="O25" s="51">
        <v>0</v>
      </c>
      <c r="P25" s="51">
        <v>2.4500000000000002</v>
      </c>
      <c r="Q25" s="51">
        <v>62.30</v>
      </c>
      <c r="R25" s="43"/>
      <c r="S25" s="43"/>
      <c r="T25" s="43"/>
      <c r="U25" s="43"/>
    </row>
    <row r="26" spans="1:21" s="11" customFormat="1" ht="15">
      <c r="A26" s="50" t="s">
        <v>777</v>
      </c>
      <c r="B26" s="51">
        <v>12.73</v>
      </c>
      <c r="C26" s="51">
        <v>32.31</v>
      </c>
      <c r="D26" s="51">
        <v>43.95</v>
      </c>
      <c r="E26" s="51">
        <v>5.38</v>
      </c>
      <c r="F26" s="51">
        <v>0.76</v>
      </c>
      <c r="G26" s="51">
        <v>85.99</v>
      </c>
      <c r="H26" s="51">
        <v>21.14</v>
      </c>
      <c r="I26" s="51">
        <v>5.33</v>
      </c>
      <c r="J26" s="51">
        <v>2.77</v>
      </c>
      <c r="K26" s="51">
        <v>77.23</v>
      </c>
      <c r="L26" s="51">
        <v>35.31</v>
      </c>
      <c r="M26" s="51">
        <v>71.5</v>
      </c>
      <c r="N26" s="51">
        <v>111.90</v>
      </c>
      <c r="O26" s="51">
        <v>0</v>
      </c>
      <c r="P26" s="51">
        <v>2.56</v>
      </c>
      <c r="Q26" s="51">
        <v>62.28</v>
      </c>
      <c r="R26" s="43"/>
      <c r="S26" s="43"/>
      <c r="T26" s="43"/>
      <c r="U26" s="43"/>
    </row>
    <row r="27" spans="1:21" s="11" customFormat="1" ht="15">
      <c r="A27" s="50" t="s">
        <v>778</v>
      </c>
      <c r="B27" s="51">
        <v>12.11</v>
      </c>
      <c r="C27" s="51">
        <v>25.07</v>
      </c>
      <c r="D27" s="51">
        <v>37.19</v>
      </c>
      <c r="E27" s="51">
        <v>7</v>
      </c>
      <c r="F27" s="51">
        <v>0.77</v>
      </c>
      <c r="G27" s="51">
        <v>98.23</v>
      </c>
      <c r="H27" s="51">
        <v>28.07</v>
      </c>
      <c r="I27" s="51">
        <v>5.53</v>
      </c>
      <c r="J27" s="51">
        <v>3.44</v>
      </c>
      <c r="K27" s="51">
        <v>102.57</v>
      </c>
      <c r="L27" s="51">
        <v>33.69</v>
      </c>
      <c r="M27" s="51">
        <v>76.56</v>
      </c>
      <c r="N27" s="51">
        <v>101.60</v>
      </c>
      <c r="O27" s="51">
        <v>0</v>
      </c>
      <c r="P27" s="51">
        <v>2.5499999999999998</v>
      </c>
      <c r="Q27" s="51">
        <v>51.74</v>
      </c>
      <c r="R27" s="43"/>
      <c r="S27" s="43"/>
      <c r="T27" s="43"/>
      <c r="U27" s="43"/>
    </row>
    <row r="28" spans="1:21" s="11" customFormat="1" ht="15">
      <c r="A28" s="50" t="s">
        <v>779</v>
      </c>
      <c r="B28" s="51">
        <v>7.67</v>
      </c>
      <c r="C28" s="51">
        <v>22.23</v>
      </c>
      <c r="D28" s="51">
        <v>29.90</v>
      </c>
      <c r="E28" s="51">
        <v>6.58</v>
      </c>
      <c r="F28" s="51">
        <v>0.93</v>
      </c>
      <c r="G28" s="51">
        <v>95.83</v>
      </c>
      <c r="H28" s="51">
        <v>29.12</v>
      </c>
      <c r="I28" s="51">
        <v>5.43</v>
      </c>
      <c r="J28" s="51">
        <v>3.47</v>
      </c>
      <c r="K28" s="51">
        <v>99.73</v>
      </c>
      <c r="L28" s="51">
        <v>33.29</v>
      </c>
      <c r="M28" s="51">
        <v>75.03</v>
      </c>
      <c r="N28" s="51">
        <v>102.10</v>
      </c>
      <c r="O28" s="51">
        <v>0</v>
      </c>
      <c r="P28" s="51">
        <v>2.4500000000000002</v>
      </c>
      <c r="Q28" s="51">
        <v>40.04</v>
      </c>
      <c r="R28" s="43"/>
      <c r="S28" s="43"/>
      <c r="T28" s="43"/>
      <c r="U28" s="43"/>
    </row>
    <row r="29" spans="1:21" s="11" customFormat="1" ht="15">
      <c r="A29" s="50" t="s">
        <v>780</v>
      </c>
      <c r="B29" s="51">
        <v>2.79</v>
      </c>
      <c r="C29" s="51">
        <v>21.02</v>
      </c>
      <c r="D29" s="51">
        <v>23.81</v>
      </c>
      <c r="E29" s="51">
        <v>5.16</v>
      </c>
      <c r="F29" s="51">
        <v>1.38</v>
      </c>
      <c r="G29" s="51">
        <v>76.569999999999993</v>
      </c>
      <c r="H29" s="51">
        <v>25.96</v>
      </c>
      <c r="I29" s="51">
        <v>4.6900000000000004</v>
      </c>
      <c r="J29" s="51">
        <v>3.67</v>
      </c>
      <c r="K29" s="51">
        <v>95.17</v>
      </c>
      <c r="L29" s="51">
        <v>34.85</v>
      </c>
      <c r="M29" s="51">
        <v>75.44</v>
      </c>
      <c r="N29" s="51">
        <v>109.60</v>
      </c>
      <c r="O29" s="51">
        <v>0</v>
      </c>
      <c r="P29" s="51">
        <v>2.2799999999999998</v>
      </c>
      <c r="Q29" s="51">
        <v>31.73</v>
      </c>
      <c r="R29" s="43"/>
      <c r="S29" s="43"/>
      <c r="T29" s="43"/>
      <c r="U29" s="43"/>
    </row>
    <row r="30" spans="1:21" s="11" customFormat="1" ht="15">
      <c r="A30" s="50" t="s">
        <v>781</v>
      </c>
      <c r="B30" s="51">
        <v>1.88</v>
      </c>
      <c r="C30" s="51">
        <v>19.11</v>
      </c>
      <c r="D30" s="51">
        <v>20.69</v>
      </c>
      <c r="E30" s="51">
        <v>5.43</v>
      </c>
      <c r="F30" s="51">
        <v>1.21</v>
      </c>
      <c r="G30" s="51">
        <v>69.73</v>
      </c>
      <c r="H30" s="51">
        <v>18.66</v>
      </c>
      <c r="I30" s="51">
        <v>4.12</v>
      </c>
      <c r="J30" s="51">
        <v>3.14</v>
      </c>
      <c r="K30" s="51">
        <v>93.73</v>
      </c>
      <c r="L30" s="51">
        <v>35.229999999999997</v>
      </c>
      <c r="M30" s="51">
        <v>74.13</v>
      </c>
      <c r="N30" s="51">
        <v>101.70</v>
      </c>
      <c r="O30" s="51">
        <v>0</v>
      </c>
      <c r="P30" s="51">
        <v>2.17</v>
      </c>
      <c r="Q30" s="51">
        <v>24.80</v>
      </c>
      <c r="R30" s="43"/>
      <c r="S30" s="43"/>
      <c r="T30" s="43"/>
      <c r="U30" s="43"/>
    </row>
    <row r="31" spans="1:21" s="11" customFormat="1" ht="15">
      <c r="A31" s="50" t="s">
        <v>782</v>
      </c>
      <c r="B31" s="51">
        <v>2.31</v>
      </c>
      <c r="C31" s="51">
        <v>16.940000000000001</v>
      </c>
      <c r="D31" s="51">
        <v>19.02</v>
      </c>
      <c r="E31" s="51">
        <v>6.16</v>
      </c>
      <c r="F31" s="51">
        <v>0.83</v>
      </c>
      <c r="G31" s="51">
        <v>56.38</v>
      </c>
      <c r="H31" s="51">
        <v>16.79</v>
      </c>
      <c r="I31" s="51">
        <v>3.83</v>
      </c>
      <c r="J31" s="51">
        <v>2.44</v>
      </c>
      <c r="K31" s="51">
        <v>168.21</v>
      </c>
      <c r="L31" s="51">
        <v>35.44</v>
      </c>
      <c r="M31" s="51">
        <v>73.89</v>
      </c>
      <c r="N31" s="51">
        <v>98.30</v>
      </c>
      <c r="O31" s="51">
        <v>0</v>
      </c>
      <c r="P31" s="51">
        <v>2.11</v>
      </c>
      <c r="Q31" s="51">
        <v>19.5</v>
      </c>
      <c r="R31" s="43"/>
      <c r="S31" s="43"/>
      <c r="T31" s="43"/>
      <c r="U31" s="43"/>
    </row>
    <row r="32" spans="1:21" s="11" customFormat="1" ht="15">
      <c r="A32" s="50" t="s">
        <v>783</v>
      </c>
      <c r="B32" s="51">
        <v>2.4500000000000002</v>
      </c>
      <c r="C32" s="51">
        <v>17.36</v>
      </c>
      <c r="D32" s="51">
        <v>19.809999999999999</v>
      </c>
      <c r="E32" s="51">
        <v>6.29</v>
      </c>
      <c r="F32" s="51">
        <v>1.01</v>
      </c>
      <c r="G32" s="51">
        <v>38.81</v>
      </c>
      <c r="H32" s="51">
        <v>16.03</v>
      </c>
      <c r="I32" s="51">
        <v>3.73</v>
      </c>
      <c r="J32" s="51">
        <v>2.82</v>
      </c>
      <c r="K32" s="51">
        <v>180.05</v>
      </c>
      <c r="L32" s="51">
        <v>35.28</v>
      </c>
      <c r="M32" s="51">
        <v>78.16</v>
      </c>
      <c r="N32" s="51">
        <v>116.90</v>
      </c>
      <c r="O32" s="51">
        <v>0</v>
      </c>
      <c r="P32" s="51">
        <v>2.08</v>
      </c>
      <c r="Q32" s="51">
        <v>18.07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0.41999999999999998</v>
      </c>
      <c r="C34" s="28">
        <f t="shared" si="0"/>
        <v>14.91</v>
      </c>
      <c r="D34" s="28">
        <f t="shared" si="0"/>
        <v>15.720000000000001</v>
      </c>
      <c r="E34" s="28">
        <f t="shared" si="0"/>
        <v>2.9199999999999999</v>
      </c>
      <c r="F34" s="28">
        <f t="shared" si="0"/>
        <v>0.76000000000000001</v>
      </c>
      <c r="G34" s="28">
        <f t="shared" si="0"/>
        <v>21.260000000000002</v>
      </c>
      <c r="H34" s="28">
        <f t="shared" si="0"/>
        <v>8.8599999999999994</v>
      </c>
      <c r="I34" s="28">
        <f t="shared" si="0"/>
        <v>2.3199999999999998</v>
      </c>
      <c r="J34" s="28">
        <f t="shared" si="0"/>
        <v>0.80000000000000004</v>
      </c>
      <c r="K34" s="28">
        <f t="shared" si="0"/>
        <v>77.230000000000004</v>
      </c>
      <c r="L34" s="28">
        <f t="shared" si="0"/>
        <v>31.449999999999999</v>
      </c>
      <c r="M34" s="28">
        <f t="shared" si="0"/>
        <v>51.520000000000003</v>
      </c>
      <c r="N34" s="28">
        <f t="shared" si="0"/>
        <v>98.299999999999997</v>
      </c>
      <c r="O34" s="28">
        <f t="shared" si="0"/>
        <v>0</v>
      </c>
      <c r="P34" s="28">
        <f t="shared" si="0"/>
        <v>1.9399999999999999</v>
      </c>
      <c r="Q34" s="28">
        <f t="shared" si="0"/>
        <v>9.6999999999999993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12.73</v>
      </c>
      <c r="C35" s="29">
        <f t="shared" si="1"/>
        <v>32.310000000000002</v>
      </c>
      <c r="D35" s="29">
        <f t="shared" si="1"/>
        <v>43.950000000000003</v>
      </c>
      <c r="E35" s="29">
        <f t="shared" si="1"/>
        <v>7.7599999999999998</v>
      </c>
      <c r="F35" s="29">
        <f t="shared" si="1"/>
        <v>7.4000000000000004</v>
      </c>
      <c r="G35" s="29">
        <f t="shared" si="1"/>
        <v>98.230000000000004</v>
      </c>
      <c r="H35" s="29">
        <f t="shared" si="1"/>
        <v>29.120000000000001</v>
      </c>
      <c r="I35" s="29">
        <f t="shared" si="1"/>
        <v>5.5300000000000002</v>
      </c>
      <c r="J35" s="29">
        <f t="shared" si="1"/>
        <v>5.5300000000000002</v>
      </c>
      <c r="K35" s="29">
        <f t="shared" si="1"/>
        <v>356.24000000000001</v>
      </c>
      <c r="L35" s="29">
        <f t="shared" si="1"/>
        <v>44.43</v>
      </c>
      <c r="M35" s="29">
        <f t="shared" si="1"/>
        <v>82.519999999999996</v>
      </c>
      <c r="N35" s="29">
        <f t="shared" si="1"/>
        <v>1152.4000000000001</v>
      </c>
      <c r="O35" s="29">
        <f t="shared" si="1"/>
        <v>0</v>
      </c>
      <c r="P35" s="29">
        <f t="shared" si="1"/>
        <v>2.5600000000000001</v>
      </c>
      <c r="Q35" s="29">
        <f t="shared" si="1"/>
        <v>62.299999999999997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3.2591666666666672</v>
      </c>
      <c r="C36" s="28">
        <f t="shared" si="2"/>
        <v>19.290416666666669</v>
      </c>
      <c r="D36" s="28">
        <f t="shared" si="2"/>
        <v>22.414999999999996</v>
      </c>
      <c r="E36" s="28">
        <f t="shared" si="2"/>
        <v>5.737499999999998</v>
      </c>
      <c r="F36" s="28">
        <f t="shared" si="2"/>
        <v>2.4008333333333334</v>
      </c>
      <c r="G36" s="28">
        <f t="shared" si="2"/>
        <v>52.30916666666667</v>
      </c>
      <c r="H36" s="28">
        <f t="shared" si="2"/>
        <v>16.359999999999999</v>
      </c>
      <c r="I36" s="28">
        <f t="shared" si="2"/>
        <v>3.7900000000000005</v>
      </c>
      <c r="J36" s="28">
        <f t="shared" si="2"/>
        <v>2.6666666666666665</v>
      </c>
      <c r="K36" s="28">
        <f t="shared" si="2"/>
        <v>224.73041666666663</v>
      </c>
      <c r="L36" s="28">
        <f t="shared" si="2"/>
        <v>35.978333333333332</v>
      </c>
      <c r="M36" s="28">
        <f t="shared" si="2"/>
        <v>71.939583333333346</v>
      </c>
      <c r="N36" s="28">
        <f t="shared" si="2"/>
        <v>383.41666666666657</v>
      </c>
      <c r="O36" s="28">
        <f t="shared" si="2"/>
        <v>0</v>
      </c>
      <c r="P36" s="28">
        <f t="shared" si="2"/>
        <v>2.1520833333333336</v>
      </c>
      <c r="Q36" s="28">
        <f t="shared" si="2"/>
        <v>22.695416666666674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3.635748731771725</v>
      </c>
      <c r="C37" s="28">
        <f t="shared" si="3" ref="C37:Q37">STDEV(C9:C32)</f>
        <v>4.53491812798599</v>
      </c>
      <c r="D37" s="28">
        <f t="shared" si="3"/>
        <v>7.9122552163524</v>
      </c>
      <c r="E37" s="28">
        <f t="shared" si="3"/>
        <v>1.4031958864150778</v>
      </c>
      <c r="F37" s="28">
        <f t="shared" si="3"/>
        <v>1.9500187661675972</v>
      </c>
      <c r="G37" s="28">
        <f t="shared" si="3"/>
        <v>22.688104701088104</v>
      </c>
      <c r="H37" s="28">
        <f t="shared" si="3"/>
        <v>5.3695623657799141</v>
      </c>
      <c r="I37" s="28">
        <f t="shared" si="3"/>
        <v>0.92445048307206357</v>
      </c>
      <c r="J37" s="28">
        <f t="shared" si="3"/>
        <v>1.0194954705601948</v>
      </c>
      <c r="K37" s="28">
        <f t="shared" si="3"/>
        <v>92.611251334445882</v>
      </c>
      <c r="L37" s="28">
        <f t="shared" si="3"/>
        <v>3.8260010530541058</v>
      </c>
      <c r="M37" s="28">
        <f t="shared" si="3"/>
        <v>9.2842725730205977</v>
      </c>
      <c r="N37" s="28">
        <f t="shared" si="3"/>
        <v>392.37873415170304</v>
      </c>
      <c r="O37" s="28">
        <f t="shared" si="3"/>
        <v>0</v>
      </c>
      <c r="P37" s="28">
        <f t="shared" si="3"/>
        <v>0.18495543920834995</v>
      </c>
      <c r="Q37" s="28">
        <f t="shared" si="3"/>
        <v>17.945343826080112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2ac9ec-ccc4-4bb4-803c-b5b95f4318fd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41" sqref="D4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19-06-2022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470</v>
      </c>
      <c r="B9" s="51" t="s">
        <v>59</v>
      </c>
      <c r="C9" s="51" t="s">
        <v>44</v>
      </c>
      <c r="D9" s="51" t="s">
        <v>45</v>
      </c>
      <c r="E9" s="51" t="s">
        <v>46</v>
      </c>
      <c r="F9" s="51" t="s">
        <v>47</v>
      </c>
      <c r="G9" s="51" t="s">
        <v>48</v>
      </c>
      <c r="H9" s="51" t="s">
        <v>49</v>
      </c>
      <c r="I9" s="51" t="s">
        <v>50</v>
      </c>
      <c r="J9" s="51" t="s">
        <v>51</v>
      </c>
      <c r="K9" s="51" t="s">
        <v>52</v>
      </c>
      <c r="L9" s="51" t="s">
        <v>53</v>
      </c>
      <c r="M9" s="51" t="s">
        <v>471</v>
      </c>
      <c r="N9" s="51" t="s">
        <v>55</v>
      </c>
      <c r="O9" s="51" t="s">
        <v>56</v>
      </c>
      <c r="P9" s="51" t="s">
        <v>57</v>
      </c>
      <c r="Q9" s="51" t="s">
        <v>58</v>
      </c>
      <c r="R9" s="43"/>
      <c r="S9" s="43"/>
      <c r="T9" s="43"/>
      <c r="U9" s="43"/>
    </row>
    <row r="10" spans="1:21" s="11" customFormat="1" ht="15">
      <c r="A10" s="50" t="s">
        <v>472</v>
      </c>
      <c r="B10" s="51">
        <v>1.68</v>
      </c>
      <c r="C10" s="51">
        <v>17.02</v>
      </c>
      <c r="D10" s="51">
        <v>18.30</v>
      </c>
      <c r="E10" s="51">
        <v>6.61</v>
      </c>
      <c r="F10" s="51">
        <v>1.04</v>
      </c>
      <c r="G10" s="51">
        <v>39.44</v>
      </c>
      <c r="H10" s="51">
        <v>15.26</v>
      </c>
      <c r="I10" s="51">
        <v>3.57</v>
      </c>
      <c r="J10" s="51">
        <v>2.46</v>
      </c>
      <c r="K10" s="51">
        <v>321.77999999999997</v>
      </c>
      <c r="L10" s="51">
        <v>35.07</v>
      </c>
      <c r="M10" s="51">
        <v>80.37</v>
      </c>
      <c r="N10" s="51">
        <v>120.20</v>
      </c>
      <c r="O10" s="51">
        <v>0</v>
      </c>
      <c r="P10" s="51">
        <v>2.04</v>
      </c>
      <c r="Q10" s="51">
        <v>18</v>
      </c>
      <c r="R10" s="43"/>
      <c r="S10" s="43"/>
      <c r="T10" s="43"/>
      <c r="U10" s="43"/>
    </row>
    <row r="11" spans="1:21" s="11" customFormat="1" ht="15">
      <c r="A11" s="50" t="s">
        <v>473</v>
      </c>
      <c r="B11" s="51">
        <v>1.39</v>
      </c>
      <c r="C11" s="51">
        <v>17.239999999999998</v>
      </c>
      <c r="D11" s="51">
        <v>18.61</v>
      </c>
      <c r="E11" s="51">
        <v>6.28</v>
      </c>
      <c r="F11" s="51">
        <v>1.64</v>
      </c>
      <c r="G11" s="51">
        <v>40.07</v>
      </c>
      <c r="H11" s="51">
        <v>12.65</v>
      </c>
      <c r="I11" s="51">
        <v>3.59</v>
      </c>
      <c r="J11" s="51">
        <v>3.14</v>
      </c>
      <c r="K11" s="51">
        <v>351.74</v>
      </c>
      <c r="L11" s="51">
        <v>34.799999999999997</v>
      </c>
      <c r="M11" s="51">
        <v>76.290000000000006</v>
      </c>
      <c r="N11" s="51">
        <v>152.69999999999999</v>
      </c>
      <c r="O11" s="51">
        <v>0</v>
      </c>
      <c r="P11" s="51">
        <v>2.0699999999999998</v>
      </c>
      <c r="Q11" s="51">
        <v>17.100000000000001</v>
      </c>
      <c r="R11" s="43"/>
      <c r="S11" s="43"/>
      <c r="T11" s="43"/>
      <c r="U11" s="43"/>
    </row>
    <row r="12" spans="1:21" s="11" customFormat="1" ht="15">
      <c r="A12" s="50" t="s">
        <v>474</v>
      </c>
      <c r="B12" s="51">
        <v>2.23</v>
      </c>
      <c r="C12" s="51">
        <v>14.86</v>
      </c>
      <c r="D12" s="51">
        <v>16.64</v>
      </c>
      <c r="E12" s="51">
        <v>7.42</v>
      </c>
      <c r="F12" s="51">
        <v>0.90</v>
      </c>
      <c r="G12" s="51">
        <v>43.77</v>
      </c>
      <c r="H12" s="51">
        <v>14.27</v>
      </c>
      <c r="I12" s="51">
        <v>3.57</v>
      </c>
      <c r="J12" s="51">
        <v>2.27</v>
      </c>
      <c r="K12" s="51">
        <v>92.78</v>
      </c>
      <c r="L12" s="51">
        <v>34.520000000000003</v>
      </c>
      <c r="M12" s="51">
        <v>77.73</v>
      </c>
      <c r="N12" s="51">
        <v>143.90</v>
      </c>
      <c r="O12" s="51">
        <v>0</v>
      </c>
      <c r="P12" s="51">
        <v>2.0699999999999998</v>
      </c>
      <c r="Q12" s="51">
        <v>14.59</v>
      </c>
      <c r="R12" s="43"/>
      <c r="S12" s="43"/>
      <c r="T12" s="43"/>
      <c r="U12" s="43"/>
    </row>
    <row r="13" spans="1:21" s="11" customFormat="1" ht="15">
      <c r="A13" s="50" t="s">
        <v>475</v>
      </c>
      <c r="B13" s="51">
        <v>3.05</v>
      </c>
      <c r="C13" s="51">
        <v>16.11</v>
      </c>
      <c r="D13" s="51">
        <v>19.16</v>
      </c>
      <c r="E13" s="51">
        <v>8.07</v>
      </c>
      <c r="F13" s="51">
        <v>0.66</v>
      </c>
      <c r="G13" s="51">
        <v>56.93</v>
      </c>
      <c r="H13" s="51">
        <v>18.88</v>
      </c>
      <c r="I13" s="51">
        <v>3.81</v>
      </c>
      <c r="J13" s="51">
        <v>1.83</v>
      </c>
      <c r="K13" s="51">
        <v>280.99</v>
      </c>
      <c r="L13" s="51">
        <v>34.61</v>
      </c>
      <c r="M13" s="51">
        <v>77.459999999999994</v>
      </c>
      <c r="N13" s="51">
        <v>126.80</v>
      </c>
      <c r="O13" s="51">
        <v>0</v>
      </c>
      <c r="P13" s="51">
        <v>2.16</v>
      </c>
      <c r="Q13" s="51">
        <v>13.64</v>
      </c>
      <c r="R13" s="43"/>
      <c r="S13" s="43"/>
      <c r="T13" s="43"/>
      <c r="U13" s="43"/>
    </row>
    <row r="14" spans="1:21" s="11" customFormat="1" ht="15">
      <c r="A14" s="50" t="s">
        <v>476</v>
      </c>
      <c r="B14" s="51">
        <v>3.19</v>
      </c>
      <c r="C14" s="51">
        <v>16.77</v>
      </c>
      <c r="D14" s="51">
        <v>19.96</v>
      </c>
      <c r="E14" s="51">
        <v>7.43</v>
      </c>
      <c r="F14" s="51">
        <v>0.69</v>
      </c>
      <c r="G14" s="51">
        <v>60.57</v>
      </c>
      <c r="H14" s="51">
        <v>21.24</v>
      </c>
      <c r="I14" s="51">
        <v>3.90</v>
      </c>
      <c r="J14" s="51">
        <v>2.44</v>
      </c>
      <c r="K14" s="51">
        <v>209.43</v>
      </c>
      <c r="L14" s="51">
        <v>34.58</v>
      </c>
      <c r="M14" s="51">
        <v>80.489999999999995</v>
      </c>
      <c r="N14" s="51">
        <v>153.19999999999999</v>
      </c>
      <c r="O14" s="51">
        <v>0</v>
      </c>
      <c r="P14" s="51">
        <v>2.2000000000000002</v>
      </c>
      <c r="Q14" s="51">
        <v>16.690000000000001</v>
      </c>
      <c r="R14" s="43"/>
      <c r="S14" s="43"/>
      <c r="T14" s="43"/>
      <c r="U14" s="43"/>
    </row>
    <row r="15" spans="1:21" s="11" customFormat="1" ht="15">
      <c r="A15" s="50" t="s">
        <v>477</v>
      </c>
      <c r="B15" s="51">
        <v>3.47</v>
      </c>
      <c r="C15" s="51">
        <v>16.77</v>
      </c>
      <c r="D15" s="51">
        <v>19.760000000000002</v>
      </c>
      <c r="E15" s="51">
        <v>7.19</v>
      </c>
      <c r="F15" s="51">
        <v>0.36</v>
      </c>
      <c r="G15" s="51">
        <v>57.70</v>
      </c>
      <c r="H15" s="51">
        <v>22.22</v>
      </c>
      <c r="I15" s="51">
        <v>4.05</v>
      </c>
      <c r="J15" s="51">
        <v>1.51</v>
      </c>
      <c r="K15" s="51">
        <v>235.62</v>
      </c>
      <c r="L15" s="51">
        <v>34.229999999999997</v>
      </c>
      <c r="M15" s="51">
        <v>83.55</v>
      </c>
      <c r="N15" s="51">
        <v>207.70</v>
      </c>
      <c r="O15" s="51">
        <v>0</v>
      </c>
      <c r="P15" s="51">
        <v>2.17</v>
      </c>
      <c r="Q15" s="51">
        <v>16.579999999999998</v>
      </c>
      <c r="R15" s="43"/>
      <c r="S15" s="43"/>
      <c r="T15" s="43"/>
      <c r="U15" s="43"/>
    </row>
    <row r="16" spans="1:21" s="11" customFormat="1" ht="15">
      <c r="A16" s="50" t="s">
        <v>478</v>
      </c>
      <c r="B16" s="51">
        <v>5.1100000000000003</v>
      </c>
      <c r="C16" s="51">
        <v>16.73</v>
      </c>
      <c r="D16" s="51">
        <v>21.08</v>
      </c>
      <c r="E16" s="51">
        <v>7.24</v>
      </c>
      <c r="F16" s="51">
        <v>0.56999999999999995</v>
      </c>
      <c r="G16" s="51">
        <v>61.57</v>
      </c>
      <c r="H16" s="51">
        <v>21.07</v>
      </c>
      <c r="I16" s="51">
        <v>5.03</v>
      </c>
      <c r="J16" s="51">
        <v>2.79</v>
      </c>
      <c r="K16" s="51">
        <v>172.94</v>
      </c>
      <c r="L16" s="51">
        <v>36</v>
      </c>
      <c r="M16" s="51">
        <v>81.96</v>
      </c>
      <c r="N16" s="51">
        <v>374.40</v>
      </c>
      <c r="O16" s="51">
        <v>0</v>
      </c>
      <c r="P16" s="51">
        <v>2.23</v>
      </c>
      <c r="Q16" s="51">
        <v>16.059999999999999</v>
      </c>
      <c r="R16" s="43"/>
      <c r="S16" s="43"/>
      <c r="T16" s="43"/>
      <c r="U16" s="43"/>
    </row>
    <row r="17" spans="1:21" s="11" customFormat="1" ht="15">
      <c r="A17" s="50" t="s">
        <v>479</v>
      </c>
      <c r="B17" s="51">
        <v>5.97</v>
      </c>
      <c r="C17" s="51">
        <v>16.59</v>
      </c>
      <c r="D17" s="51">
        <v>22.21</v>
      </c>
      <c r="E17" s="51">
        <v>7.66</v>
      </c>
      <c r="F17" s="51">
        <v>0.61</v>
      </c>
      <c r="G17" s="51">
        <v>64.27</v>
      </c>
      <c r="H17" s="51">
        <v>21.85</v>
      </c>
      <c r="I17" s="51">
        <v>5.68</v>
      </c>
      <c r="J17" s="51">
        <v>3.02</v>
      </c>
      <c r="K17" s="51">
        <v>172.54</v>
      </c>
      <c r="L17" s="51">
        <v>38.909999999999997</v>
      </c>
      <c r="M17" s="51">
        <v>73.59</v>
      </c>
      <c r="N17" s="51">
        <v>631.60</v>
      </c>
      <c r="O17" s="51">
        <v>0</v>
      </c>
      <c r="P17" s="51">
        <v>2.2400000000000002</v>
      </c>
      <c r="Q17" s="51">
        <v>14.19</v>
      </c>
      <c r="R17" s="43"/>
      <c r="S17" s="43"/>
      <c r="T17" s="43"/>
      <c r="U17" s="43"/>
    </row>
    <row r="18" spans="1:21" s="11" customFormat="1" ht="15">
      <c r="A18" s="50" t="s">
        <v>480</v>
      </c>
      <c r="B18" s="51">
        <v>4.45</v>
      </c>
      <c r="C18" s="51">
        <v>18.34</v>
      </c>
      <c r="D18" s="51">
        <v>21.72</v>
      </c>
      <c r="E18" s="51">
        <v>6.16</v>
      </c>
      <c r="F18" s="51">
        <v>2.31</v>
      </c>
      <c r="G18" s="51">
        <v>54.95</v>
      </c>
      <c r="H18" s="51">
        <v>23.75</v>
      </c>
      <c r="I18" s="51">
        <v>5.65</v>
      </c>
      <c r="J18" s="51">
        <v>2.90</v>
      </c>
      <c r="K18" s="51">
        <v>216.47</v>
      </c>
      <c r="L18" s="51">
        <v>40.81</v>
      </c>
      <c r="M18" s="51">
        <v>66.760000000000005</v>
      </c>
      <c r="N18" s="51">
        <v>708.40</v>
      </c>
      <c r="O18" s="51">
        <v>0</v>
      </c>
      <c r="P18" s="51">
        <v>2.2000000000000002</v>
      </c>
      <c r="Q18" s="51">
        <v>13.81</v>
      </c>
      <c r="R18" s="43"/>
      <c r="S18" s="43"/>
      <c r="T18" s="43"/>
      <c r="U18" s="43"/>
    </row>
    <row r="19" spans="1:21" s="11" customFormat="1" ht="15">
      <c r="A19" s="50" t="s">
        <v>481</v>
      </c>
      <c r="B19" s="51">
        <v>0.82</v>
      </c>
      <c r="C19" s="51">
        <v>16.809999999999999</v>
      </c>
      <c r="D19" s="51">
        <v>17.63</v>
      </c>
      <c r="E19" s="51">
        <v>4.96</v>
      </c>
      <c r="F19" s="51">
        <v>2.5</v>
      </c>
      <c r="G19" s="51">
        <v>50.17</v>
      </c>
      <c r="H19" s="51">
        <v>25.85</v>
      </c>
      <c r="I19" s="51">
        <v>4.63</v>
      </c>
      <c r="J19" s="51">
        <v>1.79</v>
      </c>
      <c r="K19" s="51">
        <v>359.08</v>
      </c>
      <c r="L19" s="51">
        <v>40.81</v>
      </c>
      <c r="M19" s="51">
        <v>67.81</v>
      </c>
      <c r="N19" s="51">
        <v>434.5</v>
      </c>
      <c r="O19" s="51">
        <v>0</v>
      </c>
      <c r="P19" s="51">
        <v>2.10</v>
      </c>
      <c r="Q19" s="51">
        <v>13.91</v>
      </c>
      <c r="R19" s="43"/>
      <c r="S19" s="43"/>
      <c r="T19" s="43"/>
      <c r="U19" s="43"/>
    </row>
    <row r="20" spans="1:21" s="11" customFormat="1" ht="15">
      <c r="A20" s="50" t="s">
        <v>482</v>
      </c>
      <c r="B20" s="51">
        <v>1.39</v>
      </c>
      <c r="C20" s="51">
        <v>20.23</v>
      </c>
      <c r="D20" s="51">
        <v>21.62</v>
      </c>
      <c r="E20" s="51">
        <v>3.97</v>
      </c>
      <c r="F20" s="51">
        <v>3.12</v>
      </c>
      <c r="G20" s="51">
        <v>54.77</v>
      </c>
      <c r="H20" s="51">
        <v>23.01</v>
      </c>
      <c r="I20" s="51">
        <v>3.77</v>
      </c>
      <c r="J20" s="51">
        <v>2.23</v>
      </c>
      <c r="K20" s="51">
        <v>348.04</v>
      </c>
      <c r="L20" s="51">
        <v>42.80</v>
      </c>
      <c r="M20" s="51">
        <v>65.22</v>
      </c>
      <c r="N20" s="51">
        <v>582.60</v>
      </c>
      <c r="O20" s="51">
        <v>0</v>
      </c>
      <c r="P20" s="51">
        <v>2.19</v>
      </c>
      <c r="Q20" s="51">
        <v>13.90</v>
      </c>
      <c r="R20" s="43"/>
      <c r="S20" s="43"/>
      <c r="T20" s="43"/>
      <c r="U20" s="43"/>
    </row>
    <row r="21" spans="1:21" s="11" customFormat="1" ht="15">
      <c r="A21" s="50" t="s">
        <v>483</v>
      </c>
      <c r="B21" s="51">
        <v>2.04</v>
      </c>
      <c r="C21" s="51">
        <v>22.66</v>
      </c>
      <c r="D21" s="51">
        <v>24.70</v>
      </c>
      <c r="E21" s="51">
        <v>4.83</v>
      </c>
      <c r="F21" s="51">
        <v>3.15</v>
      </c>
      <c r="G21" s="51">
        <v>56.05</v>
      </c>
      <c r="H21" s="51">
        <v>23.58</v>
      </c>
      <c r="I21" s="51">
        <v>3.99</v>
      </c>
      <c r="J21" s="51">
        <v>6.10</v>
      </c>
      <c r="K21" s="51">
        <v>350.48</v>
      </c>
      <c r="L21" s="51">
        <v>37.90</v>
      </c>
      <c r="M21" s="51">
        <v>99.38</v>
      </c>
      <c r="N21" s="51">
        <v>187.40</v>
      </c>
      <c r="O21" s="51">
        <v>12.20</v>
      </c>
      <c r="P21" s="51">
        <v>2.2400000000000002</v>
      </c>
      <c r="Q21" s="51">
        <v>13.03</v>
      </c>
      <c r="R21" s="43"/>
      <c r="S21" s="43"/>
      <c r="T21" s="43"/>
      <c r="U21" s="43"/>
    </row>
    <row r="22" spans="1:21" s="11" customFormat="1" ht="15">
      <c r="A22" s="50" t="s">
        <v>484</v>
      </c>
      <c r="B22" s="51">
        <v>3.29</v>
      </c>
      <c r="C22" s="51">
        <v>22.5</v>
      </c>
      <c r="D22" s="51">
        <v>25.79</v>
      </c>
      <c r="E22" s="51">
        <v>6.21</v>
      </c>
      <c r="F22" s="51">
        <v>2.0299999999999998</v>
      </c>
      <c r="G22" s="51">
        <v>55.20</v>
      </c>
      <c r="H22" s="51">
        <v>20.69</v>
      </c>
      <c r="I22" s="51">
        <v>3.5</v>
      </c>
      <c r="J22" s="51">
        <v>3.94</v>
      </c>
      <c r="K22" s="51">
        <v>350.12</v>
      </c>
      <c r="L22" s="51">
        <v>30.99</v>
      </c>
      <c r="M22" s="51">
        <v>99.37</v>
      </c>
      <c r="N22" s="51">
        <v>270.80</v>
      </c>
      <c r="O22" s="51">
        <v>0.20</v>
      </c>
      <c r="P22" s="51">
        <v>2.21</v>
      </c>
      <c r="Q22" s="51">
        <v>11.57</v>
      </c>
      <c r="R22" s="43"/>
      <c r="S22" s="43"/>
      <c r="T22" s="43"/>
      <c r="U22" s="43"/>
    </row>
    <row r="23" spans="1:21" s="11" customFormat="1" ht="15">
      <c r="A23" s="50" t="s">
        <v>485</v>
      </c>
      <c r="B23" s="51">
        <v>6.43</v>
      </c>
      <c r="C23" s="51">
        <v>24.88</v>
      </c>
      <c r="D23" s="51">
        <v>31.31</v>
      </c>
      <c r="E23" s="51">
        <v>6.12</v>
      </c>
      <c r="F23" s="51">
        <v>1.05</v>
      </c>
      <c r="G23" s="51">
        <v>45.88</v>
      </c>
      <c r="H23" s="51">
        <v>20.49</v>
      </c>
      <c r="I23" s="51">
        <v>4.12</v>
      </c>
      <c r="J23" s="51">
        <v>3.16</v>
      </c>
      <c r="K23" s="51">
        <v>339.99</v>
      </c>
      <c r="L23" s="51">
        <v>31.74</v>
      </c>
      <c r="M23" s="51">
        <v>99.37</v>
      </c>
      <c r="N23" s="51">
        <v>312.60000000000002</v>
      </c>
      <c r="O23" s="51">
        <v>0.20</v>
      </c>
      <c r="P23" s="51">
        <v>2.34</v>
      </c>
      <c r="Q23" s="51">
        <v>14.69</v>
      </c>
      <c r="R23" s="43"/>
      <c r="S23" s="43"/>
      <c r="T23" s="43"/>
      <c r="U23" s="43"/>
    </row>
    <row r="24" spans="1:21" s="11" customFormat="1" ht="15">
      <c r="A24" s="50" t="s">
        <v>486</v>
      </c>
      <c r="B24" s="51">
        <v>8.27</v>
      </c>
      <c r="C24" s="51">
        <v>26.26</v>
      </c>
      <c r="D24" s="51">
        <v>34.31</v>
      </c>
      <c r="E24" s="51">
        <v>5.92</v>
      </c>
      <c r="F24" s="51">
        <v>0.62</v>
      </c>
      <c r="G24" s="51">
        <v>47.16</v>
      </c>
      <c r="H24" s="51">
        <v>21.78</v>
      </c>
      <c r="I24" s="51">
        <v>4.68</v>
      </c>
      <c r="J24" s="51">
        <v>2.70</v>
      </c>
      <c r="K24" s="51">
        <v>176.91</v>
      </c>
      <c r="L24" s="51">
        <v>32.65</v>
      </c>
      <c r="M24" s="51">
        <v>98.46</v>
      </c>
      <c r="N24" s="51">
        <v>375</v>
      </c>
      <c r="O24" s="51">
        <v>0</v>
      </c>
      <c r="P24" s="51">
        <v>2.38</v>
      </c>
      <c r="Q24" s="51">
        <v>15.94</v>
      </c>
      <c r="R24" s="43"/>
      <c r="S24" s="43"/>
      <c r="T24" s="43"/>
      <c r="U24" s="43"/>
    </row>
    <row r="25" spans="1:21" s="11" customFormat="1" ht="15">
      <c r="A25" s="50" t="s">
        <v>487</v>
      </c>
      <c r="B25" s="51">
        <v>6.21</v>
      </c>
      <c r="C25" s="51">
        <v>25.87</v>
      </c>
      <c r="D25" s="51">
        <v>32.07</v>
      </c>
      <c r="E25" s="51">
        <v>6.37</v>
      </c>
      <c r="F25" s="51">
        <v>1.07</v>
      </c>
      <c r="G25" s="51">
        <v>45.71</v>
      </c>
      <c r="H25" s="51">
        <v>17.940000000000001</v>
      </c>
      <c r="I25" s="51">
        <v>4.62</v>
      </c>
      <c r="J25" s="51">
        <v>2.42</v>
      </c>
      <c r="K25" s="51">
        <v>178.14</v>
      </c>
      <c r="L25" s="51">
        <v>33.46</v>
      </c>
      <c r="M25" s="51">
        <v>87.38</v>
      </c>
      <c r="N25" s="51">
        <v>390.10</v>
      </c>
      <c r="O25" s="51">
        <v>0</v>
      </c>
      <c r="P25" s="51">
        <v>2.33</v>
      </c>
      <c r="Q25" s="51">
        <v>15.43</v>
      </c>
      <c r="R25" s="43"/>
      <c r="S25" s="43"/>
      <c r="T25" s="43"/>
      <c r="U25" s="43"/>
    </row>
    <row r="26" spans="1:21" s="11" customFormat="1" ht="15">
      <c r="A26" s="50" t="s">
        <v>488</v>
      </c>
      <c r="B26" s="51">
        <v>4.7300000000000004</v>
      </c>
      <c r="C26" s="51">
        <v>20.57</v>
      </c>
      <c r="D26" s="51">
        <v>25.30</v>
      </c>
      <c r="E26" s="51">
        <v>8.59</v>
      </c>
      <c r="F26" s="51">
        <v>0.98</v>
      </c>
      <c r="G26" s="51">
        <v>47.33</v>
      </c>
      <c r="H26" s="51">
        <v>18.12</v>
      </c>
      <c r="I26" s="51">
        <v>4.5999999999999996</v>
      </c>
      <c r="J26" s="51">
        <v>2.71</v>
      </c>
      <c r="K26" s="51">
        <v>186.81</v>
      </c>
      <c r="L26" s="51">
        <v>33.619999999999997</v>
      </c>
      <c r="M26" s="51">
        <v>84.88</v>
      </c>
      <c r="N26" s="51">
        <v>373</v>
      </c>
      <c r="O26" s="51">
        <v>0</v>
      </c>
      <c r="P26" s="51">
        <v>2.29</v>
      </c>
      <c r="Q26" s="51">
        <v>11.94</v>
      </c>
      <c r="R26" s="43"/>
      <c r="S26" s="43"/>
      <c r="T26" s="43"/>
      <c r="U26" s="43"/>
    </row>
    <row r="27" spans="1:21" s="11" customFormat="1" ht="15">
      <c r="A27" s="50" t="s">
        <v>489</v>
      </c>
      <c r="B27" s="51">
        <v>3.47</v>
      </c>
      <c r="C27" s="51">
        <v>20.67</v>
      </c>
      <c r="D27" s="51">
        <v>23.24</v>
      </c>
      <c r="E27" s="51">
        <v>8.17</v>
      </c>
      <c r="F27" s="51">
        <v>1.17</v>
      </c>
      <c r="G27" s="51">
        <v>41.71</v>
      </c>
      <c r="H27" s="51">
        <v>18.5</v>
      </c>
      <c r="I27" s="51">
        <v>4.51</v>
      </c>
      <c r="J27" s="51">
        <v>3.17</v>
      </c>
      <c r="K27" s="51">
        <v>194.69</v>
      </c>
      <c r="L27" s="51">
        <v>33.770000000000003</v>
      </c>
      <c r="M27" s="51">
        <v>83.97</v>
      </c>
      <c r="N27" s="51">
        <v>305.20</v>
      </c>
      <c r="O27" s="51">
        <v>0</v>
      </c>
      <c r="P27" s="51">
        <v>2.2599999999999998</v>
      </c>
      <c r="Q27" s="51">
        <v>12.66</v>
      </c>
      <c r="R27" s="43"/>
      <c r="S27" s="43"/>
      <c r="T27" s="43"/>
      <c r="U27" s="43"/>
    </row>
    <row r="28" spans="1:21" s="11" customFormat="1" ht="15">
      <c r="A28" s="50" t="s">
        <v>490</v>
      </c>
      <c r="B28" s="51">
        <v>2.33</v>
      </c>
      <c r="C28" s="51">
        <v>20.88</v>
      </c>
      <c r="D28" s="51">
        <v>23.21</v>
      </c>
      <c r="E28" s="51">
        <v>8.0299999999999994</v>
      </c>
      <c r="F28" s="51">
        <v>1.05</v>
      </c>
      <c r="G28" s="51">
        <v>37.56</v>
      </c>
      <c r="H28" s="51">
        <v>13.95</v>
      </c>
      <c r="I28" s="51">
        <v>4.24</v>
      </c>
      <c r="J28" s="51">
        <v>3.33</v>
      </c>
      <c r="K28" s="51">
        <v>181.40</v>
      </c>
      <c r="L28" s="51">
        <v>33.69</v>
      </c>
      <c r="M28" s="51">
        <v>85.58</v>
      </c>
      <c r="N28" s="51">
        <v>334.10</v>
      </c>
      <c r="O28" s="51">
        <v>0</v>
      </c>
      <c r="P28" s="51">
        <v>2.2000000000000002</v>
      </c>
      <c r="Q28" s="51">
        <v>12.72</v>
      </c>
      <c r="R28" s="43"/>
      <c r="S28" s="43"/>
      <c r="T28" s="43"/>
      <c r="U28" s="43"/>
    </row>
    <row r="29" spans="1:21" s="11" customFormat="1" ht="15">
      <c r="A29" s="50" t="s">
        <v>491</v>
      </c>
      <c r="B29" s="51">
        <v>2.19</v>
      </c>
      <c r="C29" s="51">
        <v>19.59</v>
      </c>
      <c r="D29" s="51">
        <v>21.43</v>
      </c>
      <c r="E29" s="51">
        <v>7.56</v>
      </c>
      <c r="F29" s="51">
        <v>1.1499999999999999</v>
      </c>
      <c r="G29" s="51">
        <v>40.17</v>
      </c>
      <c r="H29" s="51">
        <v>15.81</v>
      </c>
      <c r="I29" s="51">
        <v>3.93</v>
      </c>
      <c r="J29" s="51">
        <v>3.35</v>
      </c>
      <c r="K29" s="51">
        <v>175.02</v>
      </c>
      <c r="L29" s="51">
        <v>33.21</v>
      </c>
      <c r="M29" s="51">
        <v>87.64</v>
      </c>
      <c r="N29" s="51">
        <v>304.70</v>
      </c>
      <c r="O29" s="51">
        <v>0</v>
      </c>
      <c r="P29" s="51">
        <v>2.19</v>
      </c>
      <c r="Q29" s="51">
        <v>12.33</v>
      </c>
      <c r="R29" s="43"/>
      <c r="S29" s="43"/>
      <c r="T29" s="43"/>
      <c r="U29" s="43"/>
    </row>
    <row r="30" spans="1:21" s="11" customFormat="1" ht="15">
      <c r="A30" s="50" t="s">
        <v>492</v>
      </c>
      <c r="B30" s="51">
        <v>3.70</v>
      </c>
      <c r="C30" s="51">
        <v>17.989999999999998</v>
      </c>
      <c r="D30" s="51">
        <v>21.07</v>
      </c>
      <c r="E30" s="51">
        <v>8.16</v>
      </c>
      <c r="F30" s="51">
        <v>0.70</v>
      </c>
      <c r="G30" s="51">
        <v>45.72</v>
      </c>
      <c r="H30" s="51">
        <v>16.68</v>
      </c>
      <c r="I30" s="51">
        <v>4.04</v>
      </c>
      <c r="J30" s="51">
        <v>2.95</v>
      </c>
      <c r="K30" s="51">
        <v>163.07</v>
      </c>
      <c r="L30" s="51">
        <v>32.78</v>
      </c>
      <c r="M30" s="51">
        <v>89.13</v>
      </c>
      <c r="N30" s="51">
        <v>265.5</v>
      </c>
      <c r="O30" s="51">
        <v>0</v>
      </c>
      <c r="P30" s="51">
        <v>2.21</v>
      </c>
      <c r="Q30" s="51">
        <v>10.82</v>
      </c>
      <c r="R30" s="43"/>
      <c r="S30" s="43"/>
      <c r="T30" s="43"/>
      <c r="U30" s="43"/>
    </row>
    <row r="31" spans="1:21" s="11" customFormat="1" ht="15">
      <c r="A31" s="50" t="s">
        <v>493</v>
      </c>
      <c r="B31" s="51">
        <v>5.27</v>
      </c>
      <c r="C31" s="51">
        <v>19.16</v>
      </c>
      <c r="D31" s="51">
        <v>24.43</v>
      </c>
      <c r="E31" s="51">
        <v>8.3000000000000007</v>
      </c>
      <c r="F31" s="51">
        <v>0.65</v>
      </c>
      <c r="G31" s="51">
        <v>47.84</v>
      </c>
      <c r="H31" s="51">
        <v>17.55</v>
      </c>
      <c r="I31" s="51">
        <v>4.26</v>
      </c>
      <c r="J31" s="51">
        <v>3.19</v>
      </c>
      <c r="K31" s="51">
        <v>169.82</v>
      </c>
      <c r="L31" s="51">
        <v>32.81</v>
      </c>
      <c r="M31" s="51">
        <v>90.39</v>
      </c>
      <c r="N31" s="51">
        <v>274.80</v>
      </c>
      <c r="O31" s="51">
        <v>0</v>
      </c>
      <c r="P31" s="51">
        <v>2.23</v>
      </c>
      <c r="Q31" s="51">
        <v>11.89</v>
      </c>
      <c r="R31" s="43"/>
      <c r="S31" s="43"/>
      <c r="T31" s="43"/>
      <c r="U31" s="43"/>
    </row>
    <row r="32" spans="1:21" s="11" customFormat="1" ht="15">
      <c r="A32" s="50" t="s">
        <v>494</v>
      </c>
      <c r="B32" s="51">
        <v>4.95</v>
      </c>
      <c r="C32" s="51">
        <v>19.23</v>
      </c>
      <c r="D32" s="51">
        <v>24.17</v>
      </c>
      <c r="E32" s="51">
        <v>7.63</v>
      </c>
      <c r="F32" s="51">
        <v>0.64</v>
      </c>
      <c r="G32" s="51">
        <v>48.15</v>
      </c>
      <c r="H32" s="51">
        <v>19.32</v>
      </c>
      <c r="I32" s="51">
        <v>4.25</v>
      </c>
      <c r="J32" s="51">
        <v>2.89</v>
      </c>
      <c r="K32" s="51">
        <v>162.15</v>
      </c>
      <c r="L32" s="51">
        <v>32.729999999999997</v>
      </c>
      <c r="M32" s="51">
        <v>91.52</v>
      </c>
      <c r="N32" s="51">
        <v>291.70</v>
      </c>
      <c r="O32" s="51">
        <v>0</v>
      </c>
      <c r="P32" s="51">
        <v>2.21</v>
      </c>
      <c r="Q32" s="51">
        <v>13.09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0.81999999999999995</v>
      </c>
      <c r="C34" s="28">
        <f t="shared" si="0"/>
        <v>14.859999999999999</v>
      </c>
      <c r="D34" s="28">
        <f t="shared" si="0"/>
        <v>16.640000000000001</v>
      </c>
      <c r="E34" s="28">
        <f t="shared" si="0"/>
        <v>3.9700000000000002</v>
      </c>
      <c r="F34" s="28">
        <f t="shared" si="0"/>
        <v>0.35999999999999999</v>
      </c>
      <c r="G34" s="28">
        <f t="shared" si="0"/>
        <v>37.560000000000002</v>
      </c>
      <c r="H34" s="28">
        <f t="shared" si="0"/>
        <v>12.65</v>
      </c>
      <c r="I34" s="28">
        <f t="shared" si="0"/>
        <v>3.5</v>
      </c>
      <c r="J34" s="28">
        <f t="shared" si="0"/>
        <v>1.51</v>
      </c>
      <c r="K34" s="28">
        <f t="shared" si="0"/>
        <v>92.780000000000001</v>
      </c>
      <c r="L34" s="28">
        <f t="shared" si="0"/>
        <v>30.989999999999998</v>
      </c>
      <c r="M34" s="28">
        <f t="shared" si="0"/>
        <v>65.219999999999999</v>
      </c>
      <c r="N34" s="28">
        <f t="shared" si="0"/>
        <v>120.2</v>
      </c>
      <c r="O34" s="28">
        <f t="shared" si="0"/>
        <v>0</v>
      </c>
      <c r="P34" s="28">
        <f t="shared" si="0"/>
        <v>2.04</v>
      </c>
      <c r="Q34" s="28">
        <f t="shared" si="0"/>
        <v>10.82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8.2699999999999996</v>
      </c>
      <c r="C35" s="29">
        <f t="shared" si="1"/>
        <v>26.260000000000002</v>
      </c>
      <c r="D35" s="29">
        <f t="shared" si="1"/>
        <v>34.310000000000002</v>
      </c>
      <c r="E35" s="29">
        <f t="shared" si="1"/>
        <v>8.5899999999999999</v>
      </c>
      <c r="F35" s="29">
        <f t="shared" si="1"/>
        <v>3.1499999999999999</v>
      </c>
      <c r="G35" s="29">
        <f t="shared" si="1"/>
        <v>64.269999999999996</v>
      </c>
      <c r="H35" s="29">
        <f t="shared" si="1"/>
        <v>25.850000000000001</v>
      </c>
      <c r="I35" s="29">
        <f t="shared" si="1"/>
        <v>5.6799999999999997</v>
      </c>
      <c r="J35" s="29">
        <f t="shared" si="1"/>
        <v>6.0999999999999996</v>
      </c>
      <c r="K35" s="29">
        <f t="shared" si="1"/>
        <v>359.07999999999998</v>
      </c>
      <c r="L35" s="29">
        <f t="shared" si="1"/>
        <v>42.799999999999997</v>
      </c>
      <c r="M35" s="29">
        <f t="shared" si="1"/>
        <v>99.379999999999995</v>
      </c>
      <c r="N35" s="29">
        <f t="shared" si="1"/>
        <v>708.39999999999998</v>
      </c>
      <c r="O35" s="29">
        <f t="shared" si="1"/>
        <v>12.199999999999999</v>
      </c>
      <c r="P35" s="29">
        <f t="shared" si="1"/>
        <v>2.3799999999999999</v>
      </c>
      <c r="Q35" s="29">
        <f t="shared" si="1"/>
        <v>18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3.7230434782608692</v>
      </c>
      <c r="C36" s="28">
        <f t="shared" si="2"/>
        <v>19.466521739130435</v>
      </c>
      <c r="D36" s="28">
        <f t="shared" si="2"/>
        <v>22.944347826086958</v>
      </c>
      <c r="E36" s="28">
        <f t="shared" si="2"/>
        <v>6.9078260869565211</v>
      </c>
      <c r="F36" s="28">
        <f t="shared" si="2"/>
        <v>1.2460869565217394</v>
      </c>
      <c r="G36" s="28">
        <f t="shared" si="2"/>
        <v>49.682173913043471</v>
      </c>
      <c r="H36" s="28">
        <f t="shared" si="2"/>
        <v>19.324347826086957</v>
      </c>
      <c r="I36" s="28">
        <f t="shared" si="2"/>
        <v>4.260434782608697</v>
      </c>
      <c r="J36" s="28">
        <f t="shared" si="2"/>
        <v>2.8821739130434785</v>
      </c>
      <c r="K36" s="28">
        <f t="shared" si="2"/>
        <v>234.34826086956519</v>
      </c>
      <c r="L36" s="28">
        <f t="shared" si="2"/>
        <v>35.064782608695651</v>
      </c>
      <c r="M36" s="28">
        <f t="shared" si="2"/>
        <v>83.839130434782632</v>
      </c>
      <c r="N36" s="28">
        <f t="shared" si="2"/>
        <v>318.30000000000001</v>
      </c>
      <c r="O36" s="28">
        <f t="shared" si="2"/>
        <v>0.54782608695652169</v>
      </c>
      <c r="P36" s="28">
        <f t="shared" si="2"/>
        <v>2.2069565217391305</v>
      </c>
      <c r="Q36" s="28">
        <f t="shared" si="2"/>
        <v>14.112173913043478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1.9128095347434713</v>
      </c>
      <c r="C37" s="28">
        <f t="shared" si="3" ref="C37:Q37">STDEV(C9:C32)</f>
        <v>3.2016666238008784</v>
      </c>
      <c r="D37" s="28">
        <f t="shared" si="3"/>
        <v>4.561807682055778</v>
      </c>
      <c r="E37" s="28">
        <f t="shared" si="3"/>
        <v>1.223508206762751</v>
      </c>
      <c r="F37" s="28">
        <f t="shared" si="3"/>
        <v>0.81683279211640314</v>
      </c>
      <c r="G37" s="28">
        <f t="shared" si="3"/>
        <v>7.7199817219059836</v>
      </c>
      <c r="H37" s="28">
        <f t="shared" si="3"/>
        <v>3.4826267856408633</v>
      </c>
      <c r="I37" s="28">
        <f t="shared" si="3"/>
        <v>0.60331266024168473</v>
      </c>
      <c r="J37" s="28">
        <f t="shared" si="3"/>
        <v>0.90150357495251854</v>
      </c>
      <c r="K37" s="28">
        <f t="shared" si="3"/>
        <v>82.511942201895081</v>
      </c>
      <c r="L37" s="28">
        <f t="shared" si="3"/>
        <v>3.104008946749667</v>
      </c>
      <c r="M37" s="28">
        <f t="shared" si="3"/>
        <v>10.137553009857234</v>
      </c>
      <c r="N37" s="28">
        <f t="shared" si="3"/>
        <v>157.66241553625665</v>
      </c>
      <c r="O37" s="28">
        <f t="shared" si="3"/>
        <v>2.5407353204101062</v>
      </c>
      <c r="P37" s="28">
        <f t="shared" si="3"/>
        <v>0.084446582503039685</v>
      </c>
      <c r="Q37" s="28">
        <f t="shared" si="3"/>
        <v>1.9425170094534103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23</v>
      </c>
      <c r="C38" s="32">
        <f t="shared" si="4"/>
        <v>23</v>
      </c>
      <c r="D38" s="32">
        <f t="shared" si="4"/>
        <v>23</v>
      </c>
      <c r="E38" s="32">
        <f t="shared" si="4"/>
        <v>23</v>
      </c>
      <c r="F38" s="32">
        <f t="shared" si="4"/>
        <v>23</v>
      </c>
      <c r="G38" s="32">
        <f t="shared" si="4"/>
        <v>23</v>
      </c>
      <c r="H38" s="32">
        <f t="shared" si="4"/>
        <v>23</v>
      </c>
      <c r="I38" s="32">
        <f t="shared" si="4"/>
        <v>23</v>
      </c>
      <c r="J38" s="32">
        <f t="shared" si="4"/>
        <v>23</v>
      </c>
      <c r="K38" s="32">
        <f t="shared" si="4"/>
        <v>23</v>
      </c>
      <c r="L38" s="32">
        <f t="shared" si="4"/>
        <v>23</v>
      </c>
      <c r="M38" s="32">
        <f t="shared" si="4"/>
        <v>23</v>
      </c>
      <c r="N38" s="32">
        <f t="shared" si="4"/>
        <v>23</v>
      </c>
      <c r="O38" s="32">
        <f t="shared" si="4"/>
        <v>23</v>
      </c>
      <c r="P38" s="32">
        <f t="shared" si="4"/>
        <v>23</v>
      </c>
      <c r="Q38" s="32">
        <f t="shared" si="4"/>
        <v>23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495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20628f-545f-4622-9a06-6ed3965ea68b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19-06-2022 24:00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496</v>
      </c>
      <c r="B9" s="51">
        <v>5.82</v>
      </c>
      <c r="C9" s="51">
        <v>19.55</v>
      </c>
      <c r="D9" s="51">
        <v>25.32</v>
      </c>
      <c r="E9" s="51">
        <v>7.02</v>
      </c>
      <c r="F9" s="51">
        <v>0.54</v>
      </c>
      <c r="G9" s="51">
        <v>42.15</v>
      </c>
      <c r="H9" s="51">
        <v>16.05</v>
      </c>
      <c r="I9" s="51">
        <v>3.93</v>
      </c>
      <c r="J9" s="51">
        <v>2.72</v>
      </c>
      <c r="K9" s="51">
        <v>110</v>
      </c>
      <c r="L9" s="51">
        <v>32.799999999999997</v>
      </c>
      <c r="M9" s="51">
        <v>91.99</v>
      </c>
      <c r="N9" s="51">
        <v>301.5</v>
      </c>
      <c r="O9" s="51">
        <v>0</v>
      </c>
      <c r="P9" s="51">
        <v>2.17</v>
      </c>
      <c r="Q9" s="51">
        <v>13.76</v>
      </c>
      <c r="R9" s="43"/>
      <c r="S9" s="43"/>
      <c r="T9" s="43"/>
      <c r="U9" s="43"/>
    </row>
    <row r="10" spans="1:21" s="11" customFormat="1" ht="15">
      <c r="A10" s="50" t="s">
        <v>497</v>
      </c>
      <c r="B10" s="51">
        <v>5.26</v>
      </c>
      <c r="C10" s="51">
        <v>18</v>
      </c>
      <c r="D10" s="51">
        <v>23.25</v>
      </c>
      <c r="E10" s="51">
        <v>7.61</v>
      </c>
      <c r="F10" s="51">
        <v>0.73</v>
      </c>
      <c r="G10" s="51">
        <v>43.58</v>
      </c>
      <c r="H10" s="51">
        <v>16.28</v>
      </c>
      <c r="I10" s="51">
        <v>3.81</v>
      </c>
      <c r="J10" s="51">
        <v>1.76</v>
      </c>
      <c r="K10" s="51">
        <v>166.08</v>
      </c>
      <c r="L10" s="51">
        <v>32.82</v>
      </c>
      <c r="M10" s="51">
        <v>92.42</v>
      </c>
      <c r="N10" s="51">
        <v>325.70</v>
      </c>
      <c r="O10" s="51">
        <v>0</v>
      </c>
      <c r="P10" s="51">
        <v>2.14</v>
      </c>
      <c r="Q10" s="51">
        <v>12.86</v>
      </c>
      <c r="R10" s="43"/>
      <c r="S10" s="43"/>
      <c r="T10" s="43"/>
      <c r="U10" s="43"/>
    </row>
    <row r="11" spans="1:21" s="11" customFormat="1" ht="15">
      <c r="A11" s="50" t="s">
        <v>498</v>
      </c>
      <c r="B11" s="51">
        <v>5.08</v>
      </c>
      <c r="C11" s="51">
        <v>15.27</v>
      </c>
      <c r="D11" s="51">
        <v>20.30</v>
      </c>
      <c r="E11" s="51">
        <v>8.58</v>
      </c>
      <c r="F11" s="51">
        <v>0.71</v>
      </c>
      <c r="G11" s="51">
        <v>38.90</v>
      </c>
      <c r="H11" s="51">
        <v>15.14</v>
      </c>
      <c r="I11" s="51">
        <v>3.89</v>
      </c>
      <c r="J11" s="51">
        <v>2.56</v>
      </c>
      <c r="K11" s="51">
        <v>164.08</v>
      </c>
      <c r="L11" s="51">
        <v>32.700000000000003</v>
      </c>
      <c r="M11" s="51">
        <v>93.16</v>
      </c>
      <c r="N11" s="51">
        <v>338.70</v>
      </c>
      <c r="O11" s="51">
        <v>0</v>
      </c>
      <c r="P11" s="51">
        <v>2.12</v>
      </c>
      <c r="Q11" s="51">
        <v>10.43</v>
      </c>
      <c r="R11" s="43"/>
      <c r="S11" s="43"/>
      <c r="T11" s="43"/>
      <c r="U11" s="43"/>
    </row>
    <row r="12" spans="1:21" s="11" customFormat="1" ht="15">
      <c r="A12" s="50" t="s">
        <v>499</v>
      </c>
      <c r="B12" s="51">
        <v>4.82</v>
      </c>
      <c r="C12" s="51">
        <v>15.04</v>
      </c>
      <c r="D12" s="51">
        <v>19.59</v>
      </c>
      <c r="E12" s="51">
        <v>8.4700000000000006</v>
      </c>
      <c r="F12" s="51">
        <v>0.48</v>
      </c>
      <c r="G12" s="51">
        <v>38.659999999999997</v>
      </c>
      <c r="H12" s="51">
        <v>15.85</v>
      </c>
      <c r="I12" s="51">
        <v>3.93</v>
      </c>
      <c r="J12" s="51">
        <v>2.5499999999999998</v>
      </c>
      <c r="K12" s="51">
        <v>170.77</v>
      </c>
      <c r="L12" s="51">
        <v>32.729999999999997</v>
      </c>
      <c r="M12" s="51">
        <v>92.75</v>
      </c>
      <c r="N12" s="51">
        <v>374.30</v>
      </c>
      <c r="O12" s="51">
        <v>0</v>
      </c>
      <c r="P12" s="51">
        <v>2.10</v>
      </c>
      <c r="Q12" s="51">
        <v>11.42</v>
      </c>
      <c r="R12" s="43"/>
      <c r="S12" s="43"/>
      <c r="T12" s="43"/>
      <c r="U12" s="43"/>
    </row>
    <row r="13" spans="1:21" s="11" customFormat="1" ht="15">
      <c r="A13" s="50" t="s">
        <v>500</v>
      </c>
      <c r="B13" s="51">
        <v>3.54</v>
      </c>
      <c r="C13" s="51">
        <v>15.26</v>
      </c>
      <c r="D13" s="51">
        <v>18.80</v>
      </c>
      <c r="E13" s="51">
        <v>7.46</v>
      </c>
      <c r="F13" s="51">
        <v>0.46</v>
      </c>
      <c r="G13" s="51">
        <v>34.76</v>
      </c>
      <c r="H13" s="51">
        <v>11.57</v>
      </c>
      <c r="I13" s="51">
        <v>3.61</v>
      </c>
      <c r="J13" s="51">
        <v>1.87</v>
      </c>
      <c r="K13" s="51">
        <v>226.5</v>
      </c>
      <c r="L13" s="51">
        <v>32.880000000000003</v>
      </c>
      <c r="M13" s="51">
        <v>92.83</v>
      </c>
      <c r="N13" s="51">
        <v>369.80</v>
      </c>
      <c r="O13" s="51">
        <v>0</v>
      </c>
      <c r="P13" s="51">
        <v>2.06</v>
      </c>
      <c r="Q13" s="51">
        <v>11.45</v>
      </c>
      <c r="R13" s="43"/>
      <c r="S13" s="43"/>
      <c r="T13" s="43"/>
      <c r="U13" s="43"/>
    </row>
    <row r="14" spans="1:21" s="11" customFormat="1" ht="15">
      <c r="A14" s="50" t="s">
        <v>501</v>
      </c>
      <c r="B14" s="51">
        <v>4.79</v>
      </c>
      <c r="C14" s="51">
        <v>15.16</v>
      </c>
      <c r="D14" s="51">
        <v>19.57</v>
      </c>
      <c r="E14" s="51">
        <v>6.92</v>
      </c>
      <c r="F14" s="51">
        <v>0.41</v>
      </c>
      <c r="G14" s="51">
        <v>33.64</v>
      </c>
      <c r="H14" s="51">
        <v>11.86</v>
      </c>
      <c r="I14" s="51">
        <v>3.32</v>
      </c>
      <c r="J14" s="51">
        <v>1.39</v>
      </c>
      <c r="K14" s="51">
        <v>260.10000000000002</v>
      </c>
      <c r="L14" s="51">
        <v>32.99</v>
      </c>
      <c r="M14" s="51">
        <v>92.59</v>
      </c>
      <c r="N14" s="51">
        <v>374.20</v>
      </c>
      <c r="O14" s="51">
        <v>0</v>
      </c>
      <c r="P14" s="51">
        <v>2.04</v>
      </c>
      <c r="Q14" s="51">
        <v>11.54</v>
      </c>
      <c r="R14" s="43"/>
      <c r="S14" s="43"/>
      <c r="T14" s="43"/>
      <c r="U14" s="43"/>
    </row>
    <row r="15" spans="1:21" s="11" customFormat="1" ht="15">
      <c r="A15" s="50" t="s">
        <v>502</v>
      </c>
      <c r="B15" s="51">
        <v>8.7899999999999991</v>
      </c>
      <c r="C15" s="51">
        <v>14.61</v>
      </c>
      <c r="D15" s="51">
        <v>23.39</v>
      </c>
      <c r="E15" s="51">
        <v>8.09</v>
      </c>
      <c r="F15" s="51">
        <v>0.38</v>
      </c>
      <c r="G15" s="51">
        <v>38.49</v>
      </c>
      <c r="H15" s="51">
        <v>14.37</v>
      </c>
      <c r="I15" s="51">
        <v>3.46</v>
      </c>
      <c r="J15" s="51">
        <v>1.73</v>
      </c>
      <c r="K15" s="51">
        <v>342.98</v>
      </c>
      <c r="L15" s="51">
        <v>32.93</v>
      </c>
      <c r="M15" s="51">
        <v>93.07</v>
      </c>
      <c r="N15" s="51">
        <v>328.5</v>
      </c>
      <c r="O15" s="51">
        <v>0</v>
      </c>
      <c r="P15" s="51">
        <v>2.0699999999999998</v>
      </c>
      <c r="Q15" s="51">
        <v>11.16</v>
      </c>
      <c r="R15" s="43"/>
      <c r="S15" s="43"/>
      <c r="T15" s="43"/>
      <c r="U15" s="43"/>
    </row>
    <row r="16" spans="1:21" s="11" customFormat="1" ht="15">
      <c r="A16" s="50" t="s">
        <v>503</v>
      </c>
      <c r="B16" s="51">
        <v>13.62</v>
      </c>
      <c r="C16" s="51">
        <v>17.010000000000002</v>
      </c>
      <c r="D16" s="51">
        <v>30.63</v>
      </c>
      <c r="E16" s="51">
        <v>7.99</v>
      </c>
      <c r="F16" s="51">
        <v>0.48</v>
      </c>
      <c r="G16" s="51">
        <v>47.16</v>
      </c>
      <c r="H16" s="51">
        <v>17.510000000000002</v>
      </c>
      <c r="I16" s="51">
        <v>3.93</v>
      </c>
      <c r="J16" s="51">
        <v>1.66</v>
      </c>
      <c r="K16" s="51">
        <v>351.87</v>
      </c>
      <c r="L16" s="51">
        <v>34.39</v>
      </c>
      <c r="M16" s="51">
        <v>90.48</v>
      </c>
      <c r="N16" s="51">
        <v>505.70</v>
      </c>
      <c r="O16" s="51">
        <v>0</v>
      </c>
      <c r="P16" s="51">
        <v>2.17</v>
      </c>
      <c r="Q16" s="51">
        <v>14.28</v>
      </c>
      <c r="R16" s="43"/>
      <c r="S16" s="43"/>
      <c r="T16" s="43"/>
      <c r="U16" s="43"/>
    </row>
    <row r="17" spans="1:21" s="11" customFormat="1" ht="15">
      <c r="A17" s="50" t="s">
        <v>504</v>
      </c>
      <c r="B17" s="51">
        <v>17.41</v>
      </c>
      <c r="C17" s="51">
        <v>22.52</v>
      </c>
      <c r="D17" s="51">
        <v>39.93</v>
      </c>
      <c r="E17" s="51">
        <v>7.13</v>
      </c>
      <c r="F17" s="51">
        <v>0.39</v>
      </c>
      <c r="G17" s="51">
        <v>63.51</v>
      </c>
      <c r="H17" s="51">
        <v>19.84</v>
      </c>
      <c r="I17" s="51">
        <v>4.6399999999999997</v>
      </c>
      <c r="J17" s="51">
        <v>2.73</v>
      </c>
      <c r="K17" s="51">
        <v>323.56</v>
      </c>
      <c r="L17" s="51">
        <v>36.06</v>
      </c>
      <c r="M17" s="51">
        <v>83.82</v>
      </c>
      <c r="N17" s="51">
        <v>540.10</v>
      </c>
      <c r="O17" s="51">
        <v>0</v>
      </c>
      <c r="P17" s="51">
        <v>2.36</v>
      </c>
      <c r="Q17" s="51">
        <v>17.97</v>
      </c>
      <c r="R17" s="43"/>
      <c r="S17" s="43"/>
      <c r="T17" s="43"/>
      <c r="U17" s="43"/>
    </row>
    <row r="18" spans="1:21" s="11" customFormat="1" ht="15">
      <c r="A18" s="50" t="s">
        <v>505</v>
      </c>
      <c r="B18" s="51">
        <v>21.44</v>
      </c>
      <c r="C18" s="51">
        <v>23.55</v>
      </c>
      <c r="D18" s="51">
        <v>44.61</v>
      </c>
      <c r="E18" s="51">
        <v>6.29</v>
      </c>
      <c r="F18" s="51">
        <v>0.60</v>
      </c>
      <c r="G18" s="51">
        <v>82.55</v>
      </c>
      <c r="H18" s="51">
        <v>29.90</v>
      </c>
      <c r="I18" s="51">
        <v>5.33</v>
      </c>
      <c r="J18" s="51">
        <v>2.94</v>
      </c>
      <c r="K18" s="51">
        <v>335.44</v>
      </c>
      <c r="L18" s="51">
        <v>35.270000000000003</v>
      </c>
      <c r="M18" s="51">
        <v>93.48</v>
      </c>
      <c r="N18" s="51">
        <v>654.70000000000005</v>
      </c>
      <c r="O18" s="51">
        <v>0.60</v>
      </c>
      <c r="P18" s="51">
        <v>2.57</v>
      </c>
      <c r="Q18" s="51">
        <v>19.54</v>
      </c>
      <c r="R18" s="43"/>
      <c r="S18" s="43"/>
      <c r="T18" s="43"/>
      <c r="U18" s="43"/>
    </row>
    <row r="19" spans="1:21" s="11" customFormat="1" ht="15">
      <c r="A19" s="50" t="s">
        <v>506</v>
      </c>
      <c r="B19" s="51">
        <v>21.78</v>
      </c>
      <c r="C19" s="51">
        <v>21.51</v>
      </c>
      <c r="D19" s="51">
        <v>43.29</v>
      </c>
      <c r="E19" s="51">
        <v>7.15</v>
      </c>
      <c r="F19" s="51">
        <v>0.61</v>
      </c>
      <c r="G19" s="51">
        <v>89.95</v>
      </c>
      <c r="H19" s="51">
        <v>37.65</v>
      </c>
      <c r="I19" s="51">
        <v>5.92</v>
      </c>
      <c r="J19" s="51">
        <v>2.92</v>
      </c>
      <c r="K19" s="51">
        <v>211.28</v>
      </c>
      <c r="L19" s="51">
        <v>34.729999999999997</v>
      </c>
      <c r="M19" s="51">
        <v>91.34</v>
      </c>
      <c r="N19" s="51">
        <v>396.60</v>
      </c>
      <c r="O19" s="51">
        <v>0</v>
      </c>
      <c r="P19" s="51">
        <v>2.57</v>
      </c>
      <c r="Q19" s="51">
        <v>19.05</v>
      </c>
      <c r="R19" s="43"/>
      <c r="S19" s="43"/>
      <c r="T19" s="43"/>
      <c r="U19" s="43"/>
    </row>
    <row r="20" spans="1:21" s="11" customFormat="1" ht="15">
      <c r="A20" s="50" t="s">
        <v>507</v>
      </c>
      <c r="B20" s="51">
        <v>17.78</v>
      </c>
      <c r="C20" s="51">
        <v>26.24</v>
      </c>
      <c r="D20" s="51">
        <v>38.479999999999997</v>
      </c>
      <c r="E20" s="51">
        <v>6.85</v>
      </c>
      <c r="F20" s="51">
        <v>0.63</v>
      </c>
      <c r="G20" s="51">
        <v>90.81</v>
      </c>
      <c r="H20" s="51">
        <v>39.22</v>
      </c>
      <c r="I20" s="51">
        <v>6.24</v>
      </c>
      <c r="J20" s="51">
        <v>1.06</v>
      </c>
      <c r="K20" s="51">
        <v>231.62</v>
      </c>
      <c r="L20" s="51">
        <v>33.590000000000003</v>
      </c>
      <c r="M20" s="51">
        <v>94.53</v>
      </c>
      <c r="N20" s="51">
        <v>324.80</v>
      </c>
      <c r="O20" s="51">
        <v>0.40</v>
      </c>
      <c r="P20" s="51">
        <v>2.54</v>
      </c>
      <c r="Q20" s="51">
        <v>15.77</v>
      </c>
      <c r="R20" s="43"/>
      <c r="S20" s="43"/>
      <c r="T20" s="43"/>
      <c r="U20" s="43"/>
    </row>
    <row r="21" spans="1:21" s="11" customFormat="1" ht="15">
      <c r="A21" s="50" t="s">
        <v>508</v>
      </c>
      <c r="B21" s="51">
        <v>6</v>
      </c>
      <c r="C21" s="51">
        <v>25.71</v>
      </c>
      <c r="D21" s="51">
        <v>31.71</v>
      </c>
      <c r="E21" s="51">
        <v>5.20</v>
      </c>
      <c r="F21" s="51">
        <v>0.98</v>
      </c>
      <c r="G21" s="51">
        <v>66.989999999999995</v>
      </c>
      <c r="H21" s="51">
        <v>32.04</v>
      </c>
      <c r="I21" s="51">
        <v>5.51</v>
      </c>
      <c r="J21" s="51">
        <v>2.14</v>
      </c>
      <c r="K21" s="51">
        <v>221.43</v>
      </c>
      <c r="L21" s="51">
        <v>31.52</v>
      </c>
      <c r="M21" s="51">
        <v>96.55</v>
      </c>
      <c r="N21" s="51">
        <v>486.30</v>
      </c>
      <c r="O21" s="51">
        <v>0.40</v>
      </c>
      <c r="P21" s="51">
        <v>2.37</v>
      </c>
      <c r="Q21" s="51">
        <v>12.86</v>
      </c>
      <c r="R21" s="43"/>
      <c r="S21" s="43"/>
      <c r="T21" s="43"/>
      <c r="U21" s="43"/>
    </row>
    <row r="22" spans="1:21" s="11" customFormat="1" ht="15">
      <c r="A22" s="50" t="s">
        <v>509</v>
      </c>
      <c r="B22" s="51">
        <v>4.09</v>
      </c>
      <c r="C22" s="51">
        <v>20.51</v>
      </c>
      <c r="D22" s="51">
        <v>24.59</v>
      </c>
      <c r="E22" s="51">
        <v>6.90</v>
      </c>
      <c r="F22" s="51">
        <v>0.82</v>
      </c>
      <c r="G22" s="51">
        <v>40.06</v>
      </c>
      <c r="H22" s="51">
        <v>23.66</v>
      </c>
      <c r="I22" s="51">
        <v>4.3899999999999997</v>
      </c>
      <c r="J22" s="51">
        <v>2.2000000000000002</v>
      </c>
      <c r="K22" s="51">
        <v>250.01</v>
      </c>
      <c r="L22" s="51">
        <v>32.479999999999997</v>
      </c>
      <c r="M22" s="51">
        <v>96.58</v>
      </c>
      <c r="N22" s="51">
        <v>708.30</v>
      </c>
      <c r="O22" s="51">
        <v>0.20</v>
      </c>
      <c r="P22" s="51">
        <v>2.2400000000000002</v>
      </c>
      <c r="Q22" s="51">
        <v>12.53</v>
      </c>
      <c r="R22" s="43"/>
      <c r="S22" s="43"/>
      <c r="T22" s="43"/>
      <c r="U22" s="43"/>
    </row>
    <row r="23" spans="1:21" s="11" customFormat="1" ht="15">
      <c r="A23" s="50" t="s">
        <v>510</v>
      </c>
      <c r="B23" s="51">
        <v>5.61</v>
      </c>
      <c r="C23" s="51">
        <v>21.68</v>
      </c>
      <c r="D23" s="51">
        <v>27.22</v>
      </c>
      <c r="E23" s="51">
        <v>6.94</v>
      </c>
      <c r="F23" s="51">
        <v>0.92</v>
      </c>
      <c r="G23" s="51">
        <v>25.43</v>
      </c>
      <c r="H23" s="51">
        <v>17.02</v>
      </c>
      <c r="I23" s="51">
        <v>3.96</v>
      </c>
      <c r="J23" s="51">
        <v>1.08</v>
      </c>
      <c r="K23" s="51">
        <v>276.52</v>
      </c>
      <c r="L23" s="51">
        <v>34.380000000000003</v>
      </c>
      <c r="M23" s="51">
        <v>93.43</v>
      </c>
      <c r="N23" s="51">
        <v>768.10</v>
      </c>
      <c r="O23" s="51">
        <v>0</v>
      </c>
      <c r="P23" s="51">
        <v>2.29</v>
      </c>
      <c r="Q23" s="51">
        <v>12.73</v>
      </c>
      <c r="R23" s="43"/>
      <c r="S23" s="43"/>
      <c r="T23" s="43"/>
      <c r="U23" s="43"/>
    </row>
    <row r="24" spans="1:21" s="11" customFormat="1" ht="15">
      <c r="A24" s="50" t="s">
        <v>511</v>
      </c>
      <c r="B24" s="51">
        <v>5.17</v>
      </c>
      <c r="C24" s="51">
        <v>23.33</v>
      </c>
      <c r="D24" s="51">
        <v>27.62</v>
      </c>
      <c r="E24" s="51">
        <v>7.19</v>
      </c>
      <c r="F24" s="51">
        <v>1.18</v>
      </c>
      <c r="G24" s="51">
        <v>36.32</v>
      </c>
      <c r="H24" s="51">
        <v>14.56</v>
      </c>
      <c r="I24" s="51">
        <v>4.0999999999999996</v>
      </c>
      <c r="J24" s="51">
        <v>0.80</v>
      </c>
      <c r="K24" s="51">
        <v>358.55</v>
      </c>
      <c r="L24" s="51">
        <v>35.79</v>
      </c>
      <c r="M24" s="51">
        <v>85.37</v>
      </c>
      <c r="N24" s="51">
        <v>729.90</v>
      </c>
      <c r="O24" s="51">
        <v>0</v>
      </c>
      <c r="P24" s="51">
        <v>2.29</v>
      </c>
      <c r="Q24" s="51">
        <v>11.31</v>
      </c>
      <c r="R24" s="43"/>
      <c r="S24" s="43"/>
      <c r="T24" s="43"/>
      <c r="U24" s="43"/>
    </row>
    <row r="25" spans="1:21" s="11" customFormat="1" ht="15">
      <c r="A25" s="50" t="s">
        <v>512</v>
      </c>
      <c r="B25" s="51">
        <v>3.90</v>
      </c>
      <c r="C25" s="51">
        <v>23.36</v>
      </c>
      <c r="D25" s="51">
        <v>27.26</v>
      </c>
      <c r="E25" s="51">
        <v>7</v>
      </c>
      <c r="F25" s="51">
        <v>1.58</v>
      </c>
      <c r="G25" s="51">
        <v>39.450000000000003</v>
      </c>
      <c r="H25" s="51">
        <v>15.93</v>
      </c>
      <c r="I25" s="51">
        <v>3.92</v>
      </c>
      <c r="J25" s="51">
        <v>1.67</v>
      </c>
      <c r="K25" s="51">
        <v>229.12</v>
      </c>
      <c r="L25" s="51">
        <v>35.69</v>
      </c>
      <c r="M25" s="51">
        <v>82.94</v>
      </c>
      <c r="N25" s="51">
        <v>621.29999999999995</v>
      </c>
      <c r="O25" s="51">
        <v>0</v>
      </c>
      <c r="P25" s="51">
        <v>2.2799999999999998</v>
      </c>
      <c r="Q25" s="51">
        <v>10.49</v>
      </c>
      <c r="R25" s="43"/>
      <c r="S25" s="43"/>
      <c r="T25" s="43"/>
      <c r="U25" s="43"/>
    </row>
    <row r="26" spans="1:21" s="11" customFormat="1" ht="15">
      <c r="A26" s="50" t="s">
        <v>513</v>
      </c>
      <c r="B26" s="51">
        <v>1.45</v>
      </c>
      <c r="C26" s="51">
        <v>18.79</v>
      </c>
      <c r="D26" s="51">
        <v>20.25</v>
      </c>
      <c r="E26" s="51">
        <v>4.99</v>
      </c>
      <c r="F26" s="51">
        <v>1.73</v>
      </c>
      <c r="G26" s="51">
        <v>35.270000000000003</v>
      </c>
      <c r="H26" s="51">
        <v>12.92</v>
      </c>
      <c r="I26" s="51">
        <v>3.70</v>
      </c>
      <c r="J26" s="51">
        <v>2.4500000000000002</v>
      </c>
      <c r="K26" s="51">
        <v>219.04</v>
      </c>
      <c r="L26" s="51">
        <v>35.89</v>
      </c>
      <c r="M26" s="51">
        <v>80.81</v>
      </c>
      <c r="N26" s="51">
        <v>656.40</v>
      </c>
      <c r="O26" s="51">
        <v>0</v>
      </c>
      <c r="P26" s="51">
        <v>2.2000000000000002</v>
      </c>
      <c r="Q26" s="51">
        <v>10.06</v>
      </c>
      <c r="R26" s="43"/>
      <c r="S26" s="43"/>
      <c r="T26" s="43"/>
      <c r="U26" s="43"/>
    </row>
    <row r="27" spans="1:21" s="11" customFormat="1" ht="15">
      <c r="A27" s="50" t="s">
        <v>514</v>
      </c>
      <c r="B27" s="51">
        <v>0.97</v>
      </c>
      <c r="C27" s="51">
        <v>16.75</v>
      </c>
      <c r="D27" s="51">
        <v>17.73</v>
      </c>
      <c r="E27" s="51">
        <v>4.9400000000000004</v>
      </c>
      <c r="F27" s="51">
        <v>1.61</v>
      </c>
      <c r="G27" s="51">
        <v>36.450000000000003</v>
      </c>
      <c r="H27" s="51">
        <v>11.47</v>
      </c>
      <c r="I27" s="51">
        <v>3.33</v>
      </c>
      <c r="J27" s="51">
        <v>2.4700000000000002</v>
      </c>
      <c r="K27" s="51">
        <v>199.78</v>
      </c>
      <c r="L27" s="51">
        <v>35.76</v>
      </c>
      <c r="M27" s="51">
        <v>84.07</v>
      </c>
      <c r="N27" s="51">
        <v>609.29999999999995</v>
      </c>
      <c r="O27" s="51">
        <v>0</v>
      </c>
      <c r="P27" s="51">
        <v>2.15</v>
      </c>
      <c r="Q27" s="51">
        <v>9.67</v>
      </c>
      <c r="R27" s="43"/>
      <c r="S27" s="43"/>
      <c r="T27" s="43"/>
      <c r="U27" s="43"/>
    </row>
    <row r="28" spans="1:21" s="11" customFormat="1" ht="15">
      <c r="A28" s="50" t="s">
        <v>515</v>
      </c>
      <c r="B28" s="51">
        <v>1.63</v>
      </c>
      <c r="C28" s="51">
        <v>15.40</v>
      </c>
      <c r="D28" s="51">
        <v>17.03</v>
      </c>
      <c r="E28" s="51">
        <v>5.72</v>
      </c>
      <c r="F28" s="51">
        <v>1.37</v>
      </c>
      <c r="G28" s="51">
        <v>44.30</v>
      </c>
      <c r="H28" s="51">
        <v>10.32</v>
      </c>
      <c r="I28" s="51">
        <v>4.84</v>
      </c>
      <c r="J28" s="51">
        <v>3.52</v>
      </c>
      <c r="K28" s="51">
        <v>177.63</v>
      </c>
      <c r="L28" s="51">
        <v>35.28</v>
      </c>
      <c r="M28" s="51">
        <v>88.91</v>
      </c>
      <c r="N28" s="51">
        <v>545.40</v>
      </c>
      <c r="O28" s="51">
        <v>0</v>
      </c>
      <c r="P28" s="51">
        <v>2.13</v>
      </c>
      <c r="Q28" s="51">
        <v>8.52</v>
      </c>
      <c r="R28" s="43"/>
      <c r="S28" s="43"/>
      <c r="T28" s="43"/>
      <c r="U28" s="43"/>
    </row>
    <row r="29" spans="1:21" s="11" customFormat="1" ht="15">
      <c r="A29" s="50" t="s">
        <v>516</v>
      </c>
      <c r="B29" s="51">
        <v>2.36</v>
      </c>
      <c r="C29" s="51">
        <v>17.63</v>
      </c>
      <c r="D29" s="51">
        <v>19.989999999999998</v>
      </c>
      <c r="E29" s="51">
        <v>6.41</v>
      </c>
      <c r="F29" s="51">
        <v>1.29</v>
      </c>
      <c r="G29" s="51">
        <v>46.55</v>
      </c>
      <c r="H29" s="51">
        <v>13</v>
      </c>
      <c r="I29" s="51">
        <v>4.74</v>
      </c>
      <c r="J29" s="51">
        <v>3.22</v>
      </c>
      <c r="K29" s="51">
        <v>181.54</v>
      </c>
      <c r="L29" s="51">
        <v>34.369999999999997</v>
      </c>
      <c r="M29" s="51">
        <v>90.81</v>
      </c>
      <c r="N29" s="51">
        <v>533.20000000000005</v>
      </c>
      <c r="O29" s="51">
        <v>0</v>
      </c>
      <c r="P29" s="51">
        <v>2.16</v>
      </c>
      <c r="Q29" s="51">
        <v>8.6300000000000008</v>
      </c>
      <c r="R29" s="43"/>
      <c r="S29" s="43"/>
      <c r="T29" s="43"/>
      <c r="U29" s="43"/>
    </row>
    <row r="30" spans="1:21" s="11" customFormat="1" ht="15">
      <c r="A30" s="50" t="s">
        <v>517</v>
      </c>
      <c r="B30" s="51">
        <v>4.04</v>
      </c>
      <c r="C30" s="51">
        <v>20.02</v>
      </c>
      <c r="D30" s="51">
        <v>24.06</v>
      </c>
      <c r="E30" s="51">
        <v>6.53</v>
      </c>
      <c r="F30" s="51">
        <v>1.07</v>
      </c>
      <c r="G30" s="51">
        <v>50.18</v>
      </c>
      <c r="H30" s="51">
        <v>14.59</v>
      </c>
      <c r="I30" s="51">
        <v>4.67</v>
      </c>
      <c r="J30" s="51">
        <v>2.48</v>
      </c>
      <c r="K30" s="51">
        <v>194.09</v>
      </c>
      <c r="L30" s="51">
        <v>34.020000000000003</v>
      </c>
      <c r="M30" s="51">
        <v>92.35</v>
      </c>
      <c r="N30" s="51">
        <v>573.29999999999995</v>
      </c>
      <c r="O30" s="51">
        <v>0</v>
      </c>
      <c r="P30" s="51">
        <v>2.23</v>
      </c>
      <c r="Q30" s="51">
        <v>10.69</v>
      </c>
      <c r="R30" s="43"/>
      <c r="S30" s="43"/>
      <c r="T30" s="43"/>
      <c r="U30" s="43"/>
    </row>
    <row r="31" spans="1:21" s="11" customFormat="1" ht="15">
      <c r="A31" s="50" t="s">
        <v>518</v>
      </c>
      <c r="B31" s="51">
        <v>4.7699999999999996</v>
      </c>
      <c r="C31" s="51">
        <v>20.309999999999999</v>
      </c>
      <c r="D31" s="51">
        <v>25.07</v>
      </c>
      <c r="E31" s="51">
        <v>6.05</v>
      </c>
      <c r="F31" s="51">
        <v>0.56000000000000005</v>
      </c>
      <c r="G31" s="51">
        <v>51.90</v>
      </c>
      <c r="H31" s="51">
        <v>17.29</v>
      </c>
      <c r="I31" s="51">
        <v>4.55</v>
      </c>
      <c r="J31" s="51">
        <v>3.46</v>
      </c>
      <c r="K31" s="51">
        <v>184.99</v>
      </c>
      <c r="L31" s="51">
        <v>33.979999999999997</v>
      </c>
      <c r="M31" s="51">
        <v>92.43</v>
      </c>
      <c r="N31" s="51">
        <v>489.60</v>
      </c>
      <c r="O31" s="51">
        <v>0</v>
      </c>
      <c r="P31" s="51">
        <v>2.2599999999999998</v>
      </c>
      <c r="Q31" s="51">
        <v>11.17</v>
      </c>
      <c r="R31" s="43"/>
      <c r="S31" s="43"/>
      <c r="T31" s="43"/>
      <c r="U31" s="43"/>
    </row>
    <row r="32" spans="1:21" s="11" customFormat="1" ht="15">
      <c r="A32" s="50" t="s">
        <v>519</v>
      </c>
      <c r="B32" s="51">
        <v>4.04</v>
      </c>
      <c r="C32" s="51">
        <v>18.899999999999999</v>
      </c>
      <c r="D32" s="51">
        <v>22.93</v>
      </c>
      <c r="E32" s="51">
        <v>6.35</v>
      </c>
      <c r="F32" s="51">
        <v>0.92</v>
      </c>
      <c r="G32" s="51">
        <v>50.73</v>
      </c>
      <c r="H32" s="51">
        <v>18.96</v>
      </c>
      <c r="I32" s="51">
        <v>4.46</v>
      </c>
      <c r="J32" s="51">
        <v>3.59</v>
      </c>
      <c r="K32" s="51">
        <v>202.56</v>
      </c>
      <c r="L32" s="51">
        <v>33.869999999999997</v>
      </c>
      <c r="M32" s="51">
        <v>92.68</v>
      </c>
      <c r="N32" s="51">
        <v>497.90</v>
      </c>
      <c r="O32" s="51">
        <v>0</v>
      </c>
      <c r="P32" s="51">
        <v>2.23</v>
      </c>
      <c r="Q32" s="51">
        <v>10.61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0.96999999999999997</v>
      </c>
      <c r="C34" s="28">
        <f t="shared" si="0"/>
        <v>14.609999999999999</v>
      </c>
      <c r="D34" s="28">
        <f t="shared" si="0"/>
        <v>17.030000000000001</v>
      </c>
      <c r="E34" s="28">
        <f t="shared" si="0"/>
        <v>4.9400000000000004</v>
      </c>
      <c r="F34" s="28">
        <f t="shared" si="0"/>
        <v>0.38</v>
      </c>
      <c r="G34" s="28">
        <f t="shared" si="0"/>
        <v>25.43</v>
      </c>
      <c r="H34" s="28">
        <f t="shared" si="0"/>
        <v>10.32</v>
      </c>
      <c r="I34" s="28">
        <f t="shared" si="0"/>
        <v>3.3199999999999998</v>
      </c>
      <c r="J34" s="28">
        <f t="shared" si="0"/>
        <v>0.80000000000000004</v>
      </c>
      <c r="K34" s="28">
        <f t="shared" si="0"/>
        <v>110</v>
      </c>
      <c r="L34" s="28">
        <f t="shared" si="0"/>
        <v>31.52</v>
      </c>
      <c r="M34" s="28">
        <f t="shared" si="0"/>
        <v>80.810000000000002</v>
      </c>
      <c r="N34" s="28">
        <f t="shared" si="0"/>
        <v>301.5</v>
      </c>
      <c r="O34" s="28">
        <f t="shared" si="0"/>
        <v>0</v>
      </c>
      <c r="P34" s="28">
        <f t="shared" si="0"/>
        <v>2.04</v>
      </c>
      <c r="Q34" s="28">
        <f t="shared" si="0"/>
        <v>8.5199999999999996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21.780000000000001</v>
      </c>
      <c r="C35" s="29">
        <f t="shared" si="1"/>
        <v>26.239999999999998</v>
      </c>
      <c r="D35" s="29">
        <f t="shared" si="1"/>
        <v>44.609999999999999</v>
      </c>
      <c r="E35" s="29">
        <f t="shared" si="1"/>
        <v>8.5800000000000001</v>
      </c>
      <c r="F35" s="29">
        <f t="shared" si="1"/>
        <v>1.73</v>
      </c>
      <c r="G35" s="29">
        <f t="shared" si="1"/>
        <v>90.810000000000002</v>
      </c>
      <c r="H35" s="29">
        <f t="shared" si="1"/>
        <v>39.219999999999999</v>
      </c>
      <c r="I35" s="29">
        <f t="shared" si="1"/>
        <v>6.2400000000000002</v>
      </c>
      <c r="J35" s="29">
        <f t="shared" si="1"/>
        <v>3.5899999999999999</v>
      </c>
      <c r="K35" s="29">
        <f t="shared" si="1"/>
        <v>358.55000000000001</v>
      </c>
      <c r="L35" s="29">
        <f t="shared" si="1"/>
        <v>36.060000000000002</v>
      </c>
      <c r="M35" s="29">
        <f t="shared" si="1"/>
        <v>96.579999999999998</v>
      </c>
      <c r="N35" s="29">
        <f t="shared" si="1"/>
        <v>768.10000000000002</v>
      </c>
      <c r="O35" s="29">
        <f t="shared" si="1"/>
        <v>0.59999999999999998</v>
      </c>
      <c r="P35" s="29">
        <f t="shared" si="1"/>
        <v>2.5699999999999998</v>
      </c>
      <c r="Q35" s="29">
        <f t="shared" si="1"/>
        <v>19.539999999999999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7.2566666666666668</v>
      </c>
      <c r="C36" s="28">
        <f t="shared" si="2"/>
        <v>19.421249999999997</v>
      </c>
      <c r="D36" s="28">
        <f t="shared" si="2"/>
        <v>26.359166666666667</v>
      </c>
      <c r="E36" s="28">
        <f t="shared" si="2"/>
        <v>6.8241666666666676</v>
      </c>
      <c r="F36" s="28">
        <f t="shared" si="2"/>
        <v>0.8520833333333333</v>
      </c>
      <c r="G36" s="28">
        <f t="shared" si="2"/>
        <v>48.657916666666672</v>
      </c>
      <c r="H36" s="28">
        <f t="shared" si="2"/>
        <v>18.625000000000004</v>
      </c>
      <c r="I36" s="28">
        <f t="shared" si="2"/>
        <v>4.3408333333333333</v>
      </c>
      <c r="J36" s="28">
        <f t="shared" si="2"/>
        <v>2.2904166666666668</v>
      </c>
      <c r="K36" s="28">
        <f t="shared" si="2"/>
        <v>232.89750000000004</v>
      </c>
      <c r="L36" s="28">
        <f t="shared" si="2"/>
        <v>34.038333333333334</v>
      </c>
      <c r="M36" s="28">
        <f t="shared" si="2"/>
        <v>90.807916666666642</v>
      </c>
      <c r="N36" s="28">
        <f t="shared" si="2"/>
        <v>502.23333333333335</v>
      </c>
      <c r="O36" s="28">
        <f t="shared" si="2"/>
        <v>0.066666666666666666</v>
      </c>
      <c r="P36" s="28">
        <f t="shared" si="2"/>
        <v>2.2391666666666667</v>
      </c>
      <c r="Q36" s="28">
        <f t="shared" si="2"/>
        <v>12.437500000000002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6.2243754124701001</v>
      </c>
      <c r="C37" s="28">
        <f t="shared" si="3" ref="C37:Q37">STDEV(C9:C32)</f>
        <v>3.5224081590767486</v>
      </c>
      <c r="D37" s="28">
        <f t="shared" si="3"/>
        <v>7.9874760211474678</v>
      </c>
      <c r="E37" s="28">
        <f t="shared" si="3"/>
        <v>0.9856753000361852</v>
      </c>
      <c r="F37" s="28">
        <f t="shared" si="3"/>
        <v>0.41537807991679371</v>
      </c>
      <c r="G37" s="28">
        <f t="shared" si="3"/>
        <v>17.685767792989235</v>
      </c>
      <c r="H37" s="28">
        <f t="shared" si="3"/>
        <v>8.0643488106064911</v>
      </c>
      <c r="I37" s="28">
        <f t="shared" si="3"/>
        <v>0.78764324669102115</v>
      </c>
      <c r="J37" s="28">
        <f t="shared" si="3"/>
        <v>0.79287851565022849</v>
      </c>
      <c r="K37" s="28">
        <f t="shared" si="3"/>
        <v>67.32583115940227</v>
      </c>
      <c r="L37" s="28">
        <f t="shared" si="3"/>
        <v>1.308120678739132</v>
      </c>
      <c r="M37" s="28">
        <f t="shared" si="3"/>
        <v>4.2631382390121413</v>
      </c>
      <c r="N37" s="28">
        <f t="shared" si="3"/>
        <v>142.75374560430268</v>
      </c>
      <c r="O37" s="28">
        <f t="shared" si="3"/>
        <v>0.16329931618554522</v>
      </c>
      <c r="P37" s="28">
        <f t="shared" si="3"/>
        <v>0.15174110293140938</v>
      </c>
      <c r="Q37" s="28">
        <f t="shared" si="3"/>
        <v>2.9940321075214764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83027a-aee7-4677-96f0-9927141254bb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3" sqref="B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20-06-2022 24:00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520</v>
      </c>
      <c r="B9" s="51">
        <v>5.05</v>
      </c>
      <c r="C9" s="51">
        <v>15.87</v>
      </c>
      <c r="D9" s="51">
        <v>20.239999999999998</v>
      </c>
      <c r="E9" s="51">
        <v>7.51</v>
      </c>
      <c r="F9" s="51">
        <v>0.35</v>
      </c>
      <c r="G9" s="51">
        <v>55.52</v>
      </c>
      <c r="H9" s="51">
        <v>23.13</v>
      </c>
      <c r="I9" s="51">
        <v>4.30</v>
      </c>
      <c r="J9" s="51">
        <v>2.2200000000000002</v>
      </c>
      <c r="K9" s="51">
        <v>209</v>
      </c>
      <c r="L9" s="51">
        <v>33.76</v>
      </c>
      <c r="M9" s="51">
        <v>93.04</v>
      </c>
      <c r="N9" s="51">
        <v>469.40</v>
      </c>
      <c r="O9" s="51">
        <v>0</v>
      </c>
      <c r="P9" s="51">
        <v>2.21</v>
      </c>
      <c r="Q9" s="51">
        <v>8.82</v>
      </c>
      <c r="R9" s="43"/>
      <c r="S9" s="43"/>
      <c r="T9" s="43"/>
      <c r="U9" s="43"/>
    </row>
    <row r="10" spans="1:21" s="11" customFormat="1" ht="15">
      <c r="A10" s="50" t="s">
        <v>521</v>
      </c>
      <c r="B10" s="51">
        <v>5.18</v>
      </c>
      <c r="C10" s="51">
        <v>15.40</v>
      </c>
      <c r="D10" s="51">
        <v>20.18</v>
      </c>
      <c r="E10" s="51">
        <v>8.27</v>
      </c>
      <c r="F10" s="51">
        <v>0.43</v>
      </c>
      <c r="G10" s="51">
        <v>59.23</v>
      </c>
      <c r="H10" s="51">
        <v>26.5</v>
      </c>
      <c r="I10" s="51">
        <v>4.38</v>
      </c>
      <c r="J10" s="51">
        <v>2.69</v>
      </c>
      <c r="K10" s="51">
        <v>181.24</v>
      </c>
      <c r="L10" s="51">
        <v>32.409999999999997</v>
      </c>
      <c r="M10" s="51">
        <v>92.71</v>
      </c>
      <c r="N10" s="51">
        <v>585.70000000000005</v>
      </c>
      <c r="O10" s="51">
        <v>0</v>
      </c>
      <c r="P10" s="51">
        <v>2.2000000000000002</v>
      </c>
      <c r="Q10" s="51">
        <v>9.5</v>
      </c>
      <c r="R10" s="43"/>
      <c r="S10" s="43"/>
      <c r="T10" s="43"/>
      <c r="U10" s="43"/>
    </row>
    <row r="11" spans="1:21" s="11" customFormat="1" ht="15">
      <c r="A11" s="50" t="s">
        <v>522</v>
      </c>
      <c r="B11" s="51">
        <v>3.08</v>
      </c>
      <c r="C11" s="51">
        <v>15.32</v>
      </c>
      <c r="D11" s="51">
        <v>18.399999999999999</v>
      </c>
      <c r="E11" s="51">
        <v>7.46</v>
      </c>
      <c r="F11" s="51">
        <v>0.57999999999999996</v>
      </c>
      <c r="G11" s="51">
        <v>51.19</v>
      </c>
      <c r="H11" s="51">
        <v>19.46</v>
      </c>
      <c r="I11" s="51">
        <v>4.0599999999999996</v>
      </c>
      <c r="J11" s="51">
        <v>1.19</v>
      </c>
      <c r="K11" s="51">
        <v>342.29</v>
      </c>
      <c r="L11" s="51">
        <v>32.200000000000003</v>
      </c>
      <c r="M11" s="51">
        <v>94.22</v>
      </c>
      <c r="N11" s="51">
        <v>530.10</v>
      </c>
      <c r="O11" s="51">
        <v>0</v>
      </c>
      <c r="P11" s="51">
        <v>2.15</v>
      </c>
      <c r="Q11" s="51">
        <v>9.59</v>
      </c>
      <c r="R11" s="43"/>
      <c r="S11" s="43"/>
      <c r="T11" s="43"/>
      <c r="U11" s="43"/>
    </row>
    <row r="12" spans="1:21" s="11" customFormat="1" ht="15">
      <c r="A12" s="50" t="s">
        <v>523</v>
      </c>
      <c r="B12" s="51">
        <v>2.4500000000000002</v>
      </c>
      <c r="C12" s="51">
        <v>14.17</v>
      </c>
      <c r="D12" s="51">
        <v>16.62</v>
      </c>
      <c r="E12" s="51">
        <v>6.75</v>
      </c>
      <c r="F12" s="51">
        <v>1.44</v>
      </c>
      <c r="G12" s="51">
        <v>46.91</v>
      </c>
      <c r="H12" s="51">
        <v>16.670000000000002</v>
      </c>
      <c r="I12" s="51">
        <v>3.60</v>
      </c>
      <c r="J12" s="51">
        <v>2.65</v>
      </c>
      <c r="K12" s="51">
        <v>356.30</v>
      </c>
      <c r="L12" s="51">
        <v>31.94</v>
      </c>
      <c r="M12" s="51">
        <v>95.70</v>
      </c>
      <c r="N12" s="51">
        <v>700.60</v>
      </c>
      <c r="O12" s="51">
        <v>0</v>
      </c>
      <c r="P12" s="51">
        <v>2.10</v>
      </c>
      <c r="Q12" s="51">
        <v>9.23</v>
      </c>
      <c r="R12" s="43"/>
      <c r="S12" s="43"/>
      <c r="T12" s="43"/>
      <c r="U12" s="43"/>
    </row>
    <row r="13" spans="1:21" s="11" customFormat="1" ht="15">
      <c r="A13" s="50" t="s">
        <v>524</v>
      </c>
      <c r="B13" s="51">
        <v>1.1399999999999999</v>
      </c>
      <c r="C13" s="51">
        <v>13.93</v>
      </c>
      <c r="D13" s="51">
        <v>14.79</v>
      </c>
      <c r="E13" s="51">
        <v>6.24</v>
      </c>
      <c r="F13" s="51">
        <v>3.28</v>
      </c>
      <c r="G13" s="51">
        <v>30.80</v>
      </c>
      <c r="H13" s="51">
        <v>13.01</v>
      </c>
      <c r="I13" s="51">
        <v>3.13</v>
      </c>
      <c r="J13" s="51">
        <v>1.69</v>
      </c>
      <c r="K13" s="51">
        <v>328.42</v>
      </c>
      <c r="L13" s="51">
        <v>30.41</v>
      </c>
      <c r="M13" s="51">
        <v>95.34</v>
      </c>
      <c r="N13" s="51">
        <v>769.40</v>
      </c>
      <c r="O13" s="51">
        <v>0.60</v>
      </c>
      <c r="P13" s="51">
        <v>2.0499999999999998</v>
      </c>
      <c r="Q13" s="51">
        <v>7.66</v>
      </c>
      <c r="R13" s="43"/>
      <c r="S13" s="43"/>
      <c r="T13" s="43"/>
      <c r="U13" s="43"/>
    </row>
    <row r="14" spans="1:21" s="11" customFormat="1" ht="15">
      <c r="A14" s="50" t="s">
        <v>525</v>
      </c>
      <c r="B14" s="51">
        <v>0.67</v>
      </c>
      <c r="C14" s="51">
        <v>12.28</v>
      </c>
      <c r="D14" s="51">
        <v>12.95</v>
      </c>
      <c r="E14" s="51">
        <v>5.53</v>
      </c>
      <c r="F14" s="51">
        <v>1.53</v>
      </c>
      <c r="G14" s="51">
        <v>20.64</v>
      </c>
      <c r="H14" s="51">
        <v>13.79</v>
      </c>
      <c r="I14" s="51">
        <v>2.5299999999999998</v>
      </c>
      <c r="J14" s="51">
        <v>1.92</v>
      </c>
      <c r="K14" s="51">
        <v>229.66</v>
      </c>
      <c r="L14" s="51">
        <v>29.06</v>
      </c>
      <c r="M14" s="51">
        <v>95.25</v>
      </c>
      <c r="N14" s="51">
        <v>603.10</v>
      </c>
      <c r="O14" s="51">
        <v>0.20</v>
      </c>
      <c r="P14" s="51">
        <v>1.97</v>
      </c>
      <c r="Q14" s="51">
        <v>6.49</v>
      </c>
      <c r="R14" s="43"/>
      <c r="S14" s="43"/>
      <c r="T14" s="43"/>
      <c r="U14" s="43"/>
    </row>
    <row r="15" spans="1:21" s="11" customFormat="1" ht="15">
      <c r="A15" s="50" t="s">
        <v>526</v>
      </c>
      <c r="B15" s="51">
        <v>0.68</v>
      </c>
      <c r="C15" s="51">
        <v>12.39</v>
      </c>
      <c r="D15" s="51">
        <v>13.06</v>
      </c>
      <c r="E15" s="51">
        <v>5.63</v>
      </c>
      <c r="F15" s="51">
        <v>1.49</v>
      </c>
      <c r="G15" s="51">
        <v>16.03</v>
      </c>
      <c r="H15" s="51">
        <v>10.199999999999999</v>
      </c>
      <c r="I15" s="51">
        <v>2.44</v>
      </c>
      <c r="J15" s="51">
        <v>1.94</v>
      </c>
      <c r="K15" s="51">
        <v>239.99</v>
      </c>
      <c r="L15" s="51">
        <v>29.20</v>
      </c>
      <c r="M15" s="51">
        <v>95.07</v>
      </c>
      <c r="N15" s="51">
        <v>607.5</v>
      </c>
      <c r="O15" s="51">
        <v>0</v>
      </c>
      <c r="P15" s="51">
        <v>1.95</v>
      </c>
      <c r="Q15" s="51">
        <v>7.5</v>
      </c>
      <c r="R15" s="43"/>
      <c r="S15" s="43"/>
      <c r="T15" s="43"/>
      <c r="U15" s="43"/>
    </row>
    <row r="16" spans="1:21" s="11" customFormat="1" ht="15">
      <c r="A16" s="50" t="s">
        <v>527</v>
      </c>
      <c r="B16" s="51">
        <v>1.95</v>
      </c>
      <c r="C16" s="51">
        <v>15.20</v>
      </c>
      <c r="D16" s="51">
        <v>17.149999999999999</v>
      </c>
      <c r="E16" s="51">
        <v>5.78</v>
      </c>
      <c r="F16" s="51">
        <v>1.32</v>
      </c>
      <c r="G16" s="51">
        <v>11.45</v>
      </c>
      <c r="H16" s="51">
        <v>8.68</v>
      </c>
      <c r="I16" s="51">
        <v>2.2799999999999998</v>
      </c>
      <c r="J16" s="51">
        <v>1.97</v>
      </c>
      <c r="K16" s="51">
        <v>274.02999999999997</v>
      </c>
      <c r="L16" s="51">
        <v>30.19</v>
      </c>
      <c r="M16" s="51">
        <v>95.25</v>
      </c>
      <c r="N16" s="51">
        <v>681.70</v>
      </c>
      <c r="O16" s="51">
        <v>0</v>
      </c>
      <c r="P16" s="51">
        <v>1.98</v>
      </c>
      <c r="Q16" s="51">
        <v>8.7200000000000006</v>
      </c>
      <c r="R16" s="43"/>
      <c r="S16" s="43"/>
      <c r="T16" s="43"/>
      <c r="U16" s="43"/>
    </row>
    <row r="17" spans="1:21" s="11" customFormat="1" ht="15">
      <c r="A17" s="50" t="s">
        <v>528</v>
      </c>
      <c r="B17" s="51">
        <v>2.89</v>
      </c>
      <c r="C17" s="51">
        <v>18.260000000000002</v>
      </c>
      <c r="D17" s="51">
        <v>20.81</v>
      </c>
      <c r="E17" s="51">
        <v>6.17</v>
      </c>
      <c r="F17" s="51">
        <v>1.35</v>
      </c>
      <c r="G17" s="51">
        <v>9.3800000000000008</v>
      </c>
      <c r="H17" s="51">
        <v>9.49</v>
      </c>
      <c r="I17" s="51">
        <v>2.63</v>
      </c>
      <c r="J17" s="51">
        <v>0.69</v>
      </c>
      <c r="K17" s="51">
        <v>351.58</v>
      </c>
      <c r="L17" s="51">
        <v>31.39</v>
      </c>
      <c r="M17" s="51">
        <v>91.75</v>
      </c>
      <c r="N17" s="51">
        <v>630.60</v>
      </c>
      <c r="O17" s="51">
        <v>0</v>
      </c>
      <c r="P17" s="51">
        <v>2.06</v>
      </c>
      <c r="Q17" s="51">
        <v>9.06</v>
      </c>
      <c r="R17" s="43"/>
      <c r="S17" s="43"/>
      <c r="T17" s="43"/>
      <c r="U17" s="43"/>
    </row>
    <row r="18" spans="1:21" s="11" customFormat="1" ht="15">
      <c r="A18" s="50" t="s">
        <v>529</v>
      </c>
      <c r="B18" s="51">
        <v>2.5299999999999998</v>
      </c>
      <c r="C18" s="51">
        <v>18.98</v>
      </c>
      <c r="D18" s="51">
        <v>21.37</v>
      </c>
      <c r="E18" s="51">
        <v>4.6399999999999997</v>
      </c>
      <c r="F18" s="51">
        <v>1.47</v>
      </c>
      <c r="G18" s="51">
        <v>21.73</v>
      </c>
      <c r="H18" s="51">
        <v>9.2799999999999994</v>
      </c>
      <c r="I18" s="51">
        <v>2.80</v>
      </c>
      <c r="J18" s="51">
        <v>0.78</v>
      </c>
      <c r="K18" s="51">
        <v>320.31</v>
      </c>
      <c r="L18" s="51">
        <v>32.08</v>
      </c>
      <c r="M18" s="51">
        <v>87.87</v>
      </c>
      <c r="N18" s="51">
        <v>687.40</v>
      </c>
      <c r="O18" s="51">
        <v>0</v>
      </c>
      <c r="P18" s="51">
        <v>2.10</v>
      </c>
      <c r="Q18" s="51">
        <v>8.07</v>
      </c>
      <c r="R18" s="43"/>
      <c r="S18" s="43"/>
      <c r="T18" s="43"/>
      <c r="U18" s="43"/>
    </row>
    <row r="19" spans="1:21" s="11" customFormat="1" ht="15">
      <c r="A19" s="50" t="s">
        <v>530</v>
      </c>
      <c r="B19" s="51">
        <v>2.83</v>
      </c>
      <c r="C19" s="51">
        <v>19.39</v>
      </c>
      <c r="D19" s="51">
        <v>22.21</v>
      </c>
      <c r="E19" s="51">
        <v>4.41</v>
      </c>
      <c r="F19" s="51">
        <v>1.32</v>
      </c>
      <c r="G19" s="51">
        <v>25.32</v>
      </c>
      <c r="H19" s="51">
        <v>11.07</v>
      </c>
      <c r="I19" s="51">
        <v>3.24</v>
      </c>
      <c r="J19" s="51">
        <v>1.59</v>
      </c>
      <c r="K19" s="51">
        <v>220.28</v>
      </c>
      <c r="L19" s="51">
        <v>32.67</v>
      </c>
      <c r="M19" s="51">
        <v>84.96</v>
      </c>
      <c r="N19" s="51">
        <v>740.60</v>
      </c>
      <c r="O19" s="51">
        <v>0</v>
      </c>
      <c r="P19" s="51">
        <v>2.13</v>
      </c>
      <c r="Q19" s="51">
        <v>8.8000000000000007</v>
      </c>
      <c r="R19" s="43"/>
      <c r="S19" s="43"/>
      <c r="T19" s="43"/>
      <c r="U19" s="43"/>
    </row>
    <row r="20" spans="1:21" s="11" customFormat="1" ht="15">
      <c r="A20" s="50" t="s">
        <v>531</v>
      </c>
      <c r="B20" s="51">
        <v>3.12</v>
      </c>
      <c r="C20" s="51">
        <v>20.38</v>
      </c>
      <c r="D20" s="51">
        <v>23.5</v>
      </c>
      <c r="E20" s="51">
        <v>4.34</v>
      </c>
      <c r="F20" s="51">
        <v>1.53</v>
      </c>
      <c r="G20" s="51">
        <v>26.20</v>
      </c>
      <c r="H20" s="51">
        <v>8.40</v>
      </c>
      <c r="I20" s="51">
        <v>3.31</v>
      </c>
      <c r="J20" s="51">
        <v>1.41</v>
      </c>
      <c r="K20" s="51">
        <v>349.70</v>
      </c>
      <c r="L20" s="51">
        <v>35.68</v>
      </c>
      <c r="M20" s="51">
        <v>82.03</v>
      </c>
      <c r="N20" s="51">
        <v>881.40</v>
      </c>
      <c r="O20" s="51">
        <v>0</v>
      </c>
      <c r="P20" s="51">
        <v>2.2400000000000002</v>
      </c>
      <c r="Q20" s="51">
        <v>10.11</v>
      </c>
      <c r="R20" s="43"/>
      <c r="S20" s="43"/>
      <c r="T20" s="43"/>
      <c r="U20" s="43"/>
    </row>
    <row r="21" spans="1:21" s="11" customFormat="1" ht="15">
      <c r="A21" s="50" t="s">
        <v>532</v>
      </c>
      <c r="B21" s="51">
        <v>4.54</v>
      </c>
      <c r="C21" s="51">
        <v>22.48</v>
      </c>
      <c r="D21" s="51">
        <v>27.02</v>
      </c>
      <c r="E21" s="51">
        <v>4.29</v>
      </c>
      <c r="F21" s="51">
        <v>1.34</v>
      </c>
      <c r="G21" s="51">
        <v>41.12</v>
      </c>
      <c r="H21" s="51">
        <v>8.61</v>
      </c>
      <c r="I21" s="51">
        <v>3.86</v>
      </c>
      <c r="J21" s="51">
        <v>1.69</v>
      </c>
      <c r="K21" s="51">
        <v>347.23</v>
      </c>
      <c r="L21" s="51">
        <v>36.94</v>
      </c>
      <c r="M21" s="51">
        <v>76.930000000000007</v>
      </c>
      <c r="N21" s="51">
        <v>912.60</v>
      </c>
      <c r="O21" s="51">
        <v>0</v>
      </c>
      <c r="P21" s="51">
        <v>2.37</v>
      </c>
      <c r="Q21" s="51">
        <v>10.91</v>
      </c>
      <c r="R21" s="43"/>
      <c r="S21" s="43"/>
      <c r="T21" s="43"/>
      <c r="U21" s="43"/>
    </row>
    <row r="22" spans="1:21" s="11" customFormat="1" ht="15">
      <c r="A22" s="50" t="s">
        <v>533</v>
      </c>
      <c r="B22" s="51">
        <v>4.8499999999999996</v>
      </c>
      <c r="C22" s="51">
        <v>23.76</v>
      </c>
      <c r="D22" s="51">
        <v>28.62</v>
      </c>
      <c r="E22" s="51">
        <v>5.43</v>
      </c>
      <c r="F22" s="51">
        <v>1.27</v>
      </c>
      <c r="G22" s="51">
        <v>53.89</v>
      </c>
      <c r="H22" s="51">
        <v>13.07</v>
      </c>
      <c r="I22" s="51">
        <v>5</v>
      </c>
      <c r="J22" s="51">
        <v>1.66</v>
      </c>
      <c r="K22" s="51">
        <v>354.47</v>
      </c>
      <c r="L22" s="51">
        <v>38.549999999999997</v>
      </c>
      <c r="M22" s="51">
        <v>73.599999999999994</v>
      </c>
      <c r="N22" s="51">
        <v>1047.70</v>
      </c>
      <c r="O22" s="51">
        <v>0</v>
      </c>
      <c r="P22" s="51">
        <v>2.44</v>
      </c>
      <c r="Q22" s="51">
        <v>10.16</v>
      </c>
      <c r="R22" s="43"/>
      <c r="S22" s="43"/>
      <c r="T22" s="43"/>
      <c r="U22" s="43"/>
    </row>
    <row r="23" spans="1:21" s="11" customFormat="1" ht="15">
      <c r="A23" s="50" t="s">
        <v>534</v>
      </c>
      <c r="B23" s="51">
        <v>5.08</v>
      </c>
      <c r="C23" s="51">
        <v>25.46</v>
      </c>
      <c r="D23" s="51">
        <v>28.97</v>
      </c>
      <c r="E23" s="51">
        <v>5.37</v>
      </c>
      <c r="F23" s="51">
        <v>1.70</v>
      </c>
      <c r="G23" s="51">
        <v>63.83</v>
      </c>
      <c r="H23" s="51">
        <v>15.02</v>
      </c>
      <c r="I23" s="51">
        <v>5.33</v>
      </c>
      <c r="J23" s="51">
        <v>1.60</v>
      </c>
      <c r="K23" s="51">
        <v>336.12</v>
      </c>
      <c r="L23" s="51">
        <v>41.51</v>
      </c>
      <c r="M23" s="51">
        <v>70.08</v>
      </c>
      <c r="N23" s="51">
        <v>1472.5</v>
      </c>
      <c r="O23" s="51">
        <v>0</v>
      </c>
      <c r="P23" s="51">
        <v>2.5099999999999998</v>
      </c>
      <c r="Q23" s="51">
        <v>10.91</v>
      </c>
      <c r="R23" s="43"/>
      <c r="S23" s="43"/>
      <c r="T23" s="43"/>
      <c r="U23" s="43"/>
    </row>
    <row r="24" spans="1:21" s="11" customFormat="1" ht="15">
      <c r="A24" s="50" t="s">
        <v>535</v>
      </c>
      <c r="B24" s="51">
        <v>2.60</v>
      </c>
      <c r="C24" s="51">
        <v>25.83</v>
      </c>
      <c r="D24" s="51">
        <v>28.43</v>
      </c>
      <c r="E24" s="51">
        <v>5</v>
      </c>
      <c r="F24" s="51">
        <v>3.18</v>
      </c>
      <c r="G24" s="51">
        <v>66.19</v>
      </c>
      <c r="H24" s="51">
        <v>18.05</v>
      </c>
      <c r="I24" s="51">
        <v>6.09</v>
      </c>
      <c r="J24" s="51">
        <v>0.74</v>
      </c>
      <c r="K24" s="51">
        <v>285.45</v>
      </c>
      <c r="L24" s="51">
        <v>40.26</v>
      </c>
      <c r="M24" s="51">
        <v>68.66</v>
      </c>
      <c r="N24" s="51">
        <v>1365.90</v>
      </c>
      <c r="O24" s="51">
        <v>0</v>
      </c>
      <c r="P24" s="51">
        <v>2.5099999999999998</v>
      </c>
      <c r="Q24" s="51">
        <v>10.92</v>
      </c>
      <c r="R24" s="43"/>
      <c r="S24" s="43"/>
      <c r="T24" s="43"/>
      <c r="U24" s="43"/>
    </row>
    <row r="25" spans="1:21" s="11" customFormat="1" ht="15">
      <c r="A25" s="50" t="s">
        <v>536</v>
      </c>
      <c r="B25" s="51">
        <v>0.94</v>
      </c>
      <c r="C25" s="51">
        <v>23.35</v>
      </c>
      <c r="D25" s="51">
        <v>24.29</v>
      </c>
      <c r="E25" s="51">
        <v>4.2699999999999996</v>
      </c>
      <c r="F25" s="51">
        <v>3.49</v>
      </c>
      <c r="G25" s="51">
        <v>65.02</v>
      </c>
      <c r="H25" s="51">
        <v>20.77</v>
      </c>
      <c r="I25" s="51">
        <v>6.02</v>
      </c>
      <c r="J25" s="51">
        <v>1.1599999999999999</v>
      </c>
      <c r="K25" s="51">
        <v>296.38</v>
      </c>
      <c r="L25" s="51">
        <v>40.130000000000003</v>
      </c>
      <c r="M25" s="51">
        <v>67.680000000000007</v>
      </c>
      <c r="N25" s="51">
        <v>1316.60</v>
      </c>
      <c r="O25" s="51">
        <v>0</v>
      </c>
      <c r="P25" s="51">
        <v>2.4500000000000002</v>
      </c>
      <c r="Q25" s="51">
        <v>10.08</v>
      </c>
      <c r="R25" s="43"/>
      <c r="S25" s="43"/>
      <c r="T25" s="43"/>
      <c r="U25" s="43"/>
    </row>
    <row r="26" spans="1:21" s="11" customFormat="1" ht="15">
      <c r="A26" s="50" t="s">
        <v>537</v>
      </c>
      <c r="B26" s="51">
        <v>0.86</v>
      </c>
      <c r="C26" s="51">
        <v>20.86</v>
      </c>
      <c r="D26" s="51">
        <v>21.60</v>
      </c>
      <c r="E26" s="51">
        <v>5.0999999999999996</v>
      </c>
      <c r="F26" s="51">
        <v>3.04</v>
      </c>
      <c r="G26" s="51">
        <v>64.31</v>
      </c>
      <c r="H26" s="51">
        <v>19.47</v>
      </c>
      <c r="I26" s="51">
        <v>5.67</v>
      </c>
      <c r="J26" s="51">
        <v>1.96</v>
      </c>
      <c r="K26" s="51">
        <v>228.18</v>
      </c>
      <c r="L26" s="51">
        <v>39.71</v>
      </c>
      <c r="M26" s="51">
        <v>69.02</v>
      </c>
      <c r="N26" s="51">
        <v>1051.0999999999999</v>
      </c>
      <c r="O26" s="51">
        <v>0</v>
      </c>
      <c r="P26" s="51">
        <v>2.42</v>
      </c>
      <c r="Q26" s="51">
        <v>9.16</v>
      </c>
      <c r="R26" s="43"/>
      <c r="S26" s="43"/>
      <c r="T26" s="43"/>
      <c r="U26" s="43"/>
    </row>
    <row r="27" spans="1:21" s="11" customFormat="1" ht="15">
      <c r="A27" s="50" t="s">
        <v>538</v>
      </c>
      <c r="B27" s="51">
        <v>1.38</v>
      </c>
      <c r="C27" s="51">
        <v>19.25</v>
      </c>
      <c r="D27" s="51">
        <v>20.51</v>
      </c>
      <c r="E27" s="51">
        <v>5.52</v>
      </c>
      <c r="F27" s="51">
        <v>2.17</v>
      </c>
      <c r="G27" s="51">
        <v>65.099999999999994</v>
      </c>
      <c r="H27" s="51">
        <v>24.85</v>
      </c>
      <c r="I27" s="51">
        <v>5.19</v>
      </c>
      <c r="J27" s="51">
        <v>1.56</v>
      </c>
      <c r="K27" s="51">
        <v>233.36</v>
      </c>
      <c r="L27" s="51">
        <v>38.99</v>
      </c>
      <c r="M27" s="51">
        <v>73.30</v>
      </c>
      <c r="N27" s="51">
        <v>799.80</v>
      </c>
      <c r="O27" s="51">
        <v>0</v>
      </c>
      <c r="P27" s="51">
        <v>2.35</v>
      </c>
      <c r="Q27" s="51">
        <v>7.70</v>
      </c>
      <c r="R27" s="43"/>
      <c r="S27" s="43"/>
      <c r="T27" s="43"/>
      <c r="U27" s="43"/>
    </row>
    <row r="28" spans="1:21" s="11" customFormat="1" ht="15">
      <c r="A28" s="50" t="s">
        <v>539</v>
      </c>
      <c r="B28" s="51">
        <v>1.20</v>
      </c>
      <c r="C28" s="51">
        <v>18.670000000000002</v>
      </c>
      <c r="D28" s="51">
        <v>19.87</v>
      </c>
      <c r="E28" s="51">
        <v>5.65</v>
      </c>
      <c r="F28" s="51">
        <v>1.98</v>
      </c>
      <c r="G28" s="51">
        <v>62.44</v>
      </c>
      <c r="H28" s="51">
        <v>27.53</v>
      </c>
      <c r="I28" s="51">
        <v>4.91</v>
      </c>
      <c r="J28" s="51">
        <v>2.5</v>
      </c>
      <c r="K28" s="51">
        <v>208.52</v>
      </c>
      <c r="L28" s="51">
        <v>38.06</v>
      </c>
      <c r="M28" s="51">
        <v>76.77</v>
      </c>
      <c r="N28" s="51">
        <v>690.30</v>
      </c>
      <c r="O28" s="51">
        <v>0</v>
      </c>
      <c r="P28" s="51">
        <v>2.2999999999999998</v>
      </c>
      <c r="Q28" s="51">
        <v>8.2200000000000006</v>
      </c>
      <c r="R28" s="43"/>
      <c r="S28" s="43"/>
      <c r="T28" s="43"/>
      <c r="U28" s="43"/>
    </row>
    <row r="29" spans="1:21" s="11" customFormat="1" ht="15">
      <c r="A29" s="50" t="s">
        <v>540</v>
      </c>
      <c r="B29" s="51">
        <v>1.48</v>
      </c>
      <c r="C29" s="51">
        <v>19.39</v>
      </c>
      <c r="D29" s="51">
        <v>20.86</v>
      </c>
      <c r="E29" s="51">
        <v>5.47</v>
      </c>
      <c r="F29" s="51">
        <v>1.30</v>
      </c>
      <c r="G29" s="51">
        <v>59.20</v>
      </c>
      <c r="H29" s="51">
        <v>25.34</v>
      </c>
      <c r="I29" s="51">
        <v>4.20</v>
      </c>
      <c r="J29" s="51">
        <v>1.85</v>
      </c>
      <c r="K29" s="51">
        <v>226.06</v>
      </c>
      <c r="L29" s="51">
        <v>36.97</v>
      </c>
      <c r="M29" s="51">
        <v>79.260000000000005</v>
      </c>
      <c r="N29" s="51">
        <v>591.90</v>
      </c>
      <c r="O29" s="51">
        <v>0</v>
      </c>
      <c r="P29" s="51">
        <v>2.29</v>
      </c>
      <c r="Q29" s="51">
        <v>8.6999999999999993</v>
      </c>
      <c r="R29" s="43"/>
      <c r="S29" s="43"/>
      <c r="T29" s="43"/>
      <c r="U29" s="43"/>
    </row>
    <row r="30" spans="1:21" s="11" customFormat="1" ht="15">
      <c r="A30" s="50" t="s">
        <v>541</v>
      </c>
      <c r="B30" s="51">
        <v>2.25</v>
      </c>
      <c r="C30" s="51">
        <v>19.25</v>
      </c>
      <c r="D30" s="51">
        <v>20.95</v>
      </c>
      <c r="E30" s="51">
        <v>4.9800000000000004</v>
      </c>
      <c r="F30" s="51">
        <v>1.22</v>
      </c>
      <c r="G30" s="51">
        <v>62.82</v>
      </c>
      <c r="H30" s="51">
        <v>28.19</v>
      </c>
      <c r="I30" s="51">
        <v>4.21</v>
      </c>
      <c r="J30" s="51">
        <v>1.61</v>
      </c>
      <c r="K30" s="51">
        <v>231.71</v>
      </c>
      <c r="L30" s="51">
        <v>36.46</v>
      </c>
      <c r="M30" s="51">
        <v>81.72</v>
      </c>
      <c r="N30" s="51">
        <v>789.80</v>
      </c>
      <c r="O30" s="51">
        <v>0</v>
      </c>
      <c r="P30" s="51">
        <v>2.33</v>
      </c>
      <c r="Q30" s="51">
        <v>8.64</v>
      </c>
      <c r="R30" s="43"/>
      <c r="S30" s="43"/>
      <c r="T30" s="43"/>
      <c r="U30" s="43"/>
    </row>
    <row r="31" spans="1:21" s="11" customFormat="1" ht="15">
      <c r="A31" s="50" t="s">
        <v>542</v>
      </c>
      <c r="B31" s="51">
        <v>3.93</v>
      </c>
      <c r="C31" s="51">
        <v>17.45</v>
      </c>
      <c r="D31" s="51">
        <v>20.95</v>
      </c>
      <c r="E31" s="51">
        <v>6.14</v>
      </c>
      <c r="F31" s="51">
        <v>0.68</v>
      </c>
      <c r="G31" s="51">
        <v>65.84</v>
      </c>
      <c r="H31" s="51">
        <v>27.58</v>
      </c>
      <c r="I31" s="51">
        <v>4.67</v>
      </c>
      <c r="J31" s="51">
        <v>2.0099999999999998</v>
      </c>
      <c r="K31" s="51">
        <v>247.03</v>
      </c>
      <c r="L31" s="51">
        <v>35.94</v>
      </c>
      <c r="M31" s="51">
        <v>83.79</v>
      </c>
      <c r="N31" s="51">
        <v>786.70</v>
      </c>
      <c r="O31" s="51">
        <v>0</v>
      </c>
      <c r="P31" s="51">
        <v>2.35</v>
      </c>
      <c r="Q31" s="51">
        <v>7.80</v>
      </c>
      <c r="R31" s="43"/>
      <c r="S31" s="43"/>
      <c r="T31" s="43"/>
      <c r="U31" s="43"/>
    </row>
    <row r="32" spans="1:21" s="11" customFormat="1" ht="15">
      <c r="A32" s="50" t="s">
        <v>543</v>
      </c>
      <c r="B32" s="51">
        <v>4.22</v>
      </c>
      <c r="C32" s="51">
        <v>18.11</v>
      </c>
      <c r="D32" s="51">
        <v>21.73</v>
      </c>
      <c r="E32" s="51">
        <v>6.47</v>
      </c>
      <c r="F32" s="51">
        <v>0.63</v>
      </c>
      <c r="G32" s="51">
        <v>66.349999999999994</v>
      </c>
      <c r="H32" s="51">
        <v>30.53</v>
      </c>
      <c r="I32" s="51">
        <v>4.84</v>
      </c>
      <c r="J32" s="51">
        <v>3.01</v>
      </c>
      <c r="K32" s="51">
        <v>167.66</v>
      </c>
      <c r="L32" s="51">
        <v>35.49</v>
      </c>
      <c r="M32" s="51">
        <v>85.43</v>
      </c>
      <c r="N32" s="51">
        <v>754.40</v>
      </c>
      <c r="O32" s="51">
        <v>0</v>
      </c>
      <c r="P32" s="51">
        <v>2.35</v>
      </c>
      <c r="Q32" s="51">
        <v>8.86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0.67000000000000004</v>
      </c>
      <c r="C34" s="28">
        <f t="shared" si="0"/>
        <v>12.279999999999999</v>
      </c>
      <c r="D34" s="28">
        <f t="shared" si="0"/>
        <v>12.949999999999999</v>
      </c>
      <c r="E34" s="28">
        <f t="shared" si="0"/>
        <v>4.2699999999999996</v>
      </c>
      <c r="F34" s="28">
        <f t="shared" si="0"/>
        <v>0.34999999999999998</v>
      </c>
      <c r="G34" s="28">
        <f t="shared" si="0"/>
        <v>9.3800000000000008</v>
      </c>
      <c r="H34" s="28">
        <f t="shared" si="0"/>
        <v>8.4000000000000004</v>
      </c>
      <c r="I34" s="28">
        <f t="shared" si="0"/>
        <v>2.2799999999999998</v>
      </c>
      <c r="J34" s="28">
        <f t="shared" si="0"/>
        <v>0.68999999999999995</v>
      </c>
      <c r="K34" s="28">
        <f t="shared" si="0"/>
        <v>167.66</v>
      </c>
      <c r="L34" s="28">
        <f t="shared" si="0"/>
        <v>29.059999999999999</v>
      </c>
      <c r="M34" s="28">
        <f t="shared" si="0"/>
        <v>67.680000000000007</v>
      </c>
      <c r="N34" s="28">
        <f t="shared" si="0"/>
        <v>469.39999999999998</v>
      </c>
      <c r="O34" s="28">
        <f t="shared" si="0"/>
        <v>0</v>
      </c>
      <c r="P34" s="28">
        <f t="shared" si="0"/>
        <v>1.95</v>
      </c>
      <c r="Q34" s="28">
        <f t="shared" si="0"/>
        <v>6.4900000000000002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5.1799999999999997</v>
      </c>
      <c r="C35" s="29">
        <f t="shared" si="1"/>
        <v>25.829999999999998</v>
      </c>
      <c r="D35" s="29">
        <f t="shared" si="1"/>
        <v>28.969999999999999</v>
      </c>
      <c r="E35" s="29">
        <f t="shared" si="1"/>
        <v>8.2699999999999996</v>
      </c>
      <c r="F35" s="29">
        <f t="shared" si="1"/>
        <v>3.4900000000000002</v>
      </c>
      <c r="G35" s="29">
        <f t="shared" si="1"/>
        <v>66.349999999999994</v>
      </c>
      <c r="H35" s="29">
        <f t="shared" si="1"/>
        <v>30.530000000000001</v>
      </c>
      <c r="I35" s="29">
        <f t="shared" si="1"/>
        <v>6.0899999999999999</v>
      </c>
      <c r="J35" s="29">
        <f t="shared" si="1"/>
        <v>3.0099999999999998</v>
      </c>
      <c r="K35" s="29">
        <f t="shared" si="1"/>
        <v>356.30000000000001</v>
      </c>
      <c r="L35" s="29">
        <f t="shared" si="1"/>
        <v>41.509999999999998</v>
      </c>
      <c r="M35" s="29">
        <f t="shared" si="1"/>
        <v>95.700000000000003</v>
      </c>
      <c r="N35" s="29">
        <f t="shared" si="1"/>
        <v>1472.5</v>
      </c>
      <c r="O35" s="29">
        <f t="shared" si="1"/>
        <v>0.59999999999999998</v>
      </c>
      <c r="P35" s="29">
        <f t="shared" si="1"/>
        <v>2.5099999999999998</v>
      </c>
      <c r="Q35" s="29">
        <f t="shared" si="1"/>
        <v>10.92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2.7041666666666671</v>
      </c>
      <c r="C36" s="28">
        <f t="shared" si="2"/>
        <v>18.559583333333332</v>
      </c>
      <c r="D36" s="28">
        <f t="shared" si="2"/>
        <v>21.045000000000002</v>
      </c>
      <c r="E36" s="28">
        <f t="shared" si="2"/>
        <v>5.684166666666667</v>
      </c>
      <c r="F36" s="28">
        <f t="shared" si="2"/>
        <v>1.5870833333333332</v>
      </c>
      <c r="G36" s="28">
        <f t="shared" si="2"/>
        <v>46.271250000000002</v>
      </c>
      <c r="H36" s="28">
        <f t="shared" si="2"/>
        <v>17.862083333333334</v>
      </c>
      <c r="I36" s="28">
        <f t="shared" si="2"/>
        <v>4.1120833333333335</v>
      </c>
      <c r="J36" s="28">
        <f t="shared" si="2"/>
        <v>1.7537499999999999</v>
      </c>
      <c r="K36" s="28">
        <f t="shared" si="2"/>
        <v>273.54041666666666</v>
      </c>
      <c r="L36" s="28">
        <f t="shared" si="2"/>
        <v>35.000000000000007</v>
      </c>
      <c r="M36" s="28">
        <f t="shared" si="2"/>
        <v>83.726250000000007</v>
      </c>
      <c r="N36" s="28">
        <f t="shared" si="2"/>
        <v>811.11666666666679</v>
      </c>
      <c r="O36" s="28">
        <f t="shared" si="2"/>
        <v>0.033333333333333333</v>
      </c>
      <c r="P36" s="28">
        <f t="shared" si="2"/>
        <v>2.2420833333333334</v>
      </c>
      <c r="Q36" s="28">
        <f t="shared" si="2"/>
        <v>8.9837500000000006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1.5181135796045384</v>
      </c>
      <c r="C37" s="28">
        <f t="shared" si="3" ref="C37:Q37">STDEV(C9:C32)</f>
        <v>3.8203351539368575</v>
      </c>
      <c r="D37" s="28">
        <f t="shared" si="3"/>
        <v>4.3865149086123232</v>
      </c>
      <c r="E37" s="28">
        <f t="shared" si="3"/>
        <v>1.0575316488908413</v>
      </c>
      <c r="F37" s="28">
        <f t="shared" si="3"/>
        <v>0.88203065689926308</v>
      </c>
      <c r="G37" s="28">
        <f t="shared" si="3"/>
        <v>20.233534865469601</v>
      </c>
      <c r="H37" s="28">
        <f t="shared" si="3"/>
        <v>7.390966859835614</v>
      </c>
      <c r="I37" s="28">
        <f t="shared" si="3"/>
        <v>1.1475038284170913</v>
      </c>
      <c r="J37" s="28">
        <f t="shared" si="3"/>
        <v>0.60001313391422262</v>
      </c>
      <c r="K37" s="28">
        <f t="shared" si="3"/>
        <v>61.71988196888929</v>
      </c>
      <c r="L37" s="28">
        <f t="shared" si="3"/>
        <v>3.807096348753888</v>
      </c>
      <c r="M37" s="28">
        <f t="shared" si="3"/>
        <v>9.9032725432160884</v>
      </c>
      <c r="N37" s="28">
        <f t="shared" si="3"/>
        <v>264.69241816093574</v>
      </c>
      <c r="O37" s="28">
        <f t="shared" si="3"/>
        <v>0.12740441145412124</v>
      </c>
      <c r="P37" s="28">
        <f t="shared" si="3"/>
        <v>0.17252546545911432</v>
      </c>
      <c r="Q37" s="28">
        <f t="shared" si="3"/>
        <v>1.156072107349412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495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28b875-d719-4d60-813b-812459e0150e}">
  <sheetPr codeName=""/>
  <dimension ref="A1:U119"/>
  <sheetViews>
    <sheetView workbookViewId="0" topLeftCell="A1">
      <pane xSplit="1" ySplit="8" topLeftCell="B3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7" sqref="A7:Q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21-06-2022 24:00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544</v>
      </c>
      <c r="B9" s="51">
        <v>3.46</v>
      </c>
      <c r="C9" s="51">
        <v>18.55</v>
      </c>
      <c r="D9" s="51">
        <v>22.01</v>
      </c>
      <c r="E9" s="51">
        <v>5.94</v>
      </c>
      <c r="F9" s="51">
        <v>0.52</v>
      </c>
      <c r="G9" s="51">
        <v>64.14</v>
      </c>
      <c r="H9" s="51">
        <v>26.64</v>
      </c>
      <c r="I9" s="51">
        <v>4.6399999999999997</v>
      </c>
      <c r="J9" s="51">
        <v>2.83</v>
      </c>
      <c r="K9" s="51">
        <v>184.64</v>
      </c>
      <c r="L9" s="51">
        <v>35.340000000000003</v>
      </c>
      <c r="M9" s="51">
        <v>87.05</v>
      </c>
      <c r="N9" s="51">
        <v>740.70</v>
      </c>
      <c r="O9" s="51">
        <v>0</v>
      </c>
      <c r="P9" s="51">
        <v>2.29</v>
      </c>
      <c r="Q9" s="51">
        <v>9</v>
      </c>
      <c r="R9" s="43"/>
      <c r="S9" s="43"/>
      <c r="T9" s="43"/>
      <c r="U9" s="43"/>
    </row>
    <row r="10" spans="1:21" s="11" customFormat="1" ht="15">
      <c r="A10" s="50" t="s">
        <v>545</v>
      </c>
      <c r="B10" s="51">
        <v>2.73</v>
      </c>
      <c r="C10" s="51">
        <v>17.23</v>
      </c>
      <c r="D10" s="51">
        <v>19.96</v>
      </c>
      <c r="E10" s="51">
        <v>6.94</v>
      </c>
      <c r="F10" s="51">
        <v>0.79</v>
      </c>
      <c r="G10" s="51">
        <v>59.32</v>
      </c>
      <c r="H10" s="51">
        <v>26.76</v>
      </c>
      <c r="I10" s="51">
        <v>4.20</v>
      </c>
      <c r="J10" s="51">
        <v>2.0499999999999998</v>
      </c>
      <c r="K10" s="51">
        <v>225.86</v>
      </c>
      <c r="L10" s="51">
        <v>35</v>
      </c>
      <c r="M10" s="51">
        <v>91.14</v>
      </c>
      <c r="N10" s="51">
        <v>523.90</v>
      </c>
      <c r="O10" s="51">
        <v>0</v>
      </c>
      <c r="P10" s="51">
        <v>2.2400000000000002</v>
      </c>
      <c r="Q10" s="51">
        <v>8.4499999999999993</v>
      </c>
      <c r="R10" s="43"/>
      <c r="S10" s="43"/>
      <c r="T10" s="43"/>
      <c r="U10" s="43"/>
    </row>
    <row r="11" spans="1:21" s="11" customFormat="1" ht="15">
      <c r="A11" s="50" t="s">
        <v>546</v>
      </c>
      <c r="B11" s="51">
        <v>3.32</v>
      </c>
      <c r="C11" s="51">
        <v>14.58</v>
      </c>
      <c r="D11" s="51">
        <v>17.14</v>
      </c>
      <c r="E11" s="51">
        <v>7.73</v>
      </c>
      <c r="F11" s="51">
        <v>0.74</v>
      </c>
      <c r="G11" s="51">
        <v>55.58</v>
      </c>
      <c r="H11" s="51">
        <v>22.06</v>
      </c>
      <c r="I11" s="51">
        <v>3.88</v>
      </c>
      <c r="J11" s="51">
        <v>1.63</v>
      </c>
      <c r="K11" s="51">
        <v>260.92</v>
      </c>
      <c r="L11" s="51">
        <v>34.24</v>
      </c>
      <c r="M11" s="51">
        <v>91.47</v>
      </c>
      <c r="N11" s="51">
        <v>640.60</v>
      </c>
      <c r="O11" s="51">
        <v>0</v>
      </c>
      <c r="P11" s="51">
        <v>2.19</v>
      </c>
      <c r="Q11" s="51">
        <v>7.75</v>
      </c>
      <c r="R11" s="43"/>
      <c r="S11" s="43"/>
      <c r="T11" s="43"/>
      <c r="U11" s="43"/>
    </row>
    <row r="12" spans="1:21" s="11" customFormat="1" ht="15">
      <c r="A12" s="50" t="s">
        <v>547</v>
      </c>
      <c r="B12" s="51">
        <v>3.55</v>
      </c>
      <c r="C12" s="51">
        <v>13.47</v>
      </c>
      <c r="D12" s="51">
        <v>16.93</v>
      </c>
      <c r="E12" s="51">
        <v>7.98</v>
      </c>
      <c r="F12" s="51">
        <v>0.73</v>
      </c>
      <c r="G12" s="51">
        <v>52.17</v>
      </c>
      <c r="H12" s="51">
        <v>22.12</v>
      </c>
      <c r="I12" s="51">
        <v>3.94</v>
      </c>
      <c r="J12" s="51">
        <v>1.57</v>
      </c>
      <c r="K12" s="51">
        <v>358.34</v>
      </c>
      <c r="L12" s="51">
        <v>34.299999999999997</v>
      </c>
      <c r="M12" s="51">
        <v>90.57</v>
      </c>
      <c r="N12" s="51">
        <v>883.40</v>
      </c>
      <c r="O12" s="51">
        <v>0</v>
      </c>
      <c r="P12" s="51">
        <v>2.16</v>
      </c>
      <c r="Q12" s="51">
        <v>7.14</v>
      </c>
      <c r="R12" s="43"/>
      <c r="S12" s="43"/>
      <c r="T12" s="43"/>
      <c r="U12" s="43"/>
    </row>
    <row r="13" spans="1:21" s="11" customFormat="1" ht="15">
      <c r="A13" s="50" t="s">
        <v>548</v>
      </c>
      <c r="B13" s="51">
        <v>3.15</v>
      </c>
      <c r="C13" s="51">
        <v>13.51</v>
      </c>
      <c r="D13" s="51">
        <v>16.57</v>
      </c>
      <c r="E13" s="51">
        <v>7.73</v>
      </c>
      <c r="F13" s="51">
        <v>0.57999999999999996</v>
      </c>
      <c r="G13" s="51">
        <v>46.90</v>
      </c>
      <c r="H13" s="51">
        <v>16.96</v>
      </c>
      <c r="I13" s="51">
        <v>3.87</v>
      </c>
      <c r="J13" s="51">
        <v>1.61</v>
      </c>
      <c r="K13" s="51">
        <v>302.38</v>
      </c>
      <c r="L13" s="51">
        <v>34.07</v>
      </c>
      <c r="M13" s="51">
        <v>91.21</v>
      </c>
      <c r="N13" s="51">
        <v>870.10</v>
      </c>
      <c r="O13" s="51">
        <v>0</v>
      </c>
      <c r="P13" s="51">
        <v>2.11</v>
      </c>
      <c r="Q13" s="51">
        <v>7.62</v>
      </c>
      <c r="R13" s="43"/>
      <c r="S13" s="43"/>
      <c r="T13" s="43"/>
      <c r="U13" s="43"/>
    </row>
    <row r="14" spans="1:21" s="11" customFormat="1" ht="15">
      <c r="A14" s="50" t="s">
        <v>549</v>
      </c>
      <c r="B14" s="51">
        <v>2.2599999999999998</v>
      </c>
      <c r="C14" s="51">
        <v>13.71</v>
      </c>
      <c r="D14" s="51">
        <v>15.97</v>
      </c>
      <c r="E14" s="51">
        <v>6.13</v>
      </c>
      <c r="F14" s="51">
        <v>0.68</v>
      </c>
      <c r="G14" s="51">
        <v>31.37</v>
      </c>
      <c r="H14" s="51">
        <v>12.53</v>
      </c>
      <c r="I14" s="51">
        <v>3.34</v>
      </c>
      <c r="J14" s="51">
        <v>0.57999999999999996</v>
      </c>
      <c r="K14" s="51">
        <v>341.12</v>
      </c>
      <c r="L14" s="51">
        <v>33.770000000000003</v>
      </c>
      <c r="M14" s="51">
        <v>91.75</v>
      </c>
      <c r="N14" s="51">
        <v>811.90</v>
      </c>
      <c r="O14" s="51">
        <v>0</v>
      </c>
      <c r="P14" s="51">
        <v>2.0699999999999998</v>
      </c>
      <c r="Q14" s="51">
        <v>7.60</v>
      </c>
      <c r="R14" s="43"/>
      <c r="S14" s="43"/>
      <c r="T14" s="43"/>
      <c r="U14" s="43"/>
    </row>
    <row r="15" spans="1:21" s="11" customFormat="1" ht="15">
      <c r="A15" s="50" t="s">
        <v>550</v>
      </c>
      <c r="B15" s="51">
        <v>3.44</v>
      </c>
      <c r="C15" s="51">
        <v>14.44</v>
      </c>
      <c r="D15" s="51">
        <v>17.850000000000001</v>
      </c>
      <c r="E15" s="51">
        <v>6.25</v>
      </c>
      <c r="F15" s="51">
        <v>0.53</v>
      </c>
      <c r="G15" s="51">
        <v>31.83</v>
      </c>
      <c r="H15" s="51">
        <v>12.80</v>
      </c>
      <c r="I15" s="51">
        <v>3.47</v>
      </c>
      <c r="J15" s="51">
        <v>1.36</v>
      </c>
      <c r="K15" s="51">
        <v>252.90</v>
      </c>
      <c r="L15" s="51">
        <v>33.71</v>
      </c>
      <c r="M15" s="51">
        <v>90.65</v>
      </c>
      <c r="N15" s="51">
        <v>774.70</v>
      </c>
      <c r="O15" s="51">
        <v>0</v>
      </c>
      <c r="P15" s="51">
        <v>2.11</v>
      </c>
      <c r="Q15" s="51">
        <v>7.82</v>
      </c>
      <c r="R15" s="43"/>
      <c r="S15" s="43"/>
      <c r="T15" s="43"/>
      <c r="U15" s="43"/>
    </row>
    <row r="16" spans="1:21" s="11" customFormat="1" ht="15">
      <c r="A16" s="50" t="s">
        <v>551</v>
      </c>
      <c r="B16" s="51">
        <v>6.61</v>
      </c>
      <c r="C16" s="51">
        <v>16.09</v>
      </c>
      <c r="D16" s="51">
        <v>22.70</v>
      </c>
      <c r="E16" s="51">
        <v>7.04</v>
      </c>
      <c r="F16" s="51">
        <v>0.51</v>
      </c>
      <c r="G16" s="51">
        <v>42.04</v>
      </c>
      <c r="H16" s="51">
        <v>15.97</v>
      </c>
      <c r="I16" s="51">
        <v>4.49</v>
      </c>
      <c r="J16" s="51">
        <v>1.04</v>
      </c>
      <c r="K16" s="51">
        <v>356.62</v>
      </c>
      <c r="L16" s="51">
        <v>36.130000000000003</v>
      </c>
      <c r="M16" s="51">
        <v>87.57</v>
      </c>
      <c r="N16" s="51">
        <v>987.20</v>
      </c>
      <c r="O16" s="51">
        <v>0</v>
      </c>
      <c r="P16" s="51">
        <v>2.2000000000000002</v>
      </c>
      <c r="Q16" s="51">
        <v>8.26</v>
      </c>
      <c r="R16" s="43"/>
      <c r="S16" s="43"/>
      <c r="T16" s="43"/>
      <c r="U16" s="43"/>
    </row>
    <row r="17" spans="1:21" s="11" customFormat="1" ht="15">
      <c r="A17" s="50" t="s">
        <v>552</v>
      </c>
      <c r="B17" s="51">
        <v>7.91</v>
      </c>
      <c r="C17" s="51">
        <v>20.73</v>
      </c>
      <c r="D17" s="51">
        <v>28.64</v>
      </c>
      <c r="E17" s="51">
        <v>7.24</v>
      </c>
      <c r="F17" s="51">
        <v>0.60</v>
      </c>
      <c r="G17" s="51">
        <v>57.42</v>
      </c>
      <c r="H17" s="51">
        <v>17.97</v>
      </c>
      <c r="I17" s="51">
        <v>6.58</v>
      </c>
      <c r="J17" s="51">
        <v>1.49</v>
      </c>
      <c r="K17" s="51">
        <v>334.26</v>
      </c>
      <c r="L17" s="51">
        <v>38.840000000000003</v>
      </c>
      <c r="M17" s="51">
        <v>75.80</v>
      </c>
      <c r="N17" s="51">
        <v>1231.5</v>
      </c>
      <c r="O17" s="51">
        <v>0</v>
      </c>
      <c r="P17" s="51">
        <v>2.48</v>
      </c>
      <c r="Q17" s="51">
        <v>10.67</v>
      </c>
      <c r="R17" s="43"/>
      <c r="S17" s="43"/>
      <c r="T17" s="43"/>
      <c r="U17" s="43"/>
    </row>
    <row r="18" spans="1:21" s="11" customFormat="1" ht="15">
      <c r="A18" s="50" t="s">
        <v>553</v>
      </c>
      <c r="B18" s="51">
        <v>7.52</v>
      </c>
      <c r="C18" s="51">
        <v>23.70</v>
      </c>
      <c r="D18" s="51">
        <v>29.88</v>
      </c>
      <c r="E18" s="51">
        <v>5.80</v>
      </c>
      <c r="F18" s="51">
        <v>1.07</v>
      </c>
      <c r="G18" s="51">
        <v>63.41</v>
      </c>
      <c r="H18" s="51">
        <v>18.16</v>
      </c>
      <c r="I18" s="51">
        <v>8.2899999999999991</v>
      </c>
      <c r="J18" s="51">
        <v>0.63</v>
      </c>
      <c r="K18" s="51">
        <v>294.61</v>
      </c>
      <c r="L18" s="51">
        <v>38.67</v>
      </c>
      <c r="M18" s="51">
        <v>72.959999999999994</v>
      </c>
      <c r="N18" s="51">
        <v>1351.60</v>
      </c>
      <c r="O18" s="51">
        <v>0</v>
      </c>
      <c r="P18" s="51">
        <v>2.4700000000000002</v>
      </c>
      <c r="Q18" s="51">
        <v>10.86</v>
      </c>
      <c r="R18" s="43"/>
      <c r="S18" s="43"/>
      <c r="T18" s="43"/>
      <c r="U18" s="43"/>
    </row>
    <row r="19" spans="1:21" s="11" customFormat="1" ht="15">
      <c r="A19" s="50" t="s">
        <v>554</v>
      </c>
      <c r="B19" s="51">
        <v>3.96</v>
      </c>
      <c r="C19" s="51">
        <v>23.77</v>
      </c>
      <c r="D19" s="51">
        <v>27.73</v>
      </c>
      <c r="E19" s="51">
        <v>4.92</v>
      </c>
      <c r="F19" s="51">
        <v>1.92</v>
      </c>
      <c r="G19" s="51">
        <v>56.72</v>
      </c>
      <c r="H19" s="51">
        <v>18.27</v>
      </c>
      <c r="I19" s="51">
        <v>7.09</v>
      </c>
      <c r="J19" s="51">
        <v>0.67</v>
      </c>
      <c r="K19" s="51">
        <v>331.49</v>
      </c>
      <c r="L19" s="51">
        <v>41.04</v>
      </c>
      <c r="M19" s="51">
        <v>68.36</v>
      </c>
      <c r="N19" s="51">
        <v>1542.70</v>
      </c>
      <c r="O19" s="51">
        <v>0</v>
      </c>
      <c r="P19" s="51">
        <v>2.41</v>
      </c>
      <c r="Q19" s="51">
        <v>10</v>
      </c>
      <c r="R19" s="43"/>
      <c r="S19" s="43"/>
      <c r="T19" s="43"/>
      <c r="U19" s="43"/>
    </row>
    <row r="20" spans="1:21" s="11" customFormat="1" ht="15">
      <c r="A20" s="50" t="s">
        <v>555</v>
      </c>
      <c r="B20" s="51">
        <v>2.41</v>
      </c>
      <c r="C20" s="51">
        <v>21.83</v>
      </c>
      <c r="D20" s="51">
        <v>24.18</v>
      </c>
      <c r="E20" s="51">
        <v>4.9400000000000004</v>
      </c>
      <c r="F20" s="51">
        <v>1.83</v>
      </c>
      <c r="G20" s="51">
        <v>52.80</v>
      </c>
      <c r="H20" s="51">
        <v>16.47</v>
      </c>
      <c r="I20" s="51">
        <v>7.96</v>
      </c>
      <c r="J20" s="51">
        <v>1.44</v>
      </c>
      <c r="K20" s="51">
        <v>322.45</v>
      </c>
      <c r="L20" s="51">
        <v>42.68</v>
      </c>
      <c r="M20" s="51">
        <v>62.83</v>
      </c>
      <c r="N20" s="51">
        <v>1569.5</v>
      </c>
      <c r="O20" s="51">
        <v>0</v>
      </c>
      <c r="P20" s="51">
        <v>2.42</v>
      </c>
      <c r="Q20" s="51">
        <v>8.69</v>
      </c>
      <c r="R20" s="43"/>
      <c r="S20" s="43"/>
      <c r="T20" s="43"/>
      <c r="U20" s="43"/>
    </row>
    <row r="21" spans="1:21" s="11" customFormat="1" ht="15">
      <c r="A21" s="50" t="s">
        <v>556</v>
      </c>
      <c r="B21" s="51">
        <v>2.19</v>
      </c>
      <c r="C21" s="51">
        <v>22.20</v>
      </c>
      <c r="D21" s="51">
        <v>24.04</v>
      </c>
      <c r="E21" s="51">
        <v>5.33</v>
      </c>
      <c r="F21" s="51">
        <v>2.79</v>
      </c>
      <c r="G21" s="51">
        <v>62.45</v>
      </c>
      <c r="H21" s="51">
        <v>18.36</v>
      </c>
      <c r="I21" s="51">
        <v>14.31</v>
      </c>
      <c r="J21" s="51">
        <v>1.41</v>
      </c>
      <c r="K21" s="51">
        <v>337.98</v>
      </c>
      <c r="L21" s="51">
        <v>44.23</v>
      </c>
      <c r="M21" s="51">
        <v>56.29</v>
      </c>
      <c r="N21" s="51">
        <v>1688.5</v>
      </c>
      <c r="O21" s="51">
        <v>0</v>
      </c>
      <c r="P21" s="51">
        <v>2.4300000000000002</v>
      </c>
      <c r="Q21" s="51">
        <v>8.31</v>
      </c>
      <c r="R21" s="43"/>
      <c r="S21" s="43"/>
      <c r="T21" s="43"/>
      <c r="U21" s="43"/>
    </row>
    <row r="22" spans="1:21" s="11" customFormat="1" ht="15">
      <c r="A22" s="50" t="s">
        <v>557</v>
      </c>
      <c r="B22" s="51">
        <v>1.08</v>
      </c>
      <c r="C22" s="51">
        <v>21.20</v>
      </c>
      <c r="D22" s="51">
        <v>22.28</v>
      </c>
      <c r="E22" s="51">
        <v>6.01</v>
      </c>
      <c r="F22" s="51">
        <v>4.07</v>
      </c>
      <c r="G22" s="51">
        <v>67.78</v>
      </c>
      <c r="H22" s="51">
        <v>19.850000000000001</v>
      </c>
      <c r="I22" s="51">
        <v>8.1999999999999993</v>
      </c>
      <c r="J22" s="51">
        <v>3.46</v>
      </c>
      <c r="K22" s="51">
        <v>236.54</v>
      </c>
      <c r="L22" s="51">
        <v>43.57</v>
      </c>
      <c r="M22" s="51">
        <v>58.10</v>
      </c>
      <c r="N22" s="51">
        <v>1463.20</v>
      </c>
      <c r="O22" s="51">
        <v>0</v>
      </c>
      <c r="P22" s="51">
        <v>2.40</v>
      </c>
      <c r="Q22" s="51">
        <v>8.26</v>
      </c>
      <c r="R22" s="43"/>
      <c r="S22" s="43"/>
      <c r="T22" s="43"/>
      <c r="U22" s="43"/>
    </row>
    <row r="23" spans="1:21" s="11" customFormat="1" ht="15">
      <c r="A23" s="50" t="s">
        <v>558</v>
      </c>
      <c r="B23" s="51">
        <v>0.40</v>
      </c>
      <c r="C23" s="51">
        <v>17.010000000000002</v>
      </c>
      <c r="D23" s="51">
        <v>17.350000000000001</v>
      </c>
      <c r="E23" s="51">
        <v>5.75</v>
      </c>
      <c r="F23" s="51">
        <v>4.30</v>
      </c>
      <c r="G23" s="51">
        <v>60.35</v>
      </c>
      <c r="H23" s="51">
        <v>20.28</v>
      </c>
      <c r="I23" s="51">
        <v>6.85</v>
      </c>
      <c r="J23" s="51">
        <v>1.89</v>
      </c>
      <c r="K23" s="51">
        <v>267.04000000000002</v>
      </c>
      <c r="L23" s="51">
        <v>44.65</v>
      </c>
      <c r="M23" s="51">
        <v>54.20</v>
      </c>
      <c r="N23" s="51">
        <v>1381.10</v>
      </c>
      <c r="O23" s="51">
        <v>0</v>
      </c>
      <c r="P23" s="51">
        <v>2.29</v>
      </c>
      <c r="Q23" s="51">
        <v>7.62</v>
      </c>
      <c r="R23" s="43"/>
      <c r="S23" s="43"/>
      <c r="T23" s="43"/>
      <c r="U23" s="43"/>
    </row>
    <row r="24" spans="1:21" s="11" customFormat="1" ht="15">
      <c r="A24" s="50" t="s">
        <v>559</v>
      </c>
      <c r="B24" s="51">
        <v>0.70</v>
      </c>
      <c r="C24" s="51">
        <v>17.37</v>
      </c>
      <c r="D24" s="51">
        <v>17.86</v>
      </c>
      <c r="E24" s="51">
        <v>5.72</v>
      </c>
      <c r="F24" s="51">
        <v>2.98</v>
      </c>
      <c r="G24" s="51">
        <v>55.91</v>
      </c>
      <c r="H24" s="51">
        <v>16.579999999999998</v>
      </c>
      <c r="I24" s="51">
        <v>5.65</v>
      </c>
      <c r="J24" s="51">
        <v>2.31</v>
      </c>
      <c r="K24" s="51">
        <v>314.5</v>
      </c>
      <c r="L24" s="51">
        <v>50.22</v>
      </c>
      <c r="M24" s="51">
        <v>50.79</v>
      </c>
      <c r="N24" s="51">
        <v>1414.70</v>
      </c>
      <c r="O24" s="51">
        <v>0</v>
      </c>
      <c r="P24" s="51">
        <v>2.2400000000000002</v>
      </c>
      <c r="Q24" s="51">
        <v>7.58</v>
      </c>
      <c r="R24" s="43"/>
      <c r="S24" s="43"/>
      <c r="T24" s="43"/>
      <c r="U24" s="43"/>
    </row>
    <row r="25" spans="1:21" s="11" customFormat="1" ht="15">
      <c r="A25" s="50" t="s">
        <v>560</v>
      </c>
      <c r="B25" s="51">
        <v>1.40</v>
      </c>
      <c r="C25" s="51">
        <v>22.07</v>
      </c>
      <c r="D25" s="51">
        <v>23.47</v>
      </c>
      <c r="E25" s="51">
        <v>6.26</v>
      </c>
      <c r="F25" s="51">
        <v>4.32</v>
      </c>
      <c r="G25" s="51">
        <v>67.80</v>
      </c>
      <c r="H25" s="51">
        <v>18.79</v>
      </c>
      <c r="I25" s="51">
        <v>5.56</v>
      </c>
      <c r="J25" s="51">
        <v>5.31</v>
      </c>
      <c r="K25" s="51">
        <v>353.08</v>
      </c>
      <c r="L25" s="51">
        <v>52.45</v>
      </c>
      <c r="M25" s="51">
        <v>67.36</v>
      </c>
      <c r="N25" s="51">
        <v>1180</v>
      </c>
      <c r="O25" s="51">
        <v>0</v>
      </c>
      <c r="P25" s="51">
        <v>2.27</v>
      </c>
      <c r="Q25" s="51">
        <v>7.53</v>
      </c>
      <c r="R25" s="43"/>
      <c r="S25" s="43"/>
      <c r="T25" s="43"/>
      <c r="U25" s="43"/>
    </row>
    <row r="26" spans="1:21" s="11" customFormat="1" ht="15">
      <c r="A26" s="50" t="s">
        <v>561</v>
      </c>
      <c r="B26" s="51">
        <v>1.38</v>
      </c>
      <c r="C26" s="51">
        <v>23.52</v>
      </c>
      <c r="D26" s="51">
        <v>24.87</v>
      </c>
      <c r="E26" s="51">
        <v>6.18</v>
      </c>
      <c r="F26" s="51">
        <v>3.33</v>
      </c>
      <c r="G26" s="51">
        <v>71.66</v>
      </c>
      <c r="H26" s="51">
        <v>20.55</v>
      </c>
      <c r="I26" s="51">
        <v>5.33</v>
      </c>
      <c r="J26" s="51">
        <v>4.3099999999999996</v>
      </c>
      <c r="K26" s="51">
        <v>94.05</v>
      </c>
      <c r="L26" s="51">
        <v>41.90</v>
      </c>
      <c r="M26" s="51">
        <v>73.069999999999993</v>
      </c>
      <c r="N26" s="51">
        <v>957.40</v>
      </c>
      <c r="O26" s="51">
        <v>0</v>
      </c>
      <c r="P26" s="51">
        <v>2.29</v>
      </c>
      <c r="Q26" s="51">
        <v>8.75</v>
      </c>
      <c r="R26" s="43"/>
      <c r="S26" s="43"/>
      <c r="T26" s="43"/>
      <c r="U26" s="43"/>
    </row>
    <row r="27" spans="1:21" s="11" customFormat="1" ht="15">
      <c r="A27" s="50" t="s">
        <v>562</v>
      </c>
      <c r="B27" s="51">
        <v>1.22</v>
      </c>
      <c r="C27" s="51">
        <v>21.41</v>
      </c>
      <c r="D27" s="51">
        <v>22.26</v>
      </c>
      <c r="E27" s="51">
        <v>6.14</v>
      </c>
      <c r="F27" s="51">
        <v>2.78</v>
      </c>
      <c r="G27" s="51">
        <v>71.83</v>
      </c>
      <c r="H27" s="51">
        <v>20.67</v>
      </c>
      <c r="I27" s="51">
        <v>5.13</v>
      </c>
      <c r="J27" s="51">
        <v>3.88</v>
      </c>
      <c r="K27" s="51">
        <v>96.32</v>
      </c>
      <c r="L27" s="51">
        <v>42.01</v>
      </c>
      <c r="M27" s="51">
        <v>68.55</v>
      </c>
      <c r="N27" s="51">
        <v>798.80</v>
      </c>
      <c r="O27" s="51">
        <v>0</v>
      </c>
      <c r="P27" s="51">
        <v>2.2799999999999998</v>
      </c>
      <c r="Q27" s="51">
        <v>8.34</v>
      </c>
      <c r="R27" s="43"/>
      <c r="S27" s="43"/>
      <c r="T27" s="43"/>
      <c r="U27" s="43"/>
    </row>
    <row r="28" spans="1:21" s="11" customFormat="1" ht="15">
      <c r="A28" s="50" t="s">
        <v>563</v>
      </c>
      <c r="B28" s="51">
        <v>2.42</v>
      </c>
      <c r="C28" s="51">
        <v>25.30</v>
      </c>
      <c r="D28" s="51">
        <v>27.72</v>
      </c>
      <c r="E28" s="51">
        <v>6.29</v>
      </c>
      <c r="F28" s="51">
        <v>1.75</v>
      </c>
      <c r="G28" s="51">
        <v>66.16</v>
      </c>
      <c r="H28" s="51">
        <v>20.79</v>
      </c>
      <c r="I28" s="51">
        <v>5.47</v>
      </c>
      <c r="J28" s="51">
        <v>2.29</v>
      </c>
      <c r="K28" s="51">
        <v>89.65</v>
      </c>
      <c r="L28" s="51">
        <v>44.69</v>
      </c>
      <c r="M28" s="51">
        <v>69.430000000000007</v>
      </c>
      <c r="N28" s="51">
        <v>790.40</v>
      </c>
      <c r="O28" s="51">
        <v>0</v>
      </c>
      <c r="P28" s="51">
        <v>2.41</v>
      </c>
      <c r="Q28" s="51">
        <v>9.40</v>
      </c>
      <c r="R28" s="43"/>
      <c r="S28" s="43"/>
      <c r="T28" s="43"/>
      <c r="U28" s="43"/>
    </row>
    <row r="29" spans="1:21" s="11" customFormat="1" ht="15">
      <c r="A29" s="50" t="s">
        <v>564</v>
      </c>
      <c r="B29" s="51">
        <v>2.48</v>
      </c>
      <c r="C29" s="51">
        <v>22.92</v>
      </c>
      <c r="D29" s="51">
        <v>25.35</v>
      </c>
      <c r="E29" s="51">
        <v>6.94</v>
      </c>
      <c r="F29" s="51">
        <v>1.1299999999999999</v>
      </c>
      <c r="G29" s="51">
        <v>67.319999999999993</v>
      </c>
      <c r="H29" s="51">
        <v>19.93</v>
      </c>
      <c r="I29" s="51">
        <v>5.87</v>
      </c>
      <c r="J29" s="51">
        <v>3.11</v>
      </c>
      <c r="K29" s="51">
        <v>84.86</v>
      </c>
      <c r="L29" s="51">
        <v>43.56</v>
      </c>
      <c r="M29" s="51">
        <v>69.14</v>
      </c>
      <c r="N29" s="51">
        <v>750.60</v>
      </c>
      <c r="O29" s="51">
        <v>0</v>
      </c>
      <c r="P29" s="51">
        <v>2.42</v>
      </c>
      <c r="Q29" s="51">
        <v>8.26</v>
      </c>
      <c r="R29" s="43"/>
      <c r="S29" s="43"/>
      <c r="T29" s="43"/>
      <c r="U29" s="43"/>
    </row>
    <row r="30" spans="1:21" s="11" customFormat="1" ht="15">
      <c r="A30" s="50" t="s">
        <v>565</v>
      </c>
      <c r="B30" s="51">
        <v>2.5</v>
      </c>
      <c r="C30" s="51">
        <v>20.100000000000001</v>
      </c>
      <c r="D30" s="51">
        <v>22.60</v>
      </c>
      <c r="E30" s="51">
        <v>7.43</v>
      </c>
      <c r="F30" s="51">
        <v>1.48</v>
      </c>
      <c r="G30" s="51">
        <v>66.95</v>
      </c>
      <c r="H30" s="51">
        <v>22.59</v>
      </c>
      <c r="I30" s="51">
        <v>6.03</v>
      </c>
      <c r="J30" s="51">
        <v>2.21</v>
      </c>
      <c r="K30" s="51">
        <v>131.69999999999999</v>
      </c>
      <c r="L30" s="51">
        <v>44.03</v>
      </c>
      <c r="M30" s="51">
        <v>69.52</v>
      </c>
      <c r="N30" s="51">
        <v>692.40</v>
      </c>
      <c r="O30" s="51">
        <v>0</v>
      </c>
      <c r="P30" s="51">
        <v>2.42</v>
      </c>
      <c r="Q30" s="51">
        <v>7.63</v>
      </c>
      <c r="R30" s="43"/>
      <c r="S30" s="43"/>
      <c r="T30" s="43"/>
      <c r="U30" s="43"/>
    </row>
    <row r="31" spans="1:21" s="11" customFormat="1" ht="15">
      <c r="A31" s="50" t="s">
        <v>566</v>
      </c>
      <c r="B31" s="51">
        <v>1.1499999999999999</v>
      </c>
      <c r="C31" s="51">
        <v>20.68</v>
      </c>
      <c r="D31" s="51">
        <v>21.72</v>
      </c>
      <c r="E31" s="51">
        <v>6.66</v>
      </c>
      <c r="F31" s="51">
        <v>1.75</v>
      </c>
      <c r="G31" s="51">
        <v>65.260000000000005</v>
      </c>
      <c r="H31" s="51">
        <v>24.59</v>
      </c>
      <c r="I31" s="51">
        <v>5.85</v>
      </c>
      <c r="J31" s="51">
        <v>3.07</v>
      </c>
      <c r="K31" s="51">
        <v>117.13</v>
      </c>
      <c r="L31" s="51">
        <v>42.36</v>
      </c>
      <c r="M31" s="51">
        <v>71.97</v>
      </c>
      <c r="N31" s="51">
        <v>693.40</v>
      </c>
      <c r="O31" s="51">
        <v>0</v>
      </c>
      <c r="P31" s="51">
        <v>2.35</v>
      </c>
      <c r="Q31" s="51">
        <v>8.06</v>
      </c>
      <c r="R31" s="43"/>
      <c r="S31" s="43"/>
      <c r="T31" s="43"/>
      <c r="U31" s="43"/>
    </row>
    <row r="32" spans="1:21" s="11" customFormat="1" ht="15">
      <c r="A32" s="50" t="s">
        <v>567</v>
      </c>
      <c r="B32" s="51">
        <v>1.1499999999999999</v>
      </c>
      <c r="C32" s="51">
        <v>20.41</v>
      </c>
      <c r="D32" s="51">
        <v>21.38</v>
      </c>
      <c r="E32" s="51">
        <v>6.10</v>
      </c>
      <c r="F32" s="51">
        <v>1.94</v>
      </c>
      <c r="G32" s="51">
        <v>58.01</v>
      </c>
      <c r="H32" s="51">
        <v>19.47</v>
      </c>
      <c r="I32" s="51">
        <v>5.24</v>
      </c>
      <c r="J32" s="51">
        <v>2.17</v>
      </c>
      <c r="K32" s="51">
        <v>179.28</v>
      </c>
      <c r="L32" s="51">
        <v>41.24</v>
      </c>
      <c r="M32" s="51">
        <v>74.75</v>
      </c>
      <c r="N32" s="51">
        <v>588.60</v>
      </c>
      <c r="O32" s="51">
        <v>0</v>
      </c>
      <c r="P32" s="51">
        <v>2.27</v>
      </c>
      <c r="Q32" s="51">
        <v>7.92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0.40000000000000002</v>
      </c>
      <c r="C34" s="28">
        <f t="shared" si="0"/>
        <v>13.470000000000001</v>
      </c>
      <c r="D34" s="28">
        <f t="shared" si="0"/>
        <v>15.970000000000001</v>
      </c>
      <c r="E34" s="28">
        <f t="shared" si="0"/>
        <v>4.9199999999999999</v>
      </c>
      <c r="F34" s="28">
        <f t="shared" si="0"/>
        <v>0.51000000000000001</v>
      </c>
      <c r="G34" s="28">
        <f t="shared" si="0"/>
        <v>31.370000000000001</v>
      </c>
      <c r="H34" s="28">
        <f t="shared" si="0"/>
        <v>12.529999999999999</v>
      </c>
      <c r="I34" s="28">
        <f t="shared" si="0"/>
        <v>3.3399999999999999</v>
      </c>
      <c r="J34" s="28">
        <f t="shared" si="0"/>
        <v>0.57999999999999996</v>
      </c>
      <c r="K34" s="28">
        <f t="shared" si="0"/>
        <v>84.859999999999999</v>
      </c>
      <c r="L34" s="28">
        <f t="shared" si="0"/>
        <v>33.710000000000001</v>
      </c>
      <c r="M34" s="28">
        <f t="shared" si="0"/>
        <v>50.789999999999999</v>
      </c>
      <c r="N34" s="28">
        <f t="shared" si="0"/>
        <v>523.89999999999998</v>
      </c>
      <c r="O34" s="28">
        <f t="shared" si="0"/>
        <v>0</v>
      </c>
      <c r="P34" s="28">
        <f t="shared" si="0"/>
        <v>2.0699999999999998</v>
      </c>
      <c r="Q34" s="28">
        <f t="shared" si="0"/>
        <v>7.1399999999999997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7.9100000000000001</v>
      </c>
      <c r="C35" s="29">
        <f t="shared" si="1"/>
        <v>25.300000000000001</v>
      </c>
      <c r="D35" s="29">
        <f t="shared" si="1"/>
        <v>29.879999999999999</v>
      </c>
      <c r="E35" s="29">
        <f t="shared" si="1"/>
        <v>7.9800000000000004</v>
      </c>
      <c r="F35" s="29">
        <f t="shared" si="1"/>
        <v>4.3200000000000003</v>
      </c>
      <c r="G35" s="29">
        <f t="shared" si="1"/>
        <v>71.829999999999998</v>
      </c>
      <c r="H35" s="29">
        <f t="shared" si="1"/>
        <v>26.760000000000002</v>
      </c>
      <c r="I35" s="29">
        <f t="shared" si="1"/>
        <v>14.31</v>
      </c>
      <c r="J35" s="29">
        <f t="shared" si="1"/>
        <v>5.3099999999999996</v>
      </c>
      <c r="K35" s="29">
        <f t="shared" si="1"/>
        <v>358.33999999999997</v>
      </c>
      <c r="L35" s="29">
        <f t="shared" si="1"/>
        <v>52.450000000000003</v>
      </c>
      <c r="M35" s="29">
        <f t="shared" si="1"/>
        <v>91.75</v>
      </c>
      <c r="N35" s="29">
        <f t="shared" si="1"/>
        <v>1688.5</v>
      </c>
      <c r="O35" s="29">
        <f t="shared" si="1"/>
        <v>0</v>
      </c>
      <c r="P35" s="29">
        <f t="shared" si="1"/>
        <v>2.48</v>
      </c>
      <c r="Q35" s="29">
        <f t="shared" si="1"/>
        <v>10.859999999999999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2.8495833333333338</v>
      </c>
      <c r="C36" s="28">
        <f t="shared" si="2"/>
        <v>19.408333333333335</v>
      </c>
      <c r="D36" s="28">
        <f t="shared" si="2"/>
        <v>22.102500000000006</v>
      </c>
      <c r="E36" s="28">
        <f t="shared" si="2"/>
        <v>6.3937500000000007</v>
      </c>
      <c r="F36" s="28">
        <f t="shared" si="2"/>
        <v>1.7966666666666666</v>
      </c>
      <c r="G36" s="28">
        <f t="shared" si="2"/>
        <v>58.1325</v>
      </c>
      <c r="H36" s="28">
        <f t="shared" si="2"/>
        <v>19.548333333333336</v>
      </c>
      <c r="I36" s="28">
        <f t="shared" si="2"/>
        <v>5.8849999999999989</v>
      </c>
      <c r="J36" s="28">
        <f t="shared" si="2"/>
        <v>2.1800000000000002</v>
      </c>
      <c r="K36" s="28">
        <f t="shared" si="2"/>
        <v>244.48833333333332</v>
      </c>
      <c r="L36" s="28">
        <f t="shared" si="2"/>
        <v>40.529166666666661</v>
      </c>
      <c r="M36" s="28">
        <f t="shared" si="2"/>
        <v>74.355416666666656</v>
      </c>
      <c r="N36" s="28">
        <f t="shared" si="2"/>
        <v>1013.6208333333334</v>
      </c>
      <c r="O36" s="28">
        <f t="shared" si="2"/>
        <v>0</v>
      </c>
      <c r="P36" s="28">
        <f t="shared" si="2"/>
        <v>2.3008333333333337</v>
      </c>
      <c r="Q36" s="28">
        <f t="shared" si="2"/>
        <v>8.3966666666666665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2.0021455430018857</v>
      </c>
      <c r="C37" s="28">
        <f t="shared" si="3" ref="C37:Q37">STDEV(C9:C32)</f>
        <v>3.677894797968992</v>
      </c>
      <c r="D37" s="28">
        <f t="shared" si="3"/>
        <v>4.0582329095094973</v>
      </c>
      <c r="E37" s="28">
        <f t="shared" si="3"/>
        <v>0.8410335902923225</v>
      </c>
      <c r="F37" s="28">
        <f t="shared" si="3"/>
        <v>1.2672759785449661</v>
      </c>
      <c r="G37" s="28">
        <f t="shared" si="3"/>
        <v>11.022921671404188</v>
      </c>
      <c r="H37" s="28">
        <f t="shared" si="3"/>
        <v>3.5819677209074814</v>
      </c>
      <c r="I37" s="28">
        <f t="shared" si="3"/>
        <v>2.2979499370185352</v>
      </c>
      <c r="J37" s="28">
        <f t="shared" si="3"/>
        <v>1.1960696504366513</v>
      </c>
      <c r="K37" s="28">
        <f t="shared" si="3"/>
        <v>97.791758729262696</v>
      </c>
      <c r="L37" s="28">
        <f t="shared" si="3"/>
        <v>5.2042590557005024</v>
      </c>
      <c r="M37" s="28">
        <f t="shared" si="3"/>
        <v>13.047478176849527</v>
      </c>
      <c r="N37" s="28">
        <f t="shared" si="3"/>
        <v>353.61282312373271</v>
      </c>
      <c r="O37" s="28">
        <f t="shared" si="3"/>
        <v>0</v>
      </c>
      <c r="P37" s="28">
        <f t="shared" si="3"/>
        <v>0.12061136534039971</v>
      </c>
      <c r="Q37" s="28">
        <f t="shared" si="3"/>
        <v>0.9774708565283815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495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104cc7-4e38-4a68-b0e4-c22474c399d8}">
  <sheetPr codeName=""/>
  <dimension ref="A1:U119"/>
  <sheetViews>
    <sheetView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22-06-2022 24:00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568</v>
      </c>
      <c r="B9" s="51">
        <v>2.61</v>
      </c>
      <c r="C9" s="51">
        <v>19.170000000000002</v>
      </c>
      <c r="D9" s="51">
        <v>21.67</v>
      </c>
      <c r="E9" s="51">
        <v>6.39</v>
      </c>
      <c r="F9" s="51">
        <v>0.97</v>
      </c>
      <c r="G9" s="51">
        <v>53.93</v>
      </c>
      <c r="H9" s="51">
        <v>23.59</v>
      </c>
      <c r="I9" s="51">
        <v>4.95</v>
      </c>
      <c r="J9" s="51">
        <v>1.66</v>
      </c>
      <c r="K9" s="51">
        <v>295.33999999999997</v>
      </c>
      <c r="L9" s="51">
        <v>42.67</v>
      </c>
      <c r="M9" s="51">
        <v>77.84</v>
      </c>
      <c r="N9" s="51">
        <v>641.79999999999995</v>
      </c>
      <c r="O9" s="51">
        <v>0</v>
      </c>
      <c r="P9" s="51">
        <v>2.27</v>
      </c>
      <c r="Q9" s="51">
        <v>7.79</v>
      </c>
      <c r="R9" s="43"/>
      <c r="S9" s="43"/>
      <c r="T9" s="43"/>
      <c r="U9" s="43"/>
    </row>
    <row r="10" spans="1:21" s="11" customFormat="1" ht="15">
      <c r="A10" s="50" t="s">
        <v>569</v>
      </c>
      <c r="B10" s="51">
        <v>2.57</v>
      </c>
      <c r="C10" s="51">
        <v>17.850000000000001</v>
      </c>
      <c r="D10" s="51">
        <v>20.350000000000001</v>
      </c>
      <c r="E10" s="51">
        <v>7.71</v>
      </c>
      <c r="F10" s="51">
        <v>0.85</v>
      </c>
      <c r="G10" s="51">
        <v>56.61</v>
      </c>
      <c r="H10" s="51">
        <v>29.45</v>
      </c>
      <c r="I10" s="51">
        <v>5.07</v>
      </c>
      <c r="J10" s="51">
        <v>1.82</v>
      </c>
      <c r="K10" s="51">
        <v>253.45</v>
      </c>
      <c r="L10" s="51">
        <v>43.14</v>
      </c>
      <c r="M10" s="51">
        <v>75.86</v>
      </c>
      <c r="N10" s="51">
        <v>685.90</v>
      </c>
      <c r="O10" s="51">
        <v>0</v>
      </c>
      <c r="P10" s="51">
        <v>2.2400000000000002</v>
      </c>
      <c r="Q10" s="51">
        <v>6.93</v>
      </c>
      <c r="R10" s="43"/>
      <c r="S10" s="43"/>
      <c r="T10" s="43"/>
      <c r="U10" s="43"/>
    </row>
    <row r="11" spans="1:21" s="11" customFormat="1" ht="15">
      <c r="A11" s="50" t="s">
        <v>570</v>
      </c>
      <c r="B11" s="51">
        <v>2.31</v>
      </c>
      <c r="C11" s="51">
        <v>17.37</v>
      </c>
      <c r="D11" s="51">
        <v>19.47</v>
      </c>
      <c r="E11" s="51">
        <v>7.49</v>
      </c>
      <c r="F11" s="51">
        <v>1.27</v>
      </c>
      <c r="G11" s="51">
        <v>59.19</v>
      </c>
      <c r="H11" s="51">
        <v>32.06</v>
      </c>
      <c r="I11" s="51">
        <v>5.1100000000000003</v>
      </c>
      <c r="J11" s="51">
        <v>2.34</v>
      </c>
      <c r="K11" s="51">
        <v>358.83</v>
      </c>
      <c r="L11" s="51">
        <v>36.54</v>
      </c>
      <c r="M11" s="51">
        <v>79.790000000000006</v>
      </c>
      <c r="N11" s="51">
        <v>153.30000000000001</v>
      </c>
      <c r="O11" s="51">
        <v>0</v>
      </c>
      <c r="P11" s="51">
        <v>2.23</v>
      </c>
      <c r="Q11" s="51">
        <v>7.66</v>
      </c>
      <c r="R11" s="43"/>
      <c r="S11" s="43"/>
      <c r="T11" s="43"/>
      <c r="U11" s="43"/>
    </row>
    <row r="12" spans="1:21" s="11" customFormat="1" ht="15">
      <c r="A12" s="50" t="s">
        <v>571</v>
      </c>
      <c r="B12" s="51">
        <v>2.0099999999999998</v>
      </c>
      <c r="C12" s="51">
        <v>19.71</v>
      </c>
      <c r="D12" s="51">
        <v>21.72</v>
      </c>
      <c r="E12" s="51">
        <v>6.58</v>
      </c>
      <c r="F12" s="51">
        <v>0.70</v>
      </c>
      <c r="G12" s="51">
        <v>85.02</v>
      </c>
      <c r="H12" s="51">
        <v>34.799999999999997</v>
      </c>
      <c r="I12" s="51">
        <v>5.45</v>
      </c>
      <c r="J12" s="51">
        <v>2.48</v>
      </c>
      <c r="K12" s="51">
        <v>47.24</v>
      </c>
      <c r="L12" s="51">
        <v>38.799999999999997</v>
      </c>
      <c r="M12" s="51">
        <v>82.82</v>
      </c>
      <c r="N12" s="51">
        <v>185.70</v>
      </c>
      <c r="O12" s="51">
        <v>0</v>
      </c>
      <c r="P12" s="51">
        <v>2.38</v>
      </c>
      <c r="Q12" s="51">
        <v>8.69</v>
      </c>
      <c r="R12" s="43"/>
      <c r="S12" s="43"/>
      <c r="T12" s="43"/>
      <c r="U12" s="43"/>
    </row>
    <row r="13" spans="1:21" s="11" customFormat="1" ht="15">
      <c r="A13" s="50" t="s">
        <v>572</v>
      </c>
      <c r="B13" s="51">
        <v>3.15</v>
      </c>
      <c r="C13" s="51">
        <v>20.28</v>
      </c>
      <c r="D13" s="51">
        <v>22.64</v>
      </c>
      <c r="E13" s="51">
        <v>6.77</v>
      </c>
      <c r="F13" s="51">
        <v>0.65</v>
      </c>
      <c r="G13" s="51">
        <v>115.27</v>
      </c>
      <c r="H13" s="51">
        <v>45.14</v>
      </c>
      <c r="I13" s="51">
        <v>6.24</v>
      </c>
      <c r="J13" s="51">
        <v>2.76</v>
      </c>
      <c r="K13" s="51">
        <v>95.61</v>
      </c>
      <c r="L13" s="51">
        <v>38.65</v>
      </c>
      <c r="M13" s="51">
        <v>82.44</v>
      </c>
      <c r="N13" s="51">
        <v>203.60</v>
      </c>
      <c r="O13" s="51">
        <v>0</v>
      </c>
      <c r="P13" s="51">
        <v>2.4900000000000002</v>
      </c>
      <c r="Q13" s="51">
        <v>8.94</v>
      </c>
      <c r="R13" s="43"/>
      <c r="S13" s="43"/>
      <c r="T13" s="43"/>
      <c r="U13" s="43"/>
    </row>
    <row r="14" spans="1:21" s="11" customFormat="1" ht="15">
      <c r="A14" s="50" t="s">
        <v>573</v>
      </c>
      <c r="B14" s="51">
        <v>3.69</v>
      </c>
      <c r="C14" s="51">
        <v>16.579999999999998</v>
      </c>
      <c r="D14" s="51">
        <v>20.010000000000002</v>
      </c>
      <c r="E14" s="51">
        <v>7.81</v>
      </c>
      <c r="F14" s="51">
        <v>0.69</v>
      </c>
      <c r="G14" s="51">
        <v>130.86000000000001</v>
      </c>
      <c r="H14" s="51">
        <v>51.16</v>
      </c>
      <c r="I14" s="51">
        <v>6.42</v>
      </c>
      <c r="J14" s="51">
        <v>3.17</v>
      </c>
      <c r="K14" s="51">
        <v>99.85</v>
      </c>
      <c r="L14" s="51">
        <v>38.380000000000003</v>
      </c>
      <c r="M14" s="51">
        <v>84.56</v>
      </c>
      <c r="N14" s="51">
        <v>246.80</v>
      </c>
      <c r="O14" s="51">
        <v>0</v>
      </c>
      <c r="P14" s="51">
        <v>2.4900000000000002</v>
      </c>
      <c r="Q14" s="51">
        <v>7.85</v>
      </c>
      <c r="R14" s="43"/>
      <c r="S14" s="43"/>
      <c r="T14" s="43"/>
      <c r="U14" s="43"/>
    </row>
    <row r="15" spans="1:21" s="11" customFormat="1" ht="15">
      <c r="A15" s="50" t="s">
        <v>574</v>
      </c>
      <c r="B15" s="51">
        <v>3.81</v>
      </c>
      <c r="C15" s="51">
        <v>17.12</v>
      </c>
      <c r="D15" s="51">
        <v>20.420000000000002</v>
      </c>
      <c r="E15" s="51">
        <v>8</v>
      </c>
      <c r="F15" s="51">
        <v>0.69</v>
      </c>
      <c r="G15" s="51">
        <v>133.52000000000001</v>
      </c>
      <c r="H15" s="51">
        <v>52.77</v>
      </c>
      <c r="I15" s="51">
        <v>6.45</v>
      </c>
      <c r="J15" s="51">
        <v>3.03</v>
      </c>
      <c r="K15" s="51">
        <v>91.95</v>
      </c>
      <c r="L15" s="51">
        <v>37.22</v>
      </c>
      <c r="M15" s="51">
        <v>84.5</v>
      </c>
      <c r="N15" s="51">
        <v>269.60000000000002</v>
      </c>
      <c r="O15" s="51">
        <v>0</v>
      </c>
      <c r="P15" s="51">
        <v>2.4500000000000002</v>
      </c>
      <c r="Q15" s="51">
        <v>8.4499999999999993</v>
      </c>
      <c r="R15" s="43"/>
      <c r="S15" s="43"/>
      <c r="T15" s="43"/>
      <c r="U15" s="43"/>
    </row>
    <row r="16" spans="1:21" s="11" customFormat="1" ht="15">
      <c r="A16" s="50" t="s">
        <v>575</v>
      </c>
      <c r="B16" s="51">
        <v>2.3199999999999998</v>
      </c>
      <c r="C16" s="51">
        <v>17.52</v>
      </c>
      <c r="D16" s="51">
        <v>19.420000000000002</v>
      </c>
      <c r="E16" s="51">
        <v>7.07</v>
      </c>
      <c r="F16" s="51">
        <v>1</v>
      </c>
      <c r="G16" s="51">
        <v>119.96</v>
      </c>
      <c r="H16" s="51">
        <v>44.76</v>
      </c>
      <c r="I16" s="51">
        <v>6.09</v>
      </c>
      <c r="J16" s="51">
        <v>2.72</v>
      </c>
      <c r="K16" s="51">
        <v>131.18</v>
      </c>
      <c r="L16" s="51">
        <v>36.78</v>
      </c>
      <c r="M16" s="51">
        <v>84.78</v>
      </c>
      <c r="N16" s="51">
        <v>558</v>
      </c>
      <c r="O16" s="51">
        <v>0</v>
      </c>
      <c r="P16" s="51">
        <v>2.35</v>
      </c>
      <c r="Q16" s="51">
        <v>8.66</v>
      </c>
      <c r="R16" s="43"/>
      <c r="S16" s="43"/>
      <c r="T16" s="43"/>
      <c r="U16" s="43"/>
    </row>
    <row r="17" spans="1:21" s="11" customFormat="1" ht="15">
      <c r="A17" s="50" t="s">
        <v>576</v>
      </c>
      <c r="B17" s="51">
        <v>1.97</v>
      </c>
      <c r="C17" s="51">
        <v>17.89</v>
      </c>
      <c r="D17" s="51">
        <v>19.86</v>
      </c>
      <c r="E17" s="51">
        <v>6.26</v>
      </c>
      <c r="F17" s="51">
        <v>1.31</v>
      </c>
      <c r="G17" s="51">
        <v>99.62</v>
      </c>
      <c r="H17" s="51">
        <v>36.01</v>
      </c>
      <c r="I17" s="51">
        <v>5.5</v>
      </c>
      <c r="J17" s="51">
        <v>3.17</v>
      </c>
      <c r="K17" s="51">
        <v>122.27</v>
      </c>
      <c r="L17" s="51">
        <v>36.909999999999997</v>
      </c>
      <c r="M17" s="51">
        <v>83.90</v>
      </c>
      <c r="N17" s="51">
        <v>986.70</v>
      </c>
      <c r="O17" s="51">
        <v>0</v>
      </c>
      <c r="P17" s="51">
        <v>2.27</v>
      </c>
      <c r="Q17" s="51">
        <v>8.86</v>
      </c>
      <c r="R17" s="43"/>
      <c r="S17" s="43"/>
      <c r="T17" s="43"/>
      <c r="U17" s="43"/>
    </row>
    <row r="18" spans="1:21" s="11" customFormat="1" ht="15">
      <c r="A18" s="50" t="s">
        <v>577</v>
      </c>
      <c r="B18" s="51">
        <v>3.5</v>
      </c>
      <c r="C18" s="51">
        <v>16.70</v>
      </c>
      <c r="D18" s="51">
        <v>20.03</v>
      </c>
      <c r="E18" s="51">
        <v>7.42</v>
      </c>
      <c r="F18" s="51">
        <v>0.88</v>
      </c>
      <c r="G18" s="51">
        <v>77.849999999999994</v>
      </c>
      <c r="H18" s="51">
        <v>36.15</v>
      </c>
      <c r="I18" s="51">
        <v>5.36</v>
      </c>
      <c r="J18" s="51">
        <v>2.15</v>
      </c>
      <c r="K18" s="51">
        <v>100.72</v>
      </c>
      <c r="L18" s="51">
        <v>38.229999999999997</v>
      </c>
      <c r="M18" s="51">
        <v>81.069999999999993</v>
      </c>
      <c r="N18" s="51">
        <v>1070</v>
      </c>
      <c r="O18" s="51">
        <v>0</v>
      </c>
      <c r="P18" s="51">
        <v>2.2599999999999998</v>
      </c>
      <c r="Q18" s="51">
        <v>8.41</v>
      </c>
      <c r="R18" s="43"/>
      <c r="S18" s="43"/>
      <c r="T18" s="43"/>
      <c r="U18" s="43"/>
    </row>
    <row r="19" spans="1:21" s="11" customFormat="1" ht="15">
      <c r="A19" s="50" t="s">
        <v>578</v>
      </c>
      <c r="B19" s="51">
        <v>3.49</v>
      </c>
      <c r="C19" s="51">
        <v>20.29</v>
      </c>
      <c r="D19" s="51">
        <v>23.68</v>
      </c>
      <c r="E19" s="51">
        <v>8.25</v>
      </c>
      <c r="F19" s="51">
        <v>1.34</v>
      </c>
      <c r="G19" s="51">
        <v>78.900000000000006</v>
      </c>
      <c r="H19" s="51">
        <v>36.869999999999997</v>
      </c>
      <c r="I19" s="51">
        <v>6.05</v>
      </c>
      <c r="J19" s="51">
        <v>1.92</v>
      </c>
      <c r="K19" s="51">
        <v>356.87</v>
      </c>
      <c r="L19" s="51">
        <v>40.409999999999997</v>
      </c>
      <c r="M19" s="51">
        <v>73.930000000000007</v>
      </c>
      <c r="N19" s="51">
        <v>1122.70</v>
      </c>
      <c r="O19" s="51">
        <v>0</v>
      </c>
      <c r="P19" s="51">
        <v>2.38</v>
      </c>
      <c r="Q19" s="51">
        <v>9.02</v>
      </c>
      <c r="R19" s="43"/>
      <c r="S19" s="43"/>
      <c r="T19" s="43"/>
      <c r="U19" s="43"/>
    </row>
    <row r="20" spans="1:21" s="11" customFormat="1" ht="15">
      <c r="A20" s="50" t="s">
        <v>579</v>
      </c>
      <c r="B20" s="51">
        <v>4.33</v>
      </c>
      <c r="C20" s="51">
        <v>30.81</v>
      </c>
      <c r="D20" s="51">
        <v>34.78</v>
      </c>
      <c r="E20" s="51">
        <v>8.2200000000000006</v>
      </c>
      <c r="F20" s="51">
        <v>1.47</v>
      </c>
      <c r="G20" s="51">
        <v>89.88</v>
      </c>
      <c r="H20" s="51">
        <v>35.11</v>
      </c>
      <c r="I20" s="51">
        <v>7.22</v>
      </c>
      <c r="J20" s="51">
        <v>2.2400000000000002</v>
      </c>
      <c r="K20" s="51">
        <v>356</v>
      </c>
      <c r="L20" s="51">
        <v>41.54</v>
      </c>
      <c r="M20" s="51">
        <v>65.06</v>
      </c>
      <c r="N20" s="51">
        <v>1131.0999999999999</v>
      </c>
      <c r="O20" s="51">
        <v>0</v>
      </c>
      <c r="P20" s="51">
        <v>2.68</v>
      </c>
      <c r="Q20" s="51">
        <v>12.58</v>
      </c>
      <c r="R20" s="43"/>
      <c r="S20" s="43"/>
      <c r="T20" s="43"/>
      <c r="U20" s="43"/>
    </row>
    <row r="21" spans="1:21" s="11" customFormat="1" ht="15">
      <c r="A21" s="50" t="s">
        <v>580</v>
      </c>
      <c r="B21" s="51">
        <v>5.04</v>
      </c>
      <c r="C21" s="51">
        <v>35.450000000000003</v>
      </c>
      <c r="D21" s="51">
        <v>40.49</v>
      </c>
      <c r="E21" s="51">
        <v>7.07</v>
      </c>
      <c r="F21" s="51">
        <v>1.61</v>
      </c>
      <c r="G21" s="51">
        <v>114.36</v>
      </c>
      <c r="H21" s="51">
        <v>33.79</v>
      </c>
      <c r="I21" s="51">
        <v>8.58</v>
      </c>
      <c r="J21" s="51">
        <v>3.57</v>
      </c>
      <c r="K21" s="51">
        <v>354.67</v>
      </c>
      <c r="L21" s="51">
        <v>41.15</v>
      </c>
      <c r="M21" s="51">
        <v>65.97</v>
      </c>
      <c r="N21" s="51">
        <v>1007.10</v>
      </c>
      <c r="O21" s="51">
        <v>0</v>
      </c>
      <c r="P21" s="51">
        <v>2.97</v>
      </c>
      <c r="Q21" s="51">
        <v>14.02</v>
      </c>
      <c r="R21" s="43"/>
      <c r="S21" s="43"/>
      <c r="T21" s="43"/>
      <c r="U21" s="43"/>
    </row>
    <row r="22" spans="1:21" s="11" customFormat="1" ht="15">
      <c r="A22" s="50" t="s">
        <v>581</v>
      </c>
      <c r="B22" s="51">
        <v>6.78</v>
      </c>
      <c r="C22" s="51">
        <v>35.18</v>
      </c>
      <c r="D22" s="51">
        <v>40.49</v>
      </c>
      <c r="E22" s="51">
        <v>5.95</v>
      </c>
      <c r="F22" s="51">
        <v>1.32</v>
      </c>
      <c r="G22" s="51">
        <v>143.07</v>
      </c>
      <c r="H22" s="51">
        <v>36.47</v>
      </c>
      <c r="I22" s="51">
        <v>9.19</v>
      </c>
      <c r="J22" s="51">
        <v>3.09</v>
      </c>
      <c r="K22" s="51">
        <v>358.18</v>
      </c>
      <c r="L22" s="51">
        <v>40.950000000000003</v>
      </c>
      <c r="M22" s="51">
        <v>68.09</v>
      </c>
      <c r="N22" s="51">
        <v>1034.9000000000001</v>
      </c>
      <c r="O22" s="51">
        <v>0</v>
      </c>
      <c r="P22" s="51">
        <v>3.03</v>
      </c>
      <c r="Q22" s="51">
        <v>13.88</v>
      </c>
      <c r="R22" s="43"/>
      <c r="S22" s="43"/>
      <c r="T22" s="43"/>
      <c r="U22" s="43"/>
    </row>
    <row r="23" spans="1:21" s="11" customFormat="1" ht="15">
      <c r="A23" s="50" t="s">
        <v>582</v>
      </c>
      <c r="B23" s="51">
        <v>7.35</v>
      </c>
      <c r="C23" s="51">
        <v>31.51</v>
      </c>
      <c r="D23" s="51">
        <v>38.76</v>
      </c>
      <c r="E23" s="51">
        <v>6.78</v>
      </c>
      <c r="F23" s="51">
        <v>1.08</v>
      </c>
      <c r="G23" s="51">
        <v>157.33000000000001</v>
      </c>
      <c r="H23" s="51">
        <v>42.39</v>
      </c>
      <c r="I23" s="51">
        <v>9.35</v>
      </c>
      <c r="J23" s="51">
        <v>3.22</v>
      </c>
      <c r="K23" s="51">
        <v>346.27</v>
      </c>
      <c r="L23" s="51">
        <v>40.85</v>
      </c>
      <c r="M23" s="51">
        <v>67.56</v>
      </c>
      <c r="N23" s="51">
        <v>886.90</v>
      </c>
      <c r="O23" s="51">
        <v>0</v>
      </c>
      <c r="P23" s="51">
        <v>3.02</v>
      </c>
      <c r="Q23" s="51">
        <v>12.70</v>
      </c>
      <c r="R23" s="43"/>
      <c r="S23" s="43"/>
      <c r="T23" s="43"/>
      <c r="U23" s="43"/>
    </row>
    <row r="24" spans="1:21" s="11" customFormat="1" ht="15">
      <c r="A24" s="50" t="s">
        <v>583</v>
      </c>
      <c r="B24" s="51">
        <v>6.58</v>
      </c>
      <c r="C24" s="51">
        <v>28.05</v>
      </c>
      <c r="D24" s="51">
        <v>34.630000000000003</v>
      </c>
      <c r="E24" s="51">
        <v>7.37</v>
      </c>
      <c r="F24" s="51">
        <v>1.62</v>
      </c>
      <c r="G24" s="51">
        <v>160.22999999999999</v>
      </c>
      <c r="H24" s="51">
        <v>45.70</v>
      </c>
      <c r="I24" s="51">
        <v>9.24</v>
      </c>
      <c r="J24" s="51">
        <v>3.76</v>
      </c>
      <c r="K24" s="51">
        <v>166.47</v>
      </c>
      <c r="L24" s="51">
        <v>36.56</v>
      </c>
      <c r="M24" s="51">
        <v>73.11</v>
      </c>
      <c r="N24" s="51">
        <v>795.80</v>
      </c>
      <c r="O24" s="51">
        <v>0</v>
      </c>
      <c r="P24" s="51">
        <v>2.94</v>
      </c>
      <c r="Q24" s="51">
        <v>11.61</v>
      </c>
      <c r="R24" s="43"/>
      <c r="S24" s="43"/>
      <c r="T24" s="43"/>
      <c r="U24" s="43"/>
    </row>
    <row r="25" spans="1:21" s="11" customFormat="1" ht="15">
      <c r="A25" s="50" t="s">
        <v>584</v>
      </c>
      <c r="B25" s="51">
        <v>1.58</v>
      </c>
      <c r="C25" s="51">
        <v>24.41</v>
      </c>
      <c r="D25" s="51">
        <v>25.99</v>
      </c>
      <c r="E25" s="51">
        <v>6.43</v>
      </c>
      <c r="F25" s="51">
        <v>1.90</v>
      </c>
      <c r="G25" s="51">
        <v>106.38</v>
      </c>
      <c r="H25" s="51">
        <v>30.34</v>
      </c>
      <c r="I25" s="51">
        <v>8.11</v>
      </c>
      <c r="J25" s="51">
        <v>3.79</v>
      </c>
      <c r="K25" s="51">
        <v>179.49</v>
      </c>
      <c r="L25" s="51">
        <v>35.93</v>
      </c>
      <c r="M25" s="51">
        <v>74.45</v>
      </c>
      <c r="N25" s="51">
        <v>822.90</v>
      </c>
      <c r="O25" s="51">
        <v>0</v>
      </c>
      <c r="P25" s="51">
        <v>2.66</v>
      </c>
      <c r="Q25" s="51">
        <v>10.06</v>
      </c>
      <c r="R25" s="43"/>
      <c r="S25" s="43"/>
      <c r="T25" s="43"/>
      <c r="U25" s="43"/>
    </row>
    <row r="26" spans="1:21" s="11" customFormat="1" ht="15">
      <c r="A26" s="50" t="s">
        <v>585</v>
      </c>
      <c r="B26" s="51">
        <v>0.85</v>
      </c>
      <c r="C26" s="51">
        <v>20.92</v>
      </c>
      <c r="D26" s="51">
        <v>21.73</v>
      </c>
      <c r="E26" s="51">
        <v>6.72</v>
      </c>
      <c r="F26" s="51">
        <v>2.16</v>
      </c>
      <c r="G26" s="51">
        <v>78.48</v>
      </c>
      <c r="H26" s="51">
        <v>27.80</v>
      </c>
      <c r="I26" s="51">
        <v>6.65</v>
      </c>
      <c r="J26" s="51">
        <v>2.76</v>
      </c>
      <c r="K26" s="51">
        <v>196.92</v>
      </c>
      <c r="L26" s="51">
        <v>35.71</v>
      </c>
      <c r="M26" s="51">
        <v>78.760000000000005</v>
      </c>
      <c r="N26" s="51">
        <v>847.10</v>
      </c>
      <c r="O26" s="51">
        <v>0</v>
      </c>
      <c r="P26" s="51">
        <v>2.4500000000000002</v>
      </c>
      <c r="Q26" s="51">
        <v>8.9700000000000006</v>
      </c>
      <c r="R26" s="43"/>
      <c r="S26" s="43"/>
      <c r="T26" s="43"/>
      <c r="U26" s="43"/>
    </row>
    <row r="27" spans="1:21" s="11" customFormat="1" ht="15">
      <c r="A27" s="50" t="s">
        <v>586</v>
      </c>
      <c r="B27" s="51">
        <v>1.1599999999999999</v>
      </c>
      <c r="C27" s="51">
        <v>19.07</v>
      </c>
      <c r="D27" s="51">
        <v>19.96</v>
      </c>
      <c r="E27" s="51">
        <v>6.74</v>
      </c>
      <c r="F27" s="51">
        <v>1.63</v>
      </c>
      <c r="G27" s="51">
        <v>67.06</v>
      </c>
      <c r="H27" s="51">
        <v>24.83</v>
      </c>
      <c r="I27" s="51">
        <v>5.79</v>
      </c>
      <c r="J27" s="51">
        <v>3.65</v>
      </c>
      <c r="K27" s="51">
        <v>177.74</v>
      </c>
      <c r="L27" s="51">
        <v>35.21</v>
      </c>
      <c r="M27" s="51">
        <v>81.150000000000006</v>
      </c>
      <c r="N27" s="51">
        <v>852.60</v>
      </c>
      <c r="O27" s="51">
        <v>0</v>
      </c>
      <c r="P27" s="51">
        <v>2.35</v>
      </c>
      <c r="Q27" s="51">
        <v>7.88</v>
      </c>
      <c r="R27" s="43"/>
      <c r="S27" s="43"/>
      <c r="T27" s="43"/>
      <c r="U27" s="43"/>
    </row>
    <row r="28" spans="1:21" s="11" customFormat="1" ht="15">
      <c r="A28" s="50" t="s">
        <v>587</v>
      </c>
      <c r="B28" s="51">
        <v>1.1000000000000001</v>
      </c>
      <c r="C28" s="51">
        <v>19.190000000000001</v>
      </c>
      <c r="D28" s="51">
        <v>20.12</v>
      </c>
      <c r="E28" s="51">
        <v>6.75</v>
      </c>
      <c r="F28" s="51">
        <v>1.89</v>
      </c>
      <c r="G28" s="51">
        <v>57.06</v>
      </c>
      <c r="H28" s="51">
        <v>25.33</v>
      </c>
      <c r="I28" s="51">
        <v>5.52</v>
      </c>
      <c r="J28" s="51">
        <v>3.06</v>
      </c>
      <c r="K28" s="51">
        <v>189.32</v>
      </c>
      <c r="L28" s="51">
        <v>34.71</v>
      </c>
      <c r="M28" s="51">
        <v>84.79</v>
      </c>
      <c r="N28" s="51">
        <v>842.40</v>
      </c>
      <c r="O28" s="51">
        <v>0</v>
      </c>
      <c r="P28" s="51">
        <v>2.29</v>
      </c>
      <c r="Q28" s="51">
        <v>7.80</v>
      </c>
      <c r="R28" s="43"/>
      <c r="S28" s="43"/>
      <c r="T28" s="43"/>
      <c r="U28" s="43"/>
    </row>
    <row r="29" spans="1:21" s="11" customFormat="1" ht="15">
      <c r="A29" s="50" t="s">
        <v>588</v>
      </c>
      <c r="B29" s="51">
        <v>1.07</v>
      </c>
      <c r="C29" s="51">
        <v>19.170000000000002</v>
      </c>
      <c r="D29" s="51">
        <v>20.25</v>
      </c>
      <c r="E29" s="51">
        <v>6.68</v>
      </c>
      <c r="F29" s="51">
        <v>1.49</v>
      </c>
      <c r="G29" s="51">
        <v>53.30</v>
      </c>
      <c r="H29" s="51">
        <v>23.14</v>
      </c>
      <c r="I29" s="51">
        <v>5.05</v>
      </c>
      <c r="J29" s="51">
        <v>2.83</v>
      </c>
      <c r="K29" s="51">
        <v>204.67</v>
      </c>
      <c r="L29" s="51">
        <v>34.42</v>
      </c>
      <c r="M29" s="51">
        <v>85.20</v>
      </c>
      <c r="N29" s="51">
        <v>790.20</v>
      </c>
      <c r="O29" s="51">
        <v>0</v>
      </c>
      <c r="P29" s="51">
        <v>2.25</v>
      </c>
      <c r="Q29" s="51">
        <v>8.51</v>
      </c>
      <c r="R29" s="43"/>
      <c r="S29" s="43"/>
      <c r="T29" s="43"/>
      <c r="U29" s="43"/>
    </row>
    <row r="30" spans="1:21" s="11" customFormat="1" ht="15">
      <c r="A30" s="50" t="s">
        <v>589</v>
      </c>
      <c r="B30" s="51">
        <v>1.88</v>
      </c>
      <c r="C30" s="51">
        <v>20.149999999999999</v>
      </c>
      <c r="D30" s="51">
        <v>22.03</v>
      </c>
      <c r="E30" s="51">
        <v>6.14</v>
      </c>
      <c r="F30" s="51">
        <v>1.29</v>
      </c>
      <c r="G30" s="51">
        <v>49.19</v>
      </c>
      <c r="H30" s="51">
        <v>20.329999999999998</v>
      </c>
      <c r="I30" s="51">
        <v>4.7300000000000004</v>
      </c>
      <c r="J30" s="51">
        <v>1.5</v>
      </c>
      <c r="K30" s="51">
        <v>307.48</v>
      </c>
      <c r="L30" s="51">
        <v>34.17</v>
      </c>
      <c r="M30" s="51">
        <v>86.74</v>
      </c>
      <c r="N30" s="51">
        <v>674.20</v>
      </c>
      <c r="O30" s="51">
        <v>0</v>
      </c>
      <c r="P30" s="51">
        <v>2.36</v>
      </c>
      <c r="Q30" s="51">
        <v>8.81</v>
      </c>
      <c r="R30" s="43"/>
      <c r="S30" s="43"/>
      <c r="T30" s="43"/>
      <c r="U30" s="43"/>
    </row>
    <row r="31" spans="1:21" s="11" customFormat="1" ht="15">
      <c r="A31" s="50" t="s">
        <v>590</v>
      </c>
      <c r="B31" s="51">
        <v>2.17</v>
      </c>
      <c r="C31" s="51">
        <v>20.76</v>
      </c>
      <c r="D31" s="51">
        <v>22.60</v>
      </c>
      <c r="E31" s="51">
        <v>6.34</v>
      </c>
      <c r="F31" s="51">
        <v>1.1299999999999999</v>
      </c>
      <c r="G31" s="51">
        <v>55.15</v>
      </c>
      <c r="H31" s="51">
        <v>21.88</v>
      </c>
      <c r="I31" s="51">
        <v>5.14</v>
      </c>
      <c r="J31" s="51">
        <v>1.80</v>
      </c>
      <c r="K31" s="51">
        <v>219.42</v>
      </c>
      <c r="L31" s="51">
        <v>34.01</v>
      </c>
      <c r="M31" s="51">
        <v>89.05</v>
      </c>
      <c r="N31" s="51">
        <v>647.10</v>
      </c>
      <c r="O31" s="51">
        <v>0</v>
      </c>
      <c r="P31" s="51">
        <v>2.37</v>
      </c>
      <c r="Q31" s="51">
        <v>8.82</v>
      </c>
      <c r="R31" s="43"/>
      <c r="S31" s="43"/>
      <c r="T31" s="43"/>
      <c r="U31" s="43"/>
    </row>
    <row r="32" spans="1:21" s="11" customFormat="1" ht="15">
      <c r="A32" s="50" t="s">
        <v>591</v>
      </c>
      <c r="B32" s="51">
        <v>3.17</v>
      </c>
      <c r="C32" s="51">
        <v>17.73</v>
      </c>
      <c r="D32" s="51">
        <v>20.52</v>
      </c>
      <c r="E32" s="51">
        <v>7.20</v>
      </c>
      <c r="F32" s="51">
        <v>0.56999999999999995</v>
      </c>
      <c r="G32" s="51">
        <v>57.46</v>
      </c>
      <c r="H32" s="51">
        <v>23.49</v>
      </c>
      <c r="I32" s="51">
        <v>5.21</v>
      </c>
      <c r="J32" s="51">
        <v>1.0900000000000001</v>
      </c>
      <c r="K32" s="51">
        <v>242.28</v>
      </c>
      <c r="L32" s="51">
        <v>33.700000000000003</v>
      </c>
      <c r="M32" s="51">
        <v>90.77</v>
      </c>
      <c r="N32" s="51">
        <v>438.90</v>
      </c>
      <c r="O32" s="51">
        <v>0</v>
      </c>
      <c r="P32" s="51">
        <v>2.36</v>
      </c>
      <c r="Q32" s="51">
        <v>7.69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0.84999999999999998</v>
      </c>
      <c r="C34" s="28">
        <f t="shared" si="0"/>
        <v>16.579999999999998</v>
      </c>
      <c r="D34" s="28">
        <f t="shared" si="0"/>
        <v>19.420000000000002</v>
      </c>
      <c r="E34" s="28">
        <f t="shared" si="0"/>
        <v>5.9500000000000002</v>
      </c>
      <c r="F34" s="28">
        <f t="shared" si="0"/>
        <v>0.56999999999999995</v>
      </c>
      <c r="G34" s="28">
        <f t="shared" si="0"/>
        <v>49.189999999999998</v>
      </c>
      <c r="H34" s="28">
        <f t="shared" si="0"/>
        <v>20.329999999999998</v>
      </c>
      <c r="I34" s="28">
        <f t="shared" si="0"/>
        <v>4.7300000000000004</v>
      </c>
      <c r="J34" s="28">
        <f t="shared" si="0"/>
        <v>1.0900000000000001</v>
      </c>
      <c r="K34" s="28">
        <f t="shared" si="0"/>
        <v>47.240000000000002</v>
      </c>
      <c r="L34" s="28">
        <f t="shared" si="0"/>
        <v>33.700000000000003</v>
      </c>
      <c r="M34" s="28">
        <f t="shared" si="0"/>
        <v>65.060000000000002</v>
      </c>
      <c r="N34" s="28">
        <f t="shared" si="0"/>
        <v>153.30000000000001</v>
      </c>
      <c r="O34" s="28">
        <f t="shared" si="0"/>
        <v>0</v>
      </c>
      <c r="P34" s="28">
        <f t="shared" si="0"/>
        <v>2.23</v>
      </c>
      <c r="Q34" s="28">
        <f t="shared" si="0"/>
        <v>6.9299999999999997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7.3499999999999996</v>
      </c>
      <c r="C35" s="29">
        <f t="shared" si="1"/>
        <v>35.450000000000003</v>
      </c>
      <c r="D35" s="29">
        <f t="shared" si="1"/>
        <v>40.490000000000002</v>
      </c>
      <c r="E35" s="29">
        <f t="shared" si="1"/>
        <v>8.25</v>
      </c>
      <c r="F35" s="29">
        <f t="shared" si="1"/>
        <v>2.1600000000000001</v>
      </c>
      <c r="G35" s="29">
        <f t="shared" si="1"/>
        <v>160.22999999999999</v>
      </c>
      <c r="H35" s="29">
        <f t="shared" si="1"/>
        <v>52.770000000000003</v>
      </c>
      <c r="I35" s="29">
        <f t="shared" si="1"/>
        <v>9.3499999999999996</v>
      </c>
      <c r="J35" s="29">
        <f t="shared" si="1"/>
        <v>3.79</v>
      </c>
      <c r="K35" s="29">
        <f t="shared" si="1"/>
        <v>358.82999999999998</v>
      </c>
      <c r="L35" s="29">
        <f t="shared" si="1"/>
        <v>43.140000000000001</v>
      </c>
      <c r="M35" s="29">
        <f t="shared" si="1"/>
        <v>90.769999999999996</v>
      </c>
      <c r="N35" s="29">
        <f t="shared" si="1"/>
        <v>1131.0999999999999</v>
      </c>
      <c r="O35" s="29">
        <f t="shared" si="1"/>
        <v>0</v>
      </c>
      <c r="P35" s="29">
        <f t="shared" si="1"/>
        <v>3.0299999999999998</v>
      </c>
      <c r="Q35" s="29">
        <f t="shared" si="1"/>
        <v>14.02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3.1037499999999993</v>
      </c>
      <c r="C36" s="28">
        <f t="shared" si="2"/>
        <v>21.786666666666665</v>
      </c>
      <c r="D36" s="28">
        <f t="shared" si="2"/>
        <v>24.650833333333335</v>
      </c>
      <c r="E36" s="28">
        <f t="shared" si="2"/>
        <v>7.0058333333333325</v>
      </c>
      <c r="F36" s="28">
        <f t="shared" si="2"/>
        <v>1.2295833333333333</v>
      </c>
      <c r="G36" s="28">
        <f t="shared" si="2"/>
        <v>91.653333333333322</v>
      </c>
      <c r="H36" s="28">
        <f t="shared" si="2"/>
        <v>33.890000000000008</v>
      </c>
      <c r="I36" s="28">
        <f t="shared" si="2"/>
        <v>6.3529166666666663</v>
      </c>
      <c r="J36" s="28">
        <f t="shared" si="2"/>
        <v>2.6491666666666664</v>
      </c>
      <c r="K36" s="28">
        <f t="shared" si="2"/>
        <v>218.84249999999994</v>
      </c>
      <c r="L36" s="28">
        <f t="shared" si="2"/>
        <v>37.776666666666664</v>
      </c>
      <c r="M36" s="28">
        <f t="shared" si="2"/>
        <v>79.257916666666659</v>
      </c>
      <c r="N36" s="28">
        <f t="shared" si="2"/>
        <v>703.9708333333333</v>
      </c>
      <c r="O36" s="28">
        <f t="shared" si="2"/>
        <v>0</v>
      </c>
      <c r="P36" s="28">
        <f t="shared" si="2"/>
        <v>2.4808333333333334</v>
      </c>
      <c r="Q36" s="28">
        <f t="shared" si="2"/>
        <v>9.3579166666666644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1.8176951782049626</v>
      </c>
      <c r="C37" s="28">
        <f t="shared" si="3" ref="C37:Q37">STDEV(C9:C32)</f>
        <v>5.8565345641812154</v>
      </c>
      <c r="D37" s="28">
        <f t="shared" si="3"/>
        <v>7.1696097260024185</v>
      </c>
      <c r="E37" s="28">
        <f t="shared" si="3"/>
        <v>0.65688273499630967</v>
      </c>
      <c r="F37" s="28">
        <f t="shared" si="3"/>
        <v>0.4383216921361543</v>
      </c>
      <c r="G37" s="28">
        <f t="shared" si="3"/>
        <v>35.484793763044458</v>
      </c>
      <c r="H37" s="28">
        <f t="shared" si="3"/>
        <v>9.3823483664573537</v>
      </c>
      <c r="I37" s="28">
        <f t="shared" si="3"/>
        <v>1.4780818332545373</v>
      </c>
      <c r="J37" s="28">
        <f t="shared" si="3"/>
        <v>0.75282030113241705</v>
      </c>
      <c r="K37" s="28">
        <f t="shared" si="3"/>
        <v>102.23806673216421</v>
      </c>
      <c r="L37" s="28">
        <f t="shared" si="3"/>
        <v>2.8809806100288697</v>
      </c>
      <c r="M37" s="28">
        <f t="shared" si="3"/>
        <v>7.315019081770509</v>
      </c>
      <c r="N37" s="28">
        <f t="shared" si="3"/>
        <v>310.54524767165475</v>
      </c>
      <c r="O37" s="28">
        <f t="shared" si="3"/>
        <v>0</v>
      </c>
      <c r="P37" s="28">
        <f t="shared" si="3"/>
        <v>0.26048310746642023</v>
      </c>
      <c r="Q37" s="28">
        <f t="shared" si="3"/>
        <v>2.0307997550048085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495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98e073-39f2-4275-aac4-29d1d3993e4b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3" sqref="B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23-06-2022 24:00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592</v>
      </c>
      <c r="B9" s="51">
        <v>3.57</v>
      </c>
      <c r="C9" s="51">
        <v>18.5</v>
      </c>
      <c r="D9" s="51">
        <v>22.05</v>
      </c>
      <c r="E9" s="51">
        <v>7.19</v>
      </c>
      <c r="F9" s="51">
        <v>0.74</v>
      </c>
      <c r="G9" s="51">
        <v>51.74</v>
      </c>
      <c r="H9" s="51">
        <v>24.21</v>
      </c>
      <c r="I9" s="51">
        <v>5.26</v>
      </c>
      <c r="J9" s="51">
        <v>1.28</v>
      </c>
      <c r="K9" s="51">
        <v>340.17</v>
      </c>
      <c r="L9" s="51">
        <v>33.86</v>
      </c>
      <c r="M9" s="51">
        <v>90.47</v>
      </c>
      <c r="N9" s="51">
        <v>280.10000000000002</v>
      </c>
      <c r="O9" s="51">
        <v>0</v>
      </c>
      <c r="P9" s="51">
        <v>2.35</v>
      </c>
      <c r="Q9" s="51">
        <v>8.84</v>
      </c>
      <c r="R9" s="43"/>
      <c r="S9" s="43"/>
      <c r="T9" s="43"/>
      <c r="U9" s="43"/>
    </row>
    <row r="10" spans="1:21" s="11" customFormat="1" ht="15">
      <c r="A10" s="50" t="s">
        <v>593</v>
      </c>
      <c r="B10" s="51">
        <v>2.17</v>
      </c>
      <c r="C10" s="51">
        <v>18.25</v>
      </c>
      <c r="D10" s="51">
        <v>20.420000000000002</v>
      </c>
      <c r="E10" s="51">
        <v>5.77</v>
      </c>
      <c r="F10" s="51">
        <v>1.0900000000000001</v>
      </c>
      <c r="G10" s="51">
        <v>45.91</v>
      </c>
      <c r="H10" s="51">
        <v>21.40</v>
      </c>
      <c r="I10" s="51">
        <v>4.92</v>
      </c>
      <c r="J10" s="51">
        <v>2.2000000000000002</v>
      </c>
      <c r="K10" s="51">
        <v>277.27999999999997</v>
      </c>
      <c r="L10" s="51">
        <v>33.840000000000003</v>
      </c>
      <c r="M10" s="51">
        <v>88.80</v>
      </c>
      <c r="N10" s="51">
        <v>316.70</v>
      </c>
      <c r="O10" s="51">
        <v>0</v>
      </c>
      <c r="P10" s="51">
        <v>2.2799999999999998</v>
      </c>
      <c r="Q10" s="51">
        <v>8.44</v>
      </c>
      <c r="R10" s="43"/>
      <c r="S10" s="43"/>
      <c r="T10" s="43"/>
      <c r="U10" s="43"/>
    </row>
    <row r="11" spans="1:21" s="11" customFormat="1" ht="15">
      <c r="A11" s="50" t="s">
        <v>594</v>
      </c>
      <c r="B11" s="51">
        <v>1.36</v>
      </c>
      <c r="C11" s="51">
        <v>15.75</v>
      </c>
      <c r="D11" s="51">
        <v>17.010000000000002</v>
      </c>
      <c r="E11" s="51">
        <v>5.75</v>
      </c>
      <c r="F11" s="51">
        <v>1.01</v>
      </c>
      <c r="G11" s="51">
        <v>45.15</v>
      </c>
      <c r="H11" s="51">
        <v>18.82</v>
      </c>
      <c r="I11" s="51">
        <v>4.3600000000000003</v>
      </c>
      <c r="J11" s="51">
        <v>1.84</v>
      </c>
      <c r="K11" s="51">
        <v>322.30</v>
      </c>
      <c r="L11" s="51">
        <v>33.590000000000003</v>
      </c>
      <c r="M11" s="51">
        <v>89.78</v>
      </c>
      <c r="N11" s="51">
        <v>295.30</v>
      </c>
      <c r="O11" s="51">
        <v>0</v>
      </c>
      <c r="P11" s="51">
        <v>2.19</v>
      </c>
      <c r="Q11" s="51">
        <v>7.81</v>
      </c>
      <c r="R11" s="43"/>
      <c r="S11" s="43"/>
      <c r="T11" s="43"/>
      <c r="U11" s="43"/>
    </row>
    <row r="12" spans="1:21" s="11" customFormat="1" ht="15">
      <c r="A12" s="50" t="s">
        <v>595</v>
      </c>
      <c r="B12" s="51">
        <v>2.2999999999999998</v>
      </c>
      <c r="C12" s="51">
        <v>14.48</v>
      </c>
      <c r="D12" s="51">
        <v>16.12</v>
      </c>
      <c r="E12" s="51">
        <v>6.62</v>
      </c>
      <c r="F12" s="51">
        <v>0.66</v>
      </c>
      <c r="G12" s="51">
        <v>41.53</v>
      </c>
      <c r="H12" s="51">
        <v>21.06</v>
      </c>
      <c r="I12" s="51">
        <v>4.22</v>
      </c>
      <c r="J12" s="51">
        <v>1.95</v>
      </c>
      <c r="K12" s="51">
        <v>210.77</v>
      </c>
      <c r="L12" s="51">
        <v>33.58</v>
      </c>
      <c r="M12" s="51">
        <v>90.40</v>
      </c>
      <c r="N12" s="51">
        <v>315.89999999999998</v>
      </c>
      <c r="O12" s="51">
        <v>0</v>
      </c>
      <c r="P12" s="51">
        <v>2.17</v>
      </c>
      <c r="Q12" s="51">
        <v>7.13</v>
      </c>
      <c r="R12" s="43"/>
      <c r="S12" s="43"/>
      <c r="T12" s="43"/>
      <c r="U12" s="43"/>
    </row>
    <row r="13" spans="1:21" s="11" customFormat="1" ht="15">
      <c r="A13" s="50" t="s">
        <v>596</v>
      </c>
      <c r="B13" s="51">
        <v>2.65</v>
      </c>
      <c r="C13" s="51">
        <v>13.93</v>
      </c>
      <c r="D13" s="51">
        <v>16.36</v>
      </c>
      <c r="E13" s="51">
        <v>7.23</v>
      </c>
      <c r="F13" s="51">
        <v>1.03</v>
      </c>
      <c r="G13" s="51">
        <v>42.44</v>
      </c>
      <c r="H13" s="51">
        <v>18.739999999999998</v>
      </c>
      <c r="I13" s="51">
        <v>4.3899999999999997</v>
      </c>
      <c r="J13" s="51">
        <v>2.17</v>
      </c>
      <c r="K13" s="51">
        <v>206</v>
      </c>
      <c r="L13" s="51">
        <v>33.409999999999997</v>
      </c>
      <c r="M13" s="51">
        <v>90.74</v>
      </c>
      <c r="N13" s="51">
        <v>328.40</v>
      </c>
      <c r="O13" s="51">
        <v>0</v>
      </c>
      <c r="P13" s="51">
        <v>2.15</v>
      </c>
      <c r="Q13" s="51">
        <v>7.67</v>
      </c>
      <c r="R13" s="43"/>
      <c r="S13" s="43"/>
      <c r="T13" s="43"/>
      <c r="U13" s="43"/>
    </row>
    <row r="14" spans="1:21" s="11" customFormat="1" ht="15">
      <c r="A14" s="50" t="s">
        <v>597</v>
      </c>
      <c r="B14" s="51">
        <v>2.08</v>
      </c>
      <c r="C14" s="51">
        <v>13.96</v>
      </c>
      <c r="D14" s="51">
        <v>16</v>
      </c>
      <c r="E14" s="51">
        <v>5.5</v>
      </c>
      <c r="F14" s="51">
        <v>0.88</v>
      </c>
      <c r="G14" s="51">
        <v>42.69</v>
      </c>
      <c r="H14" s="51">
        <v>20.04</v>
      </c>
      <c r="I14" s="51">
        <v>4.28</v>
      </c>
      <c r="J14" s="51">
        <v>2.42</v>
      </c>
      <c r="K14" s="51">
        <v>197.25</v>
      </c>
      <c r="L14" s="51">
        <v>33.39</v>
      </c>
      <c r="M14" s="51">
        <v>92.08</v>
      </c>
      <c r="N14" s="51">
        <v>332.80</v>
      </c>
      <c r="O14" s="51">
        <v>0</v>
      </c>
      <c r="P14" s="51">
        <v>2.13</v>
      </c>
      <c r="Q14" s="51">
        <v>7.91</v>
      </c>
      <c r="R14" s="43"/>
      <c r="S14" s="43"/>
      <c r="T14" s="43"/>
      <c r="U14" s="43"/>
    </row>
    <row r="15" spans="1:21" s="11" customFormat="1" ht="15">
      <c r="A15" s="50" t="s">
        <v>598</v>
      </c>
      <c r="B15" s="51">
        <v>2.21</v>
      </c>
      <c r="C15" s="51">
        <v>14.57</v>
      </c>
      <c r="D15" s="51">
        <v>16.78</v>
      </c>
      <c r="E15" s="51">
        <v>5.54</v>
      </c>
      <c r="F15" s="51">
        <v>0.63</v>
      </c>
      <c r="G15" s="51">
        <v>36.35</v>
      </c>
      <c r="H15" s="51">
        <v>20.03</v>
      </c>
      <c r="I15" s="51">
        <v>3.91</v>
      </c>
      <c r="J15" s="51">
        <v>1.63</v>
      </c>
      <c r="K15" s="51">
        <v>240.91</v>
      </c>
      <c r="L15" s="51">
        <v>33.40</v>
      </c>
      <c r="M15" s="51">
        <v>92.26</v>
      </c>
      <c r="N15" s="51">
        <v>329.10</v>
      </c>
      <c r="O15" s="51">
        <v>0</v>
      </c>
      <c r="P15" s="51">
        <v>2.10</v>
      </c>
      <c r="Q15" s="51">
        <v>8.0399999999999991</v>
      </c>
      <c r="R15" s="43"/>
      <c r="S15" s="43"/>
      <c r="T15" s="43"/>
      <c r="U15" s="43"/>
    </row>
    <row r="16" spans="1:21" s="11" customFormat="1" ht="15">
      <c r="A16" s="50" t="s">
        <v>599</v>
      </c>
      <c r="B16" s="51">
        <v>5.96</v>
      </c>
      <c r="C16" s="51">
        <v>16.010000000000002</v>
      </c>
      <c r="D16" s="51">
        <v>21.97</v>
      </c>
      <c r="E16" s="51">
        <v>5.95</v>
      </c>
      <c r="F16" s="51">
        <v>0.42</v>
      </c>
      <c r="G16" s="51">
        <v>37.340000000000003</v>
      </c>
      <c r="H16" s="51">
        <v>21.15</v>
      </c>
      <c r="I16" s="51">
        <v>4.07</v>
      </c>
      <c r="J16" s="51">
        <v>1.51</v>
      </c>
      <c r="K16" s="51">
        <v>344.54</v>
      </c>
      <c r="L16" s="51">
        <v>33.76</v>
      </c>
      <c r="M16" s="51">
        <v>95.60</v>
      </c>
      <c r="N16" s="51">
        <v>399.40</v>
      </c>
      <c r="O16" s="51">
        <v>0.80</v>
      </c>
      <c r="P16" s="51">
        <v>2.16</v>
      </c>
      <c r="Q16" s="51">
        <v>8.65</v>
      </c>
      <c r="R16" s="43"/>
      <c r="S16" s="43"/>
      <c r="T16" s="43"/>
      <c r="U16" s="43"/>
    </row>
    <row r="17" spans="1:21" s="11" customFormat="1" ht="15">
      <c r="A17" s="50" t="s">
        <v>600</v>
      </c>
      <c r="B17" s="51">
        <v>7.40</v>
      </c>
      <c r="C17" s="51">
        <v>16.70</v>
      </c>
      <c r="D17" s="51">
        <v>24.10</v>
      </c>
      <c r="E17" s="51">
        <v>6.47</v>
      </c>
      <c r="F17" s="51">
        <v>0.46</v>
      </c>
      <c r="G17" s="51">
        <v>42.76</v>
      </c>
      <c r="H17" s="51">
        <v>25.03</v>
      </c>
      <c r="I17" s="51">
        <v>4.6100000000000003</v>
      </c>
      <c r="J17" s="51">
        <v>1.41</v>
      </c>
      <c r="K17" s="51">
        <v>284.52999999999997</v>
      </c>
      <c r="L17" s="51">
        <v>33.29</v>
      </c>
      <c r="M17" s="51">
        <v>96.38</v>
      </c>
      <c r="N17" s="51">
        <v>422.70</v>
      </c>
      <c r="O17" s="51">
        <v>0.20</v>
      </c>
      <c r="P17" s="51">
        <v>2.2200000000000002</v>
      </c>
      <c r="Q17" s="51">
        <v>9.25</v>
      </c>
      <c r="R17" s="43"/>
      <c r="S17" s="43"/>
      <c r="T17" s="43"/>
      <c r="U17" s="43"/>
    </row>
    <row r="18" spans="1:21" s="11" customFormat="1" ht="15">
      <c r="A18" s="50" t="s">
        <v>601</v>
      </c>
      <c r="B18" s="51">
        <v>8.36</v>
      </c>
      <c r="C18" s="51">
        <v>20.079999999999998</v>
      </c>
      <c r="D18" s="51">
        <v>28.28</v>
      </c>
      <c r="E18" s="51">
        <v>7.90</v>
      </c>
      <c r="F18" s="51">
        <v>0.40</v>
      </c>
      <c r="G18" s="51">
        <v>46.44</v>
      </c>
      <c r="H18" s="51">
        <v>29.24</v>
      </c>
      <c r="I18" s="51">
        <v>5.45</v>
      </c>
      <c r="J18" s="51">
        <v>1.18</v>
      </c>
      <c r="K18" s="51">
        <v>272.13</v>
      </c>
      <c r="L18" s="51">
        <v>34.090000000000003</v>
      </c>
      <c r="M18" s="51">
        <v>95.66</v>
      </c>
      <c r="N18" s="51">
        <v>504.30</v>
      </c>
      <c r="O18" s="51">
        <v>0</v>
      </c>
      <c r="P18" s="51">
        <v>2.36</v>
      </c>
      <c r="Q18" s="51">
        <v>11.46</v>
      </c>
      <c r="R18" s="43"/>
      <c r="S18" s="43"/>
      <c r="T18" s="43"/>
      <c r="U18" s="43"/>
    </row>
    <row r="19" spans="1:21" s="11" customFormat="1" ht="15">
      <c r="A19" s="50" t="s">
        <v>602</v>
      </c>
      <c r="B19" s="51">
        <v>8.2100000000000009</v>
      </c>
      <c r="C19" s="51">
        <v>23.48</v>
      </c>
      <c r="D19" s="51">
        <v>30.03</v>
      </c>
      <c r="E19" s="51">
        <v>7.17</v>
      </c>
      <c r="F19" s="51">
        <v>0.75</v>
      </c>
      <c r="G19" s="51">
        <v>47.13</v>
      </c>
      <c r="H19" s="51">
        <v>31.12</v>
      </c>
      <c r="I19" s="51">
        <v>6.51</v>
      </c>
      <c r="J19" s="51">
        <v>0.87</v>
      </c>
      <c r="K19" s="51">
        <v>232.02</v>
      </c>
      <c r="L19" s="51">
        <v>37.630000000000003</v>
      </c>
      <c r="M19" s="51">
        <v>90.55</v>
      </c>
      <c r="N19" s="51">
        <v>1111.70</v>
      </c>
      <c r="O19" s="51">
        <v>0</v>
      </c>
      <c r="P19" s="51">
        <v>2.4700000000000002</v>
      </c>
      <c r="Q19" s="51">
        <v>11.66</v>
      </c>
      <c r="R19" s="43"/>
      <c r="S19" s="43"/>
      <c r="T19" s="43"/>
      <c r="U19" s="43"/>
    </row>
    <row r="20" spans="1:21" s="11" customFormat="1" ht="15">
      <c r="A20" s="50" t="s">
        <v>603</v>
      </c>
      <c r="B20" s="51">
        <v>5.08</v>
      </c>
      <c r="C20" s="51">
        <v>24.92</v>
      </c>
      <c r="D20" s="51">
        <v>29.54</v>
      </c>
      <c r="E20" s="51">
        <v>6.10</v>
      </c>
      <c r="F20" s="51">
        <v>1.41</v>
      </c>
      <c r="G20" s="51">
        <v>54.91</v>
      </c>
      <c r="H20" s="51">
        <v>23.30</v>
      </c>
      <c r="I20" s="51">
        <v>8.01</v>
      </c>
      <c r="J20" s="51">
        <v>1.67</v>
      </c>
      <c r="K20" s="51">
        <v>226.39</v>
      </c>
      <c r="L20" s="51">
        <v>38.229999999999997</v>
      </c>
      <c r="M20" s="51">
        <v>77.28</v>
      </c>
      <c r="N20" s="51">
        <v>667.70</v>
      </c>
      <c r="O20" s="51">
        <v>0</v>
      </c>
      <c r="P20" s="51">
        <v>2.60</v>
      </c>
      <c r="Q20" s="51">
        <v>11.15</v>
      </c>
      <c r="R20" s="43"/>
      <c r="S20" s="43"/>
      <c r="T20" s="43"/>
      <c r="U20" s="43"/>
    </row>
    <row r="21" spans="1:21" s="11" customFormat="1" ht="15">
      <c r="A21" s="50" t="s">
        <v>604</v>
      </c>
      <c r="B21" s="51">
        <v>2.37</v>
      </c>
      <c r="C21" s="51">
        <v>24.20</v>
      </c>
      <c r="D21" s="51">
        <v>26.21</v>
      </c>
      <c r="E21" s="51">
        <v>6.48</v>
      </c>
      <c r="F21" s="51">
        <v>1.86</v>
      </c>
      <c r="G21" s="51">
        <v>60.86</v>
      </c>
      <c r="H21" s="51">
        <v>24.64</v>
      </c>
      <c r="I21" s="51">
        <v>8.4600000000000009</v>
      </c>
      <c r="J21" s="51">
        <v>2.31</v>
      </c>
      <c r="K21" s="51">
        <v>340.90</v>
      </c>
      <c r="L21" s="51">
        <v>42.96</v>
      </c>
      <c r="M21" s="51">
        <v>70.06</v>
      </c>
      <c r="N21" s="51">
        <v>1534.10</v>
      </c>
      <c r="O21" s="51">
        <v>0</v>
      </c>
      <c r="P21" s="51">
        <v>2.65</v>
      </c>
      <c r="Q21" s="51">
        <v>9.23</v>
      </c>
      <c r="R21" s="43"/>
      <c r="S21" s="43"/>
      <c r="T21" s="43"/>
      <c r="U21" s="43"/>
    </row>
    <row r="22" spans="1:21" s="11" customFormat="1" ht="15">
      <c r="A22" s="50" t="s">
        <v>605</v>
      </c>
      <c r="B22" s="51">
        <v>2</v>
      </c>
      <c r="C22" s="51">
        <v>26.23</v>
      </c>
      <c r="D22" s="51">
        <v>27.85</v>
      </c>
      <c r="E22" s="51">
        <v>6.20</v>
      </c>
      <c r="F22" s="51">
        <v>3.53</v>
      </c>
      <c r="G22" s="51">
        <v>64.63</v>
      </c>
      <c r="H22" s="51">
        <v>27.95</v>
      </c>
      <c r="I22" s="51">
        <v>9.16</v>
      </c>
      <c r="J22" s="51">
        <v>1.41</v>
      </c>
      <c r="K22" s="51">
        <v>341.74</v>
      </c>
      <c r="L22" s="51">
        <v>42.81</v>
      </c>
      <c r="M22" s="51">
        <v>61.96</v>
      </c>
      <c r="N22" s="51">
        <v>1107.80</v>
      </c>
      <c r="O22" s="51">
        <v>0</v>
      </c>
      <c r="P22" s="51">
        <v>2.67</v>
      </c>
      <c r="Q22" s="51">
        <v>9.83</v>
      </c>
      <c r="R22" s="43"/>
      <c r="S22" s="43"/>
      <c r="T22" s="43"/>
      <c r="U22" s="43"/>
    </row>
    <row r="23" spans="1:21" s="11" customFormat="1" ht="15">
      <c r="A23" s="50" t="s">
        <v>606</v>
      </c>
      <c r="B23" s="51">
        <v>1.02</v>
      </c>
      <c r="C23" s="51">
        <v>26.18</v>
      </c>
      <c r="D23" s="51">
        <v>27.20</v>
      </c>
      <c r="E23" s="51">
        <v>6.14</v>
      </c>
      <c r="F23" s="51">
        <v>4.04</v>
      </c>
      <c r="G23" s="51">
        <v>66.86</v>
      </c>
      <c r="H23" s="51">
        <v>28.88</v>
      </c>
      <c r="I23" s="51">
        <v>9.3699999999999992</v>
      </c>
      <c r="J23" s="51">
        <v>2.87</v>
      </c>
      <c r="K23" s="51">
        <v>334.96</v>
      </c>
      <c r="L23" s="51">
        <v>46.28</v>
      </c>
      <c r="M23" s="51">
        <v>55.43</v>
      </c>
      <c r="N23" s="51">
        <v>929.80</v>
      </c>
      <c r="O23" s="51">
        <v>0</v>
      </c>
      <c r="P23" s="51">
        <v>2.64</v>
      </c>
      <c r="Q23" s="51">
        <v>10.16</v>
      </c>
      <c r="R23" s="43"/>
      <c r="S23" s="43"/>
      <c r="T23" s="43"/>
      <c r="U23" s="43"/>
    </row>
    <row r="24" spans="1:21" s="11" customFormat="1" ht="15">
      <c r="A24" s="50" t="s">
        <v>607</v>
      </c>
      <c r="B24" s="51">
        <v>0.93</v>
      </c>
      <c r="C24" s="51">
        <v>25.94</v>
      </c>
      <c r="D24" s="51">
        <v>26.87</v>
      </c>
      <c r="E24" s="51">
        <v>5.61</v>
      </c>
      <c r="F24" s="51">
        <v>4.46</v>
      </c>
      <c r="G24" s="51">
        <v>75.41</v>
      </c>
      <c r="H24" s="51">
        <v>28.48</v>
      </c>
      <c r="I24" s="51">
        <v>8.91</v>
      </c>
      <c r="J24" s="51">
        <v>2.71</v>
      </c>
      <c r="K24" s="51">
        <v>325.23</v>
      </c>
      <c r="L24" s="51">
        <v>48.65</v>
      </c>
      <c r="M24" s="51">
        <v>54.13</v>
      </c>
      <c r="N24" s="51">
        <v>946.70</v>
      </c>
      <c r="O24" s="51">
        <v>0</v>
      </c>
      <c r="P24" s="51">
        <v>2.57</v>
      </c>
      <c r="Q24" s="51">
        <v>9.9499999999999993</v>
      </c>
      <c r="R24" s="43"/>
      <c r="S24" s="43"/>
      <c r="T24" s="43"/>
      <c r="U24" s="43"/>
    </row>
    <row r="25" spans="1:21" s="11" customFormat="1" ht="15">
      <c r="A25" s="50" t="s">
        <v>608</v>
      </c>
      <c r="B25" s="51">
        <v>0.90</v>
      </c>
      <c r="C25" s="51">
        <v>25.04</v>
      </c>
      <c r="D25" s="51">
        <v>25.86</v>
      </c>
      <c r="E25" s="51">
        <v>5.91</v>
      </c>
      <c r="F25" s="51">
        <v>3.52</v>
      </c>
      <c r="G25" s="51">
        <v>77.73</v>
      </c>
      <c r="H25" s="51">
        <v>27.42</v>
      </c>
      <c r="I25" s="51">
        <v>7.11</v>
      </c>
      <c r="J25" s="51">
        <v>2.17</v>
      </c>
      <c r="K25" s="51">
        <v>346.61</v>
      </c>
      <c r="L25" s="51">
        <v>49.94</v>
      </c>
      <c r="M25" s="51">
        <v>51.05</v>
      </c>
      <c r="N25" s="51">
        <v>877.60</v>
      </c>
      <c r="O25" s="51">
        <v>0</v>
      </c>
      <c r="P25" s="51">
        <v>2.5</v>
      </c>
      <c r="Q25" s="51">
        <v>9.33</v>
      </c>
      <c r="R25" s="43"/>
      <c r="S25" s="43"/>
      <c r="T25" s="43"/>
      <c r="U25" s="43"/>
    </row>
    <row r="26" spans="1:21" s="11" customFormat="1" ht="15">
      <c r="A26" s="50" t="s">
        <v>609</v>
      </c>
      <c r="B26" s="51">
        <v>1.68</v>
      </c>
      <c r="C26" s="51">
        <v>25.28</v>
      </c>
      <c r="D26" s="51">
        <v>26.96</v>
      </c>
      <c r="E26" s="51">
        <v>5.38</v>
      </c>
      <c r="F26" s="51">
        <v>2.29</v>
      </c>
      <c r="G26" s="51">
        <v>76.95</v>
      </c>
      <c r="H26" s="51">
        <v>26.38</v>
      </c>
      <c r="I26" s="51">
        <v>6.36</v>
      </c>
      <c r="J26" s="51">
        <v>2.0499999999999998</v>
      </c>
      <c r="K26" s="51">
        <v>332.70</v>
      </c>
      <c r="L26" s="51">
        <v>47.83</v>
      </c>
      <c r="M26" s="51">
        <v>53.51</v>
      </c>
      <c r="N26" s="51">
        <v>442.40</v>
      </c>
      <c r="O26" s="51">
        <v>0</v>
      </c>
      <c r="P26" s="51">
        <v>2.52</v>
      </c>
      <c r="Q26" s="51">
        <v>9.08</v>
      </c>
      <c r="R26" s="43"/>
      <c r="S26" s="43"/>
      <c r="T26" s="43"/>
      <c r="U26" s="43"/>
    </row>
    <row r="27" spans="1:21" s="11" customFormat="1" ht="15">
      <c r="A27" s="50" t="s">
        <v>610</v>
      </c>
      <c r="B27" s="51">
        <v>1.34</v>
      </c>
      <c r="C27" s="51">
        <v>25.10</v>
      </c>
      <c r="D27" s="51">
        <v>26.44</v>
      </c>
      <c r="E27" s="51">
        <v>5.35</v>
      </c>
      <c r="F27" s="51">
        <v>3.08</v>
      </c>
      <c r="G27" s="51">
        <v>78.739999999999995</v>
      </c>
      <c r="H27" s="51">
        <v>27.57</v>
      </c>
      <c r="I27" s="51">
        <v>6.30</v>
      </c>
      <c r="J27" s="51">
        <v>3.44</v>
      </c>
      <c r="K27" s="51">
        <v>182.54</v>
      </c>
      <c r="L27" s="51">
        <v>44.60</v>
      </c>
      <c r="M27" s="51">
        <v>57.24</v>
      </c>
      <c r="N27" s="51">
        <v>199.40</v>
      </c>
      <c r="O27" s="51">
        <v>0</v>
      </c>
      <c r="P27" s="51">
        <v>2.5</v>
      </c>
      <c r="Q27" s="51">
        <v>9.1999999999999993</v>
      </c>
      <c r="R27" s="43"/>
      <c r="S27" s="43"/>
      <c r="T27" s="43"/>
      <c r="U27" s="43"/>
    </row>
    <row r="28" spans="1:21" s="11" customFormat="1" ht="15">
      <c r="A28" s="50" t="s">
        <v>611</v>
      </c>
      <c r="B28" s="51">
        <v>0.52</v>
      </c>
      <c r="C28" s="51">
        <v>24.07</v>
      </c>
      <c r="D28" s="51">
        <v>24.58</v>
      </c>
      <c r="E28" s="51">
        <v>5.13</v>
      </c>
      <c r="F28" s="51">
        <v>3.06</v>
      </c>
      <c r="G28" s="51">
        <v>86.69</v>
      </c>
      <c r="H28" s="51">
        <v>31.56</v>
      </c>
      <c r="I28" s="51">
        <v>6.60</v>
      </c>
      <c r="J28" s="51">
        <v>2.90</v>
      </c>
      <c r="K28" s="51">
        <v>166.81</v>
      </c>
      <c r="L28" s="51">
        <v>42</v>
      </c>
      <c r="M28" s="51">
        <v>61.73</v>
      </c>
      <c r="N28" s="51">
        <v>161.5</v>
      </c>
      <c r="O28" s="51">
        <v>0</v>
      </c>
      <c r="P28" s="51">
        <v>2.5099999999999998</v>
      </c>
      <c r="Q28" s="51">
        <v>8.81</v>
      </c>
      <c r="R28" s="43"/>
      <c r="S28" s="43"/>
      <c r="T28" s="43"/>
      <c r="U28" s="43"/>
    </row>
    <row r="29" spans="1:21" s="11" customFormat="1" ht="15">
      <c r="A29" s="50" t="s">
        <v>612</v>
      </c>
      <c r="B29" s="51">
        <v>0.86</v>
      </c>
      <c r="C29" s="51">
        <v>25.13</v>
      </c>
      <c r="D29" s="51">
        <v>25.79</v>
      </c>
      <c r="E29" s="51">
        <v>5.28</v>
      </c>
      <c r="F29" s="51">
        <v>2.48</v>
      </c>
      <c r="G29" s="51">
        <v>90.25</v>
      </c>
      <c r="H29" s="51">
        <v>32.909999999999997</v>
      </c>
      <c r="I29" s="51">
        <v>7.48</v>
      </c>
      <c r="J29" s="51">
        <v>3.41</v>
      </c>
      <c r="K29" s="51">
        <v>191.78</v>
      </c>
      <c r="L29" s="51">
        <v>39.99</v>
      </c>
      <c r="M29" s="51">
        <v>71.849999999999994</v>
      </c>
      <c r="N29" s="51">
        <v>138.80000000000001</v>
      </c>
      <c r="O29" s="51">
        <v>0</v>
      </c>
      <c r="P29" s="51">
        <v>2.5299999999999998</v>
      </c>
      <c r="Q29" s="51">
        <v>9.0500000000000007</v>
      </c>
      <c r="R29" s="43"/>
      <c r="S29" s="43"/>
      <c r="T29" s="43"/>
      <c r="U29" s="43"/>
    </row>
    <row r="30" spans="1:21" s="11" customFormat="1" ht="15">
      <c r="A30" s="50" t="s">
        <v>613</v>
      </c>
      <c r="B30" s="51">
        <v>0.95</v>
      </c>
      <c r="C30" s="51">
        <v>19.64</v>
      </c>
      <c r="D30" s="51">
        <v>20.56</v>
      </c>
      <c r="E30" s="51">
        <v>5.5</v>
      </c>
      <c r="F30" s="51">
        <v>3.22</v>
      </c>
      <c r="G30" s="51">
        <v>85.39</v>
      </c>
      <c r="H30" s="51">
        <v>27.74</v>
      </c>
      <c r="I30" s="51">
        <v>6.89</v>
      </c>
      <c r="J30" s="51">
        <v>3.63</v>
      </c>
      <c r="K30" s="51">
        <v>220.39</v>
      </c>
      <c r="L30" s="51">
        <v>38.92</v>
      </c>
      <c r="M30" s="51">
        <v>77.88</v>
      </c>
      <c r="N30" s="51">
        <v>140.5</v>
      </c>
      <c r="O30" s="51">
        <v>0</v>
      </c>
      <c r="P30" s="51">
        <v>2.40</v>
      </c>
      <c r="Q30" s="51">
        <v>7.07</v>
      </c>
      <c r="R30" s="43"/>
      <c r="S30" s="43"/>
      <c r="T30" s="43"/>
      <c r="U30" s="43"/>
    </row>
    <row r="31" spans="1:21" s="11" customFormat="1" ht="15">
      <c r="A31" s="50" t="s">
        <v>614</v>
      </c>
      <c r="B31" s="51">
        <v>1.18</v>
      </c>
      <c r="C31" s="51">
        <v>23</v>
      </c>
      <c r="D31" s="51">
        <v>24.14</v>
      </c>
      <c r="E31" s="51">
        <v>4.76</v>
      </c>
      <c r="F31" s="51">
        <v>3.99</v>
      </c>
      <c r="G31" s="51">
        <v>70.290000000000006</v>
      </c>
      <c r="H31" s="51">
        <v>23.25</v>
      </c>
      <c r="I31" s="51">
        <v>5.84</v>
      </c>
      <c r="J31" s="51">
        <v>1.77</v>
      </c>
      <c r="K31" s="51">
        <v>344.67</v>
      </c>
      <c r="L31" s="51">
        <v>38.60</v>
      </c>
      <c r="M31" s="51">
        <v>77.66</v>
      </c>
      <c r="N31" s="51">
        <v>134.10</v>
      </c>
      <c r="O31" s="51">
        <v>0</v>
      </c>
      <c r="P31" s="51">
        <v>2.34</v>
      </c>
      <c r="Q31" s="51">
        <v>8.01</v>
      </c>
      <c r="R31" s="43"/>
      <c r="S31" s="43"/>
      <c r="T31" s="43"/>
      <c r="U31" s="43"/>
    </row>
    <row r="32" spans="1:21" s="11" customFormat="1" ht="15">
      <c r="A32" s="50" t="s">
        <v>615</v>
      </c>
      <c r="B32" s="51">
        <v>0.96</v>
      </c>
      <c r="C32" s="51">
        <v>22.72</v>
      </c>
      <c r="D32" s="51">
        <v>23.68</v>
      </c>
      <c r="E32" s="51">
        <v>4.55</v>
      </c>
      <c r="F32" s="51">
        <v>2.14</v>
      </c>
      <c r="G32" s="51">
        <v>52.64</v>
      </c>
      <c r="H32" s="51">
        <v>23.99</v>
      </c>
      <c r="I32" s="51">
        <v>4.8899999999999997</v>
      </c>
      <c r="J32" s="51">
        <v>2.86</v>
      </c>
      <c r="K32" s="51">
        <v>234.33</v>
      </c>
      <c r="L32" s="51">
        <v>34.99</v>
      </c>
      <c r="M32" s="51">
        <v>94.62</v>
      </c>
      <c r="N32" s="51">
        <v>133.10</v>
      </c>
      <c r="O32" s="51">
        <v>1.80</v>
      </c>
      <c r="P32" s="51">
        <v>2.3199999999999998</v>
      </c>
      <c r="Q32" s="51">
        <v>7.97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0.52000000000000002</v>
      </c>
      <c r="C34" s="28">
        <f t="shared" si="0"/>
        <v>13.93</v>
      </c>
      <c r="D34" s="28">
        <f t="shared" si="0"/>
        <v>16</v>
      </c>
      <c r="E34" s="28">
        <f t="shared" si="0"/>
        <v>4.5499999999999998</v>
      </c>
      <c r="F34" s="28">
        <f t="shared" si="0"/>
        <v>0.40000000000000002</v>
      </c>
      <c r="G34" s="28">
        <f t="shared" si="0"/>
        <v>36.350000000000001</v>
      </c>
      <c r="H34" s="28">
        <f t="shared" si="0"/>
        <v>18.739999999999998</v>
      </c>
      <c r="I34" s="28">
        <f t="shared" si="0"/>
        <v>3.9100000000000001</v>
      </c>
      <c r="J34" s="28">
        <f t="shared" si="0"/>
        <v>0.87</v>
      </c>
      <c r="K34" s="28">
        <f t="shared" si="0"/>
        <v>166.81</v>
      </c>
      <c r="L34" s="28">
        <f t="shared" si="0"/>
        <v>33.289999999999999</v>
      </c>
      <c r="M34" s="28">
        <f t="shared" si="0"/>
        <v>51.049999999999997</v>
      </c>
      <c r="N34" s="28">
        <f t="shared" si="0"/>
        <v>133.09999999999999</v>
      </c>
      <c r="O34" s="28">
        <f t="shared" si="0"/>
        <v>0</v>
      </c>
      <c r="P34" s="28">
        <f t="shared" si="0"/>
        <v>2.1000000000000001</v>
      </c>
      <c r="Q34" s="28">
        <f t="shared" si="0"/>
        <v>7.0700000000000003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8.3599999999999994</v>
      </c>
      <c r="C35" s="29">
        <f t="shared" si="1"/>
        <v>26.23</v>
      </c>
      <c r="D35" s="29">
        <f t="shared" si="1"/>
        <v>30.030000000000001</v>
      </c>
      <c r="E35" s="29">
        <f t="shared" si="1"/>
        <v>7.9000000000000004</v>
      </c>
      <c r="F35" s="29">
        <f t="shared" si="1"/>
        <v>4.46</v>
      </c>
      <c r="G35" s="29">
        <f t="shared" si="1"/>
        <v>90.25</v>
      </c>
      <c r="H35" s="29">
        <f t="shared" si="1"/>
        <v>32.909999999999997</v>
      </c>
      <c r="I35" s="29">
        <f t="shared" si="1"/>
        <v>9.3699999999999992</v>
      </c>
      <c r="J35" s="29">
        <f t="shared" si="1"/>
        <v>3.6299999999999999</v>
      </c>
      <c r="K35" s="29">
        <f t="shared" si="1"/>
        <v>346.61000000000001</v>
      </c>
      <c r="L35" s="29">
        <f t="shared" si="1"/>
        <v>49.939999999999998</v>
      </c>
      <c r="M35" s="29">
        <f t="shared" si="1"/>
        <v>96.379999999999995</v>
      </c>
      <c r="N35" s="29">
        <f t="shared" si="1"/>
        <v>1534.0999999999999</v>
      </c>
      <c r="O35" s="29">
        <f t="shared" si="1"/>
        <v>1.8</v>
      </c>
      <c r="P35" s="29">
        <f t="shared" si="1"/>
        <v>2.6699999999999999</v>
      </c>
      <c r="Q35" s="29">
        <f t="shared" si="1"/>
        <v>11.66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2.7524999999999999</v>
      </c>
      <c r="C36" s="28">
        <f t="shared" si="2"/>
        <v>20.965</v>
      </c>
      <c r="D36" s="28">
        <f t="shared" si="2"/>
        <v>23.533333333333331</v>
      </c>
      <c r="E36" s="28">
        <f t="shared" si="2"/>
        <v>5.9783333333333326</v>
      </c>
      <c r="F36" s="28">
        <f t="shared" si="2"/>
        <v>1.9645833333333333</v>
      </c>
      <c r="G36" s="28">
        <f t="shared" si="2"/>
        <v>59.201250000000016</v>
      </c>
      <c r="H36" s="28">
        <f t="shared" si="2"/>
        <v>25.204583333333336</v>
      </c>
      <c r="I36" s="28">
        <f t="shared" si="2"/>
        <v>6.1399999999999979</v>
      </c>
      <c r="J36" s="28">
        <f t="shared" si="2"/>
        <v>2.1524999999999999</v>
      </c>
      <c r="K36" s="28">
        <f t="shared" si="2"/>
        <v>271.53958333333338</v>
      </c>
      <c r="L36" s="28">
        <f t="shared" si="2"/>
        <v>38.735000000000007</v>
      </c>
      <c r="M36" s="28">
        <f t="shared" si="2"/>
        <v>78.213333333333352</v>
      </c>
      <c r="N36" s="28">
        <f t="shared" si="2"/>
        <v>502.07916666666671</v>
      </c>
      <c r="O36" s="28">
        <f t="shared" si="2"/>
        <v>0.11666666666666665</v>
      </c>
      <c r="P36" s="28">
        <f t="shared" si="2"/>
        <v>2.3887500000000004</v>
      </c>
      <c r="Q36" s="28">
        <f t="shared" si="2"/>
        <v>8.9874999999999989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2.4097144878685266</v>
      </c>
      <c r="C37" s="28">
        <f t="shared" si="3" ref="C37:Q37">STDEV(C9:C32)</f>
        <v>4.5015427307226394</v>
      </c>
      <c r="D37" s="28">
        <f t="shared" si="3"/>
        <v>4.4633820932276338</v>
      </c>
      <c r="E37" s="28">
        <f t="shared" si="3"/>
        <v>0.82129095975769628</v>
      </c>
      <c r="F37" s="28">
        <f t="shared" si="3"/>
        <v>1.3437260951699124</v>
      </c>
      <c r="G37" s="28">
        <f t="shared" si="3"/>
        <v>17.267968162366948</v>
      </c>
      <c r="H37" s="28">
        <f t="shared" si="3"/>
        <v>4.1466885469971144</v>
      </c>
      <c r="I37" s="28">
        <f t="shared" si="3"/>
        <v>1.7344840104794057</v>
      </c>
      <c r="J37" s="28">
        <f t="shared" si="3"/>
        <v>0.75396488212532931</v>
      </c>
      <c r="K37" s="28">
        <f t="shared" si="3"/>
        <v>63.067691479191417</v>
      </c>
      <c r="L37" s="28">
        <f t="shared" si="3"/>
        <v>5.6038876257236536</v>
      </c>
      <c r="M37" s="28">
        <f t="shared" si="3"/>
        <v>16.125050095416974</v>
      </c>
      <c r="N37" s="28">
        <f t="shared" si="3"/>
        <v>382.48435032397538</v>
      </c>
      <c r="O37" s="28">
        <f t="shared" si="3"/>
        <v>0.39526179180129595</v>
      </c>
      <c r="P37" s="28">
        <f t="shared" si="3"/>
        <v>0.18274031229898466</v>
      </c>
      <c r="Q37" s="28">
        <f t="shared" si="3"/>
        <v>1.2512854260284874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495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faf40d-e224-4626-bc4c-b7fe5945ec6a}">
  <sheetPr codeName=""/>
  <dimension ref="A1:U119"/>
  <sheetViews>
    <sheetView workbookViewId="0" topLeftCell="A1">
      <pane xSplit="1" ySplit="8" topLeftCell="B3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616</v>
      </c>
      <c r="B9" s="51">
        <v>1.17</v>
      </c>
      <c r="C9" s="51">
        <v>17.28</v>
      </c>
      <c r="D9" s="51">
        <v>18.100000000000001</v>
      </c>
      <c r="E9" s="51">
        <v>5.66</v>
      </c>
      <c r="F9" s="51">
        <v>1.20</v>
      </c>
      <c r="G9" s="51">
        <v>35.130000000000003</v>
      </c>
      <c r="H9" s="51">
        <v>24</v>
      </c>
      <c r="I9" s="51">
        <v>5.43</v>
      </c>
      <c r="J9" s="51">
        <v>0.73</v>
      </c>
      <c r="K9" s="51">
        <v>263.48</v>
      </c>
      <c r="L9" s="51">
        <v>32.31</v>
      </c>
      <c r="M9" s="51">
        <v>95.91</v>
      </c>
      <c r="N9" s="51">
        <v>152.90</v>
      </c>
      <c r="O9" s="51">
        <v>0</v>
      </c>
      <c r="P9" s="51">
        <v>2.34</v>
      </c>
      <c r="Q9" s="51">
        <v>6.48</v>
      </c>
      <c r="R9" s="43"/>
      <c r="S9" s="43"/>
      <c r="T9" s="43"/>
      <c r="U9" s="43"/>
    </row>
    <row r="10" spans="1:21" s="11" customFormat="1" ht="15">
      <c r="A10" s="50" t="s">
        <v>617</v>
      </c>
      <c r="B10" s="51">
        <v>1.23</v>
      </c>
      <c r="C10" s="51">
        <v>16.09</v>
      </c>
      <c r="D10" s="51">
        <v>17.260000000000002</v>
      </c>
      <c r="E10" s="51">
        <v>6.34</v>
      </c>
      <c r="F10" s="51">
        <v>0.98</v>
      </c>
      <c r="G10" s="51">
        <v>35.31</v>
      </c>
      <c r="H10" s="51">
        <v>22.49</v>
      </c>
      <c r="I10" s="51">
        <v>6</v>
      </c>
      <c r="J10" s="51">
        <v>1.1000000000000001</v>
      </c>
      <c r="K10" s="51">
        <v>353.83</v>
      </c>
      <c r="L10" s="51">
        <v>32.28</v>
      </c>
      <c r="M10" s="51">
        <v>95.91</v>
      </c>
      <c r="N10" s="51">
        <v>142</v>
      </c>
      <c r="O10" s="51">
        <v>0.20</v>
      </c>
      <c r="P10" s="51">
        <v>2.36</v>
      </c>
      <c r="Q10" s="51">
        <v>6.07</v>
      </c>
      <c r="R10" s="43"/>
      <c r="S10" s="43"/>
      <c r="T10" s="43"/>
      <c r="U10" s="43"/>
    </row>
    <row r="11" spans="1:21" s="11" customFormat="1" ht="15">
      <c r="A11" s="50" t="s">
        <v>618</v>
      </c>
      <c r="B11" s="51">
        <v>0.89</v>
      </c>
      <c r="C11" s="51">
        <v>16</v>
      </c>
      <c r="D11" s="51">
        <v>16.89</v>
      </c>
      <c r="E11" s="51">
        <v>6.15</v>
      </c>
      <c r="F11" s="51">
        <v>1.38</v>
      </c>
      <c r="G11" s="51">
        <v>33.159999999999997</v>
      </c>
      <c r="H11" s="51">
        <v>23.35</v>
      </c>
      <c r="I11" s="51">
        <v>7.08</v>
      </c>
      <c r="J11" s="51">
        <v>2.10</v>
      </c>
      <c r="K11" s="51">
        <v>206.07</v>
      </c>
      <c r="L11" s="51">
        <v>32</v>
      </c>
      <c r="M11" s="51">
        <v>96.03</v>
      </c>
      <c r="N11" s="51">
        <v>126.60</v>
      </c>
      <c r="O11" s="51">
        <v>0</v>
      </c>
      <c r="P11" s="51">
        <v>2.37</v>
      </c>
      <c r="Q11" s="51">
        <v>6.51</v>
      </c>
      <c r="R11" s="43"/>
      <c r="S11" s="43"/>
      <c r="T11" s="43"/>
      <c r="U11" s="43"/>
    </row>
    <row r="12" spans="1:21" s="11" customFormat="1" ht="15">
      <c r="A12" s="50" t="s">
        <v>619</v>
      </c>
      <c r="B12" s="51">
        <v>0.70</v>
      </c>
      <c r="C12" s="51">
        <v>14.34</v>
      </c>
      <c r="D12" s="51">
        <v>15.03</v>
      </c>
      <c r="E12" s="51">
        <v>6.28</v>
      </c>
      <c r="F12" s="51">
        <v>1.67</v>
      </c>
      <c r="G12" s="51">
        <v>33.31</v>
      </c>
      <c r="H12" s="51">
        <v>21.13</v>
      </c>
      <c r="I12" s="51">
        <v>6.71</v>
      </c>
      <c r="J12" s="51">
        <v>1.94</v>
      </c>
      <c r="K12" s="51">
        <v>231.87</v>
      </c>
      <c r="L12" s="51">
        <v>31.90</v>
      </c>
      <c r="M12" s="51">
        <v>95.73</v>
      </c>
      <c r="N12" s="51">
        <v>125.10</v>
      </c>
      <c r="O12" s="51">
        <v>0</v>
      </c>
      <c r="P12" s="51">
        <v>2.3199999999999998</v>
      </c>
      <c r="Q12" s="51">
        <v>6.31</v>
      </c>
      <c r="R12" s="43"/>
      <c r="S12" s="43"/>
      <c r="T12" s="43"/>
      <c r="U12" s="43"/>
    </row>
    <row r="13" spans="1:21" s="11" customFormat="1" ht="15">
      <c r="A13" s="50" t="s">
        <v>620</v>
      </c>
      <c r="B13" s="51">
        <v>1.20</v>
      </c>
      <c r="C13" s="51">
        <v>13.08</v>
      </c>
      <c r="D13" s="51">
        <v>14.08</v>
      </c>
      <c r="E13" s="51">
        <v>5.78</v>
      </c>
      <c r="F13" s="51">
        <v>1.52</v>
      </c>
      <c r="G13" s="51">
        <v>25.91</v>
      </c>
      <c r="H13" s="51">
        <v>16.23</v>
      </c>
      <c r="I13" s="51">
        <v>5.75</v>
      </c>
      <c r="J13" s="51">
        <v>1.86</v>
      </c>
      <c r="K13" s="51">
        <v>221.52</v>
      </c>
      <c r="L13" s="51">
        <v>32.14</v>
      </c>
      <c r="M13" s="51">
        <v>95.26</v>
      </c>
      <c r="N13" s="51">
        <v>140.60</v>
      </c>
      <c r="O13" s="51">
        <v>0</v>
      </c>
      <c r="P13" s="51">
        <v>2.2400000000000002</v>
      </c>
      <c r="Q13" s="51">
        <v>5.97</v>
      </c>
      <c r="R13" s="43"/>
      <c r="S13" s="43"/>
      <c r="T13" s="43"/>
      <c r="U13" s="43"/>
    </row>
    <row r="14" spans="1:21" s="11" customFormat="1" ht="15">
      <c r="A14" s="50" t="s">
        <v>621</v>
      </c>
      <c r="B14" s="51">
        <v>1.97</v>
      </c>
      <c r="C14" s="51">
        <v>13.42</v>
      </c>
      <c r="D14" s="51">
        <v>15.38</v>
      </c>
      <c r="E14" s="51">
        <v>7.08</v>
      </c>
      <c r="F14" s="51">
        <v>0.90</v>
      </c>
      <c r="G14" s="51">
        <v>29.15</v>
      </c>
      <c r="H14" s="51">
        <v>15.30</v>
      </c>
      <c r="I14" s="51">
        <v>5.26</v>
      </c>
      <c r="J14" s="51">
        <v>2.17</v>
      </c>
      <c r="K14" s="51">
        <v>253.32</v>
      </c>
      <c r="L14" s="51">
        <v>31.98</v>
      </c>
      <c r="M14" s="51">
        <v>94.79</v>
      </c>
      <c r="N14" s="51">
        <v>152.60</v>
      </c>
      <c r="O14" s="51">
        <v>0</v>
      </c>
      <c r="P14" s="51">
        <v>2.23</v>
      </c>
      <c r="Q14" s="51">
        <v>5.95</v>
      </c>
      <c r="R14" s="43"/>
      <c r="S14" s="43"/>
      <c r="T14" s="43"/>
      <c r="U14" s="43"/>
    </row>
    <row r="15" spans="1:21" s="11" customFormat="1" ht="15">
      <c r="A15" s="50" t="s">
        <v>622</v>
      </c>
      <c r="B15" s="51">
        <v>2.13</v>
      </c>
      <c r="C15" s="51">
        <v>14.62</v>
      </c>
      <c r="D15" s="51">
        <v>16.36</v>
      </c>
      <c r="E15" s="51">
        <v>7.15</v>
      </c>
      <c r="F15" s="51">
        <v>1.05</v>
      </c>
      <c r="G15" s="51">
        <v>32.65</v>
      </c>
      <c r="H15" s="51">
        <v>17.43</v>
      </c>
      <c r="I15" s="51">
        <v>5.23</v>
      </c>
      <c r="J15" s="51">
        <v>2.5299999999999998</v>
      </c>
      <c r="K15" s="51">
        <v>206.37</v>
      </c>
      <c r="L15" s="51">
        <v>32.08</v>
      </c>
      <c r="M15" s="51">
        <v>95.10</v>
      </c>
      <c r="N15" s="51">
        <v>241.80</v>
      </c>
      <c r="O15" s="51">
        <v>0</v>
      </c>
      <c r="P15" s="51">
        <v>2.2200000000000002</v>
      </c>
      <c r="Q15" s="51">
        <v>7.04</v>
      </c>
      <c r="R15" s="43"/>
      <c r="S15" s="43"/>
      <c r="T15" s="43"/>
      <c r="U15" s="43"/>
    </row>
    <row r="16" spans="1:21" s="11" customFormat="1" ht="15">
      <c r="A16" s="50" t="s">
        <v>623</v>
      </c>
      <c r="B16" s="51">
        <v>1.34</v>
      </c>
      <c r="C16" s="51">
        <v>14.98</v>
      </c>
      <c r="D16" s="51">
        <v>16.059999999999999</v>
      </c>
      <c r="E16" s="51">
        <v>6.41</v>
      </c>
      <c r="F16" s="51">
        <v>1.36</v>
      </c>
      <c r="G16" s="51">
        <v>27.42</v>
      </c>
      <c r="H16" s="51">
        <v>13.86</v>
      </c>
      <c r="I16" s="51">
        <v>4.83</v>
      </c>
      <c r="J16" s="51">
        <v>1.73</v>
      </c>
      <c r="K16" s="51">
        <v>233.80</v>
      </c>
      <c r="L16" s="51">
        <v>32.840000000000003</v>
      </c>
      <c r="M16" s="51">
        <v>92.87</v>
      </c>
      <c r="N16" s="51">
        <v>258</v>
      </c>
      <c r="O16" s="51">
        <v>0</v>
      </c>
      <c r="P16" s="51">
        <v>2.19</v>
      </c>
      <c r="Q16" s="51">
        <v>6.97</v>
      </c>
      <c r="R16" s="43"/>
      <c r="S16" s="43"/>
      <c r="T16" s="43"/>
      <c r="U16" s="43"/>
    </row>
    <row r="17" spans="1:21" s="11" customFormat="1" ht="15">
      <c r="A17" s="50" t="s">
        <v>624</v>
      </c>
      <c r="B17" s="51">
        <v>1.26</v>
      </c>
      <c r="C17" s="51">
        <v>15.84</v>
      </c>
      <c r="D17" s="51">
        <v>17.079999999999998</v>
      </c>
      <c r="E17" s="51">
        <v>5.64</v>
      </c>
      <c r="F17" s="51">
        <v>1.75</v>
      </c>
      <c r="G17" s="51">
        <v>28.55</v>
      </c>
      <c r="H17" s="51">
        <v>14.52</v>
      </c>
      <c r="I17" s="51">
        <v>4.3899999999999997</v>
      </c>
      <c r="J17" s="51">
        <v>1.34</v>
      </c>
      <c r="K17" s="51">
        <v>246.82</v>
      </c>
      <c r="L17" s="51">
        <v>33.729999999999997</v>
      </c>
      <c r="M17" s="51">
        <v>88.72</v>
      </c>
      <c r="N17" s="51">
        <v>399.90</v>
      </c>
      <c r="O17" s="51">
        <v>0</v>
      </c>
      <c r="P17" s="51">
        <v>2.23</v>
      </c>
      <c r="Q17" s="51">
        <v>7.22</v>
      </c>
      <c r="R17" s="43"/>
      <c r="S17" s="43"/>
      <c r="T17" s="43"/>
      <c r="U17" s="43"/>
    </row>
    <row r="18" spans="1:21" s="11" customFormat="1" ht="15">
      <c r="A18" s="50" t="s">
        <v>625</v>
      </c>
      <c r="B18" s="51">
        <v>2.4500000000000002</v>
      </c>
      <c r="C18" s="51">
        <v>20.149999999999999</v>
      </c>
      <c r="D18" s="51">
        <v>22.61</v>
      </c>
      <c r="E18" s="51">
        <v>5.13</v>
      </c>
      <c r="F18" s="51">
        <v>1.35</v>
      </c>
      <c r="G18" s="51">
        <v>37.03</v>
      </c>
      <c r="H18" s="51">
        <v>11.89</v>
      </c>
      <c r="I18" s="51">
        <v>4.42</v>
      </c>
      <c r="J18" s="51">
        <v>1.01</v>
      </c>
      <c r="K18" s="51">
        <v>325.63</v>
      </c>
      <c r="L18" s="51">
        <v>34.619999999999997</v>
      </c>
      <c r="M18" s="51">
        <v>84.20</v>
      </c>
      <c r="N18" s="51">
        <v>672.90</v>
      </c>
      <c r="O18" s="51">
        <v>0</v>
      </c>
      <c r="P18" s="51">
        <v>2.31</v>
      </c>
      <c r="Q18" s="51">
        <v>7.30</v>
      </c>
      <c r="R18" s="43"/>
      <c r="S18" s="43"/>
      <c r="T18" s="43"/>
      <c r="U18" s="43"/>
    </row>
    <row r="19" spans="1:21" s="11" customFormat="1" ht="15">
      <c r="A19" s="50" t="s">
        <v>626</v>
      </c>
      <c r="B19" s="51">
        <v>4.0199999999999996</v>
      </c>
      <c r="C19" s="51">
        <v>33.33</v>
      </c>
      <c r="D19" s="51">
        <v>37.35</v>
      </c>
      <c r="E19" s="51">
        <v>4.76</v>
      </c>
      <c r="F19" s="51">
        <v>4.76</v>
      </c>
      <c r="G19" s="51">
        <v>39.43</v>
      </c>
      <c r="H19" s="51">
        <v>11.98</v>
      </c>
      <c r="I19" s="51">
        <v>4.6100000000000003</v>
      </c>
      <c r="J19" s="51">
        <v>1.02</v>
      </c>
      <c r="K19" s="51">
        <v>343.78</v>
      </c>
      <c r="L19" s="51">
        <v>36.03</v>
      </c>
      <c r="M19" s="51">
        <v>78.47</v>
      </c>
      <c r="N19" s="51">
        <v>713.80</v>
      </c>
      <c r="O19" s="51">
        <v>0</v>
      </c>
      <c r="P19" s="51">
        <v>2.63</v>
      </c>
      <c r="Q19" s="51">
        <v>10.45</v>
      </c>
      <c r="R19" s="43"/>
      <c r="S19" s="43"/>
      <c r="T19" s="43"/>
      <c r="U19" s="43"/>
    </row>
    <row r="20" spans="1:21" s="11" customFormat="1" ht="15">
      <c r="A20" s="50" t="s">
        <v>627</v>
      </c>
      <c r="B20" s="51">
        <v>3.46</v>
      </c>
      <c r="C20" s="51">
        <v>31.57</v>
      </c>
      <c r="D20" s="51">
        <v>34.630000000000003</v>
      </c>
      <c r="E20" s="51">
        <v>3.01</v>
      </c>
      <c r="F20" s="51">
        <v>2.4900000000000002</v>
      </c>
      <c r="G20" s="8" t="s">
        <v>8</v>
      </c>
      <c r="H20" s="8" t="s">
        <v>8</v>
      </c>
      <c r="I20" s="51">
        <v>7.11</v>
      </c>
      <c r="J20" s="51">
        <v>1.88</v>
      </c>
      <c r="K20" s="51">
        <v>263.29000000000002</v>
      </c>
      <c r="L20" s="51">
        <v>42.21</v>
      </c>
      <c r="M20" s="51">
        <v>79.63</v>
      </c>
      <c r="N20" s="51">
        <v>493.80</v>
      </c>
      <c r="O20" s="51">
        <v>0</v>
      </c>
      <c r="P20" s="51">
        <v>2.66</v>
      </c>
      <c r="Q20" s="51">
        <v>11.54</v>
      </c>
      <c r="R20" s="43"/>
      <c r="S20" s="43"/>
      <c r="T20" s="43"/>
      <c r="U20" s="43"/>
    </row>
    <row r="21" spans="1:21" s="11" customFormat="1" ht="15">
      <c r="A21" s="50" t="s">
        <v>628</v>
      </c>
      <c r="B21" s="51">
        <v>1.97</v>
      </c>
      <c r="C21" s="51">
        <v>24.44</v>
      </c>
      <c r="D21" s="51">
        <v>25.98</v>
      </c>
      <c r="E21" s="51">
        <v>2.2599999999999998</v>
      </c>
      <c r="F21" s="9" t="s">
        <v>15</v>
      </c>
      <c r="G21" s="51">
        <v>95.38</v>
      </c>
      <c r="H21" s="51">
        <v>28.88</v>
      </c>
      <c r="I21" s="51">
        <v>133.55000000000001</v>
      </c>
      <c r="J21" s="51">
        <v>2.76</v>
      </c>
      <c r="K21" s="51">
        <v>286.66000000000003</v>
      </c>
      <c r="L21" s="51">
        <v>48.41</v>
      </c>
      <c r="M21" s="51">
        <v>76.47</v>
      </c>
      <c r="N21" s="51">
        <v>1557.60</v>
      </c>
      <c r="O21" s="51">
        <v>0</v>
      </c>
      <c r="P21" s="51">
        <v>2.52</v>
      </c>
      <c r="Q21" s="51">
        <v>31.81</v>
      </c>
      <c r="R21" s="43"/>
      <c r="S21" s="43"/>
      <c r="T21" s="43"/>
      <c r="U21" s="43"/>
    </row>
    <row r="22" spans="1:21" s="11" customFormat="1" ht="15">
      <c r="A22" s="50" t="s">
        <v>629</v>
      </c>
      <c r="B22" s="51">
        <v>0.91</v>
      </c>
      <c r="C22" s="51">
        <v>23.38</v>
      </c>
      <c r="D22" s="51">
        <v>24.29</v>
      </c>
      <c r="E22" s="51">
        <v>2.46</v>
      </c>
      <c r="F22" s="51">
        <v>6.91</v>
      </c>
      <c r="G22" s="51">
        <v>88.61</v>
      </c>
      <c r="H22" s="51">
        <v>26.58</v>
      </c>
      <c r="I22" s="51">
        <v>44.32</v>
      </c>
      <c r="J22" s="51">
        <v>1.69</v>
      </c>
      <c r="K22" s="51">
        <v>338.51</v>
      </c>
      <c r="L22" s="51">
        <v>49.05</v>
      </c>
      <c r="M22" s="51">
        <v>69.150000000000006</v>
      </c>
      <c r="N22" s="51">
        <v>1559.70</v>
      </c>
      <c r="O22" s="51">
        <v>0</v>
      </c>
      <c r="P22" s="51">
        <v>2.41</v>
      </c>
      <c r="Q22" s="51">
        <v>37.78</v>
      </c>
      <c r="R22" s="43"/>
      <c r="S22" s="43"/>
      <c r="T22" s="43"/>
      <c r="U22" s="43"/>
    </row>
    <row r="23" spans="1:21" s="11" customFormat="1" ht="15">
      <c r="A23" s="50" t="s">
        <v>630</v>
      </c>
      <c r="B23" s="51">
        <v>0.87</v>
      </c>
      <c r="C23" s="51">
        <v>21.66</v>
      </c>
      <c r="D23" s="51">
        <v>22.48</v>
      </c>
      <c r="E23" s="51">
        <v>2.36</v>
      </c>
      <c r="F23" s="51">
        <v>7.84</v>
      </c>
      <c r="G23" s="51">
        <v>72.22</v>
      </c>
      <c r="H23" s="51">
        <v>24.31</v>
      </c>
      <c r="I23" s="51">
        <v>21.26</v>
      </c>
      <c r="J23" s="51">
        <v>2.61</v>
      </c>
      <c r="K23" s="51">
        <v>321.56</v>
      </c>
      <c r="L23" s="51">
        <v>49.06</v>
      </c>
      <c r="M23" s="51">
        <v>63.55</v>
      </c>
      <c r="N23" s="51">
        <v>1326.20</v>
      </c>
      <c r="O23" s="51">
        <v>0</v>
      </c>
      <c r="P23" s="51">
        <v>2.41</v>
      </c>
      <c r="Q23" s="51">
        <v>18.010000000000002</v>
      </c>
      <c r="R23" s="43"/>
      <c r="S23" s="43"/>
      <c r="T23" s="43"/>
      <c r="U23" s="43"/>
    </row>
    <row r="24" spans="1:21" s="11" customFormat="1" ht="15">
      <c r="A24" s="50" t="s">
        <v>631</v>
      </c>
      <c r="B24" s="51">
        <v>0.87</v>
      </c>
      <c r="C24" s="51">
        <v>25.79</v>
      </c>
      <c r="D24" s="51">
        <v>26.46</v>
      </c>
      <c r="E24" s="51">
        <v>2.23</v>
      </c>
      <c r="F24" s="51">
        <v>8.34</v>
      </c>
      <c r="G24" s="9" t="s">
        <v>15</v>
      </c>
      <c r="H24" s="9" t="s">
        <v>15</v>
      </c>
      <c r="I24" s="51">
        <v>10.69</v>
      </c>
      <c r="J24" s="51">
        <v>2.13</v>
      </c>
      <c r="K24" s="51">
        <v>328.34</v>
      </c>
      <c r="L24" s="9" t="s">
        <v>15</v>
      </c>
      <c r="M24" s="51">
        <v>62.87</v>
      </c>
      <c r="N24" s="51">
        <v>1034.30</v>
      </c>
      <c r="O24" s="51">
        <v>0</v>
      </c>
      <c r="P24" s="51">
        <v>2.46</v>
      </c>
      <c r="Q24" s="51">
        <v>60.67</v>
      </c>
      <c r="R24" s="43"/>
      <c r="S24" s="43"/>
      <c r="T24" s="43"/>
      <c r="U24" s="43"/>
    </row>
    <row r="25" spans="1:21" s="11" customFormat="1" ht="15">
      <c r="A25" s="50" t="s">
        <v>632</v>
      </c>
      <c r="B25" s="51">
        <v>0.73</v>
      </c>
      <c r="C25" s="51">
        <v>32.82</v>
      </c>
      <c r="D25" s="51">
        <v>33.28</v>
      </c>
      <c r="E25" s="51">
        <v>2.4900000000000002</v>
      </c>
      <c r="F25" s="51">
        <v>9.74</v>
      </c>
      <c r="G25" s="18" t="s">
        <v>12</v>
      </c>
      <c r="H25" s="18" t="s">
        <v>12</v>
      </c>
      <c r="I25" s="51">
        <v>10.66</v>
      </c>
      <c r="J25" s="51">
        <v>1.42</v>
      </c>
      <c r="K25" s="51">
        <v>338.85</v>
      </c>
      <c r="L25" s="51">
        <v>47.86</v>
      </c>
      <c r="M25" s="51">
        <v>63.31</v>
      </c>
      <c r="N25" s="51">
        <v>574</v>
      </c>
      <c r="O25" s="51">
        <v>0</v>
      </c>
      <c r="P25" s="51">
        <v>2.74</v>
      </c>
      <c r="Q25" s="51">
        <v>60.42</v>
      </c>
      <c r="R25" s="43"/>
      <c r="S25" s="43"/>
      <c r="T25" s="43"/>
      <c r="U25" s="43"/>
    </row>
    <row r="26" spans="1:21" s="11" customFormat="1" ht="15">
      <c r="A26" s="50" t="s">
        <v>633</v>
      </c>
      <c r="B26" s="51">
        <v>0.85</v>
      </c>
      <c r="C26" s="51">
        <v>29.41</v>
      </c>
      <c r="D26" s="51">
        <v>29.85</v>
      </c>
      <c r="E26" s="51">
        <v>3.01</v>
      </c>
      <c r="F26" s="51">
        <v>3.38</v>
      </c>
      <c r="G26" s="51">
        <v>95.5</v>
      </c>
      <c r="H26" s="51">
        <v>29.23</v>
      </c>
      <c r="I26" s="51">
        <v>10.98</v>
      </c>
      <c r="J26" s="51">
        <v>2.25</v>
      </c>
      <c r="K26" s="51">
        <v>334.80</v>
      </c>
      <c r="L26" s="51">
        <v>47.91</v>
      </c>
      <c r="M26" s="51">
        <v>68.83</v>
      </c>
      <c r="N26" s="51">
        <v>478.20</v>
      </c>
      <c r="O26" s="51">
        <v>0</v>
      </c>
      <c r="P26" s="51">
        <v>2.71</v>
      </c>
      <c r="Q26" s="51">
        <v>57.88</v>
      </c>
      <c r="R26" s="43"/>
      <c r="S26" s="43"/>
      <c r="T26" s="43"/>
      <c r="U26" s="43"/>
    </row>
    <row r="27" spans="1:21" s="11" customFormat="1" ht="15">
      <c r="A27" s="50" t="s">
        <v>634</v>
      </c>
      <c r="B27" s="51">
        <v>1.36</v>
      </c>
      <c r="C27" s="51">
        <v>22.66</v>
      </c>
      <c r="D27" s="51">
        <v>23.42</v>
      </c>
      <c r="E27" s="51">
        <v>3.59</v>
      </c>
      <c r="F27" s="51">
        <v>2.37</v>
      </c>
      <c r="G27" s="51">
        <v>95.24</v>
      </c>
      <c r="H27" s="51">
        <v>28.89</v>
      </c>
      <c r="I27" s="51">
        <v>9.98</v>
      </c>
      <c r="J27" s="51">
        <v>2.66</v>
      </c>
      <c r="K27" s="51">
        <v>359.17</v>
      </c>
      <c r="L27" s="51">
        <v>45.43</v>
      </c>
      <c r="M27" s="51">
        <v>72.77</v>
      </c>
      <c r="N27" s="51">
        <v>408.80</v>
      </c>
      <c r="O27" s="51">
        <v>0</v>
      </c>
      <c r="P27" s="51">
        <v>2.69</v>
      </c>
      <c r="Q27" s="51">
        <v>28.70</v>
      </c>
      <c r="R27" s="43"/>
      <c r="S27" s="43"/>
      <c r="T27" s="43"/>
      <c r="U27" s="43"/>
    </row>
    <row r="28" spans="1:21" s="11" customFormat="1" ht="15">
      <c r="A28" s="50" t="s">
        <v>635</v>
      </c>
      <c r="B28" s="51">
        <v>2.91</v>
      </c>
      <c r="C28" s="51">
        <v>23.52</v>
      </c>
      <c r="D28" s="51">
        <v>26.43</v>
      </c>
      <c r="E28" s="51">
        <v>4.21</v>
      </c>
      <c r="F28" s="51">
        <v>1.36</v>
      </c>
      <c r="G28" s="51">
        <v>92.64</v>
      </c>
      <c r="H28" s="51">
        <v>27.36</v>
      </c>
      <c r="I28" s="51">
        <v>9.2799999999999994</v>
      </c>
      <c r="J28" s="51">
        <v>0.76</v>
      </c>
      <c r="K28" s="51">
        <v>346.5</v>
      </c>
      <c r="L28" s="51">
        <v>47.95</v>
      </c>
      <c r="M28" s="51">
        <v>74.31</v>
      </c>
      <c r="N28" s="51">
        <v>338.5</v>
      </c>
      <c r="O28" s="51">
        <v>0</v>
      </c>
      <c r="P28" s="51">
        <v>2.82</v>
      </c>
      <c r="Q28" s="51">
        <v>37.96</v>
      </c>
      <c r="R28" s="43"/>
      <c r="S28" s="43"/>
      <c r="T28" s="43"/>
      <c r="U28" s="43"/>
    </row>
    <row r="29" spans="1:21" s="11" customFormat="1" ht="15">
      <c r="A29" s="50" t="s">
        <v>636</v>
      </c>
      <c r="B29" s="51">
        <v>3.41</v>
      </c>
      <c r="C29" s="51">
        <v>23.96</v>
      </c>
      <c r="D29" s="51">
        <v>27.29</v>
      </c>
      <c r="E29" s="51">
        <v>4.37</v>
      </c>
      <c r="F29" s="51">
        <v>1.30</v>
      </c>
      <c r="G29" s="51">
        <v>90.73</v>
      </c>
      <c r="H29" s="51">
        <v>25.5</v>
      </c>
      <c r="I29" s="51">
        <v>9.35</v>
      </c>
      <c r="J29" s="51">
        <v>1.75</v>
      </c>
      <c r="K29" s="51">
        <v>335.62</v>
      </c>
      <c r="L29" s="51">
        <v>44.85</v>
      </c>
      <c r="M29" s="51">
        <v>75.81</v>
      </c>
      <c r="N29" s="51">
        <v>448.40</v>
      </c>
      <c r="O29" s="51">
        <v>0</v>
      </c>
      <c r="P29" s="51">
        <v>2.88</v>
      </c>
      <c r="Q29" s="51">
        <v>41.46</v>
      </c>
      <c r="R29" s="43"/>
      <c r="S29" s="43"/>
      <c r="T29" s="43"/>
      <c r="U29" s="43"/>
    </row>
    <row r="30" spans="1:21" s="11" customFormat="1" ht="15">
      <c r="A30" s="50" t="s">
        <v>637</v>
      </c>
      <c r="B30" s="51">
        <v>3.93</v>
      </c>
      <c r="C30" s="51">
        <v>23.92</v>
      </c>
      <c r="D30" s="51">
        <v>27.70</v>
      </c>
      <c r="E30" s="51">
        <v>4.49</v>
      </c>
      <c r="F30" s="51">
        <v>0.97</v>
      </c>
      <c r="G30" s="51">
        <v>89.69</v>
      </c>
      <c r="H30" s="51">
        <v>26.72</v>
      </c>
      <c r="I30" s="51">
        <v>8.94</v>
      </c>
      <c r="J30" s="51">
        <v>1.1200000000000001</v>
      </c>
      <c r="K30" s="51">
        <v>306.02</v>
      </c>
      <c r="L30" s="51">
        <v>45.46</v>
      </c>
      <c r="M30" s="51">
        <v>77.430000000000007</v>
      </c>
      <c r="N30" s="51">
        <v>336.60</v>
      </c>
      <c r="O30" s="51">
        <v>0</v>
      </c>
      <c r="P30" s="51">
        <v>2.90</v>
      </c>
      <c r="Q30" s="51">
        <v>35.10</v>
      </c>
      <c r="R30" s="43"/>
      <c r="S30" s="43"/>
      <c r="T30" s="43"/>
      <c r="U30" s="43"/>
    </row>
    <row r="31" spans="1:21" s="11" customFormat="1" ht="15">
      <c r="A31" s="50" t="s">
        <v>638</v>
      </c>
      <c r="B31" s="51">
        <v>2.4700000000000002</v>
      </c>
      <c r="C31" s="51">
        <v>20.12</v>
      </c>
      <c r="D31" s="51">
        <v>22.37</v>
      </c>
      <c r="E31" s="51">
        <v>5.25</v>
      </c>
      <c r="F31" s="51">
        <v>1.49</v>
      </c>
      <c r="G31" s="51">
        <v>84.53</v>
      </c>
      <c r="H31" s="51">
        <v>26.10</v>
      </c>
      <c r="I31" s="51">
        <v>8.25</v>
      </c>
      <c r="J31" s="51">
        <v>0.70</v>
      </c>
      <c r="K31" s="51">
        <v>332.09</v>
      </c>
      <c r="L31" s="51">
        <v>47.54</v>
      </c>
      <c r="M31" s="51">
        <v>78.41</v>
      </c>
      <c r="N31" s="51">
        <v>460.10</v>
      </c>
      <c r="O31" s="51">
        <v>0</v>
      </c>
      <c r="P31" s="51">
        <v>2.80</v>
      </c>
      <c r="Q31" s="51">
        <v>26.51</v>
      </c>
      <c r="R31" s="43"/>
      <c r="S31" s="43"/>
      <c r="T31" s="43"/>
      <c r="U31" s="43"/>
    </row>
    <row r="32" spans="1:21" s="11" customFormat="1" ht="15">
      <c r="A32" s="50" t="s">
        <v>639</v>
      </c>
      <c r="B32" s="51">
        <v>2.4500000000000002</v>
      </c>
      <c r="C32" s="51">
        <v>15.97</v>
      </c>
      <c r="D32" s="51">
        <v>18.420000000000002</v>
      </c>
      <c r="E32" s="51">
        <v>5.51</v>
      </c>
      <c r="F32" s="51">
        <v>1.46</v>
      </c>
      <c r="G32" s="51">
        <v>76.22</v>
      </c>
      <c r="H32" s="51">
        <v>24.90</v>
      </c>
      <c r="I32" s="51">
        <v>7.54</v>
      </c>
      <c r="J32" s="51">
        <v>2.2599999999999998</v>
      </c>
      <c r="K32" s="51">
        <v>241.98</v>
      </c>
      <c r="L32" s="51">
        <v>46.48</v>
      </c>
      <c r="M32" s="51">
        <v>81.14</v>
      </c>
      <c r="N32" s="51">
        <v>580.20000000000005</v>
      </c>
      <c r="O32" s="51">
        <v>0</v>
      </c>
      <c r="P32" s="51">
        <v>2.73</v>
      </c>
      <c r="Q32" s="51">
        <v>16.54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0.69999999999999996</v>
      </c>
      <c r="C34" s="28">
        <f t="shared" si="0"/>
        <v>13.08</v>
      </c>
      <c r="D34" s="28">
        <f t="shared" si="0"/>
        <v>14.08</v>
      </c>
      <c r="E34" s="28">
        <f t="shared" si="0"/>
        <v>2.23</v>
      </c>
      <c r="F34" s="28">
        <f t="shared" si="0"/>
        <v>0.90000000000000002</v>
      </c>
      <c r="G34" s="28">
        <f t="shared" si="0"/>
        <v>25.91</v>
      </c>
      <c r="H34" s="28">
        <f t="shared" si="0"/>
        <v>11.890000000000001</v>
      </c>
      <c r="I34" s="28">
        <f t="shared" si="0"/>
        <v>4.3899999999999997</v>
      </c>
      <c r="J34" s="28">
        <f t="shared" si="0"/>
        <v>0.69999999999999996</v>
      </c>
      <c r="K34" s="28">
        <f t="shared" si="0"/>
        <v>206.06999999999999</v>
      </c>
      <c r="L34" s="28">
        <f t="shared" si="0"/>
        <v>31.899999999999999</v>
      </c>
      <c r="M34" s="28">
        <f t="shared" si="0"/>
        <v>62.869999999999997</v>
      </c>
      <c r="N34" s="28">
        <f t="shared" si="0"/>
        <v>125.09999999999999</v>
      </c>
      <c r="O34" s="28">
        <f t="shared" si="0"/>
        <v>0</v>
      </c>
      <c r="P34" s="28">
        <f t="shared" si="0"/>
        <v>2.1899999999999999</v>
      </c>
      <c r="Q34" s="28">
        <f t="shared" si="0"/>
        <v>5.9500000000000002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4.0199999999999996</v>
      </c>
      <c r="C35" s="29">
        <f t="shared" si="1"/>
        <v>33.329999999999998</v>
      </c>
      <c r="D35" s="29">
        <f t="shared" si="1"/>
        <v>37.350000000000001</v>
      </c>
      <c r="E35" s="29">
        <f t="shared" si="1"/>
        <v>7.1500000000000004</v>
      </c>
      <c r="F35" s="29">
        <f t="shared" si="1"/>
        <v>9.7400000000000002</v>
      </c>
      <c r="G35" s="29">
        <f t="shared" si="1"/>
        <v>95.5</v>
      </c>
      <c r="H35" s="29">
        <f t="shared" si="1"/>
        <v>29.23</v>
      </c>
      <c r="I35" s="29">
        <f t="shared" si="1"/>
        <v>133.55000000000001</v>
      </c>
      <c r="J35" s="29">
        <f t="shared" si="1"/>
        <v>2.7599999999999998</v>
      </c>
      <c r="K35" s="29">
        <f t="shared" si="1"/>
        <v>359.17000000000002</v>
      </c>
      <c r="L35" s="29">
        <f t="shared" si="1"/>
        <v>49.060000000000002</v>
      </c>
      <c r="M35" s="29">
        <f t="shared" si="1"/>
        <v>96.030000000000001</v>
      </c>
      <c r="N35" s="29">
        <f t="shared" si="1"/>
        <v>1559.7</v>
      </c>
      <c r="O35" s="29">
        <f t="shared" si="1"/>
        <v>0.20000000000000001</v>
      </c>
      <c r="P35" s="29">
        <f t="shared" si="1"/>
        <v>2.8999999999999999</v>
      </c>
      <c r="Q35" s="29">
        <f t="shared" si="1"/>
        <v>60.670000000000002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1.8562500000000002</v>
      </c>
      <c r="C36" s="28">
        <f t="shared" si="2"/>
        <v>21.181250000000002</v>
      </c>
      <c r="D36" s="28">
        <f t="shared" si="2"/>
        <v>22.866666666666671</v>
      </c>
      <c r="E36" s="28">
        <f t="shared" si="2"/>
        <v>4.6508333333333338</v>
      </c>
      <c r="F36" s="28">
        <f t="shared" si="2"/>
        <v>2.850869565217391</v>
      </c>
      <c r="G36" s="28">
        <f t="shared" si="2"/>
        <v>58.943333333333328</v>
      </c>
      <c r="H36" s="28">
        <f t="shared" si="2"/>
        <v>21.93571428571429</v>
      </c>
      <c r="I36" s="28">
        <f t="shared" si="2"/>
        <v>14.650833333333336</v>
      </c>
      <c r="J36" s="28">
        <f t="shared" si="2"/>
        <v>1.7300000000000002</v>
      </c>
      <c r="K36" s="28">
        <f t="shared" si="2"/>
        <v>292.49500000000006</v>
      </c>
      <c r="L36" s="28">
        <f t="shared" si="2"/>
        <v>40.179130434782607</v>
      </c>
      <c r="M36" s="28">
        <f t="shared" si="2"/>
        <v>81.52791666666667</v>
      </c>
      <c r="N36" s="28">
        <f t="shared" si="2"/>
        <v>530.10833333333335</v>
      </c>
      <c r="O36" s="28">
        <f t="shared" si="2"/>
        <v>0.0083333333333333332</v>
      </c>
      <c r="P36" s="28">
        <f t="shared" si="2"/>
        <v>2.5070833333333331</v>
      </c>
      <c r="Q36" s="28">
        <f t="shared" si="2"/>
        <v>22.527083333333334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1.0594453532493964</v>
      </c>
      <c r="C37" s="28">
        <f t="shared" si="3" ref="C37:Q37">STDEV(C9:C32)</f>
        <v>6.2503240350783411</v>
      </c>
      <c r="D37" s="28">
        <f t="shared" si="3"/>
        <v>6.6360082728325045</v>
      </c>
      <c r="E37" s="28">
        <f t="shared" si="3"/>
        <v>1.6246656289209471</v>
      </c>
      <c r="F37" s="28">
        <f t="shared" si="3"/>
        <v>2.6924792782919651</v>
      </c>
      <c r="G37" s="28">
        <f t="shared" si="3"/>
        <v>29.136150626555565</v>
      </c>
      <c r="H37" s="28">
        <f t="shared" si="3"/>
        <v>5.8842710435775691</v>
      </c>
      <c r="I37" s="28">
        <f t="shared" si="3"/>
        <v>26.629043953624357</v>
      </c>
      <c r="J37" s="28">
        <f t="shared" si="3"/>
        <v>0.64298894439072207</v>
      </c>
      <c r="K37" s="28">
        <f t="shared" si="3"/>
        <v>51.749552234987569</v>
      </c>
      <c r="L37" s="28">
        <f t="shared" si="3"/>
        <v>7.3253178106938055</v>
      </c>
      <c r="M37" s="28">
        <f t="shared" si="3"/>
        <v>11.621235427540304</v>
      </c>
      <c r="N37" s="28">
        <f t="shared" si="3"/>
        <v>430.11197926835854</v>
      </c>
      <c r="O37" s="28">
        <f t="shared" si="3"/>
        <v>0.040824829046386311</v>
      </c>
      <c r="P37" s="28">
        <f t="shared" si="3"/>
        <v>0.23456674523686105</v>
      </c>
      <c r="Q37" s="28">
        <f t="shared" si="3"/>
        <v>18.807689796224693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23</v>
      </c>
      <c r="G38" s="32">
        <f>COUNT(G9:G32)+2</f>
        <v>23</v>
      </c>
      <c r="H38" s="32">
        <f>COUNT(H9:H32)+2</f>
        <v>23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23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1e5ec5-b0ff-4006-8480-789ce95b6cdc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38" sqref="M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7" t="s">
        <v>21</v>
      </c>
      <c r="B7" s="58" t="s">
        <v>59</v>
      </c>
      <c r="C7" s="58" t="s">
        <v>44</v>
      </c>
      <c r="D7" s="58" t="s">
        <v>45</v>
      </c>
      <c r="E7" s="58" t="s">
        <v>46</v>
      </c>
      <c r="F7" s="58" t="s">
        <v>47</v>
      </c>
      <c r="G7" s="58" t="s">
        <v>48</v>
      </c>
      <c r="H7" s="58" t="s">
        <v>49</v>
      </c>
      <c r="I7" s="58" t="s">
        <v>50</v>
      </c>
      <c r="J7" s="58" t="s">
        <v>51</v>
      </c>
      <c r="K7" s="58" t="s">
        <v>52</v>
      </c>
      <c r="L7" s="58" t="s">
        <v>53</v>
      </c>
      <c r="M7" s="58" t="s">
        <v>54</v>
      </c>
      <c r="N7" s="58" t="s">
        <v>55</v>
      </c>
      <c r="O7" s="58" t="s">
        <v>56</v>
      </c>
      <c r="P7" s="58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57"/>
      <c r="B8" s="59" t="s">
        <v>22</v>
      </c>
      <c r="C8" s="59" t="s">
        <v>22</v>
      </c>
      <c r="D8" s="59" t="s">
        <v>22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7" t="s">
        <v>27</v>
      </c>
      <c r="M8" s="59" t="s">
        <v>26</v>
      </c>
      <c r="N8" s="59" t="s">
        <v>28</v>
      </c>
      <c r="O8" s="57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640</v>
      </c>
      <c r="B9" s="51">
        <v>1.53</v>
      </c>
      <c r="C9" s="51">
        <v>18.079999999999998</v>
      </c>
      <c r="D9" s="51">
        <v>19.61</v>
      </c>
      <c r="E9" s="51">
        <v>5.71</v>
      </c>
      <c r="F9" s="51">
        <v>1.33</v>
      </c>
      <c r="G9" s="51">
        <v>69.180000000000007</v>
      </c>
      <c r="H9" s="51">
        <v>22.88</v>
      </c>
      <c r="I9" s="51">
        <v>7.07</v>
      </c>
      <c r="J9" s="51">
        <v>3.38</v>
      </c>
      <c r="K9" s="51">
        <v>202.48</v>
      </c>
      <c r="L9" s="8" t="s">
        <v>8</v>
      </c>
      <c r="M9" s="51">
        <v>83.86</v>
      </c>
      <c r="N9" s="51">
        <v>509</v>
      </c>
      <c r="O9" s="51">
        <v>0</v>
      </c>
      <c r="P9" s="51">
        <v>2.60</v>
      </c>
      <c r="Q9" s="51">
        <v>34.10</v>
      </c>
      <c r="R9" s="43"/>
      <c r="S9" s="43"/>
      <c r="T9" s="43"/>
      <c r="U9" s="43"/>
    </row>
    <row r="10" spans="1:21" s="11" customFormat="1" ht="15">
      <c r="A10" s="50" t="s">
        <v>641</v>
      </c>
      <c r="B10" s="51">
        <v>0.73</v>
      </c>
      <c r="C10" s="51">
        <v>12.85</v>
      </c>
      <c r="D10" s="51">
        <v>13.58</v>
      </c>
      <c r="E10" s="51">
        <v>5.72</v>
      </c>
      <c r="F10" s="51">
        <v>1.39</v>
      </c>
      <c r="G10" s="51">
        <v>62.52</v>
      </c>
      <c r="H10" s="51">
        <v>19.559999999999999</v>
      </c>
      <c r="I10" s="51">
        <v>6.26</v>
      </c>
      <c r="J10" s="51">
        <v>3.89</v>
      </c>
      <c r="K10" s="51">
        <v>189.36</v>
      </c>
      <c r="L10" s="51">
        <v>48.97</v>
      </c>
      <c r="M10" s="51">
        <v>85.12</v>
      </c>
      <c r="N10" s="51">
        <v>467.5</v>
      </c>
      <c r="O10" s="51">
        <v>0</v>
      </c>
      <c r="P10" s="51">
        <v>2.4300000000000002</v>
      </c>
      <c r="Q10" s="51">
        <v>32.31</v>
      </c>
      <c r="R10" s="43"/>
      <c r="S10" s="43"/>
      <c r="T10" s="43"/>
      <c r="U10" s="43"/>
    </row>
    <row r="11" spans="1:21" s="11" customFormat="1" ht="15">
      <c r="A11" s="50" t="s">
        <v>642</v>
      </c>
      <c r="B11" s="51">
        <v>0.82</v>
      </c>
      <c r="C11" s="51">
        <v>11.63</v>
      </c>
      <c r="D11" s="51">
        <v>12.20</v>
      </c>
      <c r="E11" s="51">
        <v>6.09</v>
      </c>
      <c r="F11" s="51">
        <v>1.60</v>
      </c>
      <c r="G11" s="51">
        <v>56.64</v>
      </c>
      <c r="H11" s="51">
        <v>19.87</v>
      </c>
      <c r="I11" s="51">
        <v>5.49</v>
      </c>
      <c r="J11" s="51">
        <v>5.28</v>
      </c>
      <c r="K11" s="51">
        <v>182.73</v>
      </c>
      <c r="L11" s="51">
        <v>44.95</v>
      </c>
      <c r="M11" s="51">
        <v>91.18</v>
      </c>
      <c r="N11" s="51">
        <v>481.70</v>
      </c>
      <c r="O11" s="51">
        <v>0</v>
      </c>
      <c r="P11" s="51">
        <v>2.33</v>
      </c>
      <c r="Q11" s="51">
        <v>26.42</v>
      </c>
      <c r="R11" s="43"/>
      <c r="S11" s="43"/>
      <c r="T11" s="43"/>
      <c r="U11" s="43"/>
    </row>
    <row r="12" spans="1:21" s="11" customFormat="1" ht="15">
      <c r="A12" s="50" t="s">
        <v>643</v>
      </c>
      <c r="B12" s="51">
        <v>1.26</v>
      </c>
      <c r="C12" s="51">
        <v>9.06</v>
      </c>
      <c r="D12" s="51">
        <v>10.10</v>
      </c>
      <c r="E12" s="51">
        <v>6.43</v>
      </c>
      <c r="F12" s="51">
        <v>1.45</v>
      </c>
      <c r="G12" s="51">
        <v>43.23</v>
      </c>
      <c r="H12" s="51">
        <v>18.36</v>
      </c>
      <c r="I12" s="51">
        <v>4.79</v>
      </c>
      <c r="J12" s="51">
        <v>3.47</v>
      </c>
      <c r="K12" s="51">
        <v>201.09</v>
      </c>
      <c r="L12" s="51">
        <v>45.61</v>
      </c>
      <c r="M12" s="51">
        <v>89.53</v>
      </c>
      <c r="N12" s="51">
        <v>588</v>
      </c>
      <c r="O12" s="51">
        <v>0</v>
      </c>
      <c r="P12" s="51">
        <v>2.27</v>
      </c>
      <c r="Q12" s="51">
        <v>15.75</v>
      </c>
      <c r="R12" s="43"/>
      <c r="S12" s="43"/>
      <c r="T12" s="43"/>
      <c r="U12" s="43"/>
    </row>
    <row r="13" spans="1:21" s="11" customFormat="1" ht="15">
      <c r="A13" s="50" t="s">
        <v>644</v>
      </c>
      <c r="B13" s="51">
        <v>1.68</v>
      </c>
      <c r="C13" s="51">
        <v>13.17</v>
      </c>
      <c r="D13" s="51">
        <v>14.69</v>
      </c>
      <c r="E13" s="51">
        <v>7.33</v>
      </c>
      <c r="F13" s="51">
        <v>1.07</v>
      </c>
      <c r="G13" s="51">
        <v>33.96</v>
      </c>
      <c r="H13" s="51">
        <v>13.72</v>
      </c>
      <c r="I13" s="51">
        <v>4.75</v>
      </c>
      <c r="J13" s="51">
        <v>3.60</v>
      </c>
      <c r="K13" s="51">
        <v>201.05</v>
      </c>
      <c r="L13" s="51">
        <v>44.59</v>
      </c>
      <c r="M13" s="51">
        <v>90.13</v>
      </c>
      <c r="N13" s="51">
        <v>610.29999999999995</v>
      </c>
      <c r="O13" s="51">
        <v>0</v>
      </c>
      <c r="P13" s="51">
        <v>2.23</v>
      </c>
      <c r="Q13" s="51">
        <v>19.59</v>
      </c>
      <c r="R13" s="43"/>
      <c r="S13" s="43"/>
      <c r="T13" s="43"/>
      <c r="U13" s="43"/>
    </row>
    <row r="14" spans="1:21" s="11" customFormat="1" ht="15">
      <c r="A14" s="50" t="s">
        <v>645</v>
      </c>
      <c r="B14" s="51">
        <v>1.84</v>
      </c>
      <c r="C14" s="51">
        <v>13.09</v>
      </c>
      <c r="D14" s="51">
        <v>14.78</v>
      </c>
      <c r="E14" s="51">
        <v>6.55</v>
      </c>
      <c r="F14" s="51">
        <v>0.97</v>
      </c>
      <c r="G14" s="51">
        <v>29.39</v>
      </c>
      <c r="H14" s="51">
        <v>10.67</v>
      </c>
      <c r="I14" s="51">
        <v>4.58</v>
      </c>
      <c r="J14" s="51">
        <v>4.41</v>
      </c>
      <c r="K14" s="51">
        <v>180.60</v>
      </c>
      <c r="L14" s="51">
        <v>45.48</v>
      </c>
      <c r="M14" s="51">
        <v>90.71</v>
      </c>
      <c r="N14" s="51">
        <v>644.70000000000005</v>
      </c>
      <c r="O14" s="51">
        <v>0</v>
      </c>
      <c r="P14" s="51">
        <v>2.2000000000000002</v>
      </c>
      <c r="Q14" s="51">
        <v>25.88</v>
      </c>
      <c r="R14" s="43"/>
      <c r="S14" s="43"/>
      <c r="T14" s="43"/>
      <c r="U14" s="43"/>
    </row>
    <row r="15" spans="1:21" s="11" customFormat="1" ht="15">
      <c r="A15" s="50" t="s">
        <v>646</v>
      </c>
      <c r="B15" s="51">
        <v>2.08</v>
      </c>
      <c r="C15" s="51">
        <v>13.34</v>
      </c>
      <c r="D15" s="51">
        <v>15.42</v>
      </c>
      <c r="E15" s="51">
        <v>6.52</v>
      </c>
      <c r="F15" s="51">
        <v>0.81</v>
      </c>
      <c r="G15" s="51">
        <v>30.35</v>
      </c>
      <c r="H15" s="51">
        <v>15.32</v>
      </c>
      <c r="I15" s="51">
        <v>4.22</v>
      </c>
      <c r="J15" s="51">
        <v>4.42</v>
      </c>
      <c r="K15" s="51">
        <v>179.44</v>
      </c>
      <c r="L15" s="51">
        <v>45.15</v>
      </c>
      <c r="M15" s="51">
        <v>91.15</v>
      </c>
      <c r="N15" s="51">
        <v>664.70</v>
      </c>
      <c r="O15" s="51">
        <v>0</v>
      </c>
      <c r="P15" s="51">
        <v>2.1800000000000002</v>
      </c>
      <c r="Q15" s="51">
        <v>24.54</v>
      </c>
      <c r="R15" s="43"/>
      <c r="S15" s="43"/>
      <c r="T15" s="43"/>
      <c r="U15" s="43"/>
    </row>
    <row r="16" spans="1:21" s="11" customFormat="1" ht="15">
      <c r="A16" s="50" t="s">
        <v>647</v>
      </c>
      <c r="B16" s="51">
        <v>3.36</v>
      </c>
      <c r="C16" s="51">
        <v>12.16</v>
      </c>
      <c r="D16" s="51">
        <v>15.10</v>
      </c>
      <c r="E16" s="51">
        <v>6.94</v>
      </c>
      <c r="F16" s="51">
        <v>0.78</v>
      </c>
      <c r="G16" s="51">
        <v>30.37</v>
      </c>
      <c r="H16" s="51">
        <v>14.15</v>
      </c>
      <c r="I16" s="51">
        <v>4.22</v>
      </c>
      <c r="J16" s="51">
        <v>3.34</v>
      </c>
      <c r="K16" s="51">
        <v>227.82</v>
      </c>
      <c r="L16" s="51">
        <v>44.11</v>
      </c>
      <c r="M16" s="51">
        <v>90.66</v>
      </c>
      <c r="N16" s="51">
        <v>708.80</v>
      </c>
      <c r="O16" s="51">
        <v>0</v>
      </c>
      <c r="P16" s="51">
        <v>2.19</v>
      </c>
      <c r="Q16" s="51">
        <v>18.399999999999999</v>
      </c>
      <c r="R16" s="43"/>
      <c r="S16" s="43"/>
      <c r="T16" s="43"/>
      <c r="U16" s="43"/>
    </row>
    <row r="17" spans="1:21" s="11" customFormat="1" ht="15">
      <c r="A17" s="50" t="s">
        <v>648</v>
      </c>
      <c r="B17" s="51">
        <v>3.57</v>
      </c>
      <c r="C17" s="51">
        <v>14</v>
      </c>
      <c r="D17" s="51">
        <v>17.350000000000001</v>
      </c>
      <c r="E17" s="51">
        <v>7.46</v>
      </c>
      <c r="F17" s="51">
        <v>0.84</v>
      </c>
      <c r="G17" s="51">
        <v>35.69</v>
      </c>
      <c r="H17" s="51">
        <v>15.29</v>
      </c>
      <c r="I17" s="51">
        <v>4.49</v>
      </c>
      <c r="J17" s="51">
        <v>3.55</v>
      </c>
      <c r="K17" s="51">
        <v>201.12</v>
      </c>
      <c r="L17" s="51">
        <v>46.40</v>
      </c>
      <c r="M17" s="51">
        <v>88.56</v>
      </c>
      <c r="N17" s="51">
        <v>706.10</v>
      </c>
      <c r="O17" s="51">
        <v>0</v>
      </c>
      <c r="P17" s="51">
        <v>2.21</v>
      </c>
      <c r="Q17" s="51">
        <v>14.13</v>
      </c>
      <c r="R17" s="43"/>
      <c r="S17" s="43"/>
      <c r="T17" s="43"/>
      <c r="U17" s="43"/>
    </row>
    <row r="18" spans="1:21" s="11" customFormat="1" ht="15">
      <c r="A18" s="50" t="s">
        <v>649</v>
      </c>
      <c r="B18" s="51">
        <v>2.95</v>
      </c>
      <c r="C18" s="51">
        <v>14.33</v>
      </c>
      <c r="D18" s="51">
        <v>17.23</v>
      </c>
      <c r="E18" s="51">
        <v>6.97</v>
      </c>
      <c r="F18" s="51">
        <v>0.80</v>
      </c>
      <c r="G18" s="51">
        <v>35.159999999999997</v>
      </c>
      <c r="H18" s="51">
        <v>14.06</v>
      </c>
      <c r="I18" s="51">
        <v>4.53</v>
      </c>
      <c r="J18" s="51">
        <v>4.5199999999999996</v>
      </c>
      <c r="K18" s="51">
        <v>196.58</v>
      </c>
      <c r="L18" s="51">
        <v>49.73</v>
      </c>
      <c r="M18" s="51">
        <v>91.61</v>
      </c>
      <c r="N18" s="51">
        <v>473.10</v>
      </c>
      <c r="O18" s="51">
        <v>0</v>
      </c>
      <c r="P18" s="51">
        <v>2.21</v>
      </c>
      <c r="Q18" s="51">
        <v>20.12</v>
      </c>
      <c r="R18" s="43"/>
      <c r="S18" s="43"/>
      <c r="T18" s="43"/>
      <c r="U18" s="43"/>
    </row>
    <row r="19" spans="1:21" s="11" customFormat="1" ht="15">
      <c r="A19" s="50" t="s">
        <v>650</v>
      </c>
      <c r="B19" s="51">
        <v>2.74</v>
      </c>
      <c r="C19" s="51">
        <v>16.309999999999999</v>
      </c>
      <c r="D19" s="51">
        <v>19.05</v>
      </c>
      <c r="E19" s="51">
        <v>6.55</v>
      </c>
      <c r="F19" s="51">
        <v>0.92</v>
      </c>
      <c r="G19" s="51">
        <v>32.369999999999997</v>
      </c>
      <c r="H19" s="51">
        <v>17.579999999999998</v>
      </c>
      <c r="I19" s="51">
        <v>4.3499999999999996</v>
      </c>
      <c r="J19" s="51">
        <v>2.46</v>
      </c>
      <c r="K19" s="51">
        <v>354.79</v>
      </c>
      <c r="L19" s="51">
        <v>48.17</v>
      </c>
      <c r="M19" s="51">
        <v>88.29</v>
      </c>
      <c r="N19" s="51">
        <v>954.30</v>
      </c>
      <c r="O19" s="51">
        <v>0</v>
      </c>
      <c r="P19" s="51">
        <v>2.27</v>
      </c>
      <c r="Q19" s="51">
        <v>20.64</v>
      </c>
      <c r="R19" s="43"/>
      <c r="S19" s="43"/>
      <c r="T19" s="43"/>
      <c r="U19" s="43"/>
    </row>
    <row r="20" spans="1:21" s="11" customFormat="1" ht="15">
      <c r="A20" s="50" t="s">
        <v>651</v>
      </c>
      <c r="B20" s="51">
        <v>2.39</v>
      </c>
      <c r="C20" s="51">
        <v>17.55</v>
      </c>
      <c r="D20" s="51">
        <v>19.68</v>
      </c>
      <c r="E20" s="51">
        <v>6.08</v>
      </c>
      <c r="F20" s="51">
        <v>2.0699999999999998</v>
      </c>
      <c r="G20" s="51">
        <v>28.94</v>
      </c>
      <c r="H20" s="51">
        <v>17.440000000000001</v>
      </c>
      <c r="I20" s="51">
        <v>4.4800000000000004</v>
      </c>
      <c r="J20" s="51">
        <v>1.87</v>
      </c>
      <c r="K20" s="51">
        <v>347.76</v>
      </c>
      <c r="L20" s="8" t="s">
        <v>8</v>
      </c>
      <c r="M20" s="51">
        <v>72.790000000000006</v>
      </c>
      <c r="N20" s="51">
        <v>1317.5</v>
      </c>
      <c r="O20" s="51">
        <v>0</v>
      </c>
      <c r="P20" s="51">
        <v>2.33</v>
      </c>
      <c r="Q20" s="51">
        <v>20.100000000000001</v>
      </c>
      <c r="R20" s="43"/>
      <c r="S20" s="43"/>
      <c r="T20" s="43"/>
      <c r="U20" s="43"/>
    </row>
    <row r="21" spans="1:21" s="11" customFormat="1" ht="15">
      <c r="A21" s="50" t="s">
        <v>652</v>
      </c>
      <c r="B21" s="51">
        <v>1.76</v>
      </c>
      <c r="C21" s="51">
        <v>18.46</v>
      </c>
      <c r="D21" s="51">
        <v>20.05</v>
      </c>
      <c r="E21" s="51">
        <v>5.12</v>
      </c>
      <c r="F21" s="51">
        <v>2.33</v>
      </c>
      <c r="G21" s="51">
        <v>39.42</v>
      </c>
      <c r="H21" s="51">
        <v>15.87</v>
      </c>
      <c r="I21" s="51">
        <v>4.41</v>
      </c>
      <c r="J21" s="51">
        <v>1.70</v>
      </c>
      <c r="K21" s="51">
        <v>319.89999999999998</v>
      </c>
      <c r="L21" s="8" t="s">
        <v>8</v>
      </c>
      <c r="M21" s="51">
        <v>65.400000000000006</v>
      </c>
      <c r="N21" s="51">
        <v>1333.30</v>
      </c>
      <c r="O21" s="51">
        <v>0</v>
      </c>
      <c r="P21" s="51">
        <v>2.34</v>
      </c>
      <c r="Q21" s="51">
        <v>12.51</v>
      </c>
      <c r="R21" s="43"/>
      <c r="S21" s="43"/>
      <c r="T21" s="43"/>
      <c r="U21" s="43"/>
    </row>
    <row r="22" spans="1:21" s="11" customFormat="1" ht="15">
      <c r="A22" s="50" t="s">
        <v>653</v>
      </c>
      <c r="B22" s="51">
        <v>1.82</v>
      </c>
      <c r="C22" s="51">
        <v>22.49</v>
      </c>
      <c r="D22" s="51">
        <v>24.25</v>
      </c>
      <c r="E22" s="51">
        <v>5.14</v>
      </c>
      <c r="F22" s="51">
        <v>2.62</v>
      </c>
      <c r="G22" s="51">
        <v>44.23</v>
      </c>
      <c r="H22" s="51">
        <v>18.39</v>
      </c>
      <c r="I22" s="51">
        <v>6.30</v>
      </c>
      <c r="J22" s="51">
        <v>3.82</v>
      </c>
      <c r="K22" s="51">
        <v>332.19</v>
      </c>
      <c r="L22" s="8" t="s">
        <v>8</v>
      </c>
      <c r="M22" s="51">
        <v>58.90</v>
      </c>
      <c r="N22" s="51">
        <v>992.70</v>
      </c>
      <c r="O22" s="51">
        <v>0</v>
      </c>
      <c r="P22" s="51">
        <v>2.56</v>
      </c>
      <c r="Q22" s="51">
        <v>16.25</v>
      </c>
      <c r="R22" s="43"/>
      <c r="S22" s="43"/>
      <c r="T22" s="43"/>
      <c r="U22" s="43"/>
    </row>
    <row r="23" spans="1:21" s="11" customFormat="1" ht="15">
      <c r="A23" s="50" t="s">
        <v>654</v>
      </c>
      <c r="B23" s="51">
        <v>1.68</v>
      </c>
      <c r="C23" s="51">
        <v>24.52</v>
      </c>
      <c r="D23" s="51">
        <v>26.12</v>
      </c>
      <c r="E23" s="51">
        <v>5.31</v>
      </c>
      <c r="F23" s="51">
        <v>2.87</v>
      </c>
      <c r="G23" s="51">
        <v>61.21</v>
      </c>
      <c r="H23" s="51">
        <v>24.40</v>
      </c>
      <c r="I23" s="51">
        <v>8.6999999999999993</v>
      </c>
      <c r="J23" s="51">
        <v>2.90</v>
      </c>
      <c r="K23" s="51">
        <v>339.47</v>
      </c>
      <c r="L23" s="8" t="s">
        <v>8</v>
      </c>
      <c r="M23" s="51">
        <v>63.51</v>
      </c>
      <c r="N23" s="51">
        <v>1098.0999999999999</v>
      </c>
      <c r="O23" s="51">
        <v>0</v>
      </c>
      <c r="P23" s="51">
        <v>2.65</v>
      </c>
      <c r="Q23" s="51">
        <v>17.91</v>
      </c>
      <c r="R23" s="43"/>
      <c r="S23" s="43"/>
      <c r="T23" s="43"/>
      <c r="U23" s="43"/>
    </row>
    <row r="24" spans="1:21" s="11" customFormat="1" ht="15">
      <c r="A24" s="50" t="s">
        <v>655</v>
      </c>
      <c r="B24" s="51">
        <v>0.5</v>
      </c>
      <c r="C24" s="51">
        <v>20.190000000000001</v>
      </c>
      <c r="D24" s="51">
        <v>20.69</v>
      </c>
      <c r="E24" s="51">
        <v>4.7300000000000004</v>
      </c>
      <c r="F24" s="51">
        <v>3.02</v>
      </c>
      <c r="G24" s="51">
        <v>60.84</v>
      </c>
      <c r="H24" s="51">
        <v>23.88</v>
      </c>
      <c r="I24" s="51">
        <v>8.6300000000000008</v>
      </c>
      <c r="J24" s="51">
        <v>2.74</v>
      </c>
      <c r="K24" s="51">
        <v>227.43</v>
      </c>
      <c r="L24" s="8" t="s">
        <v>8</v>
      </c>
      <c r="M24" s="51">
        <v>61.56</v>
      </c>
      <c r="N24" s="51">
        <v>1177.0999999999999</v>
      </c>
      <c r="O24" s="51">
        <v>0</v>
      </c>
      <c r="P24" s="51">
        <v>2.5499999999999998</v>
      </c>
      <c r="Q24" s="51">
        <v>17.07</v>
      </c>
      <c r="R24" s="43"/>
      <c r="S24" s="43"/>
      <c r="T24" s="43"/>
      <c r="U24" s="43"/>
    </row>
    <row r="25" spans="1:21" s="11" customFormat="1" ht="15">
      <c r="A25" s="50" t="s">
        <v>656</v>
      </c>
      <c r="B25" s="51">
        <v>0.53</v>
      </c>
      <c r="C25" s="51">
        <v>14.80</v>
      </c>
      <c r="D25" s="51">
        <v>15.33</v>
      </c>
      <c r="E25" s="51">
        <v>5.73</v>
      </c>
      <c r="F25" s="51">
        <v>2.52</v>
      </c>
      <c r="G25" s="51">
        <v>58.45</v>
      </c>
      <c r="H25" s="51">
        <v>25.59</v>
      </c>
      <c r="I25" s="51">
        <v>6.92</v>
      </c>
      <c r="J25" s="51">
        <v>2.64</v>
      </c>
      <c r="K25" s="51">
        <v>216.16</v>
      </c>
      <c r="L25" s="8" t="s">
        <v>8</v>
      </c>
      <c r="M25" s="51">
        <v>60.40</v>
      </c>
      <c r="N25" s="51">
        <v>1055</v>
      </c>
      <c r="O25" s="51">
        <v>0</v>
      </c>
      <c r="P25" s="51">
        <v>2.4300000000000002</v>
      </c>
      <c r="Q25" s="51">
        <v>11.77</v>
      </c>
      <c r="R25" s="43"/>
      <c r="S25" s="43"/>
      <c r="T25" s="43"/>
      <c r="U25" s="43"/>
    </row>
    <row r="26" spans="1:21" s="11" customFormat="1" ht="15">
      <c r="A26" s="50" t="s">
        <v>657</v>
      </c>
      <c r="B26" s="51">
        <v>0.56999999999999995</v>
      </c>
      <c r="C26" s="51">
        <v>15.56</v>
      </c>
      <c r="D26" s="51">
        <v>15.98</v>
      </c>
      <c r="E26" s="51">
        <v>6.18</v>
      </c>
      <c r="F26" s="51">
        <v>2.97</v>
      </c>
      <c r="G26" s="51">
        <v>53.15</v>
      </c>
      <c r="H26" s="51">
        <v>24.77</v>
      </c>
      <c r="I26" s="51">
        <v>6.15</v>
      </c>
      <c r="J26" s="51">
        <v>3.30</v>
      </c>
      <c r="K26" s="51">
        <v>193.02</v>
      </c>
      <c r="L26" s="8" t="s">
        <v>8</v>
      </c>
      <c r="M26" s="51">
        <v>59.78</v>
      </c>
      <c r="N26" s="51">
        <v>561.70000000000005</v>
      </c>
      <c r="O26" s="51">
        <v>0</v>
      </c>
      <c r="P26" s="51">
        <v>2.37</v>
      </c>
      <c r="Q26" s="51">
        <v>10.87</v>
      </c>
      <c r="R26" s="43"/>
      <c r="S26" s="43"/>
      <c r="T26" s="43"/>
      <c r="U26" s="43"/>
    </row>
    <row r="27" spans="1:21" s="11" customFormat="1" ht="15">
      <c r="A27" s="50" t="s">
        <v>658</v>
      </c>
      <c r="B27" s="51">
        <v>0.90</v>
      </c>
      <c r="C27" s="51">
        <v>17.079999999999998</v>
      </c>
      <c r="D27" s="51">
        <v>17.989999999999998</v>
      </c>
      <c r="E27" s="51">
        <v>6.18</v>
      </c>
      <c r="F27" s="51">
        <v>2.62</v>
      </c>
      <c r="G27" s="51">
        <v>48.30</v>
      </c>
      <c r="H27" s="51">
        <v>21.47</v>
      </c>
      <c r="I27" s="51">
        <v>5.71</v>
      </c>
      <c r="J27" s="51">
        <v>2.98</v>
      </c>
      <c r="K27" s="51">
        <v>213.55</v>
      </c>
      <c r="L27" s="51">
        <v>46</v>
      </c>
      <c r="M27" s="51">
        <v>74.34</v>
      </c>
      <c r="N27" s="51">
        <v>506.80</v>
      </c>
      <c r="O27" s="51">
        <v>0</v>
      </c>
      <c r="P27" s="51">
        <v>2.33</v>
      </c>
      <c r="Q27" s="51">
        <v>14.06</v>
      </c>
      <c r="R27" s="43"/>
      <c r="S27" s="43"/>
      <c r="T27" s="43"/>
      <c r="U27" s="43"/>
    </row>
    <row r="28" spans="1:21" s="11" customFormat="1" ht="15">
      <c r="A28" s="50" t="s">
        <v>659</v>
      </c>
      <c r="B28" s="51">
        <v>0.88</v>
      </c>
      <c r="C28" s="51">
        <v>17.559999999999999</v>
      </c>
      <c r="D28" s="51">
        <v>18.440000000000001</v>
      </c>
      <c r="E28" s="51">
        <v>5.55</v>
      </c>
      <c r="F28" s="51">
        <v>1.90</v>
      </c>
      <c r="G28" s="51">
        <v>56.27</v>
      </c>
      <c r="H28" s="51">
        <v>20.65</v>
      </c>
      <c r="I28" s="51">
        <v>5.05</v>
      </c>
      <c r="J28" s="51">
        <v>3.17</v>
      </c>
      <c r="K28" s="51">
        <v>198.84</v>
      </c>
      <c r="L28" s="51">
        <v>47.30</v>
      </c>
      <c r="M28" s="51">
        <v>74.17</v>
      </c>
      <c r="N28" s="51">
        <v>481.90</v>
      </c>
      <c r="O28" s="51">
        <v>0</v>
      </c>
      <c r="P28" s="51">
        <v>2.3199999999999998</v>
      </c>
      <c r="Q28" s="51">
        <v>14.44</v>
      </c>
      <c r="R28" s="43"/>
      <c r="S28" s="43"/>
      <c r="T28" s="43"/>
      <c r="U28" s="43"/>
    </row>
    <row r="29" spans="1:21" s="11" customFormat="1" ht="15">
      <c r="A29" s="50" t="s">
        <v>660</v>
      </c>
      <c r="B29" s="51">
        <v>1.21</v>
      </c>
      <c r="C29" s="51">
        <v>16.27</v>
      </c>
      <c r="D29" s="51">
        <v>16.899999999999999</v>
      </c>
      <c r="E29" s="51">
        <v>5.54</v>
      </c>
      <c r="F29" s="51">
        <v>2.0699999999999998</v>
      </c>
      <c r="G29" s="51">
        <v>54.11</v>
      </c>
      <c r="H29" s="51">
        <v>20.29</v>
      </c>
      <c r="I29" s="51">
        <v>4.74</v>
      </c>
      <c r="J29" s="51">
        <v>2.98</v>
      </c>
      <c r="K29" s="51">
        <v>241.63</v>
      </c>
      <c r="L29" s="51">
        <v>46.71</v>
      </c>
      <c r="M29" s="51">
        <v>77.400000000000006</v>
      </c>
      <c r="N29" s="51">
        <v>482.10</v>
      </c>
      <c r="O29" s="51">
        <v>0</v>
      </c>
      <c r="P29" s="51">
        <v>2.3199999999999998</v>
      </c>
      <c r="Q29" s="51">
        <v>14.09</v>
      </c>
      <c r="R29" s="43"/>
      <c r="S29" s="43"/>
      <c r="T29" s="43"/>
      <c r="U29" s="43"/>
    </row>
    <row r="30" spans="1:21" s="11" customFormat="1" ht="15">
      <c r="A30" s="50" t="s">
        <v>661</v>
      </c>
      <c r="B30" s="51">
        <v>1.32</v>
      </c>
      <c r="C30" s="51">
        <v>14.43</v>
      </c>
      <c r="D30" s="51">
        <v>15.69</v>
      </c>
      <c r="E30" s="51">
        <v>6.36</v>
      </c>
      <c r="F30" s="51">
        <v>1.70</v>
      </c>
      <c r="G30" s="51">
        <v>50.37</v>
      </c>
      <c r="H30" s="51">
        <v>22.48</v>
      </c>
      <c r="I30" s="51">
        <v>4.82</v>
      </c>
      <c r="J30" s="51">
        <v>2.77</v>
      </c>
      <c r="K30" s="51">
        <v>219.83</v>
      </c>
      <c r="L30" s="51">
        <v>49.46</v>
      </c>
      <c r="M30" s="51">
        <v>80.38</v>
      </c>
      <c r="N30" s="51">
        <v>580.79999999999995</v>
      </c>
      <c r="O30" s="51">
        <v>0</v>
      </c>
      <c r="P30" s="51">
        <v>2.33</v>
      </c>
      <c r="Q30" s="51">
        <v>9.26</v>
      </c>
      <c r="R30" s="43"/>
      <c r="S30" s="43"/>
      <c r="T30" s="43"/>
      <c r="U30" s="43"/>
    </row>
    <row r="31" spans="1:21" s="11" customFormat="1" ht="15">
      <c r="A31" s="50" t="s">
        <v>662</v>
      </c>
      <c r="B31" s="51">
        <v>1.33</v>
      </c>
      <c r="C31" s="51">
        <v>16.63</v>
      </c>
      <c r="D31" s="51">
        <v>17.78</v>
      </c>
      <c r="E31" s="51">
        <v>6.25</v>
      </c>
      <c r="F31" s="51">
        <v>1.34</v>
      </c>
      <c r="G31" s="51">
        <v>51.84</v>
      </c>
      <c r="H31" s="51">
        <v>21.08</v>
      </c>
      <c r="I31" s="51">
        <v>4.91</v>
      </c>
      <c r="J31" s="51">
        <v>3.04</v>
      </c>
      <c r="K31" s="51">
        <v>174.37</v>
      </c>
      <c r="L31" s="51">
        <v>48.43</v>
      </c>
      <c r="M31" s="51">
        <v>81.22</v>
      </c>
      <c r="N31" s="51">
        <v>683.10</v>
      </c>
      <c r="O31" s="51">
        <v>0</v>
      </c>
      <c r="P31" s="51">
        <v>2.34</v>
      </c>
      <c r="Q31" s="51">
        <v>12.51</v>
      </c>
      <c r="R31" s="43"/>
      <c r="S31" s="43"/>
      <c r="T31" s="43"/>
      <c r="U31" s="43"/>
    </row>
    <row r="32" spans="1:21" s="11" customFormat="1" ht="15">
      <c r="A32" s="50" t="s">
        <v>663</v>
      </c>
      <c r="B32" s="51">
        <v>0.90</v>
      </c>
      <c r="C32" s="51">
        <v>15.99</v>
      </c>
      <c r="D32" s="51">
        <v>16.899999999999999</v>
      </c>
      <c r="E32" s="51">
        <v>6.04</v>
      </c>
      <c r="F32" s="51">
        <v>1.69</v>
      </c>
      <c r="G32" s="51">
        <v>48.81</v>
      </c>
      <c r="H32" s="51">
        <v>17.27</v>
      </c>
      <c r="I32" s="51">
        <v>4.66</v>
      </c>
      <c r="J32" s="51">
        <v>3.61</v>
      </c>
      <c r="K32" s="51">
        <v>165.33</v>
      </c>
      <c r="L32" s="51">
        <v>45.41</v>
      </c>
      <c r="M32" s="51">
        <v>87.65</v>
      </c>
      <c r="N32" s="51">
        <v>657.10</v>
      </c>
      <c r="O32" s="51">
        <v>0.20</v>
      </c>
      <c r="P32" s="51">
        <v>2.2799999999999998</v>
      </c>
      <c r="Q32" s="51">
        <v>12.93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</v>
      </c>
      <c r="C34" s="28">
        <f t="shared" si="0"/>
        <v>9.0600000000000005</v>
      </c>
      <c r="D34" s="28">
        <f t="shared" si="0"/>
        <v>10.1</v>
      </c>
      <c r="E34" s="28">
        <f t="shared" si="0"/>
        <v>4.7300000000000004</v>
      </c>
      <c r="F34" s="28">
        <f t="shared" si="0"/>
        <v>0.78000000000000003</v>
      </c>
      <c r="G34" s="28">
        <f t="shared" si="0"/>
        <v>28.940000000000001</v>
      </c>
      <c r="H34" s="28">
        <f t="shared" si="0"/>
        <v>10.67</v>
      </c>
      <c r="I34" s="28">
        <f t="shared" si="0"/>
        <v>4.2199999999999998</v>
      </c>
      <c r="J34" s="28">
        <f t="shared" si="0"/>
        <v>1.7</v>
      </c>
      <c r="K34" s="28">
        <f t="shared" si="0"/>
        <v>165.33000000000001</v>
      </c>
      <c r="L34" s="28">
        <f t="shared" si="0"/>
        <v>44.109999999999999</v>
      </c>
      <c r="M34" s="28">
        <f t="shared" si="0"/>
        <v>58.899999999999999</v>
      </c>
      <c r="N34" s="28">
        <f t="shared" si="0"/>
        <v>467.5</v>
      </c>
      <c r="O34" s="28">
        <f t="shared" si="0"/>
        <v>0</v>
      </c>
      <c r="P34" s="28">
        <f t="shared" si="0"/>
        <v>2.1800000000000002</v>
      </c>
      <c r="Q34" s="28">
        <f t="shared" si="0"/>
        <v>9.2599999999999998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3.5699999999999998</v>
      </c>
      <c r="C35" s="29">
        <f t="shared" si="1"/>
        <v>24.52</v>
      </c>
      <c r="D35" s="29">
        <f t="shared" si="1"/>
        <v>26.120000000000001</v>
      </c>
      <c r="E35" s="29">
        <f t="shared" si="1"/>
        <v>7.46</v>
      </c>
      <c r="F35" s="29">
        <f t="shared" si="1"/>
        <v>3.02</v>
      </c>
      <c r="G35" s="29">
        <f t="shared" si="1"/>
        <v>69.180000000000007</v>
      </c>
      <c r="H35" s="29">
        <f t="shared" si="1"/>
        <v>25.59</v>
      </c>
      <c r="I35" s="29">
        <f t="shared" si="1"/>
        <v>8.6999999999999993</v>
      </c>
      <c r="J35" s="29">
        <f t="shared" si="1"/>
        <v>5.2800000000000002</v>
      </c>
      <c r="K35" s="29">
        <f t="shared" si="1"/>
        <v>354.79000000000002</v>
      </c>
      <c r="L35" s="29">
        <f t="shared" si="1"/>
        <v>49.729999999999997</v>
      </c>
      <c r="M35" s="29">
        <f t="shared" si="1"/>
        <v>91.609999999999999</v>
      </c>
      <c r="N35" s="29">
        <f t="shared" si="1"/>
        <v>1333.3</v>
      </c>
      <c r="O35" s="29">
        <f t="shared" si="1"/>
        <v>0.20000000000000001</v>
      </c>
      <c r="P35" s="29">
        <f t="shared" si="1"/>
        <v>2.6499999999999999</v>
      </c>
      <c r="Q35" s="29">
        <f t="shared" si="1"/>
        <v>34.100000000000001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1.5979166666666667</v>
      </c>
      <c r="C36" s="28">
        <f t="shared" si="2"/>
        <v>15.814583333333333</v>
      </c>
      <c r="D36" s="28">
        <f t="shared" si="2"/>
        <v>17.287916666666664</v>
      </c>
      <c r="E36" s="28">
        <f t="shared" si="2"/>
        <v>6.1033333333333344</v>
      </c>
      <c r="F36" s="28">
        <f t="shared" si="2"/>
        <v>1.7366666666666666</v>
      </c>
      <c r="G36" s="28">
        <f t="shared" si="2"/>
        <v>46.449999999999996</v>
      </c>
      <c r="H36" s="28">
        <f t="shared" si="2"/>
        <v>18.959999999999994</v>
      </c>
      <c r="I36" s="28">
        <f t="shared" si="2"/>
        <v>5.4262499999999996</v>
      </c>
      <c r="J36" s="28">
        <f t="shared" si="2"/>
        <v>3.3266666666666667</v>
      </c>
      <c r="K36" s="28">
        <f t="shared" si="2"/>
        <v>229.43916666666669</v>
      </c>
      <c r="L36" s="28">
        <f t="shared" si="2"/>
        <v>46.654375000000002</v>
      </c>
      <c r="M36" s="28">
        <f t="shared" si="2"/>
        <v>79.095833333333346</v>
      </c>
      <c r="N36" s="28">
        <f t="shared" si="2"/>
        <v>738.97499999999991</v>
      </c>
      <c r="O36" s="28">
        <f t="shared" si="2"/>
        <v>0.0083333333333333332</v>
      </c>
      <c r="P36" s="28">
        <f t="shared" si="2"/>
        <v>2.344583333333333</v>
      </c>
      <c r="Q36" s="28">
        <f t="shared" si="2"/>
        <v>18.152083333333334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0.87979236269092254</v>
      </c>
      <c r="C37" s="28">
        <f t="shared" si="3" ref="C37:Q37">STDEV(C9:C32)</f>
        <v>3.4562897663933283</v>
      </c>
      <c r="D37" s="28">
        <f t="shared" si="3"/>
        <v>3.5076512383851521</v>
      </c>
      <c r="E37" s="28">
        <f t="shared" si="3"/>
        <v>0.69327619608490509</v>
      </c>
      <c r="F37" s="28">
        <f t="shared" si="3"/>
        <v>0.74976324765637348</v>
      </c>
      <c r="G37" s="28">
        <f t="shared" si="3"/>
        <v>12.29828231201768</v>
      </c>
      <c r="H37" s="28">
        <f t="shared" si="3"/>
        <v>3.973978403039736</v>
      </c>
      <c r="I37" s="28">
        <f t="shared" si="3"/>
        <v>1.3033395650171675</v>
      </c>
      <c r="J37" s="28">
        <f t="shared" si="3"/>
        <v>0.82283004038642094</v>
      </c>
      <c r="K37" s="28">
        <f t="shared" si="3"/>
        <v>60.265135491402376</v>
      </c>
      <c r="L37" s="28">
        <f t="shared" si="3"/>
        <v>1.8069826368839292</v>
      </c>
      <c r="M37" s="28">
        <f t="shared" si="3"/>
        <v>11.827807660676978</v>
      </c>
      <c r="N37" s="28">
        <f t="shared" si="3"/>
        <v>279.04442571343242</v>
      </c>
      <c r="O37" s="28">
        <f t="shared" si="3"/>
        <v>0.040824829046386311</v>
      </c>
      <c r="P37" s="28">
        <f t="shared" si="3"/>
        <v>0.13204015089841181</v>
      </c>
      <c r="Q37" s="28">
        <f t="shared" si="3"/>
        <v>6.5183293266100764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COUNT(L9:L32)+8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d458e9-546d-428f-b1f1-f7e68df88e4a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T28" sqref="T2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60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3" t="s">
        <v>59</v>
      </c>
      <c r="C7" s="53" t="s">
        <v>44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53" t="s">
        <v>50</v>
      </c>
      <c r="J7" s="53" t="s">
        <v>51</v>
      </c>
      <c r="K7" s="53" t="s">
        <v>52</v>
      </c>
      <c r="L7" s="53" t="s">
        <v>53</v>
      </c>
      <c r="M7" s="53" t="s">
        <v>54</v>
      </c>
      <c r="N7" s="53" t="s">
        <v>55</v>
      </c>
      <c r="O7" s="53" t="s">
        <v>56</v>
      </c>
      <c r="P7" s="53" t="s">
        <v>57</v>
      </c>
      <c r="Q7" s="53" t="s">
        <v>58</v>
      </c>
      <c r="R7" s="27"/>
      <c r="S7" s="29"/>
      <c r="T7" s="27"/>
      <c r="U7" s="27"/>
    </row>
    <row r="8" spans="1:21" s="21" customFormat="1" ht="15">
      <c r="A8" s="25"/>
      <c r="B8" s="56" t="s">
        <v>22</v>
      </c>
      <c r="C8" s="56" t="s">
        <v>22</v>
      </c>
      <c r="D8" s="56" t="s">
        <v>22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25" t="s">
        <v>27</v>
      </c>
      <c r="M8" s="56" t="s">
        <v>26</v>
      </c>
      <c r="N8" s="56" t="s">
        <v>28</v>
      </c>
      <c r="O8" s="2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ht="15">
      <c r="A9" s="50" t="s">
        <v>664</v>
      </c>
      <c r="B9" s="51">
        <v>0.87</v>
      </c>
      <c r="C9" s="51">
        <v>13.54</v>
      </c>
      <c r="D9" s="51">
        <v>14.19</v>
      </c>
      <c r="E9" s="51">
        <v>6.22</v>
      </c>
      <c r="F9" s="51">
        <v>1.24</v>
      </c>
      <c r="G9" s="51">
        <v>44.56</v>
      </c>
      <c r="H9" s="51">
        <v>22.14</v>
      </c>
      <c r="I9" s="51">
        <v>4.2699999999999996</v>
      </c>
      <c r="J9" s="51">
        <v>3.18</v>
      </c>
      <c r="K9" s="51">
        <v>157.83000000000001</v>
      </c>
      <c r="L9" s="51">
        <v>48.14</v>
      </c>
      <c r="M9" s="51">
        <v>88.36</v>
      </c>
      <c r="N9" s="51">
        <v>675.30</v>
      </c>
      <c r="O9" s="51">
        <v>0</v>
      </c>
      <c r="P9" s="51">
        <v>2.25</v>
      </c>
      <c r="Q9" s="51">
        <v>13.03</v>
      </c>
      <c r="R9" s="43"/>
      <c r="S9" s="43"/>
      <c r="T9" s="43"/>
      <c r="U9" s="43"/>
    </row>
    <row r="10" spans="1:21" s="11" customFormat="1" ht="15">
      <c r="A10" s="50" t="s">
        <v>665</v>
      </c>
      <c r="B10" s="51">
        <v>1.55</v>
      </c>
      <c r="C10" s="51">
        <v>11.26</v>
      </c>
      <c r="D10" s="51">
        <v>12.29</v>
      </c>
      <c r="E10" s="51">
        <v>7.17</v>
      </c>
      <c r="F10" s="51">
        <v>0.75</v>
      </c>
      <c r="G10" s="51">
        <v>41.26</v>
      </c>
      <c r="H10" s="51">
        <v>20.239999999999998</v>
      </c>
      <c r="I10" s="51">
        <v>4.13</v>
      </c>
      <c r="J10" s="51">
        <v>2.31</v>
      </c>
      <c r="K10" s="51">
        <v>162.58000000000001</v>
      </c>
      <c r="L10" s="51">
        <v>48.44</v>
      </c>
      <c r="M10" s="51">
        <v>89.73</v>
      </c>
      <c r="N10" s="51">
        <v>672.90</v>
      </c>
      <c r="O10" s="51">
        <v>0</v>
      </c>
      <c r="P10" s="51">
        <v>2.23</v>
      </c>
      <c r="Q10" s="51">
        <v>9.16</v>
      </c>
      <c r="R10" s="43"/>
      <c r="S10" s="43"/>
      <c r="T10" s="43"/>
      <c r="U10" s="43"/>
    </row>
    <row r="11" spans="1:21" s="11" customFormat="1" ht="15">
      <c r="A11" s="50" t="s">
        <v>666</v>
      </c>
      <c r="B11" s="51">
        <v>1.87</v>
      </c>
      <c r="C11" s="51">
        <v>11.75</v>
      </c>
      <c r="D11" s="51">
        <v>13.59</v>
      </c>
      <c r="E11" s="51">
        <v>7.67</v>
      </c>
      <c r="F11" s="51">
        <v>0.94</v>
      </c>
      <c r="G11" s="51">
        <v>36.5</v>
      </c>
      <c r="H11" s="51">
        <v>14.68</v>
      </c>
      <c r="I11" s="51">
        <v>4.29</v>
      </c>
      <c r="J11" s="51">
        <v>2.42</v>
      </c>
      <c r="K11" s="51">
        <v>155.86000000000001</v>
      </c>
      <c r="L11" s="51">
        <v>48</v>
      </c>
      <c r="M11" s="51">
        <v>90.38</v>
      </c>
      <c r="N11" s="51">
        <v>543.60</v>
      </c>
      <c r="O11" s="51">
        <v>0</v>
      </c>
      <c r="P11" s="51">
        <v>2.2200000000000002</v>
      </c>
      <c r="Q11" s="51">
        <v>10.17</v>
      </c>
      <c r="R11" s="43"/>
      <c r="S11" s="43"/>
      <c r="T11" s="43"/>
      <c r="U11" s="43"/>
    </row>
    <row r="12" spans="1:21" s="11" customFormat="1" ht="15">
      <c r="A12" s="50" t="s">
        <v>667</v>
      </c>
      <c r="B12" s="51">
        <v>1.30</v>
      </c>
      <c r="C12" s="51">
        <v>11.43</v>
      </c>
      <c r="D12" s="51">
        <v>12.61</v>
      </c>
      <c r="E12" s="51">
        <v>7.12</v>
      </c>
      <c r="F12" s="51">
        <v>0.90</v>
      </c>
      <c r="G12" s="51">
        <v>38.130000000000003</v>
      </c>
      <c r="H12" s="51">
        <v>17.850000000000001</v>
      </c>
      <c r="I12" s="51">
        <v>4.21</v>
      </c>
      <c r="J12" s="51">
        <v>4.0199999999999996</v>
      </c>
      <c r="K12" s="51">
        <v>168.15</v>
      </c>
      <c r="L12" s="51">
        <v>44.78</v>
      </c>
      <c r="M12" s="51">
        <v>90.47</v>
      </c>
      <c r="N12" s="51">
        <v>478</v>
      </c>
      <c r="O12" s="51">
        <v>0</v>
      </c>
      <c r="P12" s="51">
        <v>2.19</v>
      </c>
      <c r="Q12" s="51">
        <v>11.33</v>
      </c>
      <c r="R12" s="43"/>
      <c r="S12" s="43"/>
      <c r="T12" s="43"/>
      <c r="U12" s="43"/>
    </row>
    <row r="13" spans="1:21" s="11" customFormat="1" ht="15">
      <c r="A13" s="50" t="s">
        <v>668</v>
      </c>
      <c r="B13" s="51">
        <v>1.25</v>
      </c>
      <c r="C13" s="51">
        <v>11.5</v>
      </c>
      <c r="D13" s="51">
        <v>12.75</v>
      </c>
      <c r="E13" s="51">
        <v>5.61</v>
      </c>
      <c r="F13" s="51">
        <v>0.60</v>
      </c>
      <c r="G13" s="51">
        <v>37.10</v>
      </c>
      <c r="H13" s="51">
        <v>16.75</v>
      </c>
      <c r="I13" s="51">
        <v>3.90</v>
      </c>
      <c r="J13" s="51">
        <v>2.71</v>
      </c>
      <c r="K13" s="51">
        <v>197.95</v>
      </c>
      <c r="L13" s="51">
        <v>48.67</v>
      </c>
      <c r="M13" s="51">
        <v>92.70</v>
      </c>
      <c r="N13" s="51">
        <v>503.60</v>
      </c>
      <c r="O13" s="51">
        <v>0</v>
      </c>
      <c r="P13" s="51">
        <v>2.1800000000000002</v>
      </c>
      <c r="Q13" s="51">
        <v>11.5</v>
      </c>
      <c r="R13" s="43"/>
      <c r="S13" s="43"/>
      <c r="T13" s="43"/>
      <c r="U13" s="43"/>
    </row>
    <row r="14" spans="1:21" s="11" customFormat="1" ht="15">
      <c r="A14" s="50" t="s">
        <v>669</v>
      </c>
      <c r="B14" s="51">
        <v>2.25</v>
      </c>
      <c r="C14" s="51">
        <v>11.47</v>
      </c>
      <c r="D14" s="51">
        <v>13.48</v>
      </c>
      <c r="E14" s="51">
        <v>6.24</v>
      </c>
      <c r="F14" s="51">
        <v>0.81</v>
      </c>
      <c r="G14" s="51">
        <v>38.14</v>
      </c>
      <c r="H14" s="51">
        <v>12.86</v>
      </c>
      <c r="I14" s="51">
        <v>3.72</v>
      </c>
      <c r="J14" s="51">
        <v>2.76</v>
      </c>
      <c r="K14" s="51">
        <v>218.70</v>
      </c>
      <c r="L14" s="51">
        <v>48.06</v>
      </c>
      <c r="M14" s="51">
        <v>91.67</v>
      </c>
      <c r="N14" s="51">
        <v>610.40</v>
      </c>
      <c r="O14" s="51">
        <v>0</v>
      </c>
      <c r="P14" s="51">
        <v>2.1800000000000002</v>
      </c>
      <c r="Q14" s="51">
        <v>11</v>
      </c>
      <c r="R14" s="43"/>
      <c r="S14" s="43"/>
      <c r="T14" s="43"/>
      <c r="U14" s="43"/>
    </row>
    <row r="15" spans="1:21" s="11" customFormat="1" ht="15">
      <c r="A15" s="50" t="s">
        <v>670</v>
      </c>
      <c r="B15" s="51">
        <v>2.75</v>
      </c>
      <c r="C15" s="51">
        <v>12.32</v>
      </c>
      <c r="D15" s="51">
        <v>15.06</v>
      </c>
      <c r="E15" s="51">
        <v>6.81</v>
      </c>
      <c r="F15" s="51">
        <v>0.86</v>
      </c>
      <c r="G15" s="51">
        <v>37.33</v>
      </c>
      <c r="H15" s="51">
        <v>11.32</v>
      </c>
      <c r="I15" s="51">
        <v>3.96</v>
      </c>
      <c r="J15" s="51">
        <v>2.61</v>
      </c>
      <c r="K15" s="51">
        <v>211.64</v>
      </c>
      <c r="L15" s="51">
        <v>46.30</v>
      </c>
      <c r="M15" s="51">
        <v>89.36</v>
      </c>
      <c r="N15" s="51">
        <v>657.40</v>
      </c>
      <c r="O15" s="51">
        <v>0</v>
      </c>
      <c r="P15" s="51">
        <v>2.21</v>
      </c>
      <c r="Q15" s="51">
        <v>8.34</v>
      </c>
      <c r="R15" s="43"/>
      <c r="S15" s="43"/>
      <c r="T15" s="43"/>
      <c r="U15" s="43"/>
    </row>
    <row r="16" spans="1:21" s="11" customFormat="1" ht="15">
      <c r="A16" s="50" t="s">
        <v>671</v>
      </c>
      <c r="B16" s="51">
        <v>3.35</v>
      </c>
      <c r="C16" s="51">
        <v>16.260000000000002</v>
      </c>
      <c r="D16" s="51">
        <v>19.61</v>
      </c>
      <c r="E16" s="51">
        <v>6.67</v>
      </c>
      <c r="F16" s="51">
        <v>1.04</v>
      </c>
      <c r="G16" s="51">
        <v>35.270000000000003</v>
      </c>
      <c r="H16" s="51">
        <v>13.38</v>
      </c>
      <c r="I16" s="51">
        <v>4.1500000000000004</v>
      </c>
      <c r="J16" s="51">
        <v>2.58</v>
      </c>
      <c r="K16" s="51">
        <v>332.01</v>
      </c>
      <c r="L16" s="8" t="s">
        <v>8</v>
      </c>
      <c r="M16" s="51">
        <v>83.72</v>
      </c>
      <c r="N16" s="51">
        <v>876.90</v>
      </c>
      <c r="O16" s="51">
        <v>0</v>
      </c>
      <c r="P16" s="51">
        <v>2.29</v>
      </c>
      <c r="Q16" s="51">
        <v>12.34</v>
      </c>
      <c r="R16" s="43"/>
      <c r="S16" s="43"/>
      <c r="T16" s="43"/>
      <c r="U16" s="43"/>
    </row>
    <row r="17" spans="1:21" s="11" customFormat="1" ht="15">
      <c r="A17" s="50" t="s">
        <v>672</v>
      </c>
      <c r="B17" s="51">
        <v>5.14</v>
      </c>
      <c r="C17" s="51">
        <v>20.14</v>
      </c>
      <c r="D17" s="51">
        <v>25.28</v>
      </c>
      <c r="E17" s="51">
        <v>6.17</v>
      </c>
      <c r="F17" s="51">
        <v>1</v>
      </c>
      <c r="G17" s="51">
        <v>45.45</v>
      </c>
      <c r="H17" s="51">
        <v>14.26</v>
      </c>
      <c r="I17" s="51">
        <v>4.3499999999999996</v>
      </c>
      <c r="J17" s="51">
        <v>1.18</v>
      </c>
      <c r="K17" s="51">
        <v>358.90</v>
      </c>
      <c r="L17" s="8" t="s">
        <v>8</v>
      </c>
      <c r="M17" s="51">
        <v>73.14</v>
      </c>
      <c r="N17" s="51">
        <v>929</v>
      </c>
      <c r="O17" s="51">
        <v>0</v>
      </c>
      <c r="P17" s="51">
        <v>2.35</v>
      </c>
      <c r="Q17" s="51">
        <v>13.89</v>
      </c>
      <c r="R17" s="43"/>
      <c r="S17" s="43"/>
      <c r="T17" s="43"/>
      <c r="U17" s="43"/>
    </row>
    <row r="18" spans="1:21" s="11" customFormat="1" ht="15">
      <c r="A18" s="50" t="s">
        <v>673</v>
      </c>
      <c r="B18" s="51">
        <v>4.9000000000000004</v>
      </c>
      <c r="C18" s="51">
        <v>21.24</v>
      </c>
      <c r="D18" s="51">
        <v>25.68</v>
      </c>
      <c r="E18" s="51">
        <v>5.90</v>
      </c>
      <c r="F18" s="51">
        <v>1.73</v>
      </c>
      <c r="G18" s="51">
        <v>61.91</v>
      </c>
      <c r="H18" s="51">
        <v>16.27</v>
      </c>
      <c r="I18" s="51">
        <v>4.34</v>
      </c>
      <c r="J18" s="51">
        <v>2.41</v>
      </c>
      <c r="K18" s="51">
        <v>324.35000000000002</v>
      </c>
      <c r="L18" s="8" t="s">
        <v>8</v>
      </c>
      <c r="M18" s="51">
        <v>70.19</v>
      </c>
      <c r="N18" s="51">
        <v>1335.60</v>
      </c>
      <c r="O18" s="51">
        <v>0</v>
      </c>
      <c r="P18" s="51">
        <v>2.35</v>
      </c>
      <c r="Q18" s="51">
        <v>13.93</v>
      </c>
      <c r="R18" s="43"/>
      <c r="S18" s="43"/>
      <c r="T18" s="43"/>
      <c r="U18" s="43"/>
    </row>
    <row r="19" spans="1:21" s="11" customFormat="1" ht="15">
      <c r="A19" s="50" t="s">
        <v>674</v>
      </c>
      <c r="B19" s="51">
        <v>3.64</v>
      </c>
      <c r="C19" s="51">
        <v>18.71</v>
      </c>
      <c r="D19" s="51">
        <v>22.35</v>
      </c>
      <c r="E19" s="51">
        <v>6.36</v>
      </c>
      <c r="F19" s="51">
        <v>1.54</v>
      </c>
      <c r="G19" s="51">
        <v>58.88</v>
      </c>
      <c r="H19" s="51">
        <v>15.95</v>
      </c>
      <c r="I19" s="51">
        <v>4.5599999999999996</v>
      </c>
      <c r="J19" s="51">
        <v>2.96</v>
      </c>
      <c r="K19" s="51">
        <v>330.71</v>
      </c>
      <c r="L19" s="8" t="s">
        <v>8</v>
      </c>
      <c r="M19" s="51">
        <v>58.10</v>
      </c>
      <c r="N19" s="51">
        <v>912.5</v>
      </c>
      <c r="O19" s="51">
        <v>0</v>
      </c>
      <c r="P19" s="51">
        <v>2.4500000000000002</v>
      </c>
      <c r="Q19" s="51">
        <v>9.68</v>
      </c>
      <c r="R19" s="43"/>
      <c r="S19" s="43"/>
      <c r="T19" s="43"/>
      <c r="U19" s="43"/>
    </row>
    <row r="20" spans="1:21" s="11" customFormat="1" ht="15">
      <c r="A20" s="50" t="s">
        <v>675</v>
      </c>
      <c r="B20" s="51">
        <v>4.1500000000000004</v>
      </c>
      <c r="C20" s="51">
        <v>20.71</v>
      </c>
      <c r="D20" s="51">
        <v>24.72</v>
      </c>
      <c r="E20" s="51">
        <v>6.70</v>
      </c>
      <c r="F20" s="51">
        <v>1.84</v>
      </c>
      <c r="G20" s="51">
        <v>51.41</v>
      </c>
      <c r="H20" s="51">
        <v>20.18</v>
      </c>
      <c r="I20" s="51">
        <v>5.19</v>
      </c>
      <c r="J20" s="51">
        <v>2.38</v>
      </c>
      <c r="K20" s="51">
        <v>297.44</v>
      </c>
      <c r="L20" s="8" t="s">
        <v>8</v>
      </c>
      <c r="M20" s="51">
        <v>60.26</v>
      </c>
      <c r="N20" s="51">
        <v>1262.9000000000001</v>
      </c>
      <c r="O20" s="51">
        <v>0</v>
      </c>
      <c r="P20" s="51">
        <v>2.5099999999999998</v>
      </c>
      <c r="Q20" s="51">
        <v>12.29</v>
      </c>
      <c r="R20" s="43"/>
      <c r="S20" s="43"/>
      <c r="T20" s="43"/>
      <c r="U20" s="43"/>
    </row>
    <row r="21" spans="1:21" s="11" customFormat="1" ht="15">
      <c r="A21" s="50" t="s">
        <v>676</v>
      </c>
      <c r="B21" s="51">
        <v>1.47</v>
      </c>
      <c r="C21" s="51">
        <v>19.579999999999998</v>
      </c>
      <c r="D21" s="51">
        <v>21.05</v>
      </c>
      <c r="E21" s="51">
        <v>5.46</v>
      </c>
      <c r="F21" s="51">
        <v>2.69</v>
      </c>
      <c r="G21" s="51">
        <v>50.73</v>
      </c>
      <c r="H21" s="51">
        <v>21.04</v>
      </c>
      <c r="I21" s="51">
        <v>5.07</v>
      </c>
      <c r="J21" s="51">
        <v>2.5299999999999998</v>
      </c>
      <c r="K21" s="51">
        <v>192.80</v>
      </c>
      <c r="L21" s="8" t="s">
        <v>8</v>
      </c>
      <c r="M21" s="51">
        <v>61.69</v>
      </c>
      <c r="N21" s="51">
        <v>729.10</v>
      </c>
      <c r="O21" s="51">
        <v>0</v>
      </c>
      <c r="P21" s="51">
        <v>2.44</v>
      </c>
      <c r="Q21" s="51">
        <v>15.23</v>
      </c>
      <c r="R21" s="43"/>
      <c r="S21" s="43"/>
      <c r="T21" s="43"/>
      <c r="U21" s="43"/>
    </row>
    <row r="22" spans="1:21" s="11" customFormat="1" ht="15">
      <c r="A22" s="50" t="s">
        <v>677</v>
      </c>
      <c r="B22" s="51">
        <v>0.68</v>
      </c>
      <c r="C22" s="51">
        <v>16.73</v>
      </c>
      <c r="D22" s="51">
        <v>17.41</v>
      </c>
      <c r="E22" s="51">
        <v>5</v>
      </c>
      <c r="F22" s="51">
        <v>2.96</v>
      </c>
      <c r="G22" s="51">
        <v>48.68</v>
      </c>
      <c r="H22" s="51">
        <v>20.53</v>
      </c>
      <c r="I22" s="51">
        <v>4.66</v>
      </c>
      <c r="J22" s="51">
        <v>3.40</v>
      </c>
      <c r="K22" s="51">
        <v>171.75</v>
      </c>
      <c r="L22" s="8" t="s">
        <v>8</v>
      </c>
      <c r="M22" s="51">
        <v>57.92</v>
      </c>
      <c r="N22" s="51">
        <v>1307.5999999999999</v>
      </c>
      <c r="O22" s="51">
        <v>0</v>
      </c>
      <c r="P22" s="51">
        <v>2.37</v>
      </c>
      <c r="Q22" s="51">
        <v>15.06</v>
      </c>
      <c r="R22" s="43"/>
      <c r="S22" s="43"/>
      <c r="T22" s="43"/>
      <c r="U22" s="43"/>
    </row>
    <row r="23" spans="1:21" s="11" customFormat="1" ht="15">
      <c r="A23" s="50" t="s">
        <v>678</v>
      </c>
      <c r="B23" s="51">
        <v>1.5</v>
      </c>
      <c r="C23" s="51">
        <v>17.18</v>
      </c>
      <c r="D23" s="51">
        <v>18.68</v>
      </c>
      <c r="E23" s="51">
        <v>5.21</v>
      </c>
      <c r="F23" s="51">
        <v>2.66</v>
      </c>
      <c r="G23" s="51">
        <v>51.21</v>
      </c>
      <c r="H23" s="51">
        <v>18.899999999999999</v>
      </c>
      <c r="I23" s="51">
        <v>4.7699999999999996</v>
      </c>
      <c r="J23" s="51">
        <v>3.34</v>
      </c>
      <c r="K23" s="51">
        <v>122.16</v>
      </c>
      <c r="L23" s="8" t="s">
        <v>8</v>
      </c>
      <c r="M23" s="51">
        <v>54.60</v>
      </c>
      <c r="N23" s="51">
        <v>1224.5</v>
      </c>
      <c r="O23" s="51">
        <v>0</v>
      </c>
      <c r="P23" s="51">
        <v>2.38</v>
      </c>
      <c r="Q23" s="51">
        <v>13.81</v>
      </c>
      <c r="R23" s="43"/>
      <c r="S23" s="43"/>
      <c r="T23" s="43"/>
      <c r="U23" s="43"/>
    </row>
    <row r="24" spans="1:21" s="11" customFormat="1" ht="15">
      <c r="A24" s="50" t="s">
        <v>679</v>
      </c>
      <c r="B24" s="51">
        <v>1.03</v>
      </c>
      <c r="C24" s="51">
        <v>16.5</v>
      </c>
      <c r="D24" s="51">
        <v>17.54</v>
      </c>
      <c r="E24" s="51">
        <v>5.61</v>
      </c>
      <c r="F24" s="51">
        <v>2.06</v>
      </c>
      <c r="G24" s="51">
        <v>52.38</v>
      </c>
      <c r="H24" s="51">
        <v>18.75</v>
      </c>
      <c r="I24" s="51">
        <v>4.87</v>
      </c>
      <c r="J24" s="51">
        <v>3.69</v>
      </c>
      <c r="K24" s="51">
        <v>97.78</v>
      </c>
      <c r="L24" s="8" t="s">
        <v>8</v>
      </c>
      <c r="M24" s="51">
        <v>55.97</v>
      </c>
      <c r="N24" s="51">
        <v>865</v>
      </c>
      <c r="O24" s="51">
        <v>0</v>
      </c>
      <c r="P24" s="51">
        <v>2.39</v>
      </c>
      <c r="Q24" s="51">
        <v>24.67</v>
      </c>
      <c r="R24" s="43"/>
      <c r="S24" s="43"/>
      <c r="T24" s="43"/>
      <c r="U24" s="43"/>
    </row>
    <row r="25" spans="1:21" s="11" customFormat="1" ht="15">
      <c r="A25" s="50" t="s">
        <v>680</v>
      </c>
      <c r="B25" s="51">
        <v>1.56</v>
      </c>
      <c r="C25" s="51">
        <v>20.76</v>
      </c>
      <c r="D25" s="51">
        <v>22.08</v>
      </c>
      <c r="E25" s="51">
        <v>6.23</v>
      </c>
      <c r="F25" s="51">
        <v>2.67</v>
      </c>
      <c r="G25" s="51">
        <v>54.5</v>
      </c>
      <c r="H25" s="51">
        <v>17.98</v>
      </c>
      <c r="I25" s="51">
        <v>5.0199999999999996</v>
      </c>
      <c r="J25" s="51">
        <v>4.04</v>
      </c>
      <c r="K25" s="51">
        <v>356.72</v>
      </c>
      <c r="L25" s="8" t="s">
        <v>8</v>
      </c>
      <c r="M25" s="51">
        <v>54.10</v>
      </c>
      <c r="N25" s="51">
        <v>844.20</v>
      </c>
      <c r="O25" s="51">
        <v>0</v>
      </c>
      <c r="P25" s="51">
        <v>2.52</v>
      </c>
      <c r="Q25" s="51">
        <v>95.11</v>
      </c>
      <c r="R25" s="43"/>
      <c r="S25" s="43"/>
      <c r="T25" s="43"/>
      <c r="U25" s="43"/>
    </row>
    <row r="26" spans="1:21" s="11" customFormat="1" ht="15">
      <c r="A26" s="50" t="s">
        <v>681</v>
      </c>
      <c r="B26" s="51">
        <v>1.68</v>
      </c>
      <c r="C26" s="51">
        <v>23.45</v>
      </c>
      <c r="D26" s="51">
        <v>24.94</v>
      </c>
      <c r="E26" s="51">
        <v>5.88</v>
      </c>
      <c r="F26" s="51">
        <v>2.4700000000000002</v>
      </c>
      <c r="G26" s="51">
        <v>53.08</v>
      </c>
      <c r="H26" s="51">
        <v>17.440000000000001</v>
      </c>
      <c r="I26" s="51">
        <v>5.01</v>
      </c>
      <c r="J26" s="51">
        <v>3.29</v>
      </c>
      <c r="K26" s="51">
        <v>99.15</v>
      </c>
      <c r="L26" s="8" t="s">
        <v>8</v>
      </c>
      <c r="M26" s="51">
        <v>57.20</v>
      </c>
      <c r="N26" s="51">
        <v>580.60</v>
      </c>
      <c r="O26" s="51">
        <v>0</v>
      </c>
      <c r="P26" s="51">
        <v>2.62</v>
      </c>
      <c r="Q26" s="51">
        <v>102.39</v>
      </c>
      <c r="R26" s="43"/>
      <c r="S26" s="43"/>
      <c r="T26" s="43"/>
      <c r="U26" s="43"/>
    </row>
    <row r="27" spans="1:21" s="11" customFormat="1" ht="15">
      <c r="A27" s="50" t="s">
        <v>682</v>
      </c>
      <c r="B27" s="51">
        <v>1.1399999999999999</v>
      </c>
      <c r="C27" s="51">
        <v>20.98</v>
      </c>
      <c r="D27" s="51">
        <v>21.89</v>
      </c>
      <c r="E27" s="51">
        <v>5.78</v>
      </c>
      <c r="F27" s="51">
        <v>2.4300000000000002</v>
      </c>
      <c r="G27" s="51">
        <v>52.42</v>
      </c>
      <c r="H27" s="51">
        <v>16.45</v>
      </c>
      <c r="I27" s="51">
        <v>5.07</v>
      </c>
      <c r="J27" s="51">
        <v>3.64</v>
      </c>
      <c r="K27" s="51">
        <v>332.56</v>
      </c>
      <c r="L27" s="51">
        <v>47</v>
      </c>
      <c r="M27" s="51">
        <v>76.010000000000005</v>
      </c>
      <c r="N27" s="51">
        <v>383.90</v>
      </c>
      <c r="O27" s="51">
        <v>0</v>
      </c>
      <c r="P27" s="51">
        <v>2.66</v>
      </c>
      <c r="Q27" s="51">
        <v>78.73</v>
      </c>
      <c r="R27" s="43"/>
      <c r="S27" s="43"/>
      <c r="T27" s="43"/>
      <c r="U27" s="43"/>
    </row>
    <row r="28" spans="1:21" s="11" customFormat="1" ht="15">
      <c r="A28" s="50" t="s">
        <v>683</v>
      </c>
      <c r="B28" s="51">
        <v>2.94</v>
      </c>
      <c r="C28" s="51">
        <v>20</v>
      </c>
      <c r="D28" s="51">
        <v>22.94</v>
      </c>
      <c r="E28" s="51">
        <v>6.33</v>
      </c>
      <c r="F28" s="51">
        <v>1.33</v>
      </c>
      <c r="G28" s="51">
        <v>58.58</v>
      </c>
      <c r="H28" s="51">
        <v>26.41</v>
      </c>
      <c r="I28" s="51">
        <v>5.45</v>
      </c>
      <c r="J28" s="51">
        <v>1.23</v>
      </c>
      <c r="K28" s="51">
        <v>289.89999999999998</v>
      </c>
      <c r="L28" s="51">
        <v>48.04</v>
      </c>
      <c r="M28" s="51">
        <v>70.63</v>
      </c>
      <c r="N28" s="51">
        <v>394.30</v>
      </c>
      <c r="O28" s="51">
        <v>0</v>
      </c>
      <c r="P28" s="51">
        <v>2.75</v>
      </c>
      <c r="Q28" s="51">
        <v>33.67</v>
      </c>
      <c r="R28" s="43"/>
      <c r="S28" s="43"/>
      <c r="T28" s="43"/>
      <c r="U28" s="43"/>
    </row>
    <row r="29" spans="1:21" s="11" customFormat="1" ht="15">
      <c r="A29" s="50" t="s">
        <v>684</v>
      </c>
      <c r="B29" s="51">
        <v>4.0999999999999996</v>
      </c>
      <c r="C29" s="51">
        <v>26.09</v>
      </c>
      <c r="D29" s="51">
        <v>29.45</v>
      </c>
      <c r="E29" s="51">
        <v>6.98</v>
      </c>
      <c r="F29" s="51">
        <v>0.88</v>
      </c>
      <c r="G29" s="51">
        <v>62.19</v>
      </c>
      <c r="H29" s="51">
        <v>24.06</v>
      </c>
      <c r="I29" s="51">
        <v>6.23</v>
      </c>
      <c r="J29" s="51">
        <v>2.79</v>
      </c>
      <c r="K29" s="51">
        <v>104.97</v>
      </c>
      <c r="L29" s="8" t="s">
        <v>8</v>
      </c>
      <c r="M29" s="51">
        <v>79.19</v>
      </c>
      <c r="N29" s="51">
        <v>378.5</v>
      </c>
      <c r="O29" s="51">
        <v>0</v>
      </c>
      <c r="P29" s="51">
        <v>2.94</v>
      </c>
      <c r="Q29" s="51">
        <v>25.39</v>
      </c>
      <c r="R29" s="43"/>
      <c r="S29" s="43"/>
      <c r="T29" s="43"/>
      <c r="U29" s="43"/>
    </row>
    <row r="30" spans="1:21" s="11" customFormat="1" ht="15">
      <c r="A30" s="50" t="s">
        <v>685</v>
      </c>
      <c r="B30" s="51">
        <v>2.68</v>
      </c>
      <c r="C30" s="51">
        <v>25.75</v>
      </c>
      <c r="D30" s="51">
        <v>28.35</v>
      </c>
      <c r="E30" s="51">
        <v>6.19</v>
      </c>
      <c r="F30" s="51">
        <v>1.38</v>
      </c>
      <c r="G30" s="51">
        <v>61.44</v>
      </c>
      <c r="H30" s="51">
        <v>19.05</v>
      </c>
      <c r="I30" s="51">
        <v>6.37</v>
      </c>
      <c r="J30" s="51">
        <v>1.90</v>
      </c>
      <c r="K30" s="51">
        <v>340.11</v>
      </c>
      <c r="L30" s="8" t="s">
        <v>8</v>
      </c>
      <c r="M30" s="51">
        <v>87.45</v>
      </c>
      <c r="N30" s="51">
        <v>378.5</v>
      </c>
      <c r="O30" s="51">
        <v>0</v>
      </c>
      <c r="P30" s="51">
        <v>2.89</v>
      </c>
      <c r="Q30" s="51">
        <v>24.14</v>
      </c>
      <c r="R30" s="43"/>
      <c r="S30" s="43"/>
      <c r="T30" s="43"/>
      <c r="U30" s="43"/>
    </row>
    <row r="31" spans="1:21" s="11" customFormat="1" ht="15">
      <c r="A31" s="50" t="s">
        <v>686</v>
      </c>
      <c r="B31" s="51">
        <v>1.57</v>
      </c>
      <c r="C31" s="51">
        <v>20.89</v>
      </c>
      <c r="D31" s="51">
        <v>22.46</v>
      </c>
      <c r="E31" s="51">
        <v>5.83</v>
      </c>
      <c r="F31" s="51">
        <v>1.25</v>
      </c>
      <c r="G31" s="51">
        <v>57.38</v>
      </c>
      <c r="H31" s="51">
        <v>18.13</v>
      </c>
      <c r="I31" s="51">
        <v>5.55</v>
      </c>
      <c r="J31" s="51">
        <v>1.79</v>
      </c>
      <c r="K31" s="51">
        <v>201.78</v>
      </c>
      <c r="L31" s="8" t="s">
        <v>8</v>
      </c>
      <c r="M31" s="51">
        <v>87.31</v>
      </c>
      <c r="N31" s="51">
        <v>392.10</v>
      </c>
      <c r="O31" s="51">
        <v>0</v>
      </c>
      <c r="P31" s="51">
        <v>2.81</v>
      </c>
      <c r="Q31" s="51">
        <v>20.079999999999998</v>
      </c>
      <c r="R31" s="43"/>
      <c r="S31" s="43"/>
      <c r="T31" s="43"/>
      <c r="U31" s="43"/>
    </row>
    <row r="32" spans="1:21" s="11" customFormat="1" ht="15">
      <c r="A32" s="50" t="s">
        <v>687</v>
      </c>
      <c r="B32" s="51">
        <v>1.56</v>
      </c>
      <c r="C32" s="51">
        <v>17.77</v>
      </c>
      <c r="D32" s="51">
        <v>19.13</v>
      </c>
      <c r="E32" s="51">
        <v>6.21</v>
      </c>
      <c r="F32" s="51">
        <v>0.95</v>
      </c>
      <c r="G32" s="51">
        <v>50.88</v>
      </c>
      <c r="H32" s="51">
        <v>15.59</v>
      </c>
      <c r="I32" s="51">
        <v>4.78</v>
      </c>
      <c r="J32" s="51">
        <v>1.83</v>
      </c>
      <c r="K32" s="51">
        <v>336</v>
      </c>
      <c r="L32" s="8" t="s">
        <v>8</v>
      </c>
      <c r="M32" s="51">
        <v>86.67</v>
      </c>
      <c r="N32" s="51">
        <v>400.70</v>
      </c>
      <c r="O32" s="51">
        <v>0</v>
      </c>
      <c r="P32" s="51">
        <v>2.71</v>
      </c>
      <c r="Q32" s="51">
        <v>14.69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0.68000000000000005</v>
      </c>
      <c r="C34" s="28">
        <f t="shared" si="0"/>
        <v>11.26</v>
      </c>
      <c r="D34" s="28">
        <f t="shared" si="0"/>
        <v>12.289999999999999</v>
      </c>
      <c r="E34" s="28">
        <f t="shared" si="0"/>
        <v>5</v>
      </c>
      <c r="F34" s="28">
        <f t="shared" si="0"/>
        <v>0.59999999999999998</v>
      </c>
      <c r="G34" s="28">
        <f t="shared" si="0"/>
        <v>35.270000000000003</v>
      </c>
      <c r="H34" s="28">
        <f t="shared" si="0"/>
        <v>11.32</v>
      </c>
      <c r="I34" s="28">
        <f t="shared" si="0"/>
        <v>3.7200000000000002</v>
      </c>
      <c r="J34" s="28">
        <f t="shared" si="0"/>
        <v>1.1799999999999999</v>
      </c>
      <c r="K34" s="28">
        <f t="shared" si="0"/>
        <v>97.780000000000001</v>
      </c>
      <c r="L34" s="28">
        <f t="shared" si="0"/>
        <v>44.780000000000001</v>
      </c>
      <c r="M34" s="28">
        <f t="shared" si="0"/>
        <v>54.100000000000001</v>
      </c>
      <c r="N34" s="28">
        <f t="shared" si="0"/>
        <v>378.5</v>
      </c>
      <c r="O34" s="28">
        <f t="shared" si="0"/>
        <v>0</v>
      </c>
      <c r="P34" s="28">
        <f t="shared" si="0"/>
        <v>2.1800000000000002</v>
      </c>
      <c r="Q34" s="28">
        <f t="shared" si="0"/>
        <v>8.3399999999999999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5.1399999999999997</v>
      </c>
      <c r="C35" s="29">
        <f t="shared" si="1"/>
        <v>26.09</v>
      </c>
      <c r="D35" s="29">
        <f t="shared" si="1"/>
        <v>29.449999999999999</v>
      </c>
      <c r="E35" s="29">
        <f t="shared" si="1"/>
        <v>7.6699999999999999</v>
      </c>
      <c r="F35" s="29">
        <f t="shared" si="1"/>
        <v>2.96</v>
      </c>
      <c r="G35" s="29">
        <f t="shared" si="1"/>
        <v>62.189999999999998</v>
      </c>
      <c r="H35" s="29">
        <f t="shared" si="1"/>
        <v>26.41</v>
      </c>
      <c r="I35" s="29">
        <f t="shared" si="1"/>
        <v>6.3700000000000001</v>
      </c>
      <c r="J35" s="29">
        <f t="shared" si="1"/>
        <v>4.04</v>
      </c>
      <c r="K35" s="29">
        <f t="shared" si="1"/>
        <v>358.89999999999998</v>
      </c>
      <c r="L35" s="29">
        <f t="shared" si="1"/>
        <v>48.670000000000002</v>
      </c>
      <c r="M35" s="29">
        <f t="shared" si="1"/>
        <v>92.700000000000003</v>
      </c>
      <c r="N35" s="29">
        <f t="shared" si="1"/>
        <v>1335.5999999999999</v>
      </c>
      <c r="O35" s="29">
        <f t="shared" si="1"/>
        <v>0</v>
      </c>
      <c r="P35" s="29">
        <f t="shared" si="1"/>
        <v>2.9399999999999999</v>
      </c>
      <c r="Q35" s="29">
        <f t="shared" si="1"/>
        <v>102.39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2.2887499999999998</v>
      </c>
      <c r="C36" s="28">
        <f t="shared" si="2"/>
        <v>17.750416666666666</v>
      </c>
      <c r="D36" s="28">
        <f t="shared" si="2"/>
        <v>19.897083333333331</v>
      </c>
      <c r="E36" s="28">
        <f t="shared" si="2"/>
        <v>6.2229166666666673</v>
      </c>
      <c r="F36" s="28">
        <f t="shared" si="2"/>
        <v>1.5408333333333335</v>
      </c>
      <c r="G36" s="28">
        <f t="shared" si="2"/>
        <v>49.142083333333346</v>
      </c>
      <c r="H36" s="28">
        <f t="shared" si="2"/>
        <v>17.925416666666667</v>
      </c>
      <c r="I36" s="28">
        <f t="shared" si="2"/>
        <v>4.746666666666667</v>
      </c>
      <c r="J36" s="28">
        <f t="shared" si="2"/>
        <v>2.7079166666666659</v>
      </c>
      <c r="K36" s="28">
        <f t="shared" si="2"/>
        <v>231.74166666666665</v>
      </c>
      <c r="L36" s="28">
        <f t="shared" si="2"/>
        <v>47.492222222222225</v>
      </c>
      <c r="M36" s="28">
        <f t="shared" si="2"/>
        <v>75.284166666666664</v>
      </c>
      <c r="N36" s="28">
        <f t="shared" si="2"/>
        <v>722.37916666666661</v>
      </c>
      <c r="O36" s="28">
        <f t="shared" si="2"/>
        <v>0</v>
      </c>
      <c r="P36" s="28">
        <f t="shared" si="2"/>
        <v>2.4537500000000003</v>
      </c>
      <c r="Q36" s="28">
        <f t="shared" si="2"/>
        <v>24.984583333333337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1.3015252340168475</v>
      </c>
      <c r="C37" s="28">
        <f t="shared" si="3" ref="C37:Q37">STDEV(C9:C32)</f>
        <v>4.5697763994072753</v>
      </c>
      <c r="D37" s="28">
        <f t="shared" si="3"/>
        <v>5.1861030684158047</v>
      </c>
      <c r="E37" s="28">
        <f t="shared" si="3"/>
        <v>0.64616244536268619</v>
      </c>
      <c r="F37" s="28">
        <f t="shared" si="3"/>
        <v>0.74499440713784304</v>
      </c>
      <c r="G37" s="28">
        <f t="shared" si="3"/>
        <v>8.8286824952224841</v>
      </c>
      <c r="H37" s="28">
        <f t="shared" si="3"/>
        <v>3.5328495447438879</v>
      </c>
      <c r="I37" s="28">
        <f t="shared" si="3"/>
        <v>0.68388065744191695</v>
      </c>
      <c r="J37" s="28">
        <f t="shared" si="3"/>
        <v>0.78359250260893365</v>
      </c>
      <c r="K37" s="28">
        <f t="shared" si="3"/>
        <v>91.383796616566471</v>
      </c>
      <c r="L37" s="28">
        <f t="shared" si="3"/>
        <v>1.2552467663549047</v>
      </c>
      <c r="M37" s="28">
        <f t="shared" si="3"/>
        <v>14.376194065089065</v>
      </c>
      <c r="N37" s="28">
        <f t="shared" si="3"/>
        <v>312.98694510789278</v>
      </c>
      <c r="O37" s="28">
        <f t="shared" si="3"/>
        <v>0</v>
      </c>
      <c r="P37" s="28">
        <f t="shared" si="3"/>
        <v>0.23544246043123368</v>
      </c>
      <c r="Q37" s="28">
        <f t="shared" si="3"/>
        <v>26.846556734793616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COUNT(L9:L32)+15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397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808fc4-c874-4878-8ac3-e67ca9c5bf31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60" t="s">
        <v>688</v>
      </c>
      <c r="B9" s="20">
        <v>1.84</v>
      </c>
      <c r="C9" s="20">
        <v>14.76</v>
      </c>
      <c r="D9" s="20">
        <v>16.5</v>
      </c>
      <c r="E9" s="20">
        <v>5.90</v>
      </c>
      <c r="F9" s="20">
        <v>0.95</v>
      </c>
      <c r="G9" s="20">
        <v>45.45</v>
      </c>
      <c r="H9" s="20">
        <v>13.87</v>
      </c>
      <c r="I9" s="20">
        <v>4.55</v>
      </c>
      <c r="J9" s="20">
        <v>1.59</v>
      </c>
      <c r="K9" s="20">
        <v>219.38</v>
      </c>
      <c r="L9" s="20">
        <v>55.72</v>
      </c>
      <c r="M9" s="20">
        <v>85.96</v>
      </c>
      <c r="N9" s="20">
        <v>402.60</v>
      </c>
      <c r="O9" s="20">
        <v>0</v>
      </c>
      <c r="P9" s="20">
        <v>2.59</v>
      </c>
      <c r="Q9" s="20">
        <v>10.74</v>
      </c>
      <c r="R9" s="43"/>
      <c r="S9" s="43"/>
      <c r="T9" s="43"/>
      <c r="U9" s="43"/>
    </row>
    <row r="10" spans="1:21" s="11" customFormat="1" ht="15">
      <c r="A10" s="60" t="s">
        <v>689</v>
      </c>
      <c r="B10" s="20">
        <v>1.22</v>
      </c>
      <c r="C10" s="20">
        <v>13.80</v>
      </c>
      <c r="D10" s="20">
        <v>15.01</v>
      </c>
      <c r="E10" s="20">
        <v>5.76</v>
      </c>
      <c r="F10" s="20">
        <v>0.86</v>
      </c>
      <c r="G10" s="20">
        <v>35.549999999999997</v>
      </c>
      <c r="H10" s="20">
        <v>12.69</v>
      </c>
      <c r="I10" s="20">
        <v>4.3899999999999997</v>
      </c>
      <c r="J10" s="20">
        <v>2.48</v>
      </c>
      <c r="K10" s="20">
        <v>219.66</v>
      </c>
      <c r="L10" s="20">
        <v>43.91</v>
      </c>
      <c r="M10" s="20">
        <v>88.13</v>
      </c>
      <c r="N10" s="20">
        <v>440.5</v>
      </c>
      <c r="O10" s="20">
        <v>0</v>
      </c>
      <c r="P10" s="20">
        <v>2.5299999999999998</v>
      </c>
      <c r="Q10" s="20">
        <v>12.52</v>
      </c>
      <c r="R10" s="43"/>
      <c r="S10" s="43"/>
      <c r="T10" s="43"/>
      <c r="U10" s="43"/>
    </row>
    <row r="11" spans="1:21" s="11" customFormat="1" ht="15">
      <c r="A11" s="60" t="s">
        <v>690</v>
      </c>
      <c r="B11" s="20">
        <v>1.03</v>
      </c>
      <c r="C11" s="20">
        <v>12.25</v>
      </c>
      <c r="D11" s="20">
        <v>13.16</v>
      </c>
      <c r="E11" s="20">
        <v>5.59</v>
      </c>
      <c r="F11" s="20">
        <v>0.91</v>
      </c>
      <c r="G11" s="20">
        <v>29.27</v>
      </c>
      <c r="H11" s="20">
        <v>11.72</v>
      </c>
      <c r="I11" s="20">
        <v>3.92</v>
      </c>
      <c r="J11" s="20">
        <v>2.99</v>
      </c>
      <c r="K11" s="20">
        <v>191.93</v>
      </c>
      <c r="L11" s="20">
        <v>44.19</v>
      </c>
      <c r="M11" s="20">
        <v>88.18</v>
      </c>
      <c r="N11" s="20">
        <v>406</v>
      </c>
      <c r="O11" s="20">
        <v>0</v>
      </c>
      <c r="P11" s="20">
        <v>2.52</v>
      </c>
      <c r="Q11" s="20">
        <v>12.64</v>
      </c>
      <c r="R11" s="43"/>
      <c r="S11" s="43"/>
      <c r="T11" s="43"/>
      <c r="U11" s="43"/>
    </row>
    <row r="12" spans="1:21" s="11" customFormat="1" ht="15">
      <c r="A12" s="60" t="s">
        <v>691</v>
      </c>
      <c r="B12" s="20">
        <v>1.59</v>
      </c>
      <c r="C12" s="20">
        <v>11.77</v>
      </c>
      <c r="D12" s="20">
        <v>13.15</v>
      </c>
      <c r="E12" s="20">
        <v>6.05</v>
      </c>
      <c r="F12" s="20">
        <v>1.43</v>
      </c>
      <c r="G12" s="20">
        <v>28.80</v>
      </c>
      <c r="H12" s="20">
        <v>9.08</v>
      </c>
      <c r="I12" s="20">
        <v>3.62</v>
      </c>
      <c r="J12" s="20">
        <v>4.28</v>
      </c>
      <c r="K12" s="20">
        <v>203.68</v>
      </c>
      <c r="L12" s="20">
        <v>46.09</v>
      </c>
      <c r="M12" s="20">
        <v>86.24</v>
      </c>
      <c r="N12" s="20">
        <v>151.10</v>
      </c>
      <c r="O12" s="20">
        <v>0</v>
      </c>
      <c r="P12" s="20">
        <v>2.5099999999999998</v>
      </c>
      <c r="Q12" s="20">
        <v>12.35</v>
      </c>
      <c r="R12" s="43"/>
      <c r="S12" s="43"/>
      <c r="T12" s="43"/>
      <c r="U12" s="43"/>
    </row>
    <row r="13" spans="1:21" s="11" customFormat="1" ht="15">
      <c r="A13" s="60" t="s">
        <v>692</v>
      </c>
      <c r="B13" s="20">
        <v>3.05</v>
      </c>
      <c r="C13" s="20">
        <v>12.44</v>
      </c>
      <c r="D13" s="20">
        <v>15.49</v>
      </c>
      <c r="E13" s="20">
        <v>6.40</v>
      </c>
      <c r="F13" s="20">
        <v>0.67</v>
      </c>
      <c r="G13" s="20">
        <v>25.46</v>
      </c>
      <c r="H13" s="20">
        <v>8.19</v>
      </c>
      <c r="I13" s="20">
        <v>3.59</v>
      </c>
      <c r="J13" s="20">
        <v>3.41</v>
      </c>
      <c r="K13" s="20">
        <v>193.07</v>
      </c>
      <c r="L13" s="20">
        <v>47.04</v>
      </c>
      <c r="M13" s="20">
        <v>85.94</v>
      </c>
      <c r="N13" s="20">
        <v>166.20</v>
      </c>
      <c r="O13" s="20">
        <v>0</v>
      </c>
      <c r="P13" s="20">
        <v>2.4500000000000002</v>
      </c>
      <c r="Q13" s="20">
        <v>9.9700000000000006</v>
      </c>
      <c r="R13" s="43"/>
      <c r="S13" s="43"/>
      <c r="T13" s="43"/>
      <c r="U13" s="43"/>
    </row>
    <row r="14" spans="1:21" s="11" customFormat="1" ht="15">
      <c r="A14" s="60" t="s">
        <v>693</v>
      </c>
      <c r="B14" s="20">
        <v>3.10</v>
      </c>
      <c r="C14" s="20">
        <v>13.91</v>
      </c>
      <c r="D14" s="20">
        <v>16.34</v>
      </c>
      <c r="E14" s="20">
        <v>6.56</v>
      </c>
      <c r="F14" s="20">
        <v>0.65</v>
      </c>
      <c r="G14" s="20">
        <v>20.71</v>
      </c>
      <c r="H14" s="20">
        <v>7.35</v>
      </c>
      <c r="I14" s="20">
        <v>3.68</v>
      </c>
      <c r="J14" s="20">
        <v>3.92</v>
      </c>
      <c r="K14" s="20">
        <v>185.08</v>
      </c>
      <c r="L14" s="20">
        <v>47.83</v>
      </c>
      <c r="M14" s="20">
        <v>85.75</v>
      </c>
      <c r="N14" s="20">
        <v>224.60</v>
      </c>
      <c r="O14" s="20">
        <v>0</v>
      </c>
      <c r="P14" s="20">
        <v>2.4500000000000002</v>
      </c>
      <c r="Q14" s="20">
        <v>11.38</v>
      </c>
      <c r="R14" s="43"/>
      <c r="S14" s="43"/>
      <c r="T14" s="43"/>
      <c r="U14" s="43"/>
    </row>
    <row r="15" spans="1:21" s="11" customFormat="1" ht="15">
      <c r="A15" s="60" t="s">
        <v>694</v>
      </c>
      <c r="B15" s="20">
        <v>2.0099999999999998</v>
      </c>
      <c r="C15" s="20">
        <v>14.06</v>
      </c>
      <c r="D15" s="20">
        <v>16.079999999999998</v>
      </c>
      <c r="E15" s="20">
        <v>6.38</v>
      </c>
      <c r="F15" s="20">
        <v>0.83</v>
      </c>
      <c r="G15" s="20">
        <v>24.88</v>
      </c>
      <c r="H15" s="20">
        <v>8.4700000000000006</v>
      </c>
      <c r="I15" s="20">
        <v>3.54</v>
      </c>
      <c r="J15" s="20">
        <v>4.1100000000000003</v>
      </c>
      <c r="K15" s="20">
        <v>194.85</v>
      </c>
      <c r="L15" s="20">
        <v>52.97</v>
      </c>
      <c r="M15" s="20">
        <v>83.87</v>
      </c>
      <c r="N15" s="20">
        <v>544.70000000000005</v>
      </c>
      <c r="O15" s="20">
        <v>0</v>
      </c>
      <c r="P15" s="20">
        <v>2.4900000000000002</v>
      </c>
      <c r="Q15" s="20">
        <v>11.69</v>
      </c>
      <c r="R15" s="43"/>
      <c r="S15" s="43"/>
      <c r="T15" s="43"/>
      <c r="U15" s="43"/>
    </row>
    <row r="16" spans="1:21" s="11" customFormat="1" ht="15">
      <c r="A16" s="60" t="s">
        <v>695</v>
      </c>
      <c r="B16" s="20">
        <v>1.92</v>
      </c>
      <c r="C16" s="20">
        <v>14.40</v>
      </c>
      <c r="D16" s="20">
        <v>16.32</v>
      </c>
      <c r="E16" s="20">
        <v>5.81</v>
      </c>
      <c r="F16" s="20">
        <v>14.18</v>
      </c>
      <c r="G16" s="20">
        <v>25.05</v>
      </c>
      <c r="H16" s="20">
        <v>10.87</v>
      </c>
      <c r="I16" s="20">
        <v>3.48</v>
      </c>
      <c r="J16" s="20">
        <v>4.71</v>
      </c>
      <c r="K16" s="20">
        <v>195.87</v>
      </c>
      <c r="L16" s="20">
        <v>55.80</v>
      </c>
      <c r="M16" s="20">
        <v>83.40</v>
      </c>
      <c r="N16" s="20">
        <v>1003.20</v>
      </c>
      <c r="O16" s="20">
        <v>0</v>
      </c>
      <c r="P16" s="20">
        <v>2.5099999999999998</v>
      </c>
      <c r="Q16" s="20">
        <v>11.93</v>
      </c>
      <c r="R16" s="43"/>
      <c r="S16" s="43"/>
      <c r="T16" s="43"/>
      <c r="U16" s="43"/>
    </row>
    <row r="17" spans="1:21" s="11" customFormat="1" ht="15">
      <c r="A17" s="60" t="s">
        <v>696</v>
      </c>
      <c r="B17" s="20">
        <v>1.20</v>
      </c>
      <c r="C17" s="20">
        <v>16.27</v>
      </c>
      <c r="D17" s="20">
        <v>17</v>
      </c>
      <c r="E17" s="20">
        <v>1.90</v>
      </c>
      <c r="F17" s="20">
        <v>14.69</v>
      </c>
      <c r="G17" s="20">
        <v>23.86</v>
      </c>
      <c r="H17" s="20">
        <v>9.94</v>
      </c>
      <c r="I17" s="20">
        <v>3.28</v>
      </c>
      <c r="J17" s="20">
        <v>3.49</v>
      </c>
      <c r="K17" s="20">
        <v>344.21</v>
      </c>
      <c r="L17" s="20">
        <v>56.45</v>
      </c>
      <c r="M17" s="20">
        <v>75.38</v>
      </c>
      <c r="N17" s="20">
        <v>1048</v>
      </c>
      <c r="O17" s="20">
        <v>0</v>
      </c>
      <c r="P17" s="20">
        <v>2.1800000000000002</v>
      </c>
      <c r="Q17" s="20">
        <v>9</v>
      </c>
      <c r="R17" s="43"/>
      <c r="S17" s="43"/>
      <c r="T17" s="43"/>
      <c r="U17" s="43"/>
    </row>
    <row r="18" spans="1:21" s="11" customFormat="1" ht="15">
      <c r="A18" s="60" t="s">
        <v>697</v>
      </c>
      <c r="B18" s="20">
        <v>1.93</v>
      </c>
      <c r="C18" s="20">
        <v>20.59</v>
      </c>
      <c r="D18" s="20">
        <v>22.39</v>
      </c>
      <c r="E18" s="20">
        <v>2.5299999999999998</v>
      </c>
      <c r="F18" s="20">
        <v>3.17</v>
      </c>
      <c r="G18" s="20">
        <v>35.01</v>
      </c>
      <c r="H18" s="20">
        <v>10.220000000000001</v>
      </c>
      <c r="I18" s="20">
        <v>2.65</v>
      </c>
      <c r="J18" s="20">
        <v>3.57</v>
      </c>
      <c r="K18" s="20">
        <v>359.34</v>
      </c>
      <c r="L18" s="20">
        <v>49.78</v>
      </c>
      <c r="M18" s="20">
        <v>68.53</v>
      </c>
      <c r="N18" s="20">
        <v>971.5</v>
      </c>
      <c r="O18" s="20">
        <v>0</v>
      </c>
      <c r="P18" s="20">
        <v>2.39</v>
      </c>
      <c r="Q18" s="20">
        <v>15.84</v>
      </c>
      <c r="R18" s="43"/>
      <c r="S18" s="43"/>
      <c r="T18" s="43"/>
      <c r="U18" s="43"/>
    </row>
    <row r="19" spans="1:21" s="11" customFormat="1" ht="15">
      <c r="A19" s="60" t="s">
        <v>698</v>
      </c>
      <c r="B19" s="20">
        <v>2.94</v>
      </c>
      <c r="C19" s="20">
        <v>28.46</v>
      </c>
      <c r="D19" s="20">
        <v>30.70</v>
      </c>
      <c r="E19" s="20">
        <v>2.77</v>
      </c>
      <c r="F19" s="20">
        <v>4.70</v>
      </c>
      <c r="G19" s="20">
        <v>41.66</v>
      </c>
      <c r="H19" s="20">
        <v>15.40</v>
      </c>
      <c r="I19" s="20">
        <v>4.78</v>
      </c>
      <c r="J19" s="20">
        <v>3.85</v>
      </c>
      <c r="K19" s="20">
        <v>340.59</v>
      </c>
      <c r="L19" s="20">
        <v>26.58</v>
      </c>
      <c r="M19" s="20">
        <v>65.55</v>
      </c>
      <c r="N19" s="20">
        <v>1313.70</v>
      </c>
      <c r="O19" s="20">
        <v>0</v>
      </c>
      <c r="P19" s="20">
        <v>2.93</v>
      </c>
      <c r="Q19" s="20">
        <v>18.88</v>
      </c>
      <c r="R19" s="43"/>
      <c r="S19" s="43"/>
      <c r="T19" s="43"/>
      <c r="U19" s="43"/>
    </row>
    <row r="20" spans="1:21" s="11" customFormat="1" ht="15">
      <c r="A20" s="60" t="s">
        <v>699</v>
      </c>
      <c r="B20" s="20">
        <v>1.46</v>
      </c>
      <c r="C20" s="20">
        <v>28.20</v>
      </c>
      <c r="D20" s="20">
        <v>29.62</v>
      </c>
      <c r="E20" s="20">
        <v>2.81</v>
      </c>
      <c r="F20" s="20">
        <v>5.71</v>
      </c>
      <c r="G20" s="20">
        <v>40.33</v>
      </c>
      <c r="H20" s="20">
        <v>20</v>
      </c>
      <c r="I20" s="20">
        <v>7.22</v>
      </c>
      <c r="J20" s="20">
        <v>3.31</v>
      </c>
      <c r="K20" s="20">
        <v>318.52</v>
      </c>
      <c r="L20" s="20">
        <v>39.869999999999997</v>
      </c>
      <c r="M20" s="20">
        <v>59.64</v>
      </c>
      <c r="N20" s="20">
        <v>1417</v>
      </c>
      <c r="O20" s="20">
        <v>0</v>
      </c>
      <c r="P20" s="20">
        <v>3</v>
      </c>
      <c r="Q20" s="20">
        <v>17.100000000000001</v>
      </c>
      <c r="R20" s="43"/>
      <c r="S20" s="43"/>
      <c r="T20" s="43"/>
      <c r="U20" s="43"/>
    </row>
    <row r="21" spans="1:21" s="11" customFormat="1" ht="15">
      <c r="A21" s="60" t="s">
        <v>700</v>
      </c>
      <c r="B21" s="20">
        <v>1.24</v>
      </c>
      <c r="C21" s="20">
        <v>24.74</v>
      </c>
      <c r="D21" s="20">
        <v>25.60</v>
      </c>
      <c r="E21" s="20">
        <v>3.68</v>
      </c>
      <c r="F21" s="20">
        <v>3.04</v>
      </c>
      <c r="G21" s="20">
        <v>52.94</v>
      </c>
      <c r="H21" s="20">
        <v>21.65</v>
      </c>
      <c r="I21" s="20">
        <v>7.47</v>
      </c>
      <c r="J21" s="20">
        <v>3.13</v>
      </c>
      <c r="K21" s="20">
        <v>316.24</v>
      </c>
      <c r="L21" s="20">
        <v>29.56</v>
      </c>
      <c r="M21" s="20">
        <v>56.44</v>
      </c>
      <c r="N21" s="20">
        <v>1329.90</v>
      </c>
      <c r="O21" s="20">
        <v>0</v>
      </c>
      <c r="P21" s="20">
        <v>2.99</v>
      </c>
      <c r="Q21" s="20">
        <v>15.45</v>
      </c>
      <c r="R21" s="43"/>
      <c r="S21" s="43"/>
      <c r="T21" s="43"/>
      <c r="U21" s="43"/>
    </row>
    <row r="22" spans="1:21" s="11" customFormat="1" ht="15">
      <c r="A22" s="60" t="s">
        <v>701</v>
      </c>
      <c r="B22" s="20">
        <v>1.88</v>
      </c>
      <c r="C22" s="20">
        <v>20.02</v>
      </c>
      <c r="D22" s="20">
        <v>21.35</v>
      </c>
      <c r="E22" s="20">
        <v>4.4400000000000004</v>
      </c>
      <c r="F22" s="20">
        <v>2.54</v>
      </c>
      <c r="G22" s="20">
        <v>58.84</v>
      </c>
      <c r="H22" s="20">
        <v>23.68</v>
      </c>
      <c r="I22" s="20">
        <v>7.72</v>
      </c>
      <c r="J22" s="20">
        <v>3.77</v>
      </c>
      <c r="K22" s="20">
        <v>320.95999999999998</v>
      </c>
      <c r="L22" s="20">
        <v>30.87</v>
      </c>
      <c r="M22" s="20">
        <v>49.19</v>
      </c>
      <c r="N22" s="20">
        <v>1386.60</v>
      </c>
      <c r="O22" s="20">
        <v>0</v>
      </c>
      <c r="P22" s="20">
        <v>2.87</v>
      </c>
      <c r="Q22" s="20">
        <v>10.62</v>
      </c>
      <c r="R22" s="43"/>
      <c r="S22" s="43"/>
      <c r="T22" s="43"/>
      <c r="U22" s="43"/>
    </row>
    <row r="23" spans="1:21" s="11" customFormat="1" ht="15">
      <c r="A23" s="60" t="s">
        <v>702</v>
      </c>
      <c r="B23" s="20">
        <v>1.31</v>
      </c>
      <c r="C23" s="20">
        <v>21.24</v>
      </c>
      <c r="D23" s="20">
        <v>22.55</v>
      </c>
      <c r="E23" s="20">
        <v>4.45</v>
      </c>
      <c r="F23" s="20">
        <v>3.18</v>
      </c>
      <c r="G23" s="20">
        <v>60.62</v>
      </c>
      <c r="H23" s="20">
        <v>26.95</v>
      </c>
      <c r="I23" s="20">
        <v>7.70</v>
      </c>
      <c r="J23" s="20">
        <v>3.42</v>
      </c>
      <c r="K23" s="20">
        <v>327.13</v>
      </c>
      <c r="L23" s="20">
        <v>30.23</v>
      </c>
      <c r="M23" s="20">
        <v>51.46</v>
      </c>
      <c r="N23" s="20">
        <v>1342.60</v>
      </c>
      <c r="O23" s="20">
        <v>0</v>
      </c>
      <c r="P23" s="20">
        <v>2.82</v>
      </c>
      <c r="Q23" s="20">
        <v>14.09</v>
      </c>
      <c r="R23" s="43"/>
      <c r="S23" s="43"/>
      <c r="T23" s="43"/>
      <c r="U23" s="43"/>
    </row>
    <row r="24" spans="1:21" s="11" customFormat="1" ht="15">
      <c r="A24" s="60" t="s">
        <v>703</v>
      </c>
      <c r="B24" s="20">
        <v>0.71</v>
      </c>
      <c r="C24" s="20">
        <v>18.600000000000001</v>
      </c>
      <c r="D24" s="20">
        <v>19.190000000000001</v>
      </c>
      <c r="E24" s="20">
        <v>4.5199999999999996</v>
      </c>
      <c r="F24" s="20">
        <v>3.12</v>
      </c>
      <c r="G24" s="20">
        <v>58.90</v>
      </c>
      <c r="H24" s="20">
        <v>26.45</v>
      </c>
      <c r="I24" s="20">
        <v>6.74</v>
      </c>
      <c r="J24" s="20">
        <v>3.93</v>
      </c>
      <c r="K24" s="20">
        <v>231.51</v>
      </c>
      <c r="L24" s="20">
        <v>37.090000000000003</v>
      </c>
      <c r="M24" s="20">
        <v>59.43</v>
      </c>
      <c r="N24" s="20">
        <v>508.80</v>
      </c>
      <c r="O24" s="20">
        <v>0</v>
      </c>
      <c r="P24" s="20">
        <v>2.80</v>
      </c>
      <c r="Q24" s="20">
        <v>14.83</v>
      </c>
      <c r="R24" s="43"/>
      <c r="S24" s="43"/>
      <c r="T24" s="43"/>
      <c r="U24" s="43"/>
    </row>
    <row r="25" spans="1:21" s="11" customFormat="1" ht="15">
      <c r="A25" s="60" t="s">
        <v>704</v>
      </c>
      <c r="B25" s="20">
        <v>0.63</v>
      </c>
      <c r="C25" s="20">
        <v>18.22</v>
      </c>
      <c r="D25" s="20">
        <v>18.61</v>
      </c>
      <c r="E25" s="20">
        <v>4.95</v>
      </c>
      <c r="F25" s="20">
        <v>3.77</v>
      </c>
      <c r="G25" s="20">
        <v>53.31</v>
      </c>
      <c r="H25" s="20">
        <v>23.11</v>
      </c>
      <c r="I25" s="20">
        <v>5.54</v>
      </c>
      <c r="J25" s="20">
        <v>2.75</v>
      </c>
      <c r="K25" s="20">
        <v>305.86</v>
      </c>
      <c r="L25" s="20">
        <v>43.40</v>
      </c>
      <c r="M25" s="20">
        <v>60.54</v>
      </c>
      <c r="N25" s="20">
        <v>691.60</v>
      </c>
      <c r="O25" s="20">
        <v>0</v>
      </c>
      <c r="P25" s="20">
        <v>2.71</v>
      </c>
      <c r="Q25" s="20">
        <v>14.38</v>
      </c>
      <c r="R25" s="43"/>
      <c r="S25" s="43"/>
      <c r="T25" s="43"/>
      <c r="U25" s="43"/>
    </row>
    <row r="26" spans="1:21" s="11" customFormat="1" ht="15">
      <c r="A26" s="60" t="s">
        <v>705</v>
      </c>
      <c r="B26" s="20">
        <v>0.95</v>
      </c>
      <c r="C26" s="20">
        <v>16.71</v>
      </c>
      <c r="D26" s="20">
        <v>17.57</v>
      </c>
      <c r="E26" s="20">
        <v>6.23</v>
      </c>
      <c r="F26" s="20">
        <v>1.64</v>
      </c>
      <c r="G26" s="20">
        <v>51.46</v>
      </c>
      <c r="H26" s="20">
        <v>16.46</v>
      </c>
      <c r="I26" s="20">
        <v>5.16</v>
      </c>
      <c r="J26" s="20">
        <v>2.97</v>
      </c>
      <c r="K26" s="20">
        <v>216.68</v>
      </c>
      <c r="L26" s="20">
        <v>39.82</v>
      </c>
      <c r="M26" s="20">
        <v>57.03</v>
      </c>
      <c r="N26" s="20">
        <v>381.90</v>
      </c>
      <c r="O26" s="20">
        <v>0</v>
      </c>
      <c r="P26" s="20">
        <v>2.64</v>
      </c>
      <c r="Q26" s="20">
        <v>11.44</v>
      </c>
      <c r="R26" s="43"/>
      <c r="S26" s="43"/>
      <c r="T26" s="43"/>
      <c r="U26" s="43"/>
    </row>
    <row r="27" spans="1:21" s="11" customFormat="1" ht="15">
      <c r="A27" s="60" t="s">
        <v>706</v>
      </c>
      <c r="B27" s="20">
        <v>1.90</v>
      </c>
      <c r="C27" s="20">
        <v>18.21</v>
      </c>
      <c r="D27" s="20">
        <v>20.11</v>
      </c>
      <c r="E27" s="20">
        <v>6.71</v>
      </c>
      <c r="F27" s="20">
        <v>1.98</v>
      </c>
      <c r="G27" s="20">
        <v>48.55</v>
      </c>
      <c r="H27" s="20">
        <v>12</v>
      </c>
      <c r="I27" s="20">
        <v>5.30</v>
      </c>
      <c r="J27" s="20">
        <v>2.93</v>
      </c>
      <c r="K27" s="20">
        <v>341.28</v>
      </c>
      <c r="L27" s="20">
        <v>31.94</v>
      </c>
      <c r="M27" s="20">
        <v>65.36</v>
      </c>
      <c r="N27" s="20">
        <v>288.30</v>
      </c>
      <c r="O27" s="20">
        <v>0</v>
      </c>
      <c r="P27" s="20">
        <v>2.70</v>
      </c>
      <c r="Q27" s="20">
        <v>13.10</v>
      </c>
      <c r="R27" s="43"/>
      <c r="S27" s="43"/>
      <c r="T27" s="43"/>
      <c r="U27" s="43"/>
    </row>
    <row r="28" spans="1:21" s="11" customFormat="1" ht="15">
      <c r="A28" s="60" t="s">
        <v>707</v>
      </c>
      <c r="B28" s="20">
        <v>5.45</v>
      </c>
      <c r="C28" s="20">
        <v>24.96</v>
      </c>
      <c r="D28" s="20">
        <v>30.42</v>
      </c>
      <c r="E28" s="20">
        <v>6.44</v>
      </c>
      <c r="F28" s="20">
        <v>1.21</v>
      </c>
      <c r="G28" s="20">
        <v>46.27</v>
      </c>
      <c r="H28" s="20">
        <v>15.82</v>
      </c>
      <c r="I28" s="20">
        <v>5.98</v>
      </c>
      <c r="J28" s="20">
        <v>2.42</v>
      </c>
      <c r="K28" s="20">
        <v>359.63</v>
      </c>
      <c r="L28" s="20">
        <v>34.880000000000003</v>
      </c>
      <c r="M28" s="20">
        <v>66.5</v>
      </c>
      <c r="N28" s="20">
        <v>227.60</v>
      </c>
      <c r="O28" s="20">
        <v>0</v>
      </c>
      <c r="P28" s="20">
        <v>3.12</v>
      </c>
      <c r="Q28" s="20">
        <v>16.77</v>
      </c>
      <c r="R28" s="43"/>
      <c r="S28" s="43"/>
      <c r="T28" s="43"/>
      <c r="U28" s="43"/>
    </row>
    <row r="29" spans="1:21" s="11" customFormat="1" ht="15">
      <c r="A29" s="60" t="s">
        <v>708</v>
      </c>
      <c r="B29" s="20">
        <v>10.88</v>
      </c>
      <c r="C29" s="20">
        <v>29.54</v>
      </c>
      <c r="D29" s="20">
        <v>40.42</v>
      </c>
      <c r="E29" s="20">
        <v>5.14</v>
      </c>
      <c r="F29" s="20">
        <v>1.30</v>
      </c>
      <c r="G29" s="20">
        <v>63.88</v>
      </c>
      <c r="H29" s="20">
        <v>16.940000000000001</v>
      </c>
      <c r="I29" s="20">
        <v>6.86</v>
      </c>
      <c r="J29" s="20">
        <v>4.0199999999999996</v>
      </c>
      <c r="K29" s="20">
        <v>354.68</v>
      </c>
      <c r="L29" s="20">
        <v>25.13</v>
      </c>
      <c r="M29" s="20">
        <v>70.98</v>
      </c>
      <c r="N29" s="20">
        <v>252.40</v>
      </c>
      <c r="O29" s="20">
        <v>0</v>
      </c>
      <c r="P29" s="20">
        <v>3.19</v>
      </c>
      <c r="Q29" s="20">
        <v>18.55</v>
      </c>
      <c r="R29" s="43"/>
      <c r="S29" s="43"/>
      <c r="T29" s="43"/>
      <c r="U29" s="43"/>
    </row>
    <row r="30" spans="1:21" s="11" customFormat="1" ht="15">
      <c r="A30" s="60" t="s">
        <v>709</v>
      </c>
      <c r="B30" s="20">
        <v>10.78</v>
      </c>
      <c r="C30" s="20">
        <v>29.80</v>
      </c>
      <c r="D30" s="20">
        <v>40.590000000000003</v>
      </c>
      <c r="E30" s="20">
        <v>5.61</v>
      </c>
      <c r="F30" s="20">
        <v>0.53</v>
      </c>
      <c r="G30" s="20">
        <v>61.56</v>
      </c>
      <c r="H30" s="20">
        <v>16.34</v>
      </c>
      <c r="I30" s="20">
        <v>6.53</v>
      </c>
      <c r="J30" s="20">
        <v>5.95</v>
      </c>
      <c r="K30" s="20">
        <v>332.53</v>
      </c>
      <c r="L30" s="20">
        <v>23.40</v>
      </c>
      <c r="M30" s="20">
        <v>75.63</v>
      </c>
      <c r="N30" s="20">
        <v>265.5</v>
      </c>
      <c r="O30" s="20">
        <v>0</v>
      </c>
      <c r="P30" s="20">
        <v>3.13</v>
      </c>
      <c r="Q30" s="20">
        <v>17.399999999999999</v>
      </c>
      <c r="R30" s="43"/>
      <c r="S30" s="43"/>
      <c r="T30" s="43"/>
      <c r="U30" s="43"/>
    </row>
    <row r="31" spans="1:21" s="11" customFormat="1" ht="15">
      <c r="A31" s="60" t="s">
        <v>710</v>
      </c>
      <c r="B31" s="20">
        <v>8.81</v>
      </c>
      <c r="C31" s="20">
        <v>23.35</v>
      </c>
      <c r="D31" s="20">
        <v>32.159999999999997</v>
      </c>
      <c r="E31" s="20">
        <v>7.06</v>
      </c>
      <c r="F31" s="20">
        <v>0.66</v>
      </c>
      <c r="G31" s="20">
        <v>56.46</v>
      </c>
      <c r="H31" s="20">
        <v>16.41</v>
      </c>
      <c r="I31" s="20">
        <v>6.51</v>
      </c>
      <c r="J31" s="20">
        <v>5.48</v>
      </c>
      <c r="K31" s="20">
        <v>355.37</v>
      </c>
      <c r="L31" s="20">
        <v>23.97</v>
      </c>
      <c r="M31" s="20">
        <v>83.17</v>
      </c>
      <c r="N31" s="20">
        <v>256</v>
      </c>
      <c r="O31" s="20">
        <v>0</v>
      </c>
      <c r="P31" s="20">
        <v>2.98</v>
      </c>
      <c r="Q31" s="20">
        <v>13.48</v>
      </c>
      <c r="R31" s="43"/>
      <c r="S31" s="43"/>
      <c r="T31" s="43"/>
      <c r="U31" s="43"/>
    </row>
    <row r="32" spans="1:21" s="11" customFormat="1" ht="15">
      <c r="A32" s="61" t="s">
        <v>711</v>
      </c>
      <c r="B32" s="62">
        <v>6.12</v>
      </c>
      <c r="C32" s="62">
        <v>18.989999999999998</v>
      </c>
      <c r="D32" s="62">
        <v>25.11</v>
      </c>
      <c r="E32" s="62">
        <v>6.49</v>
      </c>
      <c r="F32" s="62">
        <v>1.32</v>
      </c>
      <c r="G32" s="62">
        <v>53.40</v>
      </c>
      <c r="H32" s="62">
        <v>15.13</v>
      </c>
      <c r="I32" s="62">
        <v>6.37</v>
      </c>
      <c r="J32" s="62">
        <v>6</v>
      </c>
      <c r="K32" s="62">
        <v>180.48</v>
      </c>
      <c r="L32" s="62">
        <v>28.12</v>
      </c>
      <c r="M32" s="62">
        <v>84.05</v>
      </c>
      <c r="N32" s="62">
        <v>252.30</v>
      </c>
      <c r="O32" s="62">
        <v>0</v>
      </c>
      <c r="P32" s="62">
        <v>2.88</v>
      </c>
      <c r="Q32" s="62">
        <v>13.44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0.63</v>
      </c>
      <c r="C34" s="28">
        <f t="shared" si="0"/>
        <v>11.77</v>
      </c>
      <c r="D34" s="28">
        <f t="shared" si="0"/>
        <v>13.15</v>
      </c>
      <c r="E34" s="28">
        <f t="shared" si="0"/>
        <v>1.8999999999999999</v>
      </c>
      <c r="F34" s="28">
        <f t="shared" si="0"/>
        <v>0.53000000000000003</v>
      </c>
      <c r="G34" s="28">
        <f t="shared" si="0"/>
        <v>20.710000000000001</v>
      </c>
      <c r="H34" s="28">
        <f t="shared" si="0"/>
        <v>7.3499999999999996</v>
      </c>
      <c r="I34" s="28">
        <f t="shared" si="0"/>
        <v>2.6499999999999999</v>
      </c>
      <c r="J34" s="28">
        <f t="shared" si="0"/>
        <v>1.5900000000000001</v>
      </c>
      <c r="K34" s="28">
        <f t="shared" si="0"/>
        <v>180.47999999999999</v>
      </c>
      <c r="L34" s="28">
        <f t="shared" si="0"/>
        <v>23.399999999999999</v>
      </c>
      <c r="M34" s="28">
        <f t="shared" si="0"/>
        <v>49.189999999999998</v>
      </c>
      <c r="N34" s="28">
        <f t="shared" si="0"/>
        <v>151.09999999999999</v>
      </c>
      <c r="O34" s="28">
        <f t="shared" si="0"/>
        <v>0</v>
      </c>
      <c r="P34" s="28">
        <f t="shared" si="0"/>
        <v>2.1800000000000002</v>
      </c>
      <c r="Q34" s="28">
        <f t="shared" si="0"/>
        <v>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10.880000000000001</v>
      </c>
      <c r="C35" s="29">
        <f t="shared" si="1"/>
        <v>29.800000000000001</v>
      </c>
      <c r="D35" s="29">
        <f t="shared" si="1"/>
        <v>40.590000000000003</v>
      </c>
      <c r="E35" s="29">
        <f t="shared" si="1"/>
        <v>7.0599999999999996</v>
      </c>
      <c r="F35" s="29">
        <f t="shared" si="1"/>
        <v>14.69</v>
      </c>
      <c r="G35" s="29">
        <f t="shared" si="1"/>
        <v>63.880000000000003</v>
      </c>
      <c r="H35" s="29">
        <f t="shared" si="1"/>
        <v>26.949999999999999</v>
      </c>
      <c r="I35" s="29">
        <f t="shared" si="1"/>
        <v>7.7199999999999998</v>
      </c>
      <c r="J35" s="29">
        <f t="shared" si="1"/>
        <v>6</v>
      </c>
      <c r="K35" s="29">
        <f t="shared" si="1"/>
        <v>359.63</v>
      </c>
      <c r="L35" s="29">
        <f t="shared" si="1"/>
        <v>56.450000000000003</v>
      </c>
      <c r="M35" s="29">
        <f t="shared" si="1"/>
        <v>88.180000000000007</v>
      </c>
      <c r="N35" s="29">
        <f t="shared" si="1"/>
        <v>1417</v>
      </c>
      <c r="O35" s="29">
        <f t="shared" si="1"/>
        <v>0</v>
      </c>
      <c r="P35" s="29">
        <f t="shared" si="1"/>
        <v>3.1899999999999999</v>
      </c>
      <c r="Q35" s="29">
        <f t="shared" si="1"/>
        <v>18.879999999999999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3.0812500000000003</v>
      </c>
      <c r="C36" s="28">
        <f t="shared" si="2"/>
        <v>19.387083333333333</v>
      </c>
      <c r="D36" s="28">
        <f t="shared" si="2"/>
        <v>22.310000000000002</v>
      </c>
      <c r="E36" s="28">
        <f t="shared" si="2"/>
        <v>5.1741666666666672</v>
      </c>
      <c r="F36" s="28">
        <f t="shared" si="2"/>
        <v>3.043333333333333</v>
      </c>
      <c r="G36" s="28">
        <f t="shared" si="2"/>
        <v>43.425833333333344</v>
      </c>
      <c r="H36" s="28">
        <f t="shared" si="2"/>
        <v>15.364166666666664</v>
      </c>
      <c r="I36" s="28">
        <f t="shared" si="2"/>
        <v>5.2741666666666669</v>
      </c>
      <c r="J36" s="28">
        <f t="shared" si="2"/>
        <v>3.6866666666666674</v>
      </c>
      <c r="K36" s="28">
        <f t="shared" si="2"/>
        <v>275.35541666666666</v>
      </c>
      <c r="L36" s="28">
        <f t="shared" si="2"/>
        <v>39.360000000000007</v>
      </c>
      <c r="M36" s="28">
        <f t="shared" si="2"/>
        <v>72.347916666666677</v>
      </c>
      <c r="N36" s="28">
        <f t="shared" si="2"/>
        <v>636.35833333333323</v>
      </c>
      <c r="O36" s="28">
        <f t="shared" si="2"/>
        <v>0</v>
      </c>
      <c r="P36" s="28">
        <f t="shared" si="2"/>
        <v>2.7241666666666666</v>
      </c>
      <c r="Q36" s="28">
        <f t="shared" si="2"/>
        <v>13.649583333333332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3.0555798033732664</v>
      </c>
      <c r="C37" s="28">
        <f t="shared" si="3" ref="C37:Q37">STDEV(C9:C32)</f>
        <v>5.7698349604658983</v>
      </c>
      <c r="D37" s="28">
        <f t="shared" si="3"/>
        <v>7.9641905071879417</v>
      </c>
      <c r="E37" s="28">
        <f t="shared" si="3"/>
        <v>1.4817965496291141</v>
      </c>
      <c r="F37" s="28">
        <f t="shared" si="3"/>
        <v>3.7727727857311568</v>
      </c>
      <c r="G37" s="28">
        <f t="shared" si="3"/>
        <v>14.055122821812379</v>
      </c>
      <c r="H37" s="28">
        <f t="shared" si="3"/>
        <v>5.7711937704630891</v>
      </c>
      <c r="I37" s="28">
        <f t="shared" si="3"/>
        <v>1.5963761043897737</v>
      </c>
      <c r="J37" s="28">
        <f t="shared" si="3"/>
        <v>1.0649379106892483</v>
      </c>
      <c r="K37" s="28">
        <f t="shared" si="3"/>
        <v>70.125982468769422</v>
      </c>
      <c r="L37" s="28">
        <f t="shared" si="3"/>
        <v>10.786726948470937</v>
      </c>
      <c r="M37" s="28">
        <f t="shared" si="3"/>
        <v>12.929694162012778</v>
      </c>
      <c r="N37" s="28">
        <f t="shared" si="3"/>
        <v>454.78837402128869</v>
      </c>
      <c r="O37" s="28">
        <f t="shared" si="3"/>
        <v>0</v>
      </c>
      <c r="P37" s="28">
        <f t="shared" si="3"/>
        <v>0.26892566722563616</v>
      </c>
      <c r="Q37" s="28">
        <f t="shared" si="3"/>
        <v>2.7285184372327156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446916-68c5-4d83-b996-de3e93ffbc48}">
  <sheetPr codeName=""/>
  <dimension ref="A1:U119"/>
  <sheetViews>
    <sheetView workbookViewId="0" topLeftCell="A16">
      <selection pane="topLef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60" t="s">
        <v>712</v>
      </c>
      <c r="B9" s="20">
        <v>1.45</v>
      </c>
      <c r="C9" s="20">
        <v>16.30</v>
      </c>
      <c r="D9" s="20">
        <v>17.75</v>
      </c>
      <c r="E9" s="20">
        <v>6.08</v>
      </c>
      <c r="F9" s="20">
        <v>1.55</v>
      </c>
      <c r="G9" s="20">
        <v>41.90</v>
      </c>
      <c r="H9" s="20">
        <v>11.04</v>
      </c>
      <c r="I9" s="20">
        <v>5.29</v>
      </c>
      <c r="J9" s="20">
        <v>6.45</v>
      </c>
      <c r="K9" s="20">
        <v>185.04</v>
      </c>
      <c r="L9" s="20">
        <v>25.10</v>
      </c>
      <c r="M9" s="20">
        <v>85.23</v>
      </c>
      <c r="N9" s="20">
        <v>287.89999999999998</v>
      </c>
      <c r="O9" s="20">
        <v>0</v>
      </c>
      <c r="P9" s="20">
        <v>2.80</v>
      </c>
      <c r="Q9" s="20">
        <v>13.11</v>
      </c>
      <c r="R9" s="43"/>
      <c r="S9" s="43"/>
      <c r="T9" s="43"/>
      <c r="U9" s="43"/>
    </row>
    <row r="10" spans="1:21" s="11" customFormat="1" ht="15">
      <c r="A10" s="60" t="s">
        <v>713</v>
      </c>
      <c r="B10" s="20">
        <v>0.81</v>
      </c>
      <c r="C10" s="20">
        <v>13.56</v>
      </c>
      <c r="D10" s="20">
        <v>14.08</v>
      </c>
      <c r="E10" s="20">
        <v>6.53</v>
      </c>
      <c r="F10" s="20">
        <v>1.43</v>
      </c>
      <c r="G10" s="20">
        <v>30.88</v>
      </c>
      <c r="H10" s="20">
        <v>8.09</v>
      </c>
      <c r="I10" s="20">
        <v>4.4000000000000004</v>
      </c>
      <c r="J10" s="20">
        <v>3.49</v>
      </c>
      <c r="K10" s="20">
        <v>213.56</v>
      </c>
      <c r="L10" s="20">
        <v>27.56</v>
      </c>
      <c r="M10" s="20">
        <v>85.01</v>
      </c>
      <c r="N10" s="20">
        <v>311.70</v>
      </c>
      <c r="O10" s="20">
        <v>0</v>
      </c>
      <c r="P10" s="20">
        <v>2.72</v>
      </c>
      <c r="Q10" s="20">
        <v>11.73</v>
      </c>
      <c r="R10" s="43"/>
      <c r="S10" s="43"/>
      <c r="T10" s="43"/>
      <c r="U10" s="43"/>
    </row>
    <row r="11" spans="1:21" s="11" customFormat="1" ht="15">
      <c r="A11" s="60" t="s">
        <v>714</v>
      </c>
      <c r="B11" s="20">
        <v>1.29</v>
      </c>
      <c r="C11" s="20">
        <v>12.29</v>
      </c>
      <c r="D11" s="20">
        <v>13.35</v>
      </c>
      <c r="E11" s="20">
        <v>7.11</v>
      </c>
      <c r="F11" s="20">
        <v>0.65</v>
      </c>
      <c r="G11" s="20">
        <v>27.28</v>
      </c>
      <c r="H11" s="20">
        <v>7.12</v>
      </c>
      <c r="I11" s="20">
        <v>4.01</v>
      </c>
      <c r="J11" s="20">
        <v>3.70</v>
      </c>
      <c r="K11" s="20">
        <v>215.04</v>
      </c>
      <c r="L11" s="20">
        <v>29.37</v>
      </c>
      <c r="M11" s="20">
        <v>83.26</v>
      </c>
      <c r="N11" s="20">
        <v>316.20</v>
      </c>
      <c r="O11" s="20">
        <v>0</v>
      </c>
      <c r="P11" s="20">
        <v>2.61</v>
      </c>
      <c r="Q11" s="20">
        <v>8.7100000000000009</v>
      </c>
      <c r="R11" s="43"/>
      <c r="S11" s="43"/>
      <c r="T11" s="43"/>
      <c r="U11" s="43"/>
    </row>
    <row r="12" spans="1:21" s="11" customFormat="1" ht="15">
      <c r="A12" s="60" t="s">
        <v>715</v>
      </c>
      <c r="B12" s="20">
        <v>1.59</v>
      </c>
      <c r="C12" s="20">
        <v>12.15</v>
      </c>
      <c r="D12" s="20">
        <v>13.69</v>
      </c>
      <c r="E12" s="20">
        <v>7.21</v>
      </c>
      <c r="F12" s="20">
        <v>0.86</v>
      </c>
      <c r="G12" s="20">
        <v>25.56</v>
      </c>
      <c r="H12" s="20">
        <v>10.52</v>
      </c>
      <c r="I12" s="20">
        <v>4.13</v>
      </c>
      <c r="J12" s="20">
        <v>5.35</v>
      </c>
      <c r="K12" s="20">
        <v>196.34</v>
      </c>
      <c r="L12" s="20">
        <v>32.79</v>
      </c>
      <c r="M12" s="20">
        <v>83.65</v>
      </c>
      <c r="N12" s="20">
        <v>365.20</v>
      </c>
      <c r="O12" s="20">
        <v>0</v>
      </c>
      <c r="P12" s="20">
        <v>2.57</v>
      </c>
      <c r="Q12" s="20">
        <v>10.34</v>
      </c>
      <c r="R12" s="43"/>
      <c r="S12" s="43"/>
      <c r="T12" s="43"/>
      <c r="U12" s="43"/>
    </row>
    <row r="13" spans="1:21" s="11" customFormat="1" ht="15">
      <c r="A13" s="60" t="s">
        <v>716</v>
      </c>
      <c r="B13" s="20">
        <v>1.29</v>
      </c>
      <c r="C13" s="20">
        <v>12.70</v>
      </c>
      <c r="D13" s="20">
        <v>13.99</v>
      </c>
      <c r="E13" s="20">
        <v>6.89</v>
      </c>
      <c r="F13" s="20">
        <v>1</v>
      </c>
      <c r="G13" s="20">
        <v>24.68</v>
      </c>
      <c r="H13" s="20">
        <v>9.75</v>
      </c>
      <c r="I13" s="20">
        <v>3.94</v>
      </c>
      <c r="J13" s="20">
        <v>5.56</v>
      </c>
      <c r="K13" s="20">
        <v>216.58</v>
      </c>
      <c r="L13" s="20">
        <v>34.950000000000003</v>
      </c>
      <c r="M13" s="20">
        <v>85.90</v>
      </c>
      <c r="N13" s="20">
        <v>343.70</v>
      </c>
      <c r="O13" s="20">
        <v>0</v>
      </c>
      <c r="P13" s="20">
        <v>2.63</v>
      </c>
      <c r="Q13" s="20">
        <v>11.75</v>
      </c>
      <c r="R13" s="43"/>
      <c r="S13" s="43"/>
      <c r="T13" s="43"/>
      <c r="U13" s="43"/>
    </row>
    <row r="14" spans="1:21" s="11" customFormat="1" ht="15">
      <c r="A14" s="60" t="s">
        <v>717</v>
      </c>
      <c r="B14" s="20">
        <v>1.61</v>
      </c>
      <c r="C14" s="20">
        <v>13.46</v>
      </c>
      <c r="D14" s="20">
        <v>15.08</v>
      </c>
      <c r="E14" s="20">
        <v>7.06</v>
      </c>
      <c r="F14" s="20">
        <v>0.69</v>
      </c>
      <c r="G14" s="20">
        <v>25.70</v>
      </c>
      <c r="H14" s="20">
        <v>7.39</v>
      </c>
      <c r="I14" s="20">
        <v>3.65</v>
      </c>
      <c r="J14" s="20">
        <v>5.41</v>
      </c>
      <c r="K14" s="20">
        <v>180.15</v>
      </c>
      <c r="L14" s="20">
        <v>30.52</v>
      </c>
      <c r="M14" s="20">
        <v>85.78</v>
      </c>
      <c r="N14" s="20">
        <v>373.40</v>
      </c>
      <c r="O14" s="20">
        <v>0</v>
      </c>
      <c r="P14" s="20">
        <v>2.67</v>
      </c>
      <c r="Q14" s="20">
        <v>11.77</v>
      </c>
      <c r="R14" s="43"/>
      <c r="S14" s="43"/>
      <c r="T14" s="43"/>
      <c r="U14" s="43"/>
    </row>
    <row r="15" spans="1:21" s="11" customFormat="1" ht="15">
      <c r="A15" s="60" t="s">
        <v>718</v>
      </c>
      <c r="B15" s="20">
        <v>2.76</v>
      </c>
      <c r="C15" s="20">
        <v>13.59</v>
      </c>
      <c r="D15" s="20">
        <v>16.010000000000002</v>
      </c>
      <c r="E15" s="20">
        <v>7.23</v>
      </c>
      <c r="F15" s="20">
        <v>0.33</v>
      </c>
      <c r="G15" s="20">
        <v>28.48</v>
      </c>
      <c r="H15" s="20">
        <v>9.10</v>
      </c>
      <c r="I15" s="20">
        <v>3.79</v>
      </c>
      <c r="J15" s="20">
        <v>5.35</v>
      </c>
      <c r="K15" s="20">
        <v>190.40</v>
      </c>
      <c r="L15" s="20">
        <v>21.43</v>
      </c>
      <c r="M15" s="20">
        <v>86.26</v>
      </c>
      <c r="N15" s="20">
        <v>413.20</v>
      </c>
      <c r="O15" s="20">
        <v>0</v>
      </c>
      <c r="P15" s="20">
        <v>2.64</v>
      </c>
      <c r="Q15" s="20">
        <v>10.46</v>
      </c>
      <c r="R15" s="43"/>
      <c r="S15" s="43"/>
      <c r="T15" s="43"/>
      <c r="U15" s="43"/>
    </row>
    <row r="16" spans="1:21" s="11" customFormat="1" ht="15">
      <c r="A16" s="60" t="s">
        <v>719</v>
      </c>
      <c r="B16" s="20">
        <v>3.02</v>
      </c>
      <c r="C16" s="20">
        <v>14.08</v>
      </c>
      <c r="D16" s="20">
        <v>16.86</v>
      </c>
      <c r="E16" s="20">
        <v>7.86</v>
      </c>
      <c r="F16" s="20">
        <v>0.74</v>
      </c>
      <c r="G16" s="20">
        <v>28.05</v>
      </c>
      <c r="H16" s="20">
        <v>8.3800000000000008</v>
      </c>
      <c r="I16" s="20">
        <v>4.03</v>
      </c>
      <c r="J16" s="20">
        <v>5.39</v>
      </c>
      <c r="K16" s="20">
        <v>193.25</v>
      </c>
      <c r="L16" s="20">
        <v>25.27</v>
      </c>
      <c r="M16" s="20">
        <v>84.31</v>
      </c>
      <c r="N16" s="20">
        <v>401.5</v>
      </c>
      <c r="O16" s="20">
        <v>0</v>
      </c>
      <c r="P16" s="20">
        <v>2.56</v>
      </c>
      <c r="Q16" s="20">
        <v>8.82</v>
      </c>
      <c r="R16" s="43"/>
      <c r="S16" s="43"/>
      <c r="T16" s="43"/>
      <c r="U16" s="43"/>
    </row>
    <row r="17" spans="1:21" s="11" customFormat="1" ht="15">
      <c r="A17" s="60" t="s">
        <v>720</v>
      </c>
      <c r="B17" s="20">
        <v>2.36</v>
      </c>
      <c r="C17" s="20">
        <v>15.05</v>
      </c>
      <c r="D17" s="20">
        <v>16.70</v>
      </c>
      <c r="E17" s="20">
        <v>6.81</v>
      </c>
      <c r="F17" s="20">
        <v>1.22</v>
      </c>
      <c r="G17" s="20">
        <v>32.42</v>
      </c>
      <c r="H17" s="20">
        <v>10.07</v>
      </c>
      <c r="I17" s="20">
        <v>4.05</v>
      </c>
      <c r="J17" s="20">
        <v>4.75</v>
      </c>
      <c r="K17" s="20">
        <v>204.68</v>
      </c>
      <c r="L17" s="20">
        <v>21.08</v>
      </c>
      <c r="M17" s="20">
        <v>80.77</v>
      </c>
      <c r="N17" s="20">
        <v>625.60</v>
      </c>
      <c r="O17" s="20">
        <v>0</v>
      </c>
      <c r="P17" s="20">
        <v>2.65</v>
      </c>
      <c r="Q17" s="20">
        <v>11.99</v>
      </c>
      <c r="R17" s="43"/>
      <c r="S17" s="43"/>
      <c r="T17" s="43"/>
      <c r="U17" s="43"/>
    </row>
    <row r="18" spans="1:21" s="11" customFormat="1" ht="15">
      <c r="A18" s="60" t="s">
        <v>721</v>
      </c>
      <c r="B18" s="20">
        <v>1.36</v>
      </c>
      <c r="C18" s="20">
        <v>15.10</v>
      </c>
      <c r="D18" s="20">
        <v>16.23</v>
      </c>
      <c r="E18" s="20">
        <v>6.34</v>
      </c>
      <c r="F18" s="20">
        <v>1.82</v>
      </c>
      <c r="G18" s="20">
        <v>31.77</v>
      </c>
      <c r="H18" s="20">
        <v>12.88</v>
      </c>
      <c r="I18" s="20">
        <v>3.87</v>
      </c>
      <c r="J18" s="20">
        <v>4.66</v>
      </c>
      <c r="K18" s="20">
        <v>185.76</v>
      </c>
      <c r="L18" s="20">
        <v>23.39</v>
      </c>
      <c r="M18" s="20">
        <v>78.27</v>
      </c>
      <c r="N18" s="20">
        <v>1162.30</v>
      </c>
      <c r="O18" s="20">
        <v>0</v>
      </c>
      <c r="P18" s="20">
        <v>2.74</v>
      </c>
      <c r="Q18" s="20">
        <v>12.39</v>
      </c>
      <c r="R18" s="43"/>
      <c r="S18" s="43"/>
      <c r="T18" s="43"/>
      <c r="U18" s="43"/>
    </row>
    <row r="19" spans="1:21" s="11" customFormat="1" ht="15">
      <c r="A19" s="60" t="s">
        <v>722</v>
      </c>
      <c r="B19" s="20">
        <v>1.32</v>
      </c>
      <c r="C19" s="20">
        <v>17.850000000000001</v>
      </c>
      <c r="D19" s="20">
        <v>19.170000000000002</v>
      </c>
      <c r="E19" s="20">
        <v>6.06</v>
      </c>
      <c r="F19" s="20">
        <v>1.66</v>
      </c>
      <c r="G19" s="20">
        <v>29.92</v>
      </c>
      <c r="H19" s="20">
        <v>12.03</v>
      </c>
      <c r="I19" s="20">
        <v>4.04</v>
      </c>
      <c r="J19" s="20">
        <v>2.38</v>
      </c>
      <c r="K19" s="20">
        <v>325.18</v>
      </c>
      <c r="L19" s="20">
        <v>28.28</v>
      </c>
      <c r="M19" s="20">
        <v>68.83</v>
      </c>
      <c r="N19" s="20">
        <v>1444.30</v>
      </c>
      <c r="O19" s="20">
        <v>0</v>
      </c>
      <c r="P19" s="20">
        <v>2.78</v>
      </c>
      <c r="Q19" s="20">
        <v>12.34</v>
      </c>
      <c r="R19" s="43"/>
      <c r="S19" s="43"/>
      <c r="T19" s="43"/>
      <c r="U19" s="43"/>
    </row>
    <row r="20" spans="1:21" s="11" customFormat="1" ht="15">
      <c r="A20" s="60" t="s">
        <v>723</v>
      </c>
      <c r="B20" s="20">
        <v>1.1599999999999999</v>
      </c>
      <c r="C20" s="20">
        <v>19.07</v>
      </c>
      <c r="D20" s="20">
        <v>20.059999999999999</v>
      </c>
      <c r="E20" s="20">
        <v>5.84</v>
      </c>
      <c r="F20" s="20">
        <v>2.60</v>
      </c>
      <c r="G20" s="20">
        <v>39.71</v>
      </c>
      <c r="H20" s="20">
        <v>14.15</v>
      </c>
      <c r="I20" s="20">
        <v>4.3600000000000003</v>
      </c>
      <c r="J20" s="20">
        <v>1.91</v>
      </c>
      <c r="K20" s="20">
        <v>335.74</v>
      </c>
      <c r="L20" s="20">
        <v>40.21</v>
      </c>
      <c r="M20" s="20">
        <v>60.44</v>
      </c>
      <c r="N20" s="20">
        <v>1446.60</v>
      </c>
      <c r="O20" s="20">
        <v>0</v>
      </c>
      <c r="P20" s="20">
        <v>2.70</v>
      </c>
      <c r="Q20" s="20">
        <v>9.26</v>
      </c>
      <c r="R20" s="43"/>
      <c r="S20" s="43"/>
      <c r="T20" s="43"/>
      <c r="U20" s="43"/>
    </row>
    <row r="21" spans="1:21" s="11" customFormat="1" ht="15">
      <c r="A21" s="60" t="s">
        <v>724</v>
      </c>
      <c r="B21" s="20">
        <v>0.86</v>
      </c>
      <c r="C21" s="20">
        <v>20.56</v>
      </c>
      <c r="D21" s="20">
        <v>21.42</v>
      </c>
      <c r="E21" s="20">
        <v>5.25</v>
      </c>
      <c r="F21" s="20">
        <v>4.6100000000000003</v>
      </c>
      <c r="G21" s="20">
        <v>44.93</v>
      </c>
      <c r="H21" s="20">
        <v>14.07</v>
      </c>
      <c r="I21" s="20">
        <v>4.99</v>
      </c>
      <c r="J21" s="20">
        <v>2.41</v>
      </c>
      <c r="K21" s="20">
        <v>351.42</v>
      </c>
      <c r="L21" s="20">
        <v>42.30</v>
      </c>
      <c r="M21" s="20">
        <v>55.92</v>
      </c>
      <c r="N21" s="20">
        <v>1524</v>
      </c>
      <c r="O21" s="20">
        <v>0</v>
      </c>
      <c r="P21" s="20">
        <v>2.85</v>
      </c>
      <c r="Q21" s="20">
        <v>11.62</v>
      </c>
      <c r="R21" s="43"/>
      <c r="S21" s="43"/>
      <c r="T21" s="43"/>
      <c r="U21" s="43"/>
    </row>
    <row r="22" spans="1:21" s="11" customFormat="1" ht="15">
      <c r="A22" s="60" t="s">
        <v>725</v>
      </c>
      <c r="B22" s="20">
        <v>1.62</v>
      </c>
      <c r="C22" s="20">
        <v>25.17</v>
      </c>
      <c r="D22" s="20">
        <v>26.06</v>
      </c>
      <c r="E22" s="20">
        <v>4.83</v>
      </c>
      <c r="F22" s="20">
        <v>4.5599999999999996</v>
      </c>
      <c r="G22" s="20">
        <v>44.99</v>
      </c>
      <c r="H22" s="20">
        <v>13.89</v>
      </c>
      <c r="I22" s="20">
        <v>6.14</v>
      </c>
      <c r="J22" s="20">
        <v>4.74</v>
      </c>
      <c r="K22" s="20">
        <v>347.48</v>
      </c>
      <c r="L22" s="20">
        <v>44</v>
      </c>
      <c r="M22" s="20">
        <v>50.03</v>
      </c>
      <c r="N22" s="20">
        <v>1297.70</v>
      </c>
      <c r="O22" s="20">
        <v>0</v>
      </c>
      <c r="P22" s="20">
        <v>3.08</v>
      </c>
      <c r="Q22" s="20">
        <v>15.04</v>
      </c>
      <c r="R22" s="43"/>
      <c r="S22" s="43"/>
      <c r="T22" s="43"/>
      <c r="U22" s="43"/>
    </row>
    <row r="23" spans="1:21" s="11" customFormat="1" ht="15">
      <c r="A23" s="60" t="s">
        <v>726</v>
      </c>
      <c r="B23" s="20">
        <v>0.66</v>
      </c>
      <c r="C23" s="20">
        <v>24.53</v>
      </c>
      <c r="D23" s="20">
        <v>25.19</v>
      </c>
      <c r="E23" s="20">
        <v>4.63</v>
      </c>
      <c r="F23" s="20">
        <v>3.87</v>
      </c>
      <c r="G23" s="20">
        <v>50.75</v>
      </c>
      <c r="H23" s="20">
        <v>26.45</v>
      </c>
      <c r="I23" s="20">
        <v>7.01</v>
      </c>
      <c r="J23" s="20">
        <v>3.29</v>
      </c>
      <c r="K23" s="20">
        <v>327.57</v>
      </c>
      <c r="L23" s="20">
        <v>41.07</v>
      </c>
      <c r="M23" s="20">
        <v>51.98</v>
      </c>
      <c r="N23" s="20">
        <v>890.80</v>
      </c>
      <c r="O23" s="20">
        <v>0</v>
      </c>
      <c r="P23" s="20">
        <v>3.16</v>
      </c>
      <c r="Q23" s="20">
        <v>14.95</v>
      </c>
      <c r="R23" s="43"/>
      <c r="S23" s="43"/>
      <c r="T23" s="43"/>
      <c r="U23" s="43"/>
    </row>
    <row r="24" spans="1:21" s="11" customFormat="1" ht="15">
      <c r="A24" s="60" t="s">
        <v>727</v>
      </c>
      <c r="B24" s="20">
        <v>0.80</v>
      </c>
      <c r="C24" s="20">
        <v>22.44</v>
      </c>
      <c r="D24" s="20">
        <v>23.06</v>
      </c>
      <c r="E24" s="20">
        <v>5.63</v>
      </c>
      <c r="F24" s="20">
        <v>2.96</v>
      </c>
      <c r="G24" s="20">
        <v>53.95</v>
      </c>
      <c r="H24" s="20">
        <v>25.11</v>
      </c>
      <c r="I24" s="20">
        <v>7.39</v>
      </c>
      <c r="J24" s="20">
        <v>2.12</v>
      </c>
      <c r="K24" s="20">
        <v>314.45999999999998</v>
      </c>
      <c r="L24" s="20">
        <v>41.98</v>
      </c>
      <c r="M24" s="20">
        <v>52.17</v>
      </c>
      <c r="N24" s="20">
        <v>750.70</v>
      </c>
      <c r="O24" s="20">
        <v>0</v>
      </c>
      <c r="P24" s="20">
        <v>3.10</v>
      </c>
      <c r="Q24" s="20">
        <v>11.73</v>
      </c>
      <c r="R24" s="43"/>
      <c r="S24" s="43"/>
      <c r="T24" s="43"/>
      <c r="U24" s="43"/>
    </row>
    <row r="25" spans="1:21" s="11" customFormat="1" ht="15">
      <c r="A25" s="60" t="s">
        <v>728</v>
      </c>
      <c r="B25" s="20">
        <v>0.55000000000000004</v>
      </c>
      <c r="C25" s="20">
        <v>20.39</v>
      </c>
      <c r="D25" s="20">
        <v>20.94</v>
      </c>
      <c r="E25" s="20">
        <v>6.46</v>
      </c>
      <c r="F25" s="20">
        <v>3.10</v>
      </c>
      <c r="G25" s="20">
        <v>54.32</v>
      </c>
      <c r="H25" s="20">
        <v>21.38</v>
      </c>
      <c r="I25" s="20">
        <v>7.04</v>
      </c>
      <c r="J25" s="20">
        <v>6.52</v>
      </c>
      <c r="K25" s="20">
        <v>180.06</v>
      </c>
      <c r="L25" s="20">
        <v>39.86</v>
      </c>
      <c r="M25" s="20">
        <v>63.21</v>
      </c>
      <c r="N25" s="20">
        <v>603.10</v>
      </c>
      <c r="O25" s="20">
        <v>0</v>
      </c>
      <c r="P25" s="20">
        <v>2.90</v>
      </c>
      <c r="Q25" s="20">
        <v>8.77</v>
      </c>
      <c r="R25" s="43"/>
      <c r="S25" s="43"/>
      <c r="T25" s="43"/>
      <c r="U25" s="43"/>
    </row>
    <row r="26" spans="1:21" s="11" customFormat="1" ht="15">
      <c r="A26" s="60" t="s">
        <v>729</v>
      </c>
      <c r="B26" s="20">
        <v>1.45</v>
      </c>
      <c r="C26" s="20">
        <v>20.55</v>
      </c>
      <c r="D26" s="20">
        <v>21.88</v>
      </c>
      <c r="E26" s="20">
        <v>5.98</v>
      </c>
      <c r="F26" s="20">
        <v>3.99</v>
      </c>
      <c r="G26" s="20">
        <v>57.64</v>
      </c>
      <c r="H26" s="20">
        <v>19.84</v>
      </c>
      <c r="I26" s="20">
        <v>6.22</v>
      </c>
      <c r="J26" s="20">
        <v>8.92</v>
      </c>
      <c r="K26" s="20">
        <v>344</v>
      </c>
      <c r="L26" s="20">
        <v>35.44</v>
      </c>
      <c r="M26" s="20">
        <v>99.44</v>
      </c>
      <c r="N26" s="20">
        <v>380.90</v>
      </c>
      <c r="O26" s="20">
        <v>16.80</v>
      </c>
      <c r="P26" s="20">
        <v>2.93</v>
      </c>
      <c r="Q26" s="20">
        <v>12.29</v>
      </c>
      <c r="R26" s="43"/>
      <c r="S26" s="43"/>
      <c r="T26" s="43"/>
      <c r="U26" s="43"/>
    </row>
    <row r="27" spans="1:21" s="11" customFormat="1" ht="15">
      <c r="A27" s="60" t="s">
        <v>730</v>
      </c>
      <c r="B27" s="20">
        <v>23.77</v>
      </c>
      <c r="C27" s="20">
        <v>15.87</v>
      </c>
      <c r="D27" s="20">
        <v>31.47</v>
      </c>
      <c r="E27" s="20">
        <v>6.60</v>
      </c>
      <c r="F27" s="20">
        <v>7.66</v>
      </c>
      <c r="G27" s="20">
        <v>57.49</v>
      </c>
      <c r="H27" s="20">
        <v>17.11</v>
      </c>
      <c r="I27" s="20">
        <v>14.70</v>
      </c>
      <c r="J27" s="20">
        <v>5.65</v>
      </c>
      <c r="K27" s="20">
        <v>355.78</v>
      </c>
      <c r="L27" s="20">
        <v>23.22</v>
      </c>
      <c r="M27" s="20">
        <v>99.45</v>
      </c>
      <c r="N27" s="20">
        <v>388.20</v>
      </c>
      <c r="O27" s="20">
        <v>19.399999999999999</v>
      </c>
      <c r="P27" s="20">
        <v>2.85</v>
      </c>
      <c r="Q27" s="20">
        <v>12.60</v>
      </c>
      <c r="R27" s="43"/>
      <c r="S27" s="43"/>
      <c r="T27" s="43"/>
      <c r="U27" s="43"/>
    </row>
    <row r="28" spans="1:21" s="11" customFormat="1" ht="15">
      <c r="A28" s="60" t="s">
        <v>731</v>
      </c>
      <c r="B28" s="20">
        <v>8.32</v>
      </c>
      <c r="C28" s="20">
        <v>12.41</v>
      </c>
      <c r="D28" s="20">
        <v>18.82</v>
      </c>
      <c r="E28" s="20">
        <v>6.61</v>
      </c>
      <c r="F28" s="20">
        <v>0.87</v>
      </c>
      <c r="G28" s="20">
        <v>52.07</v>
      </c>
      <c r="H28" s="20">
        <v>14.20</v>
      </c>
      <c r="I28" s="20">
        <v>12.81</v>
      </c>
      <c r="J28" s="20">
        <v>5.27</v>
      </c>
      <c r="K28" s="20">
        <v>324.52999999999997</v>
      </c>
      <c r="L28" s="20">
        <v>24.89</v>
      </c>
      <c r="M28" s="20">
        <v>99.45</v>
      </c>
      <c r="N28" s="20">
        <v>337</v>
      </c>
      <c r="O28" s="20">
        <v>0.60</v>
      </c>
      <c r="P28" s="20">
        <v>2.86</v>
      </c>
      <c r="Q28" s="20">
        <v>12.05</v>
      </c>
      <c r="R28" s="43"/>
      <c r="S28" s="43"/>
      <c r="T28" s="43"/>
      <c r="U28" s="43"/>
    </row>
    <row r="29" spans="1:21" s="11" customFormat="1" ht="15">
      <c r="A29" s="60" t="s">
        <v>732</v>
      </c>
      <c r="B29" s="20">
        <v>6.70</v>
      </c>
      <c r="C29" s="20">
        <v>17.98</v>
      </c>
      <c r="D29" s="20">
        <v>23.28</v>
      </c>
      <c r="E29" s="20">
        <v>7.77</v>
      </c>
      <c r="F29" s="20">
        <v>0.89</v>
      </c>
      <c r="G29" s="20">
        <v>37.03</v>
      </c>
      <c r="H29" s="20">
        <v>13.84</v>
      </c>
      <c r="I29" s="20">
        <v>10.66</v>
      </c>
      <c r="J29" s="20">
        <v>6.84</v>
      </c>
      <c r="K29" s="20">
        <v>316.11</v>
      </c>
      <c r="L29" s="20">
        <v>21.57</v>
      </c>
      <c r="M29" s="20">
        <v>99.45</v>
      </c>
      <c r="N29" s="20">
        <v>319.5</v>
      </c>
      <c r="O29" s="20">
        <v>1.20</v>
      </c>
      <c r="P29" s="20">
        <v>2.86</v>
      </c>
      <c r="Q29" s="20">
        <v>9.41</v>
      </c>
      <c r="R29" s="43"/>
      <c r="S29" s="43"/>
      <c r="T29" s="43"/>
      <c r="U29" s="43"/>
    </row>
    <row r="30" spans="1:21" s="11" customFormat="1" ht="15">
      <c r="A30" s="60" t="s">
        <v>733</v>
      </c>
      <c r="B30" s="20">
        <v>4.5199999999999996</v>
      </c>
      <c r="C30" s="20">
        <v>21.26</v>
      </c>
      <c r="D30" s="20">
        <v>24.49</v>
      </c>
      <c r="E30" s="20">
        <v>8.0399999999999991</v>
      </c>
      <c r="F30" s="20">
        <v>1.39</v>
      </c>
      <c r="G30" s="20">
        <v>26.45</v>
      </c>
      <c r="H30" s="20">
        <v>14.68</v>
      </c>
      <c r="I30" s="20">
        <v>9.9600000000000009</v>
      </c>
      <c r="J30" s="20">
        <v>4.1100000000000003</v>
      </c>
      <c r="K30" s="20">
        <v>323.11</v>
      </c>
      <c r="L30" s="20">
        <v>21.44</v>
      </c>
      <c r="M30" s="20">
        <v>99.44</v>
      </c>
      <c r="N30" s="20">
        <v>298.70</v>
      </c>
      <c r="O30" s="20">
        <v>0</v>
      </c>
      <c r="P30" s="20">
        <v>3.02</v>
      </c>
      <c r="Q30" s="20">
        <v>12.01</v>
      </c>
      <c r="R30" s="43"/>
      <c r="S30" s="43"/>
      <c r="T30" s="43"/>
      <c r="U30" s="43"/>
    </row>
    <row r="31" spans="1:21" s="11" customFormat="1" ht="15">
      <c r="A31" s="60" t="s">
        <v>734</v>
      </c>
      <c r="B31" s="20">
        <v>2.57</v>
      </c>
      <c r="C31" s="20">
        <v>21.19</v>
      </c>
      <c r="D31" s="20">
        <v>23.75</v>
      </c>
      <c r="E31" s="20">
        <v>6.71</v>
      </c>
      <c r="F31" s="20">
        <v>1.55</v>
      </c>
      <c r="G31" s="20">
        <v>22.08</v>
      </c>
      <c r="H31" s="20">
        <v>13.61</v>
      </c>
      <c r="I31" s="20">
        <v>8.01</v>
      </c>
      <c r="J31" s="20">
        <v>3.30</v>
      </c>
      <c r="K31" s="20">
        <v>233.60</v>
      </c>
      <c r="L31" s="20">
        <v>23.59</v>
      </c>
      <c r="M31" s="20">
        <v>99.43</v>
      </c>
      <c r="N31" s="20">
        <v>438.30</v>
      </c>
      <c r="O31" s="20">
        <v>0.20</v>
      </c>
      <c r="P31" s="20">
        <v>3.10</v>
      </c>
      <c r="Q31" s="20">
        <v>13.04</v>
      </c>
      <c r="R31" s="43"/>
      <c r="S31" s="43"/>
      <c r="T31" s="43"/>
      <c r="U31" s="43"/>
    </row>
    <row r="32" spans="1:21" s="11" customFormat="1" ht="15">
      <c r="A32" s="61" t="s">
        <v>735</v>
      </c>
      <c r="B32" s="62">
        <v>0.99</v>
      </c>
      <c r="C32" s="62">
        <v>16.04</v>
      </c>
      <c r="D32" s="62">
        <v>17.03</v>
      </c>
      <c r="E32" s="62">
        <v>5.99</v>
      </c>
      <c r="F32" s="62">
        <v>1.71</v>
      </c>
      <c r="G32" s="62">
        <v>16.96</v>
      </c>
      <c r="H32" s="62">
        <v>10.19</v>
      </c>
      <c r="I32" s="62">
        <v>6.94</v>
      </c>
      <c r="J32" s="62">
        <v>3.18</v>
      </c>
      <c r="K32" s="62">
        <v>233.49</v>
      </c>
      <c r="L32" s="62">
        <v>22.11</v>
      </c>
      <c r="M32" s="62">
        <v>99.43</v>
      </c>
      <c r="N32" s="62">
        <v>355.5</v>
      </c>
      <c r="O32" s="62">
        <v>0.40</v>
      </c>
      <c r="P32" s="62">
        <v>3.09</v>
      </c>
      <c r="Q32" s="62">
        <v>12.15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0.55000000000000004</v>
      </c>
      <c r="C34" s="28">
        <f t="shared" si="0"/>
        <v>12.15</v>
      </c>
      <c r="D34" s="28">
        <f t="shared" si="0"/>
        <v>13.35</v>
      </c>
      <c r="E34" s="28">
        <f t="shared" si="0"/>
        <v>4.6299999999999999</v>
      </c>
      <c r="F34" s="28">
        <f t="shared" si="0"/>
        <v>0.33000000000000002</v>
      </c>
      <c r="G34" s="28">
        <f t="shared" si="0"/>
        <v>16.960000000000001</v>
      </c>
      <c r="H34" s="28">
        <f t="shared" si="0"/>
        <v>7.1200000000000001</v>
      </c>
      <c r="I34" s="28">
        <f t="shared" si="0"/>
        <v>3.6499999999999999</v>
      </c>
      <c r="J34" s="28">
        <f t="shared" si="0"/>
        <v>1.9099999999999999</v>
      </c>
      <c r="K34" s="28">
        <f t="shared" si="0"/>
        <v>180.06</v>
      </c>
      <c r="L34" s="28">
        <f t="shared" si="0"/>
        <v>21.079999999999998</v>
      </c>
      <c r="M34" s="28">
        <f t="shared" si="0"/>
        <v>50.030000000000001</v>
      </c>
      <c r="N34" s="28">
        <f t="shared" si="0"/>
        <v>287.89999999999998</v>
      </c>
      <c r="O34" s="28">
        <f t="shared" si="0"/>
        <v>0</v>
      </c>
      <c r="P34" s="28">
        <f t="shared" si="0"/>
        <v>2.5600000000000001</v>
      </c>
      <c r="Q34" s="28">
        <f t="shared" si="0"/>
        <v>8.7100000000000009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23.77</v>
      </c>
      <c r="C35" s="29">
        <f t="shared" si="1"/>
        <v>25.170000000000002</v>
      </c>
      <c r="D35" s="29">
        <f t="shared" si="1"/>
        <v>31.469999999999999</v>
      </c>
      <c r="E35" s="29">
        <f t="shared" si="1"/>
        <v>8.0399999999999991</v>
      </c>
      <c r="F35" s="29">
        <f t="shared" si="1"/>
        <v>7.6600000000000001</v>
      </c>
      <c r="G35" s="29">
        <f t="shared" si="1"/>
        <v>57.640000000000001</v>
      </c>
      <c r="H35" s="29">
        <f t="shared" si="1"/>
        <v>26.449999999999999</v>
      </c>
      <c r="I35" s="29">
        <f t="shared" si="1"/>
        <v>14.699999999999999</v>
      </c>
      <c r="J35" s="29">
        <f t="shared" si="1"/>
        <v>8.9199999999999999</v>
      </c>
      <c r="K35" s="29">
        <f t="shared" si="1"/>
        <v>355.77999999999997</v>
      </c>
      <c r="L35" s="29">
        <f t="shared" si="1"/>
        <v>44</v>
      </c>
      <c r="M35" s="29">
        <f t="shared" si="1"/>
        <v>99.450000000000003</v>
      </c>
      <c r="N35" s="29">
        <f t="shared" si="1"/>
        <v>1524</v>
      </c>
      <c r="O35" s="29">
        <f t="shared" si="1"/>
        <v>19.399999999999999</v>
      </c>
      <c r="P35" s="29">
        <f t="shared" si="1"/>
        <v>3.1600000000000001</v>
      </c>
      <c r="Q35" s="29">
        <f t="shared" si="1"/>
        <v>15.039999999999999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3.0345833333333325</v>
      </c>
      <c r="C36" s="28">
        <f t="shared" si="2"/>
        <v>17.232916666666672</v>
      </c>
      <c r="D36" s="28">
        <f t="shared" si="2"/>
        <v>19.598333333333333</v>
      </c>
      <c r="E36" s="28">
        <f t="shared" si="2"/>
        <v>6.4800000000000004</v>
      </c>
      <c r="F36" s="28">
        <f t="shared" si="2"/>
        <v>2.1545833333333331</v>
      </c>
      <c r="G36" s="28">
        <f t="shared" si="2"/>
        <v>36.875416666666673</v>
      </c>
      <c r="H36" s="28">
        <f t="shared" si="2"/>
        <v>13.537083333333333</v>
      </c>
      <c r="I36" s="28">
        <f t="shared" si="2"/>
        <v>6.3095833333333333</v>
      </c>
      <c r="J36" s="28">
        <f t="shared" si="2"/>
        <v>4.6145833333333339</v>
      </c>
      <c r="K36" s="28">
        <f t="shared" si="2"/>
        <v>262.22208333333333</v>
      </c>
      <c r="L36" s="28">
        <f t="shared" si="2"/>
        <v>30.05916666666667</v>
      </c>
      <c r="M36" s="28">
        <f t="shared" si="2"/>
        <v>80.712916666666686</v>
      </c>
      <c r="N36" s="28">
        <f t="shared" si="2"/>
        <v>628.16666666666674</v>
      </c>
      <c r="O36" s="28">
        <f t="shared" si="2"/>
        <v>1.6083333333333336</v>
      </c>
      <c r="P36" s="28">
        <f t="shared" si="2"/>
        <v>2.8279166666666669</v>
      </c>
      <c r="Q36" s="28">
        <f t="shared" si="2"/>
        <v>11.59708333333333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4.8068284573968914</v>
      </c>
      <c r="C37" s="28">
        <f t="shared" si="3" ref="C37:Q37">STDEV(C9:C32)</f>
        <v>4.0112152329347017</v>
      </c>
      <c r="D37" s="28">
        <f t="shared" si="3"/>
        <v>4.6550110135457148</v>
      </c>
      <c r="E37" s="28">
        <f t="shared" si="3"/>
        <v>0.88048899457358543</v>
      </c>
      <c r="F37" s="28">
        <f t="shared" si="3"/>
        <v>1.7375969892646141</v>
      </c>
      <c r="G37" s="28">
        <f t="shared" si="3"/>
        <v>12.39906622682132</v>
      </c>
      <c r="H37" s="28">
        <f t="shared" si="3"/>
        <v>5.2246618190260401</v>
      </c>
      <c r="I37" s="28">
        <f t="shared" si="3"/>
        <v>3.0297904636497877</v>
      </c>
      <c r="J37" s="28">
        <f t="shared" si="3"/>
        <v>1.7006826740962029</v>
      </c>
      <c r="K37" s="28">
        <f t="shared" si="3"/>
        <v>68.748536931731351</v>
      </c>
      <c r="L37" s="28">
        <f t="shared" si="3"/>
        <v>7.9373634417101364</v>
      </c>
      <c r="M37" s="28">
        <f t="shared" si="3"/>
        <v>17.024918688222254</v>
      </c>
      <c r="N37" s="28">
        <f t="shared" si="3"/>
        <v>422.21819587452177</v>
      </c>
      <c r="O37" s="28">
        <f t="shared" si="3"/>
        <v>5.1012288942845974</v>
      </c>
      <c r="P37" s="28">
        <f t="shared" si="3"/>
        <v>0.18671017220761468</v>
      </c>
      <c r="Q37" s="28">
        <f t="shared" si="3"/>
        <v>1.7221888983062552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845b1d-5dd3-45bc-8074-5b6bdb2fa54c}">
  <sheetPr codeName=""/>
  <dimension ref="A1:U119"/>
  <sheetViews>
    <sheetView workbookViewId="0" topLeftCell="A1">
      <selection pane="topLeft" activeCell="B1" sqref="B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43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736</v>
      </c>
      <c r="B9" s="51">
        <v>1.25</v>
      </c>
      <c r="C9" s="51">
        <v>14.16</v>
      </c>
      <c r="D9" s="51">
        <v>15.10</v>
      </c>
      <c r="E9" s="51">
        <v>7.27</v>
      </c>
      <c r="F9" s="51">
        <v>0.75</v>
      </c>
      <c r="G9" s="51">
        <v>12.73</v>
      </c>
      <c r="H9" s="51">
        <v>7.61</v>
      </c>
      <c r="I9" s="51">
        <v>5.51</v>
      </c>
      <c r="J9" s="51">
        <v>4.45</v>
      </c>
      <c r="K9" s="51">
        <v>230.92</v>
      </c>
      <c r="L9" s="51">
        <v>20.94</v>
      </c>
      <c r="M9" s="51">
        <v>99.40</v>
      </c>
      <c r="N9" s="51">
        <v>375.5</v>
      </c>
      <c r="O9" s="51">
        <v>0</v>
      </c>
      <c r="P9" s="51">
        <v>2.89</v>
      </c>
      <c r="Q9" s="51">
        <v>9.01</v>
      </c>
      <c r="R9" s="43"/>
      <c r="S9" s="43"/>
      <c r="T9" s="43"/>
      <c r="U9" s="43"/>
    </row>
    <row r="10" spans="1:21" s="11" customFormat="1" ht="15">
      <c r="A10" s="50" t="s">
        <v>737</v>
      </c>
      <c r="B10" s="51">
        <v>21.89</v>
      </c>
      <c r="C10" s="51">
        <v>9.06</v>
      </c>
      <c r="D10" s="51">
        <v>29.39</v>
      </c>
      <c r="E10" s="51">
        <v>7.97</v>
      </c>
      <c r="F10" s="51">
        <v>1.59</v>
      </c>
      <c r="G10" s="51">
        <v>9.94</v>
      </c>
      <c r="H10" s="51">
        <v>7.73</v>
      </c>
      <c r="I10" s="51">
        <v>9.26</v>
      </c>
      <c r="J10" s="51">
        <v>6.06</v>
      </c>
      <c r="K10" s="51">
        <v>193.71</v>
      </c>
      <c r="L10" s="51">
        <v>22.52</v>
      </c>
      <c r="M10" s="51">
        <v>96.76</v>
      </c>
      <c r="N10" s="51">
        <v>423.20</v>
      </c>
      <c r="O10" s="51">
        <v>0</v>
      </c>
      <c r="P10" s="51">
        <v>2.79</v>
      </c>
      <c r="Q10" s="51">
        <v>7.87</v>
      </c>
      <c r="R10" s="43"/>
      <c r="S10" s="43"/>
      <c r="T10" s="43"/>
      <c r="U10" s="43"/>
    </row>
    <row r="11" spans="1:21" s="11" customFormat="1" ht="15">
      <c r="A11" s="50" t="s">
        <v>738</v>
      </c>
      <c r="B11" s="51">
        <v>2.65</v>
      </c>
      <c r="C11" s="51">
        <v>9.34</v>
      </c>
      <c r="D11" s="51">
        <v>10.85</v>
      </c>
      <c r="E11" s="51">
        <v>7.48</v>
      </c>
      <c r="F11" s="51">
        <v>1.59</v>
      </c>
      <c r="G11" s="51">
        <v>7.77</v>
      </c>
      <c r="H11" s="51">
        <v>7.21</v>
      </c>
      <c r="I11" s="51">
        <v>8.67</v>
      </c>
      <c r="J11" s="51">
        <v>2.42</v>
      </c>
      <c r="K11" s="51">
        <v>237.61</v>
      </c>
      <c r="L11" s="51">
        <v>18.739999999999998</v>
      </c>
      <c r="M11" s="51">
        <v>98.12</v>
      </c>
      <c r="N11" s="51">
        <v>461.90</v>
      </c>
      <c r="O11" s="51">
        <v>0</v>
      </c>
      <c r="P11" s="51">
        <v>2.89</v>
      </c>
      <c r="Q11" s="51">
        <v>10.46</v>
      </c>
      <c r="R11" s="43"/>
      <c r="S11" s="43"/>
      <c r="T11" s="43"/>
      <c r="U11" s="43"/>
    </row>
    <row r="12" spans="1:21" s="11" customFormat="1" ht="15">
      <c r="A12" s="50" t="s">
        <v>739</v>
      </c>
      <c r="B12" s="51">
        <v>1.17</v>
      </c>
      <c r="C12" s="51">
        <v>11.03</v>
      </c>
      <c r="D12" s="51">
        <v>11.91</v>
      </c>
      <c r="E12" s="51">
        <v>6.76</v>
      </c>
      <c r="F12" s="51">
        <v>1.49</v>
      </c>
      <c r="G12" s="51">
        <v>6.51</v>
      </c>
      <c r="H12" s="51">
        <v>5.90</v>
      </c>
      <c r="I12" s="51">
        <v>6.76</v>
      </c>
      <c r="J12" s="51">
        <v>2.4300000000000002</v>
      </c>
      <c r="K12" s="51">
        <v>232.45</v>
      </c>
      <c r="L12" s="51">
        <v>22.25</v>
      </c>
      <c r="M12" s="51">
        <v>98.01</v>
      </c>
      <c r="N12" s="51">
        <v>470</v>
      </c>
      <c r="O12" s="51">
        <v>0</v>
      </c>
      <c r="P12" s="51">
        <v>2.96</v>
      </c>
      <c r="Q12" s="51">
        <v>11.63</v>
      </c>
      <c r="R12" s="43"/>
      <c r="S12" s="43"/>
      <c r="T12" s="43"/>
      <c r="U12" s="43"/>
    </row>
    <row r="13" spans="1:21" s="11" customFormat="1" ht="15">
      <c r="A13" s="50" t="s">
        <v>740</v>
      </c>
      <c r="B13" s="51">
        <v>1.60</v>
      </c>
      <c r="C13" s="51">
        <v>12.15</v>
      </c>
      <c r="D13" s="51">
        <v>13.63</v>
      </c>
      <c r="E13" s="51">
        <v>7.47</v>
      </c>
      <c r="F13" s="51">
        <v>0.80</v>
      </c>
      <c r="G13" s="63" t="s">
        <v>15</v>
      </c>
      <c r="H13" s="63" t="s">
        <v>15</v>
      </c>
      <c r="I13" s="51">
        <v>5.40</v>
      </c>
      <c r="J13" s="51">
        <v>3.11</v>
      </c>
      <c r="K13" s="51">
        <v>246.26</v>
      </c>
      <c r="L13" s="51">
        <v>21.52</v>
      </c>
      <c r="M13" s="51">
        <v>97.71</v>
      </c>
      <c r="N13" s="51">
        <v>511.10</v>
      </c>
      <c r="O13" s="51">
        <v>0</v>
      </c>
      <c r="P13" s="51">
        <v>2.91</v>
      </c>
      <c r="Q13" s="51">
        <v>11.45</v>
      </c>
      <c r="R13" s="43"/>
      <c r="S13" s="43"/>
      <c r="T13" s="43"/>
      <c r="U13" s="43"/>
    </row>
    <row r="14" spans="1:21" s="11" customFormat="1" ht="15">
      <c r="A14" s="50" t="s">
        <v>741</v>
      </c>
      <c r="B14" s="51">
        <v>2.1800000000000002</v>
      </c>
      <c r="C14" s="51">
        <v>13.30</v>
      </c>
      <c r="D14" s="51">
        <v>15.48</v>
      </c>
      <c r="E14" s="51">
        <v>8.85</v>
      </c>
      <c r="F14" s="51">
        <v>0.87</v>
      </c>
      <c r="G14" s="63" t="s">
        <v>15</v>
      </c>
      <c r="H14" s="63" t="s">
        <v>15</v>
      </c>
      <c r="I14" s="51">
        <v>4.17</v>
      </c>
      <c r="J14" s="51">
        <v>2.4900000000000002</v>
      </c>
      <c r="K14" s="51">
        <v>254.92</v>
      </c>
      <c r="L14" s="51">
        <v>21.06</v>
      </c>
      <c r="M14" s="51">
        <v>97.59</v>
      </c>
      <c r="N14" s="51">
        <v>592.40</v>
      </c>
      <c r="O14" s="51">
        <v>0</v>
      </c>
      <c r="P14" s="51">
        <v>2.80</v>
      </c>
      <c r="Q14" s="51">
        <v>9.18</v>
      </c>
      <c r="R14" s="43"/>
      <c r="S14" s="43"/>
      <c r="T14" s="43"/>
      <c r="U14" s="43"/>
    </row>
    <row r="15" spans="1:21" s="11" customFormat="1" ht="15">
      <c r="A15" s="50" t="s">
        <v>742</v>
      </c>
      <c r="B15" s="51">
        <v>2.11</v>
      </c>
      <c r="C15" s="51">
        <v>14.72</v>
      </c>
      <c r="D15" s="51">
        <v>16.649999999999999</v>
      </c>
      <c r="E15" s="51">
        <v>8.5299999999999994</v>
      </c>
      <c r="F15" s="51">
        <v>1.31</v>
      </c>
      <c r="G15" s="51">
        <v>10.67</v>
      </c>
      <c r="H15" s="51">
        <v>4.05</v>
      </c>
      <c r="I15" s="51">
        <v>4.9800000000000004</v>
      </c>
      <c r="J15" s="51">
        <v>2.87</v>
      </c>
      <c r="K15" s="51">
        <v>198.35</v>
      </c>
      <c r="L15" s="51">
        <v>20.30</v>
      </c>
      <c r="M15" s="51">
        <v>97.07</v>
      </c>
      <c r="N15" s="51">
        <v>655.10</v>
      </c>
      <c r="O15" s="51">
        <v>0</v>
      </c>
      <c r="P15" s="51">
        <v>2.95</v>
      </c>
      <c r="Q15" s="51">
        <v>12.47</v>
      </c>
      <c r="R15" s="43"/>
      <c r="S15" s="43"/>
      <c r="T15" s="43"/>
      <c r="U15" s="43"/>
    </row>
    <row r="16" spans="1:21" s="11" customFormat="1" ht="15">
      <c r="A16" s="50" t="s">
        <v>743</v>
      </c>
      <c r="B16" s="51">
        <v>1.82</v>
      </c>
      <c r="C16" s="51">
        <v>14.89</v>
      </c>
      <c r="D16" s="51">
        <v>16.71</v>
      </c>
      <c r="E16" s="51">
        <v>7.22</v>
      </c>
      <c r="F16" s="51">
        <v>1.84</v>
      </c>
      <c r="G16" s="51">
        <v>9.7799999999999994</v>
      </c>
      <c r="H16" s="51">
        <v>4.1500000000000004</v>
      </c>
      <c r="I16" s="51">
        <v>4.66</v>
      </c>
      <c r="J16" s="51">
        <v>3.71</v>
      </c>
      <c r="K16" s="51">
        <v>189.05</v>
      </c>
      <c r="L16" s="51">
        <v>23.34</v>
      </c>
      <c r="M16" s="51">
        <v>92.71</v>
      </c>
      <c r="N16" s="63" t="s">
        <v>15</v>
      </c>
      <c r="O16" s="51">
        <v>0</v>
      </c>
      <c r="P16" s="51">
        <v>3.08</v>
      </c>
      <c r="Q16" s="51">
        <v>13.29</v>
      </c>
      <c r="R16" s="43"/>
      <c r="S16" s="43"/>
      <c r="T16" s="43"/>
      <c r="U16" s="43"/>
    </row>
    <row r="17" spans="1:21" s="11" customFormat="1" ht="15">
      <c r="A17" s="50" t="s">
        <v>744</v>
      </c>
      <c r="B17" s="51">
        <v>1.45</v>
      </c>
      <c r="C17" s="51">
        <v>14.84</v>
      </c>
      <c r="D17" s="51">
        <v>16.20</v>
      </c>
      <c r="E17" s="51">
        <v>5.95</v>
      </c>
      <c r="F17" s="51">
        <v>1.54</v>
      </c>
      <c r="G17" s="51">
        <v>9.02</v>
      </c>
      <c r="H17" s="51">
        <v>7.88</v>
      </c>
      <c r="I17" s="51">
        <v>4.29</v>
      </c>
      <c r="J17" s="51">
        <v>3.21</v>
      </c>
      <c r="K17" s="51">
        <v>352.65</v>
      </c>
      <c r="L17" s="51">
        <v>23.26</v>
      </c>
      <c r="M17" s="51">
        <v>90.29</v>
      </c>
      <c r="N17" s="63" t="s">
        <v>15</v>
      </c>
      <c r="O17" s="51">
        <v>0</v>
      </c>
      <c r="P17" s="51">
        <v>3.11</v>
      </c>
      <c r="Q17" s="51">
        <v>13.48</v>
      </c>
      <c r="R17" s="43"/>
      <c r="S17" s="43"/>
      <c r="T17" s="43"/>
      <c r="U17" s="43"/>
    </row>
    <row r="18" spans="1:21" s="11" customFormat="1" ht="15">
      <c r="A18" s="50" t="s">
        <v>745</v>
      </c>
      <c r="B18" s="51">
        <v>1.61</v>
      </c>
      <c r="C18" s="51">
        <v>17.809999999999999</v>
      </c>
      <c r="D18" s="51">
        <v>19.420000000000002</v>
      </c>
      <c r="E18" s="51">
        <v>5.53</v>
      </c>
      <c r="F18" s="51">
        <v>1.32</v>
      </c>
      <c r="G18" s="51">
        <v>14.96</v>
      </c>
      <c r="H18" s="51">
        <v>7.20</v>
      </c>
      <c r="I18" s="51">
        <v>4.0599999999999996</v>
      </c>
      <c r="J18" s="51">
        <v>1.68</v>
      </c>
      <c r="K18" s="51">
        <v>358.31</v>
      </c>
      <c r="L18" s="51">
        <v>24.74</v>
      </c>
      <c r="M18" s="51">
        <v>90.69</v>
      </c>
      <c r="N18" s="63" t="s">
        <v>15</v>
      </c>
      <c r="O18" s="51">
        <v>0.20</v>
      </c>
      <c r="P18" s="51">
        <v>2.93</v>
      </c>
      <c r="Q18" s="51">
        <v>9.9700000000000006</v>
      </c>
      <c r="R18" s="43"/>
      <c r="S18" s="43"/>
      <c r="T18" s="43"/>
      <c r="U18" s="43"/>
    </row>
    <row r="19" spans="1:21" s="11" customFormat="1" ht="15">
      <c r="A19" s="50" t="s">
        <v>746</v>
      </c>
      <c r="B19" s="51">
        <v>1.68</v>
      </c>
      <c r="C19" s="51">
        <v>18.62</v>
      </c>
      <c r="D19" s="51">
        <v>20.260000000000002</v>
      </c>
      <c r="E19" s="51">
        <v>5.51</v>
      </c>
      <c r="F19" s="51">
        <v>1.21</v>
      </c>
      <c r="G19" s="51">
        <v>16.72</v>
      </c>
      <c r="H19" s="51">
        <v>5.88</v>
      </c>
      <c r="I19" s="51">
        <v>4.0999999999999996</v>
      </c>
      <c r="J19" s="51">
        <v>2.78</v>
      </c>
      <c r="K19" s="51">
        <v>204.47</v>
      </c>
      <c r="L19" s="51">
        <v>21.15</v>
      </c>
      <c r="M19" s="51">
        <v>94.71</v>
      </c>
      <c r="N19" s="63" t="s">
        <v>15</v>
      </c>
      <c r="O19" s="51">
        <v>0.40</v>
      </c>
      <c r="P19" s="51">
        <v>2.93</v>
      </c>
      <c r="Q19" s="51">
        <v>9.31</v>
      </c>
      <c r="R19" s="43"/>
      <c r="S19" s="43"/>
      <c r="T19" s="43"/>
      <c r="U19" s="43"/>
    </row>
    <row r="20" spans="1:21" s="11" customFormat="1" ht="15">
      <c r="A20" s="50" t="s">
        <v>747</v>
      </c>
      <c r="B20" s="51">
        <v>2.06</v>
      </c>
      <c r="C20" s="51">
        <v>18.329999999999998</v>
      </c>
      <c r="D20" s="51">
        <v>20.399999999999999</v>
      </c>
      <c r="E20" s="51">
        <v>5.59</v>
      </c>
      <c r="F20" s="51">
        <v>1.74</v>
      </c>
      <c r="G20" s="51">
        <v>15.58</v>
      </c>
      <c r="H20" s="51">
        <v>10.15</v>
      </c>
      <c r="I20" s="51">
        <v>4.09</v>
      </c>
      <c r="J20" s="51">
        <v>1.84</v>
      </c>
      <c r="K20" s="51">
        <v>341.92</v>
      </c>
      <c r="L20" s="51">
        <v>23.03</v>
      </c>
      <c r="M20" s="51">
        <v>91.85</v>
      </c>
      <c r="N20" s="63" t="s">
        <v>15</v>
      </c>
      <c r="O20" s="51">
        <v>0</v>
      </c>
      <c r="P20" s="51">
        <v>3.20</v>
      </c>
      <c r="Q20" s="51">
        <v>12.70</v>
      </c>
      <c r="R20" s="43"/>
      <c r="S20" s="43"/>
      <c r="T20" s="43"/>
      <c r="U20" s="43"/>
    </row>
    <row r="21" spans="1:21" s="11" customFormat="1" ht="15">
      <c r="A21" s="50" t="s">
        <v>748</v>
      </c>
      <c r="B21" s="51">
        <v>1.84</v>
      </c>
      <c r="C21" s="51">
        <v>20.43</v>
      </c>
      <c r="D21" s="51">
        <v>22.16</v>
      </c>
      <c r="E21" s="51">
        <v>6.04</v>
      </c>
      <c r="F21" s="51">
        <v>2.54</v>
      </c>
      <c r="G21" s="51">
        <v>15.85</v>
      </c>
      <c r="H21" s="51">
        <v>9.4700000000000006</v>
      </c>
      <c r="I21" s="51">
        <v>4.13</v>
      </c>
      <c r="J21" s="51">
        <v>2.1800000000000002</v>
      </c>
      <c r="K21" s="51">
        <v>337.42</v>
      </c>
      <c r="L21" s="51">
        <v>25.34</v>
      </c>
      <c r="M21" s="51">
        <v>81.83</v>
      </c>
      <c r="N21" s="63" t="s">
        <v>15</v>
      </c>
      <c r="O21" s="51">
        <v>0</v>
      </c>
      <c r="P21" s="51">
        <v>3.27</v>
      </c>
      <c r="Q21" s="51">
        <v>13.26</v>
      </c>
      <c r="R21" s="43"/>
      <c r="S21" s="43"/>
      <c r="T21" s="43"/>
      <c r="U21" s="43"/>
    </row>
    <row r="22" spans="1:21" s="11" customFormat="1" ht="15">
      <c r="A22" s="50" t="s">
        <v>749</v>
      </c>
      <c r="B22" s="51">
        <v>2.72</v>
      </c>
      <c r="C22" s="51">
        <v>20.81</v>
      </c>
      <c r="D22" s="51">
        <v>23.5</v>
      </c>
      <c r="E22" s="51">
        <v>6.27</v>
      </c>
      <c r="F22" s="51">
        <v>1.04</v>
      </c>
      <c r="G22" s="51">
        <v>27.19</v>
      </c>
      <c r="H22" s="51">
        <v>11.54</v>
      </c>
      <c r="I22" s="51">
        <v>6.09</v>
      </c>
      <c r="J22" s="51">
        <v>1.66</v>
      </c>
      <c r="K22" s="51">
        <v>328.61</v>
      </c>
      <c r="L22" s="51">
        <v>26.91</v>
      </c>
      <c r="M22" s="51">
        <v>75.430000000000007</v>
      </c>
      <c r="N22" s="63" t="s">
        <v>15</v>
      </c>
      <c r="O22" s="51">
        <v>0</v>
      </c>
      <c r="P22" s="51">
        <v>3.24</v>
      </c>
      <c r="Q22" s="51">
        <v>12.34</v>
      </c>
      <c r="R22" s="43"/>
      <c r="S22" s="43"/>
      <c r="T22" s="43"/>
      <c r="U22" s="43"/>
    </row>
    <row r="23" spans="1:21" s="11" customFormat="1" ht="15">
      <c r="A23" s="50" t="s">
        <v>750</v>
      </c>
      <c r="B23" s="51">
        <v>1.95</v>
      </c>
      <c r="C23" s="51">
        <v>23.81</v>
      </c>
      <c r="D23" s="51">
        <v>24.87</v>
      </c>
      <c r="E23" s="51">
        <v>6.78</v>
      </c>
      <c r="F23" s="51">
        <v>3.69</v>
      </c>
      <c r="G23" s="51">
        <v>33.049999999999997</v>
      </c>
      <c r="H23" s="51">
        <v>11.10</v>
      </c>
      <c r="I23" s="51">
        <v>7.65</v>
      </c>
      <c r="J23" s="51">
        <v>2.0699999999999998</v>
      </c>
      <c r="K23" s="51">
        <v>333.79</v>
      </c>
      <c r="L23" s="51">
        <v>25.98</v>
      </c>
      <c r="M23" s="51">
        <v>73.11</v>
      </c>
      <c r="N23" s="63" t="s">
        <v>15</v>
      </c>
      <c r="O23" s="51">
        <v>0</v>
      </c>
      <c r="P23" s="51">
        <v>3.08</v>
      </c>
      <c r="Q23" s="51">
        <v>9.43</v>
      </c>
      <c r="R23" s="43"/>
      <c r="S23" s="43"/>
      <c r="T23" s="43"/>
      <c r="U23" s="43"/>
    </row>
    <row r="24" spans="1:21" s="11" customFormat="1" ht="15">
      <c r="A24" s="50" t="s">
        <v>751</v>
      </c>
      <c r="B24" s="51">
        <v>0.87</v>
      </c>
      <c r="C24" s="51">
        <v>26.5</v>
      </c>
      <c r="D24" s="51">
        <v>26.96</v>
      </c>
      <c r="E24" s="51">
        <v>5.13</v>
      </c>
      <c r="F24" s="51">
        <v>7.59</v>
      </c>
      <c r="G24" s="55" t="s">
        <v>8</v>
      </c>
      <c r="H24" s="51">
        <v>14.11</v>
      </c>
      <c r="I24" s="51">
        <v>9.17</v>
      </c>
      <c r="J24" s="51">
        <v>1.94</v>
      </c>
      <c r="K24" s="51">
        <v>340.35</v>
      </c>
      <c r="L24" s="51">
        <v>27.12</v>
      </c>
      <c r="M24" s="51">
        <v>72.36</v>
      </c>
      <c r="N24" s="63" t="s">
        <v>15</v>
      </c>
      <c r="O24" s="51">
        <v>0</v>
      </c>
      <c r="P24" s="51">
        <v>3.24</v>
      </c>
      <c r="Q24" s="51">
        <v>13.61</v>
      </c>
      <c r="R24" s="43"/>
      <c r="S24" s="43"/>
      <c r="T24" s="43"/>
      <c r="U24" s="43"/>
    </row>
    <row r="25" spans="1:21" s="11" customFormat="1" ht="15">
      <c r="A25" s="50" t="s">
        <v>752</v>
      </c>
      <c r="B25" s="51">
        <v>1.65</v>
      </c>
      <c r="C25" s="51">
        <v>26.90</v>
      </c>
      <c r="D25" s="51">
        <v>28.56</v>
      </c>
      <c r="E25" s="51">
        <v>3.86</v>
      </c>
      <c r="F25" s="51">
        <v>5.35</v>
      </c>
      <c r="G25" s="55" t="s">
        <v>8</v>
      </c>
      <c r="H25" s="51">
        <v>25.69</v>
      </c>
      <c r="I25" s="51">
        <v>8.69</v>
      </c>
      <c r="J25" s="51">
        <v>2.16</v>
      </c>
      <c r="K25" s="51">
        <v>342.16</v>
      </c>
      <c r="L25" s="51">
        <v>29.08</v>
      </c>
      <c r="M25" s="51">
        <v>70.91</v>
      </c>
      <c r="N25" s="51">
        <v>737.80</v>
      </c>
      <c r="O25" s="51">
        <v>0</v>
      </c>
      <c r="P25" s="51">
        <v>3.32</v>
      </c>
      <c r="Q25" s="51">
        <v>22.85</v>
      </c>
      <c r="R25" s="43"/>
      <c r="S25" s="43"/>
      <c r="T25" s="43"/>
      <c r="U25" s="43"/>
    </row>
    <row r="26" spans="1:21" s="11" customFormat="1" ht="15">
      <c r="A26" s="50" t="s">
        <v>753</v>
      </c>
      <c r="B26" s="51">
        <v>2.35</v>
      </c>
      <c r="C26" s="51">
        <v>30.77</v>
      </c>
      <c r="D26" s="51">
        <v>32.79</v>
      </c>
      <c r="E26" s="51">
        <v>4.01</v>
      </c>
      <c r="F26" s="51">
        <v>5.0599999999999996</v>
      </c>
      <c r="G26" s="55" t="s">
        <v>8</v>
      </c>
      <c r="H26" s="51">
        <v>23.99</v>
      </c>
      <c r="I26" s="51">
        <v>7.03</v>
      </c>
      <c r="J26" s="51">
        <v>2.3199999999999998</v>
      </c>
      <c r="K26" s="51">
        <v>332.87</v>
      </c>
      <c r="L26" s="51">
        <v>29.55</v>
      </c>
      <c r="M26" s="51">
        <v>71.62</v>
      </c>
      <c r="N26" s="51">
        <v>456.40</v>
      </c>
      <c r="O26" s="51">
        <v>0</v>
      </c>
      <c r="P26" s="51">
        <v>3.25</v>
      </c>
      <c r="Q26" s="51">
        <v>25.68</v>
      </c>
      <c r="R26" s="43"/>
      <c r="S26" s="43"/>
      <c r="T26" s="43"/>
      <c r="U26" s="43"/>
    </row>
    <row r="27" spans="1:21" s="11" customFormat="1" ht="15">
      <c r="A27" s="50" t="s">
        <v>754</v>
      </c>
      <c r="B27" s="51">
        <v>9.6199999999999992</v>
      </c>
      <c r="C27" s="51">
        <v>27.39</v>
      </c>
      <c r="D27" s="51">
        <v>36.43</v>
      </c>
      <c r="E27" s="51">
        <v>5.49</v>
      </c>
      <c r="F27" s="51">
        <v>0.97</v>
      </c>
      <c r="G27" s="55" t="s">
        <v>8</v>
      </c>
      <c r="H27" s="51">
        <v>19.28</v>
      </c>
      <c r="I27" s="51">
        <v>6.97</v>
      </c>
      <c r="J27" s="51">
        <v>2.17</v>
      </c>
      <c r="K27" s="51">
        <v>333.08</v>
      </c>
      <c r="L27" s="51">
        <v>30.24</v>
      </c>
      <c r="M27" s="51">
        <v>74.260000000000005</v>
      </c>
      <c r="N27" s="51">
        <v>273.60000000000002</v>
      </c>
      <c r="O27" s="51">
        <v>0</v>
      </c>
      <c r="P27" s="51">
        <v>3.30</v>
      </c>
      <c r="Q27" s="51">
        <v>30.80</v>
      </c>
      <c r="R27" s="43"/>
      <c r="S27" s="43"/>
      <c r="T27" s="43"/>
      <c r="U27" s="43"/>
    </row>
    <row r="28" spans="1:21" s="11" customFormat="1" ht="15">
      <c r="A28" s="50" t="s">
        <v>755</v>
      </c>
      <c r="B28" s="51">
        <v>9.67</v>
      </c>
      <c r="C28" s="51">
        <v>26.39</v>
      </c>
      <c r="D28" s="51">
        <v>35.840000000000003</v>
      </c>
      <c r="E28" s="51">
        <v>6.30</v>
      </c>
      <c r="F28" s="51">
        <v>1.60</v>
      </c>
      <c r="G28" s="55" t="s">
        <v>8</v>
      </c>
      <c r="H28" s="51">
        <v>25.79</v>
      </c>
      <c r="I28" s="51">
        <v>7.28</v>
      </c>
      <c r="J28" s="51">
        <v>2.97</v>
      </c>
      <c r="K28" s="51">
        <v>214.24</v>
      </c>
      <c r="L28" s="51">
        <v>28.17</v>
      </c>
      <c r="M28" s="51">
        <v>79.150000000000006</v>
      </c>
      <c r="N28" s="51">
        <v>250.60</v>
      </c>
      <c r="O28" s="51">
        <v>0</v>
      </c>
      <c r="P28" s="51">
        <v>3.48</v>
      </c>
      <c r="Q28" s="51">
        <v>39.409999999999997</v>
      </c>
      <c r="R28" s="43"/>
      <c r="S28" s="43"/>
      <c r="T28" s="43"/>
      <c r="U28" s="43"/>
    </row>
    <row r="29" spans="1:21" s="11" customFormat="1" ht="15">
      <c r="A29" s="50" t="s">
        <v>756</v>
      </c>
      <c r="B29" s="51">
        <v>4.6500000000000004</v>
      </c>
      <c r="C29" s="51">
        <v>25.31</v>
      </c>
      <c r="D29" s="51">
        <v>29.97</v>
      </c>
      <c r="E29" s="51">
        <v>5.54</v>
      </c>
      <c r="F29" s="51">
        <v>1.52</v>
      </c>
      <c r="G29" s="55" t="s">
        <v>8</v>
      </c>
      <c r="H29" s="51">
        <v>30.83</v>
      </c>
      <c r="I29" s="51">
        <v>7.79</v>
      </c>
      <c r="J29" s="51">
        <v>1.52</v>
      </c>
      <c r="K29" s="51">
        <v>254.88</v>
      </c>
      <c r="L29" s="51">
        <v>29.11</v>
      </c>
      <c r="M29" s="51">
        <v>80.430000000000007</v>
      </c>
      <c r="N29" s="51">
        <v>294.70</v>
      </c>
      <c r="O29" s="51">
        <v>0</v>
      </c>
      <c r="P29" s="51">
        <v>3.59</v>
      </c>
      <c r="Q29" s="51">
        <v>36.770000000000003</v>
      </c>
      <c r="R29" s="43"/>
      <c r="S29" s="43"/>
      <c r="T29" s="43"/>
      <c r="U29" s="43"/>
    </row>
    <row r="30" spans="1:21" s="11" customFormat="1" ht="15">
      <c r="A30" s="50" t="s">
        <v>757</v>
      </c>
      <c r="B30" s="51">
        <v>2.84</v>
      </c>
      <c r="C30" s="51">
        <v>22.93</v>
      </c>
      <c r="D30" s="51">
        <v>25.77</v>
      </c>
      <c r="E30" s="51">
        <v>5.45</v>
      </c>
      <c r="F30" s="51">
        <v>1.90</v>
      </c>
      <c r="G30" s="55" t="s">
        <v>8</v>
      </c>
      <c r="H30" s="51">
        <v>27.71</v>
      </c>
      <c r="I30" s="51">
        <v>7.05</v>
      </c>
      <c r="J30" s="51">
        <v>2.76</v>
      </c>
      <c r="K30" s="51">
        <v>216.33</v>
      </c>
      <c r="L30" s="51">
        <v>24.07</v>
      </c>
      <c r="M30" s="51">
        <v>82.99</v>
      </c>
      <c r="N30" s="51">
        <v>277.10000000000002</v>
      </c>
      <c r="O30" s="51">
        <v>0</v>
      </c>
      <c r="P30" s="51">
        <v>3.59</v>
      </c>
      <c r="Q30" s="51">
        <v>28.08</v>
      </c>
      <c r="R30" s="43"/>
      <c r="S30" s="43"/>
      <c r="T30" s="43"/>
      <c r="U30" s="43"/>
    </row>
    <row r="31" spans="1:21" s="11" customFormat="1" ht="15">
      <c r="A31" s="50" t="s">
        <v>758</v>
      </c>
      <c r="B31" s="51">
        <v>1.64</v>
      </c>
      <c r="C31" s="51">
        <v>22.06</v>
      </c>
      <c r="D31" s="51">
        <v>23.42</v>
      </c>
      <c r="E31" s="51">
        <v>6.23</v>
      </c>
      <c r="F31" s="51">
        <v>1.06</v>
      </c>
      <c r="G31" s="55" t="s">
        <v>8</v>
      </c>
      <c r="H31" s="51">
        <v>19.54</v>
      </c>
      <c r="I31" s="51">
        <v>5.89</v>
      </c>
      <c r="J31" s="51">
        <v>2</v>
      </c>
      <c r="K31" s="51">
        <v>209.05</v>
      </c>
      <c r="L31" s="51">
        <v>24.81</v>
      </c>
      <c r="M31" s="51">
        <v>85.47</v>
      </c>
      <c r="N31" s="51">
        <v>287.20</v>
      </c>
      <c r="O31" s="51">
        <v>0</v>
      </c>
      <c r="P31" s="51">
        <v>3.41</v>
      </c>
      <c r="Q31" s="51">
        <v>22.89</v>
      </c>
      <c r="R31" s="43"/>
      <c r="S31" s="43"/>
      <c r="T31" s="43"/>
      <c r="U31" s="43"/>
    </row>
    <row r="32" spans="1:21" s="11" customFormat="1" ht="15">
      <c r="A32" s="50" t="s">
        <v>759</v>
      </c>
      <c r="B32" s="51">
        <v>1.58</v>
      </c>
      <c r="C32" s="51">
        <v>17.670000000000002</v>
      </c>
      <c r="D32" s="51">
        <v>19.25</v>
      </c>
      <c r="E32" s="51">
        <v>6.98</v>
      </c>
      <c r="F32" s="51">
        <v>1.18</v>
      </c>
      <c r="G32" s="55" t="s">
        <v>8</v>
      </c>
      <c r="H32" s="51">
        <v>17.579999999999998</v>
      </c>
      <c r="I32" s="51">
        <v>5.01</v>
      </c>
      <c r="J32" s="51">
        <v>2.38</v>
      </c>
      <c r="K32" s="51">
        <v>246.69</v>
      </c>
      <c r="L32" s="51">
        <v>25.98</v>
      </c>
      <c r="M32" s="51">
        <v>84.27</v>
      </c>
      <c r="N32" s="51">
        <v>267.30</v>
      </c>
      <c r="O32" s="51">
        <v>0</v>
      </c>
      <c r="P32" s="51">
        <v>3.18</v>
      </c>
      <c r="Q32" s="51">
        <v>23.10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0.87</v>
      </c>
      <c r="C34" s="28">
        <f t="shared" si="0"/>
        <v>9.0600000000000005</v>
      </c>
      <c r="D34" s="28">
        <f t="shared" si="0"/>
        <v>10.85</v>
      </c>
      <c r="E34" s="28">
        <f t="shared" si="0"/>
        <v>3.8599999999999999</v>
      </c>
      <c r="F34" s="28">
        <f t="shared" si="0"/>
        <v>0.75</v>
      </c>
      <c r="G34" s="28">
        <f t="shared" si="0"/>
        <v>6.5099999999999998</v>
      </c>
      <c r="H34" s="28">
        <f t="shared" si="0"/>
        <v>4.0499999999999998</v>
      </c>
      <c r="I34" s="28">
        <f t="shared" si="0"/>
        <v>4.0599999999999996</v>
      </c>
      <c r="J34" s="28">
        <f t="shared" si="0"/>
        <v>1.52</v>
      </c>
      <c r="K34" s="28">
        <f t="shared" si="0"/>
        <v>189.05000000000001</v>
      </c>
      <c r="L34" s="28">
        <f t="shared" si="0"/>
        <v>18.739999999999998</v>
      </c>
      <c r="M34" s="28">
        <f t="shared" si="0"/>
        <v>70.909999999999997</v>
      </c>
      <c r="N34" s="28">
        <f t="shared" si="0"/>
        <v>250.59999999999999</v>
      </c>
      <c r="O34" s="28">
        <f t="shared" si="0"/>
        <v>0</v>
      </c>
      <c r="P34" s="28">
        <f t="shared" si="0"/>
        <v>2.79</v>
      </c>
      <c r="Q34" s="28">
        <f t="shared" si="0"/>
        <v>7.8700000000000001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21.890000000000001</v>
      </c>
      <c r="C35" s="29">
        <f t="shared" si="1"/>
        <v>30.77</v>
      </c>
      <c r="D35" s="29">
        <f t="shared" si="1"/>
        <v>36.43</v>
      </c>
      <c r="E35" s="29">
        <f t="shared" si="1"/>
        <v>8.8499999999999996</v>
      </c>
      <c r="F35" s="29">
        <f t="shared" si="1"/>
        <v>7.5899999999999999</v>
      </c>
      <c r="G35" s="29">
        <f t="shared" si="1"/>
        <v>33.049999999999997</v>
      </c>
      <c r="H35" s="29">
        <f t="shared" si="1"/>
        <v>30.829999999999998</v>
      </c>
      <c r="I35" s="29">
        <f t="shared" si="1"/>
        <v>9.2599999999999998</v>
      </c>
      <c r="J35" s="29">
        <f t="shared" si="1"/>
        <v>6.0599999999999996</v>
      </c>
      <c r="K35" s="29">
        <f t="shared" si="1"/>
        <v>358.31</v>
      </c>
      <c r="L35" s="29">
        <f t="shared" si="1"/>
        <v>30.239999999999998</v>
      </c>
      <c r="M35" s="29">
        <f t="shared" si="1"/>
        <v>99.400000000000006</v>
      </c>
      <c r="N35" s="29">
        <f t="shared" si="1"/>
        <v>737.79999999999995</v>
      </c>
      <c r="O35" s="29">
        <f t="shared" si="1"/>
        <v>0.40000000000000002</v>
      </c>
      <c r="P35" s="29">
        <f t="shared" si="1"/>
        <v>3.5899999999999999</v>
      </c>
      <c r="Q35" s="29">
        <f t="shared" si="1"/>
        <v>39.409999999999997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3.4520833333333338</v>
      </c>
      <c r="C36" s="28">
        <f t="shared" si="2"/>
        <v>19.134166666666665</v>
      </c>
      <c r="D36" s="28">
        <f t="shared" si="2"/>
        <v>22.313333333333333</v>
      </c>
      <c r="E36" s="28">
        <f t="shared" si="2"/>
        <v>6.3420833333333322</v>
      </c>
      <c r="F36" s="28">
        <f t="shared" si="2"/>
        <v>2.0645833333333337</v>
      </c>
      <c r="G36" s="28">
        <f t="shared" si="2"/>
        <v>14.597692307692306</v>
      </c>
      <c r="H36" s="28">
        <f t="shared" si="2"/>
        <v>13.835909090909091</v>
      </c>
      <c r="I36" s="28">
        <f t="shared" si="2"/>
        <v>6.1958333333333329</v>
      </c>
      <c r="J36" s="28">
        <f t="shared" si="2"/>
        <v>2.6325000000000003</v>
      </c>
      <c r="K36" s="28">
        <f t="shared" si="2"/>
        <v>272.08708333333328</v>
      </c>
      <c r="L36" s="28">
        <f t="shared" si="2"/>
        <v>24.550416666666667</v>
      </c>
      <c r="M36" s="28">
        <f t="shared" si="2"/>
        <v>86.530833333333348</v>
      </c>
      <c r="N36" s="28">
        <f t="shared" si="2"/>
        <v>422.26000000000005</v>
      </c>
      <c r="O36" s="28">
        <f t="shared" si="2"/>
        <v>0.025000000000000005</v>
      </c>
      <c r="P36" s="28">
        <f t="shared" si="2"/>
        <v>3.1412500000000008</v>
      </c>
      <c r="Q36" s="28">
        <f t="shared" si="2"/>
        <v>17.043333333333333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4.541950336839764</v>
      </c>
      <c r="C37" s="28">
        <f t="shared" si="3" ref="C37:Q37">STDEV(C9:C32)</f>
        <v>6.2192526579315288</v>
      </c>
      <c r="D37" s="28">
        <f t="shared" si="3"/>
        <v>7.2911779132262842</v>
      </c>
      <c r="E37" s="28">
        <f t="shared" si="3"/>
        <v>1.2530761424752257</v>
      </c>
      <c r="F37" s="28">
        <f t="shared" si="3"/>
        <v>1.6883719432757049</v>
      </c>
      <c r="G37" s="28">
        <f t="shared" si="3"/>
        <v>7.7091970548669488</v>
      </c>
      <c r="H37" s="28">
        <f t="shared" si="3"/>
        <v>8.4650467099045485</v>
      </c>
      <c r="I37" s="28">
        <f t="shared" si="3"/>
        <v>1.7519676308968002</v>
      </c>
      <c r="J37" s="28">
        <f t="shared" si="3"/>
        <v>0.99578350187613263</v>
      </c>
      <c r="K37" s="28">
        <f t="shared" si="3"/>
        <v>61.464069212562713</v>
      </c>
      <c r="L37" s="28">
        <f t="shared" si="3"/>
        <v>3.2413007039802753</v>
      </c>
      <c r="M37" s="28">
        <f t="shared" si="3"/>
        <v>10.028511925967669</v>
      </c>
      <c r="N37" s="28">
        <f t="shared" si="3"/>
        <v>153.29411879502356</v>
      </c>
      <c r="O37" s="28">
        <f t="shared" si="3"/>
        <v>0.089685440629288141</v>
      </c>
      <c r="P37" s="28">
        <f t="shared" si="3"/>
        <v>0.23650190733673379</v>
      </c>
      <c r="Q37" s="28">
        <f t="shared" si="3"/>
        <v>9.2705056691810945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COUNT(G9:G32)+9</f>
        <v>22</v>
      </c>
      <c r="H38" s="32">
        <f t="shared" si="4"/>
        <v>22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15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42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d7df29-d87a-40f5-8808-2318abd5ec9c}">
  <sheetPr codeName=""/>
  <dimension ref="A1:X54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T19" sqref="T19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43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59</v>
      </c>
      <c r="C7" s="44" t="s">
        <v>44</v>
      </c>
      <c r="D7" s="44" t="s">
        <v>45</v>
      </c>
      <c r="E7" s="44" t="s">
        <v>46</v>
      </c>
      <c r="F7" s="44" t="s">
        <v>47</v>
      </c>
      <c r="G7" s="44" t="s">
        <v>48</v>
      </c>
      <c r="H7" s="44" t="s">
        <v>49</v>
      </c>
      <c r="I7" s="44" t="s">
        <v>50</v>
      </c>
      <c r="J7" s="44" t="s">
        <v>51</v>
      </c>
      <c r="K7" s="44" t="s">
        <v>52</v>
      </c>
      <c r="L7" s="44" t="s">
        <v>53</v>
      </c>
      <c r="M7" s="44" t="s">
        <v>54</v>
      </c>
      <c r="N7" s="44" t="s">
        <v>55</v>
      </c>
      <c r="O7" s="44" t="s">
        <v>56</v>
      </c>
      <c r="P7" s="44" t="s">
        <v>57</v>
      </c>
      <c r="Q7" s="44" t="s">
        <v>58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01-06-2022 01:00</v>
      </c>
      <c r="B9" s="24">
        <f>'01'!B36</f>
        <v>34.398333333333333</v>
      </c>
      <c r="C9" s="24">
        <f>'01'!C36</f>
        <v>47.290000000000013</v>
      </c>
      <c r="D9" s="24">
        <f>'01'!D36</f>
        <v>81.155000000000001</v>
      </c>
      <c r="E9" s="24">
        <f>'01'!E36</f>
        <v>6.9320833333333347</v>
      </c>
      <c r="F9" s="24">
        <f>'01'!F36</f>
        <v>5.8879166666666682</v>
      </c>
      <c r="G9" s="24">
        <f>'01'!G36</f>
        <v>164.56043478260872</v>
      </c>
      <c r="H9" s="24">
        <f>'01'!H36</f>
        <v>56.680999999999997</v>
      </c>
      <c r="I9" s="24">
        <f>'01'!I36</f>
        <v>10.325416666666667</v>
      </c>
      <c r="J9" s="24">
        <f>'01'!J36</f>
        <v>3.3708333333333331</v>
      </c>
      <c r="K9" s="24">
        <f>'01'!K36</f>
        <v>248.09083333333334</v>
      </c>
      <c r="L9" s="24">
        <f>'01'!L36</f>
        <v>46.220416666666665</v>
      </c>
      <c r="M9" s="24">
        <f>'01'!M36</f>
        <v>33.993750000000013</v>
      </c>
      <c r="N9" s="24">
        <f>'01'!N36</f>
        <v>452.76666666666671</v>
      </c>
      <c r="O9" s="24">
        <f>'01'!O36</f>
        <v>0</v>
      </c>
      <c r="P9" s="30">
        <f>'01'!$P$36</f>
        <v>2.3487500000000003</v>
      </c>
      <c r="Q9" s="24">
        <f>'01'!Q36</f>
        <v>99.053333333333327</v>
      </c>
      <c r="R9" s="45"/>
      <c r="S9" s="45"/>
      <c r="T9" s="45"/>
      <c r="U9" s="46"/>
    </row>
    <row r="10" spans="1:21" s="34" customFormat="1" ht="15">
      <c r="A10" s="36" t="str">
        <f>'02'!$B$2</f>
        <v>02-06-2022 01:00</v>
      </c>
      <c r="B10" s="33">
        <f>'02'!B36</f>
        <v>61.347916666666663</v>
      </c>
      <c r="C10" s="33">
        <f>'02'!C36</f>
        <v>52.782499999999999</v>
      </c>
      <c r="D10" s="33">
        <f>'02'!D36</f>
        <v>113.51208333333334</v>
      </c>
      <c r="E10" s="33">
        <f>'02'!E36</f>
        <v>7.463750000000001</v>
      </c>
      <c r="F10" s="33">
        <f>'02'!F36</f>
        <v>3.6314285714285717</v>
      </c>
      <c r="G10" s="33">
        <f>'02'!G36</f>
        <v>223.70583333333329</v>
      </c>
      <c r="H10" s="33">
        <f>'02'!H36</f>
        <v>51.200416666666662</v>
      </c>
      <c r="I10" s="33">
        <f>'02'!I36</f>
        <v>13.65041666666667</v>
      </c>
      <c r="J10" s="33">
        <f>'02'!J36</f>
        <v>1.7849999999999999</v>
      </c>
      <c r="K10" s="33">
        <f>'02'!K36</f>
        <v>314.29374999999999</v>
      </c>
      <c r="L10" s="33">
        <f>'02'!L36</f>
        <v>48.68666666666666</v>
      </c>
      <c r="M10" s="33">
        <f>'02'!M36</f>
        <v>34.227083333333326</v>
      </c>
      <c r="N10" s="33">
        <f>'02'!N36</f>
        <v>432.12916666666661</v>
      </c>
      <c r="O10" s="33">
        <f>'02'!O36</f>
        <v>0</v>
      </c>
      <c r="P10" s="30">
        <f>'02'!$P$36</f>
        <v>2.8325</v>
      </c>
      <c r="Q10" s="33">
        <f>'02'!Q36</f>
        <v>104.20958333333333</v>
      </c>
      <c r="R10" s="47"/>
      <c r="S10" s="47"/>
      <c r="T10" s="47"/>
      <c r="U10" s="47"/>
    </row>
    <row r="11" spans="1:21" s="34" customFormat="1" ht="15">
      <c r="A11" s="36" t="str">
        <f>'03'!$B$2</f>
        <v>03-06-2022 01:00</v>
      </c>
      <c r="B11" s="33">
        <f>'03'!B36</f>
        <v>41.317916666666669</v>
      </c>
      <c r="C11" s="33">
        <f>'03'!C36</f>
        <v>61.135416666666679</v>
      </c>
      <c r="D11" s="33">
        <f>'03'!D36</f>
        <v>101.40125</v>
      </c>
      <c r="E11" s="33">
        <f>'03'!E36</f>
        <v>7.5445833333333328</v>
      </c>
      <c r="F11" s="33">
        <f>'03'!F36</f>
        <v>4.7390476190476187</v>
      </c>
      <c r="G11" s="33">
        <f>'03'!G36</f>
        <v>261.12764705882358</v>
      </c>
      <c r="H11" s="33">
        <f>'03'!H36</f>
        <v>66.454705882352911</v>
      </c>
      <c r="I11" s="33">
        <f>'03'!I36</f>
        <v>13.946521739130432</v>
      </c>
      <c r="J11" s="33">
        <f>'03'!J36</f>
        <v>2.1783333333333332</v>
      </c>
      <c r="K11" s="33">
        <f>'03'!K36</f>
        <v>273.07875000000007</v>
      </c>
      <c r="L11" s="33">
        <f>'03'!L36</f>
        <v>47.481666666666662</v>
      </c>
      <c r="M11" s="33">
        <f>'03'!M36</f>
        <v>31.983749999999997</v>
      </c>
      <c r="N11" s="33">
        <f>'03'!N36</f>
        <v>370.83750000000003</v>
      </c>
      <c r="O11" s="33">
        <f>'03'!O36</f>
        <v>0</v>
      </c>
      <c r="P11" s="30">
        <f>'03'!$P$36</f>
        <v>3.0429166666666667</v>
      </c>
      <c r="Q11" s="33">
        <f>'03'!Q36</f>
        <v>87.043750000000003</v>
      </c>
      <c r="R11" s="47"/>
      <c r="S11" s="47"/>
      <c r="T11" s="47"/>
      <c r="U11" s="47"/>
    </row>
    <row r="12" spans="1:21" s="34" customFormat="1" ht="15">
      <c r="A12" s="36" t="str">
        <f>'04'!$B$2</f>
        <v>04-06-2022 01:00</v>
      </c>
      <c r="B12" s="33">
        <f>'04'!B36</f>
        <v>10.54875</v>
      </c>
      <c r="C12" s="33">
        <f>'04'!C36</f>
        <v>51.124583333333327</v>
      </c>
      <c r="D12" s="33">
        <f>'04'!D36</f>
        <v>61.393333333333324</v>
      </c>
      <c r="E12" s="33">
        <f>'04'!E36</f>
        <v>6.2333333333333352</v>
      </c>
      <c r="F12" s="33">
        <f>'04'!F36</f>
        <v>4.0113043478260879</v>
      </c>
      <c r="G12" s="33">
        <f>'04'!G36</f>
        <v>161.41363636363636</v>
      </c>
      <c r="H12" s="33">
        <f>'04'!H36</f>
        <v>46.489545454545464</v>
      </c>
      <c r="I12" s="33">
        <f>'04'!I36</f>
        <v>7.6969565217391294</v>
      </c>
      <c r="J12" s="33">
        <f>'04'!J36</f>
        <v>2.7275000000000005</v>
      </c>
      <c r="K12" s="33">
        <f>'04'!K36</f>
        <v>320.71291666666667</v>
      </c>
      <c r="L12" s="33">
        <f>'04'!L36</f>
        <v>47.409583333333337</v>
      </c>
      <c r="M12" s="33">
        <f>'04'!M36</f>
        <v>29.079166666666669</v>
      </c>
      <c r="N12" s="33">
        <f>'04'!N36</f>
        <v>429.52500000000003</v>
      </c>
      <c r="O12" s="33">
        <f>'04'!O36</f>
        <v>0</v>
      </c>
      <c r="P12" s="30">
        <f>'04'!$P$36</f>
        <v>2.0575000000000001</v>
      </c>
      <c r="Q12" s="33">
        <f>'04'!Q36</f>
        <v>102.96624999999996</v>
      </c>
      <c r="R12" s="47"/>
      <c r="S12" s="47"/>
      <c r="T12" s="47"/>
      <c r="U12" s="47"/>
    </row>
    <row r="13" spans="1:21" s="34" customFormat="1" ht="15">
      <c r="A13" s="36" t="str">
        <f>'05'!$B$2</f>
        <v>05-06-2022 01:00</v>
      </c>
      <c r="B13" s="33">
        <f>'05'!B36</f>
        <v>10.303333333333333</v>
      </c>
      <c r="C13" s="33">
        <f>'05'!C36</f>
        <v>48.614583333333343</v>
      </c>
      <c r="D13" s="33">
        <f>'05'!D36</f>
        <v>58.69666666666668</v>
      </c>
      <c r="E13" s="33">
        <f>'05'!E36</f>
        <v>7.166666666666667</v>
      </c>
      <c r="F13" s="33">
        <f>'05'!F36</f>
        <v>2.6104166666666666</v>
      </c>
      <c r="G13" s="33">
        <f>'05'!G36</f>
        <v>159.17250000000001</v>
      </c>
      <c r="H13" s="33">
        <f>'05'!H36</f>
        <v>43.832500000000003</v>
      </c>
      <c r="I13" s="33">
        <f>'05'!I36</f>
        <v>9.2645833333333343</v>
      </c>
      <c r="J13" s="33">
        <f>'05'!J36</f>
        <v>2.7474999999999992</v>
      </c>
      <c r="K13" s="33">
        <f>'05'!K36</f>
        <v>293.96875000000006</v>
      </c>
      <c r="L13" s="33">
        <f>'05'!L36</f>
        <v>49.37833333333333</v>
      </c>
      <c r="M13" s="33">
        <f>'05'!M36</f>
        <v>30.694999999999997</v>
      </c>
      <c r="N13" s="33">
        <f>'05'!N36</f>
        <v>456.55000000000013</v>
      </c>
      <c r="O13" s="33">
        <f>'05'!O36</f>
        <v>0</v>
      </c>
      <c r="P13" s="30">
        <f>'05'!$P$36</f>
        <v>2.3341666666666669</v>
      </c>
      <c r="Q13" s="33">
        <f>'05'!Q36</f>
        <v>83.012083333333337</v>
      </c>
      <c r="R13" s="47"/>
      <c r="S13" s="47"/>
      <c r="T13" s="47"/>
      <c r="U13" s="47"/>
    </row>
    <row r="14" spans="1:21" s="34" customFormat="1" ht="15">
      <c r="A14" s="36" t="str">
        <f>'06'!$B$2</f>
        <v>06-06-2022 01:00</v>
      </c>
      <c r="B14" s="33">
        <f>'06'!B36</f>
        <v>1.1454166666666665</v>
      </c>
      <c r="C14" s="33">
        <f>'06'!C36</f>
        <v>30.897083333333331</v>
      </c>
      <c r="D14" s="33">
        <f>'06'!D36</f>
        <v>31.98</v>
      </c>
      <c r="E14" s="33">
        <f>'06'!E36</f>
        <v>6.3533333333333326</v>
      </c>
      <c r="F14" s="33">
        <f>'06'!F36</f>
        <v>4.6012500000000003</v>
      </c>
      <c r="G14" s="33">
        <f>'06'!G36</f>
        <v>119.0175</v>
      </c>
      <c r="H14" s="33">
        <f>'06'!H36</f>
        <v>42.033749999999998</v>
      </c>
      <c r="I14" s="33">
        <f>'06'!I36</f>
        <v>5.2386956521739121</v>
      </c>
      <c r="J14" s="33">
        <f>'06'!J36</f>
        <v>2.4175</v>
      </c>
      <c r="K14" s="33">
        <f>'06'!K36</f>
        <v>223.86041666666665</v>
      </c>
      <c r="L14" s="33">
        <f>'06'!L36</f>
        <v>40.511250000000004</v>
      </c>
      <c r="M14" s="33">
        <f>'06'!M36</f>
        <v>35.370833333333344</v>
      </c>
      <c r="N14" s="33">
        <f>'06'!N36</f>
        <v>412.67500000000013</v>
      </c>
      <c r="O14" s="33">
        <f>'06'!O36</f>
        <v>0</v>
      </c>
      <c r="P14" s="30">
        <f>'06'!$P$36</f>
        <v>1.7837500000000004</v>
      </c>
      <c r="Q14" s="33">
        <f>'06'!Q36</f>
        <v>73.787499999999994</v>
      </c>
      <c r="R14" s="47"/>
      <c r="S14" s="47"/>
      <c r="T14" s="47"/>
      <c r="U14" s="47"/>
    </row>
    <row r="15" spans="1:21" s="34" customFormat="1" ht="15">
      <c r="A15" s="36" t="str">
        <f>'07'!$B$2</f>
        <v>07-06-2022 01:00</v>
      </c>
      <c r="B15" s="33">
        <f>'07'!B36</f>
        <v>32.495416666666664</v>
      </c>
      <c r="C15" s="33">
        <f>'07'!C36</f>
        <v>41.921249999999993</v>
      </c>
      <c r="D15" s="33">
        <f>'07'!D36</f>
        <v>74.228333333333339</v>
      </c>
      <c r="E15" s="33">
        <f>'07'!E36</f>
        <v>6.4774999999999991</v>
      </c>
      <c r="F15" s="33">
        <f>'07'!F36</f>
        <v>2.7325000000000004</v>
      </c>
      <c r="G15" s="33">
        <f>'07'!G36</f>
        <v>113.08699999999999</v>
      </c>
      <c r="H15" s="33">
        <f>'07'!H36</f>
        <v>38.552000000000007</v>
      </c>
      <c r="I15" s="33">
        <f>'07'!I36</f>
        <v>9.0522727272727277</v>
      </c>
      <c r="J15" s="33">
        <f>'07'!J36</f>
        <v>1.8591666666666669</v>
      </c>
      <c r="K15" s="33">
        <f>'07'!K36</f>
        <v>297.57249999999999</v>
      </c>
      <c r="L15" s="33">
        <f>'07'!L36</f>
        <v>46.563333333333333</v>
      </c>
      <c r="M15" s="33">
        <f>'07'!M36</f>
        <v>38.075833333333335</v>
      </c>
      <c r="N15" s="9" t="s">
        <v>15</v>
      </c>
      <c r="O15" s="9" t="s">
        <v>15</v>
      </c>
      <c r="P15" s="9" t="s">
        <v>15</v>
      </c>
      <c r="Q15" s="33">
        <f>'07'!Q36</f>
        <v>102.90458333333335</v>
      </c>
      <c r="R15" s="47"/>
      <c r="S15" s="47"/>
      <c r="T15" s="47"/>
      <c r="U15" s="47"/>
    </row>
    <row r="16" spans="1:21" s="34" customFormat="1" ht="15">
      <c r="A16" s="36" t="str">
        <f>'08'!$B$2</f>
        <v>08-06-2022 01:00</v>
      </c>
      <c r="B16" s="33">
        <f>'08'!B36</f>
        <v>57.559166666666663</v>
      </c>
      <c r="C16" s="33">
        <f>'08'!C36</f>
        <v>48.973749999999995</v>
      </c>
      <c r="D16" s="33">
        <f>'08'!D36</f>
        <v>105.79458333333334</v>
      </c>
      <c r="E16" s="33">
        <f>'08'!E36</f>
        <v>7.0612500000000002</v>
      </c>
      <c r="F16" s="33">
        <f>'08'!F36</f>
        <v>2.0879166666666671</v>
      </c>
      <c r="G16" s="33">
        <f>'08'!G36</f>
        <v>150.52111111111111</v>
      </c>
      <c r="H16" s="33">
        <f>'08'!H36</f>
        <v>47.190555555555555</v>
      </c>
      <c r="I16" s="33">
        <f>'08'!I36</f>
        <v>12.260833333333336</v>
      </c>
      <c r="J16" s="33">
        <f>'08'!J36</f>
        <v>2.13625</v>
      </c>
      <c r="K16" s="33">
        <f>'08'!K36</f>
        <v>307.10166666666669</v>
      </c>
      <c r="L16" s="33">
        <f>'08'!L36</f>
        <v>47.588181818181809</v>
      </c>
      <c r="M16" s="33">
        <f>'08'!M36</f>
        <v>30.124999999999996</v>
      </c>
      <c r="N16" s="33">
        <f>'08'!N36</f>
        <v>376.40869565217372</v>
      </c>
      <c r="O16" s="33">
        <f>'08'!O36</f>
        <v>0</v>
      </c>
      <c r="P16" s="30">
        <f>'08'!$P$36</f>
        <v>3.0670833333333332</v>
      </c>
      <c r="Q16" s="33">
        <f>'08'!Q36</f>
        <v>131.65625000000003</v>
      </c>
      <c r="R16" s="47"/>
      <c r="S16" s="47"/>
      <c r="T16" s="47"/>
      <c r="U16" s="47"/>
    </row>
    <row r="17" spans="1:24" s="34" customFormat="1" ht="15">
      <c r="A17" s="36" t="str">
        <f>'09'!$B$2</f>
        <v>09-06-2022 01:00</v>
      </c>
      <c r="B17" s="33">
        <f>'09'!B36</f>
        <v>26.314583333333331</v>
      </c>
      <c r="C17" s="33">
        <f>'09'!C36</f>
        <v>45.927083333333336</v>
      </c>
      <c r="D17" s="33">
        <f>'09'!D36</f>
        <v>71.945000000000007</v>
      </c>
      <c r="E17" s="33">
        <f>'09'!E36</f>
        <v>6.2962500000000006</v>
      </c>
      <c r="F17" s="33">
        <f>'09'!F36</f>
        <v>2.409583333333333</v>
      </c>
      <c r="G17" s="33">
        <f>'09'!G36</f>
        <v>144.07541666666665</v>
      </c>
      <c r="H17" s="33">
        <f>'09'!H36</f>
        <v>45.864583333333336</v>
      </c>
      <c r="I17" s="33">
        <f>'09'!I36</f>
        <v>10.590833333333334</v>
      </c>
      <c r="J17" s="33">
        <f>'09'!J36</f>
        <v>1.64625</v>
      </c>
      <c r="K17" s="33">
        <f>'09'!K36</f>
        <v>316.11583333333334</v>
      </c>
      <c r="L17" s="33">
        <f>'09'!L36</f>
        <v>48.423750000000005</v>
      </c>
      <c r="M17" s="33">
        <f>'09'!M36</f>
        <v>28.270833333333332</v>
      </c>
      <c r="N17" s="8" t="s">
        <v>8</v>
      </c>
      <c r="O17" s="8" t="s">
        <v>8</v>
      </c>
      <c r="P17" s="8" t="s">
        <v>8</v>
      </c>
      <c r="Q17" s="33">
        <f>'09'!Q36</f>
        <v>105.15291666666667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10-06-2022 01:00</v>
      </c>
      <c r="B18" s="33">
        <f>'10'!B36</f>
        <v>3.8987499999999997</v>
      </c>
      <c r="C18" s="33">
        <f>'10'!C36</f>
        <v>41.201250000000002</v>
      </c>
      <c r="D18" s="33">
        <f>'10'!D36</f>
        <v>44.683750000000003</v>
      </c>
      <c r="E18" s="33">
        <f>'10'!E36</f>
        <v>5.0970833333333339</v>
      </c>
      <c r="F18" s="33">
        <f>'10'!F36</f>
        <v>3.3399999999999999</v>
      </c>
      <c r="G18" s="33">
        <f>'10'!G36</f>
        <v>93.528750000000002</v>
      </c>
      <c r="H18" s="33">
        <f>'10'!H36</f>
        <v>31.879999999999995</v>
      </c>
      <c r="I18" s="33">
        <f>'10'!I36</f>
        <v>5.767500000000001</v>
      </c>
      <c r="J18" s="33">
        <f>'10'!J36</f>
        <v>1.7354166666666666</v>
      </c>
      <c r="K18" s="33">
        <f>'10'!K36</f>
        <v>310.88791666666668</v>
      </c>
      <c r="L18" s="33">
        <f>'10'!L36</f>
        <v>49.990833333333335</v>
      </c>
      <c r="M18" s="33">
        <f>'10'!M36</f>
        <v>33.586666666666666</v>
      </c>
      <c r="N18" s="33">
        <f>'10'!N36</f>
        <v>329.24583333333334</v>
      </c>
      <c r="O18" s="33">
        <f>'10'!O36</f>
        <v>0</v>
      </c>
      <c r="P18" s="30">
        <f>'10'!$P$36</f>
        <v>2.1237499999999998</v>
      </c>
      <c r="Q18" s="33">
        <f>'10'!Q36</f>
        <v>113.67208333333333</v>
      </c>
      <c r="R18" s="47"/>
      <c r="S18" s="47"/>
      <c r="T18" s="47"/>
      <c r="U18" s="47"/>
    </row>
    <row r="19" spans="1:21" s="34" customFormat="1" ht="15">
      <c r="A19" s="36" t="str">
        <f>'11'!$B$2</f>
        <v>11-06-2022 01:00</v>
      </c>
      <c r="B19" s="33">
        <f>'11'!B36</f>
        <v>1.0937499999999998</v>
      </c>
      <c r="C19" s="33">
        <f>'11'!C36</f>
        <v>30.504583333333333</v>
      </c>
      <c r="D19" s="33">
        <f>'11'!D36</f>
        <v>31.547500000000003</v>
      </c>
      <c r="E19" s="33">
        <f>'11'!E36</f>
        <v>4.9074999999999998</v>
      </c>
      <c r="F19" s="33">
        <f>'11'!F36</f>
        <v>4.9904166666666656</v>
      </c>
      <c r="G19" s="33">
        <f>'11'!G36</f>
        <v>82.600416666666646</v>
      </c>
      <c r="H19" s="33">
        <f>'11'!H36</f>
        <v>25.866666666666664</v>
      </c>
      <c r="I19" s="33">
        <f>'11'!I36</f>
        <v>4.3758333333333344</v>
      </c>
      <c r="J19" s="33">
        <f>'11'!J36</f>
        <v>1.6725000000000003</v>
      </c>
      <c r="K19" s="33">
        <f>'11'!K36</f>
        <v>307.08208333333334</v>
      </c>
      <c r="L19" s="33">
        <f>'11'!L36</f>
        <v>45.410416666666663</v>
      </c>
      <c r="M19" s="33">
        <f>'11'!M36</f>
        <v>50.936666666666667</v>
      </c>
      <c r="N19" s="33">
        <f>'11'!N36</f>
        <v>408.94500000000005</v>
      </c>
      <c r="O19" s="33">
        <f>'11'!O36</f>
        <v>0.34166666666666673</v>
      </c>
      <c r="P19" s="33">
        <f>'11'!P36</f>
        <v>1.9962500000000005</v>
      </c>
      <c r="Q19" s="33">
        <f>'11'!Q36</f>
        <v>88.204999999999984</v>
      </c>
      <c r="R19" s="47"/>
      <c r="S19" s="47"/>
      <c r="T19" s="47"/>
      <c r="U19" s="47"/>
    </row>
    <row r="20" spans="1:21" s="34" customFormat="1" ht="15">
      <c r="A20" s="36" t="str">
        <f>'12'!$B$2</f>
        <v>12-06-2022 01:00</v>
      </c>
      <c r="B20" s="33">
        <f>'12'!B36</f>
        <v>3.9004166666666666</v>
      </c>
      <c r="C20" s="33">
        <f>'12'!C36</f>
        <v>30.160416666666666</v>
      </c>
      <c r="D20" s="33">
        <f>'12'!D36</f>
        <v>33.904999999999994</v>
      </c>
      <c r="E20" s="33">
        <f>'12'!E36</f>
        <v>5.9837500000000015</v>
      </c>
      <c r="F20" s="33">
        <f>'12'!F36</f>
        <v>3.0700000000000016</v>
      </c>
      <c r="G20" s="33">
        <f>'12'!G36</f>
        <v>60.151666666666671</v>
      </c>
      <c r="H20" s="33">
        <f>'12'!H36</f>
        <v>22.127499999999998</v>
      </c>
      <c r="I20" s="33">
        <f>'12'!I36</f>
        <v>6.3991666666666669</v>
      </c>
      <c r="J20" s="33">
        <f>'12'!J36</f>
        <v>1.4183333333333337</v>
      </c>
      <c r="K20" s="33">
        <f>'12'!K36</f>
        <v>305.04291666666666</v>
      </c>
      <c r="L20" s="33">
        <f>'12'!L36</f>
        <v>43.010000000000012</v>
      </c>
      <c r="M20" s="33">
        <f>'12'!M36</f>
        <v>65.94916666666667</v>
      </c>
      <c r="N20" s="33">
        <f>'12'!N36</f>
        <v>321.77894736842109</v>
      </c>
      <c r="O20" s="33">
        <f>'12'!O36</f>
        <v>0</v>
      </c>
      <c r="P20" s="33">
        <f>'12'!P36</f>
        <v>2.3124999999999996</v>
      </c>
      <c r="Q20" s="33">
        <f>'12'!Q36</f>
        <v>46.444999999999993</v>
      </c>
      <c r="R20" s="47"/>
      <c r="S20" s="47"/>
      <c r="T20" s="47"/>
      <c r="U20" s="47"/>
    </row>
    <row r="21" spans="1:21" s="34" customFormat="1" ht="15">
      <c r="A21" s="36" t="str">
        <f>'13'!$B$2</f>
        <v>13-06-2022 01:00</v>
      </c>
      <c r="B21" s="33">
        <f>'13'!B36</f>
        <v>4.0287499999999996</v>
      </c>
      <c r="C21" s="33">
        <f>'13'!C36</f>
        <v>27.244166666666668</v>
      </c>
      <c r="D21" s="33">
        <f>'13'!D36</f>
        <v>31.061250000000001</v>
      </c>
      <c r="E21" s="33">
        <f>'13'!E36</f>
        <v>5.889166666666668</v>
      </c>
      <c r="F21" s="33">
        <f>'13'!F36</f>
        <v>6.8999999999999977</v>
      </c>
      <c r="G21" s="33">
        <f>'13'!G36</f>
        <v>65.752916666666678</v>
      </c>
      <c r="H21" s="33">
        <f>'13'!H36</f>
        <v>23.087083333333329</v>
      </c>
      <c r="I21" s="33">
        <f>'13'!I36</f>
        <v>5.425416666666667</v>
      </c>
      <c r="J21" s="33">
        <f>'13'!J36</f>
        <v>1.87375</v>
      </c>
      <c r="K21" s="33">
        <f>'13'!K36</f>
        <v>266.18708333333331</v>
      </c>
      <c r="L21" s="33">
        <f>'13'!L36</f>
        <v>45.087083333333332</v>
      </c>
      <c r="M21" s="33">
        <f>'13'!M36</f>
        <v>53.823750000000011</v>
      </c>
      <c r="N21" s="33">
        <f>'13'!N36</f>
        <v>577.7071428571428</v>
      </c>
      <c r="O21" s="33">
        <f>'13'!O36</f>
        <v>0</v>
      </c>
      <c r="P21" s="33">
        <f>'13'!P36</f>
        <v>2.2516666666666665</v>
      </c>
      <c r="Q21" s="33">
        <f>'13'!Q36</f>
        <v>54.026249999999997</v>
      </c>
      <c r="R21" s="47"/>
      <c r="S21" s="47"/>
      <c r="T21" s="47"/>
      <c r="U21" s="47"/>
    </row>
    <row r="22" spans="1:21" s="34" customFormat="1" ht="15">
      <c r="A22" s="36" t="str">
        <f>'14'!$B$2</f>
        <v>14-06-2022 01:00</v>
      </c>
      <c r="B22" s="30">
        <f>'14'!B36</f>
        <v>2.4900000000000002</v>
      </c>
      <c r="C22" s="30">
        <f>'14'!C36</f>
        <v>21.986249999999998</v>
      </c>
      <c r="D22" s="30">
        <f>'14'!D36</f>
        <v>24.289583333333336</v>
      </c>
      <c r="E22" s="30">
        <f>'14'!E36</f>
        <v>5.314583333333335</v>
      </c>
      <c r="F22" s="30">
        <f>'14'!F36</f>
        <v>4.8229166666666661</v>
      </c>
      <c r="G22" s="30">
        <f>'14'!G36</f>
        <v>70.917083333333323</v>
      </c>
      <c r="H22" s="30">
        <f>'14'!H36</f>
        <v>25.242083333333337</v>
      </c>
      <c r="I22" s="30">
        <f>'14'!I36</f>
        <v>6.6145833333333313</v>
      </c>
      <c r="J22" s="30">
        <f>'14'!J36</f>
        <v>1.7733333333333334</v>
      </c>
      <c r="K22" s="30">
        <f>'14'!K36</f>
        <v>287.36541666666665</v>
      </c>
      <c r="L22" s="30">
        <f>'14'!L36</f>
        <v>43.500666666666675</v>
      </c>
      <c r="M22" s="30">
        <f>'14'!M36</f>
        <v>51.205833333333324</v>
      </c>
      <c r="N22" s="30">
        <f>'14'!N36</f>
        <v>606.0428571428572</v>
      </c>
      <c r="O22" s="30">
        <f>'14'!O36</f>
        <v>0</v>
      </c>
      <c r="P22" s="30">
        <f>'14'!P36</f>
        <v>2.2595833333333326</v>
      </c>
      <c r="Q22" s="30">
        <f>'14'!Q36</f>
        <v>51.678333333333335</v>
      </c>
      <c r="R22" s="48"/>
      <c r="S22" s="48"/>
      <c r="T22" s="48"/>
      <c r="U22" s="48"/>
    </row>
    <row r="23" spans="1:21" s="34" customFormat="1" ht="15">
      <c r="A23" s="36" t="str">
        <f>'15'!$B$2</f>
        <v>15-06-2022 01:00</v>
      </c>
      <c r="B23" s="33">
        <f>'15'!B36</f>
        <v>1.5995833333333331</v>
      </c>
      <c r="C23" s="33">
        <f>'15'!C36</f>
        <v>20.197083333333335</v>
      </c>
      <c r="D23" s="33">
        <f>'15'!D36</f>
        <v>21.679999999999996</v>
      </c>
      <c r="E23" s="33">
        <f>'15'!E36</f>
        <v>6.5175000000000018</v>
      </c>
      <c r="F23" s="33">
        <f>'15'!F36</f>
        <v>2.3633333333333328</v>
      </c>
      <c r="G23" s="33">
        <f>'15'!G36</f>
        <v>63.026249999999983</v>
      </c>
      <c r="H23" s="33">
        <f>'15'!H36</f>
        <v>22.193333333333332</v>
      </c>
      <c r="I23" s="33">
        <f>'15'!I36</f>
        <v>4.8045833333333343</v>
      </c>
      <c r="J23" s="33">
        <f>'15'!J36</f>
        <v>2.4004166666666666</v>
      </c>
      <c r="K23" s="33">
        <f>'15'!K36</f>
        <v>262.80958333333331</v>
      </c>
      <c r="L23" s="33">
        <f>'15'!L36</f>
        <v>40.116</v>
      </c>
      <c r="M23" s="33">
        <f>'15'!M36</f>
        <v>57.466666666666661</v>
      </c>
      <c r="N23" s="33">
        <f>'15'!N36</f>
        <v>407.06428571428569</v>
      </c>
      <c r="O23" s="33">
        <f>'15'!O36</f>
        <v>0</v>
      </c>
      <c r="P23" s="30">
        <f>'15'!P36</f>
        <v>2.1695833333333332</v>
      </c>
      <c r="Q23" s="30">
        <f>'15'!Q36</f>
        <v>32.774999999999999</v>
      </c>
      <c r="R23" s="48"/>
      <c r="S23" s="48"/>
      <c r="T23" s="48"/>
      <c r="U23" s="47"/>
    </row>
    <row r="24" spans="1:21" s="34" customFormat="1" ht="15">
      <c r="A24" s="36" t="str">
        <f>'16'!$B$2</f>
        <v>16-06-2022 01:00</v>
      </c>
      <c r="B24" s="33">
        <f>'16'!B36</f>
        <v>8.2675000000000001</v>
      </c>
      <c r="C24" s="33">
        <f>'16'!C36</f>
        <v>27.247500000000002</v>
      </c>
      <c r="D24" s="33">
        <f>'16'!D36</f>
        <v>34.956249999999997</v>
      </c>
      <c r="E24" s="33">
        <f>'16'!E36</f>
        <v>6.2525000000000004</v>
      </c>
      <c r="F24" s="33">
        <f>'16'!F36</f>
        <v>1.9349999999999998</v>
      </c>
      <c r="G24" s="33">
        <f>'16'!G36</f>
        <v>73.876249999999999</v>
      </c>
      <c r="H24" s="33">
        <f>'16'!H36</f>
        <v>24.98</v>
      </c>
      <c r="I24" s="33">
        <f>'16'!I36</f>
        <v>5.3562499999999993</v>
      </c>
      <c r="J24" s="33">
        <f>'16'!J36</f>
        <v>5.6712499999999997</v>
      </c>
      <c r="K24" s="33">
        <f>'16'!K36</f>
        <v>168.7175</v>
      </c>
      <c r="L24" s="33">
        <f>'16'!L36</f>
        <v>41.533749999999998</v>
      </c>
      <c r="M24" s="33">
        <f>'16'!M36</f>
        <v>59.847500000000004</v>
      </c>
      <c r="N24" s="33">
        <f>'16'!N36</f>
        <v>81.340000000000003</v>
      </c>
      <c r="O24" s="33">
        <f>'16'!O36</f>
        <v>0</v>
      </c>
      <c r="P24" s="30">
        <f>'16'!P36</f>
        <v>2.8674999999999997</v>
      </c>
      <c r="Q24" s="30">
        <f>'16'!Q36</f>
        <v>19.155000000000001</v>
      </c>
      <c r="R24" s="48"/>
      <c r="S24" s="48"/>
      <c r="T24" s="48"/>
      <c r="U24" s="47"/>
    </row>
    <row r="25" spans="1:21" s="34" customFormat="1" ht="15">
      <c r="A25" s="36" t="str">
        <f>'17'!$B$2</f>
        <v>17-06-2022 01:00</v>
      </c>
      <c r="B25" s="33">
        <f>'17'!B36</f>
        <v>1.6537500000000003</v>
      </c>
      <c r="C25" s="33">
        <f>'17'!C36</f>
        <v>20.436666666666664</v>
      </c>
      <c r="D25" s="33">
        <f>'17'!D36</f>
        <v>21.930000000000003</v>
      </c>
      <c r="E25" s="33">
        <f>'17'!E36</f>
        <v>5.0029166666666667</v>
      </c>
      <c r="F25" s="33">
        <f>'17'!F36</f>
        <v>3.6074999999999999</v>
      </c>
      <c r="G25" s="33">
        <f>'17'!G36</f>
        <v>56.780416666666667</v>
      </c>
      <c r="H25" s="33">
        <f>'17'!H36</f>
        <v>23.280000000000001</v>
      </c>
      <c r="I25" s="33">
        <f>'17'!I36</f>
        <v>3.9170833333333328</v>
      </c>
      <c r="J25" s="33">
        <f>'17'!J36</f>
        <v>1.8191666666666668</v>
      </c>
      <c r="K25" s="33">
        <f>'17'!K36</f>
        <v>240.34875</v>
      </c>
      <c r="L25" s="33">
        <f>'17'!L36</f>
        <v>41.020000000000003</v>
      </c>
      <c r="M25" s="33">
        <f>'17'!M36</f>
        <v>66.537083333333328</v>
      </c>
      <c r="N25" s="33">
        <f>'17'!N36</f>
        <v>425.4708333333333</v>
      </c>
      <c r="O25" s="33">
        <f>'17'!O36</f>
        <v>0</v>
      </c>
      <c r="P25" s="30">
        <f>'17'!P36</f>
        <v>2.2004166666666669</v>
      </c>
      <c r="Q25" s="30">
        <f>'17'!Q36</f>
        <v>12.994166666666667</v>
      </c>
      <c r="R25" s="48"/>
      <c r="S25" s="48"/>
      <c r="T25" s="48"/>
      <c r="U25" s="47"/>
    </row>
    <row r="26" spans="1:21" s="34" customFormat="1" ht="15">
      <c r="A26" s="36" t="str">
        <f>'18'!$B$2</f>
        <v>18-06-2022 01:00</v>
      </c>
      <c r="B26" s="33">
        <f>'18'!B36</f>
        <v>3.2591666666666672</v>
      </c>
      <c r="C26" s="33">
        <f>'18'!C36</f>
        <v>19.290416666666669</v>
      </c>
      <c r="D26" s="33">
        <f>'18'!D36</f>
        <v>22.414999999999996</v>
      </c>
      <c r="E26" s="33">
        <f>'18'!E36</f>
        <v>5.737499999999998</v>
      </c>
      <c r="F26" s="33">
        <f>'18'!F36</f>
        <v>2.4008333333333334</v>
      </c>
      <c r="G26" s="33">
        <f>'18'!G36</f>
        <v>52.30916666666667</v>
      </c>
      <c r="H26" s="33">
        <f>'18'!H36</f>
        <v>16.359999999999999</v>
      </c>
      <c r="I26" s="33">
        <f>'18'!I36</f>
        <v>3.7900000000000005</v>
      </c>
      <c r="J26" s="33">
        <f>'18'!J36</f>
        <v>2.6666666666666665</v>
      </c>
      <c r="K26" s="33">
        <f>'18'!K36</f>
        <v>224.73041666666663</v>
      </c>
      <c r="L26" s="33">
        <f>'18'!L36</f>
        <v>35.978333333333332</v>
      </c>
      <c r="M26" s="33">
        <f>'18'!M36</f>
        <v>71.939583333333346</v>
      </c>
      <c r="N26" s="33">
        <f>'18'!N36</f>
        <v>383.41666666666657</v>
      </c>
      <c r="O26" s="33">
        <f>'18'!O36</f>
        <v>0</v>
      </c>
      <c r="P26" s="30">
        <f>'18'!P36</f>
        <v>2.1520833333333336</v>
      </c>
      <c r="Q26" s="30">
        <f>'18'!Q36</f>
        <v>22.695416666666674</v>
      </c>
      <c r="R26" s="48"/>
      <c r="S26" s="48"/>
      <c r="T26" s="48"/>
      <c r="U26" s="47"/>
    </row>
    <row r="27" spans="1:21" s="34" customFormat="1" ht="15">
      <c r="A27" s="36" t="str">
        <f>'19'!$B$2</f>
        <v>19-06-2022</v>
      </c>
      <c r="B27" s="33">
        <f>'19'!B36</f>
        <v>3.7230434782608692</v>
      </c>
      <c r="C27" s="33">
        <f>'19'!C36</f>
        <v>19.466521739130435</v>
      </c>
      <c r="D27" s="33">
        <f>'19'!D36</f>
        <v>22.944347826086958</v>
      </c>
      <c r="E27" s="33">
        <f>'19'!E36</f>
        <v>6.9078260869565211</v>
      </c>
      <c r="F27" s="33">
        <f>'19'!F36</f>
        <v>1.2460869565217394</v>
      </c>
      <c r="G27" s="33">
        <f>'19'!G36</f>
        <v>49.682173913043471</v>
      </c>
      <c r="H27" s="33">
        <f>'19'!H36</f>
        <v>19.324347826086957</v>
      </c>
      <c r="I27" s="33">
        <f>'19'!I36</f>
        <v>4.260434782608697</v>
      </c>
      <c r="J27" s="33">
        <f>'19'!J36</f>
        <v>2.8821739130434785</v>
      </c>
      <c r="K27" s="33">
        <f>'19'!K36</f>
        <v>234.34826086956519</v>
      </c>
      <c r="L27" s="33">
        <f>'19'!L36</f>
        <v>35.064782608695651</v>
      </c>
      <c r="M27" s="33">
        <f>'19'!M36</f>
        <v>83.839130434782632</v>
      </c>
      <c r="N27" s="33">
        <f>'19'!N36</f>
        <v>318.30000000000001</v>
      </c>
      <c r="O27" s="33">
        <f>'19'!O36</f>
        <v>0.54782608695652169</v>
      </c>
      <c r="P27" s="30">
        <f>'19'!P36</f>
        <v>2.2069565217391305</v>
      </c>
      <c r="Q27" s="30">
        <f>'19'!Q36</f>
        <v>14.112173913043478</v>
      </c>
      <c r="R27" s="48"/>
      <c r="S27" s="48"/>
      <c r="T27" s="48"/>
      <c r="U27" s="47"/>
    </row>
    <row r="28" spans="1:21" s="34" customFormat="1" ht="15">
      <c r="A28" s="36" t="str">
        <f>'20'!$B$2</f>
        <v>19-06-2022 24:00</v>
      </c>
      <c r="B28" s="33">
        <f>'20'!B36</f>
        <v>7.2566666666666668</v>
      </c>
      <c r="C28" s="33">
        <f>'20'!C36</f>
        <v>19.421249999999997</v>
      </c>
      <c r="D28" s="33">
        <f>'20'!D36</f>
        <v>26.359166666666667</v>
      </c>
      <c r="E28" s="33">
        <f>'20'!E36</f>
        <v>6.8241666666666676</v>
      </c>
      <c r="F28" s="33">
        <f>'20'!F36</f>
        <v>0.8520833333333333</v>
      </c>
      <c r="G28" s="33">
        <f>'20'!G36</f>
        <v>48.657916666666672</v>
      </c>
      <c r="H28" s="33">
        <f>'20'!H36</f>
        <v>18.625000000000004</v>
      </c>
      <c r="I28" s="33">
        <f>'20'!I36</f>
        <v>4.3408333333333333</v>
      </c>
      <c r="J28" s="33">
        <f>'20'!J36</f>
        <v>2.2904166666666668</v>
      </c>
      <c r="K28" s="33">
        <f>'20'!K36</f>
        <v>232.89750000000004</v>
      </c>
      <c r="L28" s="33">
        <f>'20'!L36</f>
        <v>34.038333333333334</v>
      </c>
      <c r="M28" s="33">
        <f>'20'!M36</f>
        <v>90.807916666666642</v>
      </c>
      <c r="N28" s="33">
        <f>'20'!N36</f>
        <v>502.23333333333335</v>
      </c>
      <c r="O28" s="33">
        <f>'20'!O36</f>
        <v>0.066666666666666666</v>
      </c>
      <c r="P28" s="30">
        <f>'20'!P36</f>
        <v>2.2391666666666667</v>
      </c>
      <c r="Q28" s="30">
        <f>'20'!Q36</f>
        <v>12.437500000000002</v>
      </c>
      <c r="R28" s="48"/>
      <c r="S28" s="48"/>
      <c r="T28" s="48"/>
      <c r="U28" s="47"/>
    </row>
    <row r="29" spans="1:21" s="34" customFormat="1" ht="15">
      <c r="A29" s="36" t="str">
        <f>'21'!$B$2</f>
        <v>20-06-2022 24:00</v>
      </c>
      <c r="B29" s="33">
        <f>'21'!B36</f>
        <v>2.7041666666666671</v>
      </c>
      <c r="C29" s="33">
        <f>'21'!C36</f>
        <v>18.559583333333332</v>
      </c>
      <c r="D29" s="33">
        <f>'21'!D36</f>
        <v>21.045000000000002</v>
      </c>
      <c r="E29" s="33">
        <f>'21'!E36</f>
        <v>5.684166666666667</v>
      </c>
      <c r="F29" s="33">
        <f>'21'!F36</f>
        <v>1.5870833333333332</v>
      </c>
      <c r="G29" s="33">
        <f>'21'!G36</f>
        <v>46.271250000000002</v>
      </c>
      <c r="H29" s="33">
        <f>'21'!H36</f>
        <v>17.862083333333334</v>
      </c>
      <c r="I29" s="33">
        <f>'21'!I36</f>
        <v>4.1120833333333335</v>
      </c>
      <c r="J29" s="33">
        <f>'21'!J36</f>
        <v>1.7537499999999999</v>
      </c>
      <c r="K29" s="33">
        <f>'21'!K36</f>
        <v>273.54041666666666</v>
      </c>
      <c r="L29" s="33">
        <f>'21'!L36</f>
        <v>35.000000000000007</v>
      </c>
      <c r="M29" s="33">
        <f>'21'!M36</f>
        <v>83.726250000000007</v>
      </c>
      <c r="N29" s="33">
        <f>'21'!N36</f>
        <v>811.11666666666679</v>
      </c>
      <c r="O29" s="33">
        <f>'21'!O36</f>
        <v>0.033333333333333333</v>
      </c>
      <c r="P29" s="30">
        <f>'21'!P36</f>
        <v>2.2420833333333334</v>
      </c>
      <c r="Q29" s="30">
        <f>'21'!Q36</f>
        <v>8.9837500000000006</v>
      </c>
      <c r="R29" s="48"/>
      <c r="S29" s="48"/>
      <c r="T29" s="48"/>
      <c r="U29" s="47"/>
    </row>
    <row r="30" spans="1:21" s="34" customFormat="1" ht="15">
      <c r="A30" s="36" t="str">
        <f>'22'!$B$2</f>
        <v>21-06-2022 24:00</v>
      </c>
      <c r="B30" s="33">
        <f>'22'!B36</f>
        <v>2.8495833333333338</v>
      </c>
      <c r="C30" s="33">
        <f>'22'!C36</f>
        <v>19.408333333333335</v>
      </c>
      <c r="D30" s="33">
        <f>'22'!D36</f>
        <v>22.102500000000006</v>
      </c>
      <c r="E30" s="33">
        <f>'22'!E36</f>
        <v>6.3937500000000007</v>
      </c>
      <c r="F30" s="33">
        <f>'22'!F36</f>
        <v>1.7966666666666666</v>
      </c>
      <c r="G30" s="33">
        <f>'22'!G36</f>
        <v>58.1325</v>
      </c>
      <c r="H30" s="33">
        <f>'22'!H36</f>
        <v>19.548333333333336</v>
      </c>
      <c r="I30" s="33">
        <f>'22'!I36</f>
        <v>5.8849999999999989</v>
      </c>
      <c r="J30" s="33">
        <f>'22'!J36</f>
        <v>2.1800000000000002</v>
      </c>
      <c r="K30" s="33">
        <f>'22'!K36</f>
        <v>244.48833333333332</v>
      </c>
      <c r="L30" s="33">
        <f>'22'!L36</f>
        <v>40.529166666666661</v>
      </c>
      <c r="M30" s="33">
        <f>'22'!M36</f>
        <v>74.355416666666656</v>
      </c>
      <c r="N30" s="33">
        <f>'22'!N36</f>
        <v>1013.6208333333334</v>
      </c>
      <c r="O30" s="33">
        <f>'22'!O36</f>
        <v>0</v>
      </c>
      <c r="P30" s="30">
        <f>'22'!P36</f>
        <v>2.3008333333333337</v>
      </c>
      <c r="Q30" s="30">
        <f>'22'!Q36</f>
        <v>8.3966666666666665</v>
      </c>
      <c r="R30" s="48"/>
      <c r="S30" s="47"/>
      <c r="T30" s="47"/>
      <c r="U30" s="47"/>
    </row>
    <row r="31" spans="1:21" s="34" customFormat="1" ht="15">
      <c r="A31" s="36" t="str">
        <f>'23'!$B$2</f>
        <v>22-06-2022 24:00</v>
      </c>
      <c r="B31" s="33">
        <f>'23'!B36</f>
        <v>3.1037499999999993</v>
      </c>
      <c r="C31" s="33">
        <f>'23'!C36</f>
        <v>21.786666666666665</v>
      </c>
      <c r="D31" s="33">
        <f>'23'!D36</f>
        <v>24.650833333333335</v>
      </c>
      <c r="E31" s="33">
        <f>'23'!E36</f>
        <v>7.0058333333333325</v>
      </c>
      <c r="F31" s="33">
        <f>'23'!F36</f>
        <v>1.2295833333333333</v>
      </c>
      <c r="G31" s="33">
        <f>'23'!G36</f>
        <v>91.653333333333322</v>
      </c>
      <c r="H31" s="33">
        <f>'23'!H36</f>
        <v>33.890000000000008</v>
      </c>
      <c r="I31" s="33">
        <f>'23'!I36</f>
        <v>6.3529166666666663</v>
      </c>
      <c r="J31" s="33">
        <f>'23'!J36</f>
        <v>2.6491666666666664</v>
      </c>
      <c r="K31" s="33">
        <f>'23'!K36</f>
        <v>218.84249999999994</v>
      </c>
      <c r="L31" s="33">
        <f>'23'!L36</f>
        <v>37.776666666666664</v>
      </c>
      <c r="M31" s="33">
        <f>'23'!M36</f>
        <v>79.257916666666659</v>
      </c>
      <c r="N31" s="33">
        <f>'23'!N36</f>
        <v>703.9708333333333</v>
      </c>
      <c r="O31" s="33">
        <f>'23'!O36</f>
        <v>0</v>
      </c>
      <c r="P31" s="33">
        <f>'23'!P36</f>
        <v>2.4808333333333334</v>
      </c>
      <c r="Q31" s="33">
        <f>'23'!Q36</f>
        <v>9.3579166666666644</v>
      </c>
      <c r="R31" s="47"/>
      <c r="S31" s="47"/>
      <c r="T31" s="47"/>
      <c r="U31" s="47"/>
    </row>
    <row r="32" spans="1:21" s="34" customFormat="1" ht="15">
      <c r="A32" s="36" t="str">
        <f>'24'!$B$2</f>
        <v>23-06-2022 24:00</v>
      </c>
      <c r="B32" s="33">
        <f>'24'!B36</f>
        <v>2.7524999999999999</v>
      </c>
      <c r="C32" s="33">
        <f>'24'!C36</f>
        <v>20.965</v>
      </c>
      <c r="D32" s="33">
        <f>'24'!D36</f>
        <v>23.533333333333331</v>
      </c>
      <c r="E32" s="33">
        <f>'24'!E36</f>
        <v>5.9783333333333326</v>
      </c>
      <c r="F32" s="33">
        <f>'24'!F36</f>
        <v>1.9645833333333333</v>
      </c>
      <c r="G32" s="33">
        <f>'24'!G36</f>
        <v>59.201250000000016</v>
      </c>
      <c r="H32" s="33">
        <f>'24'!H36</f>
        <v>25.204583333333336</v>
      </c>
      <c r="I32" s="33">
        <f>'24'!I36</f>
        <v>6.1399999999999979</v>
      </c>
      <c r="J32" s="33">
        <f>'24'!J36</f>
        <v>2.1524999999999999</v>
      </c>
      <c r="K32" s="33">
        <f>'24'!K36</f>
        <v>271.53958333333338</v>
      </c>
      <c r="L32" s="33">
        <f>'24'!L36</f>
        <v>38.735000000000007</v>
      </c>
      <c r="M32" s="33">
        <f>'24'!M36</f>
        <v>78.213333333333352</v>
      </c>
      <c r="N32" s="33">
        <f>'24'!N36</f>
        <v>502.07916666666671</v>
      </c>
      <c r="O32" s="33">
        <f>'24'!O36</f>
        <v>0.11666666666666665</v>
      </c>
      <c r="P32" s="33">
        <f>'24'!P36</f>
        <v>2.3887500000000004</v>
      </c>
      <c r="Q32" s="33">
        <f>'24'!Q36</f>
        <v>8.9874999999999989</v>
      </c>
      <c r="R32" s="47"/>
      <c r="S32" s="47"/>
      <c r="T32" s="47"/>
      <c r="U32" s="47"/>
    </row>
    <row r="33" spans="1:21" s="34" customFormat="1" ht="15">
      <c r="A33" s="36" t="str">
        <f>'25'!$B$2</f>
        <v>25-06-2022 01:00</v>
      </c>
      <c r="B33" s="33">
        <f>'25'!B36</f>
        <v>1.8562500000000002</v>
      </c>
      <c r="C33" s="33">
        <f>'25'!C36</f>
        <v>21.181250000000002</v>
      </c>
      <c r="D33" s="33">
        <f>'25'!D36</f>
        <v>22.866666666666671</v>
      </c>
      <c r="E33" s="33">
        <f>'25'!E36</f>
        <v>4.6508333333333338</v>
      </c>
      <c r="F33" s="33">
        <f>'25'!F36</f>
        <v>2.850869565217391</v>
      </c>
      <c r="G33" s="33">
        <f>'25'!G36</f>
        <v>58.943333333333328</v>
      </c>
      <c r="H33" s="33">
        <f>'25'!H36</f>
        <v>21.93571428571429</v>
      </c>
      <c r="I33" s="33">
        <f>'25'!I36</f>
        <v>14.650833333333336</v>
      </c>
      <c r="J33" s="33">
        <f>'25'!J36</f>
        <v>1.7300000000000002</v>
      </c>
      <c r="K33" s="33">
        <f>'25'!K36</f>
        <v>292.49500000000006</v>
      </c>
      <c r="L33" s="33">
        <f>'25'!L36</f>
        <v>40.179130434782607</v>
      </c>
      <c r="M33" s="33">
        <f>'25'!M36</f>
        <v>81.52791666666667</v>
      </c>
      <c r="N33" s="33">
        <f>'25'!N36</f>
        <v>530.10833333333335</v>
      </c>
      <c r="O33" s="33">
        <f>'25'!O36</f>
        <v>0.0083333333333333332</v>
      </c>
      <c r="P33" s="33">
        <f>'25'!P36</f>
        <v>2.5070833333333331</v>
      </c>
      <c r="Q33" s="33">
        <f>'25'!Q36</f>
        <v>22.527083333333334</v>
      </c>
      <c r="R33" s="47"/>
      <c r="S33" s="47"/>
      <c r="T33" s="47"/>
      <c r="U33" s="47"/>
    </row>
    <row r="34" spans="1:21" s="34" customFormat="1" ht="15">
      <c r="A34" s="36" t="str">
        <f>'26'!$B$2</f>
        <v>26-06-2022 01:00</v>
      </c>
      <c r="B34" s="33">
        <f>'26'!B36</f>
        <v>1.5979166666666667</v>
      </c>
      <c r="C34" s="33">
        <f>'26'!C36</f>
        <v>15.814583333333333</v>
      </c>
      <c r="D34" s="33">
        <f>'26'!D36</f>
        <v>17.287916666666664</v>
      </c>
      <c r="E34" s="33">
        <f>'26'!E36</f>
        <v>6.1033333333333344</v>
      </c>
      <c r="F34" s="33">
        <f>'26'!F36</f>
        <v>1.7366666666666666</v>
      </c>
      <c r="G34" s="33">
        <f>'26'!G36</f>
        <v>46.449999999999996</v>
      </c>
      <c r="H34" s="33">
        <f>'26'!H36</f>
        <v>18.959999999999994</v>
      </c>
      <c r="I34" s="33">
        <f>'26'!I36</f>
        <v>5.4262499999999996</v>
      </c>
      <c r="J34" s="33">
        <f>'26'!J36</f>
        <v>3.3266666666666667</v>
      </c>
      <c r="K34" s="33">
        <f>'26'!K36</f>
        <v>229.43916666666669</v>
      </c>
      <c r="L34" s="33">
        <f>'26'!L36</f>
        <v>46.654375000000002</v>
      </c>
      <c r="M34" s="33">
        <f>'26'!M36</f>
        <v>79.095833333333346</v>
      </c>
      <c r="N34" s="33">
        <f>'26'!N36</f>
        <v>738.97499999999991</v>
      </c>
      <c r="O34" s="33">
        <f>'26'!O36</f>
        <v>0.0083333333333333332</v>
      </c>
      <c r="P34" s="33">
        <f>'26'!P36</f>
        <v>2.344583333333333</v>
      </c>
      <c r="Q34" s="33">
        <f>'26'!Q36</f>
        <v>18.152083333333334</v>
      </c>
      <c r="R34" s="47"/>
      <c r="S34" s="47"/>
      <c r="T34" s="47"/>
      <c r="U34" s="47"/>
    </row>
    <row r="35" spans="1:21" s="34" customFormat="1" ht="15">
      <c r="A35" s="36" t="str">
        <f>'27'!$B$2</f>
        <v>27-06-2022 01:00</v>
      </c>
      <c r="B35" s="33">
        <f>'27'!B36</f>
        <v>2.2887499999999998</v>
      </c>
      <c r="C35" s="33">
        <f>'27'!C36</f>
        <v>17.750416666666666</v>
      </c>
      <c r="D35" s="33">
        <f>'27'!D36</f>
        <v>19.897083333333331</v>
      </c>
      <c r="E35" s="33">
        <f>'27'!E36</f>
        <v>6.2229166666666673</v>
      </c>
      <c r="F35" s="33">
        <f>'27'!F36</f>
        <v>1.5408333333333335</v>
      </c>
      <c r="G35" s="33">
        <f>'27'!G36</f>
        <v>49.142083333333346</v>
      </c>
      <c r="H35" s="33">
        <f>'27'!H36</f>
        <v>17.925416666666667</v>
      </c>
      <c r="I35" s="33">
        <f>'27'!I36</f>
        <v>4.746666666666667</v>
      </c>
      <c r="J35" s="33">
        <f>'27'!J36</f>
        <v>2.7079166666666659</v>
      </c>
      <c r="K35" s="33">
        <f>'27'!K36</f>
        <v>231.74166666666665</v>
      </c>
      <c r="L35" s="33">
        <f>'27'!L36</f>
        <v>47.492222222222225</v>
      </c>
      <c r="M35" s="33">
        <f>'27'!M36</f>
        <v>75.284166666666664</v>
      </c>
      <c r="N35" s="33">
        <f>'27'!N36</f>
        <v>722.37916666666661</v>
      </c>
      <c r="O35" s="33">
        <f>'27'!O36</f>
        <v>0</v>
      </c>
      <c r="P35" s="30">
        <f>'27'!P36</f>
        <v>2.4537500000000003</v>
      </c>
      <c r="Q35" s="33">
        <f>'27'!Q36</f>
        <v>24.984583333333337</v>
      </c>
      <c r="R35" s="47"/>
      <c r="S35" s="47"/>
      <c r="T35" s="47"/>
      <c r="U35" s="47"/>
    </row>
    <row r="36" spans="1:21" s="34" customFormat="1" ht="15">
      <c r="A36" s="36" t="str">
        <f>'28'!$B$2</f>
        <v>28-06-2022 01:00</v>
      </c>
      <c r="B36" s="33">
        <f>'28'!B36</f>
        <v>3.0812500000000003</v>
      </c>
      <c r="C36" s="33">
        <f>'28'!C36</f>
        <v>19.387083333333333</v>
      </c>
      <c r="D36" s="33">
        <f>'28'!D36</f>
        <v>22.310000000000002</v>
      </c>
      <c r="E36" s="33">
        <f>'28'!E36</f>
        <v>5.1741666666666672</v>
      </c>
      <c r="F36" s="33">
        <f>'28'!F36</f>
        <v>3.043333333333333</v>
      </c>
      <c r="G36" s="33">
        <f>'28'!G36</f>
        <v>43.425833333333344</v>
      </c>
      <c r="H36" s="33">
        <f>'28'!H36</f>
        <v>15.364166666666664</v>
      </c>
      <c r="I36" s="33">
        <f>'28'!I36</f>
        <v>5.2741666666666669</v>
      </c>
      <c r="J36" s="33">
        <f>'28'!J36</f>
        <v>3.6866666666666674</v>
      </c>
      <c r="K36" s="33">
        <f>'28'!K36</f>
        <v>275.35541666666666</v>
      </c>
      <c r="L36" s="33">
        <f>'28'!L36</f>
        <v>39.360000000000007</v>
      </c>
      <c r="M36" s="33">
        <f>'28'!M36</f>
        <v>72.347916666666677</v>
      </c>
      <c r="N36" s="33">
        <f>'28'!N36</f>
        <v>636.35833333333323</v>
      </c>
      <c r="O36" s="33">
        <f>'28'!O36</f>
        <v>0</v>
      </c>
      <c r="P36" s="30">
        <f>'28'!P36</f>
        <v>2.7241666666666666</v>
      </c>
      <c r="Q36" s="33">
        <f>'28'!Q36</f>
        <v>13.649583333333332</v>
      </c>
      <c r="R36" s="47"/>
      <c r="S36" s="47"/>
      <c r="T36" s="47"/>
      <c r="U36" s="47"/>
    </row>
    <row r="37" spans="1:21" s="34" customFormat="1" ht="15">
      <c r="A37" s="36" t="str">
        <f>'29'!$B$2</f>
        <v>29-06-2022 01:00</v>
      </c>
      <c r="B37" s="33">
        <f>'29'!B36</f>
        <v>3.0345833333333325</v>
      </c>
      <c r="C37" s="33">
        <f>'29'!C36</f>
        <v>17.232916666666672</v>
      </c>
      <c r="D37" s="33">
        <f>'29'!D36</f>
        <v>19.598333333333333</v>
      </c>
      <c r="E37" s="33">
        <f>'29'!E36</f>
        <v>6.4800000000000004</v>
      </c>
      <c r="F37" s="33">
        <f>'29'!F36</f>
        <v>2.1545833333333331</v>
      </c>
      <c r="G37" s="33">
        <f>'29'!G36</f>
        <v>36.875416666666673</v>
      </c>
      <c r="H37" s="33">
        <f>'29'!H36</f>
        <v>13.537083333333333</v>
      </c>
      <c r="I37" s="33">
        <f>'29'!I36</f>
        <v>6.3095833333333333</v>
      </c>
      <c r="J37" s="33">
        <f>'29'!J36</f>
        <v>4.6145833333333339</v>
      </c>
      <c r="K37" s="33">
        <f>'29'!K36</f>
        <v>262.22208333333333</v>
      </c>
      <c r="L37" s="33">
        <f>'29'!L36</f>
        <v>30.05916666666667</v>
      </c>
      <c r="M37" s="33">
        <f>'29'!M36</f>
        <v>80.712916666666686</v>
      </c>
      <c r="N37" s="33">
        <f>'29'!N36</f>
        <v>628.16666666666674</v>
      </c>
      <c r="O37" s="33">
        <f>'29'!O36</f>
        <v>1.6083333333333336</v>
      </c>
      <c r="P37" s="33">
        <f>'29'!P36</f>
        <v>2.8279166666666669</v>
      </c>
      <c r="Q37" s="33">
        <f>'29'!Q36</f>
        <v>11.59708333333333</v>
      </c>
      <c r="R37" s="47"/>
      <c r="S37" s="47"/>
      <c r="T37" s="47"/>
      <c r="U37" s="47"/>
    </row>
    <row r="38" spans="1:21" s="34" customFormat="1" ht="15">
      <c r="A38" s="36" t="str">
        <f>'30'!$B$2</f>
        <v>30-06-2022 01:00</v>
      </c>
      <c r="B38" s="33">
        <f>'30'!B36</f>
        <v>3.4520833333333338</v>
      </c>
      <c r="C38" s="33">
        <f>'30'!C36</f>
        <v>19.134166666666665</v>
      </c>
      <c r="D38" s="33">
        <f>'30'!D36</f>
        <v>22.313333333333333</v>
      </c>
      <c r="E38" s="33">
        <f>'30'!E36</f>
        <v>6.3420833333333322</v>
      </c>
      <c r="F38" s="33">
        <f>'30'!F36</f>
        <v>2.0645833333333337</v>
      </c>
      <c r="G38" s="33">
        <f>'30'!G36</f>
        <v>14.597692307692306</v>
      </c>
      <c r="H38" s="33">
        <f>'30'!H36</f>
        <v>13.835909090909091</v>
      </c>
      <c r="I38" s="33">
        <f>'30'!I36</f>
        <v>6.1958333333333329</v>
      </c>
      <c r="J38" s="33">
        <f>'30'!J36</f>
        <v>2.6325000000000003</v>
      </c>
      <c r="K38" s="33">
        <f>'30'!K36</f>
        <v>272.08708333333328</v>
      </c>
      <c r="L38" s="33">
        <f>'30'!L36</f>
        <v>24.550416666666667</v>
      </c>
      <c r="M38" s="33">
        <f>'30'!M36</f>
        <v>86.530833333333348</v>
      </c>
      <c r="N38" s="33">
        <f>'30'!N36</f>
        <v>422.26000000000005</v>
      </c>
      <c r="O38" s="33">
        <f>'30'!O36</f>
        <v>0.025000000000000005</v>
      </c>
      <c r="P38" s="33">
        <f>'30'!P36</f>
        <v>3.1412500000000008</v>
      </c>
      <c r="Q38" s="33">
        <f>'30'!Q36</f>
        <v>17.043333333333333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1.0937499999999998</v>
      </c>
      <c r="C40" s="15">
        <f t="shared" si="0"/>
        <v>15.814583333333333</v>
      </c>
      <c r="D40" s="15">
        <f t="shared" si="0"/>
        <v>17.287916666666664</v>
      </c>
      <c r="E40" s="15">
        <f t="shared" si="0"/>
        <v>4.6508333333333338</v>
      </c>
      <c r="F40" s="15">
        <f t="shared" si="0"/>
        <v>0.8520833333333333</v>
      </c>
      <c r="G40" s="15">
        <f t="shared" si="0"/>
        <v>14.597692307692306</v>
      </c>
      <c r="H40" s="15">
        <f t="shared" si="0"/>
        <v>13.537083333333333</v>
      </c>
      <c r="I40" s="15">
        <f t="shared" si="0"/>
        <v>3.7900000000000005</v>
      </c>
      <c r="J40" s="15">
        <f t="shared" si="0"/>
        <v>1.4183333333333337</v>
      </c>
      <c r="K40" s="15">
        <f t="shared" si="0"/>
        <v>168.7175</v>
      </c>
      <c r="L40" s="15">
        <f t="shared" si="0"/>
        <v>24.550416666666667</v>
      </c>
      <c r="M40" s="15">
        <f t="shared" si="0"/>
        <v>28.270833333333332</v>
      </c>
      <c r="N40" s="15">
        <f t="shared" si="0"/>
        <v>81.340000000000003</v>
      </c>
      <c r="O40" s="15">
        <f t="shared" si="0"/>
        <v>0</v>
      </c>
      <c r="P40" s="15">
        <f t="shared" si="0"/>
        <v>1.7837500000000004</v>
      </c>
      <c r="Q40" s="15">
        <f t="shared" si="0"/>
        <v>8.3966666666666665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61.347916666666663</v>
      </c>
      <c r="C41" s="15">
        <f t="shared" si="1"/>
        <v>61.135416666666679</v>
      </c>
      <c r="D41" s="15">
        <f t="shared" si="1"/>
        <v>113.51208333333334</v>
      </c>
      <c r="E41" s="15">
        <f t="shared" si="1"/>
        <v>7.5445833333333328</v>
      </c>
      <c r="F41" s="15">
        <f t="shared" si="1"/>
        <v>6.8999999999999977</v>
      </c>
      <c r="G41" s="15">
        <f t="shared" si="1"/>
        <v>261.12764705882358</v>
      </c>
      <c r="H41" s="15">
        <f t="shared" si="1"/>
        <v>66.454705882352911</v>
      </c>
      <c r="I41" s="15">
        <f t="shared" si="1"/>
        <v>14.650833333333336</v>
      </c>
      <c r="J41" s="15">
        <f t="shared" si="1"/>
        <v>5.6712499999999997</v>
      </c>
      <c r="K41" s="15">
        <f t="shared" si="1"/>
        <v>320.71291666666667</v>
      </c>
      <c r="L41" s="15">
        <f t="shared" si="1"/>
        <v>49.990833333333335</v>
      </c>
      <c r="M41" s="15">
        <f t="shared" si="1"/>
        <v>90.807916666666642</v>
      </c>
      <c r="N41" s="15">
        <f t="shared" si="1"/>
        <v>1013.6208333333334</v>
      </c>
      <c r="O41" s="15">
        <f t="shared" si="1"/>
        <v>1.6083333333333336</v>
      </c>
      <c r="P41" s="15">
        <f t="shared" si="1"/>
        <v>3.1412500000000008</v>
      </c>
      <c r="Q41" s="15">
        <f t="shared" si="1"/>
        <v>131.65625000000003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11.444101449275362</v>
      </c>
      <c r="C42" s="15">
        <f t="shared" si="2"/>
        <v>29.901411835748789</v>
      </c>
      <c r="D42" s="15">
        <f t="shared" si="2"/>
        <v>41.049436594202888</v>
      </c>
      <c r="E42" s="15">
        <f t="shared" si="2"/>
        <v>6.199955314009661</v>
      </c>
      <c r="F42" s="15">
        <f t="shared" si="2"/>
        <v>2.9402773464458258</v>
      </c>
      <c r="G42" s="15">
        <f t="shared" si="2"/>
        <v>90.621892629008272</v>
      </c>
      <c r="H42" s="15">
        <f t="shared" si="2"/>
        <v>29.644278714283253</v>
      </c>
      <c r="I42" s="15">
        <f t="shared" si="2"/>
        <v>7.0723849363197182</v>
      </c>
      <c r="J42" s="15">
        <f t="shared" si="2"/>
        <v>2.4835169082125597</v>
      </c>
      <c r="K42" s="15">
        <f t="shared" si="2"/>
        <v>266.89880314009656</v>
      </c>
      <c r="L42" s="15">
        <f t="shared" si="2"/>
        <v>41.911650847240509</v>
      </c>
      <c r="M42" s="15">
        <f t="shared" si="2"/>
        <v>58.960457125603845</v>
      </c>
      <c r="N42" s="15">
        <f t="shared" si="2"/>
        <v>500.05256888338863</v>
      </c>
      <c r="O42" s="15">
        <f t="shared" si="2"/>
        <v>0.098434265010351976</v>
      </c>
      <c r="P42" s="15">
        <f t="shared" si="2"/>
        <v>2.4163347567287787</v>
      </c>
      <c r="Q42" s="15">
        <f t="shared" si="2"/>
        <v>50.055391908212563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16.901846505794182</v>
      </c>
      <c r="C43" s="15">
        <f t="shared" si="3"/>
        <v>13.495354390566824</v>
      </c>
      <c r="D43" s="15">
        <f t="shared" si="3"/>
        <v>28.527228438489605</v>
      </c>
      <c r="E43" s="15">
        <f t="shared" si="3"/>
        <v>0.75990568174884865</v>
      </c>
      <c r="F43" s="15">
        <f t="shared" si="3"/>
        <v>1.464630224198832</v>
      </c>
      <c r="G43" s="15">
        <f t="shared" si="3"/>
        <v>58.250147021611085</v>
      </c>
      <c r="H43" s="15">
        <f t="shared" si="3"/>
        <v>14.145214156825842</v>
      </c>
      <c r="I43" s="15">
        <f t="shared" si="3"/>
        <v>3.1683547273580452</v>
      </c>
      <c r="J43" s="15">
        <f t="shared" si="3"/>
        <v>0.92630524726168684</v>
      </c>
      <c r="K43" s="15">
        <f t="shared" si="3"/>
        <v>36.751643803978169</v>
      </c>
      <c r="L43" s="15">
        <f t="shared" si="3"/>
        <v>6.1621149065589949</v>
      </c>
      <c r="M43" s="15">
        <f t="shared" si="3"/>
        <v>21.458058109571795</v>
      </c>
      <c r="N43" s="15">
        <f t="shared" si="3"/>
        <v>185.25150513187856</v>
      </c>
      <c r="O43" s="15">
        <f t="shared" si="3"/>
        <v>0.31927090972681538</v>
      </c>
      <c r="P43" s="15">
        <f t="shared" si="3"/>
        <v>0.34228247819149665</v>
      </c>
      <c r="Q43" s="15">
        <f t="shared" si="3"/>
        <v>40.818380446984186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28</v>
      </c>
      <c r="O44" s="12">
        <f t="shared" si="4"/>
        <v>28</v>
      </c>
      <c r="P44" s="12">
        <f t="shared" si="4"/>
        <v>28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40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2024-09-05T16:41:57Z</dcterms:modified>
  <cp:category/>
</cp:coreProperties>
</file>